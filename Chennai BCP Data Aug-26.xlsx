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hidePivotFieldList="1"/>
  <mc:AlternateContent xmlns:mc="http://schemas.openxmlformats.org/markup-compatibility/2006">
    <mc:Choice Requires="x15">
      <x15ac:absPath xmlns:x15ac="http://schemas.microsoft.com/office/spreadsheetml/2010/11/ac" url="https://cognizantonline-my.sharepoint.com/personal/939705_cognizant_com/Documents/Desktop/"/>
    </mc:Choice>
  </mc:AlternateContent>
  <xr:revisionPtr revIDLastSave="1761" documentId="8_{D6D3D619-23D2-463E-A912-7335B90F9027}" xr6:coauthVersionLast="47" xr6:coauthVersionMax="47" xr10:uidLastSave="{D9C15E7D-77AD-4956-B714-46D8A2A696CA}"/>
  <bookViews>
    <workbookView xWindow="-110" yWindow="-110" windowWidth="19420" windowHeight="11500" firstSheet="3" activeTab="1" xr2:uid="{AF63CE3C-0B24-463E-89B1-BD27329CCC07}"/>
  </bookViews>
  <sheets>
    <sheet name="Report" sheetId="10" r:id="rId1"/>
    <sheet name="Sheet1" sheetId="12" r:id="rId2"/>
    <sheet name="Base" sheetId="1" r:id="rId3"/>
    <sheet name="Response" sheetId="9" r:id="rId4"/>
    <sheet name="File" sheetId="7" r:id="rId5"/>
    <sheet name="FE" sheetId="5" state="hidden" r:id="rId6"/>
    <sheet name="Ext trainers" sheetId="6" state="hidden" r:id="rId7"/>
    <sheet name="Coaches" sheetId="13" r:id="rId8"/>
  </sheets>
  <definedNames>
    <definedName name="_xlnm._FilterDatabase" localSheetId="5" hidden="1">FE!$A$1:$E$11</definedName>
    <definedName name="_xlnm._FilterDatabase" localSheetId="4" hidden="1">File!#REF!</definedName>
    <definedName name="_xlnm._FilterDatabase" localSheetId="2" hidden="1">Base!$A$1:$S$1</definedName>
    <definedName name="_xlnm._FilterDatabase" localSheetId="3" hidden="1">Response!$H$3:$H$2126</definedName>
  </definedNames>
  <calcPr calcId="191028"/>
  <pivotCaches>
    <pivotCache cacheId="86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1" i="13" l="1"/>
  <c r="G41" i="13"/>
  <c r="H41" i="13"/>
  <c r="I41" i="13"/>
  <c r="J41" i="13"/>
  <c r="F42" i="13"/>
  <c r="G42" i="13"/>
  <c r="H42" i="13"/>
  <c r="I42" i="13"/>
  <c r="J42" i="13"/>
  <c r="F43" i="13"/>
  <c r="G43" i="13"/>
  <c r="H43" i="13"/>
  <c r="I43" i="13"/>
  <c r="J43" i="13"/>
  <c r="F40" i="13"/>
  <c r="G40" i="13"/>
  <c r="H40" i="13"/>
  <c r="I40" i="13"/>
  <c r="J40" i="13"/>
  <c r="F3" i="13"/>
  <c r="G3" i="13"/>
  <c r="H3" i="13"/>
  <c r="I3" i="13"/>
  <c r="J3" i="13"/>
  <c r="F4" i="13"/>
  <c r="G4" i="13"/>
  <c r="H4" i="13"/>
  <c r="I4" i="13"/>
  <c r="J4" i="13"/>
  <c r="F5" i="13"/>
  <c r="G5" i="13"/>
  <c r="H5" i="13"/>
  <c r="I5" i="13"/>
  <c r="J5" i="13"/>
  <c r="F6" i="13"/>
  <c r="G6" i="13"/>
  <c r="H6" i="13"/>
  <c r="I6" i="13"/>
  <c r="J6" i="13"/>
  <c r="F7" i="13"/>
  <c r="G7" i="13"/>
  <c r="H7" i="13"/>
  <c r="I7" i="13"/>
  <c r="J7" i="13"/>
  <c r="F8" i="13"/>
  <c r="G8" i="13"/>
  <c r="H8" i="13"/>
  <c r="I8" i="13"/>
  <c r="J8" i="13"/>
  <c r="F9" i="13"/>
  <c r="G9" i="13"/>
  <c r="H9" i="13"/>
  <c r="I9" i="13"/>
  <c r="J9" i="13"/>
  <c r="F10" i="13"/>
  <c r="G10" i="13"/>
  <c r="H10" i="13"/>
  <c r="I10" i="13"/>
  <c r="J10" i="13"/>
  <c r="F11" i="13"/>
  <c r="G11" i="13"/>
  <c r="H11" i="13"/>
  <c r="I11" i="13"/>
  <c r="J11" i="13"/>
  <c r="F12" i="13"/>
  <c r="G12" i="13"/>
  <c r="H12" i="13"/>
  <c r="I12" i="13"/>
  <c r="J12" i="13"/>
  <c r="F13" i="13"/>
  <c r="G13" i="13"/>
  <c r="H13" i="13"/>
  <c r="I13" i="13"/>
  <c r="J13" i="13"/>
  <c r="F14" i="13"/>
  <c r="G14" i="13"/>
  <c r="H14" i="13"/>
  <c r="I14" i="13"/>
  <c r="J14" i="13"/>
  <c r="F15" i="13"/>
  <c r="G15" i="13"/>
  <c r="H15" i="13"/>
  <c r="I15" i="13"/>
  <c r="J15" i="13"/>
  <c r="F16" i="13"/>
  <c r="G16" i="13"/>
  <c r="H16" i="13"/>
  <c r="I16" i="13"/>
  <c r="J16" i="13"/>
  <c r="F17" i="13"/>
  <c r="G17" i="13"/>
  <c r="H17" i="13"/>
  <c r="I17" i="13"/>
  <c r="J17" i="13"/>
  <c r="F18" i="13"/>
  <c r="G18" i="13"/>
  <c r="H18" i="13"/>
  <c r="I18" i="13"/>
  <c r="J18" i="13"/>
  <c r="F19" i="13"/>
  <c r="G19" i="13"/>
  <c r="H19" i="13"/>
  <c r="I19" i="13"/>
  <c r="J19" i="13"/>
  <c r="F20" i="13"/>
  <c r="G20" i="13"/>
  <c r="H20" i="13"/>
  <c r="I20" i="13"/>
  <c r="J20" i="13"/>
  <c r="F21" i="13"/>
  <c r="G21" i="13"/>
  <c r="H21" i="13"/>
  <c r="I21" i="13"/>
  <c r="J21" i="13"/>
  <c r="F22" i="13"/>
  <c r="G22" i="13"/>
  <c r="H22" i="13"/>
  <c r="I22" i="13"/>
  <c r="J22" i="13"/>
  <c r="F23" i="13"/>
  <c r="G23" i="13"/>
  <c r="H23" i="13"/>
  <c r="I23" i="13"/>
  <c r="J23" i="13"/>
  <c r="F24" i="13"/>
  <c r="G24" i="13"/>
  <c r="H24" i="13"/>
  <c r="I24" i="13"/>
  <c r="J24" i="13"/>
  <c r="F25" i="13"/>
  <c r="G25" i="13"/>
  <c r="H25" i="13"/>
  <c r="I25" i="13"/>
  <c r="J25" i="13"/>
  <c r="F26" i="13"/>
  <c r="G26" i="13"/>
  <c r="H26" i="13"/>
  <c r="I26" i="13"/>
  <c r="J26" i="13"/>
  <c r="F27" i="13"/>
  <c r="G27" i="13"/>
  <c r="H27" i="13"/>
  <c r="I27" i="13"/>
  <c r="J27" i="13"/>
  <c r="F28" i="13"/>
  <c r="G28" i="13"/>
  <c r="H28" i="13"/>
  <c r="I28" i="13"/>
  <c r="J28" i="13"/>
  <c r="F29" i="13"/>
  <c r="G29" i="13"/>
  <c r="H29" i="13"/>
  <c r="I29" i="13"/>
  <c r="J29" i="13"/>
  <c r="F30" i="13"/>
  <c r="G30" i="13"/>
  <c r="H30" i="13"/>
  <c r="I30" i="13"/>
  <c r="J30" i="13"/>
  <c r="F31" i="13"/>
  <c r="G31" i="13"/>
  <c r="H31" i="13"/>
  <c r="I31" i="13"/>
  <c r="J31" i="13"/>
  <c r="F32" i="13"/>
  <c r="G32" i="13"/>
  <c r="H32" i="13"/>
  <c r="I32" i="13"/>
  <c r="J32" i="13"/>
  <c r="F33" i="13"/>
  <c r="G33" i="13"/>
  <c r="H33" i="13"/>
  <c r="I33" i="13"/>
  <c r="J33" i="13"/>
  <c r="F34" i="13"/>
  <c r="G34" i="13"/>
  <c r="H34" i="13"/>
  <c r="I34" i="13"/>
  <c r="J34" i="13"/>
  <c r="F35" i="13"/>
  <c r="G35" i="13"/>
  <c r="H35" i="13"/>
  <c r="I35" i="13"/>
  <c r="J35" i="13"/>
  <c r="F36" i="13"/>
  <c r="G36" i="13"/>
  <c r="H36" i="13"/>
  <c r="I36" i="13"/>
  <c r="J36" i="13"/>
  <c r="F37" i="13"/>
  <c r="G37" i="13"/>
  <c r="H37" i="13"/>
  <c r="I37" i="13"/>
  <c r="J37" i="13"/>
  <c r="F38" i="13"/>
  <c r="G38" i="13"/>
  <c r="H38" i="13"/>
  <c r="I38" i="13"/>
  <c r="J38" i="13"/>
  <c r="F39" i="13"/>
  <c r="G39" i="13"/>
  <c r="H39" i="13"/>
  <c r="I39" i="13"/>
  <c r="J39" i="13"/>
  <c r="J2" i="13"/>
  <c r="I2" i="13"/>
  <c r="H2" i="13"/>
  <c r="G2" i="13"/>
  <c r="F2" i="13"/>
  <c r="H45" i="12"/>
  <c r="G45" i="12"/>
  <c r="J43" i="12"/>
  <c r="J42" i="12"/>
  <c r="H21" i="12"/>
  <c r="G21" i="12"/>
  <c r="J19" i="12"/>
  <c r="J18" i="12"/>
  <c r="C8" i="10"/>
  <c r="B8" i="10"/>
  <c r="E6" i="10"/>
  <c r="E5" i="10"/>
  <c r="O927" i="1"/>
  <c r="M927" i="1"/>
  <c r="K616" i="1"/>
  <c r="K1255" i="1"/>
  <c r="K1154" i="1"/>
  <c r="K539" i="1"/>
  <c r="K434" i="1"/>
  <c r="K850" i="1"/>
  <c r="K1638" i="1"/>
  <c r="K258" i="1"/>
  <c r="K819" i="1"/>
  <c r="K1462" i="1"/>
  <c r="K996" i="1"/>
  <c r="K1247" i="1"/>
  <c r="K698" i="1"/>
  <c r="K1548" i="1"/>
  <c r="K192" i="1"/>
  <c r="K1119" i="1"/>
  <c r="K941" i="1"/>
  <c r="K511" i="1"/>
  <c r="K672" i="1"/>
  <c r="K1147" i="1"/>
  <c r="K665" i="1"/>
  <c r="K1617" i="1"/>
  <c r="K379" i="1"/>
  <c r="K462" i="1"/>
  <c r="K1277" i="1"/>
  <c r="K952" i="1"/>
  <c r="K1419" i="1"/>
  <c r="K418" i="1"/>
  <c r="K1640" i="1"/>
  <c r="K1178" i="1"/>
  <c r="K1524" i="1"/>
  <c r="K208" i="1"/>
  <c r="K1037" i="1"/>
  <c r="K658" i="1"/>
  <c r="K17" i="1"/>
  <c r="K100" i="1"/>
  <c r="K849" i="1"/>
  <c r="K1283" i="1"/>
  <c r="K1308" i="1"/>
  <c r="K481" i="1"/>
  <c r="K749" i="1"/>
  <c r="K397" i="1"/>
  <c r="K552" i="1"/>
  <c r="K1573" i="1"/>
  <c r="K1114" i="1"/>
  <c r="K278" i="1"/>
  <c r="K898" i="1"/>
  <c r="K728" i="1"/>
  <c r="K70" i="1"/>
  <c r="K874" i="1"/>
  <c r="K869" i="1"/>
  <c r="K723" i="1"/>
  <c r="K617" i="1"/>
  <c r="K793" i="1"/>
  <c r="K697" i="1"/>
  <c r="K707" i="1"/>
  <c r="K361" i="1"/>
  <c r="K504" i="1"/>
  <c r="K1667" i="1"/>
  <c r="K1470" i="1"/>
  <c r="K875" i="1"/>
  <c r="K873" i="1"/>
  <c r="K223" i="1"/>
  <c r="K812" i="1"/>
  <c r="K421" i="1"/>
  <c r="K288" i="1"/>
  <c r="K1367" i="1"/>
  <c r="K813" i="1"/>
  <c r="K1368" i="1"/>
  <c r="K1390" i="1"/>
  <c r="K748" i="1"/>
  <c r="K1348" i="1"/>
  <c r="K837" i="1"/>
  <c r="K816" i="1"/>
  <c r="K259" i="1"/>
  <c r="K1222" i="1"/>
  <c r="K240" i="1"/>
  <c r="K1203" i="1"/>
  <c r="K838" i="1"/>
  <c r="K1223" i="1"/>
  <c r="K628" i="1"/>
  <c r="K1229" i="1"/>
  <c r="K851" i="1"/>
  <c r="K358" i="1"/>
  <c r="K1224" i="1"/>
  <c r="K1054" i="1"/>
  <c r="K92" i="1"/>
  <c r="K463" i="1"/>
  <c r="K1225" i="1"/>
  <c r="K1651" i="1"/>
  <c r="K1681" i="1"/>
  <c r="K1650" i="1"/>
  <c r="K106" i="1"/>
  <c r="K870" i="1"/>
  <c r="K1471" i="1"/>
  <c r="K1463" i="1"/>
  <c r="K820" i="1"/>
  <c r="K387" i="1"/>
  <c r="K540" i="1"/>
  <c r="K1284" i="1"/>
  <c r="K657" i="1"/>
  <c r="K1021" i="1"/>
  <c r="K1026" i="1"/>
  <c r="K889" i="1"/>
  <c r="K1024" i="1"/>
  <c r="K522" i="1"/>
  <c r="K1436" i="1"/>
  <c r="K1434" i="1"/>
  <c r="K1023" i="1"/>
  <c r="K96" i="1"/>
  <c r="K274" i="1"/>
  <c r="K656" i="1"/>
  <c r="K823" i="1"/>
  <c r="K159" i="1"/>
  <c r="K508" i="1"/>
  <c r="K87" i="1"/>
  <c r="K689" i="1"/>
  <c r="K1038" i="1"/>
  <c r="K929" i="1"/>
  <c r="K1632" i="1"/>
  <c r="K403" i="1"/>
  <c r="K1453" i="1"/>
  <c r="K1444" i="1"/>
  <c r="K888" i="1"/>
  <c r="K1652" i="1"/>
  <c r="K420" i="1"/>
  <c r="K564" i="1"/>
  <c r="K503" i="1"/>
  <c r="K1358" i="1"/>
  <c r="K319" i="1"/>
  <c r="K1716" i="1"/>
  <c r="K1727" i="1"/>
  <c r="K1105" i="1"/>
  <c r="K1564" i="1"/>
  <c r="K685" i="1"/>
  <c r="K1059" i="1"/>
  <c r="K1072" i="1"/>
  <c r="K761" i="1"/>
  <c r="K512" i="1"/>
  <c r="K766" i="1"/>
  <c r="K716" i="1"/>
  <c r="K1675" i="1"/>
  <c r="K441" i="1"/>
  <c r="K491" i="1"/>
  <c r="K433" i="1"/>
  <c r="K350" i="1"/>
  <c r="K257" i="1"/>
  <c r="K1636" i="1"/>
  <c r="K1627" i="1"/>
  <c r="K533" i="1"/>
  <c r="K218" i="1"/>
  <c r="K1055" i="1"/>
  <c r="K1186" i="1"/>
  <c r="K1595" i="1"/>
  <c r="K1129" i="1"/>
  <c r="K177" i="1"/>
  <c r="K906" i="1"/>
  <c r="K659" i="1"/>
  <c r="K575" i="1"/>
  <c r="K861" i="1"/>
  <c r="K606" i="1"/>
  <c r="K283" i="1"/>
  <c r="K1551" i="1"/>
  <c r="K1039" i="1"/>
  <c r="K829" i="1"/>
  <c r="K1401" i="1"/>
  <c r="K1442" i="1"/>
  <c r="K464" i="1"/>
  <c r="K1429" i="1"/>
  <c r="K32" i="1"/>
  <c r="K1598" i="1"/>
  <c r="K1386" i="1"/>
  <c r="K1066" i="1"/>
  <c r="K16" i="1"/>
  <c r="K1592" i="1"/>
  <c r="K666" i="1"/>
  <c r="K175" i="1"/>
  <c r="K1087" i="1"/>
  <c r="K647" i="1"/>
  <c r="K1115" i="1"/>
  <c r="K738" i="1"/>
  <c r="K1210" i="1"/>
  <c r="K719" i="1"/>
  <c r="K1085" i="1"/>
  <c r="K963" i="1"/>
  <c r="K562" i="1"/>
  <c r="K234" i="1"/>
  <c r="K359" i="1"/>
  <c r="K798" i="1"/>
  <c r="K978" i="1"/>
  <c r="K959" i="1"/>
  <c r="K746" i="1"/>
  <c r="K390" i="1"/>
  <c r="K285" i="1"/>
  <c r="K277" i="1"/>
  <c r="K1645" i="1"/>
  <c r="K729" i="1"/>
  <c r="K1299" i="1"/>
  <c r="K1540" i="1"/>
  <c r="K396" i="1"/>
  <c r="K1644" i="1"/>
  <c r="K69" i="1"/>
  <c r="K272" i="1"/>
  <c r="K887" i="1"/>
  <c r="K332" i="1"/>
  <c r="K905" i="1"/>
  <c r="K270" i="1"/>
  <c r="K854" i="1"/>
  <c r="K528" i="1"/>
  <c r="K757" i="1"/>
  <c r="K1550" i="1"/>
  <c r="K949" i="1"/>
  <c r="K410" i="1"/>
  <c r="K1080" i="1"/>
  <c r="K795" i="1"/>
  <c r="K839" i="1"/>
  <c r="K254" i="1"/>
  <c r="K602" i="1"/>
  <c r="K416" i="1"/>
  <c r="K840" i="1"/>
  <c r="K603" i="1"/>
  <c r="K371" i="1"/>
  <c r="K1525" i="1"/>
  <c r="K1619" i="1"/>
  <c r="K1278" i="1"/>
  <c r="K381" i="1"/>
  <c r="K726" i="1"/>
  <c r="K986" i="1"/>
  <c r="K987" i="1"/>
  <c r="K1655" i="1"/>
  <c r="K841" i="1"/>
  <c r="K1133" i="1"/>
  <c r="K1324" i="1"/>
  <c r="K1207" i="1"/>
  <c r="K594" i="1"/>
  <c r="K1287" i="1"/>
  <c r="K1285" i="1"/>
  <c r="K53" i="1"/>
  <c r="K1220" i="1"/>
  <c r="K1365" i="1"/>
  <c r="K320" i="1"/>
  <c r="K1209" i="1"/>
  <c r="K1234" i="1"/>
  <c r="K1703" i="1"/>
  <c r="K230" i="1"/>
  <c r="K1316" i="1"/>
  <c r="K1323" i="1"/>
  <c r="K23" i="1"/>
  <c r="K286" i="1"/>
  <c r="K1322" i="1"/>
  <c r="K1256" i="1"/>
  <c r="K1309" i="1"/>
  <c r="K1120" i="1"/>
  <c r="K1340" i="1"/>
  <c r="K102" i="1"/>
  <c r="K976" i="1"/>
  <c r="K1126" i="1"/>
  <c r="K894" i="1"/>
  <c r="K544" i="1"/>
  <c r="K360" i="1"/>
  <c r="K646" i="1"/>
  <c r="K701" i="1"/>
  <c r="K1459" i="1"/>
  <c r="K871" i="1"/>
  <c r="K333" i="1"/>
  <c r="K22" i="1"/>
  <c r="K1230" i="1"/>
  <c r="K1060" i="1"/>
  <c r="K1069" i="1"/>
  <c r="K1040" i="1"/>
  <c r="K629" i="1"/>
  <c r="K1317" i="1"/>
  <c r="K372" i="1"/>
  <c r="K1543" i="1"/>
  <c r="K1555" i="1"/>
  <c r="K1002" i="1"/>
  <c r="K730" i="1"/>
  <c r="K1361" i="1"/>
  <c r="K547" i="1"/>
  <c r="K1049" i="1"/>
  <c r="K1339" i="1"/>
  <c r="K558" i="1"/>
  <c r="K1011" i="1"/>
  <c r="K1191" i="1"/>
  <c r="K1381" i="1"/>
  <c r="K1397" i="1"/>
  <c r="K101" i="1"/>
  <c r="K769" i="1"/>
  <c r="K60" i="1"/>
  <c r="K398" i="1"/>
  <c r="K378" i="1"/>
  <c r="K74" i="1"/>
  <c r="K75" i="1"/>
  <c r="K932" i="1"/>
  <c r="K193" i="1"/>
  <c r="K236" i="1"/>
  <c r="K1671" i="1"/>
  <c r="K1526" i="1"/>
  <c r="K232" i="1"/>
  <c r="K545" i="1"/>
  <c r="K2" i="1"/>
  <c r="K995" i="1"/>
  <c r="K1697" i="1"/>
  <c r="K1110" i="1"/>
  <c r="K568" i="1"/>
  <c r="K734" i="1"/>
  <c r="K275" i="1"/>
  <c r="K551" i="1"/>
  <c r="K811" i="1"/>
  <c r="K536" i="1"/>
  <c r="K1504" i="1"/>
  <c r="K596" i="1"/>
  <c r="K1726" i="1"/>
  <c r="K1527" i="1"/>
  <c r="K1694" i="1"/>
  <c r="K542" i="1"/>
  <c r="K1484" i="1"/>
  <c r="K1528" i="1"/>
  <c r="K198" i="1"/>
  <c r="K43" i="1"/>
  <c r="K842" i="1"/>
  <c r="K641" i="1"/>
  <c r="K1549" i="1"/>
  <c r="K822" i="1"/>
  <c r="K1310" i="1"/>
  <c r="K767" i="1"/>
  <c r="K739" i="1"/>
  <c r="K1051" i="1"/>
  <c r="K768" i="1"/>
  <c r="K1680" i="1"/>
  <c r="K483" i="1"/>
  <c r="K931" i="1"/>
  <c r="K781" i="1"/>
  <c r="K12" i="1"/>
  <c r="K1537" i="1"/>
  <c r="K437" i="1"/>
  <c r="K1362" i="1"/>
  <c r="K1606" i="1"/>
  <c r="K1607" i="1"/>
  <c r="K439" i="1"/>
  <c r="K1399" i="1"/>
  <c r="K782" i="1"/>
  <c r="K772" i="1"/>
  <c r="K1698" i="1"/>
  <c r="K1099" i="1"/>
  <c r="K1281" i="1"/>
  <c r="K608" i="1"/>
  <c r="K339" i="1"/>
  <c r="K335" i="1"/>
  <c r="K1276" i="1"/>
  <c r="K249" i="1"/>
  <c r="K113" i="1"/>
  <c r="K548" i="1"/>
  <c r="K1050" i="1"/>
  <c r="K1041" i="1"/>
  <c r="K515" i="1"/>
  <c r="K1017" i="1"/>
  <c r="K521" i="1"/>
  <c r="K1089" i="1"/>
  <c r="K1701" i="1"/>
  <c r="K1656" i="1"/>
  <c r="K912" i="1"/>
  <c r="K408" i="1"/>
  <c r="K1369" i="1"/>
  <c r="K1078" i="1"/>
  <c r="K362" i="1"/>
  <c r="K24" i="1"/>
  <c r="K1600" i="1"/>
  <c r="K58" i="1"/>
  <c r="K211" i="1"/>
  <c r="K1057" i="1"/>
  <c r="K18" i="1"/>
  <c r="K1052" i="1"/>
  <c r="K1168" i="1"/>
  <c r="K1633" i="1"/>
  <c r="K166" i="1"/>
  <c r="K1108" i="1"/>
  <c r="K917" i="1"/>
  <c r="K843" i="1"/>
  <c r="K1164" i="1"/>
  <c r="K985" i="1"/>
  <c r="K773" i="1"/>
  <c r="K860" i="1"/>
  <c r="K273" i="1"/>
  <c r="K1495" i="1"/>
  <c r="K844" i="1"/>
  <c r="K56" i="1"/>
  <c r="K104" i="1"/>
  <c r="K1235" i="1"/>
  <c r="K40" i="1"/>
  <c r="K1318" i="1"/>
  <c r="K1616" i="1"/>
  <c r="K49" i="1"/>
  <c r="K50" i="1"/>
  <c r="K669" i="1"/>
  <c r="K44" i="1"/>
  <c r="K783" i="1"/>
  <c r="K474" i="1"/>
  <c r="K998" i="1"/>
  <c r="K1430" i="1"/>
  <c r="K830" i="1"/>
  <c r="K1414" i="1"/>
  <c r="K607" i="1"/>
  <c r="K832" i="1"/>
  <c r="K776" i="1"/>
  <c r="K1022" i="1"/>
  <c r="K731" i="1"/>
  <c r="K705" i="1"/>
  <c r="K962" i="1"/>
  <c r="K1293" i="1"/>
  <c r="K238" i="1"/>
  <c r="K395" i="1"/>
  <c r="K1292" i="1"/>
  <c r="K67" i="1"/>
  <c r="K1279" i="1"/>
  <c r="K1042" i="1"/>
  <c r="K836" i="1"/>
  <c r="K582" i="1"/>
  <c r="K250" i="1"/>
  <c r="K1131" i="1"/>
  <c r="K1648" i="1"/>
  <c r="K1294" i="1"/>
  <c r="K293" i="1"/>
  <c r="K1384" i="1"/>
  <c r="K1649" i="1"/>
  <c r="K1260" i="1"/>
  <c r="K76" i="1"/>
  <c r="K1424" i="1"/>
  <c r="K1116" i="1"/>
  <c r="K1387" i="1"/>
  <c r="K185" i="1"/>
  <c r="K586" i="1"/>
  <c r="K103" i="1"/>
  <c r="K1303" i="1"/>
  <c r="K487" i="1"/>
  <c r="K691" i="1"/>
  <c r="K604" i="1"/>
  <c r="K686" i="1"/>
  <c r="K935" i="1"/>
  <c r="K296" i="1"/>
  <c r="K1481" i="1"/>
  <c r="K1109" i="1"/>
  <c r="K1262" i="1"/>
  <c r="K1545" i="1"/>
  <c r="K1589" i="1"/>
  <c r="K1304" i="1"/>
  <c r="K1508" i="1"/>
  <c r="K1579" i="1"/>
  <c r="K974" i="1"/>
  <c r="K613" i="1"/>
  <c r="K1715" i="1"/>
  <c r="K704" i="1"/>
  <c r="K105" i="1"/>
  <c r="K144" i="1"/>
  <c r="K384" i="1"/>
  <c r="K415" i="1"/>
  <c r="K1379" i="1"/>
  <c r="K1165" i="1"/>
  <c r="K937" i="1"/>
  <c r="K340" i="1"/>
  <c r="K510" i="1"/>
  <c r="K1682" i="1"/>
  <c r="K1356" i="1"/>
  <c r="K1341" i="1"/>
  <c r="K676" i="1"/>
  <c r="K321" i="1"/>
  <c r="K786" i="1"/>
  <c r="K546" i="1"/>
  <c r="K111" i="1"/>
  <c r="K1706" i="1"/>
  <c r="K52" i="1"/>
  <c r="K618" i="1"/>
  <c r="K1468" i="1"/>
  <c r="K84" i="1"/>
  <c r="K1456" i="1"/>
  <c r="K1490" i="1"/>
  <c r="K1507" i="1"/>
  <c r="K1027" i="1"/>
  <c r="K1509" i="1"/>
  <c r="K443" i="1"/>
  <c r="K454" i="1"/>
  <c r="K537" i="1"/>
  <c r="K5" i="1"/>
  <c r="K1156" i="1"/>
  <c r="K960" i="1"/>
  <c r="K412" i="1"/>
  <c r="K1611" i="1"/>
  <c r="K128" i="1"/>
  <c r="K664" i="1"/>
  <c r="K407" i="1"/>
  <c r="K1012" i="1"/>
  <c r="K1013" i="1"/>
  <c r="K1008" i="1"/>
  <c r="K1076" i="1"/>
  <c r="K1523" i="1"/>
  <c r="K220" i="1"/>
  <c r="K709" i="1"/>
  <c r="K186" i="1"/>
  <c r="K181" i="1"/>
  <c r="K255" i="1"/>
  <c r="K1295" i="1"/>
  <c r="K1624" i="1"/>
  <c r="K1522" i="1"/>
  <c r="K1302" i="1"/>
  <c r="K595" i="1"/>
  <c r="K1601" i="1"/>
  <c r="K112" i="1"/>
  <c r="K901" i="1"/>
  <c r="K1608" i="1"/>
  <c r="K1510" i="1"/>
  <c r="K1450" i="1"/>
  <c r="K1297" i="1"/>
  <c r="K488" i="1"/>
  <c r="K1689" i="1"/>
  <c r="K1248" i="1"/>
  <c r="K1404" i="1"/>
  <c r="K597" i="1"/>
  <c r="K1333" i="1"/>
  <c r="K1148" i="1"/>
  <c r="K569" i="1"/>
  <c r="K123" i="1"/>
  <c r="K1366" i="1"/>
  <c r="K1516" i="1"/>
  <c r="K1518" i="1"/>
  <c r="K1145" i="1"/>
  <c r="K1282" i="1"/>
  <c r="K1676" i="1"/>
  <c r="K145" i="1"/>
  <c r="K1511" i="1"/>
  <c r="K1512" i="1"/>
  <c r="K389" i="1"/>
  <c r="K386" i="1"/>
  <c r="K388" i="1"/>
  <c r="K1160" i="1"/>
  <c r="K584" i="1"/>
  <c r="K15" i="1"/>
  <c r="K180" i="1"/>
  <c r="K1670" i="1"/>
  <c r="K926" i="1"/>
  <c r="K1722" i="1"/>
  <c r="K284" i="1"/>
  <c r="K1517" i="1"/>
  <c r="K1538" i="1"/>
  <c r="K1183" i="1"/>
  <c r="K1612" i="1"/>
  <c r="K1529" i="1"/>
  <c r="K1403" i="1"/>
  <c r="K1519" i="1"/>
  <c r="K1530" i="1"/>
  <c r="K692" i="1"/>
  <c r="K329" i="1"/>
  <c r="K1232" i="1"/>
  <c r="K132" i="1"/>
  <c r="K1501" i="1"/>
  <c r="K1567" i="1"/>
  <c r="K1482" i="1"/>
  <c r="K1496" i="1"/>
  <c r="K68" i="1"/>
  <c r="K1663" i="1"/>
  <c r="K787" i="1"/>
  <c r="K445" i="1"/>
  <c r="K1565" i="1"/>
  <c r="K1315" i="1"/>
  <c r="K740" i="1"/>
  <c r="K1071" i="1"/>
  <c r="K1699" i="1"/>
  <c r="K356" i="1"/>
  <c r="K587" i="1"/>
  <c r="K297" i="1"/>
  <c r="K269" i="1"/>
  <c r="K1272" i="1"/>
  <c r="K1661" i="1"/>
  <c r="K788" i="1"/>
  <c r="K1246" i="1"/>
  <c r="K281" i="1"/>
  <c r="K1043" i="1"/>
  <c r="K155" i="1"/>
  <c r="K20" i="1"/>
  <c r="K955" i="1"/>
  <c r="K363" i="1"/>
  <c r="K382" i="1"/>
  <c r="K405" i="1"/>
  <c r="K1588" i="1"/>
  <c r="K1646" i="1"/>
  <c r="K1460" i="1"/>
  <c r="K1355" i="1"/>
  <c r="K958" i="1"/>
  <c r="K648" i="1"/>
  <c r="K566" i="1"/>
  <c r="K526" i="1"/>
  <c r="K322" i="1"/>
  <c r="K975" i="1"/>
  <c r="K570" i="1"/>
  <c r="K88" i="1"/>
  <c r="K797" i="1"/>
  <c r="K1677" i="1"/>
  <c r="K525" i="1"/>
  <c r="K1665" i="1"/>
  <c r="K107" i="1"/>
  <c r="K323" i="1"/>
  <c r="K1678" i="1"/>
  <c r="K59" i="1"/>
  <c r="K762" i="1"/>
  <c r="K330" i="1"/>
  <c r="K1153" i="1"/>
  <c r="K1118" i="1"/>
  <c r="K409" i="1"/>
  <c r="K936" i="1"/>
  <c r="K760" i="1"/>
  <c r="K758" i="1"/>
  <c r="K651" i="1"/>
  <c r="K1476" i="1"/>
  <c r="K1079" i="1"/>
  <c r="K1513" i="1"/>
  <c r="K1520" i="1"/>
  <c r="K913" i="1"/>
  <c r="K891" i="1"/>
  <c r="K1547" i="1"/>
  <c r="K1121" i="1"/>
  <c r="K1231" i="1"/>
  <c r="K601" i="1"/>
  <c r="K612" i="1"/>
  <c r="K614" i="1"/>
  <c r="K413" i="1"/>
  <c r="K549" i="1"/>
  <c r="K215" i="1"/>
  <c r="K1696" i="1"/>
  <c r="K1169" i="1"/>
  <c r="K131" i="1"/>
  <c r="K989" i="1"/>
  <c r="K243" i="1"/>
  <c r="K591" i="1"/>
  <c r="K752" i="1"/>
  <c r="K688" i="1"/>
  <c r="K1603" i="1"/>
  <c r="K436" i="1"/>
  <c r="K890" i="1"/>
  <c r="K494" i="1"/>
  <c r="K1202" i="1"/>
  <c r="K710" i="1"/>
  <c r="K1081" i="1"/>
  <c r="K497" i="1"/>
  <c r="K1605" i="1"/>
  <c r="K1702" i="1"/>
  <c r="K1305" i="1"/>
  <c r="K484" i="1"/>
  <c r="K161" i="1"/>
  <c r="K486" i="1"/>
  <c r="K1515" i="1"/>
  <c r="K207" i="1"/>
  <c r="K509" i="1"/>
  <c r="K54" i="1"/>
  <c r="K290" i="1"/>
  <c r="K938" i="1"/>
  <c r="K815" i="1"/>
  <c r="K1044" i="1"/>
  <c r="K1170" i="1"/>
  <c r="K964" i="1"/>
  <c r="K1426" i="1"/>
  <c r="K291" i="1"/>
  <c r="K500" i="1"/>
  <c r="K543" i="1"/>
  <c r="K271" i="1"/>
  <c r="K693" i="1"/>
  <c r="K1458" i="1"/>
  <c r="K1448" i="1"/>
  <c r="K1447" i="1"/>
  <c r="K1629" i="1"/>
  <c r="K637" i="1"/>
  <c r="K482" i="1"/>
  <c r="K1180" i="1"/>
  <c r="K1195" i="1"/>
  <c r="K1563" i="1"/>
  <c r="K140" i="1"/>
  <c r="K1194" i="1"/>
  <c r="K138" i="1"/>
  <c r="K1552" i="1"/>
  <c r="K1505" i="1"/>
  <c r="K1306" i="1"/>
  <c r="K1319" i="1"/>
  <c r="K1288" i="1"/>
  <c r="K46" i="1"/>
  <c r="K164" i="1"/>
  <c r="K41" i="1"/>
  <c r="K1707" i="1"/>
  <c r="K48" i="1"/>
  <c r="K202" i="1"/>
  <c r="K1335" i="1"/>
  <c r="K1155" i="1"/>
  <c r="K1708" i="1"/>
  <c r="K168" i="1"/>
  <c r="K347" i="1"/>
  <c r="K560" i="1"/>
  <c r="K1657" i="1"/>
  <c r="K1313" i="1"/>
  <c r="K298" i="1"/>
  <c r="K158" i="1"/>
  <c r="K1586" i="1"/>
  <c r="K392" i="1"/>
  <c r="K1102" i="1"/>
  <c r="K147" i="1"/>
  <c r="K1717" i="1"/>
  <c r="K1376" i="1"/>
  <c r="K4" i="1"/>
  <c r="K1360" i="1"/>
  <c r="K1083" i="1"/>
  <c r="K276" i="1"/>
  <c r="K149" i="1"/>
  <c r="K465" i="1"/>
  <c r="K279" i="1"/>
  <c r="K632" i="1"/>
  <c r="K944" i="1"/>
  <c r="K947" i="1"/>
  <c r="K918" i="1"/>
  <c r="K1478" i="1"/>
  <c r="K919" i="1"/>
  <c r="K1377" i="1"/>
  <c r="K1472" i="1"/>
  <c r="K1723" i="1"/>
  <c r="K1693" i="1"/>
  <c r="K1009" i="1"/>
  <c r="K338" i="1"/>
  <c r="K640" i="1"/>
  <c r="K148" i="1"/>
  <c r="K203" i="1"/>
  <c r="K555" i="1"/>
  <c r="K1064" i="1"/>
  <c r="K585" i="1"/>
  <c r="K133" i="1"/>
  <c r="K1144" i="1"/>
  <c r="K1065" i="1"/>
  <c r="K1506" i="1"/>
  <c r="K317" i="1"/>
  <c r="K141" i="1"/>
  <c r="K1263" i="1"/>
  <c r="K589" i="1"/>
  <c r="K1499" i="1"/>
  <c r="K999" i="1"/>
  <c r="K1268" i="1"/>
  <c r="K280" i="1"/>
  <c r="K310" i="1"/>
  <c r="K460" i="1"/>
  <c r="K345" i="1"/>
  <c r="K239" i="1"/>
  <c r="K1270" i="1"/>
  <c r="K348" i="1"/>
  <c r="K282" i="1"/>
  <c r="K264" i="1"/>
  <c r="K229" i="1"/>
  <c r="K237" i="1"/>
  <c r="K1146" i="1"/>
  <c r="K226" i="1"/>
  <c r="K311" i="1"/>
  <c r="K457" i="1"/>
  <c r="K217" i="1"/>
  <c r="K1658" i="1"/>
  <c r="K349" i="1"/>
  <c r="K142" i="1"/>
  <c r="K1031" i="1"/>
  <c r="K1427" i="1"/>
  <c r="K619" i="1"/>
  <c r="K993" i="1"/>
  <c r="K1030" i="1"/>
  <c r="K1311" i="1"/>
  <c r="K11" i="1"/>
  <c r="K267" i="1"/>
  <c r="K1269" i="1"/>
  <c r="K346" i="1"/>
  <c r="K961" i="1"/>
  <c r="K1312" i="1"/>
  <c r="K470" i="1"/>
  <c r="K1683" i="1"/>
  <c r="K1117" i="1"/>
  <c r="K687" i="1"/>
  <c r="K1574" i="1"/>
  <c r="K990" i="1"/>
  <c r="K299" i="1"/>
  <c r="K134" i="1"/>
  <c r="K943" i="1"/>
  <c r="K1435" i="1"/>
  <c r="K1500" i="1"/>
  <c r="K1032" i="1"/>
  <c r="K827" i="1"/>
  <c r="K110" i="1"/>
  <c r="K458" i="1"/>
  <c r="K1521" i="1"/>
  <c r="K1028" i="1"/>
  <c r="K1321" i="1"/>
  <c r="K1488" i="1"/>
  <c r="K146" i="1"/>
  <c r="K588" i="1"/>
  <c r="K1280" i="1"/>
  <c r="K341" i="1"/>
  <c r="K1724" i="1"/>
  <c r="K1725" i="1"/>
  <c r="K826" i="1"/>
  <c r="K988" i="1"/>
  <c r="K796" i="1"/>
  <c r="K915" i="1"/>
  <c r="K966" i="1"/>
  <c r="K810" i="1"/>
  <c r="K1141" i="1"/>
  <c r="K1273" i="1"/>
  <c r="K622" i="1"/>
  <c r="K475" i="1"/>
  <c r="K895" i="1"/>
  <c r="K1197" i="1"/>
  <c r="K573" i="1"/>
  <c r="K1006" i="1"/>
  <c r="K178" i="1"/>
  <c r="K292" i="1"/>
  <c r="K803" i="1"/>
  <c r="K1557" i="1"/>
  <c r="K804" i="1"/>
  <c r="K805" i="1"/>
  <c r="K1558" i="1"/>
  <c r="K66" i="1"/>
  <c r="K1718" i="1"/>
  <c r="K635" i="1"/>
  <c r="K722" i="1"/>
  <c r="K1577" i="1"/>
  <c r="K1578" i="1"/>
  <c r="K1721" i="1"/>
  <c r="K1575" i="1"/>
  <c r="K973" i="1"/>
  <c r="K1351" i="1"/>
  <c r="K1166" i="1"/>
  <c r="K477" i="1"/>
  <c r="K495" i="1"/>
  <c r="K1485" i="1"/>
  <c r="K1566" i="1"/>
  <c r="K336" i="1"/>
  <c r="K516" i="1"/>
  <c r="K677" i="1"/>
  <c r="K624" i="1"/>
  <c r="K801" i="1"/>
  <c r="K1705" i="1"/>
  <c r="K212" i="1"/>
  <c r="K1249" i="1"/>
  <c r="K1345" i="1"/>
  <c r="K638" i="1"/>
  <c r="K529" i="1"/>
  <c r="K984" i="1"/>
  <c r="K233" i="1"/>
  <c r="K1687" i="1"/>
  <c r="K1104" i="1"/>
  <c r="K300" i="1"/>
  <c r="K199" i="1"/>
  <c r="K1431" i="1"/>
  <c r="K1034" i="1"/>
  <c r="K807" i="1"/>
  <c r="K896" i="1"/>
  <c r="K170" i="1"/>
  <c r="K1314" i="1"/>
  <c r="K865" i="1"/>
  <c r="K1546" i="1"/>
  <c r="K224" i="1"/>
  <c r="K1171" i="1"/>
  <c r="K940" i="1"/>
  <c r="K1685" i="1"/>
  <c r="K1534" i="1"/>
  <c r="K115" i="1"/>
  <c r="K1088" i="1"/>
  <c r="K600" i="1"/>
  <c r="K808" i="1"/>
  <c r="K934" i="1"/>
  <c r="K881" i="1"/>
  <c r="K953" i="1"/>
  <c r="K634" i="1"/>
  <c r="K899" i="1"/>
  <c r="K466" i="1"/>
  <c r="K759" i="1"/>
  <c r="K592" i="1"/>
  <c r="K124" i="1"/>
  <c r="K1452" i="1"/>
  <c r="K774" i="1"/>
  <c r="K518" i="1"/>
  <c r="K244" i="1"/>
  <c r="K1206" i="1"/>
  <c r="K1289" i="1"/>
  <c r="K1637" i="1"/>
  <c r="K248" i="1"/>
  <c r="K630" i="1"/>
  <c r="K253" i="1"/>
  <c r="K1181" i="1"/>
  <c r="K1353" i="1"/>
  <c r="K1710" i="1"/>
  <c r="K1439" i="1"/>
  <c r="K576" i="1"/>
  <c r="K251" i="1"/>
  <c r="K14" i="1"/>
  <c r="K430" i="1"/>
  <c r="K451" i="1"/>
  <c r="K661" i="1"/>
  <c r="K1659" i="1"/>
  <c r="K1385" i="1"/>
  <c r="K1161" i="1"/>
  <c r="K1159" i="1"/>
  <c r="K1410" i="1"/>
  <c r="K242" i="1"/>
  <c r="K13" i="1"/>
  <c r="K737" i="1"/>
  <c r="K1162" i="1"/>
  <c r="K1440" i="1"/>
  <c r="K922" i="1"/>
  <c r="K1264" i="1"/>
  <c r="K609" i="1"/>
  <c r="K583" i="1"/>
  <c r="K1691" i="1"/>
  <c r="K1182" i="1"/>
  <c r="K599" i="1"/>
  <c r="K965" i="1"/>
  <c r="K205" i="1"/>
  <c r="K1660" i="1"/>
  <c r="K1271" i="1"/>
  <c r="K252" i="1"/>
  <c r="K741" i="1"/>
  <c r="K1559" i="1"/>
  <c r="K116" i="1"/>
  <c r="K121" i="1"/>
  <c r="K751" i="1"/>
  <c r="K1122" i="1"/>
  <c r="K967" i="1"/>
  <c r="K1388" i="1"/>
  <c r="K1127" i="1"/>
  <c r="K399" i="1"/>
  <c r="K400" i="1"/>
  <c r="K690" i="1"/>
  <c r="K1473" i="1"/>
  <c r="K179" i="1"/>
  <c r="K1296" i="1"/>
  <c r="K1542" i="1"/>
  <c r="K1254" i="1"/>
  <c r="K461" i="1"/>
  <c r="K455" i="1"/>
  <c r="K1569" i="1"/>
  <c r="K456" i="1"/>
  <c r="K1568" i="1"/>
  <c r="K55" i="1"/>
  <c r="K1621" i="1"/>
  <c r="K633" i="1"/>
  <c r="K1392" i="1"/>
  <c r="K1438" i="1"/>
  <c r="K1674" i="1"/>
  <c r="K1123" i="1"/>
  <c r="K476" i="1"/>
  <c r="K1531" i="1"/>
  <c r="K1597" i="1"/>
  <c r="K554" i="1"/>
  <c r="K327" i="1"/>
  <c r="K312" i="1"/>
  <c r="K352" i="1"/>
  <c r="K1593" i="1"/>
  <c r="K354" i="1"/>
  <c r="K1423" i="1"/>
  <c r="K301" i="1"/>
  <c r="K1090" i="1"/>
  <c r="K930" i="1"/>
  <c r="K1647" i="1"/>
  <c r="K942" i="1"/>
  <c r="K969" i="1"/>
  <c r="K824" i="1"/>
  <c r="K1497" i="1"/>
  <c r="K1503" i="1"/>
  <c r="K72" i="1"/>
  <c r="K514" i="1"/>
  <c r="K1666" i="1"/>
  <c r="K1142" i="1"/>
  <c r="K505" i="1"/>
  <c r="K1349" i="1"/>
  <c r="K662" i="1"/>
  <c r="K1347" i="1"/>
  <c r="K1286" i="1"/>
  <c r="K1639" i="1"/>
  <c r="K1143" i="1"/>
  <c r="K473" i="1"/>
  <c r="K1536" i="1"/>
  <c r="K31" i="1"/>
  <c r="K1382" i="1"/>
  <c r="K479" i="1"/>
  <c r="K1214" i="1"/>
  <c r="K1216" i="1"/>
  <c r="K1215" i="1"/>
  <c r="K732" i="1"/>
  <c r="K1494" i="1"/>
  <c r="K863" i="1"/>
  <c r="K789" i="1"/>
  <c r="K1571" i="1"/>
  <c r="K1091" i="1"/>
  <c r="K1402" i="1"/>
  <c r="K735" i="1"/>
  <c r="K1556" i="1"/>
  <c r="K1236" i="1"/>
  <c r="K1618" i="1"/>
  <c r="K1337" i="1"/>
  <c r="K876" i="1"/>
  <c r="K785" i="1"/>
  <c r="K99" i="1"/>
  <c r="K117" i="1"/>
  <c r="K1620" i="1"/>
  <c r="K1098" i="1"/>
  <c r="K214" i="1"/>
  <c r="K593" i="1"/>
  <c r="K467" i="1"/>
  <c r="K30" i="1"/>
  <c r="K227" i="1"/>
  <c r="K459" i="1"/>
  <c r="K6" i="1"/>
  <c r="K770" i="1"/>
  <c r="K763" i="1"/>
  <c r="K1634" i="1"/>
  <c r="K1101" i="1"/>
  <c r="K480" i="1"/>
  <c r="K925" i="1"/>
  <c r="K1350" i="1"/>
  <c r="K222" i="1"/>
  <c r="K654" i="1"/>
  <c r="K83" i="1"/>
  <c r="K639" i="1"/>
  <c r="K1407" i="1"/>
  <c r="K424" i="1"/>
  <c r="K446" i="1"/>
  <c r="K655" i="1"/>
  <c r="K29" i="1"/>
  <c r="K1428" i="1"/>
  <c r="K866" i="1"/>
  <c r="K563" i="1"/>
  <c r="K517" i="1"/>
  <c r="K625" i="1"/>
  <c r="K492" i="1"/>
  <c r="K21" i="1"/>
  <c r="K590" i="1"/>
  <c r="K1244" i="1"/>
  <c r="K879" i="1"/>
  <c r="K1635" i="1"/>
  <c r="K1177" i="1"/>
  <c r="K916" i="1"/>
  <c r="K1192" i="1"/>
  <c r="K997" i="1"/>
  <c r="K1188" i="1"/>
  <c r="K1004" i="1"/>
  <c r="K118" i="1"/>
  <c r="K328" i="1"/>
  <c r="K1662" i="1"/>
  <c r="K172" i="1"/>
  <c r="K1684" i="1"/>
  <c r="K1137" i="1"/>
  <c r="K261" i="1"/>
  <c r="K1466" i="1"/>
  <c r="K1061" i="1"/>
  <c r="K1193" i="1"/>
  <c r="K972" i="1"/>
  <c r="K1672" i="1"/>
  <c r="K447" i="1"/>
  <c r="K1185" i="1"/>
  <c r="K1212" i="1"/>
  <c r="K1332" i="1"/>
  <c r="K1251" i="1"/>
  <c r="K411" i="1"/>
  <c r="K1346" i="1"/>
  <c r="K1179" i="1"/>
  <c r="K171" i="1"/>
  <c r="K1411" i="1"/>
  <c r="K326" i="1"/>
  <c r="K194" i="1"/>
  <c r="K195" i="1"/>
  <c r="K1400" i="1"/>
  <c r="K951" i="1"/>
  <c r="K1560" i="1"/>
  <c r="K1432" i="1"/>
  <c r="K302" i="1"/>
  <c r="K1025" i="1"/>
  <c r="K1005" i="1"/>
  <c r="K1113" i="1"/>
  <c r="K163" i="1"/>
  <c r="K1709" i="1"/>
  <c r="K1713" i="1"/>
  <c r="K1712" i="1"/>
  <c r="K245" i="1"/>
  <c r="K903" i="1"/>
  <c r="K1539" i="1"/>
  <c r="K1132" i="1"/>
  <c r="K1541" i="1"/>
  <c r="K1421" i="1"/>
  <c r="K1077" i="1"/>
  <c r="K892" i="1"/>
  <c r="K303" i="1"/>
  <c r="K1465" i="1"/>
  <c r="K1056" i="1"/>
  <c r="K1437" i="1"/>
  <c r="K304" i="1"/>
  <c r="K1058" i="1"/>
  <c r="K344" i="1"/>
  <c r="K878" i="1"/>
  <c r="K605" i="1"/>
  <c r="K779" i="1"/>
  <c r="K1265" i="1"/>
  <c r="K1628" i="1"/>
  <c r="K1000" i="1"/>
  <c r="K1395" i="1"/>
  <c r="K1103" i="1"/>
  <c r="K165" i="1"/>
  <c r="K357" i="1"/>
  <c r="K1443" i="1"/>
  <c r="K468" i="1"/>
  <c r="K73" i="1"/>
  <c r="K1408" i="1"/>
  <c r="K1561" i="1"/>
  <c r="K1711" i="1"/>
  <c r="K1014" i="1"/>
  <c r="K1199" i="1"/>
  <c r="K1610" i="1"/>
  <c r="K452" i="1"/>
  <c r="K1100" i="1"/>
  <c r="K1016" i="1"/>
  <c r="K524" i="1"/>
  <c r="K210" i="1"/>
  <c r="K1226" i="1"/>
  <c r="K1405" i="1"/>
  <c r="K305" i="1"/>
  <c r="K406" i="1"/>
  <c r="K1257" i="1"/>
  <c r="K1370" i="1"/>
  <c r="K414" i="1"/>
  <c r="K1092" i="1"/>
  <c r="K190" i="1"/>
  <c r="K1007" i="1"/>
  <c r="K182" i="1"/>
  <c r="K1562" i="1"/>
  <c r="K1010" i="1"/>
  <c r="K1714" i="1"/>
  <c r="K1015" i="1"/>
  <c r="K1489" i="1"/>
  <c r="K337" i="1"/>
  <c r="K1266" i="1"/>
  <c r="K1219" i="1"/>
  <c r="K694" i="1"/>
  <c r="K1221" i="1"/>
  <c r="K1184" i="1"/>
  <c r="K631" i="1"/>
  <c r="K1151" i="1"/>
  <c r="K289" i="1"/>
  <c r="K1253" i="1"/>
  <c r="K1642" i="1"/>
  <c r="K1218" i="1"/>
  <c r="K93" i="1"/>
  <c r="K225" i="1"/>
  <c r="K1641" i="1"/>
  <c r="K1130" i="1"/>
  <c r="K307" i="1"/>
  <c r="K1394" i="1"/>
  <c r="K956" i="1"/>
  <c r="K1250" i="1"/>
  <c r="K187" i="1"/>
  <c r="K957" i="1"/>
  <c r="K742" i="1"/>
  <c r="K531" i="1"/>
  <c r="K260" i="1"/>
  <c r="K1237" i="1"/>
  <c r="K1480" i="1"/>
  <c r="K1486" i="1"/>
  <c r="K1590" i="1"/>
  <c r="K1375" i="1"/>
  <c r="K167" i="1"/>
  <c r="K8" i="1"/>
  <c r="K572" i="1"/>
  <c r="K1107" i="1"/>
  <c r="K1003" i="1"/>
  <c r="K1352" i="1"/>
  <c r="K1136" i="1"/>
  <c r="K246" i="1"/>
  <c r="K435" i="1"/>
  <c r="K1045" i="1"/>
  <c r="K1093" i="1"/>
  <c r="K1630" i="1"/>
  <c r="K911" i="1"/>
  <c r="K933" i="1"/>
  <c r="K1631" i="1"/>
  <c r="K431" i="1"/>
  <c r="K1238" i="1"/>
  <c r="K127" i="1"/>
  <c r="K1688" i="1"/>
  <c r="K924" i="1"/>
  <c r="K764" i="1"/>
  <c r="K900" i="1"/>
  <c r="K1700" i="1"/>
  <c r="K907" i="1"/>
  <c r="K968" i="1"/>
  <c r="K9" i="1"/>
  <c r="K1464" i="1"/>
  <c r="K1412" i="1"/>
  <c r="K535" i="1"/>
  <c r="K1111" i="1"/>
  <c r="K534" i="1"/>
  <c r="K448" i="1"/>
  <c r="K1128" i="1"/>
  <c r="K1487" i="1"/>
  <c r="K1106" i="1"/>
  <c r="K904" i="1"/>
  <c r="K1441" i="1"/>
  <c r="K1599" i="1"/>
  <c r="K449" i="1"/>
  <c r="K444" i="1"/>
  <c r="K1300" i="1"/>
  <c r="K453" i="1"/>
  <c r="K611" i="1"/>
  <c r="K1461" i="1"/>
  <c r="K1483" i="1"/>
  <c r="K1673" i="1"/>
  <c r="K1686" i="1"/>
  <c r="K1474" i="1"/>
  <c r="K1371" i="1"/>
  <c r="K1198" i="1"/>
  <c r="K432" i="1"/>
  <c r="K1167" i="1"/>
  <c r="K1623" i="1"/>
  <c r="K1357" i="1"/>
  <c r="K994" i="1"/>
  <c r="K342" i="1"/>
  <c r="K1479" i="1"/>
  <c r="K343" i="1"/>
  <c r="K425" i="1"/>
  <c r="K678" i="1"/>
  <c r="K122" i="1"/>
  <c r="K818" i="1"/>
  <c r="K1053" i="1"/>
  <c r="K683" i="1"/>
  <c r="K114" i="1"/>
  <c r="K627" i="1"/>
  <c r="K1446" i="1"/>
  <c r="K1604" i="1"/>
  <c r="K47" i="1"/>
  <c r="K45" i="1"/>
  <c r="K1625" i="1"/>
  <c r="K923" i="1"/>
  <c r="K1325" i="1"/>
  <c r="K1018" i="1"/>
  <c r="K201" i="1"/>
  <c r="K1074" i="1"/>
  <c r="K1327" i="1"/>
  <c r="K893" i="1"/>
  <c r="K1068" i="1"/>
  <c r="K1242" i="1"/>
  <c r="K1239" i="1"/>
  <c r="K868" i="1"/>
  <c r="K977" i="1"/>
  <c r="K979" i="1"/>
  <c r="K980" i="1"/>
  <c r="K642" i="1"/>
  <c r="K636" i="1"/>
  <c r="K650" i="1"/>
  <c r="K1354" i="1"/>
  <c r="K1614" i="1"/>
  <c r="K948" i="1"/>
  <c r="K1134" i="1"/>
  <c r="K266" i="1"/>
  <c r="K1135" i="1"/>
  <c r="K1082" i="1"/>
  <c r="K745" i="1"/>
  <c r="K1227" i="1"/>
  <c r="K743" i="1"/>
  <c r="K1228" i="1"/>
  <c r="K119" i="1"/>
  <c r="K241" i="1"/>
  <c r="K316" i="1"/>
  <c r="K1570" i="1"/>
  <c r="K426" i="1"/>
  <c r="K129" i="1"/>
  <c r="K126" i="1"/>
  <c r="K1363" i="1"/>
  <c r="K1679" i="1"/>
  <c r="K1668" i="1"/>
  <c r="K765" i="1"/>
  <c r="K35" i="1"/>
  <c r="K1233" i="1"/>
  <c r="K189" i="1"/>
  <c r="K908" i="1"/>
  <c r="K188" i="1"/>
  <c r="K909" i="1"/>
  <c r="K1125" i="1"/>
  <c r="K750" i="1"/>
  <c r="K1467" i="1"/>
  <c r="K1398" i="1"/>
  <c r="K295" i="1"/>
  <c r="K191" i="1"/>
  <c r="K1172" i="1"/>
  <c r="K401" i="1"/>
  <c r="K523" i="1"/>
  <c r="K1498" i="1"/>
  <c r="K1445" i="1"/>
  <c r="K169" i="1"/>
  <c r="K219" i="1"/>
  <c r="K206" i="1"/>
  <c r="K696" i="1"/>
  <c r="K882" i="1"/>
  <c r="K777" i="1"/>
  <c r="K501" i="1"/>
  <c r="K1342" i="1"/>
  <c r="K784" i="1"/>
  <c r="K1301" i="1"/>
  <c r="K733" i="1"/>
  <c r="K1626" i="1"/>
  <c r="K1364" i="1"/>
  <c r="K1391" i="1"/>
  <c r="K1240" i="1"/>
  <c r="K1241" i="1"/>
  <c r="K1420" i="1"/>
  <c r="K478" i="1"/>
  <c r="K1338" i="1"/>
  <c r="K780" i="1"/>
  <c r="K1669" i="1"/>
  <c r="K89" i="1"/>
  <c r="K135" i="1"/>
  <c r="K1334" i="1"/>
  <c r="K695" i="1"/>
  <c r="K1189" i="1"/>
  <c r="K1173" i="1"/>
  <c r="K945" i="1"/>
  <c r="K817" i="1"/>
  <c r="K1243" i="1"/>
  <c r="K1158" i="1"/>
  <c r="K946" i="1"/>
  <c r="K1389" i="1"/>
  <c r="K1326" i="1"/>
  <c r="K921" i="1"/>
  <c r="K1380" i="1"/>
  <c r="K983" i="1"/>
  <c r="K1331" i="1"/>
  <c r="K981" i="1"/>
  <c r="K152" i="1"/>
  <c r="K287" i="1"/>
  <c r="K36" i="1"/>
  <c r="K1320" i="1"/>
  <c r="K1493" i="1"/>
  <c r="K1418" i="1"/>
  <c r="K1329" i="1"/>
  <c r="K1096" i="1"/>
  <c r="K626" i="1"/>
  <c r="K51" i="1"/>
  <c r="K1372" i="1"/>
  <c r="K1477" i="1"/>
  <c r="K679" i="1"/>
  <c r="K1149" i="1"/>
  <c r="K684" i="1"/>
  <c r="K680" i="1"/>
  <c r="K623" i="1"/>
  <c r="K1150" i="1"/>
  <c r="K1035" i="1"/>
  <c r="K1174" i="1"/>
  <c r="K1587" i="1"/>
  <c r="K1396" i="1"/>
  <c r="K1451" i="1"/>
  <c r="K1449" i="1"/>
  <c r="K196" i="1"/>
  <c r="K1609" i="1"/>
  <c r="K1328" i="1"/>
  <c r="K197" i="1"/>
  <c r="K200" i="1"/>
  <c r="K1175" i="1"/>
  <c r="K472" i="1"/>
  <c r="K1001" i="1"/>
  <c r="K1622" i="1"/>
  <c r="K1596" i="1"/>
  <c r="K26" i="1"/>
  <c r="K1535" i="1"/>
  <c r="K1532" i="1"/>
  <c r="K1330" i="1"/>
  <c r="K176" i="1"/>
  <c r="K422" i="1"/>
  <c r="K493" i="1"/>
  <c r="K681" i="1"/>
  <c r="K1533" i="1"/>
  <c r="K1615" i="1"/>
  <c r="K736" i="1"/>
  <c r="K334" i="1"/>
  <c r="K991" i="1"/>
  <c r="K982" i="1"/>
  <c r="K1613" i="1"/>
  <c r="K318" i="1"/>
  <c r="K1046" i="1"/>
  <c r="K313" i="1"/>
  <c r="K1063" i="1"/>
  <c r="K1157" i="1"/>
  <c r="K992" i="1"/>
  <c r="K867" i="1"/>
  <c r="K136" i="1"/>
  <c r="K204" i="1"/>
  <c r="K150" i="1"/>
  <c r="K928" i="1"/>
  <c r="K90" i="1"/>
  <c r="K125" i="1"/>
  <c r="K652" i="1"/>
  <c r="K427" i="1"/>
  <c r="K308" i="1"/>
  <c r="K1204" i="1"/>
  <c r="K1205" i="1"/>
  <c r="K428" i="1"/>
  <c r="K1719" i="1"/>
  <c r="K885" i="1"/>
  <c r="K1425" i="1"/>
  <c r="K1455" i="1"/>
  <c r="K174" i="1"/>
  <c r="K184" i="1"/>
  <c r="K1075" i="1"/>
  <c r="K1062" i="1"/>
  <c r="K1033" i="1"/>
  <c r="K1067" i="1"/>
  <c r="K38" i="1"/>
  <c r="K538" i="1"/>
  <c r="K404" i="1"/>
  <c r="K884" i="1"/>
  <c r="K151" i="1"/>
  <c r="K791" i="1"/>
  <c r="K1378" i="1"/>
  <c r="K440" i="1"/>
  <c r="K1591" i="1"/>
  <c r="K402" i="1"/>
  <c r="K380" i="1"/>
  <c r="K385" i="1"/>
  <c r="K802" i="1"/>
  <c r="K383" i="1"/>
  <c r="K1267" i="1"/>
  <c r="K94" i="1"/>
  <c r="K173" i="1"/>
  <c r="K423" i="1"/>
  <c r="K1409" i="1"/>
  <c r="K120" i="1"/>
  <c r="K1417" i="1"/>
  <c r="K886" i="1"/>
  <c r="K1208" i="1"/>
  <c r="K1416" i="1"/>
  <c r="K682" i="1"/>
  <c r="K429" i="1"/>
  <c r="K183" i="1"/>
  <c r="K95" i="1"/>
  <c r="K910" i="1"/>
  <c r="K645" i="1"/>
  <c r="K1373" i="1"/>
  <c r="K314" i="1"/>
  <c r="K153" i="1"/>
  <c r="K139" i="1"/>
  <c r="K1415" i="1"/>
  <c r="K877" i="1"/>
  <c r="K799" i="1"/>
  <c r="K971" i="1"/>
  <c r="K970" i="1"/>
  <c r="K315" i="1"/>
  <c r="K660" i="1"/>
  <c r="K644" i="1"/>
  <c r="K143" i="1"/>
  <c r="K137" i="1"/>
  <c r="K663" i="1"/>
  <c r="K1176" i="1"/>
  <c r="K154" i="1"/>
  <c r="K718" i="1"/>
  <c r="K720" i="1"/>
  <c r="K1383" i="1"/>
  <c r="K530" i="1"/>
  <c r="K532" i="1"/>
  <c r="K721" i="1"/>
  <c r="K438" i="1"/>
  <c r="K309" i="1"/>
  <c r="K98" i="1"/>
  <c r="K86" i="1"/>
  <c r="K1029" i="1"/>
  <c r="K1720" i="1"/>
  <c r="K42" i="1"/>
  <c r="K1580" i="1"/>
  <c r="K1581" i="1"/>
  <c r="K1585" i="1"/>
  <c r="K1582" i="1"/>
  <c r="K1583" i="1"/>
  <c r="K1584" i="1"/>
  <c r="K1576" i="1"/>
  <c r="K77" i="1"/>
  <c r="K157" i="1"/>
  <c r="K1070" i="1"/>
  <c r="K3" i="1"/>
  <c r="K506" i="1"/>
  <c r="K1422" i="1"/>
  <c r="K374" i="1"/>
  <c r="K294" i="1"/>
  <c r="K845" i="1"/>
  <c r="K1692" i="1"/>
  <c r="K858" i="1"/>
  <c r="K442" i="1"/>
  <c r="K513" i="1"/>
  <c r="K747" i="1"/>
  <c r="K1413" i="1"/>
  <c r="K702" i="1"/>
  <c r="K263" i="1"/>
  <c r="K880" i="1"/>
  <c r="K1343" i="1"/>
  <c r="K507" i="1"/>
  <c r="K700" i="1"/>
  <c r="K825" i="1"/>
  <c r="K855" i="1"/>
  <c r="K1047" i="1"/>
  <c r="K1457" i="1"/>
  <c r="K97" i="1"/>
  <c r="K1393" i="1"/>
  <c r="K1201" i="1"/>
  <c r="K897" i="1"/>
  <c r="K649" i="1"/>
  <c r="K61" i="1"/>
  <c r="K1653" i="1"/>
  <c r="K10" i="1"/>
  <c r="K78" i="1"/>
  <c r="K1275" i="1"/>
  <c r="K567" i="1"/>
  <c r="K872" i="1"/>
  <c r="K91" i="1"/>
  <c r="K725" i="1"/>
  <c r="K715" i="1"/>
  <c r="K711" i="1"/>
  <c r="K673" i="1"/>
  <c r="K706" i="1"/>
  <c r="K364" i="1"/>
  <c r="K490" i="1"/>
  <c r="K708" i="1"/>
  <c r="K130" i="1"/>
  <c r="K365" i="1"/>
  <c r="K674" i="1"/>
  <c r="K1336" i="1"/>
  <c r="K1259" i="1"/>
  <c r="K235" i="1"/>
  <c r="K1112" i="1"/>
  <c r="K578" i="1"/>
  <c r="K579" i="1"/>
  <c r="K1217" i="1"/>
  <c r="K1469" i="1"/>
  <c r="K857" i="1"/>
  <c r="K1094" i="1"/>
  <c r="K1475" i="1"/>
  <c r="K1502" i="1"/>
  <c r="K1095" i="1"/>
  <c r="K1152" i="1"/>
  <c r="K864" i="1"/>
  <c r="K771" i="1"/>
  <c r="K1492" i="1"/>
  <c r="K814" i="1"/>
  <c r="K1406" i="1"/>
  <c r="K790" i="1"/>
  <c r="K1124" i="1"/>
  <c r="K598" i="1"/>
  <c r="K667" i="1"/>
  <c r="K450" i="1"/>
  <c r="K950" i="1"/>
  <c r="K520" i="1"/>
  <c r="K519" i="1"/>
  <c r="K1554" i="1"/>
  <c r="K1374" i="1"/>
  <c r="K835" i="1"/>
  <c r="K1138" i="1"/>
  <c r="K79" i="1"/>
  <c r="K1274" i="1"/>
  <c r="K80" i="1"/>
  <c r="K831" i="1"/>
  <c r="K156" i="1"/>
  <c r="K856" i="1"/>
  <c r="K846" i="1"/>
  <c r="K353" i="1"/>
  <c r="K355" i="1"/>
  <c r="K1290" i="1"/>
  <c r="K373" i="1"/>
  <c r="K574" i="1"/>
  <c r="K63" i="1"/>
  <c r="K1261" i="1"/>
  <c r="K64" i="1"/>
  <c r="K620" i="1"/>
  <c r="K615" i="1"/>
  <c r="K714" i="1"/>
  <c r="K25" i="1"/>
  <c r="K39" i="1"/>
  <c r="K571" i="1"/>
  <c r="K754" i="1"/>
  <c r="K724" i="1"/>
  <c r="K256" i="1"/>
  <c r="K376" i="1"/>
  <c r="K713" i="1"/>
  <c r="K221" i="1"/>
  <c r="K391" i="1"/>
  <c r="K393" i="1"/>
  <c r="K1200" i="1"/>
  <c r="K1454" i="1"/>
  <c r="K394" i="1"/>
  <c r="K417" i="1"/>
  <c r="K419" i="1"/>
  <c r="K717" i="1"/>
  <c r="K306" i="1"/>
  <c r="K34" i="1"/>
  <c r="K262" i="1"/>
  <c r="K671" i="1"/>
  <c r="K954" i="1"/>
  <c r="K1359" i="1"/>
  <c r="K366" i="1"/>
  <c r="K577" i="1"/>
  <c r="K541" i="1"/>
  <c r="K821" i="1"/>
  <c r="K1139" i="1"/>
  <c r="K1664" i="1"/>
  <c r="K71" i="1"/>
  <c r="K853" i="1"/>
  <c r="K778" i="1"/>
  <c r="K81" i="1"/>
  <c r="K108" i="1"/>
  <c r="K744" i="1"/>
  <c r="K553" i="1"/>
  <c r="K610" i="1"/>
  <c r="K565" i="1"/>
  <c r="K712" i="1"/>
  <c r="K1643" i="1"/>
  <c r="K1187" i="1"/>
  <c r="K914" i="1"/>
  <c r="K367" i="1"/>
  <c r="K1196" i="1"/>
  <c r="K753" i="1"/>
  <c r="K828" i="1"/>
  <c r="K502" i="1"/>
  <c r="K1048" i="1"/>
  <c r="K1020" i="1"/>
  <c r="K1019" i="1"/>
  <c r="K775" i="1"/>
  <c r="K82" i="1"/>
  <c r="K162" i="1"/>
  <c r="K561" i="1"/>
  <c r="K580" i="1"/>
  <c r="K368" i="1"/>
  <c r="K847" i="1"/>
  <c r="K247" i="1"/>
  <c r="K19" i="1"/>
  <c r="K848" i="1"/>
  <c r="K1553" i="1"/>
  <c r="K213" i="1"/>
  <c r="K1654" i="1"/>
  <c r="K216" i="1"/>
  <c r="K37" i="1"/>
  <c r="K1544" i="1"/>
  <c r="K756" i="1"/>
  <c r="K160" i="1"/>
  <c r="K1491" i="1"/>
  <c r="K109" i="1"/>
  <c r="K794" i="1"/>
  <c r="K859" i="1"/>
  <c r="K471" i="1"/>
  <c r="K369" i="1"/>
  <c r="K581" i="1"/>
  <c r="K557" i="1"/>
  <c r="K331" i="1"/>
  <c r="K653" i="1"/>
  <c r="K852" i="1"/>
  <c r="K727" i="1"/>
  <c r="K833" i="1"/>
  <c r="K28" i="1"/>
  <c r="K1594" i="1"/>
  <c r="K550" i="1"/>
  <c r="K377" i="1"/>
  <c r="K485" i="1"/>
  <c r="K27" i="1"/>
  <c r="K1602" i="1"/>
  <c r="K556" i="1"/>
  <c r="K800" i="1"/>
  <c r="K62" i="1"/>
  <c r="K559" i="1"/>
  <c r="K1291" i="1"/>
  <c r="K370" i="1"/>
  <c r="K1097" i="1"/>
  <c r="K670" i="1"/>
  <c r="K33" i="1"/>
  <c r="K1252" i="1"/>
  <c r="K375" i="1"/>
  <c r="K1690" i="1"/>
  <c r="K792" i="1"/>
  <c r="K1140" i="1"/>
  <c r="K85" i="1"/>
  <c r="K498" i="1"/>
  <c r="K939" i="1"/>
  <c r="K1307" i="1"/>
  <c r="K668" i="1"/>
  <c r="K883" i="1"/>
  <c r="K675" i="1"/>
  <c r="K621" i="1"/>
  <c r="K703" i="1"/>
  <c r="K699" i="1"/>
  <c r="K324" i="1"/>
  <c r="K1163" i="1"/>
  <c r="K806" i="1"/>
  <c r="K643" i="1"/>
  <c r="K351" i="1"/>
  <c r="K228" i="1"/>
  <c r="K469" i="1"/>
  <c r="K902" i="1"/>
  <c r="K1086" i="1"/>
  <c r="K489" i="1"/>
  <c r="K1704" i="1"/>
  <c r="K1514" i="1"/>
  <c r="K1344" i="1"/>
  <c r="K1073" i="1"/>
  <c r="K1572" i="1"/>
  <c r="K325" i="1"/>
  <c r="K1036" i="1"/>
  <c r="K1298" i="1"/>
  <c r="K1433" i="1"/>
  <c r="K1245" i="1"/>
  <c r="K755" i="1"/>
  <c r="K65" i="1"/>
  <c r="K1695" i="1"/>
  <c r="K209" i="1"/>
  <c r="K809" i="1"/>
  <c r="K862" i="1"/>
  <c r="K527" i="1"/>
  <c r="K7" i="1"/>
  <c r="K1211" i="1"/>
  <c r="K1190" i="1"/>
  <c r="K1258" i="1"/>
  <c r="K920" i="1"/>
  <c r="K834" i="1"/>
  <c r="K231" i="1"/>
  <c r="K57" i="1"/>
  <c r="K1213" i="1"/>
  <c r="K1084" i="1"/>
  <c r="K268" i="1"/>
  <c r="K499" i="1"/>
  <c r="K496" i="1"/>
  <c r="K927" i="1"/>
  <c r="K265" i="1"/>
  <c r="O616" i="1"/>
  <c r="O1255" i="1"/>
  <c r="O1154" i="1"/>
  <c r="O539" i="1"/>
  <c r="O434" i="1"/>
  <c r="O850" i="1"/>
  <c r="O1638" i="1"/>
  <c r="O258" i="1"/>
  <c r="O819" i="1"/>
  <c r="O1462" i="1"/>
  <c r="O996" i="1"/>
  <c r="O1247" i="1"/>
  <c r="O698" i="1"/>
  <c r="O1548" i="1"/>
  <c r="O192" i="1"/>
  <c r="O1119" i="1"/>
  <c r="O941" i="1"/>
  <c r="O511" i="1"/>
  <c r="O672" i="1"/>
  <c r="O1147" i="1"/>
  <c r="O665" i="1"/>
  <c r="O1617" i="1"/>
  <c r="O379" i="1"/>
  <c r="O462" i="1"/>
  <c r="O1277" i="1"/>
  <c r="O952" i="1"/>
  <c r="O1419" i="1"/>
  <c r="O418" i="1"/>
  <c r="O1640" i="1"/>
  <c r="O1178" i="1"/>
  <c r="O1524" i="1"/>
  <c r="O208" i="1"/>
  <c r="O1037" i="1"/>
  <c r="O658" i="1"/>
  <c r="O17" i="1"/>
  <c r="O100" i="1"/>
  <c r="O849" i="1"/>
  <c r="O1283" i="1"/>
  <c r="O1308" i="1"/>
  <c r="O481" i="1"/>
  <c r="O749" i="1"/>
  <c r="O397" i="1"/>
  <c r="O552" i="1"/>
  <c r="O1573" i="1"/>
  <c r="O1114" i="1"/>
  <c r="O278" i="1"/>
  <c r="O898" i="1"/>
  <c r="O728" i="1"/>
  <c r="O70" i="1"/>
  <c r="O874" i="1"/>
  <c r="O869" i="1"/>
  <c r="O723" i="1"/>
  <c r="O617" i="1"/>
  <c r="O793" i="1"/>
  <c r="O697" i="1"/>
  <c r="O707" i="1"/>
  <c r="O361" i="1"/>
  <c r="O504" i="1"/>
  <c r="O1667" i="1"/>
  <c r="O1470" i="1"/>
  <c r="O875" i="1"/>
  <c r="O873" i="1"/>
  <c r="O223" i="1"/>
  <c r="O812" i="1"/>
  <c r="O421" i="1"/>
  <c r="O288" i="1"/>
  <c r="O1367" i="1"/>
  <c r="O813" i="1"/>
  <c r="O1368" i="1"/>
  <c r="O1390" i="1"/>
  <c r="O748" i="1"/>
  <c r="O1348" i="1"/>
  <c r="O837" i="1"/>
  <c r="O816" i="1"/>
  <c r="O259" i="1"/>
  <c r="O1222" i="1"/>
  <c r="O240" i="1"/>
  <c r="O1203" i="1"/>
  <c r="O838" i="1"/>
  <c r="O1223" i="1"/>
  <c r="O628" i="1"/>
  <c r="O1229" i="1"/>
  <c r="O851" i="1"/>
  <c r="O358" i="1"/>
  <c r="O1224" i="1"/>
  <c r="O1054" i="1"/>
  <c r="O92" i="1"/>
  <c r="O463" i="1"/>
  <c r="O1225" i="1"/>
  <c r="O1651" i="1"/>
  <c r="O1681" i="1"/>
  <c r="O1650" i="1"/>
  <c r="O106" i="1"/>
  <c r="O870" i="1"/>
  <c r="O1471" i="1"/>
  <c r="O1463" i="1"/>
  <c r="O820" i="1"/>
  <c r="O387" i="1"/>
  <c r="O540" i="1"/>
  <c r="O1284" i="1"/>
  <c r="O657" i="1"/>
  <c r="O1021" i="1"/>
  <c r="O1026" i="1"/>
  <c r="O889" i="1"/>
  <c r="O1024" i="1"/>
  <c r="O522" i="1"/>
  <c r="O1436" i="1"/>
  <c r="O1434" i="1"/>
  <c r="O1023" i="1"/>
  <c r="O96" i="1"/>
  <c r="O274" i="1"/>
  <c r="O656" i="1"/>
  <c r="O823" i="1"/>
  <c r="O159" i="1"/>
  <c r="O508" i="1"/>
  <c r="O87" i="1"/>
  <c r="O689" i="1"/>
  <c r="O1038" i="1"/>
  <c r="O929" i="1"/>
  <c r="O1632" i="1"/>
  <c r="O403" i="1"/>
  <c r="O1453" i="1"/>
  <c r="O1444" i="1"/>
  <c r="O888" i="1"/>
  <c r="O1652" i="1"/>
  <c r="O420" i="1"/>
  <c r="O564" i="1"/>
  <c r="O503" i="1"/>
  <c r="O1358" i="1"/>
  <c r="O319" i="1"/>
  <c r="O1716" i="1"/>
  <c r="O1727" i="1"/>
  <c r="O1105" i="1"/>
  <c r="O1564" i="1"/>
  <c r="O685" i="1"/>
  <c r="O1059" i="1"/>
  <c r="O1072" i="1"/>
  <c r="O761" i="1"/>
  <c r="O512" i="1"/>
  <c r="O766" i="1"/>
  <c r="O716" i="1"/>
  <c r="O1675" i="1"/>
  <c r="O441" i="1"/>
  <c r="O491" i="1"/>
  <c r="O433" i="1"/>
  <c r="O350" i="1"/>
  <c r="O257" i="1"/>
  <c r="O1636" i="1"/>
  <c r="O1627" i="1"/>
  <c r="O533" i="1"/>
  <c r="O218" i="1"/>
  <c r="O1055" i="1"/>
  <c r="O1186" i="1"/>
  <c r="O1595" i="1"/>
  <c r="O1129" i="1"/>
  <c r="O177" i="1"/>
  <c r="O906" i="1"/>
  <c r="O659" i="1"/>
  <c r="O575" i="1"/>
  <c r="O861" i="1"/>
  <c r="O606" i="1"/>
  <c r="O283" i="1"/>
  <c r="O1551" i="1"/>
  <c r="O1039" i="1"/>
  <c r="O829" i="1"/>
  <c r="O1401" i="1"/>
  <c r="O1442" i="1"/>
  <c r="O464" i="1"/>
  <c r="O1429" i="1"/>
  <c r="O32" i="1"/>
  <c r="O1598" i="1"/>
  <c r="O1386" i="1"/>
  <c r="O1066" i="1"/>
  <c r="O16" i="1"/>
  <c r="O1592" i="1"/>
  <c r="O666" i="1"/>
  <c r="O175" i="1"/>
  <c r="O1087" i="1"/>
  <c r="O647" i="1"/>
  <c r="O1115" i="1"/>
  <c r="O738" i="1"/>
  <c r="O1210" i="1"/>
  <c r="O719" i="1"/>
  <c r="O1085" i="1"/>
  <c r="O963" i="1"/>
  <c r="O562" i="1"/>
  <c r="O234" i="1"/>
  <c r="O359" i="1"/>
  <c r="O798" i="1"/>
  <c r="O978" i="1"/>
  <c r="O959" i="1"/>
  <c r="O746" i="1"/>
  <c r="O390" i="1"/>
  <c r="O285" i="1"/>
  <c r="O277" i="1"/>
  <c r="O1645" i="1"/>
  <c r="O729" i="1"/>
  <c r="O1299" i="1"/>
  <c r="O1540" i="1"/>
  <c r="O396" i="1"/>
  <c r="O1644" i="1"/>
  <c r="O69" i="1"/>
  <c r="O272" i="1"/>
  <c r="O887" i="1"/>
  <c r="O332" i="1"/>
  <c r="O905" i="1"/>
  <c r="O270" i="1"/>
  <c r="O854" i="1"/>
  <c r="O528" i="1"/>
  <c r="O757" i="1"/>
  <c r="O1550" i="1"/>
  <c r="O949" i="1"/>
  <c r="O410" i="1"/>
  <c r="O1080" i="1"/>
  <c r="O795" i="1"/>
  <c r="O839" i="1"/>
  <c r="O254" i="1"/>
  <c r="O602" i="1"/>
  <c r="O416" i="1"/>
  <c r="O840" i="1"/>
  <c r="O603" i="1"/>
  <c r="O371" i="1"/>
  <c r="O1525" i="1"/>
  <c r="O1619" i="1"/>
  <c r="O1278" i="1"/>
  <c r="O381" i="1"/>
  <c r="O726" i="1"/>
  <c r="O986" i="1"/>
  <c r="O987" i="1"/>
  <c r="O1655" i="1"/>
  <c r="O841" i="1"/>
  <c r="O1133" i="1"/>
  <c r="O1324" i="1"/>
  <c r="O1207" i="1"/>
  <c r="O594" i="1"/>
  <c r="O1287" i="1"/>
  <c r="O1285" i="1"/>
  <c r="O53" i="1"/>
  <c r="O1220" i="1"/>
  <c r="O1365" i="1"/>
  <c r="O320" i="1"/>
  <c r="O1209" i="1"/>
  <c r="O1234" i="1"/>
  <c r="O1703" i="1"/>
  <c r="O230" i="1"/>
  <c r="O1316" i="1"/>
  <c r="O1323" i="1"/>
  <c r="O23" i="1"/>
  <c r="O286" i="1"/>
  <c r="O1322" i="1"/>
  <c r="O1256" i="1"/>
  <c r="O1309" i="1"/>
  <c r="O1120" i="1"/>
  <c r="O1340" i="1"/>
  <c r="O102" i="1"/>
  <c r="O976" i="1"/>
  <c r="O1126" i="1"/>
  <c r="O894" i="1"/>
  <c r="O544" i="1"/>
  <c r="O360" i="1"/>
  <c r="O646" i="1"/>
  <c r="O701" i="1"/>
  <c r="O1459" i="1"/>
  <c r="O871" i="1"/>
  <c r="O333" i="1"/>
  <c r="O22" i="1"/>
  <c r="O1230" i="1"/>
  <c r="O1060" i="1"/>
  <c r="O1069" i="1"/>
  <c r="O1040" i="1"/>
  <c r="O629" i="1"/>
  <c r="O1317" i="1"/>
  <c r="O372" i="1"/>
  <c r="O1543" i="1"/>
  <c r="O1555" i="1"/>
  <c r="O1002" i="1"/>
  <c r="O730" i="1"/>
  <c r="O1361" i="1"/>
  <c r="O547" i="1"/>
  <c r="O1049" i="1"/>
  <c r="O1339" i="1"/>
  <c r="O558" i="1"/>
  <c r="O1011" i="1"/>
  <c r="O1191" i="1"/>
  <c r="O1381" i="1"/>
  <c r="O1397" i="1"/>
  <c r="O101" i="1"/>
  <c r="O769" i="1"/>
  <c r="O60" i="1"/>
  <c r="O398" i="1"/>
  <c r="O378" i="1"/>
  <c r="O74" i="1"/>
  <c r="O75" i="1"/>
  <c r="O932" i="1"/>
  <c r="O193" i="1"/>
  <c r="O236" i="1"/>
  <c r="O1671" i="1"/>
  <c r="O1526" i="1"/>
  <c r="O232" i="1"/>
  <c r="O545" i="1"/>
  <c r="O2" i="1"/>
  <c r="O995" i="1"/>
  <c r="O1697" i="1"/>
  <c r="O1110" i="1"/>
  <c r="O568" i="1"/>
  <c r="O734" i="1"/>
  <c r="O275" i="1"/>
  <c r="O551" i="1"/>
  <c r="O811" i="1"/>
  <c r="O536" i="1"/>
  <c r="O1504" i="1"/>
  <c r="O596" i="1"/>
  <c r="O1726" i="1"/>
  <c r="O1527" i="1"/>
  <c r="O1694" i="1"/>
  <c r="O542" i="1"/>
  <c r="O1484" i="1"/>
  <c r="O1528" i="1"/>
  <c r="O198" i="1"/>
  <c r="O43" i="1"/>
  <c r="O842" i="1"/>
  <c r="O641" i="1"/>
  <c r="O1549" i="1"/>
  <c r="O822" i="1"/>
  <c r="O1310" i="1"/>
  <c r="O767" i="1"/>
  <c r="O739" i="1"/>
  <c r="O1051" i="1"/>
  <c r="O768" i="1"/>
  <c r="O1680" i="1"/>
  <c r="O483" i="1"/>
  <c r="O931" i="1"/>
  <c r="O781" i="1"/>
  <c r="O12" i="1"/>
  <c r="O1537" i="1"/>
  <c r="O437" i="1"/>
  <c r="O1362" i="1"/>
  <c r="O1606" i="1"/>
  <c r="O1607" i="1"/>
  <c r="O439" i="1"/>
  <c r="O1399" i="1"/>
  <c r="O782" i="1"/>
  <c r="O772" i="1"/>
  <c r="O1698" i="1"/>
  <c r="O1099" i="1"/>
  <c r="O1281" i="1"/>
  <c r="O608" i="1"/>
  <c r="O339" i="1"/>
  <c r="O335" i="1"/>
  <c r="O1276" i="1"/>
  <c r="O249" i="1"/>
  <c r="O113" i="1"/>
  <c r="O548" i="1"/>
  <c r="O1050" i="1"/>
  <c r="O1041" i="1"/>
  <c r="O515" i="1"/>
  <c r="O1017" i="1"/>
  <c r="O521" i="1"/>
  <c r="O1089" i="1"/>
  <c r="O1701" i="1"/>
  <c r="O1656" i="1"/>
  <c r="O912" i="1"/>
  <c r="O408" i="1"/>
  <c r="O1369" i="1"/>
  <c r="O1078" i="1"/>
  <c r="O362" i="1"/>
  <c r="O24" i="1"/>
  <c r="O1600" i="1"/>
  <c r="O58" i="1"/>
  <c r="O211" i="1"/>
  <c r="O1057" i="1"/>
  <c r="O18" i="1"/>
  <c r="O1052" i="1"/>
  <c r="O1168" i="1"/>
  <c r="O1633" i="1"/>
  <c r="O166" i="1"/>
  <c r="O1108" i="1"/>
  <c r="O917" i="1"/>
  <c r="O843" i="1"/>
  <c r="O1164" i="1"/>
  <c r="O985" i="1"/>
  <c r="O773" i="1"/>
  <c r="O860" i="1"/>
  <c r="O273" i="1"/>
  <c r="O1495" i="1"/>
  <c r="O844" i="1"/>
  <c r="O56" i="1"/>
  <c r="O104" i="1"/>
  <c r="O1235" i="1"/>
  <c r="O40" i="1"/>
  <c r="O1318" i="1"/>
  <c r="O1616" i="1"/>
  <c r="O49" i="1"/>
  <c r="O50" i="1"/>
  <c r="O669" i="1"/>
  <c r="O44" i="1"/>
  <c r="O783" i="1"/>
  <c r="O474" i="1"/>
  <c r="O998" i="1"/>
  <c r="O1430" i="1"/>
  <c r="O830" i="1"/>
  <c r="O1414" i="1"/>
  <c r="O607" i="1"/>
  <c r="O832" i="1"/>
  <c r="O776" i="1"/>
  <c r="O1022" i="1"/>
  <c r="O731" i="1"/>
  <c r="O705" i="1"/>
  <c r="O962" i="1"/>
  <c r="O1293" i="1"/>
  <c r="O238" i="1"/>
  <c r="O395" i="1"/>
  <c r="O1292" i="1"/>
  <c r="O67" i="1"/>
  <c r="O1279" i="1"/>
  <c r="O1042" i="1"/>
  <c r="O836" i="1"/>
  <c r="O582" i="1"/>
  <c r="O250" i="1"/>
  <c r="O1131" i="1"/>
  <c r="O1648" i="1"/>
  <c r="O1294" i="1"/>
  <c r="O293" i="1"/>
  <c r="O1384" i="1"/>
  <c r="O1649" i="1"/>
  <c r="O1260" i="1"/>
  <c r="O76" i="1"/>
  <c r="O1424" i="1"/>
  <c r="O1116" i="1"/>
  <c r="O1387" i="1"/>
  <c r="O185" i="1"/>
  <c r="O586" i="1"/>
  <c r="O103" i="1"/>
  <c r="O1303" i="1"/>
  <c r="O487" i="1"/>
  <c r="O691" i="1"/>
  <c r="O604" i="1"/>
  <c r="O686" i="1"/>
  <c r="O935" i="1"/>
  <c r="O296" i="1"/>
  <c r="O1481" i="1"/>
  <c r="O1109" i="1"/>
  <c r="O1262" i="1"/>
  <c r="O1545" i="1"/>
  <c r="O1589" i="1"/>
  <c r="O1304" i="1"/>
  <c r="O1508" i="1"/>
  <c r="O1579" i="1"/>
  <c r="O974" i="1"/>
  <c r="O613" i="1"/>
  <c r="O1715" i="1"/>
  <c r="O704" i="1"/>
  <c r="O105" i="1"/>
  <c r="O144" i="1"/>
  <c r="O384" i="1"/>
  <c r="O415" i="1"/>
  <c r="O1379" i="1"/>
  <c r="O1165" i="1"/>
  <c r="O937" i="1"/>
  <c r="O340" i="1"/>
  <c r="O510" i="1"/>
  <c r="O1682" i="1"/>
  <c r="O1356" i="1"/>
  <c r="O1341" i="1"/>
  <c r="O676" i="1"/>
  <c r="O321" i="1"/>
  <c r="O786" i="1"/>
  <c r="O546" i="1"/>
  <c r="O111" i="1"/>
  <c r="O1706" i="1"/>
  <c r="O52" i="1"/>
  <c r="O618" i="1"/>
  <c r="O1468" i="1"/>
  <c r="O84" i="1"/>
  <c r="O1456" i="1"/>
  <c r="O1490" i="1"/>
  <c r="O1507" i="1"/>
  <c r="O1027" i="1"/>
  <c r="O1509" i="1"/>
  <c r="O443" i="1"/>
  <c r="O454" i="1"/>
  <c r="O537" i="1"/>
  <c r="O5" i="1"/>
  <c r="O1156" i="1"/>
  <c r="O960" i="1"/>
  <c r="O412" i="1"/>
  <c r="O1611" i="1"/>
  <c r="O128" i="1"/>
  <c r="O664" i="1"/>
  <c r="O407" i="1"/>
  <c r="O1012" i="1"/>
  <c r="O1013" i="1"/>
  <c r="O1008" i="1"/>
  <c r="O1076" i="1"/>
  <c r="O1523" i="1"/>
  <c r="O220" i="1"/>
  <c r="O709" i="1"/>
  <c r="O186" i="1"/>
  <c r="O181" i="1"/>
  <c r="O255" i="1"/>
  <c r="O1295" i="1"/>
  <c r="O1624" i="1"/>
  <c r="O1522" i="1"/>
  <c r="O1302" i="1"/>
  <c r="O595" i="1"/>
  <c r="O1601" i="1"/>
  <c r="O112" i="1"/>
  <c r="O901" i="1"/>
  <c r="O1608" i="1"/>
  <c r="O1510" i="1"/>
  <c r="O1450" i="1"/>
  <c r="O1297" i="1"/>
  <c r="O488" i="1"/>
  <c r="O1689" i="1"/>
  <c r="O1248" i="1"/>
  <c r="O1404" i="1"/>
  <c r="O597" i="1"/>
  <c r="O1333" i="1"/>
  <c r="O1148" i="1"/>
  <c r="O569" i="1"/>
  <c r="O123" i="1"/>
  <c r="O1366" i="1"/>
  <c r="O1516" i="1"/>
  <c r="O1518" i="1"/>
  <c r="O1145" i="1"/>
  <c r="O1282" i="1"/>
  <c r="O1676" i="1"/>
  <c r="O145" i="1"/>
  <c r="O1511" i="1"/>
  <c r="O1512" i="1"/>
  <c r="O389" i="1"/>
  <c r="O386" i="1"/>
  <c r="O388" i="1"/>
  <c r="O1160" i="1"/>
  <c r="O584" i="1"/>
  <c r="O15" i="1"/>
  <c r="O180" i="1"/>
  <c r="O1670" i="1"/>
  <c r="O926" i="1"/>
  <c r="O1722" i="1"/>
  <c r="O284" i="1"/>
  <c r="O1517" i="1"/>
  <c r="O1538" i="1"/>
  <c r="O1183" i="1"/>
  <c r="O1612" i="1"/>
  <c r="O1529" i="1"/>
  <c r="O1403" i="1"/>
  <c r="O1519" i="1"/>
  <c r="O1530" i="1"/>
  <c r="O692" i="1"/>
  <c r="O329" i="1"/>
  <c r="O1232" i="1"/>
  <c r="O132" i="1"/>
  <c r="O1501" i="1"/>
  <c r="O1567" i="1"/>
  <c r="O1482" i="1"/>
  <c r="O1496" i="1"/>
  <c r="O68" i="1"/>
  <c r="O1663" i="1"/>
  <c r="O787" i="1"/>
  <c r="O445" i="1"/>
  <c r="O1565" i="1"/>
  <c r="O1315" i="1"/>
  <c r="O740" i="1"/>
  <c r="O1071" i="1"/>
  <c r="O1699" i="1"/>
  <c r="O356" i="1"/>
  <c r="O587" i="1"/>
  <c r="O297" i="1"/>
  <c r="O269" i="1"/>
  <c r="O1272" i="1"/>
  <c r="O1661" i="1"/>
  <c r="O788" i="1"/>
  <c r="O1246" i="1"/>
  <c r="O281" i="1"/>
  <c r="O1043" i="1"/>
  <c r="O155" i="1"/>
  <c r="O20" i="1"/>
  <c r="O955" i="1"/>
  <c r="O363" i="1"/>
  <c r="O382" i="1"/>
  <c r="O405" i="1"/>
  <c r="O1588" i="1"/>
  <c r="O1646" i="1"/>
  <c r="O1460" i="1"/>
  <c r="O1355" i="1"/>
  <c r="O958" i="1"/>
  <c r="O648" i="1"/>
  <c r="O566" i="1"/>
  <c r="O526" i="1"/>
  <c r="O322" i="1"/>
  <c r="O975" i="1"/>
  <c r="O570" i="1"/>
  <c r="O88" i="1"/>
  <c r="O797" i="1"/>
  <c r="O1677" i="1"/>
  <c r="O525" i="1"/>
  <c r="O1665" i="1"/>
  <c r="O107" i="1"/>
  <c r="O323" i="1"/>
  <c r="O1678" i="1"/>
  <c r="O59" i="1"/>
  <c r="O762" i="1"/>
  <c r="O330" i="1"/>
  <c r="O1153" i="1"/>
  <c r="O1118" i="1"/>
  <c r="O409" i="1"/>
  <c r="O936" i="1"/>
  <c r="O760" i="1"/>
  <c r="O758" i="1"/>
  <c r="O651" i="1"/>
  <c r="O1476" i="1"/>
  <c r="O1079" i="1"/>
  <c r="O1513" i="1"/>
  <c r="O1520" i="1"/>
  <c r="O913" i="1"/>
  <c r="O891" i="1"/>
  <c r="O1547" i="1"/>
  <c r="O1121" i="1"/>
  <c r="O1231" i="1"/>
  <c r="O601" i="1"/>
  <c r="O612" i="1"/>
  <c r="O614" i="1"/>
  <c r="O413" i="1"/>
  <c r="O549" i="1"/>
  <c r="O215" i="1"/>
  <c r="O1696" i="1"/>
  <c r="O1169" i="1"/>
  <c r="O131" i="1"/>
  <c r="O989" i="1"/>
  <c r="O243" i="1"/>
  <c r="O591" i="1"/>
  <c r="O752" i="1"/>
  <c r="O688" i="1"/>
  <c r="O1603" i="1"/>
  <c r="O436" i="1"/>
  <c r="O890" i="1"/>
  <c r="O494" i="1"/>
  <c r="O1202" i="1"/>
  <c r="O710" i="1"/>
  <c r="O1081" i="1"/>
  <c r="O497" i="1"/>
  <c r="O1605" i="1"/>
  <c r="O1702" i="1"/>
  <c r="O1305" i="1"/>
  <c r="O484" i="1"/>
  <c r="O161" i="1"/>
  <c r="O486" i="1"/>
  <c r="O1515" i="1"/>
  <c r="O207" i="1"/>
  <c r="O509" i="1"/>
  <c r="O54" i="1"/>
  <c r="O290" i="1"/>
  <c r="O938" i="1"/>
  <c r="O815" i="1"/>
  <c r="O1044" i="1"/>
  <c r="O1170" i="1"/>
  <c r="O964" i="1"/>
  <c r="O1426" i="1"/>
  <c r="O291" i="1"/>
  <c r="O500" i="1"/>
  <c r="O543" i="1"/>
  <c r="O271" i="1"/>
  <c r="O693" i="1"/>
  <c r="O1458" i="1"/>
  <c r="O1448" i="1"/>
  <c r="O1447" i="1"/>
  <c r="O1629" i="1"/>
  <c r="O637" i="1"/>
  <c r="O482" i="1"/>
  <c r="O1180" i="1"/>
  <c r="O1195" i="1"/>
  <c r="O1563" i="1"/>
  <c r="O140" i="1"/>
  <c r="O1194" i="1"/>
  <c r="O138" i="1"/>
  <c r="O1552" i="1"/>
  <c r="O1505" i="1"/>
  <c r="O1306" i="1"/>
  <c r="O1319" i="1"/>
  <c r="O1288" i="1"/>
  <c r="O46" i="1"/>
  <c r="O164" i="1"/>
  <c r="O41" i="1"/>
  <c r="O1707" i="1"/>
  <c r="O48" i="1"/>
  <c r="O202" i="1"/>
  <c r="O1335" i="1"/>
  <c r="O1155" i="1"/>
  <c r="O1708" i="1"/>
  <c r="O168" i="1"/>
  <c r="O347" i="1"/>
  <c r="O560" i="1"/>
  <c r="O1657" i="1"/>
  <c r="O1313" i="1"/>
  <c r="O298" i="1"/>
  <c r="O158" i="1"/>
  <c r="O1586" i="1"/>
  <c r="O392" i="1"/>
  <c r="O1102" i="1"/>
  <c r="O147" i="1"/>
  <c r="O1717" i="1"/>
  <c r="O1376" i="1"/>
  <c r="O4" i="1"/>
  <c r="O1360" i="1"/>
  <c r="O1083" i="1"/>
  <c r="O276" i="1"/>
  <c r="O149" i="1"/>
  <c r="O465" i="1"/>
  <c r="O279" i="1"/>
  <c r="O632" i="1"/>
  <c r="O944" i="1"/>
  <c r="O947" i="1"/>
  <c r="O918" i="1"/>
  <c r="O1478" i="1"/>
  <c r="O919" i="1"/>
  <c r="O1377" i="1"/>
  <c r="O1472" i="1"/>
  <c r="O1723" i="1"/>
  <c r="O1693" i="1"/>
  <c r="O1009" i="1"/>
  <c r="O338" i="1"/>
  <c r="O640" i="1"/>
  <c r="O148" i="1"/>
  <c r="O203" i="1"/>
  <c r="O555" i="1"/>
  <c r="O1064" i="1"/>
  <c r="O585" i="1"/>
  <c r="O133" i="1"/>
  <c r="O1144" i="1"/>
  <c r="O1065" i="1"/>
  <c r="O1506" i="1"/>
  <c r="O317" i="1"/>
  <c r="O141" i="1"/>
  <c r="O1263" i="1"/>
  <c r="O589" i="1"/>
  <c r="O1499" i="1"/>
  <c r="O999" i="1"/>
  <c r="O1268" i="1"/>
  <c r="O280" i="1"/>
  <c r="O310" i="1"/>
  <c r="O460" i="1"/>
  <c r="O345" i="1"/>
  <c r="O239" i="1"/>
  <c r="O1270" i="1"/>
  <c r="O348" i="1"/>
  <c r="O282" i="1"/>
  <c r="O264" i="1"/>
  <c r="O229" i="1"/>
  <c r="O237" i="1"/>
  <c r="O1146" i="1"/>
  <c r="O226" i="1"/>
  <c r="O311" i="1"/>
  <c r="O457" i="1"/>
  <c r="O217" i="1"/>
  <c r="O1658" i="1"/>
  <c r="O349" i="1"/>
  <c r="O142" i="1"/>
  <c r="O1031" i="1"/>
  <c r="O1427" i="1"/>
  <c r="O619" i="1"/>
  <c r="O993" i="1"/>
  <c r="O1030" i="1"/>
  <c r="O1311" i="1"/>
  <c r="O11" i="1"/>
  <c r="O267" i="1"/>
  <c r="O1269" i="1"/>
  <c r="O346" i="1"/>
  <c r="O961" i="1"/>
  <c r="O1312" i="1"/>
  <c r="O470" i="1"/>
  <c r="O1683" i="1"/>
  <c r="O1117" i="1"/>
  <c r="O687" i="1"/>
  <c r="O1574" i="1"/>
  <c r="O990" i="1"/>
  <c r="O299" i="1"/>
  <c r="O134" i="1"/>
  <c r="O943" i="1"/>
  <c r="O1435" i="1"/>
  <c r="O1500" i="1"/>
  <c r="O1032" i="1"/>
  <c r="O827" i="1"/>
  <c r="O110" i="1"/>
  <c r="O458" i="1"/>
  <c r="O1521" i="1"/>
  <c r="O1028" i="1"/>
  <c r="O1321" i="1"/>
  <c r="O1488" i="1"/>
  <c r="O146" i="1"/>
  <c r="O588" i="1"/>
  <c r="O1280" i="1"/>
  <c r="O341" i="1"/>
  <c r="O1724" i="1"/>
  <c r="O1725" i="1"/>
  <c r="O826" i="1"/>
  <c r="O988" i="1"/>
  <c r="O796" i="1"/>
  <c r="O915" i="1"/>
  <c r="O966" i="1"/>
  <c r="O810" i="1"/>
  <c r="O1141" i="1"/>
  <c r="O1273" i="1"/>
  <c r="O622" i="1"/>
  <c r="O475" i="1"/>
  <c r="O895" i="1"/>
  <c r="O1197" i="1"/>
  <c r="O573" i="1"/>
  <c r="O1006" i="1"/>
  <c r="O178" i="1"/>
  <c r="O292" i="1"/>
  <c r="O803" i="1"/>
  <c r="O1557" i="1"/>
  <c r="O804" i="1"/>
  <c r="O805" i="1"/>
  <c r="O1558" i="1"/>
  <c r="O66" i="1"/>
  <c r="O1718" i="1"/>
  <c r="O635" i="1"/>
  <c r="O722" i="1"/>
  <c r="O1577" i="1"/>
  <c r="O1578" i="1"/>
  <c r="O1721" i="1"/>
  <c r="O1575" i="1"/>
  <c r="O973" i="1"/>
  <c r="O1351" i="1"/>
  <c r="O1166" i="1"/>
  <c r="O477" i="1"/>
  <c r="O495" i="1"/>
  <c r="O1485" i="1"/>
  <c r="O1566" i="1"/>
  <c r="O336" i="1"/>
  <c r="O516" i="1"/>
  <c r="O677" i="1"/>
  <c r="O624" i="1"/>
  <c r="O801" i="1"/>
  <c r="O1705" i="1"/>
  <c r="O212" i="1"/>
  <c r="O1249" i="1"/>
  <c r="O1345" i="1"/>
  <c r="O638" i="1"/>
  <c r="O529" i="1"/>
  <c r="O984" i="1"/>
  <c r="O233" i="1"/>
  <c r="O1687" i="1"/>
  <c r="O1104" i="1"/>
  <c r="O300" i="1"/>
  <c r="O199" i="1"/>
  <c r="O1431" i="1"/>
  <c r="O1034" i="1"/>
  <c r="O807" i="1"/>
  <c r="O896" i="1"/>
  <c r="O170" i="1"/>
  <c r="O1314" i="1"/>
  <c r="O865" i="1"/>
  <c r="O1546" i="1"/>
  <c r="O224" i="1"/>
  <c r="O1171" i="1"/>
  <c r="O940" i="1"/>
  <c r="O1685" i="1"/>
  <c r="O1534" i="1"/>
  <c r="O115" i="1"/>
  <c r="O1088" i="1"/>
  <c r="O600" i="1"/>
  <c r="O808" i="1"/>
  <c r="O934" i="1"/>
  <c r="O881" i="1"/>
  <c r="O953" i="1"/>
  <c r="O634" i="1"/>
  <c r="O899" i="1"/>
  <c r="O466" i="1"/>
  <c r="O759" i="1"/>
  <c r="O592" i="1"/>
  <c r="O124" i="1"/>
  <c r="O1452" i="1"/>
  <c r="O774" i="1"/>
  <c r="O518" i="1"/>
  <c r="O244" i="1"/>
  <c r="O1206" i="1"/>
  <c r="O1289" i="1"/>
  <c r="O1637" i="1"/>
  <c r="O248" i="1"/>
  <c r="O630" i="1"/>
  <c r="O253" i="1"/>
  <c r="O1181" i="1"/>
  <c r="O1353" i="1"/>
  <c r="O1710" i="1"/>
  <c r="O1439" i="1"/>
  <c r="O576" i="1"/>
  <c r="O251" i="1"/>
  <c r="O14" i="1"/>
  <c r="O430" i="1"/>
  <c r="O451" i="1"/>
  <c r="O661" i="1"/>
  <c r="O1659" i="1"/>
  <c r="O1385" i="1"/>
  <c r="O1161" i="1"/>
  <c r="O1159" i="1"/>
  <c r="O1410" i="1"/>
  <c r="O242" i="1"/>
  <c r="O13" i="1"/>
  <c r="O737" i="1"/>
  <c r="O1162" i="1"/>
  <c r="O1440" i="1"/>
  <c r="O922" i="1"/>
  <c r="O1264" i="1"/>
  <c r="O609" i="1"/>
  <c r="O583" i="1"/>
  <c r="O1691" i="1"/>
  <c r="O1182" i="1"/>
  <c r="O599" i="1"/>
  <c r="O965" i="1"/>
  <c r="O205" i="1"/>
  <c r="O1660" i="1"/>
  <c r="O1271" i="1"/>
  <c r="O252" i="1"/>
  <c r="O741" i="1"/>
  <c r="O1559" i="1"/>
  <c r="O116" i="1"/>
  <c r="O121" i="1"/>
  <c r="O751" i="1"/>
  <c r="O1122" i="1"/>
  <c r="O967" i="1"/>
  <c r="O1388" i="1"/>
  <c r="O1127" i="1"/>
  <c r="O399" i="1"/>
  <c r="O400" i="1"/>
  <c r="O690" i="1"/>
  <c r="O1473" i="1"/>
  <c r="O179" i="1"/>
  <c r="O1296" i="1"/>
  <c r="O1542" i="1"/>
  <c r="O1254" i="1"/>
  <c r="O461" i="1"/>
  <c r="O455" i="1"/>
  <c r="O1569" i="1"/>
  <c r="O456" i="1"/>
  <c r="O1568" i="1"/>
  <c r="O55" i="1"/>
  <c r="O1621" i="1"/>
  <c r="O633" i="1"/>
  <c r="O1392" i="1"/>
  <c r="O1438" i="1"/>
  <c r="O1674" i="1"/>
  <c r="O1123" i="1"/>
  <c r="O476" i="1"/>
  <c r="O1531" i="1"/>
  <c r="O1597" i="1"/>
  <c r="O554" i="1"/>
  <c r="O327" i="1"/>
  <c r="O312" i="1"/>
  <c r="O352" i="1"/>
  <c r="O1593" i="1"/>
  <c r="O354" i="1"/>
  <c r="O1423" i="1"/>
  <c r="O301" i="1"/>
  <c r="O1090" i="1"/>
  <c r="O930" i="1"/>
  <c r="O1647" i="1"/>
  <c r="O942" i="1"/>
  <c r="O969" i="1"/>
  <c r="O824" i="1"/>
  <c r="O1497" i="1"/>
  <c r="O1503" i="1"/>
  <c r="O72" i="1"/>
  <c r="O514" i="1"/>
  <c r="O1666" i="1"/>
  <c r="O1142" i="1"/>
  <c r="O505" i="1"/>
  <c r="O1349" i="1"/>
  <c r="O662" i="1"/>
  <c r="O1347" i="1"/>
  <c r="O1286" i="1"/>
  <c r="O1639" i="1"/>
  <c r="O1143" i="1"/>
  <c r="O473" i="1"/>
  <c r="O1536" i="1"/>
  <c r="O31" i="1"/>
  <c r="O1382" i="1"/>
  <c r="O479" i="1"/>
  <c r="O1214" i="1"/>
  <c r="O1216" i="1"/>
  <c r="O1215" i="1"/>
  <c r="O732" i="1"/>
  <c r="O1494" i="1"/>
  <c r="O863" i="1"/>
  <c r="O789" i="1"/>
  <c r="O1571" i="1"/>
  <c r="O1091" i="1"/>
  <c r="O1402" i="1"/>
  <c r="O735" i="1"/>
  <c r="O1556" i="1"/>
  <c r="O1236" i="1"/>
  <c r="O1618" i="1"/>
  <c r="O1337" i="1"/>
  <c r="O876" i="1"/>
  <c r="O785" i="1"/>
  <c r="O99" i="1"/>
  <c r="O117" i="1"/>
  <c r="O1620" i="1"/>
  <c r="O1098" i="1"/>
  <c r="O214" i="1"/>
  <c r="O593" i="1"/>
  <c r="O467" i="1"/>
  <c r="O30" i="1"/>
  <c r="O227" i="1"/>
  <c r="O459" i="1"/>
  <c r="O6" i="1"/>
  <c r="O770" i="1"/>
  <c r="O763" i="1"/>
  <c r="O1634" i="1"/>
  <c r="O1101" i="1"/>
  <c r="O480" i="1"/>
  <c r="O925" i="1"/>
  <c r="O1350" i="1"/>
  <c r="O222" i="1"/>
  <c r="O654" i="1"/>
  <c r="O83" i="1"/>
  <c r="O639" i="1"/>
  <c r="O1407" i="1"/>
  <c r="O424" i="1"/>
  <c r="O446" i="1"/>
  <c r="O655" i="1"/>
  <c r="O29" i="1"/>
  <c r="O1428" i="1"/>
  <c r="O866" i="1"/>
  <c r="O563" i="1"/>
  <c r="O517" i="1"/>
  <c r="O625" i="1"/>
  <c r="O492" i="1"/>
  <c r="O21" i="1"/>
  <c r="O590" i="1"/>
  <c r="O1244" i="1"/>
  <c r="O879" i="1"/>
  <c r="O1635" i="1"/>
  <c r="O1177" i="1"/>
  <c r="O916" i="1"/>
  <c r="O1192" i="1"/>
  <c r="O997" i="1"/>
  <c r="O1188" i="1"/>
  <c r="O1004" i="1"/>
  <c r="O118" i="1"/>
  <c r="O328" i="1"/>
  <c r="O1662" i="1"/>
  <c r="O172" i="1"/>
  <c r="O1684" i="1"/>
  <c r="O1137" i="1"/>
  <c r="O261" i="1"/>
  <c r="O1466" i="1"/>
  <c r="O1061" i="1"/>
  <c r="O1193" i="1"/>
  <c r="O972" i="1"/>
  <c r="O1672" i="1"/>
  <c r="O447" i="1"/>
  <c r="O1185" i="1"/>
  <c r="O1212" i="1"/>
  <c r="O1332" i="1"/>
  <c r="O1251" i="1"/>
  <c r="O411" i="1"/>
  <c r="O1346" i="1"/>
  <c r="O1179" i="1"/>
  <c r="O171" i="1"/>
  <c r="O1411" i="1"/>
  <c r="O326" i="1"/>
  <c r="O194" i="1"/>
  <c r="O195" i="1"/>
  <c r="O1400" i="1"/>
  <c r="O951" i="1"/>
  <c r="O1560" i="1"/>
  <c r="O1432" i="1"/>
  <c r="O302" i="1"/>
  <c r="O1025" i="1"/>
  <c r="O1005" i="1"/>
  <c r="O1113" i="1"/>
  <c r="O163" i="1"/>
  <c r="O1709" i="1"/>
  <c r="O1713" i="1"/>
  <c r="O1712" i="1"/>
  <c r="O245" i="1"/>
  <c r="O903" i="1"/>
  <c r="O1539" i="1"/>
  <c r="O1132" i="1"/>
  <c r="O1541" i="1"/>
  <c r="O1421" i="1"/>
  <c r="O1077" i="1"/>
  <c r="O892" i="1"/>
  <c r="O303" i="1"/>
  <c r="O1465" i="1"/>
  <c r="O1056" i="1"/>
  <c r="O1437" i="1"/>
  <c r="O304" i="1"/>
  <c r="O1058" i="1"/>
  <c r="O344" i="1"/>
  <c r="O878" i="1"/>
  <c r="O605" i="1"/>
  <c r="O779" i="1"/>
  <c r="O1265" i="1"/>
  <c r="O1628" i="1"/>
  <c r="O1000" i="1"/>
  <c r="O1395" i="1"/>
  <c r="O1103" i="1"/>
  <c r="O165" i="1"/>
  <c r="O357" i="1"/>
  <c r="O1443" i="1"/>
  <c r="O468" i="1"/>
  <c r="O73" i="1"/>
  <c r="O1408" i="1"/>
  <c r="O1561" i="1"/>
  <c r="O1711" i="1"/>
  <c r="O1014" i="1"/>
  <c r="O1199" i="1"/>
  <c r="O1610" i="1"/>
  <c r="O452" i="1"/>
  <c r="O1100" i="1"/>
  <c r="O1016" i="1"/>
  <c r="O524" i="1"/>
  <c r="O210" i="1"/>
  <c r="O1226" i="1"/>
  <c r="O1405" i="1"/>
  <c r="O305" i="1"/>
  <c r="O406" i="1"/>
  <c r="O1257" i="1"/>
  <c r="O1370" i="1"/>
  <c r="O414" i="1"/>
  <c r="O1092" i="1"/>
  <c r="O190" i="1"/>
  <c r="O1007" i="1"/>
  <c r="O182" i="1"/>
  <c r="O1562" i="1"/>
  <c r="O1010" i="1"/>
  <c r="O1714" i="1"/>
  <c r="O1015" i="1"/>
  <c r="O1489" i="1"/>
  <c r="O337" i="1"/>
  <c r="O1266" i="1"/>
  <c r="O1219" i="1"/>
  <c r="O694" i="1"/>
  <c r="O1221" i="1"/>
  <c r="O1184" i="1"/>
  <c r="O631" i="1"/>
  <c r="O1151" i="1"/>
  <c r="O289" i="1"/>
  <c r="O1253" i="1"/>
  <c r="O1642" i="1"/>
  <c r="O1218" i="1"/>
  <c r="O93" i="1"/>
  <c r="O225" i="1"/>
  <c r="O1641" i="1"/>
  <c r="O1130" i="1"/>
  <c r="O307" i="1"/>
  <c r="O1394" i="1"/>
  <c r="O956" i="1"/>
  <c r="O1250" i="1"/>
  <c r="O187" i="1"/>
  <c r="O957" i="1"/>
  <c r="O742" i="1"/>
  <c r="O531" i="1"/>
  <c r="O260" i="1"/>
  <c r="O1237" i="1"/>
  <c r="O1480" i="1"/>
  <c r="O1486" i="1"/>
  <c r="O1590" i="1"/>
  <c r="O1375" i="1"/>
  <c r="O167" i="1"/>
  <c r="O8" i="1"/>
  <c r="O572" i="1"/>
  <c r="O1107" i="1"/>
  <c r="O1003" i="1"/>
  <c r="O1352" i="1"/>
  <c r="O1136" i="1"/>
  <c r="O246" i="1"/>
  <c r="O435" i="1"/>
  <c r="O1045" i="1"/>
  <c r="O1093" i="1"/>
  <c r="O1630" i="1"/>
  <c r="O911" i="1"/>
  <c r="O933" i="1"/>
  <c r="O1631" i="1"/>
  <c r="O431" i="1"/>
  <c r="O1238" i="1"/>
  <c r="O127" i="1"/>
  <c r="O1688" i="1"/>
  <c r="O924" i="1"/>
  <c r="O764" i="1"/>
  <c r="O900" i="1"/>
  <c r="O1700" i="1"/>
  <c r="O907" i="1"/>
  <c r="O968" i="1"/>
  <c r="O9" i="1"/>
  <c r="O1464" i="1"/>
  <c r="O1412" i="1"/>
  <c r="O535" i="1"/>
  <c r="O1111" i="1"/>
  <c r="O534" i="1"/>
  <c r="O448" i="1"/>
  <c r="O1128" i="1"/>
  <c r="O1487" i="1"/>
  <c r="O1106" i="1"/>
  <c r="O904" i="1"/>
  <c r="O1441" i="1"/>
  <c r="O1599" i="1"/>
  <c r="O449" i="1"/>
  <c r="O444" i="1"/>
  <c r="O1300" i="1"/>
  <c r="O453" i="1"/>
  <c r="O611" i="1"/>
  <c r="O1461" i="1"/>
  <c r="O1483" i="1"/>
  <c r="O1673" i="1"/>
  <c r="O1686" i="1"/>
  <c r="O1474" i="1"/>
  <c r="O1371" i="1"/>
  <c r="O1198" i="1"/>
  <c r="O432" i="1"/>
  <c r="O1167" i="1"/>
  <c r="O1623" i="1"/>
  <c r="O1357" i="1"/>
  <c r="O994" i="1"/>
  <c r="O342" i="1"/>
  <c r="O1479" i="1"/>
  <c r="O343" i="1"/>
  <c r="O425" i="1"/>
  <c r="O678" i="1"/>
  <c r="O122" i="1"/>
  <c r="O818" i="1"/>
  <c r="O1053" i="1"/>
  <c r="O683" i="1"/>
  <c r="O114" i="1"/>
  <c r="O627" i="1"/>
  <c r="O1446" i="1"/>
  <c r="O1604" i="1"/>
  <c r="O47" i="1"/>
  <c r="O45" i="1"/>
  <c r="O1625" i="1"/>
  <c r="O923" i="1"/>
  <c r="O1325" i="1"/>
  <c r="O1018" i="1"/>
  <c r="O201" i="1"/>
  <c r="O1074" i="1"/>
  <c r="O1327" i="1"/>
  <c r="O893" i="1"/>
  <c r="O1068" i="1"/>
  <c r="O1242" i="1"/>
  <c r="O1239" i="1"/>
  <c r="O868" i="1"/>
  <c r="O977" i="1"/>
  <c r="O979" i="1"/>
  <c r="O980" i="1"/>
  <c r="O642" i="1"/>
  <c r="O636" i="1"/>
  <c r="O650" i="1"/>
  <c r="O1354" i="1"/>
  <c r="O1614" i="1"/>
  <c r="O948" i="1"/>
  <c r="O1134" i="1"/>
  <c r="O266" i="1"/>
  <c r="O1135" i="1"/>
  <c r="O1082" i="1"/>
  <c r="O745" i="1"/>
  <c r="O1227" i="1"/>
  <c r="O743" i="1"/>
  <c r="O1228" i="1"/>
  <c r="O119" i="1"/>
  <c r="O241" i="1"/>
  <c r="O316" i="1"/>
  <c r="O1570" i="1"/>
  <c r="O426" i="1"/>
  <c r="O129" i="1"/>
  <c r="O126" i="1"/>
  <c r="O1363" i="1"/>
  <c r="O1679" i="1"/>
  <c r="O1668" i="1"/>
  <c r="O765" i="1"/>
  <c r="O35" i="1"/>
  <c r="O1233" i="1"/>
  <c r="O189" i="1"/>
  <c r="O908" i="1"/>
  <c r="O188" i="1"/>
  <c r="O909" i="1"/>
  <c r="O1125" i="1"/>
  <c r="O750" i="1"/>
  <c r="O1467" i="1"/>
  <c r="O1398" i="1"/>
  <c r="O295" i="1"/>
  <c r="O191" i="1"/>
  <c r="O1172" i="1"/>
  <c r="O401" i="1"/>
  <c r="O523" i="1"/>
  <c r="O1498" i="1"/>
  <c r="O1445" i="1"/>
  <c r="O169" i="1"/>
  <c r="O219" i="1"/>
  <c r="O206" i="1"/>
  <c r="O696" i="1"/>
  <c r="O882" i="1"/>
  <c r="O777" i="1"/>
  <c r="O501" i="1"/>
  <c r="O1342" i="1"/>
  <c r="O784" i="1"/>
  <c r="O1301" i="1"/>
  <c r="O733" i="1"/>
  <c r="O1626" i="1"/>
  <c r="O1364" i="1"/>
  <c r="O1391" i="1"/>
  <c r="O1240" i="1"/>
  <c r="O1241" i="1"/>
  <c r="O1420" i="1"/>
  <c r="O478" i="1"/>
  <c r="O1338" i="1"/>
  <c r="O780" i="1"/>
  <c r="O1669" i="1"/>
  <c r="O89" i="1"/>
  <c r="O135" i="1"/>
  <c r="O1334" i="1"/>
  <c r="O695" i="1"/>
  <c r="O1189" i="1"/>
  <c r="O1173" i="1"/>
  <c r="O945" i="1"/>
  <c r="O817" i="1"/>
  <c r="O1243" i="1"/>
  <c r="O1158" i="1"/>
  <c r="O946" i="1"/>
  <c r="O1389" i="1"/>
  <c r="O1326" i="1"/>
  <c r="O921" i="1"/>
  <c r="O1380" i="1"/>
  <c r="O983" i="1"/>
  <c r="O1331" i="1"/>
  <c r="O981" i="1"/>
  <c r="O152" i="1"/>
  <c r="O287" i="1"/>
  <c r="O36" i="1"/>
  <c r="O1320" i="1"/>
  <c r="O1493" i="1"/>
  <c r="O1418" i="1"/>
  <c r="O1329" i="1"/>
  <c r="O1096" i="1"/>
  <c r="O626" i="1"/>
  <c r="O51" i="1"/>
  <c r="O1372" i="1"/>
  <c r="O1477" i="1"/>
  <c r="O679" i="1"/>
  <c r="O1149" i="1"/>
  <c r="O684" i="1"/>
  <c r="O680" i="1"/>
  <c r="O623" i="1"/>
  <c r="O1150" i="1"/>
  <c r="O1035" i="1"/>
  <c r="O1174" i="1"/>
  <c r="O1587" i="1"/>
  <c r="O1396" i="1"/>
  <c r="O1451" i="1"/>
  <c r="O1449" i="1"/>
  <c r="O196" i="1"/>
  <c r="O1609" i="1"/>
  <c r="O1328" i="1"/>
  <c r="O197" i="1"/>
  <c r="O200" i="1"/>
  <c r="O1175" i="1"/>
  <c r="O472" i="1"/>
  <c r="O1001" i="1"/>
  <c r="O1622" i="1"/>
  <c r="O1596" i="1"/>
  <c r="O26" i="1"/>
  <c r="O1535" i="1"/>
  <c r="O1532" i="1"/>
  <c r="O1330" i="1"/>
  <c r="O176" i="1"/>
  <c r="O422" i="1"/>
  <c r="O493" i="1"/>
  <c r="O681" i="1"/>
  <c r="O1533" i="1"/>
  <c r="O1615" i="1"/>
  <c r="O736" i="1"/>
  <c r="O334" i="1"/>
  <c r="O991" i="1"/>
  <c r="O982" i="1"/>
  <c r="O1613" i="1"/>
  <c r="O318" i="1"/>
  <c r="O1046" i="1"/>
  <c r="O313" i="1"/>
  <c r="O1063" i="1"/>
  <c r="O1157" i="1"/>
  <c r="O992" i="1"/>
  <c r="O867" i="1"/>
  <c r="O136" i="1"/>
  <c r="O204" i="1"/>
  <c r="O150" i="1"/>
  <c r="O928" i="1"/>
  <c r="O90" i="1"/>
  <c r="O125" i="1"/>
  <c r="O652" i="1"/>
  <c r="O427" i="1"/>
  <c r="O308" i="1"/>
  <c r="O1204" i="1"/>
  <c r="O1205" i="1"/>
  <c r="O428" i="1"/>
  <c r="O1719" i="1"/>
  <c r="O885" i="1"/>
  <c r="O1425" i="1"/>
  <c r="O1455" i="1"/>
  <c r="O174" i="1"/>
  <c r="O184" i="1"/>
  <c r="O1075" i="1"/>
  <c r="O1062" i="1"/>
  <c r="O1033" i="1"/>
  <c r="O1067" i="1"/>
  <c r="O38" i="1"/>
  <c r="O538" i="1"/>
  <c r="O404" i="1"/>
  <c r="O884" i="1"/>
  <c r="O151" i="1"/>
  <c r="O791" i="1"/>
  <c r="O1378" i="1"/>
  <c r="O440" i="1"/>
  <c r="O1591" i="1"/>
  <c r="O402" i="1"/>
  <c r="O380" i="1"/>
  <c r="O385" i="1"/>
  <c r="O802" i="1"/>
  <c r="O383" i="1"/>
  <c r="O1267" i="1"/>
  <c r="O94" i="1"/>
  <c r="O173" i="1"/>
  <c r="O423" i="1"/>
  <c r="O1409" i="1"/>
  <c r="O120" i="1"/>
  <c r="O1417" i="1"/>
  <c r="O886" i="1"/>
  <c r="O1208" i="1"/>
  <c r="O1416" i="1"/>
  <c r="O682" i="1"/>
  <c r="O429" i="1"/>
  <c r="O183" i="1"/>
  <c r="O95" i="1"/>
  <c r="O910" i="1"/>
  <c r="O645" i="1"/>
  <c r="O1373" i="1"/>
  <c r="O314" i="1"/>
  <c r="O153" i="1"/>
  <c r="O139" i="1"/>
  <c r="O1415" i="1"/>
  <c r="O877" i="1"/>
  <c r="O799" i="1"/>
  <c r="O971" i="1"/>
  <c r="O970" i="1"/>
  <c r="O315" i="1"/>
  <c r="O660" i="1"/>
  <c r="O644" i="1"/>
  <c r="O143" i="1"/>
  <c r="O137" i="1"/>
  <c r="O663" i="1"/>
  <c r="O1176" i="1"/>
  <c r="O154" i="1"/>
  <c r="O718" i="1"/>
  <c r="O720" i="1"/>
  <c r="O1383" i="1"/>
  <c r="O530" i="1"/>
  <c r="O532" i="1"/>
  <c r="O721" i="1"/>
  <c r="O438" i="1"/>
  <c r="O309" i="1"/>
  <c r="O98" i="1"/>
  <c r="O86" i="1"/>
  <c r="O1029" i="1"/>
  <c r="O1720" i="1"/>
  <c r="O42" i="1"/>
  <c r="O1580" i="1"/>
  <c r="O1581" i="1"/>
  <c r="O1585" i="1"/>
  <c r="O1582" i="1"/>
  <c r="O1583" i="1"/>
  <c r="O1584" i="1"/>
  <c r="O1576" i="1"/>
  <c r="O77" i="1"/>
  <c r="O157" i="1"/>
  <c r="O1070" i="1"/>
  <c r="O3" i="1"/>
  <c r="O506" i="1"/>
  <c r="O1422" i="1"/>
  <c r="O374" i="1"/>
  <c r="O294" i="1"/>
  <c r="O845" i="1"/>
  <c r="O1692" i="1"/>
  <c r="O858" i="1"/>
  <c r="O442" i="1"/>
  <c r="O513" i="1"/>
  <c r="O747" i="1"/>
  <c r="O1413" i="1"/>
  <c r="O702" i="1"/>
  <c r="O263" i="1"/>
  <c r="O880" i="1"/>
  <c r="O1343" i="1"/>
  <c r="O507" i="1"/>
  <c r="O700" i="1"/>
  <c r="O825" i="1"/>
  <c r="O855" i="1"/>
  <c r="O1047" i="1"/>
  <c r="O1457" i="1"/>
  <c r="O97" i="1"/>
  <c r="O1393" i="1"/>
  <c r="O1201" i="1"/>
  <c r="O897" i="1"/>
  <c r="O649" i="1"/>
  <c r="O61" i="1"/>
  <c r="O1653" i="1"/>
  <c r="O10" i="1"/>
  <c r="O78" i="1"/>
  <c r="O1275" i="1"/>
  <c r="O567" i="1"/>
  <c r="O872" i="1"/>
  <c r="O91" i="1"/>
  <c r="O725" i="1"/>
  <c r="O715" i="1"/>
  <c r="O711" i="1"/>
  <c r="O673" i="1"/>
  <c r="O706" i="1"/>
  <c r="O364" i="1"/>
  <c r="O490" i="1"/>
  <c r="O708" i="1"/>
  <c r="O130" i="1"/>
  <c r="O365" i="1"/>
  <c r="O674" i="1"/>
  <c r="O1336" i="1"/>
  <c r="O1259" i="1"/>
  <c r="O235" i="1"/>
  <c r="O1112" i="1"/>
  <c r="O578" i="1"/>
  <c r="O579" i="1"/>
  <c r="O1217" i="1"/>
  <c r="O1469" i="1"/>
  <c r="O857" i="1"/>
  <c r="O1094" i="1"/>
  <c r="O1475" i="1"/>
  <c r="O1502" i="1"/>
  <c r="O1095" i="1"/>
  <c r="O1152" i="1"/>
  <c r="O864" i="1"/>
  <c r="O771" i="1"/>
  <c r="O1492" i="1"/>
  <c r="O814" i="1"/>
  <c r="O1406" i="1"/>
  <c r="O790" i="1"/>
  <c r="O1124" i="1"/>
  <c r="O598" i="1"/>
  <c r="O667" i="1"/>
  <c r="O450" i="1"/>
  <c r="O950" i="1"/>
  <c r="O520" i="1"/>
  <c r="O519" i="1"/>
  <c r="O1554" i="1"/>
  <c r="O1374" i="1"/>
  <c r="O835" i="1"/>
  <c r="O1138" i="1"/>
  <c r="O79" i="1"/>
  <c r="O1274" i="1"/>
  <c r="O80" i="1"/>
  <c r="O831" i="1"/>
  <c r="O156" i="1"/>
  <c r="O856" i="1"/>
  <c r="O846" i="1"/>
  <c r="O353" i="1"/>
  <c r="O355" i="1"/>
  <c r="O1290" i="1"/>
  <c r="O373" i="1"/>
  <c r="O574" i="1"/>
  <c r="O63" i="1"/>
  <c r="O1261" i="1"/>
  <c r="O64" i="1"/>
  <c r="O620" i="1"/>
  <c r="O615" i="1"/>
  <c r="O714" i="1"/>
  <c r="O25" i="1"/>
  <c r="O39" i="1"/>
  <c r="O571" i="1"/>
  <c r="O754" i="1"/>
  <c r="O724" i="1"/>
  <c r="O256" i="1"/>
  <c r="O376" i="1"/>
  <c r="O713" i="1"/>
  <c r="O221" i="1"/>
  <c r="O391" i="1"/>
  <c r="O393" i="1"/>
  <c r="O1200" i="1"/>
  <c r="O1454" i="1"/>
  <c r="O394" i="1"/>
  <c r="O417" i="1"/>
  <c r="O419" i="1"/>
  <c r="O717" i="1"/>
  <c r="O306" i="1"/>
  <c r="O34" i="1"/>
  <c r="O262" i="1"/>
  <c r="O671" i="1"/>
  <c r="O954" i="1"/>
  <c r="O1359" i="1"/>
  <c r="O366" i="1"/>
  <c r="O577" i="1"/>
  <c r="O541" i="1"/>
  <c r="O821" i="1"/>
  <c r="O1139" i="1"/>
  <c r="O1664" i="1"/>
  <c r="O71" i="1"/>
  <c r="O853" i="1"/>
  <c r="O778" i="1"/>
  <c r="O81" i="1"/>
  <c r="O108" i="1"/>
  <c r="O744" i="1"/>
  <c r="O553" i="1"/>
  <c r="O610" i="1"/>
  <c r="O565" i="1"/>
  <c r="O712" i="1"/>
  <c r="O1643" i="1"/>
  <c r="O1187" i="1"/>
  <c r="O914" i="1"/>
  <c r="O367" i="1"/>
  <c r="O1196" i="1"/>
  <c r="O753" i="1"/>
  <c r="O828" i="1"/>
  <c r="O502" i="1"/>
  <c r="O1048" i="1"/>
  <c r="O1020" i="1"/>
  <c r="O1019" i="1"/>
  <c r="O775" i="1"/>
  <c r="O82" i="1"/>
  <c r="O162" i="1"/>
  <c r="O561" i="1"/>
  <c r="O580" i="1"/>
  <c r="O368" i="1"/>
  <c r="O847" i="1"/>
  <c r="O247" i="1"/>
  <c r="O19" i="1"/>
  <c r="O848" i="1"/>
  <c r="O1553" i="1"/>
  <c r="O213" i="1"/>
  <c r="O1654" i="1"/>
  <c r="O216" i="1"/>
  <c r="O37" i="1"/>
  <c r="O1544" i="1"/>
  <c r="O756" i="1"/>
  <c r="O160" i="1"/>
  <c r="O1491" i="1"/>
  <c r="O109" i="1"/>
  <c r="O794" i="1"/>
  <c r="O859" i="1"/>
  <c r="O471" i="1"/>
  <c r="O369" i="1"/>
  <c r="O581" i="1"/>
  <c r="O557" i="1"/>
  <c r="O331" i="1"/>
  <c r="O653" i="1"/>
  <c r="O852" i="1"/>
  <c r="O727" i="1"/>
  <c r="O833" i="1"/>
  <c r="O28" i="1"/>
  <c r="O1594" i="1"/>
  <c r="O550" i="1"/>
  <c r="O377" i="1"/>
  <c r="O485" i="1"/>
  <c r="O27" i="1"/>
  <c r="O1602" i="1"/>
  <c r="O556" i="1"/>
  <c r="O800" i="1"/>
  <c r="O62" i="1"/>
  <c r="O559" i="1"/>
  <c r="O1291" i="1"/>
  <c r="O370" i="1"/>
  <c r="O1097" i="1"/>
  <c r="O670" i="1"/>
  <c r="O33" i="1"/>
  <c r="O1252" i="1"/>
  <c r="O375" i="1"/>
  <c r="O1690" i="1"/>
  <c r="O792" i="1"/>
  <c r="O1140" i="1"/>
  <c r="O85" i="1"/>
  <c r="O498" i="1"/>
  <c r="O939" i="1"/>
  <c r="O1307" i="1"/>
  <c r="O668" i="1"/>
  <c r="O883" i="1"/>
  <c r="O675" i="1"/>
  <c r="O621" i="1"/>
  <c r="O703" i="1"/>
  <c r="O699" i="1"/>
  <c r="O324" i="1"/>
  <c r="O1163" i="1"/>
  <c r="O806" i="1"/>
  <c r="O643" i="1"/>
  <c r="O351" i="1"/>
  <c r="O228" i="1"/>
  <c r="O469" i="1"/>
  <c r="O902" i="1"/>
  <c r="O1086" i="1"/>
  <c r="O489" i="1"/>
  <c r="O1704" i="1"/>
  <c r="O1514" i="1"/>
  <c r="O1344" i="1"/>
  <c r="O1073" i="1"/>
  <c r="O1572" i="1"/>
  <c r="O325" i="1"/>
  <c r="O1036" i="1"/>
  <c r="O1298" i="1"/>
  <c r="O1433" i="1"/>
  <c r="O1245" i="1"/>
  <c r="O755" i="1"/>
  <c r="O65" i="1"/>
  <c r="O1695" i="1"/>
  <c r="O209" i="1"/>
  <c r="O809" i="1"/>
  <c r="O862" i="1"/>
  <c r="O527" i="1"/>
  <c r="O7" i="1"/>
  <c r="O1211" i="1"/>
  <c r="O1190" i="1"/>
  <c r="O1258" i="1"/>
  <c r="O920" i="1"/>
  <c r="O834" i="1"/>
  <c r="O231" i="1"/>
  <c r="O57" i="1"/>
  <c r="O1213" i="1"/>
  <c r="O1084" i="1"/>
  <c r="O268" i="1"/>
  <c r="O499" i="1"/>
  <c r="O496" i="1"/>
  <c r="O265" i="1"/>
  <c r="J776" i="1"/>
  <c r="J1561" i="1"/>
  <c r="J832" i="1"/>
  <c r="J346" i="1"/>
  <c r="J1509" i="1"/>
  <c r="J1269" i="1"/>
  <c r="J607" i="1"/>
  <c r="J1291" i="1"/>
  <c r="J1330" i="1"/>
  <c r="J204" i="1"/>
  <c r="J77" i="1"/>
  <c r="J1413" i="1"/>
  <c r="J267" i="1"/>
  <c r="J1140" i="1"/>
  <c r="J61" i="1"/>
  <c r="J11" i="1"/>
  <c r="J1414" i="1"/>
  <c r="J649" i="1"/>
  <c r="J830" i="1"/>
  <c r="J792" i="1"/>
  <c r="J1408" i="1"/>
  <c r="J1430" i="1"/>
  <c r="J438" i="1"/>
  <c r="J998" i="1"/>
  <c r="J559" i="1"/>
  <c r="J73" i="1"/>
  <c r="J474" i="1"/>
  <c r="J1532" i="1"/>
  <c r="J62" i="1"/>
  <c r="J1535" i="1"/>
  <c r="J1311" i="1"/>
  <c r="J1030" i="1"/>
  <c r="J783" i="1"/>
  <c r="J44" i="1"/>
  <c r="J800" i="1"/>
  <c r="J669" i="1"/>
  <c r="J1314" i="1"/>
  <c r="J468" i="1"/>
  <c r="J556" i="1"/>
  <c r="J50" i="1"/>
  <c r="J49" i="1"/>
  <c r="J582" i="1"/>
  <c r="J993" i="1"/>
  <c r="J26" i="1"/>
  <c r="J1616" i="1"/>
  <c r="J836" i="1"/>
  <c r="J619" i="1"/>
  <c r="J1427" i="1"/>
  <c r="J616" i="1"/>
  <c r="J1031" i="1"/>
  <c r="J1443" i="1"/>
  <c r="J1318" i="1"/>
  <c r="J40" i="1"/>
  <c r="J1235" i="1"/>
  <c r="J142" i="1"/>
  <c r="J349" i="1"/>
  <c r="J104" i="1"/>
  <c r="J1596" i="1"/>
  <c r="J1622" i="1"/>
  <c r="J1151" i="1"/>
  <c r="J1658" i="1"/>
  <c r="J56" i="1"/>
  <c r="J1001" i="1"/>
  <c r="J844" i="1"/>
  <c r="J1495" i="1"/>
  <c r="J454" i="1"/>
  <c r="J472" i="1"/>
  <c r="J1175" i="1"/>
  <c r="J721" i="1"/>
  <c r="J1147" i="1"/>
  <c r="J532" i="1"/>
  <c r="J1006" i="1"/>
  <c r="J1602" i="1"/>
  <c r="J273" i="1"/>
  <c r="J530" i="1"/>
  <c r="J860" i="1"/>
  <c r="J1383" i="1"/>
  <c r="J217" i="1"/>
  <c r="J457" i="1"/>
  <c r="J1032" i="1"/>
  <c r="J631" i="1"/>
  <c r="J200" i="1"/>
  <c r="J197" i="1"/>
  <c r="J311" i="1"/>
  <c r="J305" i="1"/>
  <c r="J27" i="1"/>
  <c r="J773" i="1"/>
  <c r="J170" i="1"/>
  <c r="J985" i="1"/>
  <c r="J1164" i="1"/>
  <c r="J226" i="1"/>
  <c r="J1146" i="1"/>
  <c r="J1027" i="1"/>
  <c r="J843" i="1"/>
  <c r="J237" i="1"/>
  <c r="J229" i="1"/>
  <c r="J720" i="1"/>
  <c r="J485" i="1"/>
  <c r="J718" i="1"/>
  <c r="J1328" i="1"/>
  <c r="J357" i="1"/>
  <c r="J1609" i="1"/>
  <c r="J264" i="1"/>
  <c r="J917" i="1"/>
  <c r="J165" i="1"/>
  <c r="J377" i="1"/>
  <c r="J282" i="1"/>
  <c r="J348" i="1"/>
  <c r="J1108" i="1"/>
  <c r="J166" i="1"/>
  <c r="J1103" i="1"/>
  <c r="J196" i="1"/>
  <c r="J1395" i="1"/>
  <c r="J1449" i="1"/>
  <c r="J1015" i="1"/>
  <c r="J1270" i="1"/>
  <c r="J1633" i="1"/>
  <c r="J1000" i="1"/>
  <c r="J1168" i="1"/>
  <c r="J1628" i="1"/>
  <c r="J136" i="1"/>
  <c r="J1265" i="1"/>
  <c r="J1500" i="1"/>
  <c r="J1451" i="1"/>
  <c r="J779" i="1"/>
  <c r="J1052" i="1"/>
  <c r="J239" i="1"/>
  <c r="J898" i="1"/>
  <c r="J345" i="1"/>
  <c r="J605" i="1"/>
  <c r="J460" i="1"/>
  <c r="J878" i="1"/>
  <c r="J310" i="1"/>
  <c r="J1584" i="1"/>
  <c r="J18" i="1"/>
  <c r="J344" i="1"/>
  <c r="J550" i="1"/>
  <c r="J1184" i="1"/>
  <c r="J1058" i="1"/>
  <c r="J304" i="1"/>
  <c r="J755" i="1"/>
  <c r="J280" i="1"/>
  <c r="J1268" i="1"/>
  <c r="J1437" i="1"/>
  <c r="J999" i="1"/>
  <c r="J1057" i="1"/>
  <c r="J1499" i="1"/>
  <c r="J1056" i="1"/>
  <c r="J589" i="1"/>
  <c r="J65" i="1"/>
  <c r="J211" i="1"/>
  <c r="J58" i="1"/>
  <c r="J154" i="1"/>
  <c r="J1263" i="1"/>
  <c r="J604" i="1"/>
  <c r="J1600" i="1"/>
  <c r="J141" i="1"/>
  <c r="J317" i="1"/>
  <c r="J1396" i="1"/>
  <c r="J1465" i="1"/>
  <c r="J1594" i="1"/>
  <c r="J24" i="1"/>
  <c r="J303" i="1"/>
  <c r="J362" i="1"/>
  <c r="J892" i="1"/>
  <c r="J1506" i="1"/>
  <c r="J1590" i="1"/>
  <c r="J52" i="1"/>
  <c r="J1176" i="1"/>
  <c r="J1078" i="1"/>
  <c r="J1587" i="1"/>
  <c r="J1077" i="1"/>
  <c r="J927" i="1"/>
  <c r="J1174" i="1"/>
  <c r="J1065" i="1"/>
  <c r="J1421" i="1"/>
  <c r="J1144" i="1"/>
  <c r="J1541" i="1"/>
  <c r="J663" i="1"/>
  <c r="J585" i="1"/>
  <c r="J1369" i="1"/>
  <c r="J1150" i="1"/>
  <c r="J1064" i="1"/>
  <c r="J28" i="1"/>
  <c r="J652" i="1"/>
  <c r="J555" i="1"/>
  <c r="J408" i="1"/>
  <c r="J137" i="1"/>
  <c r="J833" i="1"/>
  <c r="J852" i="1"/>
  <c r="J1539" i="1"/>
  <c r="J469" i="1"/>
  <c r="J912" i="1"/>
  <c r="J896" i="1"/>
  <c r="J1656" i="1"/>
  <c r="J903" i="1"/>
  <c r="J143" i="1"/>
  <c r="J338" i="1"/>
  <c r="J293" i="1"/>
  <c r="J331" i="1"/>
  <c r="J786" i="1"/>
  <c r="J644" i="1"/>
  <c r="J1009" i="1"/>
  <c r="J660" i="1"/>
  <c r="J324" i="1"/>
  <c r="J245" i="1"/>
  <c r="J805" i="1"/>
  <c r="J496" i="1"/>
  <c r="J1477" i="1"/>
  <c r="J1712" i="1"/>
  <c r="J315" i="1"/>
  <c r="J1042" i="1"/>
  <c r="J807" i="1"/>
  <c r="J557" i="1"/>
  <c r="J1693" i="1"/>
  <c r="J1723" i="1"/>
  <c r="J1089" i="1"/>
  <c r="J1714" i="1"/>
  <c r="J581" i="1"/>
  <c r="J1472" i="1"/>
  <c r="J521" i="1"/>
  <c r="J1377" i="1"/>
  <c r="J808" i="1"/>
  <c r="J499" i="1"/>
  <c r="J1017" i="1"/>
  <c r="J515" i="1"/>
  <c r="J1041" i="1"/>
  <c r="J1037" i="1"/>
  <c r="J1050" i="1"/>
  <c r="J919" i="1"/>
  <c r="J1478" i="1"/>
  <c r="J178" i="1"/>
  <c r="J1713" i="1"/>
  <c r="J918" i="1"/>
  <c r="J600" i="1"/>
  <c r="J1709" i="1"/>
  <c r="J42" i="1"/>
  <c r="J1372" i="1"/>
  <c r="J163" i="1"/>
  <c r="J1092" i="1"/>
  <c r="J208" i="1"/>
  <c r="J157" i="1"/>
  <c r="J384" i="1"/>
  <c r="J1113" i="1"/>
  <c r="J1034" i="1"/>
  <c r="J1005" i="1"/>
  <c r="J548" i="1"/>
  <c r="J970" i="1"/>
  <c r="J113" i="1"/>
  <c r="J249" i="1"/>
  <c r="J1276" i="1"/>
  <c r="J867" i="1"/>
  <c r="J335" i="1"/>
  <c r="J339" i="1"/>
  <c r="J1025" i="1"/>
  <c r="J971" i="1"/>
  <c r="J608" i="1"/>
  <c r="J1281" i="1"/>
  <c r="J51" i="1"/>
  <c r="J302" i="1"/>
  <c r="J1114" i="1"/>
  <c r="J1099" i="1"/>
  <c r="J799" i="1"/>
  <c r="J1435" i="1"/>
  <c r="J1063" i="1"/>
  <c r="J626" i="1"/>
  <c r="J943" i="1"/>
  <c r="J947" i="1"/>
  <c r="J1096" i="1"/>
  <c r="J944" i="1"/>
  <c r="J1329" i="1"/>
  <c r="J1432" i="1"/>
  <c r="J1418" i="1"/>
  <c r="J632" i="1"/>
  <c r="J1573" i="1"/>
  <c r="J1698" i="1"/>
  <c r="J772" i="1"/>
  <c r="J279" i="1"/>
  <c r="J1524" i="1"/>
  <c r="J134" i="1"/>
  <c r="J782" i="1"/>
  <c r="J465" i="1"/>
  <c r="J149" i="1"/>
  <c r="J276" i="1"/>
  <c r="J1399" i="1"/>
  <c r="J877" i="1"/>
  <c r="J439" i="1"/>
  <c r="J1576" i="1"/>
  <c r="J1607" i="1"/>
  <c r="J1606" i="1"/>
  <c r="J703" i="1"/>
  <c r="J1362" i="1"/>
  <c r="J437" i="1"/>
  <c r="J1537" i="1"/>
  <c r="J747" i="1"/>
  <c r="J12" i="1"/>
  <c r="J781" i="1"/>
  <c r="J573" i="1"/>
  <c r="J1083" i="1"/>
  <c r="J1493" i="1"/>
  <c r="J1360" i="1"/>
  <c r="J1415" i="1"/>
  <c r="J931" i="1"/>
  <c r="J4" i="1"/>
  <c r="J513" i="1"/>
  <c r="J144" i="1"/>
  <c r="J1376" i="1"/>
  <c r="J1379" i="1"/>
  <c r="J471" i="1"/>
  <c r="J458" i="1"/>
  <c r="J1560" i="1"/>
  <c r="J268" i="1"/>
  <c r="J483" i="1"/>
  <c r="J1717" i="1"/>
  <c r="J951" i="1"/>
  <c r="J1680" i="1"/>
  <c r="J1320" i="1"/>
  <c r="J36" i="1"/>
  <c r="J85" i="1"/>
  <c r="J147" i="1"/>
  <c r="J1102" i="1"/>
  <c r="J1507" i="1"/>
  <c r="J287" i="1"/>
  <c r="J97" i="1"/>
  <c r="J1400" i="1"/>
  <c r="J982" i="1"/>
  <c r="J1431" i="1"/>
  <c r="J152" i="1"/>
  <c r="J981" i="1"/>
  <c r="J1331" i="1"/>
  <c r="J195" i="1"/>
  <c r="J442" i="1"/>
  <c r="J392" i="1"/>
  <c r="J199" i="1"/>
  <c r="J511" i="1"/>
  <c r="J1586" i="1"/>
  <c r="J194" i="1"/>
  <c r="J983" i="1"/>
  <c r="J158" i="1"/>
  <c r="J1405" i="1"/>
  <c r="J1653" i="1"/>
  <c r="J1380" i="1"/>
  <c r="J326" i="1"/>
  <c r="J941" i="1"/>
  <c r="J921" i="1"/>
  <c r="J768" i="1"/>
  <c r="J298" i="1"/>
  <c r="J300" i="1"/>
  <c r="J1051" i="1"/>
  <c r="J1313" i="1"/>
  <c r="J1104" i="1"/>
  <c r="J1326" i="1"/>
  <c r="J321" i="1"/>
  <c r="J1424" i="1"/>
  <c r="J1411" i="1"/>
  <c r="J859" i="1"/>
  <c r="J105" i="1"/>
  <c r="J739" i="1"/>
  <c r="J767" i="1"/>
  <c r="J1389" i="1"/>
  <c r="J171" i="1"/>
  <c r="J1657" i="1"/>
  <c r="J794" i="1"/>
  <c r="J1310" i="1"/>
  <c r="J560" i="1"/>
  <c r="J109" i="1"/>
  <c r="J1119" i="1"/>
  <c r="J1687" i="1"/>
  <c r="J347" i="1"/>
  <c r="J822" i="1"/>
  <c r="J1549" i="1"/>
  <c r="J1578" i="1"/>
  <c r="J1491" i="1"/>
  <c r="J991" i="1"/>
  <c r="J1179" i="1"/>
  <c r="J1346" i="1"/>
  <c r="J168" i="1"/>
  <c r="J411" i="1"/>
  <c r="J160" i="1"/>
  <c r="J641" i="1"/>
  <c r="J842" i="1"/>
  <c r="J43" i="1"/>
  <c r="J676" i="1"/>
  <c r="J414" i="1"/>
  <c r="J1488" i="1"/>
  <c r="J946" i="1"/>
  <c r="J1708" i="1"/>
  <c r="J1158" i="1"/>
  <c r="J756" i="1"/>
  <c r="J198" i="1"/>
  <c r="J1155" i="1"/>
  <c r="J1704" i="1"/>
  <c r="J1243" i="1"/>
  <c r="J1617" i="1"/>
  <c r="J1335" i="1"/>
  <c r="J202" i="1"/>
  <c r="J1528" i="1"/>
  <c r="J1544" i="1"/>
  <c r="J48" i="1"/>
  <c r="J1484" i="1"/>
  <c r="J542" i="1"/>
  <c r="J621" i="1"/>
  <c r="J263" i="1"/>
  <c r="J37" i="1"/>
  <c r="J216" i="1"/>
  <c r="J915" i="1"/>
  <c r="J973" i="1"/>
  <c r="J1694" i="1"/>
  <c r="J1251" i="1"/>
  <c r="J1527" i="1"/>
  <c r="J1707" i="1"/>
  <c r="J41" i="1"/>
  <c r="J1726" i="1"/>
  <c r="J192" i="1"/>
  <c r="J1654" i="1"/>
  <c r="J596" i="1"/>
  <c r="J817" i="1"/>
  <c r="J213" i="1"/>
  <c r="J1504" i="1"/>
  <c r="J1648" i="1"/>
  <c r="J1553" i="1"/>
  <c r="J536" i="1"/>
  <c r="J811" i="1"/>
  <c r="J164" i="1"/>
  <c r="J848" i="1"/>
  <c r="J1178" i="1"/>
  <c r="J704" i="1"/>
  <c r="J945" i="1"/>
  <c r="J93" i="1"/>
  <c r="J551" i="1"/>
  <c r="J19" i="1"/>
  <c r="J275" i="1"/>
  <c r="J247" i="1"/>
  <c r="J1572" i="1"/>
  <c r="J233" i="1"/>
  <c r="J228" i="1"/>
  <c r="J1341" i="1"/>
  <c r="J1173" i="1"/>
  <c r="J1640" i="1"/>
  <c r="J1189" i="1"/>
  <c r="J46" i="1"/>
  <c r="J734" i="1"/>
  <c r="J695" i="1"/>
  <c r="J1321" i="1"/>
  <c r="J568" i="1"/>
  <c r="J1334" i="1"/>
  <c r="J135" i="1"/>
  <c r="J1279" i="1"/>
  <c r="J1084" i="1"/>
  <c r="J1332" i="1"/>
  <c r="J334" i="1"/>
  <c r="J1280" i="1"/>
  <c r="J1110" i="1"/>
  <c r="J1212" i="1"/>
  <c r="J1288" i="1"/>
  <c r="J89" i="1"/>
  <c r="J847" i="1"/>
  <c r="J1319" i="1"/>
  <c r="J1697" i="1"/>
  <c r="J368" i="1"/>
  <c r="J299" i="1"/>
  <c r="J1185" i="1"/>
  <c r="J1356" i="1"/>
  <c r="J139" i="1"/>
  <c r="J858" i="1"/>
  <c r="J278" i="1"/>
  <c r="J995" i="1"/>
  <c r="J580" i="1"/>
  <c r="J2" i="1"/>
  <c r="J545" i="1"/>
  <c r="J1226" i="1"/>
  <c r="J447" i="1"/>
  <c r="J232" i="1"/>
  <c r="J1306" i="1"/>
  <c r="J1548" i="1"/>
  <c r="J1672" i="1"/>
  <c r="J972" i="1"/>
  <c r="J210" i="1"/>
  <c r="J1526" i="1"/>
  <c r="J1193" i="1"/>
  <c r="J1061" i="1"/>
  <c r="J880" i="1"/>
  <c r="J1669" i="1"/>
  <c r="J1671" i="1"/>
  <c r="J698" i="1"/>
  <c r="J1466" i="1"/>
  <c r="J261" i="1"/>
  <c r="J780" i="1"/>
  <c r="J524" i="1"/>
  <c r="J236" i="1"/>
  <c r="J153" i="1"/>
  <c r="J561" i="1"/>
  <c r="J193" i="1"/>
  <c r="J1338" i="1"/>
  <c r="J478" i="1"/>
  <c r="J1088" i="1"/>
  <c r="J1137" i="1"/>
  <c r="J182" i="1"/>
  <c r="J1505" i="1"/>
  <c r="J1690" i="1"/>
  <c r="J1684" i="1"/>
  <c r="J932" i="1"/>
  <c r="J82" i="1"/>
  <c r="J138" i="1"/>
  <c r="J1420" i="1"/>
  <c r="J775" i="1"/>
  <c r="J1194" i="1"/>
  <c r="J140" i="1"/>
  <c r="J115" i="1"/>
  <c r="J1563" i="1"/>
  <c r="J118" i="1"/>
  <c r="J699" i="1"/>
  <c r="J1241" i="1"/>
  <c r="J1574" i="1"/>
  <c r="J314" i="1"/>
  <c r="J1240" i="1"/>
  <c r="J1195" i="1"/>
  <c r="J1180" i="1"/>
  <c r="J1562" i="1"/>
  <c r="J1391" i="1"/>
  <c r="J992" i="1"/>
  <c r="J1019" i="1"/>
  <c r="J1020" i="1"/>
  <c r="J1048" i="1"/>
  <c r="J736" i="1"/>
  <c r="J1364" i="1"/>
  <c r="J482" i="1"/>
  <c r="J1373" i="1"/>
  <c r="J637" i="1"/>
  <c r="J378" i="1"/>
  <c r="J645" i="1"/>
  <c r="J1626" i="1"/>
  <c r="J1629" i="1"/>
  <c r="J1166" i="1"/>
  <c r="J1165" i="1"/>
  <c r="J1695" i="1"/>
  <c r="J398" i="1"/>
  <c r="J733" i="1"/>
  <c r="J60" i="1"/>
  <c r="J1301" i="1"/>
  <c r="J502" i="1"/>
  <c r="J1447" i="1"/>
  <c r="J769" i="1"/>
  <c r="J101" i="1"/>
  <c r="J1343" i="1"/>
  <c r="J828" i="1"/>
  <c r="J1448" i="1"/>
  <c r="J1397" i="1"/>
  <c r="J1004" i="1"/>
  <c r="J443" i="1"/>
  <c r="J1188" i="1"/>
  <c r="J784" i="1"/>
  <c r="J997" i="1"/>
  <c r="J984" i="1"/>
  <c r="J1016" i="1"/>
  <c r="J552" i="1"/>
  <c r="J883" i="1"/>
  <c r="J1490" i="1"/>
  <c r="J1163" i="1"/>
  <c r="J742" i="1"/>
  <c r="J1192" i="1"/>
  <c r="J1381" i="1"/>
  <c r="J1191" i="1"/>
  <c r="J1011" i="1"/>
  <c r="J558" i="1"/>
  <c r="J728" i="1"/>
  <c r="J1339" i="1"/>
  <c r="J1049" i="1"/>
  <c r="J1342" i="1"/>
  <c r="J547" i="1"/>
  <c r="J916" i="1"/>
  <c r="J1361" i="1"/>
  <c r="J1177" i="1"/>
  <c r="J489" i="1"/>
  <c r="J730" i="1"/>
  <c r="J1458" i="1"/>
  <c r="J693" i="1"/>
  <c r="J1635" i="1"/>
  <c r="J271" i="1"/>
  <c r="J825" i="1"/>
  <c r="J418" i="1"/>
  <c r="J397" i="1"/>
  <c r="J1456" i="1"/>
  <c r="J1002" i="1"/>
  <c r="J1197" i="1"/>
  <c r="J1715" i="1"/>
  <c r="J501" i="1"/>
  <c r="J1555" i="1"/>
  <c r="J777" i="1"/>
  <c r="J225" i="1"/>
  <c r="J1543" i="1"/>
  <c r="J372" i="1"/>
  <c r="J910" i="1"/>
  <c r="J260" i="1"/>
  <c r="J879" i="1"/>
  <c r="J665" i="1"/>
  <c r="J1244" i="1"/>
  <c r="J966" i="1"/>
  <c r="J1317" i="1"/>
  <c r="J506" i="1"/>
  <c r="J882" i="1"/>
  <c r="J590" i="1"/>
  <c r="J696" i="1"/>
  <c r="J543" i="1"/>
  <c r="J629" i="1"/>
  <c r="J1040" i="1"/>
  <c r="J1069" i="1"/>
  <c r="J1060" i="1"/>
  <c r="J500" i="1"/>
  <c r="J1230" i="1"/>
  <c r="J21" i="1"/>
  <c r="J1213" i="1"/>
  <c r="J325" i="1"/>
  <c r="J1201" i="1"/>
  <c r="J492" i="1"/>
  <c r="J206" i="1"/>
  <c r="J1247" i="1"/>
  <c r="J1706" i="1"/>
  <c r="J753" i="1"/>
  <c r="J1196" i="1"/>
  <c r="J291" i="1"/>
  <c r="J827" i="1"/>
  <c r="J1221" i="1"/>
  <c r="J22" i="1"/>
  <c r="J219" i="1"/>
  <c r="J333" i="1"/>
  <c r="J1426" i="1"/>
  <c r="J964" i="1"/>
  <c r="J871" i="1"/>
  <c r="J169" i="1"/>
  <c r="J625" i="1"/>
  <c r="J1419" i="1"/>
  <c r="J1170" i="1"/>
  <c r="J1445" i="1"/>
  <c r="J1498" i="1"/>
  <c r="J517" i="1"/>
  <c r="J1459" i="1"/>
  <c r="J1044" i="1"/>
  <c r="J529" i="1"/>
  <c r="J367" i="1"/>
  <c r="J563" i="1"/>
  <c r="J914" i="1"/>
  <c r="J523" i="1"/>
  <c r="J957" i="1"/>
  <c r="J401" i="1"/>
  <c r="J701" i="1"/>
  <c r="J1172" i="1"/>
  <c r="J815" i="1"/>
  <c r="J1187" i="1"/>
  <c r="J10" i="1"/>
  <c r="J646" i="1"/>
  <c r="J1643" i="1"/>
  <c r="J938" i="1"/>
  <c r="J613" i="1"/>
  <c r="J360" i="1"/>
  <c r="J544" i="1"/>
  <c r="J712" i="1"/>
  <c r="J565" i="1"/>
  <c r="J702" i="1"/>
  <c r="J894" i="1"/>
  <c r="J290" i="1"/>
  <c r="J54" i="1"/>
  <c r="J610" i="1"/>
  <c r="J191" i="1"/>
  <c r="J509" i="1"/>
  <c r="J553" i="1"/>
  <c r="J546" i="1"/>
  <c r="J207" i="1"/>
  <c r="J744" i="1"/>
  <c r="J108" i="1"/>
  <c r="J1515" i="1"/>
  <c r="J486" i="1"/>
  <c r="J161" i="1"/>
  <c r="J295" i="1"/>
  <c r="J351" i="1"/>
  <c r="J866" i="1"/>
  <c r="J1398" i="1"/>
  <c r="J1582" i="1"/>
  <c r="J1428" i="1"/>
  <c r="J1486" i="1"/>
  <c r="J81" i="1"/>
  <c r="J1126" i="1"/>
  <c r="J976" i="1"/>
  <c r="J95" i="1"/>
  <c r="J1467" i="1"/>
  <c r="J183" i="1"/>
  <c r="J102" i="1"/>
  <c r="J484" i="1"/>
  <c r="J487" i="1"/>
  <c r="J750" i="1"/>
  <c r="J1125" i="1"/>
  <c r="J1340" i="1"/>
  <c r="J1120" i="1"/>
  <c r="J895" i="1"/>
  <c r="J29" i="1"/>
  <c r="J1309" i="1"/>
  <c r="J1256" i="1"/>
  <c r="J778" i="1"/>
  <c r="J655" i="1"/>
  <c r="J1305" i="1"/>
  <c r="J909" i="1"/>
  <c r="J1393" i="1"/>
  <c r="J187" i="1"/>
  <c r="J1322" i="1"/>
  <c r="J188" i="1"/>
  <c r="J908" i="1"/>
  <c r="J1702" i="1"/>
  <c r="J429" i="1"/>
  <c r="J446" i="1"/>
  <c r="J853" i="1"/>
  <c r="J286" i="1"/>
  <c r="J424" i="1"/>
  <c r="J1605" i="1"/>
  <c r="J1407" i="1"/>
  <c r="J189" i="1"/>
  <c r="J1457" i="1"/>
  <c r="J497" i="1"/>
  <c r="J1303" i="1"/>
  <c r="J23" i="1"/>
  <c r="J639" i="1"/>
  <c r="J1081" i="1"/>
  <c r="J638" i="1"/>
  <c r="J1323" i="1"/>
  <c r="J83" i="1"/>
  <c r="J1316" i="1"/>
  <c r="J654" i="1"/>
  <c r="J710" i="1"/>
  <c r="J222" i="1"/>
  <c r="J682" i="1"/>
  <c r="J230" i="1"/>
  <c r="J722" i="1"/>
  <c r="J1350" i="1"/>
  <c r="J1703" i="1"/>
  <c r="J1234" i="1"/>
  <c r="J1209" i="1"/>
  <c r="J1202" i="1"/>
  <c r="J320" i="1"/>
  <c r="J1233" i="1"/>
  <c r="J494" i="1"/>
  <c r="J71" i="1"/>
  <c r="J1365" i="1"/>
  <c r="J890" i="1"/>
  <c r="J1664" i="1"/>
  <c r="J996" i="1"/>
  <c r="J925" i="1"/>
  <c r="J1416" i="1"/>
  <c r="J480" i="1"/>
  <c r="J1220" i="1"/>
  <c r="J436" i="1"/>
  <c r="J1139" i="1"/>
  <c r="J1208" i="1"/>
  <c r="J53" i="1"/>
  <c r="J821" i="1"/>
  <c r="J1603" i="1"/>
  <c r="J1285" i="1"/>
  <c r="J688" i="1"/>
  <c r="J541" i="1"/>
  <c r="J35" i="1"/>
  <c r="J1101" i="1"/>
  <c r="J765" i="1"/>
  <c r="J687" i="1"/>
  <c r="J1287" i="1"/>
  <c r="J57" i="1"/>
  <c r="J1668" i="1"/>
  <c r="J1634" i="1"/>
  <c r="J763" i="1"/>
  <c r="J1679" i="1"/>
  <c r="J770" i="1"/>
  <c r="J752" i="1"/>
  <c r="J594" i="1"/>
  <c r="J1363" i="1"/>
  <c r="J804" i="1"/>
  <c r="J6" i="1"/>
  <c r="J459" i="1"/>
  <c r="J227" i="1"/>
  <c r="J591" i="1"/>
  <c r="J1207" i="1"/>
  <c r="J1462" i="1"/>
  <c r="J30" i="1"/>
  <c r="J467" i="1"/>
  <c r="J475" i="1"/>
  <c r="J1324" i="1"/>
  <c r="J593" i="1"/>
  <c r="J214" i="1"/>
  <c r="J1133" i="1"/>
  <c r="J886" i="1"/>
  <c r="J577" i="1"/>
  <c r="J1098" i="1"/>
  <c r="J1218" i="1"/>
  <c r="J841" i="1"/>
  <c r="J243" i="1"/>
  <c r="J989" i="1"/>
  <c r="J126" i="1"/>
  <c r="J131" i="1"/>
  <c r="J1417" i="1"/>
  <c r="J129" i="1"/>
  <c r="J120" i="1"/>
  <c r="J426" i="1"/>
  <c r="J1655" i="1"/>
  <c r="J1169" i="1"/>
  <c r="J1570" i="1"/>
  <c r="J1409" i="1"/>
  <c r="J1620" i="1"/>
  <c r="J987" i="1"/>
  <c r="J1696" i="1"/>
  <c r="J986" i="1"/>
  <c r="J1718" i="1"/>
  <c r="J117" i="1"/>
  <c r="J316" i="1"/>
  <c r="J974" i="1"/>
  <c r="J726" i="1"/>
  <c r="J1384" i="1"/>
  <c r="J423" i="1"/>
  <c r="J231" i="1"/>
  <c r="J241" i="1"/>
  <c r="J215" i="1"/>
  <c r="J834" i="1"/>
  <c r="J1116" i="1"/>
  <c r="J381" i="1"/>
  <c r="J1278" i="1"/>
  <c r="J1615" i="1"/>
  <c r="J1619" i="1"/>
  <c r="J119" i="1"/>
  <c r="J375" i="1"/>
  <c r="J549" i="1"/>
  <c r="J1525" i="1"/>
  <c r="J292" i="1"/>
  <c r="J413" i="1"/>
  <c r="J371" i="1"/>
  <c r="J99" i="1"/>
  <c r="J785" i="1"/>
  <c r="J1345" i="1"/>
  <c r="J366" i="1"/>
  <c r="J1228" i="1"/>
  <c r="J876" i="1"/>
  <c r="J694" i="1"/>
  <c r="J1337" i="1"/>
  <c r="J125" i="1"/>
  <c r="J603" i="1"/>
  <c r="J1618" i="1"/>
  <c r="J614" i="1"/>
  <c r="J1359" i="1"/>
  <c r="J1100" i="1"/>
  <c r="J954" i="1"/>
  <c r="J671" i="1"/>
  <c r="J1236" i="1"/>
  <c r="J840" i="1"/>
  <c r="J1556" i="1"/>
  <c r="J612" i="1"/>
  <c r="J749" i="1"/>
  <c r="J855" i="1"/>
  <c r="J262" i="1"/>
  <c r="J1534" i="1"/>
  <c r="J34" i="1"/>
  <c r="J735" i="1"/>
  <c r="J1692" i="1"/>
  <c r="J1402" i="1"/>
  <c r="J743" i="1"/>
  <c r="J601" i="1"/>
  <c r="J306" i="1"/>
  <c r="J173" i="1"/>
  <c r="J717" i="1"/>
  <c r="J419" i="1"/>
  <c r="J416" i="1"/>
  <c r="J1091" i="1"/>
  <c r="J602" i="1"/>
  <c r="J417" i="1"/>
  <c r="J1571" i="1"/>
  <c r="J254" i="1"/>
  <c r="J839" i="1"/>
  <c r="J789" i="1"/>
  <c r="J795" i="1"/>
  <c r="J1227" i="1"/>
  <c r="J1231" i="1"/>
  <c r="J863" i="1"/>
  <c r="J394" i="1"/>
  <c r="J1080" i="1"/>
  <c r="J1494" i="1"/>
  <c r="J845" i="1"/>
  <c r="J410" i="1"/>
  <c r="J732" i="1"/>
  <c r="J949" i="1"/>
  <c r="J1121" i="1"/>
  <c r="J1215" i="1"/>
  <c r="J1219" i="1"/>
  <c r="J1216" i="1"/>
  <c r="J313" i="1"/>
  <c r="J1547" i="1"/>
  <c r="J891" i="1"/>
  <c r="J1550" i="1"/>
  <c r="J1214" i="1"/>
  <c r="J913" i="1"/>
  <c r="J757" i="1"/>
  <c r="J1520" i="1"/>
  <c r="J745" i="1"/>
  <c r="J1513" i="1"/>
  <c r="J318" i="1"/>
  <c r="J1082" i="1"/>
  <c r="J479" i="1"/>
  <c r="J806" i="1"/>
  <c r="J1249" i="1"/>
  <c r="J1079" i="1"/>
  <c r="J1476" i="1"/>
  <c r="J212" i="1"/>
  <c r="J651" i="1"/>
  <c r="J758" i="1"/>
  <c r="J1135" i="1"/>
  <c r="J528" i="1"/>
  <c r="J760" i="1"/>
  <c r="J936" i="1"/>
  <c r="J1257" i="1"/>
  <c r="J854" i="1"/>
  <c r="J270" i="1"/>
  <c r="J409" i="1"/>
  <c r="J819" i="1"/>
  <c r="J905" i="1"/>
  <c r="J1266" i="1"/>
  <c r="J920" i="1"/>
  <c r="J1382" i="1"/>
  <c r="J1118" i="1"/>
  <c r="J1351" i="1"/>
  <c r="J1454" i="1"/>
  <c r="J332" i="1"/>
  <c r="J94" i="1"/>
  <c r="J266" i="1"/>
  <c r="J887" i="1"/>
  <c r="J1134" i="1"/>
  <c r="J1258" i="1"/>
  <c r="J1190" i="1"/>
  <c r="J31" i="1"/>
  <c r="J272" i="1"/>
  <c r="J69" i="1"/>
  <c r="J1579" i="1"/>
  <c r="J948" i="1"/>
  <c r="J1536" i="1"/>
  <c r="J1153" i="1"/>
  <c r="J1117" i="1"/>
  <c r="J1211" i="1"/>
  <c r="J1614" i="1"/>
  <c r="J1577" i="1"/>
  <c r="J902" i="1"/>
  <c r="J330" i="1"/>
  <c r="J1267" i="1"/>
  <c r="J1200" i="1"/>
  <c r="J1245" i="1"/>
  <c r="J762" i="1"/>
  <c r="J1575" i="1"/>
  <c r="J1292" i="1"/>
  <c r="J1644" i="1"/>
  <c r="J59" i="1"/>
  <c r="J1260" i="1"/>
  <c r="J396" i="1"/>
  <c r="J224" i="1"/>
  <c r="J383" i="1"/>
  <c r="J452" i="1"/>
  <c r="J393" i="1"/>
  <c r="J473" i="1"/>
  <c r="J1678" i="1"/>
  <c r="J1354" i="1"/>
  <c r="J323" i="1"/>
  <c r="J1540" i="1"/>
  <c r="J107" i="1"/>
  <c r="J802" i="1"/>
  <c r="J84" i="1"/>
  <c r="J1665" i="1"/>
  <c r="J1682" i="1"/>
  <c r="J391" i="1"/>
  <c r="J1294" i="1"/>
  <c r="J668" i="1"/>
  <c r="J525" i="1"/>
  <c r="J897" i="1"/>
  <c r="J1299" i="1"/>
  <c r="J1677" i="1"/>
  <c r="J1508" i="1"/>
  <c r="J103" i="1"/>
  <c r="J221" i="1"/>
  <c r="J1250" i="1"/>
  <c r="J729" i="1"/>
  <c r="J1143" i="1"/>
  <c r="J988" i="1"/>
  <c r="J1639" i="1"/>
  <c r="J1286" i="1"/>
  <c r="J797" i="1"/>
  <c r="J713" i="1"/>
  <c r="J1347" i="1"/>
  <c r="J1433" i="1"/>
  <c r="J662" i="1"/>
  <c r="J395" i="1"/>
  <c r="J650" i="1"/>
  <c r="J636" i="1"/>
  <c r="J1645" i="1"/>
  <c r="J88" i="1"/>
  <c r="J277" i="1"/>
  <c r="J507" i="1"/>
  <c r="J238" i="1"/>
  <c r="J570" i="1"/>
  <c r="J376" i="1"/>
  <c r="J1349" i="1"/>
  <c r="J975" i="1"/>
  <c r="J1683" i="1"/>
  <c r="J642" i="1"/>
  <c r="J980" i="1"/>
  <c r="J505" i="1"/>
  <c r="J258" i="1"/>
  <c r="J322" i="1"/>
  <c r="J979" i="1"/>
  <c r="J526" i="1"/>
  <c r="J285" i="1"/>
  <c r="J1142" i="1"/>
  <c r="J977" i="1"/>
  <c r="J1293" i="1"/>
  <c r="J385" i="1"/>
  <c r="J566" i="1"/>
  <c r="J256" i="1"/>
  <c r="J648" i="1"/>
  <c r="J1666" i="1"/>
  <c r="J958" i="1"/>
  <c r="J1685" i="1"/>
  <c r="J380" i="1"/>
  <c r="J390" i="1"/>
  <c r="J514" i="1"/>
  <c r="J1355" i="1"/>
  <c r="J510" i="1"/>
  <c r="J724" i="1"/>
  <c r="J1638" i="1"/>
  <c r="J746" i="1"/>
  <c r="J72" i="1"/>
  <c r="J1705" i="1"/>
  <c r="J962" i="1"/>
  <c r="J959" i="1"/>
  <c r="J1503" i="1"/>
  <c r="J1497" i="1"/>
  <c r="J978" i="1"/>
  <c r="J868" i="1"/>
  <c r="J294" i="1"/>
  <c r="J1344" i="1"/>
  <c r="J798" i="1"/>
  <c r="J824" i="1"/>
  <c r="J1460" i="1"/>
  <c r="J754" i="1"/>
  <c r="J359" i="1"/>
  <c r="J234" i="1"/>
  <c r="J969" i="1"/>
  <c r="J1304" i="1"/>
  <c r="J1589" i="1"/>
  <c r="J942" i="1"/>
  <c r="J562" i="1"/>
  <c r="J1646" i="1"/>
  <c r="J963" i="1"/>
  <c r="J1647" i="1"/>
  <c r="J940" i="1"/>
  <c r="J1085" i="1"/>
  <c r="J719" i="1"/>
  <c r="J1558" i="1"/>
  <c r="J1210" i="1"/>
  <c r="J1588" i="1"/>
  <c r="J405" i="1"/>
  <c r="J738" i="1"/>
  <c r="J1115" i="1"/>
  <c r="J571" i="1"/>
  <c r="J1307" i="1"/>
  <c r="J7" i="1"/>
  <c r="J647" i="1"/>
  <c r="J1252" i="1"/>
  <c r="J402" i="1"/>
  <c r="J527" i="1"/>
  <c r="J930" i="1"/>
  <c r="J862" i="1"/>
  <c r="J39" i="1"/>
  <c r="J809" i="1"/>
  <c r="J1591" i="1"/>
  <c r="J209" i="1"/>
  <c r="J1087" i="1"/>
  <c r="J481" i="1"/>
  <c r="J1090" i="1"/>
  <c r="J801" i="1"/>
  <c r="J175" i="1"/>
  <c r="J382" i="1"/>
  <c r="J666" i="1"/>
  <c r="J635" i="1"/>
  <c r="J25" i="1"/>
  <c r="J622" i="1"/>
  <c r="J1592" i="1"/>
  <c r="J955" i="1"/>
  <c r="J33" i="1"/>
  <c r="J705" i="1"/>
  <c r="J714" i="1"/>
  <c r="J16" i="1"/>
  <c r="J1583" i="1"/>
  <c r="J1580" i="1"/>
  <c r="J1585" i="1"/>
  <c r="J20" i="1"/>
  <c r="J615" i="1"/>
  <c r="J620" i="1"/>
  <c r="J956" i="1"/>
  <c r="J155" i="1"/>
  <c r="J17" i="1"/>
  <c r="J64" i="1"/>
  <c r="J1043" i="1"/>
  <c r="J1514" i="1"/>
  <c r="J281" i="1"/>
  <c r="J1066" i="1"/>
  <c r="J1246" i="1"/>
  <c r="J1261" i="1"/>
  <c r="J1239" i="1"/>
  <c r="J1386" i="1"/>
  <c r="J32" i="1"/>
  <c r="J1429" i="1"/>
  <c r="J670" i="1"/>
  <c r="J464" i="1"/>
  <c r="J1533" i="1"/>
  <c r="J1070" i="1"/>
  <c r="J788" i="1"/>
  <c r="J1442" i="1"/>
  <c r="J1724" i="1"/>
  <c r="J1401" i="1"/>
  <c r="J63" i="1"/>
  <c r="J1661" i="1"/>
  <c r="J1242" i="1"/>
  <c r="J829" i="1"/>
  <c r="J1545" i="1"/>
  <c r="J1039" i="1"/>
  <c r="J440" i="1"/>
  <c r="J1272" i="1"/>
  <c r="J269" i="1"/>
  <c r="J301" i="1"/>
  <c r="J1068" i="1"/>
  <c r="J1394" i="1"/>
  <c r="J297" i="1"/>
  <c r="J952" i="1"/>
  <c r="J893" i="1"/>
  <c r="J1378" i="1"/>
  <c r="J1521" i="1"/>
  <c r="J1423" i="1"/>
  <c r="J354" i="1"/>
  <c r="J1551" i="1"/>
  <c r="J283" i="1"/>
  <c r="J1593" i="1"/>
  <c r="J352" i="1"/>
  <c r="J1262" i="1"/>
  <c r="J1327" i="1"/>
  <c r="J587" i="1"/>
  <c r="J1074" i="1"/>
  <c r="J606" i="1"/>
  <c r="J574" i="1"/>
  <c r="J861" i="1"/>
  <c r="J201" i="1"/>
  <c r="J356" i="1"/>
  <c r="J312" i="1"/>
  <c r="J327" i="1"/>
  <c r="J373" i="1"/>
  <c r="J1018" i="1"/>
  <c r="J575" i="1"/>
  <c r="J1325" i="1"/>
  <c r="J643" i="1"/>
  <c r="J554" i="1"/>
  <c r="J659" i="1"/>
  <c r="J1699" i="1"/>
  <c r="J1071" i="1"/>
  <c r="J1290" i="1"/>
  <c r="J307" i="1"/>
  <c r="J740" i="1"/>
  <c r="J906" i="1"/>
  <c r="J150" i="1"/>
  <c r="J177" i="1"/>
  <c r="J923" i="1"/>
  <c r="J1007" i="1"/>
  <c r="J1129" i="1"/>
  <c r="J1595" i="1"/>
  <c r="J1186" i="1"/>
  <c r="J1531" i="1"/>
  <c r="J476" i="1"/>
  <c r="J850" i="1"/>
  <c r="J434" i="1"/>
  <c r="J1109" i="1"/>
  <c r="J45" i="1"/>
  <c r="J47" i="1"/>
  <c r="J1055" i="1"/>
  <c r="J218" i="1"/>
  <c r="J1370" i="1"/>
  <c r="J533" i="1"/>
  <c r="J1438" i="1"/>
  <c r="J791" i="1"/>
  <c r="J1604" i="1"/>
  <c r="J1481" i="1"/>
  <c r="J1315" i="1"/>
  <c r="J1392" i="1"/>
  <c r="J1610" i="1"/>
  <c r="J796" i="1"/>
  <c r="J633" i="1"/>
  <c r="J1565" i="1"/>
  <c r="J1446" i="1"/>
  <c r="J445" i="1"/>
  <c r="J624" i="1"/>
  <c r="J1627" i="1"/>
  <c r="J1636" i="1"/>
  <c r="J787" i="1"/>
  <c r="J257" i="1"/>
  <c r="J627" i="1"/>
  <c r="J1046" i="1"/>
  <c r="J1621" i="1"/>
  <c r="J151" i="1"/>
  <c r="J1663" i="1"/>
  <c r="J55" i="1"/>
  <c r="J350" i="1"/>
  <c r="J1468" i="1"/>
  <c r="J68" i="1"/>
  <c r="J114" i="1"/>
  <c r="J1047" i="1"/>
  <c r="J1568" i="1"/>
  <c r="J1157" i="1"/>
  <c r="J355" i="1"/>
  <c r="J1496" i="1"/>
  <c r="J433" i="1"/>
  <c r="J1482" i="1"/>
  <c r="J491" i="1"/>
  <c r="J1642" i="1"/>
  <c r="J353" i="1"/>
  <c r="J146" i="1"/>
  <c r="J441" i="1"/>
  <c r="J683" i="1"/>
  <c r="J677" i="1"/>
  <c r="J1675" i="1"/>
  <c r="J1053" i="1"/>
  <c r="J1725" i="1"/>
  <c r="J818" i="1"/>
  <c r="J122" i="1"/>
  <c r="J1567" i="1"/>
  <c r="J456" i="1"/>
  <c r="J1569" i="1"/>
  <c r="J1501" i="1"/>
  <c r="J455" i="1"/>
  <c r="J716" i="1"/>
  <c r="J461" i="1"/>
  <c r="J766" i="1"/>
  <c r="J1273" i="1"/>
  <c r="J512" i="1"/>
  <c r="J1253" i="1"/>
  <c r="J1254" i="1"/>
  <c r="J470" i="1"/>
  <c r="J516" i="1"/>
  <c r="J1542" i="1"/>
  <c r="J846" i="1"/>
  <c r="J856" i="1"/>
  <c r="J132" i="1"/>
  <c r="J374" i="1"/>
  <c r="J1296" i="1"/>
  <c r="J1312" i="1"/>
  <c r="J761" i="1"/>
  <c r="J1277" i="1"/>
  <c r="J884" i="1"/>
  <c r="J1072" i="1"/>
  <c r="J1059" i="1"/>
  <c r="J678" i="1"/>
  <c r="J685" i="1"/>
  <c r="J1564" i="1"/>
  <c r="J425" i="1"/>
  <c r="J343" i="1"/>
  <c r="J179" i="1"/>
  <c r="J1105" i="1"/>
  <c r="J1727" i="1"/>
  <c r="J1473" i="1"/>
  <c r="J1479" i="1"/>
  <c r="J1232" i="1"/>
  <c r="J404" i="1"/>
  <c r="J329" i="1"/>
  <c r="J156" i="1"/>
  <c r="J337" i="1"/>
  <c r="J831" i="1"/>
  <c r="J342" i="1"/>
  <c r="J690" i="1"/>
  <c r="J692" i="1"/>
  <c r="J319" i="1"/>
  <c r="J1358" i="1"/>
  <c r="J1530" i="1"/>
  <c r="J994" i="1"/>
  <c r="J1519" i="1"/>
  <c r="J406" i="1"/>
  <c r="J538" i="1"/>
  <c r="J1357" i="1"/>
  <c r="J340" i="1"/>
  <c r="J503" i="1"/>
  <c r="J80" i="1"/>
  <c r="J1623" i="1"/>
  <c r="J564" i="1"/>
  <c r="J420" i="1"/>
  <c r="J1403" i="1"/>
  <c r="J731" i="1"/>
  <c r="J1167" i="1"/>
  <c r="J1199" i="1"/>
  <c r="J38" i="1"/>
  <c r="J1529" i="1"/>
  <c r="J400" i="1"/>
  <c r="J1274" i="1"/>
  <c r="J1073" i="1"/>
  <c r="J1612" i="1"/>
  <c r="J399" i="1"/>
  <c r="J1183" i="1"/>
  <c r="J1652" i="1"/>
  <c r="J1127" i="1"/>
  <c r="J79" i="1"/>
  <c r="J1028" i="1"/>
  <c r="J341" i="1"/>
  <c r="J76" i="1"/>
  <c r="J1029" i="1"/>
  <c r="J86" i="1"/>
  <c r="J888" i="1"/>
  <c r="J531" i="1"/>
  <c r="J1067" i="1"/>
  <c r="J1538" i="1"/>
  <c r="J462" i="1"/>
  <c r="J1033" i="1"/>
  <c r="J415" i="1"/>
  <c r="J1062" i="1"/>
  <c r="J1517" i="1"/>
  <c r="J1388" i="1"/>
  <c r="J1298" i="1"/>
  <c r="J1546" i="1"/>
  <c r="J296" i="1"/>
  <c r="J1014" i="1"/>
  <c r="J284" i="1"/>
  <c r="J1138" i="1"/>
  <c r="J1444" i="1"/>
  <c r="J1722" i="1"/>
  <c r="J1453" i="1"/>
  <c r="J810" i="1"/>
  <c r="J1036" i="1"/>
  <c r="J1075" i="1"/>
  <c r="J403" i="1"/>
  <c r="J926" i="1"/>
  <c r="J1387" i="1"/>
  <c r="J184" i="1"/>
  <c r="J1632" i="1"/>
  <c r="J929" i="1"/>
  <c r="J250" i="1"/>
  <c r="J1670" i="1"/>
  <c r="J180" i="1"/>
  <c r="J1038" i="1"/>
  <c r="J15" i="1"/>
  <c r="J432" i="1"/>
  <c r="J1198" i="1"/>
  <c r="J835" i="1"/>
  <c r="J967" i="1"/>
  <c r="J1371" i="1"/>
  <c r="J584" i="1"/>
  <c r="J1122" i="1"/>
  <c r="J826" i="1"/>
  <c r="J1160" i="1"/>
  <c r="J1374" i="1"/>
  <c r="J1086" i="1"/>
  <c r="J1474" i="1"/>
  <c r="J1130" i="1"/>
  <c r="J388" i="1"/>
  <c r="J386" i="1"/>
  <c r="J1554" i="1"/>
  <c r="J1489" i="1"/>
  <c r="J389" i="1"/>
  <c r="J1512" i="1"/>
  <c r="J751" i="1"/>
  <c r="J519" i="1"/>
  <c r="J121" i="1"/>
  <c r="J336" i="1"/>
  <c r="J116" i="1"/>
  <c r="J520" i="1"/>
  <c r="J689" i="1"/>
  <c r="J1559" i="1"/>
  <c r="J1566" i="1"/>
  <c r="J1686" i="1"/>
  <c r="J1673" i="1"/>
  <c r="J174" i="1"/>
  <c r="J1483" i="1"/>
  <c r="J1171" i="1"/>
  <c r="J1480" i="1"/>
  <c r="J1511" i="1"/>
  <c r="J145" i="1"/>
  <c r="J190" i="1"/>
  <c r="J87" i="1"/>
  <c r="J950" i="1"/>
  <c r="J1676" i="1"/>
  <c r="J1282" i="1"/>
  <c r="J1022" i="1"/>
  <c r="J508" i="1"/>
  <c r="J741" i="1"/>
  <c r="J159" i="1"/>
  <c r="J1145" i="1"/>
  <c r="J1518" i="1"/>
  <c r="J252" i="1"/>
  <c r="J1461" i="1"/>
  <c r="J1516" i="1"/>
  <c r="J823" i="1"/>
  <c r="J611" i="1"/>
  <c r="J656" i="1"/>
  <c r="J274" i="1"/>
  <c r="J96" i="1"/>
  <c r="J1023" i="1"/>
  <c r="J1434" i="1"/>
  <c r="J453" i="1"/>
  <c r="J1271" i="1"/>
  <c r="J1660" i="1"/>
  <c r="J1366" i="1"/>
  <c r="J205" i="1"/>
  <c r="J1300" i="1"/>
  <c r="J444" i="1"/>
  <c r="J123" i="1"/>
  <c r="J1436" i="1"/>
  <c r="J522" i="1"/>
  <c r="J965" i="1"/>
  <c r="J1557" i="1"/>
  <c r="J569" i="1"/>
  <c r="J1024" i="1"/>
  <c r="J588" i="1"/>
  <c r="J599" i="1"/>
  <c r="J1148" i="1"/>
  <c r="J450" i="1"/>
  <c r="J1581" i="1"/>
  <c r="J586" i="1"/>
  <c r="J1721" i="1"/>
  <c r="J1182" i="1"/>
  <c r="J889" i="1"/>
  <c r="J449" i="1"/>
  <c r="J1026" i="1"/>
  <c r="J1021" i="1"/>
  <c r="J1485" i="1"/>
  <c r="J1333" i="1"/>
  <c r="J1141" i="1"/>
  <c r="J597" i="1"/>
  <c r="J658" i="1"/>
  <c r="J1691" i="1"/>
  <c r="J583" i="1"/>
  <c r="J609" i="1"/>
  <c r="J657" i="1"/>
  <c r="J1599" i="1"/>
  <c r="J667" i="1"/>
  <c r="J598" i="1"/>
  <c r="J1455" i="1"/>
  <c r="J1124" i="1"/>
  <c r="J1720" i="1"/>
  <c r="J265" i="1"/>
  <c r="J1264" i="1"/>
  <c r="J1404" i="1"/>
  <c r="J539" i="1"/>
  <c r="J1284" i="1"/>
  <c r="J922" i="1"/>
  <c r="J1440" i="1"/>
  <c r="J540" i="1"/>
  <c r="J1131" i="1"/>
  <c r="J1162" i="1"/>
  <c r="J790" i="1"/>
  <c r="J737" i="1"/>
  <c r="J13" i="1"/>
  <c r="J1248" i="1"/>
  <c r="J387" i="1"/>
  <c r="J1441" i="1"/>
  <c r="J904" i="1"/>
  <c r="J935" i="1"/>
  <c r="J939" i="1"/>
  <c r="J110" i="1"/>
  <c r="J700" i="1"/>
  <c r="J820" i="1"/>
  <c r="J1106" i="1"/>
  <c r="J1689" i="1"/>
  <c r="J1487" i="1"/>
  <c r="J1463" i="1"/>
  <c r="J111" i="1"/>
  <c r="J1471" i="1"/>
  <c r="J488" i="1"/>
  <c r="J1297" i="1"/>
  <c r="J1128" i="1"/>
  <c r="J448" i="1"/>
  <c r="J870" i="1"/>
  <c r="J98" i="1"/>
  <c r="J534" i="1"/>
  <c r="J90" i="1"/>
  <c r="J242" i="1"/>
  <c r="J1406" i="1"/>
  <c r="J1410" i="1"/>
  <c r="J1641" i="1"/>
  <c r="J1159" i="1"/>
  <c r="J1111" i="1"/>
  <c r="J535" i="1"/>
  <c r="J1450" i="1"/>
  <c r="J1510" i="1"/>
  <c r="J1412" i="1"/>
  <c r="J937" i="1"/>
  <c r="J1608" i="1"/>
  <c r="J1161" i="1"/>
  <c r="J1385" i="1"/>
  <c r="J1154" i="1"/>
  <c r="J106" i="1"/>
  <c r="J1308" i="1"/>
  <c r="J1464" i="1"/>
  <c r="J1650" i="1"/>
  <c r="J1659" i="1"/>
  <c r="J1681" i="1"/>
  <c r="J9" i="1"/>
  <c r="J661" i="1"/>
  <c r="J1651" i="1"/>
  <c r="J901" i="1"/>
  <c r="J451" i="1"/>
  <c r="J968" i="1"/>
  <c r="J112" i="1"/>
  <c r="J1601" i="1"/>
  <c r="J814" i="1"/>
  <c r="J595" i="1"/>
  <c r="J1225" i="1"/>
  <c r="J185" i="1"/>
  <c r="J463" i="1"/>
  <c r="J430" i="1"/>
  <c r="J14" i="1"/>
  <c r="J1302" i="1"/>
  <c r="J251" i="1"/>
  <c r="J1522" i="1"/>
  <c r="J907" i="1"/>
  <c r="J92" i="1"/>
  <c r="J1624" i="1"/>
  <c r="J1492" i="1"/>
  <c r="J1054" i="1"/>
  <c r="J1295" i="1"/>
  <c r="J576" i="1"/>
  <c r="J1224" i="1"/>
  <c r="J255" i="1"/>
  <c r="J493" i="1"/>
  <c r="J181" i="1"/>
  <c r="J186" i="1"/>
  <c r="J771" i="1"/>
  <c r="J1439" i="1"/>
  <c r="J709" i="1"/>
  <c r="J864" i="1"/>
  <c r="J220" i="1"/>
  <c r="J1711" i="1"/>
  <c r="J1710" i="1"/>
  <c r="J1422" i="1"/>
  <c r="J1353" i="1"/>
  <c r="J1181" i="1"/>
  <c r="J358" i="1"/>
  <c r="J686" i="1"/>
  <c r="J1700" i="1"/>
  <c r="J1152" i="1"/>
  <c r="J1425" i="1"/>
  <c r="J851" i="1"/>
  <c r="J1523" i="1"/>
  <c r="J1076" i="1"/>
  <c r="J1229" i="1"/>
  <c r="J885" i="1"/>
  <c r="J900" i="1"/>
  <c r="J253" i="1"/>
  <c r="J630" i="1"/>
  <c r="J764" i="1"/>
  <c r="J248" i="1"/>
  <c r="J1008" i="1"/>
  <c r="J924" i="1"/>
  <c r="J1010" i="1"/>
  <c r="J1013" i="1"/>
  <c r="J1095" i="1"/>
  <c r="J1012" i="1"/>
  <c r="J422" i="1"/>
  <c r="J1688" i="1"/>
  <c r="J127" i="1"/>
  <c r="J1637" i="1"/>
  <c r="J1238" i="1"/>
  <c r="J628" i="1"/>
  <c r="J1719" i="1"/>
  <c r="J1223" i="1"/>
  <c r="J838" i="1"/>
  <c r="J803" i="1"/>
  <c r="J428" i="1"/>
  <c r="J1097" i="1"/>
  <c r="J1289" i="1"/>
  <c r="J1237" i="1"/>
  <c r="J1205" i="1"/>
  <c r="J1502" i="1"/>
  <c r="J1203" i="1"/>
  <c r="J1475" i="1"/>
  <c r="J431" i="1"/>
  <c r="J407" i="1"/>
  <c r="J1094" i="1"/>
  <c r="J1204" i="1"/>
  <c r="J1206" i="1"/>
  <c r="J1631" i="1"/>
  <c r="J857" i="1"/>
  <c r="J240" i="1"/>
  <c r="J933" i="1"/>
  <c r="J1222" i="1"/>
  <c r="J911" i="1"/>
  <c r="J1469" i="1"/>
  <c r="J1217" i="1"/>
  <c r="J244" i="1"/>
  <c r="J579" i="1"/>
  <c r="J578" i="1"/>
  <c r="J259" i="1"/>
  <c r="J816" i="1"/>
  <c r="J1630" i="1"/>
  <c r="J1093" i="1"/>
  <c r="J837" i="1"/>
  <c r="J1045" i="1"/>
  <c r="J1348" i="1"/>
  <c r="J748" i="1"/>
  <c r="J435" i="1"/>
  <c r="J308" i="1"/>
  <c r="J309" i="1"/>
  <c r="J1390" i="1"/>
  <c r="J246" i="1"/>
  <c r="J1368" i="1"/>
  <c r="J813" i="1"/>
  <c r="J1367" i="1"/>
  <c r="J664" i="1"/>
  <c r="J1136" i="1"/>
  <c r="J289" i="1"/>
  <c r="J518" i="1"/>
  <c r="J288" i="1"/>
  <c r="J421" i="1"/>
  <c r="J774" i="1"/>
  <c r="J812" i="1"/>
  <c r="J223" i="1"/>
  <c r="J427" i="1"/>
  <c r="J1352" i="1"/>
  <c r="J1003" i="1"/>
  <c r="J1283" i="1"/>
  <c r="J128" i="1"/>
  <c r="J1112" i="1"/>
  <c r="J1452" i="1"/>
  <c r="J1611" i="1"/>
  <c r="J495" i="1"/>
  <c r="J124" i="1"/>
  <c r="J176" i="1"/>
  <c r="J412" i="1"/>
  <c r="J873" i="1"/>
  <c r="J875" i="1"/>
  <c r="J592" i="1"/>
  <c r="J498" i="1"/>
  <c r="J477" i="1"/>
  <c r="J849" i="1"/>
  <c r="J759" i="1"/>
  <c r="J1255" i="1"/>
  <c r="J1470" i="1"/>
  <c r="J1107" i="1"/>
  <c r="J572" i="1"/>
  <c r="J1649" i="1"/>
  <c r="J235" i="1"/>
  <c r="J960" i="1"/>
  <c r="J961" i="1"/>
  <c r="J1667" i="1"/>
  <c r="J466" i="1"/>
  <c r="J1259" i="1"/>
  <c r="J8" i="1"/>
  <c r="J899" i="1"/>
  <c r="J928" i="1"/>
  <c r="J1336" i="1"/>
  <c r="J504" i="1"/>
  <c r="J674" i="1"/>
  <c r="J100" i="1"/>
  <c r="J130" i="1"/>
  <c r="J708" i="1"/>
  <c r="J66" i="1"/>
  <c r="J490" i="1"/>
  <c r="J364" i="1"/>
  <c r="J697" i="1"/>
  <c r="J706" i="1"/>
  <c r="J634" i="1"/>
  <c r="J673" i="1"/>
  <c r="J379" i="1"/>
  <c r="J711" i="1"/>
  <c r="J793" i="1"/>
  <c r="J167" i="1"/>
  <c r="J617" i="1"/>
  <c r="J715" i="1"/>
  <c r="J1156" i="1"/>
  <c r="J370" i="1"/>
  <c r="J618" i="1"/>
  <c r="J725" i="1"/>
  <c r="J723" i="1"/>
  <c r="J91" i="1"/>
  <c r="J872" i="1"/>
  <c r="J953" i="1"/>
  <c r="J567" i="1"/>
  <c r="J934" i="1"/>
  <c r="J1275" i="1"/>
  <c r="J1375" i="1"/>
  <c r="J869" i="1"/>
  <c r="J78" i="1"/>
  <c r="J865" i="1"/>
  <c r="J874" i="1"/>
  <c r="J5" i="1"/>
  <c r="J881" i="1"/>
  <c r="J537" i="1"/>
  <c r="J70" i="1"/>
  <c r="I776" i="1"/>
  <c r="I1561" i="1"/>
  <c r="I832" i="1"/>
  <c r="I346" i="1"/>
  <c r="I1509" i="1"/>
  <c r="I1269" i="1"/>
  <c r="I607" i="1"/>
  <c r="I1291" i="1"/>
  <c r="I1330" i="1"/>
  <c r="I204" i="1"/>
  <c r="I77" i="1"/>
  <c r="I1413" i="1"/>
  <c r="I267" i="1"/>
  <c r="I1140" i="1"/>
  <c r="I61" i="1"/>
  <c r="I11" i="1"/>
  <c r="I1414" i="1"/>
  <c r="I649" i="1"/>
  <c r="I830" i="1"/>
  <c r="I792" i="1"/>
  <c r="I1408" i="1"/>
  <c r="I1430" i="1"/>
  <c r="I438" i="1"/>
  <c r="I998" i="1"/>
  <c r="I559" i="1"/>
  <c r="I73" i="1"/>
  <c r="I474" i="1"/>
  <c r="I1532" i="1"/>
  <c r="I62" i="1"/>
  <c r="I1535" i="1"/>
  <c r="I1311" i="1"/>
  <c r="I1030" i="1"/>
  <c r="I783" i="1"/>
  <c r="I44" i="1"/>
  <c r="I800" i="1"/>
  <c r="I669" i="1"/>
  <c r="I1314" i="1"/>
  <c r="I468" i="1"/>
  <c r="I556" i="1"/>
  <c r="I50" i="1"/>
  <c r="I49" i="1"/>
  <c r="I582" i="1"/>
  <c r="I993" i="1"/>
  <c r="I26" i="1"/>
  <c r="I1616" i="1"/>
  <c r="I836" i="1"/>
  <c r="I619" i="1"/>
  <c r="I1427" i="1"/>
  <c r="I616" i="1"/>
  <c r="I1031" i="1"/>
  <c r="I1443" i="1"/>
  <c r="I1318" i="1"/>
  <c r="I40" i="1"/>
  <c r="I1235" i="1"/>
  <c r="I142" i="1"/>
  <c r="I349" i="1"/>
  <c r="I104" i="1"/>
  <c r="I1596" i="1"/>
  <c r="I1622" i="1"/>
  <c r="I1151" i="1"/>
  <c r="I1658" i="1"/>
  <c r="I56" i="1"/>
  <c r="I1001" i="1"/>
  <c r="I844" i="1"/>
  <c r="I1495" i="1"/>
  <c r="I454" i="1"/>
  <c r="I472" i="1"/>
  <c r="I1175" i="1"/>
  <c r="I721" i="1"/>
  <c r="I1147" i="1"/>
  <c r="I532" i="1"/>
  <c r="I1006" i="1"/>
  <c r="I1602" i="1"/>
  <c r="I273" i="1"/>
  <c r="I530" i="1"/>
  <c r="I860" i="1"/>
  <c r="I1383" i="1"/>
  <c r="I217" i="1"/>
  <c r="I457" i="1"/>
  <c r="I1032" i="1"/>
  <c r="I631" i="1"/>
  <c r="I200" i="1"/>
  <c r="I197" i="1"/>
  <c r="I311" i="1"/>
  <c r="I305" i="1"/>
  <c r="I27" i="1"/>
  <c r="I773" i="1"/>
  <c r="I170" i="1"/>
  <c r="I985" i="1"/>
  <c r="I1164" i="1"/>
  <c r="I226" i="1"/>
  <c r="I1146" i="1"/>
  <c r="I1027" i="1"/>
  <c r="I843" i="1"/>
  <c r="I237" i="1"/>
  <c r="I229" i="1"/>
  <c r="I720" i="1"/>
  <c r="I485" i="1"/>
  <c r="I718" i="1"/>
  <c r="I1328" i="1"/>
  <c r="I357" i="1"/>
  <c r="I1609" i="1"/>
  <c r="I264" i="1"/>
  <c r="I917" i="1"/>
  <c r="I165" i="1"/>
  <c r="I377" i="1"/>
  <c r="I282" i="1"/>
  <c r="I348" i="1"/>
  <c r="I1108" i="1"/>
  <c r="I166" i="1"/>
  <c r="I1103" i="1"/>
  <c r="I196" i="1"/>
  <c r="I1395" i="1"/>
  <c r="I1449" i="1"/>
  <c r="I1015" i="1"/>
  <c r="I1270" i="1"/>
  <c r="I1633" i="1"/>
  <c r="I1000" i="1"/>
  <c r="I1168" i="1"/>
  <c r="I1628" i="1"/>
  <c r="I136" i="1"/>
  <c r="I1265" i="1"/>
  <c r="I1500" i="1"/>
  <c r="I1451" i="1"/>
  <c r="I779" i="1"/>
  <c r="I1052" i="1"/>
  <c r="I239" i="1"/>
  <c r="I898" i="1"/>
  <c r="I345" i="1"/>
  <c r="I605" i="1"/>
  <c r="I460" i="1"/>
  <c r="I878" i="1"/>
  <c r="I310" i="1"/>
  <c r="I1584" i="1"/>
  <c r="I18" i="1"/>
  <c r="I344" i="1"/>
  <c r="I550" i="1"/>
  <c r="I1184" i="1"/>
  <c r="I1058" i="1"/>
  <c r="I304" i="1"/>
  <c r="I755" i="1"/>
  <c r="I280" i="1"/>
  <c r="I1268" i="1"/>
  <c r="I1437" i="1"/>
  <c r="I999" i="1"/>
  <c r="I1057" i="1"/>
  <c r="I1499" i="1"/>
  <c r="I1056" i="1"/>
  <c r="I589" i="1"/>
  <c r="I65" i="1"/>
  <c r="I211" i="1"/>
  <c r="I58" i="1"/>
  <c r="I154" i="1"/>
  <c r="I1263" i="1"/>
  <c r="I604" i="1"/>
  <c r="I1600" i="1"/>
  <c r="I141" i="1"/>
  <c r="I317" i="1"/>
  <c r="I1396" i="1"/>
  <c r="I1465" i="1"/>
  <c r="I1594" i="1"/>
  <c r="I24" i="1"/>
  <c r="I303" i="1"/>
  <c r="I362" i="1"/>
  <c r="I892" i="1"/>
  <c r="I1506" i="1"/>
  <c r="I1590" i="1"/>
  <c r="I52" i="1"/>
  <c r="I1176" i="1"/>
  <c r="I1078" i="1"/>
  <c r="I1587" i="1"/>
  <c r="I1077" i="1"/>
  <c r="I927" i="1"/>
  <c r="I1174" i="1"/>
  <c r="I1065" i="1"/>
  <c r="I1421" i="1"/>
  <c r="I1144" i="1"/>
  <c r="I1035" i="1"/>
  <c r="I1541" i="1"/>
  <c r="I663" i="1"/>
  <c r="I133" i="1"/>
  <c r="I585" i="1"/>
  <c r="I1369" i="1"/>
  <c r="I1150" i="1"/>
  <c r="I623" i="1"/>
  <c r="I1064" i="1"/>
  <c r="I1132" i="1"/>
  <c r="I28" i="1"/>
  <c r="I680" i="1"/>
  <c r="I652" i="1"/>
  <c r="I555" i="1"/>
  <c r="I684" i="1"/>
  <c r="I408" i="1"/>
  <c r="I137" i="1"/>
  <c r="I833" i="1"/>
  <c r="I727" i="1"/>
  <c r="I852" i="1"/>
  <c r="I653" i="1"/>
  <c r="I1539" i="1"/>
  <c r="I203" i="1"/>
  <c r="I1613" i="1"/>
  <c r="I469" i="1"/>
  <c r="I912" i="1"/>
  <c r="I896" i="1"/>
  <c r="I1149" i="1"/>
  <c r="I1656" i="1"/>
  <c r="I148" i="1"/>
  <c r="I640" i="1"/>
  <c r="I903" i="1"/>
  <c r="I143" i="1"/>
  <c r="I338" i="1"/>
  <c r="I293" i="1"/>
  <c r="I331" i="1"/>
  <c r="I786" i="1"/>
  <c r="I644" i="1"/>
  <c r="I1009" i="1"/>
  <c r="I660" i="1"/>
  <c r="I324" i="1"/>
  <c r="I245" i="1"/>
  <c r="I1701" i="1"/>
  <c r="I805" i="1"/>
  <c r="I679" i="1"/>
  <c r="I496" i="1"/>
  <c r="I1477" i="1"/>
  <c r="I1712" i="1"/>
  <c r="I315" i="1"/>
  <c r="I1042" i="1"/>
  <c r="I672" i="1"/>
  <c r="I807" i="1"/>
  <c r="I557" i="1"/>
  <c r="I1693" i="1"/>
  <c r="I1723" i="1"/>
  <c r="I1089" i="1"/>
  <c r="I1714" i="1"/>
  <c r="I581" i="1"/>
  <c r="I1472" i="1"/>
  <c r="I521" i="1"/>
  <c r="I1377" i="1"/>
  <c r="I808" i="1"/>
  <c r="I499" i="1"/>
  <c r="I1017" i="1"/>
  <c r="I515" i="1"/>
  <c r="I1041" i="1"/>
  <c r="I1037" i="1"/>
  <c r="I1050" i="1"/>
  <c r="I919" i="1"/>
  <c r="I1478" i="1"/>
  <c r="I178" i="1"/>
  <c r="I1713" i="1"/>
  <c r="I369" i="1"/>
  <c r="I918" i="1"/>
  <c r="I600" i="1"/>
  <c r="I1709" i="1"/>
  <c r="I42" i="1"/>
  <c r="I1372" i="1"/>
  <c r="I163" i="1"/>
  <c r="I1092" i="1"/>
  <c r="I208" i="1"/>
  <c r="I157" i="1"/>
  <c r="I384" i="1"/>
  <c r="I1113" i="1"/>
  <c r="I1034" i="1"/>
  <c r="I1005" i="1"/>
  <c r="I548" i="1"/>
  <c r="I970" i="1"/>
  <c r="I113" i="1"/>
  <c r="I249" i="1"/>
  <c r="I1276" i="1"/>
  <c r="I867" i="1"/>
  <c r="I335" i="1"/>
  <c r="I339" i="1"/>
  <c r="I1025" i="1"/>
  <c r="I971" i="1"/>
  <c r="I608" i="1"/>
  <c r="I1281" i="1"/>
  <c r="I51" i="1"/>
  <c r="I302" i="1"/>
  <c r="I1114" i="1"/>
  <c r="I1099" i="1"/>
  <c r="I799" i="1"/>
  <c r="I1435" i="1"/>
  <c r="I1063" i="1"/>
  <c r="I626" i="1"/>
  <c r="I943" i="1"/>
  <c r="I947" i="1"/>
  <c r="I1096" i="1"/>
  <c r="I944" i="1"/>
  <c r="I1329" i="1"/>
  <c r="I1432" i="1"/>
  <c r="I1418" i="1"/>
  <c r="I632" i="1"/>
  <c r="I1573" i="1"/>
  <c r="I1698" i="1"/>
  <c r="I772" i="1"/>
  <c r="I279" i="1"/>
  <c r="I1524" i="1"/>
  <c r="I134" i="1"/>
  <c r="I782" i="1"/>
  <c r="I465" i="1"/>
  <c r="I149" i="1"/>
  <c r="I276" i="1"/>
  <c r="I1399" i="1"/>
  <c r="I877" i="1"/>
  <c r="I439" i="1"/>
  <c r="I1576" i="1"/>
  <c r="I1607" i="1"/>
  <c r="I1606" i="1"/>
  <c r="I703" i="1"/>
  <c r="I1362" i="1"/>
  <c r="I437" i="1"/>
  <c r="I1537" i="1"/>
  <c r="I747" i="1"/>
  <c r="I12" i="1"/>
  <c r="I781" i="1"/>
  <c r="I573" i="1"/>
  <c r="I1083" i="1"/>
  <c r="I1493" i="1"/>
  <c r="I1360" i="1"/>
  <c r="I1415" i="1"/>
  <c r="I931" i="1"/>
  <c r="I4" i="1"/>
  <c r="I513" i="1"/>
  <c r="I144" i="1"/>
  <c r="I1376" i="1"/>
  <c r="I1379" i="1"/>
  <c r="I471" i="1"/>
  <c r="I458" i="1"/>
  <c r="I1560" i="1"/>
  <c r="I268" i="1"/>
  <c r="I483" i="1"/>
  <c r="I1717" i="1"/>
  <c r="I951" i="1"/>
  <c r="I1680" i="1"/>
  <c r="I1320" i="1"/>
  <c r="I36" i="1"/>
  <c r="I85" i="1"/>
  <c r="I147" i="1"/>
  <c r="I1102" i="1"/>
  <c r="I1507" i="1"/>
  <c r="I287" i="1"/>
  <c r="I97" i="1"/>
  <c r="I1400" i="1"/>
  <c r="I982" i="1"/>
  <c r="I1431" i="1"/>
  <c r="I152" i="1"/>
  <c r="I981" i="1"/>
  <c r="I1331" i="1"/>
  <c r="I195" i="1"/>
  <c r="I442" i="1"/>
  <c r="I392" i="1"/>
  <c r="I199" i="1"/>
  <c r="I511" i="1"/>
  <c r="I1586" i="1"/>
  <c r="I194" i="1"/>
  <c r="I983" i="1"/>
  <c r="I158" i="1"/>
  <c r="I1405" i="1"/>
  <c r="I1653" i="1"/>
  <c r="I1380" i="1"/>
  <c r="I326" i="1"/>
  <c r="I941" i="1"/>
  <c r="I921" i="1"/>
  <c r="I768" i="1"/>
  <c r="I298" i="1"/>
  <c r="I300" i="1"/>
  <c r="I1051" i="1"/>
  <c r="I1313" i="1"/>
  <c r="I1104" i="1"/>
  <c r="I1326" i="1"/>
  <c r="I321" i="1"/>
  <c r="I1424" i="1"/>
  <c r="I1411" i="1"/>
  <c r="I859" i="1"/>
  <c r="I105" i="1"/>
  <c r="I739" i="1"/>
  <c r="I767" i="1"/>
  <c r="I1389" i="1"/>
  <c r="I171" i="1"/>
  <c r="I1657" i="1"/>
  <c r="I794" i="1"/>
  <c r="I1310" i="1"/>
  <c r="I560" i="1"/>
  <c r="I109" i="1"/>
  <c r="I1119" i="1"/>
  <c r="I1687" i="1"/>
  <c r="I347" i="1"/>
  <c r="I822" i="1"/>
  <c r="I1549" i="1"/>
  <c r="I1578" i="1"/>
  <c r="I1491" i="1"/>
  <c r="I991" i="1"/>
  <c r="I1179" i="1"/>
  <c r="I1346" i="1"/>
  <c r="I168" i="1"/>
  <c r="I411" i="1"/>
  <c r="I160" i="1"/>
  <c r="I641" i="1"/>
  <c r="I842" i="1"/>
  <c r="I43" i="1"/>
  <c r="I676" i="1"/>
  <c r="I414" i="1"/>
  <c r="I1488" i="1"/>
  <c r="I946" i="1"/>
  <c r="I1708" i="1"/>
  <c r="I1158" i="1"/>
  <c r="I756" i="1"/>
  <c r="I198" i="1"/>
  <c r="I1155" i="1"/>
  <c r="I1704" i="1"/>
  <c r="I1243" i="1"/>
  <c r="I1617" i="1"/>
  <c r="I1335" i="1"/>
  <c r="I202" i="1"/>
  <c r="I1528" i="1"/>
  <c r="I1544" i="1"/>
  <c r="I48" i="1"/>
  <c r="I1484" i="1"/>
  <c r="I542" i="1"/>
  <c r="I621" i="1"/>
  <c r="I263" i="1"/>
  <c r="I37" i="1"/>
  <c r="I216" i="1"/>
  <c r="I915" i="1"/>
  <c r="I973" i="1"/>
  <c r="I1694" i="1"/>
  <c r="I1251" i="1"/>
  <c r="I1527" i="1"/>
  <c r="I1707" i="1"/>
  <c r="I41" i="1"/>
  <c r="I1726" i="1"/>
  <c r="I192" i="1"/>
  <c r="I1654" i="1"/>
  <c r="I596" i="1"/>
  <c r="I817" i="1"/>
  <c r="I213" i="1"/>
  <c r="I1504" i="1"/>
  <c r="I1648" i="1"/>
  <c r="I1553" i="1"/>
  <c r="I536" i="1"/>
  <c r="I811" i="1"/>
  <c r="I164" i="1"/>
  <c r="I848" i="1"/>
  <c r="I1178" i="1"/>
  <c r="I704" i="1"/>
  <c r="I945" i="1"/>
  <c r="I93" i="1"/>
  <c r="I551" i="1"/>
  <c r="I19" i="1"/>
  <c r="I275" i="1"/>
  <c r="I247" i="1"/>
  <c r="I1572" i="1"/>
  <c r="I233" i="1"/>
  <c r="I228" i="1"/>
  <c r="I1341" i="1"/>
  <c r="I1173" i="1"/>
  <c r="I1640" i="1"/>
  <c r="I1189" i="1"/>
  <c r="I46" i="1"/>
  <c r="I734" i="1"/>
  <c r="I695" i="1"/>
  <c r="I1321" i="1"/>
  <c r="I568" i="1"/>
  <c r="I1334" i="1"/>
  <c r="I135" i="1"/>
  <c r="I1279" i="1"/>
  <c r="I1084" i="1"/>
  <c r="I1332" i="1"/>
  <c r="I334" i="1"/>
  <c r="I1280" i="1"/>
  <c r="I1110" i="1"/>
  <c r="I1212" i="1"/>
  <c r="I1288" i="1"/>
  <c r="I89" i="1"/>
  <c r="I847" i="1"/>
  <c r="I1319" i="1"/>
  <c r="I1697" i="1"/>
  <c r="I368" i="1"/>
  <c r="I299" i="1"/>
  <c r="I1185" i="1"/>
  <c r="I1356" i="1"/>
  <c r="I139" i="1"/>
  <c r="I858" i="1"/>
  <c r="I278" i="1"/>
  <c r="I995" i="1"/>
  <c r="I580" i="1"/>
  <c r="I2" i="1"/>
  <c r="I545" i="1"/>
  <c r="I1226" i="1"/>
  <c r="I447" i="1"/>
  <c r="I232" i="1"/>
  <c r="I1306" i="1"/>
  <c r="I1548" i="1"/>
  <c r="I1672" i="1"/>
  <c r="I972" i="1"/>
  <c r="I210" i="1"/>
  <c r="I1526" i="1"/>
  <c r="I1193" i="1"/>
  <c r="I1061" i="1"/>
  <c r="I880" i="1"/>
  <c r="I1669" i="1"/>
  <c r="I1671" i="1"/>
  <c r="I698" i="1"/>
  <c r="I1466" i="1"/>
  <c r="I261" i="1"/>
  <c r="I780" i="1"/>
  <c r="I524" i="1"/>
  <c r="I236" i="1"/>
  <c r="I153" i="1"/>
  <c r="I561" i="1"/>
  <c r="I193" i="1"/>
  <c r="I1338" i="1"/>
  <c r="I478" i="1"/>
  <c r="I1088" i="1"/>
  <c r="I1137" i="1"/>
  <c r="I182" i="1"/>
  <c r="I1505" i="1"/>
  <c r="I1690" i="1"/>
  <c r="I1684" i="1"/>
  <c r="I932" i="1"/>
  <c r="I1552" i="1"/>
  <c r="I172" i="1"/>
  <c r="I67" i="1"/>
  <c r="I1662" i="1"/>
  <c r="I328" i="1"/>
  <c r="I75" i="1"/>
  <c r="I675" i="1"/>
  <c r="I74" i="1"/>
  <c r="I162" i="1"/>
  <c r="I691" i="1"/>
  <c r="I990" i="1"/>
  <c r="I82" i="1"/>
  <c r="I138" i="1"/>
  <c r="I1420" i="1"/>
  <c r="I775" i="1"/>
  <c r="I1194" i="1"/>
  <c r="I140" i="1"/>
  <c r="I115" i="1"/>
  <c r="I1563" i="1"/>
  <c r="I118" i="1"/>
  <c r="I699" i="1"/>
  <c r="I1241" i="1"/>
  <c r="I1574" i="1"/>
  <c r="I314" i="1"/>
  <c r="I1240" i="1"/>
  <c r="I1195" i="1"/>
  <c r="I1180" i="1"/>
  <c r="I1562" i="1"/>
  <c r="I1391" i="1"/>
  <c r="I992" i="1"/>
  <c r="I1019" i="1"/>
  <c r="I1020" i="1"/>
  <c r="I1048" i="1"/>
  <c r="I736" i="1"/>
  <c r="I1364" i="1"/>
  <c r="I482" i="1"/>
  <c r="I1373" i="1"/>
  <c r="I637" i="1"/>
  <c r="I378" i="1"/>
  <c r="I645" i="1"/>
  <c r="I1626" i="1"/>
  <c r="I1629" i="1"/>
  <c r="I1166" i="1"/>
  <c r="I1165" i="1"/>
  <c r="I1695" i="1"/>
  <c r="I398" i="1"/>
  <c r="I733" i="1"/>
  <c r="I60" i="1"/>
  <c r="I1301" i="1"/>
  <c r="I502" i="1"/>
  <c r="I1447" i="1"/>
  <c r="I769" i="1"/>
  <c r="I101" i="1"/>
  <c r="I1343" i="1"/>
  <c r="I828" i="1"/>
  <c r="I1448" i="1"/>
  <c r="I1397" i="1"/>
  <c r="I1004" i="1"/>
  <c r="I443" i="1"/>
  <c r="I1188" i="1"/>
  <c r="I784" i="1"/>
  <c r="I997" i="1"/>
  <c r="I984" i="1"/>
  <c r="I1016" i="1"/>
  <c r="I552" i="1"/>
  <c r="I883" i="1"/>
  <c r="I1490" i="1"/>
  <c r="I1163" i="1"/>
  <c r="I742" i="1"/>
  <c r="I1192" i="1"/>
  <c r="I1381" i="1"/>
  <c r="I1191" i="1"/>
  <c r="I1011" i="1"/>
  <c r="I558" i="1"/>
  <c r="I728" i="1"/>
  <c r="I1339" i="1"/>
  <c r="I1049" i="1"/>
  <c r="I1342" i="1"/>
  <c r="I547" i="1"/>
  <c r="I916" i="1"/>
  <c r="I1361" i="1"/>
  <c r="I1177" i="1"/>
  <c r="I489" i="1"/>
  <c r="I730" i="1"/>
  <c r="I1458" i="1"/>
  <c r="I693" i="1"/>
  <c r="I1635" i="1"/>
  <c r="I271" i="1"/>
  <c r="I825" i="1"/>
  <c r="I418" i="1"/>
  <c r="I397" i="1"/>
  <c r="I1456" i="1"/>
  <c r="I1002" i="1"/>
  <c r="I1197" i="1"/>
  <c r="I1715" i="1"/>
  <c r="I501" i="1"/>
  <c r="I1555" i="1"/>
  <c r="I777" i="1"/>
  <c r="I225" i="1"/>
  <c r="I1543" i="1"/>
  <c r="I372" i="1"/>
  <c r="I910" i="1"/>
  <c r="I260" i="1"/>
  <c r="I879" i="1"/>
  <c r="I665" i="1"/>
  <c r="I1244" i="1"/>
  <c r="I966" i="1"/>
  <c r="I1317" i="1"/>
  <c r="I506" i="1"/>
  <c r="I882" i="1"/>
  <c r="I590" i="1"/>
  <c r="I696" i="1"/>
  <c r="I543" i="1"/>
  <c r="I629" i="1"/>
  <c r="I1040" i="1"/>
  <c r="I1069" i="1"/>
  <c r="I1060" i="1"/>
  <c r="I500" i="1"/>
  <c r="I1230" i="1"/>
  <c r="I21" i="1"/>
  <c r="I1213" i="1"/>
  <c r="I325" i="1"/>
  <c r="I1201" i="1"/>
  <c r="I492" i="1"/>
  <c r="I206" i="1"/>
  <c r="I1247" i="1"/>
  <c r="I1706" i="1"/>
  <c r="I753" i="1"/>
  <c r="I1196" i="1"/>
  <c r="I291" i="1"/>
  <c r="I827" i="1"/>
  <c r="I1221" i="1"/>
  <c r="I22" i="1"/>
  <c r="I219" i="1"/>
  <c r="I333" i="1"/>
  <c r="I1426" i="1"/>
  <c r="I964" i="1"/>
  <c r="I871" i="1"/>
  <c r="I169" i="1"/>
  <c r="I625" i="1"/>
  <c r="I1419" i="1"/>
  <c r="I1170" i="1"/>
  <c r="I1445" i="1"/>
  <c r="I1498" i="1"/>
  <c r="I517" i="1"/>
  <c r="I1459" i="1"/>
  <c r="I1044" i="1"/>
  <c r="I529" i="1"/>
  <c r="I367" i="1"/>
  <c r="I563" i="1"/>
  <c r="I914" i="1"/>
  <c r="I523" i="1"/>
  <c r="I957" i="1"/>
  <c r="I401" i="1"/>
  <c r="I701" i="1"/>
  <c r="I1172" i="1"/>
  <c r="I815" i="1"/>
  <c r="I1187" i="1"/>
  <c r="I10" i="1"/>
  <c r="I646" i="1"/>
  <c r="I1643" i="1"/>
  <c r="I938" i="1"/>
  <c r="I613" i="1"/>
  <c r="I360" i="1"/>
  <c r="I544" i="1"/>
  <c r="I712" i="1"/>
  <c r="I565" i="1"/>
  <c r="I702" i="1"/>
  <c r="I894" i="1"/>
  <c r="I290" i="1"/>
  <c r="I54" i="1"/>
  <c r="I610" i="1"/>
  <c r="I191" i="1"/>
  <c r="I509" i="1"/>
  <c r="I553" i="1"/>
  <c r="I546" i="1"/>
  <c r="I207" i="1"/>
  <c r="I744" i="1"/>
  <c r="I108" i="1"/>
  <c r="I1515" i="1"/>
  <c r="I486" i="1"/>
  <c r="I161" i="1"/>
  <c r="I295" i="1"/>
  <c r="I351" i="1"/>
  <c r="I866" i="1"/>
  <c r="I1398" i="1"/>
  <c r="I1582" i="1"/>
  <c r="I1428" i="1"/>
  <c r="I1486" i="1"/>
  <c r="I81" i="1"/>
  <c r="I1126" i="1"/>
  <c r="I976" i="1"/>
  <c r="I95" i="1"/>
  <c r="I1467" i="1"/>
  <c r="I183" i="1"/>
  <c r="I102" i="1"/>
  <c r="I484" i="1"/>
  <c r="I487" i="1"/>
  <c r="I750" i="1"/>
  <c r="I1125" i="1"/>
  <c r="I1340" i="1"/>
  <c r="I1120" i="1"/>
  <c r="I895" i="1"/>
  <c r="I29" i="1"/>
  <c r="I1309" i="1"/>
  <c r="I1256" i="1"/>
  <c r="I778" i="1"/>
  <c r="I655" i="1"/>
  <c r="I1305" i="1"/>
  <c r="I909" i="1"/>
  <c r="I1393" i="1"/>
  <c r="I187" i="1"/>
  <c r="I1322" i="1"/>
  <c r="I188" i="1"/>
  <c r="I908" i="1"/>
  <c r="I1702" i="1"/>
  <c r="I429" i="1"/>
  <c r="I446" i="1"/>
  <c r="I853" i="1"/>
  <c r="I286" i="1"/>
  <c r="I424" i="1"/>
  <c r="I1605" i="1"/>
  <c r="I1407" i="1"/>
  <c r="I189" i="1"/>
  <c r="I1457" i="1"/>
  <c r="I497" i="1"/>
  <c r="I1303" i="1"/>
  <c r="I23" i="1"/>
  <c r="I639" i="1"/>
  <c r="I1081" i="1"/>
  <c r="I638" i="1"/>
  <c r="I1323" i="1"/>
  <c r="I83" i="1"/>
  <c r="I1316" i="1"/>
  <c r="I654" i="1"/>
  <c r="I710" i="1"/>
  <c r="I222" i="1"/>
  <c r="I682" i="1"/>
  <c r="I230" i="1"/>
  <c r="I722" i="1"/>
  <c r="I1350" i="1"/>
  <c r="I1703" i="1"/>
  <c r="I1234" i="1"/>
  <c r="I1209" i="1"/>
  <c r="I1202" i="1"/>
  <c r="I320" i="1"/>
  <c r="I1233" i="1"/>
  <c r="I494" i="1"/>
  <c r="I71" i="1"/>
  <c r="I1365" i="1"/>
  <c r="I890" i="1"/>
  <c r="I1664" i="1"/>
  <c r="I996" i="1"/>
  <c r="I925" i="1"/>
  <c r="I1416" i="1"/>
  <c r="I480" i="1"/>
  <c r="I1220" i="1"/>
  <c r="I436" i="1"/>
  <c r="I1139" i="1"/>
  <c r="I1208" i="1"/>
  <c r="I53" i="1"/>
  <c r="I821" i="1"/>
  <c r="I1603" i="1"/>
  <c r="I1285" i="1"/>
  <c r="I688" i="1"/>
  <c r="I541" i="1"/>
  <c r="I35" i="1"/>
  <c r="I1101" i="1"/>
  <c r="I765" i="1"/>
  <c r="I687" i="1"/>
  <c r="I1287" i="1"/>
  <c r="I57" i="1"/>
  <c r="I1668" i="1"/>
  <c r="I1634" i="1"/>
  <c r="I763" i="1"/>
  <c r="I1679" i="1"/>
  <c r="I770" i="1"/>
  <c r="I752" i="1"/>
  <c r="I594" i="1"/>
  <c r="I1363" i="1"/>
  <c r="I804" i="1"/>
  <c r="I6" i="1"/>
  <c r="I459" i="1"/>
  <c r="I227" i="1"/>
  <c r="I591" i="1"/>
  <c r="I1207" i="1"/>
  <c r="I1462" i="1"/>
  <c r="I30" i="1"/>
  <c r="I467" i="1"/>
  <c r="I475" i="1"/>
  <c r="I1324" i="1"/>
  <c r="I593" i="1"/>
  <c r="I214" i="1"/>
  <c r="I1133" i="1"/>
  <c r="I886" i="1"/>
  <c r="I577" i="1"/>
  <c r="I1098" i="1"/>
  <c r="I1218" i="1"/>
  <c r="I841" i="1"/>
  <c r="I243" i="1"/>
  <c r="I989" i="1"/>
  <c r="I126" i="1"/>
  <c r="I131" i="1"/>
  <c r="I1417" i="1"/>
  <c r="I129" i="1"/>
  <c r="I120" i="1"/>
  <c r="I426" i="1"/>
  <c r="I1655" i="1"/>
  <c r="I1169" i="1"/>
  <c r="I1570" i="1"/>
  <c r="I1409" i="1"/>
  <c r="I1620" i="1"/>
  <c r="I987" i="1"/>
  <c r="I1696" i="1"/>
  <c r="I986" i="1"/>
  <c r="I1718" i="1"/>
  <c r="I117" i="1"/>
  <c r="I316" i="1"/>
  <c r="I974" i="1"/>
  <c r="I726" i="1"/>
  <c r="I1384" i="1"/>
  <c r="I423" i="1"/>
  <c r="I231" i="1"/>
  <c r="I241" i="1"/>
  <c r="I215" i="1"/>
  <c r="I834" i="1"/>
  <c r="I1116" i="1"/>
  <c r="I381" i="1"/>
  <c r="I1278" i="1"/>
  <c r="I1615" i="1"/>
  <c r="I1619" i="1"/>
  <c r="I119" i="1"/>
  <c r="I375" i="1"/>
  <c r="I549" i="1"/>
  <c r="I1525" i="1"/>
  <c r="I292" i="1"/>
  <c r="I413" i="1"/>
  <c r="I371" i="1"/>
  <c r="I99" i="1"/>
  <c r="I785" i="1"/>
  <c r="I1345" i="1"/>
  <c r="I366" i="1"/>
  <c r="I1228" i="1"/>
  <c r="I876" i="1"/>
  <c r="I694" i="1"/>
  <c r="I1337" i="1"/>
  <c r="I125" i="1"/>
  <c r="I603" i="1"/>
  <c r="I1618" i="1"/>
  <c r="I614" i="1"/>
  <c r="I1359" i="1"/>
  <c r="I1100" i="1"/>
  <c r="I954" i="1"/>
  <c r="I671" i="1"/>
  <c r="I1236" i="1"/>
  <c r="I840" i="1"/>
  <c r="I1556" i="1"/>
  <c r="I612" i="1"/>
  <c r="I749" i="1"/>
  <c r="I855" i="1"/>
  <c r="I262" i="1"/>
  <c r="I1534" i="1"/>
  <c r="I34" i="1"/>
  <c r="I735" i="1"/>
  <c r="I1692" i="1"/>
  <c r="I1402" i="1"/>
  <c r="I743" i="1"/>
  <c r="I601" i="1"/>
  <c r="I306" i="1"/>
  <c r="I173" i="1"/>
  <c r="I717" i="1"/>
  <c r="I419" i="1"/>
  <c r="I416" i="1"/>
  <c r="I1091" i="1"/>
  <c r="I602" i="1"/>
  <c r="I417" i="1"/>
  <c r="I1571" i="1"/>
  <c r="I254" i="1"/>
  <c r="I839" i="1"/>
  <c r="I789" i="1"/>
  <c r="I795" i="1"/>
  <c r="I1227" i="1"/>
  <c r="I1231" i="1"/>
  <c r="I863" i="1"/>
  <c r="I394" i="1"/>
  <c r="I1080" i="1"/>
  <c r="I1494" i="1"/>
  <c r="I845" i="1"/>
  <c r="I410" i="1"/>
  <c r="I732" i="1"/>
  <c r="I949" i="1"/>
  <c r="I1121" i="1"/>
  <c r="I1215" i="1"/>
  <c r="I1219" i="1"/>
  <c r="I1216" i="1"/>
  <c r="I313" i="1"/>
  <c r="I1547" i="1"/>
  <c r="I891" i="1"/>
  <c r="I1550" i="1"/>
  <c r="I1214" i="1"/>
  <c r="I913" i="1"/>
  <c r="I757" i="1"/>
  <c r="I1520" i="1"/>
  <c r="I745" i="1"/>
  <c r="I1513" i="1"/>
  <c r="I318" i="1"/>
  <c r="I1082" i="1"/>
  <c r="I479" i="1"/>
  <c r="I806" i="1"/>
  <c r="I1249" i="1"/>
  <c r="I1079" i="1"/>
  <c r="I1476" i="1"/>
  <c r="I212" i="1"/>
  <c r="I651" i="1"/>
  <c r="I758" i="1"/>
  <c r="I1135" i="1"/>
  <c r="I528" i="1"/>
  <c r="I760" i="1"/>
  <c r="I936" i="1"/>
  <c r="I1257" i="1"/>
  <c r="I854" i="1"/>
  <c r="I270" i="1"/>
  <c r="I409" i="1"/>
  <c r="I819" i="1"/>
  <c r="I905" i="1"/>
  <c r="I1266" i="1"/>
  <c r="I920" i="1"/>
  <c r="I1382" i="1"/>
  <c r="I1118" i="1"/>
  <c r="I1351" i="1"/>
  <c r="I1454" i="1"/>
  <c r="I332" i="1"/>
  <c r="I94" i="1"/>
  <c r="I266" i="1"/>
  <c r="I887" i="1"/>
  <c r="I1134" i="1"/>
  <c r="I1258" i="1"/>
  <c r="I1190" i="1"/>
  <c r="I31" i="1"/>
  <c r="I272" i="1"/>
  <c r="I69" i="1"/>
  <c r="I1579" i="1"/>
  <c r="I948" i="1"/>
  <c r="I1536" i="1"/>
  <c r="I1153" i="1"/>
  <c r="I1117" i="1"/>
  <c r="I1211" i="1"/>
  <c r="I1614" i="1"/>
  <c r="I1577" i="1"/>
  <c r="I902" i="1"/>
  <c r="I330" i="1"/>
  <c r="I1267" i="1"/>
  <c r="I1200" i="1"/>
  <c r="I1245" i="1"/>
  <c r="I762" i="1"/>
  <c r="I1575" i="1"/>
  <c r="I1292" i="1"/>
  <c r="I1644" i="1"/>
  <c r="I59" i="1"/>
  <c r="I1260" i="1"/>
  <c r="I396" i="1"/>
  <c r="I224" i="1"/>
  <c r="I383" i="1"/>
  <c r="I452" i="1"/>
  <c r="I393" i="1"/>
  <c r="I473" i="1"/>
  <c r="I1678" i="1"/>
  <c r="I1354" i="1"/>
  <c r="I323" i="1"/>
  <c r="I1540" i="1"/>
  <c r="I107" i="1"/>
  <c r="I802" i="1"/>
  <c r="I84" i="1"/>
  <c r="I1665" i="1"/>
  <c r="I1682" i="1"/>
  <c r="I391" i="1"/>
  <c r="I1294" i="1"/>
  <c r="I668" i="1"/>
  <c r="I525" i="1"/>
  <c r="I897" i="1"/>
  <c r="I1299" i="1"/>
  <c r="I1677" i="1"/>
  <c r="I1508" i="1"/>
  <c r="I103" i="1"/>
  <c r="I221" i="1"/>
  <c r="I1250" i="1"/>
  <c r="I729" i="1"/>
  <c r="I1143" i="1"/>
  <c r="I988" i="1"/>
  <c r="I1639" i="1"/>
  <c r="I1286" i="1"/>
  <c r="I797" i="1"/>
  <c r="I713" i="1"/>
  <c r="I1347" i="1"/>
  <c r="I1433" i="1"/>
  <c r="I662" i="1"/>
  <c r="I395" i="1"/>
  <c r="I650" i="1"/>
  <c r="I636" i="1"/>
  <c r="I1645" i="1"/>
  <c r="I88" i="1"/>
  <c r="I277" i="1"/>
  <c r="I507" i="1"/>
  <c r="I238" i="1"/>
  <c r="I570" i="1"/>
  <c r="I376" i="1"/>
  <c r="I1349" i="1"/>
  <c r="I975" i="1"/>
  <c r="I1683" i="1"/>
  <c r="I642" i="1"/>
  <c r="I980" i="1"/>
  <c r="I505" i="1"/>
  <c r="I258" i="1"/>
  <c r="I322" i="1"/>
  <c r="I979" i="1"/>
  <c r="I526" i="1"/>
  <c r="I285" i="1"/>
  <c r="I1142" i="1"/>
  <c r="I977" i="1"/>
  <c r="I1293" i="1"/>
  <c r="I385" i="1"/>
  <c r="I566" i="1"/>
  <c r="I256" i="1"/>
  <c r="I648" i="1"/>
  <c r="I1666" i="1"/>
  <c r="I958" i="1"/>
  <c r="I1685" i="1"/>
  <c r="I380" i="1"/>
  <c r="I390" i="1"/>
  <c r="I514" i="1"/>
  <c r="I1355" i="1"/>
  <c r="I510" i="1"/>
  <c r="I724" i="1"/>
  <c r="I1638" i="1"/>
  <c r="I746" i="1"/>
  <c r="I72" i="1"/>
  <c r="I1705" i="1"/>
  <c r="I962" i="1"/>
  <c r="I959" i="1"/>
  <c r="I1503" i="1"/>
  <c r="I1497" i="1"/>
  <c r="I978" i="1"/>
  <c r="I868" i="1"/>
  <c r="I294" i="1"/>
  <c r="I1344" i="1"/>
  <c r="I798" i="1"/>
  <c r="I824" i="1"/>
  <c r="I1460" i="1"/>
  <c r="I754" i="1"/>
  <c r="I359" i="1"/>
  <c r="I234" i="1"/>
  <c r="I969" i="1"/>
  <c r="I1304" i="1"/>
  <c r="I1589" i="1"/>
  <c r="I942" i="1"/>
  <c r="I562" i="1"/>
  <c r="I1646" i="1"/>
  <c r="I963" i="1"/>
  <c r="I1647" i="1"/>
  <c r="I940" i="1"/>
  <c r="I1085" i="1"/>
  <c r="I719" i="1"/>
  <c r="I1558" i="1"/>
  <c r="I1210" i="1"/>
  <c r="I1588" i="1"/>
  <c r="I405" i="1"/>
  <c r="I738" i="1"/>
  <c r="I1115" i="1"/>
  <c r="I571" i="1"/>
  <c r="I1307" i="1"/>
  <c r="I7" i="1"/>
  <c r="I647" i="1"/>
  <c r="I1252" i="1"/>
  <c r="I402" i="1"/>
  <c r="I527" i="1"/>
  <c r="I930" i="1"/>
  <c r="I862" i="1"/>
  <c r="I39" i="1"/>
  <c r="I809" i="1"/>
  <c r="I1591" i="1"/>
  <c r="I209" i="1"/>
  <c r="I1087" i="1"/>
  <c r="I481" i="1"/>
  <c r="I1090" i="1"/>
  <c r="I801" i="1"/>
  <c r="I175" i="1"/>
  <c r="I382" i="1"/>
  <c r="I666" i="1"/>
  <c r="I635" i="1"/>
  <c r="I363" i="1"/>
  <c r="I25" i="1"/>
  <c r="I622" i="1"/>
  <c r="I1592" i="1"/>
  <c r="I955" i="1"/>
  <c r="I33" i="1"/>
  <c r="I705" i="1"/>
  <c r="I714" i="1"/>
  <c r="I16" i="1"/>
  <c r="I1583" i="1"/>
  <c r="I1580" i="1"/>
  <c r="I1585" i="1"/>
  <c r="I20" i="1"/>
  <c r="I615" i="1"/>
  <c r="I620" i="1"/>
  <c r="I956" i="1"/>
  <c r="I155" i="1"/>
  <c r="I17" i="1"/>
  <c r="I64" i="1"/>
  <c r="I1043" i="1"/>
  <c r="I1514" i="1"/>
  <c r="I281" i="1"/>
  <c r="I1066" i="1"/>
  <c r="I1246" i="1"/>
  <c r="I1261" i="1"/>
  <c r="I1239" i="1"/>
  <c r="I1386" i="1"/>
  <c r="I1598" i="1"/>
  <c r="I32" i="1"/>
  <c r="I1429" i="1"/>
  <c r="I670" i="1"/>
  <c r="I464" i="1"/>
  <c r="I1533" i="1"/>
  <c r="I1070" i="1"/>
  <c r="I788" i="1"/>
  <c r="I1442" i="1"/>
  <c r="I1724" i="1"/>
  <c r="I1401" i="1"/>
  <c r="I63" i="1"/>
  <c r="I1661" i="1"/>
  <c r="I1242" i="1"/>
  <c r="I829" i="1"/>
  <c r="I1545" i="1"/>
  <c r="I1039" i="1"/>
  <c r="I440" i="1"/>
  <c r="I1272" i="1"/>
  <c r="I269" i="1"/>
  <c r="I301" i="1"/>
  <c r="I1068" i="1"/>
  <c r="I1394" i="1"/>
  <c r="I297" i="1"/>
  <c r="I952" i="1"/>
  <c r="I893" i="1"/>
  <c r="I1378" i="1"/>
  <c r="I1521" i="1"/>
  <c r="I1423" i="1"/>
  <c r="I354" i="1"/>
  <c r="I1551" i="1"/>
  <c r="I283" i="1"/>
  <c r="I1593" i="1"/>
  <c r="I352" i="1"/>
  <c r="I1262" i="1"/>
  <c r="I1327" i="1"/>
  <c r="I587" i="1"/>
  <c r="I1074" i="1"/>
  <c r="I606" i="1"/>
  <c r="I574" i="1"/>
  <c r="I861" i="1"/>
  <c r="I201" i="1"/>
  <c r="I356" i="1"/>
  <c r="I312" i="1"/>
  <c r="I327" i="1"/>
  <c r="I373" i="1"/>
  <c r="I1018" i="1"/>
  <c r="I575" i="1"/>
  <c r="I1325" i="1"/>
  <c r="I643" i="1"/>
  <c r="I554" i="1"/>
  <c r="I659" i="1"/>
  <c r="I1699" i="1"/>
  <c r="I1071" i="1"/>
  <c r="I1290" i="1"/>
  <c r="I307" i="1"/>
  <c r="I740" i="1"/>
  <c r="I906" i="1"/>
  <c r="I150" i="1"/>
  <c r="I177" i="1"/>
  <c r="I923" i="1"/>
  <c r="I1007" i="1"/>
  <c r="I1129" i="1"/>
  <c r="I1595" i="1"/>
  <c r="I1186" i="1"/>
  <c r="I1597" i="1"/>
  <c r="I1531" i="1"/>
  <c r="I476" i="1"/>
  <c r="I1123" i="1"/>
  <c r="I1625" i="1"/>
  <c r="I850" i="1"/>
  <c r="I681" i="1"/>
  <c r="I434" i="1"/>
  <c r="I1109" i="1"/>
  <c r="I45" i="1"/>
  <c r="I47" i="1"/>
  <c r="I1055" i="1"/>
  <c r="I1674" i="1"/>
  <c r="I218" i="1"/>
  <c r="I1370" i="1"/>
  <c r="I533" i="1"/>
  <c r="I1438" i="1"/>
  <c r="I791" i="1"/>
  <c r="I1604" i="1"/>
  <c r="I1481" i="1"/>
  <c r="I1315" i="1"/>
  <c r="I1392" i="1"/>
  <c r="I1610" i="1"/>
  <c r="I796" i="1"/>
  <c r="I633" i="1"/>
  <c r="I1565" i="1"/>
  <c r="I1446" i="1"/>
  <c r="I445" i="1"/>
  <c r="I624" i="1"/>
  <c r="I1627" i="1"/>
  <c r="I1636" i="1"/>
  <c r="I787" i="1"/>
  <c r="I257" i="1"/>
  <c r="I627" i="1"/>
  <c r="I1046" i="1"/>
  <c r="I1621" i="1"/>
  <c r="I151" i="1"/>
  <c r="I1663" i="1"/>
  <c r="I55" i="1"/>
  <c r="I350" i="1"/>
  <c r="I1468" i="1"/>
  <c r="I68" i="1"/>
  <c r="I114" i="1"/>
  <c r="I1047" i="1"/>
  <c r="I1568" i="1"/>
  <c r="I1157" i="1"/>
  <c r="I355" i="1"/>
  <c r="I1496" i="1"/>
  <c r="I433" i="1"/>
  <c r="I1482" i="1"/>
  <c r="I491" i="1"/>
  <c r="I1642" i="1"/>
  <c r="I353" i="1"/>
  <c r="I146" i="1"/>
  <c r="I441" i="1"/>
  <c r="I683" i="1"/>
  <c r="I677" i="1"/>
  <c r="I1675" i="1"/>
  <c r="I1053" i="1"/>
  <c r="I1725" i="1"/>
  <c r="I818" i="1"/>
  <c r="I122" i="1"/>
  <c r="I1567" i="1"/>
  <c r="I456" i="1"/>
  <c r="I1569" i="1"/>
  <c r="I1501" i="1"/>
  <c r="I455" i="1"/>
  <c r="I716" i="1"/>
  <c r="I461" i="1"/>
  <c r="I766" i="1"/>
  <c r="I1273" i="1"/>
  <c r="I512" i="1"/>
  <c r="I1253" i="1"/>
  <c r="I1254" i="1"/>
  <c r="I470" i="1"/>
  <c r="I516" i="1"/>
  <c r="I1542" i="1"/>
  <c r="I846" i="1"/>
  <c r="I856" i="1"/>
  <c r="I132" i="1"/>
  <c r="I374" i="1"/>
  <c r="I1296" i="1"/>
  <c r="I1312" i="1"/>
  <c r="I761" i="1"/>
  <c r="I1277" i="1"/>
  <c r="I884" i="1"/>
  <c r="I1072" i="1"/>
  <c r="I1059" i="1"/>
  <c r="I678" i="1"/>
  <c r="I685" i="1"/>
  <c r="I1564" i="1"/>
  <c r="I425" i="1"/>
  <c r="I343" i="1"/>
  <c r="I179" i="1"/>
  <c r="I1105" i="1"/>
  <c r="I1727" i="1"/>
  <c r="I1473" i="1"/>
  <c r="I1479" i="1"/>
  <c r="I1232" i="1"/>
  <c r="I404" i="1"/>
  <c r="I329" i="1"/>
  <c r="I156" i="1"/>
  <c r="I1716" i="1"/>
  <c r="I337" i="1"/>
  <c r="I831" i="1"/>
  <c r="I342" i="1"/>
  <c r="I690" i="1"/>
  <c r="I692" i="1"/>
  <c r="I319" i="1"/>
  <c r="I1358" i="1"/>
  <c r="I1530" i="1"/>
  <c r="I994" i="1"/>
  <c r="I1519" i="1"/>
  <c r="I406" i="1"/>
  <c r="I538" i="1"/>
  <c r="I1357" i="1"/>
  <c r="I340" i="1"/>
  <c r="I503" i="1"/>
  <c r="I80" i="1"/>
  <c r="I1623" i="1"/>
  <c r="I564" i="1"/>
  <c r="I420" i="1"/>
  <c r="I1403" i="1"/>
  <c r="I731" i="1"/>
  <c r="I1167" i="1"/>
  <c r="I1199" i="1"/>
  <c r="I38" i="1"/>
  <c r="I1529" i="1"/>
  <c r="I400" i="1"/>
  <c r="I1274" i="1"/>
  <c r="I1073" i="1"/>
  <c r="I1612" i="1"/>
  <c r="I399" i="1"/>
  <c r="I1183" i="1"/>
  <c r="I1652" i="1"/>
  <c r="I1127" i="1"/>
  <c r="I79" i="1"/>
  <c r="I1028" i="1"/>
  <c r="I341" i="1"/>
  <c r="I76" i="1"/>
  <c r="I1029" i="1"/>
  <c r="I86" i="1"/>
  <c r="I888" i="1"/>
  <c r="I531" i="1"/>
  <c r="I1067" i="1"/>
  <c r="I1538" i="1"/>
  <c r="I462" i="1"/>
  <c r="I1033" i="1"/>
  <c r="I415" i="1"/>
  <c r="I1062" i="1"/>
  <c r="I1517" i="1"/>
  <c r="I1388" i="1"/>
  <c r="I1298" i="1"/>
  <c r="I1546" i="1"/>
  <c r="I296" i="1"/>
  <c r="I1014" i="1"/>
  <c r="I284" i="1"/>
  <c r="I1138" i="1"/>
  <c r="I1444" i="1"/>
  <c r="I1722" i="1"/>
  <c r="I1453" i="1"/>
  <c r="I810" i="1"/>
  <c r="I1036" i="1"/>
  <c r="I1075" i="1"/>
  <c r="I403" i="1"/>
  <c r="I926" i="1"/>
  <c r="I1387" i="1"/>
  <c r="I184" i="1"/>
  <c r="I1632" i="1"/>
  <c r="I929" i="1"/>
  <c r="I250" i="1"/>
  <c r="I1670" i="1"/>
  <c r="I180" i="1"/>
  <c r="I1038" i="1"/>
  <c r="I15" i="1"/>
  <c r="I432" i="1"/>
  <c r="I1198" i="1"/>
  <c r="I835" i="1"/>
  <c r="I967" i="1"/>
  <c r="I1371" i="1"/>
  <c r="I584" i="1"/>
  <c r="I1122" i="1"/>
  <c r="I826" i="1"/>
  <c r="I1160" i="1"/>
  <c r="I1374" i="1"/>
  <c r="I1086" i="1"/>
  <c r="I1474" i="1"/>
  <c r="I1130" i="1"/>
  <c r="I388" i="1"/>
  <c r="I386" i="1"/>
  <c r="I1554" i="1"/>
  <c r="I1489" i="1"/>
  <c r="I389" i="1"/>
  <c r="I1512" i="1"/>
  <c r="I751" i="1"/>
  <c r="I519" i="1"/>
  <c r="I121" i="1"/>
  <c r="I336" i="1"/>
  <c r="I116" i="1"/>
  <c r="I520" i="1"/>
  <c r="I689" i="1"/>
  <c r="I1559" i="1"/>
  <c r="I1566" i="1"/>
  <c r="I1686" i="1"/>
  <c r="I1673" i="1"/>
  <c r="I174" i="1"/>
  <c r="I1483" i="1"/>
  <c r="I1171" i="1"/>
  <c r="I1480" i="1"/>
  <c r="I1511" i="1"/>
  <c r="I145" i="1"/>
  <c r="I190" i="1"/>
  <c r="I87" i="1"/>
  <c r="I950" i="1"/>
  <c r="I1676" i="1"/>
  <c r="I1282" i="1"/>
  <c r="I1022" i="1"/>
  <c r="I508" i="1"/>
  <c r="I741" i="1"/>
  <c r="I159" i="1"/>
  <c r="I1145" i="1"/>
  <c r="I1518" i="1"/>
  <c r="I252" i="1"/>
  <c r="I1461" i="1"/>
  <c r="I1516" i="1"/>
  <c r="I823" i="1"/>
  <c r="I611" i="1"/>
  <c r="I656" i="1"/>
  <c r="I274" i="1"/>
  <c r="I96" i="1"/>
  <c r="I1023" i="1"/>
  <c r="I1434" i="1"/>
  <c r="I453" i="1"/>
  <c r="I1271" i="1"/>
  <c r="I1660" i="1"/>
  <c r="I1366" i="1"/>
  <c r="I205" i="1"/>
  <c r="I1300" i="1"/>
  <c r="I444" i="1"/>
  <c r="I123" i="1"/>
  <c r="I1436" i="1"/>
  <c r="I522" i="1"/>
  <c r="I965" i="1"/>
  <c r="I1557" i="1"/>
  <c r="I569" i="1"/>
  <c r="I1024" i="1"/>
  <c r="I588" i="1"/>
  <c r="I599" i="1"/>
  <c r="I1148" i="1"/>
  <c r="I450" i="1"/>
  <c r="I1581" i="1"/>
  <c r="I586" i="1"/>
  <c r="I1721" i="1"/>
  <c r="I1182" i="1"/>
  <c r="I889" i="1"/>
  <c r="I449" i="1"/>
  <c r="I1026" i="1"/>
  <c r="I1021" i="1"/>
  <c r="I1485" i="1"/>
  <c r="I1333" i="1"/>
  <c r="I1141" i="1"/>
  <c r="I597" i="1"/>
  <c r="I658" i="1"/>
  <c r="I1691" i="1"/>
  <c r="I583" i="1"/>
  <c r="I609" i="1"/>
  <c r="I657" i="1"/>
  <c r="I1599" i="1"/>
  <c r="I667" i="1"/>
  <c r="I598" i="1"/>
  <c r="I1455" i="1"/>
  <c r="I1124" i="1"/>
  <c r="I1720" i="1"/>
  <c r="I265" i="1"/>
  <c r="I1264" i="1"/>
  <c r="I1404" i="1"/>
  <c r="I539" i="1"/>
  <c r="I1284" i="1"/>
  <c r="I922" i="1"/>
  <c r="I1440" i="1"/>
  <c r="I540" i="1"/>
  <c r="I1131" i="1"/>
  <c r="I1162" i="1"/>
  <c r="I790" i="1"/>
  <c r="I737" i="1"/>
  <c r="I13" i="1"/>
  <c r="I1248" i="1"/>
  <c r="I387" i="1"/>
  <c r="I1441" i="1"/>
  <c r="I904" i="1"/>
  <c r="I935" i="1"/>
  <c r="I939" i="1"/>
  <c r="I110" i="1"/>
  <c r="I700" i="1"/>
  <c r="I820" i="1"/>
  <c r="I1106" i="1"/>
  <c r="I1689" i="1"/>
  <c r="I1487" i="1"/>
  <c r="I1463" i="1"/>
  <c r="I111" i="1"/>
  <c r="I1471" i="1"/>
  <c r="I488" i="1"/>
  <c r="I1297" i="1"/>
  <c r="I1128" i="1"/>
  <c r="I448" i="1"/>
  <c r="I870" i="1"/>
  <c r="I98" i="1"/>
  <c r="I534" i="1"/>
  <c r="I90" i="1"/>
  <c r="I242" i="1"/>
  <c r="I1406" i="1"/>
  <c r="I1410" i="1"/>
  <c r="I1641" i="1"/>
  <c r="I1159" i="1"/>
  <c r="I1111" i="1"/>
  <c r="I535" i="1"/>
  <c r="I1450" i="1"/>
  <c r="I1510" i="1"/>
  <c r="I1412" i="1"/>
  <c r="I937" i="1"/>
  <c r="I1608" i="1"/>
  <c r="I1161" i="1"/>
  <c r="I1385" i="1"/>
  <c r="I1154" i="1"/>
  <c r="I106" i="1"/>
  <c r="I1308" i="1"/>
  <c r="I1464" i="1"/>
  <c r="I1650" i="1"/>
  <c r="I1659" i="1"/>
  <c r="I1681" i="1"/>
  <c r="I9" i="1"/>
  <c r="I661" i="1"/>
  <c r="I1651" i="1"/>
  <c r="I901" i="1"/>
  <c r="I451" i="1"/>
  <c r="I968" i="1"/>
  <c r="I112" i="1"/>
  <c r="I1601" i="1"/>
  <c r="I814" i="1"/>
  <c r="I595" i="1"/>
  <c r="I1225" i="1"/>
  <c r="I185" i="1"/>
  <c r="I463" i="1"/>
  <c r="I430" i="1"/>
  <c r="I14" i="1"/>
  <c r="I1302" i="1"/>
  <c r="I251" i="1"/>
  <c r="I1522" i="1"/>
  <c r="I907" i="1"/>
  <c r="I92" i="1"/>
  <c r="I1624" i="1"/>
  <c r="I1492" i="1"/>
  <c r="I1054" i="1"/>
  <c r="I1295" i="1"/>
  <c r="I576" i="1"/>
  <c r="I1224" i="1"/>
  <c r="I255" i="1"/>
  <c r="I493" i="1"/>
  <c r="I181" i="1"/>
  <c r="I186" i="1"/>
  <c r="I771" i="1"/>
  <c r="I1439" i="1"/>
  <c r="I709" i="1"/>
  <c r="I864" i="1"/>
  <c r="I220" i="1"/>
  <c r="I1711" i="1"/>
  <c r="I1710" i="1"/>
  <c r="I1422" i="1"/>
  <c r="I1353" i="1"/>
  <c r="I1181" i="1"/>
  <c r="I358" i="1"/>
  <c r="I686" i="1"/>
  <c r="I1700" i="1"/>
  <c r="I1152" i="1"/>
  <c r="I1425" i="1"/>
  <c r="I851" i="1"/>
  <c r="I1523" i="1"/>
  <c r="I1076" i="1"/>
  <c r="I1229" i="1"/>
  <c r="I885" i="1"/>
  <c r="I900" i="1"/>
  <c r="I253" i="1"/>
  <c r="I630" i="1"/>
  <c r="I764" i="1"/>
  <c r="I248" i="1"/>
  <c r="I1008" i="1"/>
  <c r="I924" i="1"/>
  <c r="I1010" i="1"/>
  <c r="I1013" i="1"/>
  <c r="I1095" i="1"/>
  <c r="I1012" i="1"/>
  <c r="I422" i="1"/>
  <c r="I1688" i="1"/>
  <c r="I127" i="1"/>
  <c r="I1637" i="1"/>
  <c r="I1238" i="1"/>
  <c r="I628" i="1"/>
  <c r="I1719" i="1"/>
  <c r="I1223" i="1"/>
  <c r="I838" i="1"/>
  <c r="I803" i="1"/>
  <c r="I428" i="1"/>
  <c r="I1097" i="1"/>
  <c r="I1289" i="1"/>
  <c r="I1237" i="1"/>
  <c r="I1205" i="1"/>
  <c r="I1502" i="1"/>
  <c r="I1203" i="1"/>
  <c r="I1475" i="1"/>
  <c r="I431" i="1"/>
  <c r="I407" i="1"/>
  <c r="I1094" i="1"/>
  <c r="I1204" i="1"/>
  <c r="I1206" i="1"/>
  <c r="I1631" i="1"/>
  <c r="I857" i="1"/>
  <c r="I240" i="1"/>
  <c r="I933" i="1"/>
  <c r="I1222" i="1"/>
  <c r="I911" i="1"/>
  <c r="I1469" i="1"/>
  <c r="I1217" i="1"/>
  <c r="I244" i="1"/>
  <c r="I579" i="1"/>
  <c r="I578" i="1"/>
  <c r="I259" i="1"/>
  <c r="I816" i="1"/>
  <c r="I1630" i="1"/>
  <c r="I1093" i="1"/>
  <c r="I837" i="1"/>
  <c r="I1045" i="1"/>
  <c r="I1348" i="1"/>
  <c r="I748" i="1"/>
  <c r="I435" i="1"/>
  <c r="I308" i="1"/>
  <c r="I309" i="1"/>
  <c r="I1390" i="1"/>
  <c r="I246" i="1"/>
  <c r="I1368" i="1"/>
  <c r="I813" i="1"/>
  <c r="I1367" i="1"/>
  <c r="I664" i="1"/>
  <c r="I1136" i="1"/>
  <c r="I289" i="1"/>
  <c r="I518" i="1"/>
  <c r="I288" i="1"/>
  <c r="I421" i="1"/>
  <c r="I774" i="1"/>
  <c r="I812" i="1"/>
  <c r="I223" i="1"/>
  <c r="I427" i="1"/>
  <c r="I1352" i="1"/>
  <c r="I1003" i="1"/>
  <c r="I1283" i="1"/>
  <c r="I128" i="1"/>
  <c r="I1112" i="1"/>
  <c r="I1452" i="1"/>
  <c r="I1611" i="1"/>
  <c r="I495" i="1"/>
  <c r="I124" i="1"/>
  <c r="I176" i="1"/>
  <c r="I412" i="1"/>
  <c r="I873" i="1"/>
  <c r="I875" i="1"/>
  <c r="I592" i="1"/>
  <c r="I498" i="1"/>
  <c r="I477" i="1"/>
  <c r="I849" i="1"/>
  <c r="I759" i="1"/>
  <c r="I1255" i="1"/>
  <c r="I1470" i="1"/>
  <c r="I1107" i="1"/>
  <c r="I572" i="1"/>
  <c r="I1649" i="1"/>
  <c r="I235" i="1"/>
  <c r="I960" i="1"/>
  <c r="I961" i="1"/>
  <c r="I1667" i="1"/>
  <c r="I466" i="1"/>
  <c r="I1259" i="1"/>
  <c r="I8" i="1"/>
  <c r="I899" i="1"/>
  <c r="I928" i="1"/>
  <c r="I1336" i="1"/>
  <c r="I504" i="1"/>
  <c r="I674" i="1"/>
  <c r="I361" i="1"/>
  <c r="I3" i="1"/>
  <c r="I707" i="1"/>
  <c r="I365" i="1"/>
  <c r="I100" i="1"/>
  <c r="I130" i="1"/>
  <c r="I708" i="1"/>
  <c r="I66" i="1"/>
  <c r="I490" i="1"/>
  <c r="I364" i="1"/>
  <c r="I697" i="1"/>
  <c r="I706" i="1"/>
  <c r="I634" i="1"/>
  <c r="I673" i="1"/>
  <c r="I379" i="1"/>
  <c r="I711" i="1"/>
  <c r="I793" i="1"/>
  <c r="I167" i="1"/>
  <c r="I617" i="1"/>
  <c r="I715" i="1"/>
  <c r="I1156" i="1"/>
  <c r="I370" i="1"/>
  <c r="I618" i="1"/>
  <c r="I725" i="1"/>
  <c r="I723" i="1"/>
  <c r="I91" i="1"/>
  <c r="I872" i="1"/>
  <c r="I953" i="1"/>
  <c r="I567" i="1"/>
  <c r="I934" i="1"/>
  <c r="I1275" i="1"/>
  <c r="I1375" i="1"/>
  <c r="I869" i="1"/>
  <c r="I78" i="1"/>
  <c r="I865" i="1"/>
  <c r="I874" i="1"/>
  <c r="I5" i="1"/>
  <c r="I881" i="1"/>
  <c r="I537" i="1"/>
  <c r="M537" i="1"/>
  <c r="N537" i="1"/>
  <c r="P537" i="1"/>
  <c r="Q537" i="1"/>
  <c r="M881" i="1"/>
  <c r="N881" i="1"/>
  <c r="P881" i="1"/>
  <c r="Q881" i="1"/>
  <c r="M5" i="1"/>
  <c r="N5" i="1"/>
  <c r="P5" i="1"/>
  <c r="Q5" i="1"/>
  <c r="M874" i="1"/>
  <c r="N874" i="1"/>
  <c r="P874" i="1"/>
  <c r="Q874" i="1"/>
  <c r="M865" i="1"/>
  <c r="N865" i="1"/>
  <c r="P865" i="1"/>
  <c r="Q865" i="1"/>
  <c r="M78" i="1"/>
  <c r="N78" i="1"/>
  <c r="P78" i="1"/>
  <c r="Q78" i="1"/>
  <c r="M869" i="1"/>
  <c r="N869" i="1"/>
  <c r="P869" i="1"/>
  <c r="Q869" i="1"/>
  <c r="M1375" i="1"/>
  <c r="N1375" i="1"/>
  <c r="P1375" i="1"/>
  <c r="Q1375" i="1"/>
  <c r="M1275" i="1"/>
  <c r="N1275" i="1"/>
  <c r="P1275" i="1"/>
  <c r="Q1275" i="1"/>
  <c r="M934" i="1"/>
  <c r="N934" i="1"/>
  <c r="P934" i="1"/>
  <c r="Q934" i="1"/>
  <c r="M567" i="1"/>
  <c r="N567" i="1"/>
  <c r="P567" i="1"/>
  <c r="Q567" i="1"/>
  <c r="M953" i="1"/>
  <c r="N953" i="1"/>
  <c r="P953" i="1"/>
  <c r="Q953" i="1"/>
  <c r="M872" i="1"/>
  <c r="N872" i="1"/>
  <c r="P872" i="1"/>
  <c r="Q872" i="1"/>
  <c r="M91" i="1"/>
  <c r="N91" i="1"/>
  <c r="P91" i="1"/>
  <c r="Q91" i="1"/>
  <c r="M723" i="1"/>
  <c r="N723" i="1"/>
  <c r="P723" i="1"/>
  <c r="Q723" i="1"/>
  <c r="M725" i="1"/>
  <c r="N725" i="1"/>
  <c r="P725" i="1"/>
  <c r="Q725" i="1"/>
  <c r="M618" i="1"/>
  <c r="N618" i="1"/>
  <c r="P618" i="1"/>
  <c r="Q618" i="1"/>
  <c r="M370" i="1"/>
  <c r="N370" i="1"/>
  <c r="P370" i="1"/>
  <c r="Q370" i="1"/>
  <c r="M1156" i="1"/>
  <c r="N1156" i="1"/>
  <c r="P1156" i="1"/>
  <c r="Q1156" i="1"/>
  <c r="M715" i="1"/>
  <c r="N715" i="1"/>
  <c r="P715" i="1"/>
  <c r="Q715" i="1"/>
  <c r="M617" i="1"/>
  <c r="N617" i="1"/>
  <c r="P617" i="1"/>
  <c r="Q617" i="1"/>
  <c r="M167" i="1"/>
  <c r="N167" i="1"/>
  <c r="P167" i="1"/>
  <c r="Q167" i="1"/>
  <c r="M793" i="1"/>
  <c r="N793" i="1"/>
  <c r="P793" i="1"/>
  <c r="Q793" i="1"/>
  <c r="M711" i="1"/>
  <c r="N711" i="1"/>
  <c r="P711" i="1"/>
  <c r="Q711" i="1"/>
  <c r="M379" i="1"/>
  <c r="N379" i="1"/>
  <c r="P379" i="1"/>
  <c r="Q379" i="1"/>
  <c r="M673" i="1"/>
  <c r="N673" i="1"/>
  <c r="P673" i="1"/>
  <c r="Q673" i="1"/>
  <c r="M634" i="1"/>
  <c r="N634" i="1"/>
  <c r="P634" i="1"/>
  <c r="Q634" i="1"/>
  <c r="M706" i="1"/>
  <c r="N706" i="1"/>
  <c r="P706" i="1"/>
  <c r="Q706" i="1"/>
  <c r="M697" i="1"/>
  <c r="N697" i="1"/>
  <c r="P697" i="1"/>
  <c r="Q697" i="1"/>
  <c r="M364" i="1"/>
  <c r="N364" i="1"/>
  <c r="P364" i="1"/>
  <c r="Q364" i="1"/>
  <c r="M490" i="1"/>
  <c r="N490" i="1"/>
  <c r="P490" i="1"/>
  <c r="Q490" i="1"/>
  <c r="M66" i="1"/>
  <c r="N66" i="1"/>
  <c r="P66" i="1"/>
  <c r="Q66" i="1"/>
  <c r="M708" i="1"/>
  <c r="N708" i="1"/>
  <c r="P708" i="1"/>
  <c r="Q708" i="1"/>
  <c r="M130" i="1"/>
  <c r="N130" i="1"/>
  <c r="P130" i="1"/>
  <c r="Q130" i="1"/>
  <c r="M100" i="1"/>
  <c r="N100" i="1"/>
  <c r="P100" i="1"/>
  <c r="Q100" i="1"/>
  <c r="M365" i="1"/>
  <c r="N365" i="1"/>
  <c r="P365" i="1"/>
  <c r="Q365" i="1"/>
  <c r="M707" i="1"/>
  <c r="N707" i="1"/>
  <c r="P707" i="1"/>
  <c r="Q707" i="1"/>
  <c r="M3" i="1"/>
  <c r="N3" i="1"/>
  <c r="P3" i="1"/>
  <c r="Q3" i="1"/>
  <c r="M361" i="1"/>
  <c r="N361" i="1"/>
  <c r="P361" i="1"/>
  <c r="Q361" i="1"/>
  <c r="M674" i="1"/>
  <c r="N674" i="1"/>
  <c r="P674" i="1"/>
  <c r="Q674" i="1"/>
  <c r="M504" i="1"/>
  <c r="N504" i="1"/>
  <c r="P504" i="1"/>
  <c r="Q504" i="1"/>
  <c r="M1336" i="1"/>
  <c r="N1336" i="1"/>
  <c r="P1336" i="1"/>
  <c r="Q1336" i="1"/>
  <c r="M928" i="1"/>
  <c r="N928" i="1"/>
  <c r="P928" i="1"/>
  <c r="Q928" i="1"/>
  <c r="M899" i="1"/>
  <c r="N899" i="1"/>
  <c r="P899" i="1"/>
  <c r="Q899" i="1"/>
  <c r="M8" i="1"/>
  <c r="N8" i="1"/>
  <c r="P8" i="1"/>
  <c r="Q8" i="1"/>
  <c r="M1259" i="1"/>
  <c r="N1259" i="1"/>
  <c r="P1259" i="1"/>
  <c r="Q1259" i="1"/>
  <c r="M466" i="1"/>
  <c r="N466" i="1"/>
  <c r="P466" i="1"/>
  <c r="Q466" i="1"/>
  <c r="M1667" i="1"/>
  <c r="N1667" i="1"/>
  <c r="P1667" i="1"/>
  <c r="Q1667" i="1"/>
  <c r="M961" i="1"/>
  <c r="N961" i="1"/>
  <c r="P961" i="1"/>
  <c r="Q961" i="1"/>
  <c r="M960" i="1"/>
  <c r="N960" i="1"/>
  <c r="P960" i="1"/>
  <c r="Q960" i="1"/>
  <c r="M235" i="1"/>
  <c r="N235" i="1"/>
  <c r="P235" i="1"/>
  <c r="Q235" i="1"/>
  <c r="M1649" i="1"/>
  <c r="N1649" i="1"/>
  <c r="P1649" i="1"/>
  <c r="Q1649" i="1"/>
  <c r="M572" i="1"/>
  <c r="N572" i="1"/>
  <c r="P572" i="1"/>
  <c r="Q572" i="1"/>
  <c r="M1107" i="1"/>
  <c r="N1107" i="1"/>
  <c r="P1107" i="1"/>
  <c r="Q1107" i="1"/>
  <c r="M1470" i="1"/>
  <c r="N1470" i="1"/>
  <c r="P1470" i="1"/>
  <c r="Q1470" i="1"/>
  <c r="M1255" i="1"/>
  <c r="N1255" i="1"/>
  <c r="P1255" i="1"/>
  <c r="Q1255" i="1"/>
  <c r="M759" i="1"/>
  <c r="N759" i="1"/>
  <c r="P759" i="1"/>
  <c r="Q759" i="1"/>
  <c r="M849" i="1"/>
  <c r="N849" i="1"/>
  <c r="P849" i="1"/>
  <c r="Q849" i="1"/>
  <c r="M477" i="1"/>
  <c r="N477" i="1"/>
  <c r="P477" i="1"/>
  <c r="Q477" i="1"/>
  <c r="M498" i="1"/>
  <c r="N498" i="1"/>
  <c r="P498" i="1"/>
  <c r="Q498" i="1"/>
  <c r="M592" i="1"/>
  <c r="N592" i="1"/>
  <c r="P592" i="1"/>
  <c r="Q592" i="1"/>
  <c r="M875" i="1"/>
  <c r="N875" i="1"/>
  <c r="P875" i="1"/>
  <c r="Q875" i="1"/>
  <c r="M873" i="1"/>
  <c r="N873" i="1"/>
  <c r="P873" i="1"/>
  <c r="Q873" i="1"/>
  <c r="M412" i="1"/>
  <c r="N412" i="1"/>
  <c r="P412" i="1"/>
  <c r="Q412" i="1"/>
  <c r="M176" i="1"/>
  <c r="N176" i="1"/>
  <c r="P176" i="1"/>
  <c r="Q176" i="1"/>
  <c r="M124" i="1"/>
  <c r="N124" i="1"/>
  <c r="P124" i="1"/>
  <c r="Q124" i="1"/>
  <c r="M495" i="1"/>
  <c r="N495" i="1"/>
  <c r="P495" i="1"/>
  <c r="Q495" i="1"/>
  <c r="M1611" i="1"/>
  <c r="N1611" i="1"/>
  <c r="P1611" i="1"/>
  <c r="Q1611" i="1"/>
  <c r="M1452" i="1"/>
  <c r="N1452" i="1"/>
  <c r="P1452" i="1"/>
  <c r="Q1452" i="1"/>
  <c r="M1112" i="1"/>
  <c r="N1112" i="1"/>
  <c r="P1112" i="1"/>
  <c r="Q1112" i="1"/>
  <c r="M128" i="1"/>
  <c r="N128" i="1"/>
  <c r="P128" i="1"/>
  <c r="Q128" i="1"/>
  <c r="M1283" i="1"/>
  <c r="N1283" i="1"/>
  <c r="P1283" i="1"/>
  <c r="Q1283" i="1"/>
  <c r="M1003" i="1"/>
  <c r="N1003" i="1"/>
  <c r="P1003" i="1"/>
  <c r="Q1003" i="1"/>
  <c r="M1352" i="1"/>
  <c r="N1352" i="1"/>
  <c r="P1352" i="1"/>
  <c r="Q1352" i="1"/>
  <c r="M427" i="1"/>
  <c r="N427" i="1"/>
  <c r="P427" i="1"/>
  <c r="Q427" i="1"/>
  <c r="M223" i="1"/>
  <c r="N223" i="1"/>
  <c r="P223" i="1"/>
  <c r="Q223" i="1"/>
  <c r="M812" i="1"/>
  <c r="N812" i="1"/>
  <c r="P812" i="1"/>
  <c r="Q812" i="1"/>
  <c r="M774" i="1"/>
  <c r="N774" i="1"/>
  <c r="P774" i="1"/>
  <c r="Q774" i="1"/>
  <c r="M421" i="1"/>
  <c r="N421" i="1"/>
  <c r="P421" i="1"/>
  <c r="Q421" i="1"/>
  <c r="M288" i="1"/>
  <c r="N288" i="1"/>
  <c r="P288" i="1"/>
  <c r="Q288" i="1"/>
  <c r="M518" i="1"/>
  <c r="N518" i="1"/>
  <c r="P518" i="1"/>
  <c r="Q518" i="1"/>
  <c r="M289" i="1"/>
  <c r="N289" i="1"/>
  <c r="P289" i="1"/>
  <c r="Q289" i="1"/>
  <c r="M1136" i="1"/>
  <c r="N1136" i="1"/>
  <c r="P1136" i="1"/>
  <c r="Q1136" i="1"/>
  <c r="M664" i="1"/>
  <c r="N664" i="1"/>
  <c r="P664" i="1"/>
  <c r="Q664" i="1"/>
  <c r="M1367" i="1"/>
  <c r="N1367" i="1"/>
  <c r="P1367" i="1"/>
  <c r="Q1367" i="1"/>
  <c r="M813" i="1"/>
  <c r="N813" i="1"/>
  <c r="P813" i="1"/>
  <c r="Q813" i="1"/>
  <c r="M1368" i="1"/>
  <c r="N1368" i="1"/>
  <c r="P1368" i="1"/>
  <c r="Q1368" i="1"/>
  <c r="M246" i="1"/>
  <c r="N246" i="1"/>
  <c r="P246" i="1"/>
  <c r="Q246" i="1"/>
  <c r="M1390" i="1"/>
  <c r="N1390" i="1"/>
  <c r="P1390" i="1"/>
  <c r="Q1390" i="1"/>
  <c r="M309" i="1"/>
  <c r="N309" i="1"/>
  <c r="P309" i="1"/>
  <c r="Q309" i="1"/>
  <c r="M308" i="1"/>
  <c r="N308" i="1"/>
  <c r="P308" i="1"/>
  <c r="Q308" i="1"/>
  <c r="M435" i="1"/>
  <c r="N435" i="1"/>
  <c r="P435" i="1"/>
  <c r="Q435" i="1"/>
  <c r="M748" i="1"/>
  <c r="N748" i="1"/>
  <c r="P748" i="1"/>
  <c r="Q748" i="1"/>
  <c r="M1348" i="1"/>
  <c r="N1348" i="1"/>
  <c r="P1348" i="1"/>
  <c r="Q1348" i="1"/>
  <c r="M1045" i="1"/>
  <c r="N1045" i="1"/>
  <c r="P1045" i="1"/>
  <c r="Q1045" i="1"/>
  <c r="M837" i="1"/>
  <c r="N837" i="1"/>
  <c r="P837" i="1"/>
  <c r="Q837" i="1"/>
  <c r="M1093" i="1"/>
  <c r="N1093" i="1"/>
  <c r="P1093" i="1"/>
  <c r="Q1093" i="1"/>
  <c r="M1630" i="1"/>
  <c r="N1630" i="1"/>
  <c r="P1630" i="1"/>
  <c r="Q1630" i="1"/>
  <c r="M816" i="1"/>
  <c r="N816" i="1"/>
  <c r="P816" i="1"/>
  <c r="Q816" i="1"/>
  <c r="M259" i="1"/>
  <c r="N259" i="1"/>
  <c r="P259" i="1"/>
  <c r="Q259" i="1"/>
  <c r="M578" i="1"/>
  <c r="N578" i="1"/>
  <c r="P578" i="1"/>
  <c r="Q578" i="1"/>
  <c r="M579" i="1"/>
  <c r="N579" i="1"/>
  <c r="P579" i="1"/>
  <c r="Q579" i="1"/>
  <c r="M244" i="1"/>
  <c r="N244" i="1"/>
  <c r="P244" i="1"/>
  <c r="Q244" i="1"/>
  <c r="M1217" i="1"/>
  <c r="N1217" i="1"/>
  <c r="P1217" i="1"/>
  <c r="Q1217" i="1"/>
  <c r="M1469" i="1"/>
  <c r="N1469" i="1"/>
  <c r="P1469" i="1"/>
  <c r="Q1469" i="1"/>
  <c r="M911" i="1"/>
  <c r="N911" i="1"/>
  <c r="P911" i="1"/>
  <c r="Q911" i="1"/>
  <c r="M1222" i="1"/>
  <c r="N1222" i="1"/>
  <c r="P1222" i="1"/>
  <c r="Q1222" i="1"/>
  <c r="M933" i="1"/>
  <c r="N933" i="1"/>
  <c r="P933" i="1"/>
  <c r="Q933" i="1"/>
  <c r="M240" i="1"/>
  <c r="N240" i="1"/>
  <c r="P240" i="1"/>
  <c r="Q240" i="1"/>
  <c r="M857" i="1"/>
  <c r="N857" i="1"/>
  <c r="P857" i="1"/>
  <c r="Q857" i="1"/>
  <c r="M1631" i="1"/>
  <c r="N1631" i="1"/>
  <c r="P1631" i="1"/>
  <c r="Q1631" i="1"/>
  <c r="M1206" i="1"/>
  <c r="N1206" i="1"/>
  <c r="P1206" i="1"/>
  <c r="Q1206" i="1"/>
  <c r="M1204" i="1"/>
  <c r="N1204" i="1"/>
  <c r="P1204" i="1"/>
  <c r="Q1204" i="1"/>
  <c r="M1094" i="1"/>
  <c r="N1094" i="1"/>
  <c r="P1094" i="1"/>
  <c r="Q1094" i="1"/>
  <c r="M407" i="1"/>
  <c r="N407" i="1"/>
  <c r="P407" i="1"/>
  <c r="Q407" i="1"/>
  <c r="M431" i="1"/>
  <c r="N431" i="1"/>
  <c r="P431" i="1"/>
  <c r="Q431" i="1"/>
  <c r="M1475" i="1"/>
  <c r="N1475" i="1"/>
  <c r="P1475" i="1"/>
  <c r="Q1475" i="1"/>
  <c r="M1203" i="1"/>
  <c r="N1203" i="1"/>
  <c r="P1203" i="1"/>
  <c r="Q1203" i="1"/>
  <c r="M1502" i="1"/>
  <c r="N1502" i="1"/>
  <c r="P1502" i="1"/>
  <c r="Q1502" i="1"/>
  <c r="M1205" i="1"/>
  <c r="N1205" i="1"/>
  <c r="P1205" i="1"/>
  <c r="Q1205" i="1"/>
  <c r="M1237" i="1"/>
  <c r="N1237" i="1"/>
  <c r="P1237" i="1"/>
  <c r="Q1237" i="1"/>
  <c r="M1289" i="1"/>
  <c r="N1289" i="1"/>
  <c r="P1289" i="1"/>
  <c r="Q1289" i="1"/>
  <c r="M1097" i="1"/>
  <c r="N1097" i="1"/>
  <c r="P1097" i="1"/>
  <c r="Q1097" i="1"/>
  <c r="M428" i="1"/>
  <c r="N428" i="1"/>
  <c r="P428" i="1"/>
  <c r="Q428" i="1"/>
  <c r="M803" i="1"/>
  <c r="N803" i="1"/>
  <c r="P803" i="1"/>
  <c r="Q803" i="1"/>
  <c r="M838" i="1"/>
  <c r="N838" i="1"/>
  <c r="P838" i="1"/>
  <c r="Q838" i="1"/>
  <c r="M1223" i="1"/>
  <c r="N1223" i="1"/>
  <c r="P1223" i="1"/>
  <c r="Q1223" i="1"/>
  <c r="M1719" i="1"/>
  <c r="N1719" i="1"/>
  <c r="P1719" i="1"/>
  <c r="Q1719" i="1"/>
  <c r="M628" i="1"/>
  <c r="N628" i="1"/>
  <c r="P628" i="1"/>
  <c r="Q628" i="1"/>
  <c r="M1238" i="1"/>
  <c r="N1238" i="1"/>
  <c r="P1238" i="1"/>
  <c r="Q1238" i="1"/>
  <c r="M1637" i="1"/>
  <c r="N1637" i="1"/>
  <c r="P1637" i="1"/>
  <c r="Q1637" i="1"/>
  <c r="M127" i="1"/>
  <c r="N127" i="1"/>
  <c r="P127" i="1"/>
  <c r="Q127" i="1"/>
  <c r="M1688" i="1"/>
  <c r="N1688" i="1"/>
  <c r="P1688" i="1"/>
  <c r="Q1688" i="1"/>
  <c r="M422" i="1"/>
  <c r="N422" i="1"/>
  <c r="P422" i="1"/>
  <c r="Q422" i="1"/>
  <c r="M1012" i="1"/>
  <c r="N1012" i="1"/>
  <c r="P1012" i="1"/>
  <c r="Q1012" i="1"/>
  <c r="M1095" i="1"/>
  <c r="N1095" i="1"/>
  <c r="P1095" i="1"/>
  <c r="Q1095" i="1"/>
  <c r="M1013" i="1"/>
  <c r="N1013" i="1"/>
  <c r="P1013" i="1"/>
  <c r="Q1013" i="1"/>
  <c r="M1010" i="1"/>
  <c r="N1010" i="1"/>
  <c r="P1010" i="1"/>
  <c r="Q1010" i="1"/>
  <c r="M924" i="1"/>
  <c r="N924" i="1"/>
  <c r="P924" i="1"/>
  <c r="Q924" i="1"/>
  <c r="M1008" i="1"/>
  <c r="N1008" i="1"/>
  <c r="P1008" i="1"/>
  <c r="Q1008" i="1"/>
  <c r="M248" i="1"/>
  <c r="N248" i="1"/>
  <c r="P248" i="1"/>
  <c r="Q248" i="1"/>
  <c r="M764" i="1"/>
  <c r="N764" i="1"/>
  <c r="P764" i="1"/>
  <c r="Q764" i="1"/>
  <c r="M630" i="1"/>
  <c r="N630" i="1"/>
  <c r="P630" i="1"/>
  <c r="Q630" i="1"/>
  <c r="M253" i="1"/>
  <c r="N253" i="1"/>
  <c r="P253" i="1"/>
  <c r="Q253" i="1"/>
  <c r="M900" i="1"/>
  <c r="N900" i="1"/>
  <c r="P900" i="1"/>
  <c r="Q900" i="1"/>
  <c r="M885" i="1"/>
  <c r="N885" i="1"/>
  <c r="P885" i="1"/>
  <c r="Q885" i="1"/>
  <c r="M1229" i="1"/>
  <c r="N1229" i="1"/>
  <c r="P1229" i="1"/>
  <c r="Q1229" i="1"/>
  <c r="M1076" i="1"/>
  <c r="N1076" i="1"/>
  <c r="P1076" i="1"/>
  <c r="Q1076" i="1"/>
  <c r="M1523" i="1"/>
  <c r="N1523" i="1"/>
  <c r="P1523" i="1"/>
  <c r="Q1523" i="1"/>
  <c r="M851" i="1"/>
  <c r="N851" i="1"/>
  <c r="P851" i="1"/>
  <c r="Q851" i="1"/>
  <c r="M1425" i="1"/>
  <c r="N1425" i="1"/>
  <c r="P1425" i="1"/>
  <c r="Q1425" i="1"/>
  <c r="M1152" i="1"/>
  <c r="N1152" i="1"/>
  <c r="P1152" i="1"/>
  <c r="Q1152" i="1"/>
  <c r="M1700" i="1"/>
  <c r="N1700" i="1"/>
  <c r="P1700" i="1"/>
  <c r="Q1700" i="1"/>
  <c r="M686" i="1"/>
  <c r="N686" i="1"/>
  <c r="P686" i="1"/>
  <c r="Q686" i="1"/>
  <c r="M358" i="1"/>
  <c r="N358" i="1"/>
  <c r="P358" i="1"/>
  <c r="Q358" i="1"/>
  <c r="M1181" i="1"/>
  <c r="N1181" i="1"/>
  <c r="P1181" i="1"/>
  <c r="Q1181" i="1"/>
  <c r="M1353" i="1"/>
  <c r="N1353" i="1"/>
  <c r="P1353" i="1"/>
  <c r="Q1353" i="1"/>
  <c r="M1422" i="1"/>
  <c r="N1422" i="1"/>
  <c r="P1422" i="1"/>
  <c r="Q1422" i="1"/>
  <c r="M1710" i="1"/>
  <c r="N1710" i="1"/>
  <c r="P1710" i="1"/>
  <c r="Q1710" i="1"/>
  <c r="M1711" i="1"/>
  <c r="N1711" i="1"/>
  <c r="P1711" i="1"/>
  <c r="Q1711" i="1"/>
  <c r="M220" i="1"/>
  <c r="N220" i="1"/>
  <c r="P220" i="1"/>
  <c r="Q220" i="1"/>
  <c r="M864" i="1"/>
  <c r="N864" i="1"/>
  <c r="P864" i="1"/>
  <c r="Q864" i="1"/>
  <c r="M709" i="1"/>
  <c r="N709" i="1"/>
  <c r="P709" i="1"/>
  <c r="Q709" i="1"/>
  <c r="M1439" i="1"/>
  <c r="N1439" i="1"/>
  <c r="P1439" i="1"/>
  <c r="Q1439" i="1"/>
  <c r="M771" i="1"/>
  <c r="N771" i="1"/>
  <c r="P771" i="1"/>
  <c r="Q771" i="1"/>
  <c r="M186" i="1"/>
  <c r="N186" i="1"/>
  <c r="P186" i="1"/>
  <c r="Q186" i="1"/>
  <c r="M181" i="1"/>
  <c r="N181" i="1"/>
  <c r="P181" i="1"/>
  <c r="Q181" i="1"/>
  <c r="M493" i="1"/>
  <c r="N493" i="1"/>
  <c r="P493" i="1"/>
  <c r="Q493" i="1"/>
  <c r="M255" i="1"/>
  <c r="N255" i="1"/>
  <c r="P255" i="1"/>
  <c r="Q255" i="1"/>
  <c r="M1224" i="1"/>
  <c r="N1224" i="1"/>
  <c r="P1224" i="1"/>
  <c r="Q1224" i="1"/>
  <c r="M576" i="1"/>
  <c r="N576" i="1"/>
  <c r="P576" i="1"/>
  <c r="Q576" i="1"/>
  <c r="M1295" i="1"/>
  <c r="N1295" i="1"/>
  <c r="P1295" i="1"/>
  <c r="Q1295" i="1"/>
  <c r="M1054" i="1"/>
  <c r="N1054" i="1"/>
  <c r="P1054" i="1"/>
  <c r="Q1054" i="1"/>
  <c r="M1492" i="1"/>
  <c r="N1492" i="1"/>
  <c r="P1492" i="1"/>
  <c r="Q1492" i="1"/>
  <c r="M1624" i="1"/>
  <c r="N1624" i="1"/>
  <c r="P1624" i="1"/>
  <c r="Q1624" i="1"/>
  <c r="M92" i="1"/>
  <c r="N92" i="1"/>
  <c r="P92" i="1"/>
  <c r="Q92" i="1"/>
  <c r="M907" i="1"/>
  <c r="N907" i="1"/>
  <c r="P907" i="1"/>
  <c r="Q907" i="1"/>
  <c r="M1522" i="1"/>
  <c r="N1522" i="1"/>
  <c r="P1522" i="1"/>
  <c r="Q1522" i="1"/>
  <c r="M251" i="1"/>
  <c r="N251" i="1"/>
  <c r="P251" i="1"/>
  <c r="Q251" i="1"/>
  <c r="M1302" i="1"/>
  <c r="N1302" i="1"/>
  <c r="P1302" i="1"/>
  <c r="Q1302" i="1"/>
  <c r="M14" i="1"/>
  <c r="N14" i="1"/>
  <c r="P14" i="1"/>
  <c r="Q14" i="1"/>
  <c r="M430" i="1"/>
  <c r="N430" i="1"/>
  <c r="P430" i="1"/>
  <c r="Q430" i="1"/>
  <c r="M463" i="1"/>
  <c r="N463" i="1"/>
  <c r="P463" i="1"/>
  <c r="Q463" i="1"/>
  <c r="M185" i="1"/>
  <c r="N185" i="1"/>
  <c r="P185" i="1"/>
  <c r="Q185" i="1"/>
  <c r="M1225" i="1"/>
  <c r="N1225" i="1"/>
  <c r="P1225" i="1"/>
  <c r="Q1225" i="1"/>
  <c r="M595" i="1"/>
  <c r="N595" i="1"/>
  <c r="P595" i="1"/>
  <c r="Q595" i="1"/>
  <c r="M814" i="1"/>
  <c r="N814" i="1"/>
  <c r="P814" i="1"/>
  <c r="Q814" i="1"/>
  <c r="M1601" i="1"/>
  <c r="N1601" i="1"/>
  <c r="P1601" i="1"/>
  <c r="Q1601" i="1"/>
  <c r="M112" i="1"/>
  <c r="N112" i="1"/>
  <c r="P112" i="1"/>
  <c r="Q112" i="1"/>
  <c r="M968" i="1"/>
  <c r="N968" i="1"/>
  <c r="P968" i="1"/>
  <c r="Q968" i="1"/>
  <c r="M451" i="1"/>
  <c r="N451" i="1"/>
  <c r="P451" i="1"/>
  <c r="Q451" i="1"/>
  <c r="M901" i="1"/>
  <c r="N901" i="1"/>
  <c r="P901" i="1"/>
  <c r="Q901" i="1"/>
  <c r="M1651" i="1"/>
  <c r="N1651" i="1"/>
  <c r="P1651" i="1"/>
  <c r="Q1651" i="1"/>
  <c r="M661" i="1"/>
  <c r="N661" i="1"/>
  <c r="P661" i="1"/>
  <c r="Q661" i="1"/>
  <c r="M9" i="1"/>
  <c r="N9" i="1"/>
  <c r="P9" i="1"/>
  <c r="Q9" i="1"/>
  <c r="M1681" i="1"/>
  <c r="N1681" i="1"/>
  <c r="P1681" i="1"/>
  <c r="Q1681" i="1"/>
  <c r="M1659" i="1"/>
  <c r="N1659" i="1"/>
  <c r="P1659" i="1"/>
  <c r="Q1659" i="1"/>
  <c r="M1650" i="1"/>
  <c r="N1650" i="1"/>
  <c r="P1650" i="1"/>
  <c r="Q1650" i="1"/>
  <c r="M1464" i="1"/>
  <c r="N1464" i="1"/>
  <c r="P1464" i="1"/>
  <c r="Q1464" i="1"/>
  <c r="M1308" i="1"/>
  <c r="N1308" i="1"/>
  <c r="P1308" i="1"/>
  <c r="Q1308" i="1"/>
  <c r="M106" i="1"/>
  <c r="N106" i="1"/>
  <c r="P106" i="1"/>
  <c r="Q106" i="1"/>
  <c r="M1154" i="1"/>
  <c r="N1154" i="1"/>
  <c r="P1154" i="1"/>
  <c r="Q1154" i="1"/>
  <c r="M1385" i="1"/>
  <c r="N1385" i="1"/>
  <c r="P1385" i="1"/>
  <c r="Q1385" i="1"/>
  <c r="M1161" i="1"/>
  <c r="N1161" i="1"/>
  <c r="P1161" i="1"/>
  <c r="Q1161" i="1"/>
  <c r="M1608" i="1"/>
  <c r="N1608" i="1"/>
  <c r="P1608" i="1"/>
  <c r="Q1608" i="1"/>
  <c r="M937" i="1"/>
  <c r="N937" i="1"/>
  <c r="P937" i="1"/>
  <c r="Q937" i="1"/>
  <c r="M1412" i="1"/>
  <c r="N1412" i="1"/>
  <c r="P1412" i="1"/>
  <c r="Q1412" i="1"/>
  <c r="M1510" i="1"/>
  <c r="N1510" i="1"/>
  <c r="P1510" i="1"/>
  <c r="Q1510" i="1"/>
  <c r="M1450" i="1"/>
  <c r="N1450" i="1"/>
  <c r="P1450" i="1"/>
  <c r="Q1450" i="1"/>
  <c r="M535" i="1"/>
  <c r="N535" i="1"/>
  <c r="P535" i="1"/>
  <c r="Q535" i="1"/>
  <c r="M1111" i="1"/>
  <c r="N1111" i="1"/>
  <c r="P1111" i="1"/>
  <c r="Q1111" i="1"/>
  <c r="M1159" i="1"/>
  <c r="N1159" i="1"/>
  <c r="P1159" i="1"/>
  <c r="Q1159" i="1"/>
  <c r="M1641" i="1"/>
  <c r="N1641" i="1"/>
  <c r="P1641" i="1"/>
  <c r="Q1641" i="1"/>
  <c r="M1410" i="1"/>
  <c r="N1410" i="1"/>
  <c r="P1410" i="1"/>
  <c r="Q1410" i="1"/>
  <c r="M1406" i="1"/>
  <c r="N1406" i="1"/>
  <c r="P1406" i="1"/>
  <c r="Q1406" i="1"/>
  <c r="M242" i="1"/>
  <c r="N242" i="1"/>
  <c r="P242" i="1"/>
  <c r="Q242" i="1"/>
  <c r="M90" i="1"/>
  <c r="N90" i="1"/>
  <c r="P90" i="1"/>
  <c r="Q90" i="1"/>
  <c r="M534" i="1"/>
  <c r="N534" i="1"/>
  <c r="P534" i="1"/>
  <c r="Q534" i="1"/>
  <c r="M98" i="1"/>
  <c r="N98" i="1"/>
  <c r="P98" i="1"/>
  <c r="Q98" i="1"/>
  <c r="M870" i="1"/>
  <c r="N870" i="1"/>
  <c r="P870" i="1"/>
  <c r="Q870" i="1"/>
  <c r="M448" i="1"/>
  <c r="N448" i="1"/>
  <c r="P448" i="1"/>
  <c r="Q448" i="1"/>
  <c r="M1128" i="1"/>
  <c r="N1128" i="1"/>
  <c r="P1128" i="1"/>
  <c r="Q1128" i="1"/>
  <c r="M1297" i="1"/>
  <c r="N1297" i="1"/>
  <c r="P1297" i="1"/>
  <c r="Q1297" i="1"/>
  <c r="M488" i="1"/>
  <c r="N488" i="1"/>
  <c r="P488" i="1"/>
  <c r="Q488" i="1"/>
  <c r="M1471" i="1"/>
  <c r="N1471" i="1"/>
  <c r="P1471" i="1"/>
  <c r="Q1471" i="1"/>
  <c r="M111" i="1"/>
  <c r="N111" i="1"/>
  <c r="P111" i="1"/>
  <c r="Q111" i="1"/>
  <c r="M1463" i="1"/>
  <c r="N1463" i="1"/>
  <c r="P1463" i="1"/>
  <c r="Q1463" i="1"/>
  <c r="M1487" i="1"/>
  <c r="N1487" i="1"/>
  <c r="P1487" i="1"/>
  <c r="Q1487" i="1"/>
  <c r="M1689" i="1"/>
  <c r="N1689" i="1"/>
  <c r="P1689" i="1"/>
  <c r="Q1689" i="1"/>
  <c r="M1106" i="1"/>
  <c r="N1106" i="1"/>
  <c r="P1106" i="1"/>
  <c r="Q1106" i="1"/>
  <c r="M820" i="1"/>
  <c r="N820" i="1"/>
  <c r="P820" i="1"/>
  <c r="Q820" i="1"/>
  <c r="M700" i="1"/>
  <c r="N700" i="1"/>
  <c r="P700" i="1"/>
  <c r="Q700" i="1"/>
  <c r="M110" i="1"/>
  <c r="N110" i="1"/>
  <c r="P110" i="1"/>
  <c r="Q110" i="1"/>
  <c r="M939" i="1"/>
  <c r="N939" i="1"/>
  <c r="P939" i="1"/>
  <c r="Q939" i="1"/>
  <c r="M935" i="1"/>
  <c r="N935" i="1"/>
  <c r="P935" i="1"/>
  <c r="Q935" i="1"/>
  <c r="M904" i="1"/>
  <c r="N904" i="1"/>
  <c r="P904" i="1"/>
  <c r="Q904" i="1"/>
  <c r="M1441" i="1"/>
  <c r="N1441" i="1"/>
  <c r="P1441" i="1"/>
  <c r="Q1441" i="1"/>
  <c r="M387" i="1"/>
  <c r="N387" i="1"/>
  <c r="P387" i="1"/>
  <c r="Q387" i="1"/>
  <c r="M1248" i="1"/>
  <c r="N1248" i="1"/>
  <c r="P1248" i="1"/>
  <c r="Q1248" i="1"/>
  <c r="M13" i="1"/>
  <c r="N13" i="1"/>
  <c r="P13" i="1"/>
  <c r="Q13" i="1"/>
  <c r="M737" i="1"/>
  <c r="N737" i="1"/>
  <c r="P737" i="1"/>
  <c r="Q737" i="1"/>
  <c r="M790" i="1"/>
  <c r="N790" i="1"/>
  <c r="P790" i="1"/>
  <c r="Q790" i="1"/>
  <c r="M1162" i="1"/>
  <c r="N1162" i="1"/>
  <c r="P1162" i="1"/>
  <c r="Q1162" i="1"/>
  <c r="M1131" i="1"/>
  <c r="N1131" i="1"/>
  <c r="P1131" i="1"/>
  <c r="Q1131" i="1"/>
  <c r="M540" i="1"/>
  <c r="N540" i="1"/>
  <c r="P540" i="1"/>
  <c r="Q540" i="1"/>
  <c r="M1440" i="1"/>
  <c r="N1440" i="1"/>
  <c r="P1440" i="1"/>
  <c r="Q1440" i="1"/>
  <c r="M922" i="1"/>
  <c r="N922" i="1"/>
  <c r="P922" i="1"/>
  <c r="Q922" i="1"/>
  <c r="M1284" i="1"/>
  <c r="N1284" i="1"/>
  <c r="P1284" i="1"/>
  <c r="Q1284" i="1"/>
  <c r="M539" i="1"/>
  <c r="N539" i="1"/>
  <c r="P539" i="1"/>
  <c r="Q539" i="1"/>
  <c r="M1404" i="1"/>
  <c r="N1404" i="1"/>
  <c r="P1404" i="1"/>
  <c r="Q1404" i="1"/>
  <c r="M1264" i="1"/>
  <c r="N1264" i="1"/>
  <c r="P1264" i="1"/>
  <c r="Q1264" i="1"/>
  <c r="M265" i="1"/>
  <c r="N265" i="1"/>
  <c r="P265" i="1"/>
  <c r="Q265" i="1"/>
  <c r="M1720" i="1"/>
  <c r="N1720" i="1"/>
  <c r="P1720" i="1"/>
  <c r="Q1720" i="1"/>
  <c r="M1124" i="1"/>
  <c r="N1124" i="1"/>
  <c r="P1124" i="1"/>
  <c r="Q1124" i="1"/>
  <c r="M1455" i="1"/>
  <c r="N1455" i="1"/>
  <c r="P1455" i="1"/>
  <c r="Q1455" i="1"/>
  <c r="M598" i="1"/>
  <c r="N598" i="1"/>
  <c r="P598" i="1"/>
  <c r="Q598" i="1"/>
  <c r="M667" i="1"/>
  <c r="N667" i="1"/>
  <c r="P667" i="1"/>
  <c r="Q667" i="1"/>
  <c r="M1599" i="1"/>
  <c r="N1599" i="1"/>
  <c r="P1599" i="1"/>
  <c r="Q1599" i="1"/>
  <c r="M657" i="1"/>
  <c r="N657" i="1"/>
  <c r="P657" i="1"/>
  <c r="Q657" i="1"/>
  <c r="M609" i="1"/>
  <c r="N609" i="1"/>
  <c r="P609" i="1"/>
  <c r="Q609" i="1"/>
  <c r="M583" i="1"/>
  <c r="N583" i="1"/>
  <c r="P583" i="1"/>
  <c r="Q583" i="1"/>
  <c r="M1691" i="1"/>
  <c r="N1691" i="1"/>
  <c r="P1691" i="1"/>
  <c r="Q1691" i="1"/>
  <c r="M658" i="1"/>
  <c r="N658" i="1"/>
  <c r="P658" i="1"/>
  <c r="Q658" i="1"/>
  <c r="M597" i="1"/>
  <c r="N597" i="1"/>
  <c r="P597" i="1"/>
  <c r="Q597" i="1"/>
  <c r="M1141" i="1"/>
  <c r="N1141" i="1"/>
  <c r="P1141" i="1"/>
  <c r="Q1141" i="1"/>
  <c r="M1333" i="1"/>
  <c r="N1333" i="1"/>
  <c r="P1333" i="1"/>
  <c r="Q1333" i="1"/>
  <c r="M1485" i="1"/>
  <c r="N1485" i="1"/>
  <c r="P1485" i="1"/>
  <c r="Q1485" i="1"/>
  <c r="M1021" i="1"/>
  <c r="N1021" i="1"/>
  <c r="P1021" i="1"/>
  <c r="Q1021" i="1"/>
  <c r="M1026" i="1"/>
  <c r="N1026" i="1"/>
  <c r="P1026" i="1"/>
  <c r="Q1026" i="1"/>
  <c r="M449" i="1"/>
  <c r="N449" i="1"/>
  <c r="P449" i="1"/>
  <c r="Q449" i="1"/>
  <c r="M889" i="1"/>
  <c r="N889" i="1"/>
  <c r="P889" i="1"/>
  <c r="Q889" i="1"/>
  <c r="M1182" i="1"/>
  <c r="N1182" i="1"/>
  <c r="P1182" i="1"/>
  <c r="Q1182" i="1"/>
  <c r="M1721" i="1"/>
  <c r="N1721" i="1"/>
  <c r="P1721" i="1"/>
  <c r="Q1721" i="1"/>
  <c r="M586" i="1"/>
  <c r="N586" i="1"/>
  <c r="P586" i="1"/>
  <c r="Q586" i="1"/>
  <c r="M1581" i="1"/>
  <c r="N1581" i="1"/>
  <c r="P1581" i="1"/>
  <c r="Q1581" i="1"/>
  <c r="M450" i="1"/>
  <c r="N450" i="1"/>
  <c r="P450" i="1"/>
  <c r="Q450" i="1"/>
  <c r="M1148" i="1"/>
  <c r="N1148" i="1"/>
  <c r="P1148" i="1"/>
  <c r="Q1148" i="1"/>
  <c r="M599" i="1"/>
  <c r="N599" i="1"/>
  <c r="P599" i="1"/>
  <c r="Q599" i="1"/>
  <c r="M588" i="1"/>
  <c r="N588" i="1"/>
  <c r="P588" i="1"/>
  <c r="Q588" i="1"/>
  <c r="M1024" i="1"/>
  <c r="N1024" i="1"/>
  <c r="P1024" i="1"/>
  <c r="Q1024" i="1"/>
  <c r="M569" i="1"/>
  <c r="N569" i="1"/>
  <c r="P569" i="1"/>
  <c r="Q569" i="1"/>
  <c r="M1557" i="1"/>
  <c r="N1557" i="1"/>
  <c r="P1557" i="1"/>
  <c r="Q1557" i="1"/>
  <c r="M965" i="1"/>
  <c r="N965" i="1"/>
  <c r="P965" i="1"/>
  <c r="Q965" i="1"/>
  <c r="M522" i="1"/>
  <c r="N522" i="1"/>
  <c r="P522" i="1"/>
  <c r="Q522" i="1"/>
  <c r="M1436" i="1"/>
  <c r="N1436" i="1"/>
  <c r="P1436" i="1"/>
  <c r="Q1436" i="1"/>
  <c r="M123" i="1"/>
  <c r="N123" i="1"/>
  <c r="P123" i="1"/>
  <c r="Q123" i="1"/>
  <c r="M444" i="1"/>
  <c r="N444" i="1"/>
  <c r="P444" i="1"/>
  <c r="Q444" i="1"/>
  <c r="M1300" i="1"/>
  <c r="N1300" i="1"/>
  <c r="P1300" i="1"/>
  <c r="Q1300" i="1"/>
  <c r="M205" i="1"/>
  <c r="N205" i="1"/>
  <c r="P205" i="1"/>
  <c r="Q205" i="1"/>
  <c r="M1366" i="1"/>
  <c r="N1366" i="1"/>
  <c r="P1366" i="1"/>
  <c r="Q1366" i="1"/>
  <c r="M1660" i="1"/>
  <c r="N1660" i="1"/>
  <c r="P1660" i="1"/>
  <c r="Q1660" i="1"/>
  <c r="M1271" i="1"/>
  <c r="N1271" i="1"/>
  <c r="P1271" i="1"/>
  <c r="Q1271" i="1"/>
  <c r="M453" i="1"/>
  <c r="N453" i="1"/>
  <c r="P453" i="1"/>
  <c r="Q453" i="1"/>
  <c r="M1434" i="1"/>
  <c r="N1434" i="1"/>
  <c r="P1434" i="1"/>
  <c r="Q1434" i="1"/>
  <c r="M1023" i="1"/>
  <c r="N1023" i="1"/>
  <c r="P1023" i="1"/>
  <c r="Q1023" i="1"/>
  <c r="M96" i="1"/>
  <c r="N96" i="1"/>
  <c r="P96" i="1"/>
  <c r="Q96" i="1"/>
  <c r="M274" i="1"/>
  <c r="N274" i="1"/>
  <c r="P274" i="1"/>
  <c r="Q274" i="1"/>
  <c r="M656" i="1"/>
  <c r="N656" i="1"/>
  <c r="P656" i="1"/>
  <c r="Q656" i="1"/>
  <c r="M611" i="1"/>
  <c r="N611" i="1"/>
  <c r="P611" i="1"/>
  <c r="Q611" i="1"/>
  <c r="M823" i="1"/>
  <c r="N823" i="1"/>
  <c r="P823" i="1"/>
  <c r="Q823" i="1"/>
  <c r="M1516" i="1"/>
  <c r="N1516" i="1"/>
  <c r="P1516" i="1"/>
  <c r="Q1516" i="1"/>
  <c r="M1461" i="1"/>
  <c r="N1461" i="1"/>
  <c r="P1461" i="1"/>
  <c r="Q1461" i="1"/>
  <c r="M252" i="1"/>
  <c r="N252" i="1"/>
  <c r="P252" i="1"/>
  <c r="Q252" i="1"/>
  <c r="M1518" i="1"/>
  <c r="N1518" i="1"/>
  <c r="P1518" i="1"/>
  <c r="Q1518" i="1"/>
  <c r="M1145" i="1"/>
  <c r="N1145" i="1"/>
  <c r="P1145" i="1"/>
  <c r="Q1145" i="1"/>
  <c r="M159" i="1"/>
  <c r="N159" i="1"/>
  <c r="P159" i="1"/>
  <c r="Q159" i="1"/>
  <c r="M741" i="1"/>
  <c r="N741" i="1"/>
  <c r="P741" i="1"/>
  <c r="Q741" i="1"/>
  <c r="M508" i="1"/>
  <c r="N508" i="1"/>
  <c r="P508" i="1"/>
  <c r="Q508" i="1"/>
  <c r="M1022" i="1"/>
  <c r="N1022" i="1"/>
  <c r="P1022" i="1"/>
  <c r="Q1022" i="1"/>
  <c r="M1282" i="1"/>
  <c r="N1282" i="1"/>
  <c r="P1282" i="1"/>
  <c r="Q1282" i="1"/>
  <c r="M1676" i="1"/>
  <c r="N1676" i="1"/>
  <c r="P1676" i="1"/>
  <c r="Q1676" i="1"/>
  <c r="M950" i="1"/>
  <c r="N950" i="1"/>
  <c r="P950" i="1"/>
  <c r="Q950" i="1"/>
  <c r="M87" i="1"/>
  <c r="N87" i="1"/>
  <c r="P87" i="1"/>
  <c r="Q87" i="1"/>
  <c r="M190" i="1"/>
  <c r="N190" i="1"/>
  <c r="P190" i="1"/>
  <c r="Q190" i="1"/>
  <c r="M145" i="1"/>
  <c r="N145" i="1"/>
  <c r="P145" i="1"/>
  <c r="Q145" i="1"/>
  <c r="M1511" i="1"/>
  <c r="N1511" i="1"/>
  <c r="P1511" i="1"/>
  <c r="Q1511" i="1"/>
  <c r="M1480" i="1"/>
  <c r="N1480" i="1"/>
  <c r="P1480" i="1"/>
  <c r="Q1480" i="1"/>
  <c r="M1171" i="1"/>
  <c r="N1171" i="1"/>
  <c r="P1171" i="1"/>
  <c r="Q1171" i="1"/>
  <c r="M1483" i="1"/>
  <c r="N1483" i="1"/>
  <c r="P1483" i="1"/>
  <c r="Q1483" i="1"/>
  <c r="M174" i="1"/>
  <c r="N174" i="1"/>
  <c r="P174" i="1"/>
  <c r="Q174" i="1"/>
  <c r="M1673" i="1"/>
  <c r="N1673" i="1"/>
  <c r="P1673" i="1"/>
  <c r="Q1673" i="1"/>
  <c r="M1686" i="1"/>
  <c r="N1686" i="1"/>
  <c r="P1686" i="1"/>
  <c r="Q1686" i="1"/>
  <c r="M1566" i="1"/>
  <c r="N1566" i="1"/>
  <c r="P1566" i="1"/>
  <c r="Q1566" i="1"/>
  <c r="M1559" i="1"/>
  <c r="N1559" i="1"/>
  <c r="P1559" i="1"/>
  <c r="Q1559" i="1"/>
  <c r="M689" i="1"/>
  <c r="N689" i="1"/>
  <c r="P689" i="1"/>
  <c r="Q689" i="1"/>
  <c r="M520" i="1"/>
  <c r="N520" i="1"/>
  <c r="P520" i="1"/>
  <c r="Q520" i="1"/>
  <c r="M116" i="1"/>
  <c r="N116" i="1"/>
  <c r="P116" i="1"/>
  <c r="Q116" i="1"/>
  <c r="M336" i="1"/>
  <c r="N336" i="1"/>
  <c r="P336" i="1"/>
  <c r="Q336" i="1"/>
  <c r="M121" i="1"/>
  <c r="N121" i="1"/>
  <c r="P121" i="1"/>
  <c r="Q121" i="1"/>
  <c r="M519" i="1"/>
  <c r="N519" i="1"/>
  <c r="P519" i="1"/>
  <c r="Q519" i="1"/>
  <c r="M751" i="1"/>
  <c r="N751" i="1"/>
  <c r="P751" i="1"/>
  <c r="Q751" i="1"/>
  <c r="M1512" i="1"/>
  <c r="N1512" i="1"/>
  <c r="P1512" i="1"/>
  <c r="Q1512" i="1"/>
  <c r="M389" i="1"/>
  <c r="N389" i="1"/>
  <c r="P389" i="1"/>
  <c r="Q389" i="1"/>
  <c r="M1489" i="1"/>
  <c r="N1489" i="1"/>
  <c r="P1489" i="1"/>
  <c r="Q1489" i="1"/>
  <c r="M1554" i="1"/>
  <c r="N1554" i="1"/>
  <c r="P1554" i="1"/>
  <c r="Q1554" i="1"/>
  <c r="M386" i="1"/>
  <c r="N386" i="1"/>
  <c r="P386" i="1"/>
  <c r="Q386" i="1"/>
  <c r="M388" i="1"/>
  <c r="N388" i="1"/>
  <c r="P388" i="1"/>
  <c r="Q388" i="1"/>
  <c r="M1130" i="1"/>
  <c r="N1130" i="1"/>
  <c r="P1130" i="1"/>
  <c r="Q1130" i="1"/>
  <c r="M1474" i="1"/>
  <c r="N1474" i="1"/>
  <c r="P1474" i="1"/>
  <c r="Q1474" i="1"/>
  <c r="M1086" i="1"/>
  <c r="N1086" i="1"/>
  <c r="P1086" i="1"/>
  <c r="Q1086" i="1"/>
  <c r="M1374" i="1"/>
  <c r="N1374" i="1"/>
  <c r="P1374" i="1"/>
  <c r="Q1374" i="1"/>
  <c r="M1160" i="1"/>
  <c r="N1160" i="1"/>
  <c r="P1160" i="1"/>
  <c r="Q1160" i="1"/>
  <c r="M826" i="1"/>
  <c r="N826" i="1"/>
  <c r="P826" i="1"/>
  <c r="Q826" i="1"/>
  <c r="M1122" i="1"/>
  <c r="N1122" i="1"/>
  <c r="P1122" i="1"/>
  <c r="Q1122" i="1"/>
  <c r="M584" i="1"/>
  <c r="N584" i="1"/>
  <c r="P584" i="1"/>
  <c r="Q584" i="1"/>
  <c r="M1371" i="1"/>
  <c r="N1371" i="1"/>
  <c r="P1371" i="1"/>
  <c r="Q1371" i="1"/>
  <c r="M967" i="1"/>
  <c r="N967" i="1"/>
  <c r="P967" i="1"/>
  <c r="Q967" i="1"/>
  <c r="M835" i="1"/>
  <c r="N835" i="1"/>
  <c r="P835" i="1"/>
  <c r="Q835" i="1"/>
  <c r="M1198" i="1"/>
  <c r="N1198" i="1"/>
  <c r="P1198" i="1"/>
  <c r="Q1198" i="1"/>
  <c r="M432" i="1"/>
  <c r="N432" i="1"/>
  <c r="P432" i="1"/>
  <c r="Q432" i="1"/>
  <c r="M15" i="1"/>
  <c r="N15" i="1"/>
  <c r="P15" i="1"/>
  <c r="Q15" i="1"/>
  <c r="M1038" i="1"/>
  <c r="N1038" i="1"/>
  <c r="P1038" i="1"/>
  <c r="Q1038" i="1"/>
  <c r="M180" i="1"/>
  <c r="N180" i="1"/>
  <c r="P180" i="1"/>
  <c r="Q180" i="1"/>
  <c r="M1670" i="1"/>
  <c r="N1670" i="1"/>
  <c r="P1670" i="1"/>
  <c r="Q1670" i="1"/>
  <c r="M250" i="1"/>
  <c r="N250" i="1"/>
  <c r="P250" i="1"/>
  <c r="Q250" i="1"/>
  <c r="M929" i="1"/>
  <c r="N929" i="1"/>
  <c r="P929" i="1"/>
  <c r="Q929" i="1"/>
  <c r="M1632" i="1"/>
  <c r="N1632" i="1"/>
  <c r="P1632" i="1"/>
  <c r="Q1632" i="1"/>
  <c r="M184" i="1"/>
  <c r="N184" i="1"/>
  <c r="P184" i="1"/>
  <c r="Q184" i="1"/>
  <c r="M1387" i="1"/>
  <c r="N1387" i="1"/>
  <c r="P1387" i="1"/>
  <c r="Q1387" i="1"/>
  <c r="M926" i="1"/>
  <c r="N926" i="1"/>
  <c r="P926" i="1"/>
  <c r="Q926" i="1"/>
  <c r="M403" i="1"/>
  <c r="N403" i="1"/>
  <c r="P403" i="1"/>
  <c r="Q403" i="1"/>
  <c r="M1075" i="1"/>
  <c r="N1075" i="1"/>
  <c r="P1075" i="1"/>
  <c r="Q1075" i="1"/>
  <c r="M1036" i="1"/>
  <c r="N1036" i="1"/>
  <c r="P1036" i="1"/>
  <c r="Q1036" i="1"/>
  <c r="M810" i="1"/>
  <c r="N810" i="1"/>
  <c r="P810" i="1"/>
  <c r="Q810" i="1"/>
  <c r="M1453" i="1"/>
  <c r="N1453" i="1"/>
  <c r="P1453" i="1"/>
  <c r="Q1453" i="1"/>
  <c r="M1722" i="1"/>
  <c r="N1722" i="1"/>
  <c r="P1722" i="1"/>
  <c r="Q1722" i="1"/>
  <c r="M1444" i="1"/>
  <c r="N1444" i="1"/>
  <c r="P1444" i="1"/>
  <c r="Q1444" i="1"/>
  <c r="M1138" i="1"/>
  <c r="N1138" i="1"/>
  <c r="P1138" i="1"/>
  <c r="Q1138" i="1"/>
  <c r="M284" i="1"/>
  <c r="N284" i="1"/>
  <c r="P284" i="1"/>
  <c r="Q284" i="1"/>
  <c r="M1014" i="1"/>
  <c r="N1014" i="1"/>
  <c r="P1014" i="1"/>
  <c r="Q1014" i="1"/>
  <c r="M296" i="1"/>
  <c r="N296" i="1"/>
  <c r="P296" i="1"/>
  <c r="Q296" i="1"/>
  <c r="M1546" i="1"/>
  <c r="N1546" i="1"/>
  <c r="P1546" i="1"/>
  <c r="Q1546" i="1"/>
  <c r="M1298" i="1"/>
  <c r="N1298" i="1"/>
  <c r="P1298" i="1"/>
  <c r="Q1298" i="1"/>
  <c r="M1388" i="1"/>
  <c r="N1388" i="1"/>
  <c r="P1388" i="1"/>
  <c r="Q1388" i="1"/>
  <c r="M1517" i="1"/>
  <c r="N1517" i="1"/>
  <c r="P1517" i="1"/>
  <c r="Q1517" i="1"/>
  <c r="M1062" i="1"/>
  <c r="N1062" i="1"/>
  <c r="P1062" i="1"/>
  <c r="Q1062" i="1"/>
  <c r="M415" i="1"/>
  <c r="N415" i="1"/>
  <c r="P415" i="1"/>
  <c r="Q415" i="1"/>
  <c r="M1033" i="1"/>
  <c r="N1033" i="1"/>
  <c r="P1033" i="1"/>
  <c r="Q1033" i="1"/>
  <c r="M462" i="1"/>
  <c r="N462" i="1"/>
  <c r="P462" i="1"/>
  <c r="Q462" i="1"/>
  <c r="M1538" i="1"/>
  <c r="N1538" i="1"/>
  <c r="P1538" i="1"/>
  <c r="Q1538" i="1"/>
  <c r="M1067" i="1"/>
  <c r="N1067" i="1"/>
  <c r="P1067" i="1"/>
  <c r="Q1067" i="1"/>
  <c r="M531" i="1"/>
  <c r="N531" i="1"/>
  <c r="P531" i="1"/>
  <c r="Q531" i="1"/>
  <c r="M888" i="1"/>
  <c r="N888" i="1"/>
  <c r="P888" i="1"/>
  <c r="Q888" i="1"/>
  <c r="M86" i="1"/>
  <c r="N86" i="1"/>
  <c r="P86" i="1"/>
  <c r="Q86" i="1"/>
  <c r="M1029" i="1"/>
  <c r="N1029" i="1"/>
  <c r="P1029" i="1"/>
  <c r="Q1029" i="1"/>
  <c r="M76" i="1"/>
  <c r="N76" i="1"/>
  <c r="P76" i="1"/>
  <c r="Q76" i="1"/>
  <c r="M341" i="1"/>
  <c r="N341" i="1"/>
  <c r="P341" i="1"/>
  <c r="Q341" i="1"/>
  <c r="M1028" i="1"/>
  <c r="N1028" i="1"/>
  <c r="P1028" i="1"/>
  <c r="Q1028" i="1"/>
  <c r="M79" i="1"/>
  <c r="N79" i="1"/>
  <c r="P79" i="1"/>
  <c r="Q79" i="1"/>
  <c r="M1127" i="1"/>
  <c r="N1127" i="1"/>
  <c r="P1127" i="1"/>
  <c r="Q1127" i="1"/>
  <c r="M1652" i="1"/>
  <c r="N1652" i="1"/>
  <c r="P1652" i="1"/>
  <c r="Q1652" i="1"/>
  <c r="M1183" i="1"/>
  <c r="N1183" i="1"/>
  <c r="P1183" i="1"/>
  <c r="Q1183" i="1"/>
  <c r="M399" i="1"/>
  <c r="N399" i="1"/>
  <c r="P399" i="1"/>
  <c r="Q399" i="1"/>
  <c r="M1612" i="1"/>
  <c r="N1612" i="1"/>
  <c r="P1612" i="1"/>
  <c r="Q1612" i="1"/>
  <c r="M1073" i="1"/>
  <c r="N1073" i="1"/>
  <c r="P1073" i="1"/>
  <c r="Q1073" i="1"/>
  <c r="M1274" i="1"/>
  <c r="N1274" i="1"/>
  <c r="P1274" i="1"/>
  <c r="Q1274" i="1"/>
  <c r="M400" i="1"/>
  <c r="N400" i="1"/>
  <c r="P400" i="1"/>
  <c r="Q400" i="1"/>
  <c r="M1529" i="1"/>
  <c r="N1529" i="1"/>
  <c r="P1529" i="1"/>
  <c r="Q1529" i="1"/>
  <c r="M38" i="1"/>
  <c r="N38" i="1"/>
  <c r="P38" i="1"/>
  <c r="Q38" i="1"/>
  <c r="M1199" i="1"/>
  <c r="N1199" i="1"/>
  <c r="P1199" i="1"/>
  <c r="Q1199" i="1"/>
  <c r="M1167" i="1"/>
  <c r="N1167" i="1"/>
  <c r="P1167" i="1"/>
  <c r="Q1167" i="1"/>
  <c r="M731" i="1"/>
  <c r="N731" i="1"/>
  <c r="P731" i="1"/>
  <c r="Q731" i="1"/>
  <c r="M1403" i="1"/>
  <c r="N1403" i="1"/>
  <c r="P1403" i="1"/>
  <c r="Q1403" i="1"/>
  <c r="M420" i="1"/>
  <c r="N420" i="1"/>
  <c r="P420" i="1"/>
  <c r="Q420" i="1"/>
  <c r="M564" i="1"/>
  <c r="N564" i="1"/>
  <c r="P564" i="1"/>
  <c r="Q564" i="1"/>
  <c r="M1623" i="1"/>
  <c r="N1623" i="1"/>
  <c r="P1623" i="1"/>
  <c r="Q1623" i="1"/>
  <c r="M80" i="1"/>
  <c r="N80" i="1"/>
  <c r="P80" i="1"/>
  <c r="Q80" i="1"/>
  <c r="M503" i="1"/>
  <c r="N503" i="1"/>
  <c r="P503" i="1"/>
  <c r="Q503" i="1"/>
  <c r="M340" i="1"/>
  <c r="N340" i="1"/>
  <c r="P340" i="1"/>
  <c r="Q340" i="1"/>
  <c r="M1357" i="1"/>
  <c r="N1357" i="1"/>
  <c r="P1357" i="1"/>
  <c r="Q1357" i="1"/>
  <c r="M538" i="1"/>
  <c r="N538" i="1"/>
  <c r="P538" i="1"/>
  <c r="Q538" i="1"/>
  <c r="M406" i="1"/>
  <c r="N406" i="1"/>
  <c r="P406" i="1"/>
  <c r="Q406" i="1"/>
  <c r="M1519" i="1"/>
  <c r="N1519" i="1"/>
  <c r="P1519" i="1"/>
  <c r="Q1519" i="1"/>
  <c r="M994" i="1"/>
  <c r="N994" i="1"/>
  <c r="P994" i="1"/>
  <c r="Q994" i="1"/>
  <c r="M1530" i="1"/>
  <c r="N1530" i="1"/>
  <c r="P1530" i="1"/>
  <c r="Q1530" i="1"/>
  <c r="M1358" i="1"/>
  <c r="N1358" i="1"/>
  <c r="P1358" i="1"/>
  <c r="Q1358" i="1"/>
  <c r="M319" i="1"/>
  <c r="N319" i="1"/>
  <c r="P319" i="1"/>
  <c r="Q319" i="1"/>
  <c r="M692" i="1"/>
  <c r="N692" i="1"/>
  <c r="P692" i="1"/>
  <c r="Q692" i="1"/>
  <c r="M690" i="1"/>
  <c r="N690" i="1"/>
  <c r="P690" i="1"/>
  <c r="Q690" i="1"/>
  <c r="M342" i="1"/>
  <c r="N342" i="1"/>
  <c r="P342" i="1"/>
  <c r="Q342" i="1"/>
  <c r="M831" i="1"/>
  <c r="N831" i="1"/>
  <c r="P831" i="1"/>
  <c r="Q831" i="1"/>
  <c r="M337" i="1"/>
  <c r="N337" i="1"/>
  <c r="P337" i="1"/>
  <c r="Q337" i="1"/>
  <c r="M1716" i="1"/>
  <c r="N1716" i="1"/>
  <c r="P1716" i="1"/>
  <c r="Q1716" i="1"/>
  <c r="M156" i="1"/>
  <c r="N156" i="1"/>
  <c r="P156" i="1"/>
  <c r="Q156" i="1"/>
  <c r="M329" i="1"/>
  <c r="N329" i="1"/>
  <c r="P329" i="1"/>
  <c r="Q329" i="1"/>
  <c r="M404" i="1"/>
  <c r="N404" i="1"/>
  <c r="P404" i="1"/>
  <c r="Q404" i="1"/>
  <c r="M1232" i="1"/>
  <c r="N1232" i="1"/>
  <c r="P1232" i="1"/>
  <c r="Q1232" i="1"/>
  <c r="M1479" i="1"/>
  <c r="N1479" i="1"/>
  <c r="P1479" i="1"/>
  <c r="Q1479" i="1"/>
  <c r="M1473" i="1"/>
  <c r="N1473" i="1"/>
  <c r="P1473" i="1"/>
  <c r="Q1473" i="1"/>
  <c r="M1727" i="1"/>
  <c r="N1727" i="1"/>
  <c r="P1727" i="1"/>
  <c r="Q1727" i="1"/>
  <c r="M1105" i="1"/>
  <c r="N1105" i="1"/>
  <c r="P1105" i="1"/>
  <c r="Q1105" i="1"/>
  <c r="M179" i="1"/>
  <c r="N179" i="1"/>
  <c r="P179" i="1"/>
  <c r="Q179" i="1"/>
  <c r="M343" i="1"/>
  <c r="N343" i="1"/>
  <c r="P343" i="1"/>
  <c r="Q343" i="1"/>
  <c r="M425" i="1"/>
  <c r="N425" i="1"/>
  <c r="P425" i="1"/>
  <c r="Q425" i="1"/>
  <c r="M1564" i="1"/>
  <c r="N1564" i="1"/>
  <c r="P1564" i="1"/>
  <c r="Q1564" i="1"/>
  <c r="M685" i="1"/>
  <c r="N685" i="1"/>
  <c r="P685" i="1"/>
  <c r="Q685" i="1"/>
  <c r="M678" i="1"/>
  <c r="N678" i="1"/>
  <c r="P678" i="1"/>
  <c r="Q678" i="1"/>
  <c r="M1059" i="1"/>
  <c r="N1059" i="1"/>
  <c r="P1059" i="1"/>
  <c r="Q1059" i="1"/>
  <c r="M1072" i="1"/>
  <c r="N1072" i="1"/>
  <c r="P1072" i="1"/>
  <c r="Q1072" i="1"/>
  <c r="M884" i="1"/>
  <c r="N884" i="1"/>
  <c r="P884" i="1"/>
  <c r="Q884" i="1"/>
  <c r="M1277" i="1"/>
  <c r="N1277" i="1"/>
  <c r="P1277" i="1"/>
  <c r="Q1277" i="1"/>
  <c r="M761" i="1"/>
  <c r="N761" i="1"/>
  <c r="P761" i="1"/>
  <c r="Q761" i="1"/>
  <c r="M1312" i="1"/>
  <c r="N1312" i="1"/>
  <c r="P1312" i="1"/>
  <c r="Q1312" i="1"/>
  <c r="M1296" i="1"/>
  <c r="N1296" i="1"/>
  <c r="P1296" i="1"/>
  <c r="Q1296" i="1"/>
  <c r="M374" i="1"/>
  <c r="N374" i="1"/>
  <c r="P374" i="1"/>
  <c r="Q374" i="1"/>
  <c r="M132" i="1"/>
  <c r="N132" i="1"/>
  <c r="P132" i="1"/>
  <c r="Q132" i="1"/>
  <c r="M856" i="1"/>
  <c r="N856" i="1"/>
  <c r="P856" i="1"/>
  <c r="Q856" i="1"/>
  <c r="M846" i="1"/>
  <c r="N846" i="1"/>
  <c r="P846" i="1"/>
  <c r="Q846" i="1"/>
  <c r="M1542" i="1"/>
  <c r="N1542" i="1"/>
  <c r="P1542" i="1"/>
  <c r="Q1542" i="1"/>
  <c r="M516" i="1"/>
  <c r="N516" i="1"/>
  <c r="P516" i="1"/>
  <c r="Q516" i="1"/>
  <c r="M470" i="1"/>
  <c r="N470" i="1"/>
  <c r="P470" i="1"/>
  <c r="Q470" i="1"/>
  <c r="M1254" i="1"/>
  <c r="N1254" i="1"/>
  <c r="P1254" i="1"/>
  <c r="Q1254" i="1"/>
  <c r="M1253" i="1"/>
  <c r="N1253" i="1"/>
  <c r="P1253" i="1"/>
  <c r="Q1253" i="1"/>
  <c r="M512" i="1"/>
  <c r="N512" i="1"/>
  <c r="P512" i="1"/>
  <c r="Q512" i="1"/>
  <c r="M1273" i="1"/>
  <c r="N1273" i="1"/>
  <c r="P1273" i="1"/>
  <c r="Q1273" i="1"/>
  <c r="M766" i="1"/>
  <c r="N766" i="1"/>
  <c r="P766" i="1"/>
  <c r="Q766" i="1"/>
  <c r="M461" i="1"/>
  <c r="N461" i="1"/>
  <c r="P461" i="1"/>
  <c r="Q461" i="1"/>
  <c r="M716" i="1"/>
  <c r="N716" i="1"/>
  <c r="P716" i="1"/>
  <c r="Q716" i="1"/>
  <c r="M455" i="1"/>
  <c r="N455" i="1"/>
  <c r="P455" i="1"/>
  <c r="Q455" i="1"/>
  <c r="M1501" i="1"/>
  <c r="N1501" i="1"/>
  <c r="P1501" i="1"/>
  <c r="Q1501" i="1"/>
  <c r="M1569" i="1"/>
  <c r="N1569" i="1"/>
  <c r="P1569" i="1"/>
  <c r="Q1569" i="1"/>
  <c r="M456" i="1"/>
  <c r="N456" i="1"/>
  <c r="P456" i="1"/>
  <c r="Q456" i="1"/>
  <c r="M1567" i="1"/>
  <c r="N1567" i="1"/>
  <c r="P1567" i="1"/>
  <c r="Q1567" i="1"/>
  <c r="M122" i="1"/>
  <c r="N122" i="1"/>
  <c r="P122" i="1"/>
  <c r="Q122" i="1"/>
  <c r="M818" i="1"/>
  <c r="N818" i="1"/>
  <c r="P818" i="1"/>
  <c r="Q818" i="1"/>
  <c r="M1725" i="1"/>
  <c r="N1725" i="1"/>
  <c r="P1725" i="1"/>
  <c r="Q1725" i="1"/>
  <c r="M1053" i="1"/>
  <c r="N1053" i="1"/>
  <c r="P1053" i="1"/>
  <c r="Q1053" i="1"/>
  <c r="M1675" i="1"/>
  <c r="N1675" i="1"/>
  <c r="P1675" i="1"/>
  <c r="Q1675" i="1"/>
  <c r="M677" i="1"/>
  <c r="N677" i="1"/>
  <c r="P677" i="1"/>
  <c r="Q677" i="1"/>
  <c r="M683" i="1"/>
  <c r="N683" i="1"/>
  <c r="P683" i="1"/>
  <c r="Q683" i="1"/>
  <c r="M441" i="1"/>
  <c r="N441" i="1"/>
  <c r="P441" i="1"/>
  <c r="Q441" i="1"/>
  <c r="M146" i="1"/>
  <c r="N146" i="1"/>
  <c r="P146" i="1"/>
  <c r="Q146" i="1"/>
  <c r="M353" i="1"/>
  <c r="N353" i="1"/>
  <c r="P353" i="1"/>
  <c r="Q353" i="1"/>
  <c r="M1642" i="1"/>
  <c r="N1642" i="1"/>
  <c r="P1642" i="1"/>
  <c r="Q1642" i="1"/>
  <c r="M491" i="1"/>
  <c r="N491" i="1"/>
  <c r="P491" i="1"/>
  <c r="Q491" i="1"/>
  <c r="M1482" i="1"/>
  <c r="N1482" i="1"/>
  <c r="P1482" i="1"/>
  <c r="Q1482" i="1"/>
  <c r="M433" i="1"/>
  <c r="N433" i="1"/>
  <c r="P433" i="1"/>
  <c r="Q433" i="1"/>
  <c r="M1496" i="1"/>
  <c r="N1496" i="1"/>
  <c r="P1496" i="1"/>
  <c r="Q1496" i="1"/>
  <c r="M355" i="1"/>
  <c r="N355" i="1"/>
  <c r="P355" i="1"/>
  <c r="Q355" i="1"/>
  <c r="M1157" i="1"/>
  <c r="N1157" i="1"/>
  <c r="P1157" i="1"/>
  <c r="Q1157" i="1"/>
  <c r="M1568" i="1"/>
  <c r="N1568" i="1"/>
  <c r="P1568" i="1"/>
  <c r="Q1568" i="1"/>
  <c r="M1047" i="1"/>
  <c r="N1047" i="1"/>
  <c r="P1047" i="1"/>
  <c r="Q1047" i="1"/>
  <c r="M114" i="1"/>
  <c r="N114" i="1"/>
  <c r="P114" i="1"/>
  <c r="Q114" i="1"/>
  <c r="M68" i="1"/>
  <c r="N68" i="1"/>
  <c r="P68" i="1"/>
  <c r="Q68" i="1"/>
  <c r="M1468" i="1"/>
  <c r="N1468" i="1"/>
  <c r="P1468" i="1"/>
  <c r="Q1468" i="1"/>
  <c r="M350" i="1"/>
  <c r="N350" i="1"/>
  <c r="P350" i="1"/>
  <c r="Q350" i="1"/>
  <c r="M55" i="1"/>
  <c r="N55" i="1"/>
  <c r="P55" i="1"/>
  <c r="Q55" i="1"/>
  <c r="M1663" i="1"/>
  <c r="N1663" i="1"/>
  <c r="P1663" i="1"/>
  <c r="Q1663" i="1"/>
  <c r="M151" i="1"/>
  <c r="N151" i="1"/>
  <c r="P151" i="1"/>
  <c r="Q151" i="1"/>
  <c r="M1621" i="1"/>
  <c r="N1621" i="1"/>
  <c r="P1621" i="1"/>
  <c r="Q1621" i="1"/>
  <c r="M1046" i="1"/>
  <c r="N1046" i="1"/>
  <c r="P1046" i="1"/>
  <c r="Q1046" i="1"/>
  <c r="M627" i="1"/>
  <c r="N627" i="1"/>
  <c r="P627" i="1"/>
  <c r="Q627" i="1"/>
  <c r="M257" i="1"/>
  <c r="N257" i="1"/>
  <c r="P257" i="1"/>
  <c r="Q257" i="1"/>
  <c r="M787" i="1"/>
  <c r="N787" i="1"/>
  <c r="P787" i="1"/>
  <c r="Q787" i="1"/>
  <c r="M1636" i="1"/>
  <c r="N1636" i="1"/>
  <c r="P1636" i="1"/>
  <c r="Q1636" i="1"/>
  <c r="M1627" i="1"/>
  <c r="N1627" i="1"/>
  <c r="P1627" i="1"/>
  <c r="Q1627" i="1"/>
  <c r="M624" i="1"/>
  <c r="N624" i="1"/>
  <c r="P624" i="1"/>
  <c r="Q624" i="1"/>
  <c r="M445" i="1"/>
  <c r="N445" i="1"/>
  <c r="P445" i="1"/>
  <c r="Q445" i="1"/>
  <c r="M1446" i="1"/>
  <c r="N1446" i="1"/>
  <c r="P1446" i="1"/>
  <c r="Q1446" i="1"/>
  <c r="M1565" i="1"/>
  <c r="N1565" i="1"/>
  <c r="P1565" i="1"/>
  <c r="Q1565" i="1"/>
  <c r="M633" i="1"/>
  <c r="N633" i="1"/>
  <c r="P633" i="1"/>
  <c r="Q633" i="1"/>
  <c r="M796" i="1"/>
  <c r="N796" i="1"/>
  <c r="P796" i="1"/>
  <c r="Q796" i="1"/>
  <c r="M1610" i="1"/>
  <c r="N1610" i="1"/>
  <c r="P1610" i="1"/>
  <c r="Q1610" i="1"/>
  <c r="M1392" i="1"/>
  <c r="N1392" i="1"/>
  <c r="P1392" i="1"/>
  <c r="Q1392" i="1"/>
  <c r="M1315" i="1"/>
  <c r="N1315" i="1"/>
  <c r="P1315" i="1"/>
  <c r="Q1315" i="1"/>
  <c r="M1481" i="1"/>
  <c r="N1481" i="1"/>
  <c r="P1481" i="1"/>
  <c r="Q1481" i="1"/>
  <c r="M1604" i="1"/>
  <c r="N1604" i="1"/>
  <c r="P1604" i="1"/>
  <c r="Q1604" i="1"/>
  <c r="M791" i="1"/>
  <c r="N791" i="1"/>
  <c r="P791" i="1"/>
  <c r="Q791" i="1"/>
  <c r="M1438" i="1"/>
  <c r="N1438" i="1"/>
  <c r="P1438" i="1"/>
  <c r="Q1438" i="1"/>
  <c r="M533" i="1"/>
  <c r="N533" i="1"/>
  <c r="P533" i="1"/>
  <c r="Q533" i="1"/>
  <c r="M1370" i="1"/>
  <c r="N1370" i="1"/>
  <c r="P1370" i="1"/>
  <c r="Q1370" i="1"/>
  <c r="M218" i="1"/>
  <c r="N218" i="1"/>
  <c r="P218" i="1"/>
  <c r="Q218" i="1"/>
  <c r="M1674" i="1"/>
  <c r="N1674" i="1"/>
  <c r="P1674" i="1"/>
  <c r="Q1674" i="1"/>
  <c r="M1055" i="1"/>
  <c r="N1055" i="1"/>
  <c r="P1055" i="1"/>
  <c r="Q1055" i="1"/>
  <c r="M47" i="1"/>
  <c r="N47" i="1"/>
  <c r="P47" i="1"/>
  <c r="Q47" i="1"/>
  <c r="M45" i="1"/>
  <c r="N45" i="1"/>
  <c r="P45" i="1"/>
  <c r="Q45" i="1"/>
  <c r="M1109" i="1"/>
  <c r="N1109" i="1"/>
  <c r="P1109" i="1"/>
  <c r="Q1109" i="1"/>
  <c r="M434" i="1"/>
  <c r="N434" i="1"/>
  <c r="P434" i="1"/>
  <c r="Q434" i="1"/>
  <c r="M681" i="1"/>
  <c r="N681" i="1"/>
  <c r="P681" i="1"/>
  <c r="Q681" i="1"/>
  <c r="M850" i="1"/>
  <c r="N850" i="1"/>
  <c r="P850" i="1"/>
  <c r="Q850" i="1"/>
  <c r="M1625" i="1"/>
  <c r="N1625" i="1"/>
  <c r="P1625" i="1"/>
  <c r="Q1625" i="1"/>
  <c r="M1123" i="1"/>
  <c r="N1123" i="1"/>
  <c r="P1123" i="1"/>
  <c r="Q1123" i="1"/>
  <c r="M476" i="1"/>
  <c r="N476" i="1"/>
  <c r="P476" i="1"/>
  <c r="Q476" i="1"/>
  <c r="M1531" i="1"/>
  <c r="N1531" i="1"/>
  <c r="P1531" i="1"/>
  <c r="Q1531" i="1"/>
  <c r="M1597" i="1"/>
  <c r="N1597" i="1"/>
  <c r="P1597" i="1"/>
  <c r="Q1597" i="1"/>
  <c r="M1186" i="1"/>
  <c r="N1186" i="1"/>
  <c r="P1186" i="1"/>
  <c r="Q1186" i="1"/>
  <c r="M1595" i="1"/>
  <c r="N1595" i="1"/>
  <c r="P1595" i="1"/>
  <c r="Q1595" i="1"/>
  <c r="M1129" i="1"/>
  <c r="N1129" i="1"/>
  <c r="P1129" i="1"/>
  <c r="Q1129" i="1"/>
  <c r="M1007" i="1"/>
  <c r="N1007" i="1"/>
  <c r="P1007" i="1"/>
  <c r="Q1007" i="1"/>
  <c r="M923" i="1"/>
  <c r="N923" i="1"/>
  <c r="P923" i="1"/>
  <c r="Q923" i="1"/>
  <c r="M177" i="1"/>
  <c r="N177" i="1"/>
  <c r="P177" i="1"/>
  <c r="Q177" i="1"/>
  <c r="M150" i="1"/>
  <c r="N150" i="1"/>
  <c r="P150" i="1"/>
  <c r="Q150" i="1"/>
  <c r="M906" i="1"/>
  <c r="N906" i="1"/>
  <c r="P906" i="1"/>
  <c r="Q906" i="1"/>
  <c r="M740" i="1"/>
  <c r="N740" i="1"/>
  <c r="P740" i="1"/>
  <c r="Q740" i="1"/>
  <c r="M307" i="1"/>
  <c r="N307" i="1"/>
  <c r="P307" i="1"/>
  <c r="Q307" i="1"/>
  <c r="M1290" i="1"/>
  <c r="N1290" i="1"/>
  <c r="P1290" i="1"/>
  <c r="Q1290" i="1"/>
  <c r="M1071" i="1"/>
  <c r="N1071" i="1"/>
  <c r="P1071" i="1"/>
  <c r="Q1071" i="1"/>
  <c r="M1699" i="1"/>
  <c r="N1699" i="1"/>
  <c r="P1699" i="1"/>
  <c r="Q1699" i="1"/>
  <c r="M659" i="1"/>
  <c r="N659" i="1"/>
  <c r="P659" i="1"/>
  <c r="Q659" i="1"/>
  <c r="M554" i="1"/>
  <c r="N554" i="1"/>
  <c r="P554" i="1"/>
  <c r="Q554" i="1"/>
  <c r="M643" i="1"/>
  <c r="N643" i="1"/>
  <c r="P643" i="1"/>
  <c r="Q643" i="1"/>
  <c r="M1325" i="1"/>
  <c r="N1325" i="1"/>
  <c r="P1325" i="1"/>
  <c r="Q1325" i="1"/>
  <c r="M575" i="1"/>
  <c r="N575" i="1"/>
  <c r="P575" i="1"/>
  <c r="Q575" i="1"/>
  <c r="M1018" i="1"/>
  <c r="N1018" i="1"/>
  <c r="P1018" i="1"/>
  <c r="Q1018" i="1"/>
  <c r="M373" i="1"/>
  <c r="N373" i="1"/>
  <c r="P373" i="1"/>
  <c r="Q373" i="1"/>
  <c r="M327" i="1"/>
  <c r="N327" i="1"/>
  <c r="P327" i="1"/>
  <c r="Q327" i="1"/>
  <c r="M312" i="1"/>
  <c r="N312" i="1"/>
  <c r="P312" i="1"/>
  <c r="Q312" i="1"/>
  <c r="M356" i="1"/>
  <c r="N356" i="1"/>
  <c r="P356" i="1"/>
  <c r="Q356" i="1"/>
  <c r="M201" i="1"/>
  <c r="N201" i="1"/>
  <c r="P201" i="1"/>
  <c r="Q201" i="1"/>
  <c r="M861" i="1"/>
  <c r="N861" i="1"/>
  <c r="P861" i="1"/>
  <c r="Q861" i="1"/>
  <c r="M574" i="1"/>
  <c r="N574" i="1"/>
  <c r="P574" i="1"/>
  <c r="Q574" i="1"/>
  <c r="M606" i="1"/>
  <c r="N606" i="1"/>
  <c r="P606" i="1"/>
  <c r="Q606" i="1"/>
  <c r="M1074" i="1"/>
  <c r="N1074" i="1"/>
  <c r="P1074" i="1"/>
  <c r="Q1074" i="1"/>
  <c r="M587" i="1"/>
  <c r="N587" i="1"/>
  <c r="P587" i="1"/>
  <c r="Q587" i="1"/>
  <c r="M1327" i="1"/>
  <c r="N1327" i="1"/>
  <c r="P1327" i="1"/>
  <c r="Q1327" i="1"/>
  <c r="M1262" i="1"/>
  <c r="N1262" i="1"/>
  <c r="P1262" i="1"/>
  <c r="Q1262" i="1"/>
  <c r="M352" i="1"/>
  <c r="N352" i="1"/>
  <c r="P352" i="1"/>
  <c r="Q352" i="1"/>
  <c r="M1593" i="1"/>
  <c r="N1593" i="1"/>
  <c r="P1593" i="1"/>
  <c r="Q1593" i="1"/>
  <c r="M283" i="1"/>
  <c r="N283" i="1"/>
  <c r="P283" i="1"/>
  <c r="Q283" i="1"/>
  <c r="M1551" i="1"/>
  <c r="N1551" i="1"/>
  <c r="P1551" i="1"/>
  <c r="Q1551" i="1"/>
  <c r="M354" i="1"/>
  <c r="N354" i="1"/>
  <c r="P354" i="1"/>
  <c r="Q354" i="1"/>
  <c r="M1423" i="1"/>
  <c r="N1423" i="1"/>
  <c r="P1423" i="1"/>
  <c r="Q1423" i="1"/>
  <c r="M1521" i="1"/>
  <c r="N1521" i="1"/>
  <c r="P1521" i="1"/>
  <c r="Q1521" i="1"/>
  <c r="M1378" i="1"/>
  <c r="N1378" i="1"/>
  <c r="P1378" i="1"/>
  <c r="Q1378" i="1"/>
  <c r="M893" i="1"/>
  <c r="N893" i="1"/>
  <c r="P893" i="1"/>
  <c r="Q893" i="1"/>
  <c r="M952" i="1"/>
  <c r="N952" i="1"/>
  <c r="P952" i="1"/>
  <c r="Q952" i="1"/>
  <c r="M297" i="1"/>
  <c r="N297" i="1"/>
  <c r="P297" i="1"/>
  <c r="Q297" i="1"/>
  <c r="M1394" i="1"/>
  <c r="N1394" i="1"/>
  <c r="P1394" i="1"/>
  <c r="Q1394" i="1"/>
  <c r="M1068" i="1"/>
  <c r="N1068" i="1"/>
  <c r="P1068" i="1"/>
  <c r="Q1068" i="1"/>
  <c r="M301" i="1"/>
  <c r="N301" i="1"/>
  <c r="P301" i="1"/>
  <c r="Q301" i="1"/>
  <c r="M269" i="1"/>
  <c r="N269" i="1"/>
  <c r="P269" i="1"/>
  <c r="Q269" i="1"/>
  <c r="M1272" i="1"/>
  <c r="N1272" i="1"/>
  <c r="P1272" i="1"/>
  <c r="Q1272" i="1"/>
  <c r="M440" i="1"/>
  <c r="N440" i="1"/>
  <c r="P440" i="1"/>
  <c r="Q440" i="1"/>
  <c r="M1039" i="1"/>
  <c r="N1039" i="1"/>
  <c r="P1039" i="1"/>
  <c r="Q1039" i="1"/>
  <c r="M1545" i="1"/>
  <c r="N1545" i="1"/>
  <c r="P1545" i="1"/>
  <c r="Q1545" i="1"/>
  <c r="M829" i="1"/>
  <c r="N829" i="1"/>
  <c r="P829" i="1"/>
  <c r="Q829" i="1"/>
  <c r="M1242" i="1"/>
  <c r="N1242" i="1"/>
  <c r="P1242" i="1"/>
  <c r="Q1242" i="1"/>
  <c r="M1661" i="1"/>
  <c r="N1661" i="1"/>
  <c r="P1661" i="1"/>
  <c r="Q1661" i="1"/>
  <c r="M63" i="1"/>
  <c r="N63" i="1"/>
  <c r="P63" i="1"/>
  <c r="Q63" i="1"/>
  <c r="M1401" i="1"/>
  <c r="N1401" i="1"/>
  <c r="P1401" i="1"/>
  <c r="Q1401" i="1"/>
  <c r="M1724" i="1"/>
  <c r="N1724" i="1"/>
  <c r="P1724" i="1"/>
  <c r="Q1724" i="1"/>
  <c r="M1442" i="1"/>
  <c r="N1442" i="1"/>
  <c r="P1442" i="1"/>
  <c r="Q1442" i="1"/>
  <c r="M788" i="1"/>
  <c r="N788" i="1"/>
  <c r="P788" i="1"/>
  <c r="Q788" i="1"/>
  <c r="M1070" i="1"/>
  <c r="N1070" i="1"/>
  <c r="P1070" i="1"/>
  <c r="Q1070" i="1"/>
  <c r="M1533" i="1"/>
  <c r="N1533" i="1"/>
  <c r="P1533" i="1"/>
  <c r="Q1533" i="1"/>
  <c r="M464" i="1"/>
  <c r="N464" i="1"/>
  <c r="P464" i="1"/>
  <c r="Q464" i="1"/>
  <c r="M670" i="1"/>
  <c r="N670" i="1"/>
  <c r="P670" i="1"/>
  <c r="Q670" i="1"/>
  <c r="M1429" i="1"/>
  <c r="N1429" i="1"/>
  <c r="P1429" i="1"/>
  <c r="Q1429" i="1"/>
  <c r="M32" i="1"/>
  <c r="N32" i="1"/>
  <c r="P32" i="1"/>
  <c r="Q32" i="1"/>
  <c r="M1598" i="1"/>
  <c r="N1598" i="1"/>
  <c r="P1598" i="1"/>
  <c r="Q1598" i="1"/>
  <c r="M1386" i="1"/>
  <c r="N1386" i="1"/>
  <c r="P1386" i="1"/>
  <c r="Q1386" i="1"/>
  <c r="M1239" i="1"/>
  <c r="N1239" i="1"/>
  <c r="P1239" i="1"/>
  <c r="Q1239" i="1"/>
  <c r="M1261" i="1"/>
  <c r="N1261" i="1"/>
  <c r="P1261" i="1"/>
  <c r="Q1261" i="1"/>
  <c r="M1246" i="1"/>
  <c r="N1246" i="1"/>
  <c r="P1246" i="1"/>
  <c r="Q1246" i="1"/>
  <c r="M1066" i="1"/>
  <c r="N1066" i="1"/>
  <c r="P1066" i="1"/>
  <c r="Q1066" i="1"/>
  <c r="M281" i="1"/>
  <c r="N281" i="1"/>
  <c r="P281" i="1"/>
  <c r="Q281" i="1"/>
  <c r="M1514" i="1"/>
  <c r="N1514" i="1"/>
  <c r="P1514" i="1"/>
  <c r="Q1514" i="1"/>
  <c r="M1043" i="1"/>
  <c r="N1043" i="1"/>
  <c r="P1043" i="1"/>
  <c r="Q1043" i="1"/>
  <c r="M64" i="1"/>
  <c r="N64" i="1"/>
  <c r="P64" i="1"/>
  <c r="Q64" i="1"/>
  <c r="M17" i="1"/>
  <c r="N17" i="1"/>
  <c r="P17" i="1"/>
  <c r="Q17" i="1"/>
  <c r="M155" i="1"/>
  <c r="N155" i="1"/>
  <c r="P155" i="1"/>
  <c r="Q155" i="1"/>
  <c r="M956" i="1"/>
  <c r="N956" i="1"/>
  <c r="P956" i="1"/>
  <c r="Q956" i="1"/>
  <c r="M620" i="1"/>
  <c r="N620" i="1"/>
  <c r="P620" i="1"/>
  <c r="Q620" i="1"/>
  <c r="M615" i="1"/>
  <c r="N615" i="1"/>
  <c r="P615" i="1"/>
  <c r="Q615" i="1"/>
  <c r="M20" i="1"/>
  <c r="N20" i="1"/>
  <c r="P20" i="1"/>
  <c r="Q20" i="1"/>
  <c r="M1585" i="1"/>
  <c r="N1585" i="1"/>
  <c r="P1585" i="1"/>
  <c r="Q1585" i="1"/>
  <c r="M1580" i="1"/>
  <c r="N1580" i="1"/>
  <c r="P1580" i="1"/>
  <c r="Q1580" i="1"/>
  <c r="M1583" i="1"/>
  <c r="N1583" i="1"/>
  <c r="P1583" i="1"/>
  <c r="Q1583" i="1"/>
  <c r="M16" i="1"/>
  <c r="N16" i="1"/>
  <c r="P16" i="1"/>
  <c r="Q16" i="1"/>
  <c r="M714" i="1"/>
  <c r="N714" i="1"/>
  <c r="P714" i="1"/>
  <c r="Q714" i="1"/>
  <c r="M705" i="1"/>
  <c r="N705" i="1"/>
  <c r="P705" i="1"/>
  <c r="Q705" i="1"/>
  <c r="M33" i="1"/>
  <c r="N33" i="1"/>
  <c r="P33" i="1"/>
  <c r="Q33" i="1"/>
  <c r="M955" i="1"/>
  <c r="N955" i="1"/>
  <c r="P955" i="1"/>
  <c r="Q955" i="1"/>
  <c r="M1592" i="1"/>
  <c r="N1592" i="1"/>
  <c r="P1592" i="1"/>
  <c r="Q1592" i="1"/>
  <c r="M622" i="1"/>
  <c r="N622" i="1"/>
  <c r="P622" i="1"/>
  <c r="Q622" i="1"/>
  <c r="M25" i="1"/>
  <c r="N25" i="1"/>
  <c r="P25" i="1"/>
  <c r="Q25" i="1"/>
  <c r="M363" i="1"/>
  <c r="N363" i="1"/>
  <c r="P363" i="1"/>
  <c r="Q363" i="1"/>
  <c r="M635" i="1"/>
  <c r="N635" i="1"/>
  <c r="P635" i="1"/>
  <c r="Q635" i="1"/>
  <c r="M666" i="1"/>
  <c r="N666" i="1"/>
  <c r="P666" i="1"/>
  <c r="Q666" i="1"/>
  <c r="M382" i="1"/>
  <c r="N382" i="1"/>
  <c r="P382" i="1"/>
  <c r="Q382" i="1"/>
  <c r="M175" i="1"/>
  <c r="N175" i="1"/>
  <c r="P175" i="1"/>
  <c r="Q175" i="1"/>
  <c r="M801" i="1"/>
  <c r="N801" i="1"/>
  <c r="P801" i="1"/>
  <c r="Q801" i="1"/>
  <c r="M1090" i="1"/>
  <c r="N1090" i="1"/>
  <c r="P1090" i="1"/>
  <c r="Q1090" i="1"/>
  <c r="M481" i="1"/>
  <c r="N481" i="1"/>
  <c r="P481" i="1"/>
  <c r="Q481" i="1"/>
  <c r="M1087" i="1"/>
  <c r="N1087" i="1"/>
  <c r="P1087" i="1"/>
  <c r="Q1087" i="1"/>
  <c r="M209" i="1"/>
  <c r="N209" i="1"/>
  <c r="P209" i="1"/>
  <c r="Q209" i="1"/>
  <c r="M1591" i="1"/>
  <c r="N1591" i="1"/>
  <c r="P1591" i="1"/>
  <c r="Q1591" i="1"/>
  <c r="M809" i="1"/>
  <c r="N809" i="1"/>
  <c r="P809" i="1"/>
  <c r="Q809" i="1"/>
  <c r="M39" i="1"/>
  <c r="N39" i="1"/>
  <c r="P39" i="1"/>
  <c r="Q39" i="1"/>
  <c r="M862" i="1"/>
  <c r="N862" i="1"/>
  <c r="P862" i="1"/>
  <c r="Q862" i="1"/>
  <c r="M930" i="1"/>
  <c r="N930" i="1"/>
  <c r="P930" i="1"/>
  <c r="Q930" i="1"/>
  <c r="M527" i="1"/>
  <c r="N527" i="1"/>
  <c r="P527" i="1"/>
  <c r="Q527" i="1"/>
  <c r="M402" i="1"/>
  <c r="N402" i="1"/>
  <c r="P402" i="1"/>
  <c r="Q402" i="1"/>
  <c r="M1252" i="1"/>
  <c r="N1252" i="1"/>
  <c r="P1252" i="1"/>
  <c r="Q1252" i="1"/>
  <c r="M647" i="1"/>
  <c r="N647" i="1"/>
  <c r="P647" i="1"/>
  <c r="Q647" i="1"/>
  <c r="M7" i="1"/>
  <c r="N7" i="1"/>
  <c r="P7" i="1"/>
  <c r="Q7" i="1"/>
  <c r="M1307" i="1"/>
  <c r="N1307" i="1"/>
  <c r="P1307" i="1"/>
  <c r="Q1307" i="1"/>
  <c r="M571" i="1"/>
  <c r="N571" i="1"/>
  <c r="P571" i="1"/>
  <c r="Q571" i="1"/>
  <c r="M1115" i="1"/>
  <c r="N1115" i="1"/>
  <c r="P1115" i="1"/>
  <c r="Q1115" i="1"/>
  <c r="M738" i="1"/>
  <c r="N738" i="1"/>
  <c r="P738" i="1"/>
  <c r="Q738" i="1"/>
  <c r="M405" i="1"/>
  <c r="N405" i="1"/>
  <c r="P405" i="1"/>
  <c r="Q405" i="1"/>
  <c r="M1588" i="1"/>
  <c r="N1588" i="1"/>
  <c r="P1588" i="1"/>
  <c r="Q1588" i="1"/>
  <c r="M1210" i="1"/>
  <c r="N1210" i="1"/>
  <c r="P1210" i="1"/>
  <c r="Q1210" i="1"/>
  <c r="M1558" i="1"/>
  <c r="N1558" i="1"/>
  <c r="P1558" i="1"/>
  <c r="Q1558" i="1"/>
  <c r="M719" i="1"/>
  <c r="N719" i="1"/>
  <c r="P719" i="1"/>
  <c r="Q719" i="1"/>
  <c r="M1085" i="1"/>
  <c r="N1085" i="1"/>
  <c r="P1085" i="1"/>
  <c r="Q1085" i="1"/>
  <c r="M940" i="1"/>
  <c r="N940" i="1"/>
  <c r="P940" i="1"/>
  <c r="Q940" i="1"/>
  <c r="M1647" i="1"/>
  <c r="N1647" i="1"/>
  <c r="P1647" i="1"/>
  <c r="Q1647" i="1"/>
  <c r="M963" i="1"/>
  <c r="N963" i="1"/>
  <c r="P963" i="1"/>
  <c r="Q963" i="1"/>
  <c r="M1646" i="1"/>
  <c r="N1646" i="1"/>
  <c r="P1646" i="1"/>
  <c r="Q1646" i="1"/>
  <c r="M562" i="1"/>
  <c r="N562" i="1"/>
  <c r="P562" i="1"/>
  <c r="Q562" i="1"/>
  <c r="M942" i="1"/>
  <c r="N942" i="1"/>
  <c r="P942" i="1"/>
  <c r="Q942" i="1"/>
  <c r="M1589" i="1"/>
  <c r="N1589" i="1"/>
  <c r="P1589" i="1"/>
  <c r="Q1589" i="1"/>
  <c r="M1304" i="1"/>
  <c r="N1304" i="1"/>
  <c r="P1304" i="1"/>
  <c r="Q1304" i="1"/>
  <c r="M969" i="1"/>
  <c r="N969" i="1"/>
  <c r="P969" i="1"/>
  <c r="Q969" i="1"/>
  <c r="M234" i="1"/>
  <c r="N234" i="1"/>
  <c r="P234" i="1"/>
  <c r="Q234" i="1"/>
  <c r="M359" i="1"/>
  <c r="N359" i="1"/>
  <c r="P359" i="1"/>
  <c r="Q359" i="1"/>
  <c r="M754" i="1"/>
  <c r="N754" i="1"/>
  <c r="P754" i="1"/>
  <c r="Q754" i="1"/>
  <c r="M1460" i="1"/>
  <c r="N1460" i="1"/>
  <c r="P1460" i="1"/>
  <c r="Q1460" i="1"/>
  <c r="M824" i="1"/>
  <c r="N824" i="1"/>
  <c r="P824" i="1"/>
  <c r="Q824" i="1"/>
  <c r="M798" i="1"/>
  <c r="N798" i="1"/>
  <c r="P798" i="1"/>
  <c r="Q798" i="1"/>
  <c r="M1344" i="1"/>
  <c r="N1344" i="1"/>
  <c r="P1344" i="1"/>
  <c r="Q1344" i="1"/>
  <c r="M294" i="1"/>
  <c r="N294" i="1"/>
  <c r="P294" i="1"/>
  <c r="Q294" i="1"/>
  <c r="M868" i="1"/>
  <c r="N868" i="1"/>
  <c r="P868" i="1"/>
  <c r="Q868" i="1"/>
  <c r="M978" i="1"/>
  <c r="N978" i="1"/>
  <c r="P978" i="1"/>
  <c r="Q978" i="1"/>
  <c r="M1497" i="1"/>
  <c r="N1497" i="1"/>
  <c r="P1497" i="1"/>
  <c r="Q1497" i="1"/>
  <c r="M1503" i="1"/>
  <c r="N1503" i="1"/>
  <c r="P1503" i="1"/>
  <c r="Q1503" i="1"/>
  <c r="M959" i="1"/>
  <c r="N959" i="1"/>
  <c r="P959" i="1"/>
  <c r="Q959" i="1"/>
  <c r="M962" i="1"/>
  <c r="N962" i="1"/>
  <c r="P962" i="1"/>
  <c r="Q962" i="1"/>
  <c r="M1705" i="1"/>
  <c r="N1705" i="1"/>
  <c r="P1705" i="1"/>
  <c r="Q1705" i="1"/>
  <c r="M72" i="1"/>
  <c r="N72" i="1"/>
  <c r="P72" i="1"/>
  <c r="Q72" i="1"/>
  <c r="M746" i="1"/>
  <c r="N746" i="1"/>
  <c r="P746" i="1"/>
  <c r="Q746" i="1"/>
  <c r="M1638" i="1"/>
  <c r="N1638" i="1"/>
  <c r="P1638" i="1"/>
  <c r="Q1638" i="1"/>
  <c r="M724" i="1"/>
  <c r="N724" i="1"/>
  <c r="P724" i="1"/>
  <c r="Q724" i="1"/>
  <c r="M510" i="1"/>
  <c r="N510" i="1"/>
  <c r="P510" i="1"/>
  <c r="Q510" i="1"/>
  <c r="M1355" i="1"/>
  <c r="N1355" i="1"/>
  <c r="P1355" i="1"/>
  <c r="Q1355" i="1"/>
  <c r="M514" i="1"/>
  <c r="N514" i="1"/>
  <c r="P514" i="1"/>
  <c r="Q514" i="1"/>
  <c r="M390" i="1"/>
  <c r="N390" i="1"/>
  <c r="P390" i="1"/>
  <c r="Q390" i="1"/>
  <c r="M380" i="1"/>
  <c r="N380" i="1"/>
  <c r="P380" i="1"/>
  <c r="Q380" i="1"/>
  <c r="M1685" i="1"/>
  <c r="N1685" i="1"/>
  <c r="P1685" i="1"/>
  <c r="Q1685" i="1"/>
  <c r="M958" i="1"/>
  <c r="N958" i="1"/>
  <c r="P958" i="1"/>
  <c r="Q958" i="1"/>
  <c r="M1666" i="1"/>
  <c r="N1666" i="1"/>
  <c r="P1666" i="1"/>
  <c r="Q1666" i="1"/>
  <c r="M648" i="1"/>
  <c r="N648" i="1"/>
  <c r="P648" i="1"/>
  <c r="Q648" i="1"/>
  <c r="M256" i="1"/>
  <c r="N256" i="1"/>
  <c r="P256" i="1"/>
  <c r="Q256" i="1"/>
  <c r="M566" i="1"/>
  <c r="N566" i="1"/>
  <c r="P566" i="1"/>
  <c r="Q566" i="1"/>
  <c r="M385" i="1"/>
  <c r="N385" i="1"/>
  <c r="P385" i="1"/>
  <c r="Q385" i="1"/>
  <c r="M1293" i="1"/>
  <c r="N1293" i="1"/>
  <c r="P1293" i="1"/>
  <c r="Q1293" i="1"/>
  <c r="M977" i="1"/>
  <c r="N977" i="1"/>
  <c r="P977" i="1"/>
  <c r="Q977" i="1"/>
  <c r="M1142" i="1"/>
  <c r="N1142" i="1"/>
  <c r="P1142" i="1"/>
  <c r="Q1142" i="1"/>
  <c r="M285" i="1"/>
  <c r="N285" i="1"/>
  <c r="P285" i="1"/>
  <c r="Q285" i="1"/>
  <c r="M526" i="1"/>
  <c r="N526" i="1"/>
  <c r="P526" i="1"/>
  <c r="Q526" i="1"/>
  <c r="M979" i="1"/>
  <c r="N979" i="1"/>
  <c r="P979" i="1"/>
  <c r="Q979" i="1"/>
  <c r="M322" i="1"/>
  <c r="N322" i="1"/>
  <c r="P322" i="1"/>
  <c r="Q322" i="1"/>
  <c r="M258" i="1"/>
  <c r="N258" i="1"/>
  <c r="P258" i="1"/>
  <c r="Q258" i="1"/>
  <c r="M505" i="1"/>
  <c r="N505" i="1"/>
  <c r="P505" i="1"/>
  <c r="Q505" i="1"/>
  <c r="M980" i="1"/>
  <c r="N980" i="1"/>
  <c r="P980" i="1"/>
  <c r="Q980" i="1"/>
  <c r="M642" i="1"/>
  <c r="N642" i="1"/>
  <c r="P642" i="1"/>
  <c r="Q642" i="1"/>
  <c r="M1683" i="1"/>
  <c r="N1683" i="1"/>
  <c r="P1683" i="1"/>
  <c r="Q1683" i="1"/>
  <c r="M975" i="1"/>
  <c r="N975" i="1"/>
  <c r="P975" i="1"/>
  <c r="Q975" i="1"/>
  <c r="M1349" i="1"/>
  <c r="N1349" i="1"/>
  <c r="P1349" i="1"/>
  <c r="Q1349" i="1"/>
  <c r="M376" i="1"/>
  <c r="N376" i="1"/>
  <c r="P376" i="1"/>
  <c r="Q376" i="1"/>
  <c r="M570" i="1"/>
  <c r="N570" i="1"/>
  <c r="P570" i="1"/>
  <c r="Q570" i="1"/>
  <c r="M238" i="1"/>
  <c r="N238" i="1"/>
  <c r="P238" i="1"/>
  <c r="Q238" i="1"/>
  <c r="M507" i="1"/>
  <c r="N507" i="1"/>
  <c r="P507" i="1"/>
  <c r="Q507" i="1"/>
  <c r="M277" i="1"/>
  <c r="N277" i="1"/>
  <c r="P277" i="1"/>
  <c r="Q277" i="1"/>
  <c r="M88" i="1"/>
  <c r="N88" i="1"/>
  <c r="P88" i="1"/>
  <c r="Q88" i="1"/>
  <c r="M1645" i="1"/>
  <c r="N1645" i="1"/>
  <c r="P1645" i="1"/>
  <c r="Q1645" i="1"/>
  <c r="M636" i="1"/>
  <c r="N636" i="1"/>
  <c r="P636" i="1"/>
  <c r="Q636" i="1"/>
  <c r="M650" i="1"/>
  <c r="N650" i="1"/>
  <c r="P650" i="1"/>
  <c r="Q650" i="1"/>
  <c r="M395" i="1"/>
  <c r="N395" i="1"/>
  <c r="P395" i="1"/>
  <c r="Q395" i="1"/>
  <c r="M662" i="1"/>
  <c r="N662" i="1"/>
  <c r="P662" i="1"/>
  <c r="Q662" i="1"/>
  <c r="M1433" i="1"/>
  <c r="N1433" i="1"/>
  <c r="P1433" i="1"/>
  <c r="Q1433" i="1"/>
  <c r="M1347" i="1"/>
  <c r="N1347" i="1"/>
  <c r="P1347" i="1"/>
  <c r="Q1347" i="1"/>
  <c r="M713" i="1"/>
  <c r="N713" i="1"/>
  <c r="P713" i="1"/>
  <c r="Q713" i="1"/>
  <c r="M797" i="1"/>
  <c r="N797" i="1"/>
  <c r="P797" i="1"/>
  <c r="Q797" i="1"/>
  <c r="M1286" i="1"/>
  <c r="N1286" i="1"/>
  <c r="P1286" i="1"/>
  <c r="Q1286" i="1"/>
  <c r="M1639" i="1"/>
  <c r="N1639" i="1"/>
  <c r="P1639" i="1"/>
  <c r="Q1639" i="1"/>
  <c r="M988" i="1"/>
  <c r="N988" i="1"/>
  <c r="P988" i="1"/>
  <c r="Q988" i="1"/>
  <c r="M1143" i="1"/>
  <c r="N1143" i="1"/>
  <c r="P1143" i="1"/>
  <c r="Q1143" i="1"/>
  <c r="M729" i="1"/>
  <c r="N729" i="1"/>
  <c r="P729" i="1"/>
  <c r="Q729" i="1"/>
  <c r="M1250" i="1"/>
  <c r="N1250" i="1"/>
  <c r="P1250" i="1"/>
  <c r="Q1250" i="1"/>
  <c r="M221" i="1"/>
  <c r="N221" i="1"/>
  <c r="P221" i="1"/>
  <c r="Q221" i="1"/>
  <c r="M103" i="1"/>
  <c r="N103" i="1"/>
  <c r="P103" i="1"/>
  <c r="Q103" i="1"/>
  <c r="M1508" i="1"/>
  <c r="N1508" i="1"/>
  <c r="P1508" i="1"/>
  <c r="Q1508" i="1"/>
  <c r="M1677" i="1"/>
  <c r="N1677" i="1"/>
  <c r="P1677" i="1"/>
  <c r="Q1677" i="1"/>
  <c r="M1299" i="1"/>
  <c r="N1299" i="1"/>
  <c r="P1299" i="1"/>
  <c r="Q1299" i="1"/>
  <c r="M897" i="1"/>
  <c r="N897" i="1"/>
  <c r="P897" i="1"/>
  <c r="Q897" i="1"/>
  <c r="M525" i="1"/>
  <c r="N525" i="1"/>
  <c r="P525" i="1"/>
  <c r="Q525" i="1"/>
  <c r="M668" i="1"/>
  <c r="N668" i="1"/>
  <c r="P668" i="1"/>
  <c r="Q668" i="1"/>
  <c r="M1294" i="1"/>
  <c r="N1294" i="1"/>
  <c r="P1294" i="1"/>
  <c r="Q1294" i="1"/>
  <c r="M391" i="1"/>
  <c r="N391" i="1"/>
  <c r="P391" i="1"/>
  <c r="Q391" i="1"/>
  <c r="M1682" i="1"/>
  <c r="N1682" i="1"/>
  <c r="P1682" i="1"/>
  <c r="Q1682" i="1"/>
  <c r="M1665" i="1"/>
  <c r="N1665" i="1"/>
  <c r="P1665" i="1"/>
  <c r="Q1665" i="1"/>
  <c r="M84" i="1"/>
  <c r="N84" i="1"/>
  <c r="P84" i="1"/>
  <c r="Q84" i="1"/>
  <c r="M802" i="1"/>
  <c r="N802" i="1"/>
  <c r="P802" i="1"/>
  <c r="Q802" i="1"/>
  <c r="M107" i="1"/>
  <c r="N107" i="1"/>
  <c r="P107" i="1"/>
  <c r="Q107" i="1"/>
  <c r="M1540" i="1"/>
  <c r="N1540" i="1"/>
  <c r="P1540" i="1"/>
  <c r="Q1540" i="1"/>
  <c r="M323" i="1"/>
  <c r="N323" i="1"/>
  <c r="P323" i="1"/>
  <c r="Q323" i="1"/>
  <c r="M1354" i="1"/>
  <c r="N1354" i="1"/>
  <c r="P1354" i="1"/>
  <c r="Q1354" i="1"/>
  <c r="M1678" i="1"/>
  <c r="N1678" i="1"/>
  <c r="P1678" i="1"/>
  <c r="Q1678" i="1"/>
  <c r="M473" i="1"/>
  <c r="N473" i="1"/>
  <c r="P473" i="1"/>
  <c r="Q473" i="1"/>
  <c r="M393" i="1"/>
  <c r="N393" i="1"/>
  <c r="P393" i="1"/>
  <c r="Q393" i="1"/>
  <c r="M452" i="1"/>
  <c r="N452" i="1"/>
  <c r="P452" i="1"/>
  <c r="Q452" i="1"/>
  <c r="M383" i="1"/>
  <c r="N383" i="1"/>
  <c r="P383" i="1"/>
  <c r="Q383" i="1"/>
  <c r="M224" i="1"/>
  <c r="N224" i="1"/>
  <c r="P224" i="1"/>
  <c r="Q224" i="1"/>
  <c r="M396" i="1"/>
  <c r="N396" i="1"/>
  <c r="P396" i="1"/>
  <c r="Q396" i="1"/>
  <c r="M1260" i="1"/>
  <c r="N1260" i="1"/>
  <c r="P1260" i="1"/>
  <c r="Q1260" i="1"/>
  <c r="M59" i="1"/>
  <c r="N59" i="1"/>
  <c r="P59" i="1"/>
  <c r="Q59" i="1"/>
  <c r="M1644" i="1"/>
  <c r="N1644" i="1"/>
  <c r="P1644" i="1"/>
  <c r="Q1644" i="1"/>
  <c r="M1292" i="1"/>
  <c r="N1292" i="1"/>
  <c r="P1292" i="1"/>
  <c r="Q1292" i="1"/>
  <c r="M1575" i="1"/>
  <c r="N1575" i="1"/>
  <c r="P1575" i="1"/>
  <c r="Q1575" i="1"/>
  <c r="M762" i="1"/>
  <c r="N762" i="1"/>
  <c r="P762" i="1"/>
  <c r="Q762" i="1"/>
  <c r="M1245" i="1"/>
  <c r="N1245" i="1"/>
  <c r="P1245" i="1"/>
  <c r="Q1245" i="1"/>
  <c r="M1200" i="1"/>
  <c r="N1200" i="1"/>
  <c r="P1200" i="1"/>
  <c r="Q1200" i="1"/>
  <c r="M1267" i="1"/>
  <c r="N1267" i="1"/>
  <c r="P1267" i="1"/>
  <c r="Q1267" i="1"/>
  <c r="M330" i="1"/>
  <c r="N330" i="1"/>
  <c r="P330" i="1"/>
  <c r="Q330" i="1"/>
  <c r="M902" i="1"/>
  <c r="N902" i="1"/>
  <c r="P902" i="1"/>
  <c r="Q902" i="1"/>
  <c r="M1577" i="1"/>
  <c r="N1577" i="1"/>
  <c r="P1577" i="1"/>
  <c r="Q1577" i="1"/>
  <c r="M1614" i="1"/>
  <c r="N1614" i="1"/>
  <c r="P1614" i="1"/>
  <c r="Q1614" i="1"/>
  <c r="M1211" i="1"/>
  <c r="N1211" i="1"/>
  <c r="P1211" i="1"/>
  <c r="Q1211" i="1"/>
  <c r="M1117" i="1"/>
  <c r="N1117" i="1"/>
  <c r="P1117" i="1"/>
  <c r="Q1117" i="1"/>
  <c r="M1153" i="1"/>
  <c r="N1153" i="1"/>
  <c r="P1153" i="1"/>
  <c r="Q1153" i="1"/>
  <c r="M1536" i="1"/>
  <c r="N1536" i="1"/>
  <c r="P1536" i="1"/>
  <c r="Q1536" i="1"/>
  <c r="M948" i="1"/>
  <c r="N948" i="1"/>
  <c r="P948" i="1"/>
  <c r="Q948" i="1"/>
  <c r="M1579" i="1"/>
  <c r="N1579" i="1"/>
  <c r="P1579" i="1"/>
  <c r="Q1579" i="1"/>
  <c r="M69" i="1"/>
  <c r="N69" i="1"/>
  <c r="P69" i="1"/>
  <c r="Q69" i="1"/>
  <c r="M272" i="1"/>
  <c r="N272" i="1"/>
  <c r="P272" i="1"/>
  <c r="Q272" i="1"/>
  <c r="M31" i="1"/>
  <c r="N31" i="1"/>
  <c r="P31" i="1"/>
  <c r="Q31" i="1"/>
  <c r="M1190" i="1"/>
  <c r="N1190" i="1"/>
  <c r="P1190" i="1"/>
  <c r="Q1190" i="1"/>
  <c r="M1258" i="1"/>
  <c r="N1258" i="1"/>
  <c r="P1258" i="1"/>
  <c r="Q1258" i="1"/>
  <c r="M1134" i="1"/>
  <c r="N1134" i="1"/>
  <c r="P1134" i="1"/>
  <c r="Q1134" i="1"/>
  <c r="M887" i="1"/>
  <c r="N887" i="1"/>
  <c r="P887" i="1"/>
  <c r="Q887" i="1"/>
  <c r="M266" i="1"/>
  <c r="N266" i="1"/>
  <c r="P266" i="1"/>
  <c r="Q266" i="1"/>
  <c r="M94" i="1"/>
  <c r="N94" i="1"/>
  <c r="P94" i="1"/>
  <c r="Q94" i="1"/>
  <c r="M332" i="1"/>
  <c r="N332" i="1"/>
  <c r="P332" i="1"/>
  <c r="Q332" i="1"/>
  <c r="M1454" i="1"/>
  <c r="N1454" i="1"/>
  <c r="P1454" i="1"/>
  <c r="Q1454" i="1"/>
  <c r="M1351" i="1"/>
  <c r="N1351" i="1"/>
  <c r="P1351" i="1"/>
  <c r="Q1351" i="1"/>
  <c r="M1118" i="1"/>
  <c r="N1118" i="1"/>
  <c r="P1118" i="1"/>
  <c r="Q1118" i="1"/>
  <c r="M1382" i="1"/>
  <c r="N1382" i="1"/>
  <c r="P1382" i="1"/>
  <c r="Q1382" i="1"/>
  <c r="M920" i="1"/>
  <c r="N920" i="1"/>
  <c r="P920" i="1"/>
  <c r="Q920" i="1"/>
  <c r="M1266" i="1"/>
  <c r="N1266" i="1"/>
  <c r="P1266" i="1"/>
  <c r="Q1266" i="1"/>
  <c r="M905" i="1"/>
  <c r="N905" i="1"/>
  <c r="P905" i="1"/>
  <c r="Q905" i="1"/>
  <c r="M819" i="1"/>
  <c r="N819" i="1"/>
  <c r="P819" i="1"/>
  <c r="Q819" i="1"/>
  <c r="M409" i="1"/>
  <c r="N409" i="1"/>
  <c r="P409" i="1"/>
  <c r="Q409" i="1"/>
  <c r="M270" i="1"/>
  <c r="N270" i="1"/>
  <c r="P270" i="1"/>
  <c r="Q270" i="1"/>
  <c r="M854" i="1"/>
  <c r="N854" i="1"/>
  <c r="P854" i="1"/>
  <c r="Q854" i="1"/>
  <c r="M1257" i="1"/>
  <c r="N1257" i="1"/>
  <c r="P1257" i="1"/>
  <c r="Q1257" i="1"/>
  <c r="M936" i="1"/>
  <c r="N936" i="1"/>
  <c r="P936" i="1"/>
  <c r="Q936" i="1"/>
  <c r="M760" i="1"/>
  <c r="N760" i="1"/>
  <c r="P760" i="1"/>
  <c r="Q760" i="1"/>
  <c r="M528" i="1"/>
  <c r="N528" i="1"/>
  <c r="P528" i="1"/>
  <c r="Q528" i="1"/>
  <c r="M1135" i="1"/>
  <c r="N1135" i="1"/>
  <c r="P1135" i="1"/>
  <c r="Q1135" i="1"/>
  <c r="M758" i="1"/>
  <c r="N758" i="1"/>
  <c r="P758" i="1"/>
  <c r="Q758" i="1"/>
  <c r="M651" i="1"/>
  <c r="N651" i="1"/>
  <c r="P651" i="1"/>
  <c r="Q651" i="1"/>
  <c r="M212" i="1"/>
  <c r="N212" i="1"/>
  <c r="P212" i="1"/>
  <c r="Q212" i="1"/>
  <c r="M1476" i="1"/>
  <c r="N1476" i="1"/>
  <c r="P1476" i="1"/>
  <c r="Q1476" i="1"/>
  <c r="M1079" i="1"/>
  <c r="N1079" i="1"/>
  <c r="P1079" i="1"/>
  <c r="Q1079" i="1"/>
  <c r="M1249" i="1"/>
  <c r="N1249" i="1"/>
  <c r="P1249" i="1"/>
  <c r="Q1249" i="1"/>
  <c r="M806" i="1"/>
  <c r="N806" i="1"/>
  <c r="P806" i="1"/>
  <c r="Q806" i="1"/>
  <c r="M479" i="1"/>
  <c r="N479" i="1"/>
  <c r="P479" i="1"/>
  <c r="Q479" i="1"/>
  <c r="M1082" i="1"/>
  <c r="N1082" i="1"/>
  <c r="P1082" i="1"/>
  <c r="Q1082" i="1"/>
  <c r="M318" i="1"/>
  <c r="N318" i="1"/>
  <c r="P318" i="1"/>
  <c r="Q318" i="1"/>
  <c r="M1513" i="1"/>
  <c r="N1513" i="1"/>
  <c r="P1513" i="1"/>
  <c r="Q1513" i="1"/>
  <c r="M745" i="1"/>
  <c r="N745" i="1"/>
  <c r="P745" i="1"/>
  <c r="Q745" i="1"/>
  <c r="M1520" i="1"/>
  <c r="N1520" i="1"/>
  <c r="P1520" i="1"/>
  <c r="Q1520" i="1"/>
  <c r="M757" i="1"/>
  <c r="N757" i="1"/>
  <c r="P757" i="1"/>
  <c r="Q757" i="1"/>
  <c r="M913" i="1"/>
  <c r="N913" i="1"/>
  <c r="P913" i="1"/>
  <c r="Q913" i="1"/>
  <c r="M1214" i="1"/>
  <c r="N1214" i="1"/>
  <c r="P1214" i="1"/>
  <c r="Q1214" i="1"/>
  <c r="M1550" i="1"/>
  <c r="N1550" i="1"/>
  <c r="P1550" i="1"/>
  <c r="Q1550" i="1"/>
  <c r="M891" i="1"/>
  <c r="N891" i="1"/>
  <c r="P891" i="1"/>
  <c r="Q891" i="1"/>
  <c r="M1547" i="1"/>
  <c r="N1547" i="1"/>
  <c r="P1547" i="1"/>
  <c r="Q1547" i="1"/>
  <c r="M313" i="1"/>
  <c r="N313" i="1"/>
  <c r="P313" i="1"/>
  <c r="Q313" i="1"/>
  <c r="M1216" i="1"/>
  <c r="N1216" i="1"/>
  <c r="P1216" i="1"/>
  <c r="Q1216" i="1"/>
  <c r="M1219" i="1"/>
  <c r="N1219" i="1"/>
  <c r="P1219" i="1"/>
  <c r="Q1219" i="1"/>
  <c r="M1215" i="1"/>
  <c r="N1215" i="1"/>
  <c r="P1215" i="1"/>
  <c r="Q1215" i="1"/>
  <c r="M1121" i="1"/>
  <c r="N1121" i="1"/>
  <c r="P1121" i="1"/>
  <c r="Q1121" i="1"/>
  <c r="M949" i="1"/>
  <c r="N949" i="1"/>
  <c r="P949" i="1"/>
  <c r="Q949" i="1"/>
  <c r="M732" i="1"/>
  <c r="N732" i="1"/>
  <c r="P732" i="1"/>
  <c r="Q732" i="1"/>
  <c r="M410" i="1"/>
  <c r="N410" i="1"/>
  <c r="P410" i="1"/>
  <c r="Q410" i="1"/>
  <c r="M845" i="1"/>
  <c r="N845" i="1"/>
  <c r="P845" i="1"/>
  <c r="Q845" i="1"/>
  <c r="M1494" i="1"/>
  <c r="N1494" i="1"/>
  <c r="P1494" i="1"/>
  <c r="Q1494" i="1"/>
  <c r="M1080" i="1"/>
  <c r="N1080" i="1"/>
  <c r="P1080" i="1"/>
  <c r="Q1080" i="1"/>
  <c r="M394" i="1"/>
  <c r="N394" i="1"/>
  <c r="P394" i="1"/>
  <c r="Q394" i="1"/>
  <c r="M863" i="1"/>
  <c r="N863" i="1"/>
  <c r="P863" i="1"/>
  <c r="Q863" i="1"/>
  <c r="M1231" i="1"/>
  <c r="N1231" i="1"/>
  <c r="P1231" i="1"/>
  <c r="Q1231" i="1"/>
  <c r="M1227" i="1"/>
  <c r="N1227" i="1"/>
  <c r="P1227" i="1"/>
  <c r="Q1227" i="1"/>
  <c r="M795" i="1"/>
  <c r="N795" i="1"/>
  <c r="P795" i="1"/>
  <c r="Q795" i="1"/>
  <c r="M789" i="1"/>
  <c r="N789" i="1"/>
  <c r="P789" i="1"/>
  <c r="Q789" i="1"/>
  <c r="M839" i="1"/>
  <c r="N839" i="1"/>
  <c r="P839" i="1"/>
  <c r="Q839" i="1"/>
  <c r="M254" i="1"/>
  <c r="N254" i="1"/>
  <c r="P254" i="1"/>
  <c r="Q254" i="1"/>
  <c r="M1571" i="1"/>
  <c r="N1571" i="1"/>
  <c r="P1571" i="1"/>
  <c r="Q1571" i="1"/>
  <c r="M417" i="1"/>
  <c r="N417" i="1"/>
  <c r="P417" i="1"/>
  <c r="Q417" i="1"/>
  <c r="M602" i="1"/>
  <c r="N602" i="1"/>
  <c r="P602" i="1"/>
  <c r="Q602" i="1"/>
  <c r="M1091" i="1"/>
  <c r="N1091" i="1"/>
  <c r="P1091" i="1"/>
  <c r="Q1091" i="1"/>
  <c r="M416" i="1"/>
  <c r="N416" i="1"/>
  <c r="P416" i="1"/>
  <c r="Q416" i="1"/>
  <c r="M419" i="1"/>
  <c r="N419" i="1"/>
  <c r="P419" i="1"/>
  <c r="Q419" i="1"/>
  <c r="M717" i="1"/>
  <c r="N717" i="1"/>
  <c r="P717" i="1"/>
  <c r="Q717" i="1"/>
  <c r="M173" i="1"/>
  <c r="N173" i="1"/>
  <c r="P173" i="1"/>
  <c r="Q173" i="1"/>
  <c r="M306" i="1"/>
  <c r="N306" i="1"/>
  <c r="P306" i="1"/>
  <c r="Q306" i="1"/>
  <c r="M601" i="1"/>
  <c r="N601" i="1"/>
  <c r="P601" i="1"/>
  <c r="Q601" i="1"/>
  <c r="M743" i="1"/>
  <c r="N743" i="1"/>
  <c r="P743" i="1"/>
  <c r="Q743" i="1"/>
  <c r="M1402" i="1"/>
  <c r="N1402" i="1"/>
  <c r="P1402" i="1"/>
  <c r="Q1402" i="1"/>
  <c r="M1692" i="1"/>
  <c r="N1692" i="1"/>
  <c r="P1692" i="1"/>
  <c r="Q1692" i="1"/>
  <c r="M735" i="1"/>
  <c r="N735" i="1"/>
  <c r="P735" i="1"/>
  <c r="Q735" i="1"/>
  <c r="M34" i="1"/>
  <c r="N34" i="1"/>
  <c r="P34" i="1"/>
  <c r="Q34" i="1"/>
  <c r="M1534" i="1"/>
  <c r="N1534" i="1"/>
  <c r="P1534" i="1"/>
  <c r="Q1534" i="1"/>
  <c r="M262" i="1"/>
  <c r="N262" i="1"/>
  <c r="P262" i="1"/>
  <c r="Q262" i="1"/>
  <c r="M855" i="1"/>
  <c r="N855" i="1"/>
  <c r="P855" i="1"/>
  <c r="Q855" i="1"/>
  <c r="M749" i="1"/>
  <c r="N749" i="1"/>
  <c r="P749" i="1"/>
  <c r="Q749" i="1"/>
  <c r="M612" i="1"/>
  <c r="N612" i="1"/>
  <c r="P612" i="1"/>
  <c r="Q612" i="1"/>
  <c r="M1556" i="1"/>
  <c r="N1556" i="1"/>
  <c r="P1556" i="1"/>
  <c r="Q1556" i="1"/>
  <c r="M840" i="1"/>
  <c r="N840" i="1"/>
  <c r="P840" i="1"/>
  <c r="Q840" i="1"/>
  <c r="M1236" i="1"/>
  <c r="N1236" i="1"/>
  <c r="P1236" i="1"/>
  <c r="Q1236" i="1"/>
  <c r="M671" i="1"/>
  <c r="N671" i="1"/>
  <c r="P671" i="1"/>
  <c r="Q671" i="1"/>
  <c r="M954" i="1"/>
  <c r="N954" i="1"/>
  <c r="P954" i="1"/>
  <c r="Q954" i="1"/>
  <c r="M1100" i="1"/>
  <c r="N1100" i="1"/>
  <c r="P1100" i="1"/>
  <c r="Q1100" i="1"/>
  <c r="M1359" i="1"/>
  <c r="N1359" i="1"/>
  <c r="P1359" i="1"/>
  <c r="Q1359" i="1"/>
  <c r="M614" i="1"/>
  <c r="N614" i="1"/>
  <c r="P614" i="1"/>
  <c r="Q614" i="1"/>
  <c r="M1618" i="1"/>
  <c r="N1618" i="1"/>
  <c r="P1618" i="1"/>
  <c r="Q1618" i="1"/>
  <c r="M603" i="1"/>
  <c r="N603" i="1"/>
  <c r="P603" i="1"/>
  <c r="Q603" i="1"/>
  <c r="M125" i="1"/>
  <c r="N125" i="1"/>
  <c r="P125" i="1"/>
  <c r="Q125" i="1"/>
  <c r="M1337" i="1"/>
  <c r="N1337" i="1"/>
  <c r="P1337" i="1"/>
  <c r="Q1337" i="1"/>
  <c r="M694" i="1"/>
  <c r="N694" i="1"/>
  <c r="P694" i="1"/>
  <c r="Q694" i="1"/>
  <c r="M876" i="1"/>
  <c r="N876" i="1"/>
  <c r="P876" i="1"/>
  <c r="Q876" i="1"/>
  <c r="M1228" i="1"/>
  <c r="N1228" i="1"/>
  <c r="P1228" i="1"/>
  <c r="Q1228" i="1"/>
  <c r="M366" i="1"/>
  <c r="N366" i="1"/>
  <c r="P366" i="1"/>
  <c r="Q366" i="1"/>
  <c r="M1345" i="1"/>
  <c r="N1345" i="1"/>
  <c r="P1345" i="1"/>
  <c r="Q1345" i="1"/>
  <c r="M785" i="1"/>
  <c r="N785" i="1"/>
  <c r="P785" i="1"/>
  <c r="Q785" i="1"/>
  <c r="M99" i="1"/>
  <c r="N99" i="1"/>
  <c r="P99" i="1"/>
  <c r="Q99" i="1"/>
  <c r="M371" i="1"/>
  <c r="N371" i="1"/>
  <c r="P371" i="1"/>
  <c r="Q371" i="1"/>
  <c r="M413" i="1"/>
  <c r="N413" i="1"/>
  <c r="P413" i="1"/>
  <c r="Q413" i="1"/>
  <c r="M292" i="1"/>
  <c r="N292" i="1"/>
  <c r="P292" i="1"/>
  <c r="Q292" i="1"/>
  <c r="M1525" i="1"/>
  <c r="N1525" i="1"/>
  <c r="P1525" i="1"/>
  <c r="Q1525" i="1"/>
  <c r="M549" i="1"/>
  <c r="N549" i="1"/>
  <c r="P549" i="1"/>
  <c r="Q549" i="1"/>
  <c r="M375" i="1"/>
  <c r="N375" i="1"/>
  <c r="P375" i="1"/>
  <c r="Q375" i="1"/>
  <c r="M119" i="1"/>
  <c r="N119" i="1"/>
  <c r="P119" i="1"/>
  <c r="Q119" i="1"/>
  <c r="M1619" i="1"/>
  <c r="N1619" i="1"/>
  <c r="P1619" i="1"/>
  <c r="Q1619" i="1"/>
  <c r="M1615" i="1"/>
  <c r="N1615" i="1"/>
  <c r="P1615" i="1"/>
  <c r="Q1615" i="1"/>
  <c r="M1278" i="1"/>
  <c r="N1278" i="1"/>
  <c r="P1278" i="1"/>
  <c r="Q1278" i="1"/>
  <c r="M381" i="1"/>
  <c r="N381" i="1"/>
  <c r="P381" i="1"/>
  <c r="Q381" i="1"/>
  <c r="M1116" i="1"/>
  <c r="N1116" i="1"/>
  <c r="P1116" i="1"/>
  <c r="Q1116" i="1"/>
  <c r="M834" i="1"/>
  <c r="N834" i="1"/>
  <c r="P834" i="1"/>
  <c r="Q834" i="1"/>
  <c r="M215" i="1"/>
  <c r="N215" i="1"/>
  <c r="P215" i="1"/>
  <c r="Q215" i="1"/>
  <c r="M241" i="1"/>
  <c r="N241" i="1"/>
  <c r="P241" i="1"/>
  <c r="Q241" i="1"/>
  <c r="M231" i="1"/>
  <c r="N231" i="1"/>
  <c r="P231" i="1"/>
  <c r="Q231" i="1"/>
  <c r="M423" i="1"/>
  <c r="N423" i="1"/>
  <c r="P423" i="1"/>
  <c r="Q423" i="1"/>
  <c r="M1384" i="1"/>
  <c r="N1384" i="1"/>
  <c r="P1384" i="1"/>
  <c r="Q1384" i="1"/>
  <c r="M726" i="1"/>
  <c r="N726" i="1"/>
  <c r="P726" i="1"/>
  <c r="Q726" i="1"/>
  <c r="M974" i="1"/>
  <c r="N974" i="1"/>
  <c r="P974" i="1"/>
  <c r="Q974" i="1"/>
  <c r="M316" i="1"/>
  <c r="N316" i="1"/>
  <c r="P316" i="1"/>
  <c r="Q316" i="1"/>
  <c r="M117" i="1"/>
  <c r="N117" i="1"/>
  <c r="P117" i="1"/>
  <c r="Q117" i="1"/>
  <c r="M1718" i="1"/>
  <c r="N1718" i="1"/>
  <c r="P1718" i="1"/>
  <c r="Q1718" i="1"/>
  <c r="M986" i="1"/>
  <c r="N986" i="1"/>
  <c r="P986" i="1"/>
  <c r="Q986" i="1"/>
  <c r="M1696" i="1"/>
  <c r="N1696" i="1"/>
  <c r="P1696" i="1"/>
  <c r="Q1696" i="1"/>
  <c r="M987" i="1"/>
  <c r="N987" i="1"/>
  <c r="P987" i="1"/>
  <c r="Q987" i="1"/>
  <c r="M1620" i="1"/>
  <c r="N1620" i="1"/>
  <c r="P1620" i="1"/>
  <c r="Q1620" i="1"/>
  <c r="M1409" i="1"/>
  <c r="N1409" i="1"/>
  <c r="P1409" i="1"/>
  <c r="Q1409" i="1"/>
  <c r="M1570" i="1"/>
  <c r="N1570" i="1"/>
  <c r="P1570" i="1"/>
  <c r="Q1570" i="1"/>
  <c r="M1169" i="1"/>
  <c r="N1169" i="1"/>
  <c r="P1169" i="1"/>
  <c r="Q1169" i="1"/>
  <c r="M1655" i="1"/>
  <c r="N1655" i="1"/>
  <c r="P1655" i="1"/>
  <c r="Q1655" i="1"/>
  <c r="M426" i="1"/>
  <c r="N426" i="1"/>
  <c r="P426" i="1"/>
  <c r="Q426" i="1"/>
  <c r="M120" i="1"/>
  <c r="N120" i="1"/>
  <c r="P120" i="1"/>
  <c r="Q120" i="1"/>
  <c r="M129" i="1"/>
  <c r="N129" i="1"/>
  <c r="P129" i="1"/>
  <c r="Q129" i="1"/>
  <c r="M1417" i="1"/>
  <c r="N1417" i="1"/>
  <c r="P1417" i="1"/>
  <c r="Q1417" i="1"/>
  <c r="M131" i="1"/>
  <c r="N131" i="1"/>
  <c r="P131" i="1"/>
  <c r="Q131" i="1"/>
  <c r="M126" i="1"/>
  <c r="N126" i="1"/>
  <c r="P126" i="1"/>
  <c r="Q126" i="1"/>
  <c r="M989" i="1"/>
  <c r="N989" i="1"/>
  <c r="P989" i="1"/>
  <c r="Q989" i="1"/>
  <c r="M243" i="1"/>
  <c r="N243" i="1"/>
  <c r="P243" i="1"/>
  <c r="Q243" i="1"/>
  <c r="M841" i="1"/>
  <c r="N841" i="1"/>
  <c r="P841" i="1"/>
  <c r="Q841" i="1"/>
  <c r="M1218" i="1"/>
  <c r="N1218" i="1"/>
  <c r="P1218" i="1"/>
  <c r="Q1218" i="1"/>
  <c r="M1098" i="1"/>
  <c r="N1098" i="1"/>
  <c r="P1098" i="1"/>
  <c r="Q1098" i="1"/>
  <c r="M577" i="1"/>
  <c r="N577" i="1"/>
  <c r="P577" i="1"/>
  <c r="Q577" i="1"/>
  <c r="M886" i="1"/>
  <c r="N886" i="1"/>
  <c r="P886" i="1"/>
  <c r="Q886" i="1"/>
  <c r="M1133" i="1"/>
  <c r="N1133" i="1"/>
  <c r="P1133" i="1"/>
  <c r="Q1133" i="1"/>
  <c r="M214" i="1"/>
  <c r="N214" i="1"/>
  <c r="P214" i="1"/>
  <c r="Q214" i="1"/>
  <c r="M593" i="1"/>
  <c r="N593" i="1"/>
  <c r="P593" i="1"/>
  <c r="Q593" i="1"/>
  <c r="M1324" i="1"/>
  <c r="N1324" i="1"/>
  <c r="P1324" i="1"/>
  <c r="Q1324" i="1"/>
  <c r="M475" i="1"/>
  <c r="N475" i="1"/>
  <c r="P475" i="1"/>
  <c r="Q475" i="1"/>
  <c r="M467" i="1"/>
  <c r="N467" i="1"/>
  <c r="P467" i="1"/>
  <c r="Q467" i="1"/>
  <c r="M30" i="1"/>
  <c r="N30" i="1"/>
  <c r="P30" i="1"/>
  <c r="Q30" i="1"/>
  <c r="M1462" i="1"/>
  <c r="N1462" i="1"/>
  <c r="P1462" i="1"/>
  <c r="Q1462" i="1"/>
  <c r="M1207" i="1"/>
  <c r="N1207" i="1"/>
  <c r="P1207" i="1"/>
  <c r="Q1207" i="1"/>
  <c r="M591" i="1"/>
  <c r="N591" i="1"/>
  <c r="P591" i="1"/>
  <c r="Q591" i="1"/>
  <c r="M227" i="1"/>
  <c r="N227" i="1"/>
  <c r="P227" i="1"/>
  <c r="Q227" i="1"/>
  <c r="M459" i="1"/>
  <c r="N459" i="1"/>
  <c r="P459" i="1"/>
  <c r="Q459" i="1"/>
  <c r="M6" i="1"/>
  <c r="N6" i="1"/>
  <c r="P6" i="1"/>
  <c r="Q6" i="1"/>
  <c r="M804" i="1"/>
  <c r="N804" i="1"/>
  <c r="P804" i="1"/>
  <c r="Q804" i="1"/>
  <c r="M1363" i="1"/>
  <c r="N1363" i="1"/>
  <c r="P1363" i="1"/>
  <c r="Q1363" i="1"/>
  <c r="M594" i="1"/>
  <c r="N594" i="1"/>
  <c r="P594" i="1"/>
  <c r="Q594" i="1"/>
  <c r="M752" i="1"/>
  <c r="N752" i="1"/>
  <c r="P752" i="1"/>
  <c r="Q752" i="1"/>
  <c r="M770" i="1"/>
  <c r="N770" i="1"/>
  <c r="P770" i="1"/>
  <c r="Q770" i="1"/>
  <c r="M1679" i="1"/>
  <c r="N1679" i="1"/>
  <c r="P1679" i="1"/>
  <c r="Q1679" i="1"/>
  <c r="M763" i="1"/>
  <c r="N763" i="1"/>
  <c r="P763" i="1"/>
  <c r="Q763" i="1"/>
  <c r="M1634" i="1"/>
  <c r="N1634" i="1"/>
  <c r="P1634" i="1"/>
  <c r="Q1634" i="1"/>
  <c r="M1668" i="1"/>
  <c r="N1668" i="1"/>
  <c r="P1668" i="1"/>
  <c r="Q1668" i="1"/>
  <c r="M57" i="1"/>
  <c r="N57" i="1"/>
  <c r="P57" i="1"/>
  <c r="Q57" i="1"/>
  <c r="M1287" i="1"/>
  <c r="N1287" i="1"/>
  <c r="P1287" i="1"/>
  <c r="Q1287" i="1"/>
  <c r="M687" i="1"/>
  <c r="N687" i="1"/>
  <c r="P687" i="1"/>
  <c r="Q687" i="1"/>
  <c r="M765" i="1"/>
  <c r="N765" i="1"/>
  <c r="P765" i="1"/>
  <c r="Q765" i="1"/>
  <c r="M1101" i="1"/>
  <c r="N1101" i="1"/>
  <c r="P1101" i="1"/>
  <c r="Q1101" i="1"/>
  <c r="M35" i="1"/>
  <c r="N35" i="1"/>
  <c r="P35" i="1"/>
  <c r="Q35" i="1"/>
  <c r="M541" i="1"/>
  <c r="N541" i="1"/>
  <c r="P541" i="1"/>
  <c r="Q541" i="1"/>
  <c r="M688" i="1"/>
  <c r="N688" i="1"/>
  <c r="P688" i="1"/>
  <c r="Q688" i="1"/>
  <c r="M1285" i="1"/>
  <c r="N1285" i="1"/>
  <c r="P1285" i="1"/>
  <c r="Q1285" i="1"/>
  <c r="M1603" i="1"/>
  <c r="N1603" i="1"/>
  <c r="P1603" i="1"/>
  <c r="Q1603" i="1"/>
  <c r="M821" i="1"/>
  <c r="N821" i="1"/>
  <c r="P821" i="1"/>
  <c r="Q821" i="1"/>
  <c r="M53" i="1"/>
  <c r="N53" i="1"/>
  <c r="P53" i="1"/>
  <c r="Q53" i="1"/>
  <c r="M1208" i="1"/>
  <c r="N1208" i="1"/>
  <c r="P1208" i="1"/>
  <c r="Q1208" i="1"/>
  <c r="M1139" i="1"/>
  <c r="N1139" i="1"/>
  <c r="P1139" i="1"/>
  <c r="Q1139" i="1"/>
  <c r="M436" i="1"/>
  <c r="N436" i="1"/>
  <c r="P436" i="1"/>
  <c r="Q436" i="1"/>
  <c r="M1220" i="1"/>
  <c r="N1220" i="1"/>
  <c r="P1220" i="1"/>
  <c r="Q1220" i="1"/>
  <c r="M480" i="1"/>
  <c r="N480" i="1"/>
  <c r="P480" i="1"/>
  <c r="Q480" i="1"/>
  <c r="M1416" i="1"/>
  <c r="N1416" i="1"/>
  <c r="P1416" i="1"/>
  <c r="Q1416" i="1"/>
  <c r="M925" i="1"/>
  <c r="N925" i="1"/>
  <c r="P925" i="1"/>
  <c r="Q925" i="1"/>
  <c r="M996" i="1"/>
  <c r="N996" i="1"/>
  <c r="P996" i="1"/>
  <c r="Q996" i="1"/>
  <c r="M1664" i="1"/>
  <c r="N1664" i="1"/>
  <c r="P1664" i="1"/>
  <c r="Q1664" i="1"/>
  <c r="M890" i="1"/>
  <c r="N890" i="1"/>
  <c r="P890" i="1"/>
  <c r="Q890" i="1"/>
  <c r="M1365" i="1"/>
  <c r="N1365" i="1"/>
  <c r="P1365" i="1"/>
  <c r="Q1365" i="1"/>
  <c r="M71" i="1"/>
  <c r="N71" i="1"/>
  <c r="P71" i="1"/>
  <c r="Q71" i="1"/>
  <c r="M494" i="1"/>
  <c r="N494" i="1"/>
  <c r="P494" i="1"/>
  <c r="Q494" i="1"/>
  <c r="M1233" i="1"/>
  <c r="N1233" i="1"/>
  <c r="P1233" i="1"/>
  <c r="Q1233" i="1"/>
  <c r="M320" i="1"/>
  <c r="N320" i="1"/>
  <c r="P320" i="1"/>
  <c r="Q320" i="1"/>
  <c r="M1202" i="1"/>
  <c r="N1202" i="1"/>
  <c r="P1202" i="1"/>
  <c r="Q1202" i="1"/>
  <c r="M1209" i="1"/>
  <c r="N1209" i="1"/>
  <c r="P1209" i="1"/>
  <c r="Q1209" i="1"/>
  <c r="M1234" i="1"/>
  <c r="N1234" i="1"/>
  <c r="P1234" i="1"/>
  <c r="Q1234" i="1"/>
  <c r="M1703" i="1"/>
  <c r="N1703" i="1"/>
  <c r="P1703" i="1"/>
  <c r="Q1703" i="1"/>
  <c r="M1350" i="1"/>
  <c r="N1350" i="1"/>
  <c r="P1350" i="1"/>
  <c r="Q1350" i="1"/>
  <c r="M722" i="1"/>
  <c r="N722" i="1"/>
  <c r="P722" i="1"/>
  <c r="Q722" i="1"/>
  <c r="M230" i="1"/>
  <c r="N230" i="1"/>
  <c r="P230" i="1"/>
  <c r="Q230" i="1"/>
  <c r="M682" i="1"/>
  <c r="N682" i="1"/>
  <c r="P682" i="1"/>
  <c r="Q682" i="1"/>
  <c r="M222" i="1"/>
  <c r="N222" i="1"/>
  <c r="P222" i="1"/>
  <c r="Q222" i="1"/>
  <c r="M710" i="1"/>
  <c r="N710" i="1"/>
  <c r="P710" i="1"/>
  <c r="Q710" i="1"/>
  <c r="M654" i="1"/>
  <c r="N654" i="1"/>
  <c r="P654" i="1"/>
  <c r="Q654" i="1"/>
  <c r="M1316" i="1"/>
  <c r="N1316" i="1"/>
  <c r="P1316" i="1"/>
  <c r="Q1316" i="1"/>
  <c r="M83" i="1"/>
  <c r="N83" i="1"/>
  <c r="P83" i="1"/>
  <c r="Q83" i="1"/>
  <c r="M1323" i="1"/>
  <c r="N1323" i="1"/>
  <c r="P1323" i="1"/>
  <c r="Q1323" i="1"/>
  <c r="M638" i="1"/>
  <c r="N638" i="1"/>
  <c r="P638" i="1"/>
  <c r="Q638" i="1"/>
  <c r="M1081" i="1"/>
  <c r="N1081" i="1"/>
  <c r="P1081" i="1"/>
  <c r="Q1081" i="1"/>
  <c r="M639" i="1"/>
  <c r="N639" i="1"/>
  <c r="P639" i="1"/>
  <c r="Q639" i="1"/>
  <c r="M23" i="1"/>
  <c r="N23" i="1"/>
  <c r="P23" i="1"/>
  <c r="Q23" i="1"/>
  <c r="M1303" i="1"/>
  <c r="N1303" i="1"/>
  <c r="P1303" i="1"/>
  <c r="Q1303" i="1"/>
  <c r="M497" i="1"/>
  <c r="N497" i="1"/>
  <c r="P497" i="1"/>
  <c r="Q497" i="1"/>
  <c r="M1457" i="1"/>
  <c r="N1457" i="1"/>
  <c r="P1457" i="1"/>
  <c r="Q1457" i="1"/>
  <c r="M189" i="1"/>
  <c r="N189" i="1"/>
  <c r="P189" i="1"/>
  <c r="Q189" i="1"/>
  <c r="M1407" i="1"/>
  <c r="N1407" i="1"/>
  <c r="P1407" i="1"/>
  <c r="Q1407" i="1"/>
  <c r="M1605" i="1"/>
  <c r="N1605" i="1"/>
  <c r="P1605" i="1"/>
  <c r="Q1605" i="1"/>
  <c r="M424" i="1"/>
  <c r="N424" i="1"/>
  <c r="P424" i="1"/>
  <c r="Q424" i="1"/>
  <c r="M286" i="1"/>
  <c r="N286" i="1"/>
  <c r="P286" i="1"/>
  <c r="Q286" i="1"/>
  <c r="M853" i="1"/>
  <c r="N853" i="1"/>
  <c r="P853" i="1"/>
  <c r="Q853" i="1"/>
  <c r="M446" i="1"/>
  <c r="N446" i="1"/>
  <c r="P446" i="1"/>
  <c r="Q446" i="1"/>
  <c r="M429" i="1"/>
  <c r="N429" i="1"/>
  <c r="P429" i="1"/>
  <c r="Q429" i="1"/>
  <c r="M1702" i="1"/>
  <c r="N1702" i="1"/>
  <c r="P1702" i="1"/>
  <c r="Q1702" i="1"/>
  <c r="M908" i="1"/>
  <c r="N908" i="1"/>
  <c r="P908" i="1"/>
  <c r="Q908" i="1"/>
  <c r="M188" i="1"/>
  <c r="N188" i="1"/>
  <c r="P188" i="1"/>
  <c r="Q188" i="1"/>
  <c r="M1322" i="1"/>
  <c r="N1322" i="1"/>
  <c r="P1322" i="1"/>
  <c r="Q1322" i="1"/>
  <c r="M187" i="1"/>
  <c r="N187" i="1"/>
  <c r="P187" i="1"/>
  <c r="Q187" i="1"/>
  <c r="M1393" i="1"/>
  <c r="N1393" i="1"/>
  <c r="P1393" i="1"/>
  <c r="Q1393" i="1"/>
  <c r="M909" i="1"/>
  <c r="N909" i="1"/>
  <c r="P909" i="1"/>
  <c r="Q909" i="1"/>
  <c r="M1305" i="1"/>
  <c r="N1305" i="1"/>
  <c r="P1305" i="1"/>
  <c r="Q1305" i="1"/>
  <c r="M655" i="1"/>
  <c r="N655" i="1"/>
  <c r="P655" i="1"/>
  <c r="Q655" i="1"/>
  <c r="M778" i="1"/>
  <c r="N778" i="1"/>
  <c r="P778" i="1"/>
  <c r="Q778" i="1"/>
  <c r="M1256" i="1"/>
  <c r="N1256" i="1"/>
  <c r="P1256" i="1"/>
  <c r="Q1256" i="1"/>
  <c r="M1309" i="1"/>
  <c r="N1309" i="1"/>
  <c r="P1309" i="1"/>
  <c r="Q1309" i="1"/>
  <c r="M29" i="1"/>
  <c r="N29" i="1"/>
  <c r="P29" i="1"/>
  <c r="Q29" i="1"/>
  <c r="M895" i="1"/>
  <c r="N895" i="1"/>
  <c r="P895" i="1"/>
  <c r="Q895" i="1"/>
  <c r="M1120" i="1"/>
  <c r="N1120" i="1"/>
  <c r="P1120" i="1"/>
  <c r="Q1120" i="1"/>
  <c r="M1340" i="1"/>
  <c r="N1340" i="1"/>
  <c r="P1340" i="1"/>
  <c r="Q1340" i="1"/>
  <c r="M1125" i="1"/>
  <c r="N1125" i="1"/>
  <c r="P1125" i="1"/>
  <c r="Q1125" i="1"/>
  <c r="M750" i="1"/>
  <c r="N750" i="1"/>
  <c r="P750" i="1"/>
  <c r="Q750" i="1"/>
  <c r="M487" i="1"/>
  <c r="N487" i="1"/>
  <c r="P487" i="1"/>
  <c r="Q487" i="1"/>
  <c r="M484" i="1"/>
  <c r="N484" i="1"/>
  <c r="P484" i="1"/>
  <c r="Q484" i="1"/>
  <c r="M102" i="1"/>
  <c r="N102" i="1"/>
  <c r="P102" i="1"/>
  <c r="Q102" i="1"/>
  <c r="M183" i="1"/>
  <c r="N183" i="1"/>
  <c r="P183" i="1"/>
  <c r="Q183" i="1"/>
  <c r="M1467" i="1"/>
  <c r="N1467" i="1"/>
  <c r="P1467" i="1"/>
  <c r="Q1467" i="1"/>
  <c r="M95" i="1"/>
  <c r="N95" i="1"/>
  <c r="P95" i="1"/>
  <c r="Q95" i="1"/>
  <c r="M976" i="1"/>
  <c r="N976" i="1"/>
  <c r="P976" i="1"/>
  <c r="Q976" i="1"/>
  <c r="M1126" i="1"/>
  <c r="N1126" i="1"/>
  <c r="P1126" i="1"/>
  <c r="Q1126" i="1"/>
  <c r="M81" i="1"/>
  <c r="N81" i="1"/>
  <c r="P81" i="1"/>
  <c r="Q81" i="1"/>
  <c r="M1486" i="1"/>
  <c r="N1486" i="1"/>
  <c r="P1486" i="1"/>
  <c r="Q1486" i="1"/>
  <c r="M1428" i="1"/>
  <c r="N1428" i="1"/>
  <c r="P1428" i="1"/>
  <c r="Q1428" i="1"/>
  <c r="M1582" i="1"/>
  <c r="N1582" i="1"/>
  <c r="P1582" i="1"/>
  <c r="Q1582" i="1"/>
  <c r="M1398" i="1"/>
  <c r="N1398" i="1"/>
  <c r="P1398" i="1"/>
  <c r="Q1398" i="1"/>
  <c r="M866" i="1"/>
  <c r="N866" i="1"/>
  <c r="P866" i="1"/>
  <c r="Q866" i="1"/>
  <c r="M351" i="1"/>
  <c r="N351" i="1"/>
  <c r="P351" i="1"/>
  <c r="Q351" i="1"/>
  <c r="M295" i="1"/>
  <c r="N295" i="1"/>
  <c r="P295" i="1"/>
  <c r="Q295" i="1"/>
  <c r="M161" i="1"/>
  <c r="N161" i="1"/>
  <c r="P161" i="1"/>
  <c r="Q161" i="1"/>
  <c r="M486" i="1"/>
  <c r="N486" i="1"/>
  <c r="P486" i="1"/>
  <c r="Q486" i="1"/>
  <c r="M1515" i="1"/>
  <c r="N1515" i="1"/>
  <c r="P1515" i="1"/>
  <c r="Q1515" i="1"/>
  <c r="M108" i="1"/>
  <c r="N108" i="1"/>
  <c r="P108" i="1"/>
  <c r="Q108" i="1"/>
  <c r="M744" i="1"/>
  <c r="N744" i="1"/>
  <c r="P744" i="1"/>
  <c r="Q744" i="1"/>
  <c r="M207" i="1"/>
  <c r="N207" i="1"/>
  <c r="P207" i="1"/>
  <c r="Q207" i="1"/>
  <c r="M546" i="1"/>
  <c r="N546" i="1"/>
  <c r="P546" i="1"/>
  <c r="Q546" i="1"/>
  <c r="M553" i="1"/>
  <c r="N553" i="1"/>
  <c r="P553" i="1"/>
  <c r="Q553" i="1"/>
  <c r="M509" i="1"/>
  <c r="N509" i="1"/>
  <c r="P509" i="1"/>
  <c r="Q509" i="1"/>
  <c r="M191" i="1"/>
  <c r="N191" i="1"/>
  <c r="P191" i="1"/>
  <c r="Q191" i="1"/>
  <c r="M610" i="1"/>
  <c r="N610" i="1"/>
  <c r="P610" i="1"/>
  <c r="Q610" i="1"/>
  <c r="M54" i="1"/>
  <c r="N54" i="1"/>
  <c r="P54" i="1"/>
  <c r="Q54" i="1"/>
  <c r="M290" i="1"/>
  <c r="N290" i="1"/>
  <c r="P290" i="1"/>
  <c r="Q290" i="1"/>
  <c r="M894" i="1"/>
  <c r="N894" i="1"/>
  <c r="P894" i="1"/>
  <c r="Q894" i="1"/>
  <c r="M702" i="1"/>
  <c r="N702" i="1"/>
  <c r="P702" i="1"/>
  <c r="Q702" i="1"/>
  <c r="M565" i="1"/>
  <c r="N565" i="1"/>
  <c r="P565" i="1"/>
  <c r="Q565" i="1"/>
  <c r="M712" i="1"/>
  <c r="N712" i="1"/>
  <c r="P712" i="1"/>
  <c r="Q712" i="1"/>
  <c r="M544" i="1"/>
  <c r="N544" i="1"/>
  <c r="P544" i="1"/>
  <c r="Q544" i="1"/>
  <c r="M360" i="1"/>
  <c r="N360" i="1"/>
  <c r="P360" i="1"/>
  <c r="Q360" i="1"/>
  <c r="M613" i="1"/>
  <c r="N613" i="1"/>
  <c r="P613" i="1"/>
  <c r="Q613" i="1"/>
  <c r="M938" i="1"/>
  <c r="N938" i="1"/>
  <c r="P938" i="1"/>
  <c r="Q938" i="1"/>
  <c r="M1643" i="1"/>
  <c r="N1643" i="1"/>
  <c r="P1643" i="1"/>
  <c r="Q1643" i="1"/>
  <c r="M646" i="1"/>
  <c r="N646" i="1"/>
  <c r="P646" i="1"/>
  <c r="Q646" i="1"/>
  <c r="M10" i="1"/>
  <c r="N10" i="1"/>
  <c r="P10" i="1"/>
  <c r="Q10" i="1"/>
  <c r="M1187" i="1"/>
  <c r="N1187" i="1"/>
  <c r="P1187" i="1"/>
  <c r="Q1187" i="1"/>
  <c r="M815" i="1"/>
  <c r="N815" i="1"/>
  <c r="P815" i="1"/>
  <c r="Q815" i="1"/>
  <c r="M1172" i="1"/>
  <c r="N1172" i="1"/>
  <c r="P1172" i="1"/>
  <c r="Q1172" i="1"/>
  <c r="M701" i="1"/>
  <c r="N701" i="1"/>
  <c r="P701" i="1"/>
  <c r="Q701" i="1"/>
  <c r="M401" i="1"/>
  <c r="N401" i="1"/>
  <c r="P401" i="1"/>
  <c r="Q401" i="1"/>
  <c r="M957" i="1"/>
  <c r="N957" i="1"/>
  <c r="P957" i="1"/>
  <c r="Q957" i="1"/>
  <c r="M523" i="1"/>
  <c r="N523" i="1"/>
  <c r="P523" i="1"/>
  <c r="Q523" i="1"/>
  <c r="M914" i="1"/>
  <c r="N914" i="1"/>
  <c r="P914" i="1"/>
  <c r="Q914" i="1"/>
  <c r="M563" i="1"/>
  <c r="N563" i="1"/>
  <c r="P563" i="1"/>
  <c r="Q563" i="1"/>
  <c r="M367" i="1"/>
  <c r="N367" i="1"/>
  <c r="P367" i="1"/>
  <c r="Q367" i="1"/>
  <c r="M529" i="1"/>
  <c r="N529" i="1"/>
  <c r="P529" i="1"/>
  <c r="Q529" i="1"/>
  <c r="M1044" i="1"/>
  <c r="N1044" i="1"/>
  <c r="P1044" i="1"/>
  <c r="Q1044" i="1"/>
  <c r="M1459" i="1"/>
  <c r="N1459" i="1"/>
  <c r="P1459" i="1"/>
  <c r="Q1459" i="1"/>
  <c r="M517" i="1"/>
  <c r="N517" i="1"/>
  <c r="P517" i="1"/>
  <c r="Q517" i="1"/>
  <c r="M1498" i="1"/>
  <c r="N1498" i="1"/>
  <c r="P1498" i="1"/>
  <c r="Q1498" i="1"/>
  <c r="M1445" i="1"/>
  <c r="N1445" i="1"/>
  <c r="P1445" i="1"/>
  <c r="Q1445" i="1"/>
  <c r="M1170" i="1"/>
  <c r="N1170" i="1"/>
  <c r="P1170" i="1"/>
  <c r="Q1170" i="1"/>
  <c r="M1419" i="1"/>
  <c r="N1419" i="1"/>
  <c r="P1419" i="1"/>
  <c r="Q1419" i="1"/>
  <c r="M625" i="1"/>
  <c r="N625" i="1"/>
  <c r="P625" i="1"/>
  <c r="Q625" i="1"/>
  <c r="M169" i="1"/>
  <c r="N169" i="1"/>
  <c r="P169" i="1"/>
  <c r="Q169" i="1"/>
  <c r="M871" i="1"/>
  <c r="N871" i="1"/>
  <c r="P871" i="1"/>
  <c r="Q871" i="1"/>
  <c r="M964" i="1"/>
  <c r="N964" i="1"/>
  <c r="P964" i="1"/>
  <c r="Q964" i="1"/>
  <c r="M1426" i="1"/>
  <c r="N1426" i="1"/>
  <c r="P1426" i="1"/>
  <c r="Q1426" i="1"/>
  <c r="M333" i="1"/>
  <c r="N333" i="1"/>
  <c r="P333" i="1"/>
  <c r="Q333" i="1"/>
  <c r="M219" i="1"/>
  <c r="N219" i="1"/>
  <c r="P219" i="1"/>
  <c r="Q219" i="1"/>
  <c r="M22" i="1"/>
  <c r="N22" i="1"/>
  <c r="P22" i="1"/>
  <c r="Q22" i="1"/>
  <c r="M1221" i="1"/>
  <c r="N1221" i="1"/>
  <c r="P1221" i="1"/>
  <c r="Q1221" i="1"/>
  <c r="M827" i="1"/>
  <c r="N827" i="1"/>
  <c r="P827" i="1"/>
  <c r="Q827" i="1"/>
  <c r="M291" i="1"/>
  <c r="N291" i="1"/>
  <c r="P291" i="1"/>
  <c r="Q291" i="1"/>
  <c r="M1196" i="1"/>
  <c r="N1196" i="1"/>
  <c r="P1196" i="1"/>
  <c r="Q1196" i="1"/>
  <c r="M753" i="1"/>
  <c r="N753" i="1"/>
  <c r="P753" i="1"/>
  <c r="Q753" i="1"/>
  <c r="M1706" i="1"/>
  <c r="N1706" i="1"/>
  <c r="P1706" i="1"/>
  <c r="Q1706" i="1"/>
  <c r="M1247" i="1"/>
  <c r="N1247" i="1"/>
  <c r="P1247" i="1"/>
  <c r="Q1247" i="1"/>
  <c r="M206" i="1"/>
  <c r="N206" i="1"/>
  <c r="P206" i="1"/>
  <c r="Q206" i="1"/>
  <c r="M492" i="1"/>
  <c r="N492" i="1"/>
  <c r="P492" i="1"/>
  <c r="Q492" i="1"/>
  <c r="M1201" i="1"/>
  <c r="N1201" i="1"/>
  <c r="P1201" i="1"/>
  <c r="Q1201" i="1"/>
  <c r="M325" i="1"/>
  <c r="N325" i="1"/>
  <c r="P325" i="1"/>
  <c r="Q325" i="1"/>
  <c r="M1213" i="1"/>
  <c r="N1213" i="1"/>
  <c r="P1213" i="1"/>
  <c r="Q1213" i="1"/>
  <c r="M21" i="1"/>
  <c r="N21" i="1"/>
  <c r="P21" i="1"/>
  <c r="Q21" i="1"/>
  <c r="M1230" i="1"/>
  <c r="N1230" i="1"/>
  <c r="P1230" i="1"/>
  <c r="Q1230" i="1"/>
  <c r="M500" i="1"/>
  <c r="N500" i="1"/>
  <c r="P500" i="1"/>
  <c r="Q500" i="1"/>
  <c r="M1060" i="1"/>
  <c r="N1060" i="1"/>
  <c r="P1060" i="1"/>
  <c r="Q1060" i="1"/>
  <c r="M1069" i="1"/>
  <c r="N1069" i="1"/>
  <c r="P1069" i="1"/>
  <c r="Q1069" i="1"/>
  <c r="M1040" i="1"/>
  <c r="N1040" i="1"/>
  <c r="P1040" i="1"/>
  <c r="Q1040" i="1"/>
  <c r="M629" i="1"/>
  <c r="N629" i="1"/>
  <c r="P629" i="1"/>
  <c r="Q629" i="1"/>
  <c r="M543" i="1"/>
  <c r="N543" i="1"/>
  <c r="P543" i="1"/>
  <c r="Q543" i="1"/>
  <c r="M696" i="1"/>
  <c r="N696" i="1"/>
  <c r="P696" i="1"/>
  <c r="Q696" i="1"/>
  <c r="M590" i="1"/>
  <c r="N590" i="1"/>
  <c r="P590" i="1"/>
  <c r="Q590" i="1"/>
  <c r="M882" i="1"/>
  <c r="N882" i="1"/>
  <c r="P882" i="1"/>
  <c r="Q882" i="1"/>
  <c r="M506" i="1"/>
  <c r="N506" i="1"/>
  <c r="P506" i="1"/>
  <c r="Q506" i="1"/>
  <c r="M1317" i="1"/>
  <c r="N1317" i="1"/>
  <c r="P1317" i="1"/>
  <c r="Q1317" i="1"/>
  <c r="M966" i="1"/>
  <c r="N966" i="1"/>
  <c r="P966" i="1"/>
  <c r="Q966" i="1"/>
  <c r="M1244" i="1"/>
  <c r="N1244" i="1"/>
  <c r="P1244" i="1"/>
  <c r="Q1244" i="1"/>
  <c r="M665" i="1"/>
  <c r="N665" i="1"/>
  <c r="P665" i="1"/>
  <c r="Q665" i="1"/>
  <c r="M879" i="1"/>
  <c r="N879" i="1"/>
  <c r="P879" i="1"/>
  <c r="Q879" i="1"/>
  <c r="M260" i="1"/>
  <c r="N260" i="1"/>
  <c r="P260" i="1"/>
  <c r="Q260" i="1"/>
  <c r="M910" i="1"/>
  <c r="N910" i="1"/>
  <c r="P910" i="1"/>
  <c r="Q910" i="1"/>
  <c r="M372" i="1"/>
  <c r="N372" i="1"/>
  <c r="P372" i="1"/>
  <c r="Q372" i="1"/>
  <c r="M1543" i="1"/>
  <c r="N1543" i="1"/>
  <c r="P1543" i="1"/>
  <c r="Q1543" i="1"/>
  <c r="M225" i="1"/>
  <c r="N225" i="1"/>
  <c r="P225" i="1"/>
  <c r="Q225" i="1"/>
  <c r="M777" i="1"/>
  <c r="N777" i="1"/>
  <c r="P777" i="1"/>
  <c r="Q777" i="1"/>
  <c r="M1555" i="1"/>
  <c r="N1555" i="1"/>
  <c r="P1555" i="1"/>
  <c r="Q1555" i="1"/>
  <c r="M501" i="1"/>
  <c r="N501" i="1"/>
  <c r="P501" i="1"/>
  <c r="Q501" i="1"/>
  <c r="M1715" i="1"/>
  <c r="N1715" i="1"/>
  <c r="P1715" i="1"/>
  <c r="Q1715" i="1"/>
  <c r="M1197" i="1"/>
  <c r="N1197" i="1"/>
  <c r="P1197" i="1"/>
  <c r="Q1197" i="1"/>
  <c r="M1002" i="1"/>
  <c r="N1002" i="1"/>
  <c r="P1002" i="1"/>
  <c r="Q1002" i="1"/>
  <c r="M1456" i="1"/>
  <c r="N1456" i="1"/>
  <c r="P1456" i="1"/>
  <c r="Q1456" i="1"/>
  <c r="M397" i="1"/>
  <c r="N397" i="1"/>
  <c r="P397" i="1"/>
  <c r="Q397" i="1"/>
  <c r="M418" i="1"/>
  <c r="N418" i="1"/>
  <c r="P418" i="1"/>
  <c r="Q418" i="1"/>
  <c r="M825" i="1"/>
  <c r="N825" i="1"/>
  <c r="P825" i="1"/>
  <c r="Q825" i="1"/>
  <c r="M271" i="1"/>
  <c r="N271" i="1"/>
  <c r="P271" i="1"/>
  <c r="Q271" i="1"/>
  <c r="M1635" i="1"/>
  <c r="N1635" i="1"/>
  <c r="P1635" i="1"/>
  <c r="Q1635" i="1"/>
  <c r="M693" i="1"/>
  <c r="N693" i="1"/>
  <c r="P693" i="1"/>
  <c r="Q693" i="1"/>
  <c r="M1458" i="1"/>
  <c r="N1458" i="1"/>
  <c r="P1458" i="1"/>
  <c r="Q1458" i="1"/>
  <c r="M730" i="1"/>
  <c r="N730" i="1"/>
  <c r="P730" i="1"/>
  <c r="Q730" i="1"/>
  <c r="M489" i="1"/>
  <c r="N489" i="1"/>
  <c r="P489" i="1"/>
  <c r="Q489" i="1"/>
  <c r="M1177" i="1"/>
  <c r="N1177" i="1"/>
  <c r="P1177" i="1"/>
  <c r="Q1177" i="1"/>
  <c r="M1361" i="1"/>
  <c r="N1361" i="1"/>
  <c r="P1361" i="1"/>
  <c r="Q1361" i="1"/>
  <c r="M916" i="1"/>
  <c r="N916" i="1"/>
  <c r="P916" i="1"/>
  <c r="Q916" i="1"/>
  <c r="M547" i="1"/>
  <c r="N547" i="1"/>
  <c r="P547" i="1"/>
  <c r="Q547" i="1"/>
  <c r="M1342" i="1"/>
  <c r="N1342" i="1"/>
  <c r="P1342" i="1"/>
  <c r="Q1342" i="1"/>
  <c r="M1049" i="1"/>
  <c r="N1049" i="1"/>
  <c r="P1049" i="1"/>
  <c r="Q1049" i="1"/>
  <c r="M1339" i="1"/>
  <c r="N1339" i="1"/>
  <c r="P1339" i="1"/>
  <c r="Q1339" i="1"/>
  <c r="M728" i="1"/>
  <c r="N728" i="1"/>
  <c r="P728" i="1"/>
  <c r="Q728" i="1"/>
  <c r="M558" i="1"/>
  <c r="N558" i="1"/>
  <c r="P558" i="1"/>
  <c r="Q558" i="1"/>
  <c r="M1011" i="1"/>
  <c r="N1011" i="1"/>
  <c r="P1011" i="1"/>
  <c r="Q1011" i="1"/>
  <c r="M1191" i="1"/>
  <c r="N1191" i="1"/>
  <c r="P1191" i="1"/>
  <c r="Q1191" i="1"/>
  <c r="M1381" i="1"/>
  <c r="N1381" i="1"/>
  <c r="P1381" i="1"/>
  <c r="Q1381" i="1"/>
  <c r="M1192" i="1"/>
  <c r="N1192" i="1"/>
  <c r="P1192" i="1"/>
  <c r="Q1192" i="1"/>
  <c r="M742" i="1"/>
  <c r="N742" i="1"/>
  <c r="P742" i="1"/>
  <c r="Q742" i="1"/>
  <c r="M1163" i="1"/>
  <c r="N1163" i="1"/>
  <c r="P1163" i="1"/>
  <c r="Q1163" i="1"/>
  <c r="M1490" i="1"/>
  <c r="N1490" i="1"/>
  <c r="P1490" i="1"/>
  <c r="Q1490" i="1"/>
  <c r="M883" i="1"/>
  <c r="N883" i="1"/>
  <c r="P883" i="1"/>
  <c r="Q883" i="1"/>
  <c r="M552" i="1"/>
  <c r="N552" i="1"/>
  <c r="P552" i="1"/>
  <c r="Q552" i="1"/>
  <c r="M1016" i="1"/>
  <c r="N1016" i="1"/>
  <c r="P1016" i="1"/>
  <c r="Q1016" i="1"/>
  <c r="M984" i="1"/>
  <c r="N984" i="1"/>
  <c r="P984" i="1"/>
  <c r="Q984" i="1"/>
  <c r="M997" i="1"/>
  <c r="N997" i="1"/>
  <c r="P997" i="1"/>
  <c r="Q997" i="1"/>
  <c r="M784" i="1"/>
  <c r="N784" i="1"/>
  <c r="P784" i="1"/>
  <c r="Q784" i="1"/>
  <c r="M1188" i="1"/>
  <c r="N1188" i="1"/>
  <c r="P1188" i="1"/>
  <c r="Q1188" i="1"/>
  <c r="M443" i="1"/>
  <c r="N443" i="1"/>
  <c r="P443" i="1"/>
  <c r="Q443" i="1"/>
  <c r="M1004" i="1"/>
  <c r="N1004" i="1"/>
  <c r="P1004" i="1"/>
  <c r="Q1004" i="1"/>
  <c r="M1397" i="1"/>
  <c r="N1397" i="1"/>
  <c r="P1397" i="1"/>
  <c r="Q1397" i="1"/>
  <c r="M1448" i="1"/>
  <c r="N1448" i="1"/>
  <c r="P1448" i="1"/>
  <c r="Q1448" i="1"/>
  <c r="M828" i="1"/>
  <c r="N828" i="1"/>
  <c r="P828" i="1"/>
  <c r="Q828" i="1"/>
  <c r="M1343" i="1"/>
  <c r="N1343" i="1"/>
  <c r="P1343" i="1"/>
  <c r="Q1343" i="1"/>
  <c r="M101" i="1"/>
  <c r="N101" i="1"/>
  <c r="P101" i="1"/>
  <c r="Q101" i="1"/>
  <c r="M769" i="1"/>
  <c r="N769" i="1"/>
  <c r="P769" i="1"/>
  <c r="Q769" i="1"/>
  <c r="M1447" i="1"/>
  <c r="N1447" i="1"/>
  <c r="P1447" i="1"/>
  <c r="Q1447" i="1"/>
  <c r="M502" i="1"/>
  <c r="N502" i="1"/>
  <c r="P502" i="1"/>
  <c r="Q502" i="1"/>
  <c r="M1301" i="1"/>
  <c r="N1301" i="1"/>
  <c r="P1301" i="1"/>
  <c r="Q1301" i="1"/>
  <c r="M60" i="1"/>
  <c r="N60" i="1"/>
  <c r="P60" i="1"/>
  <c r="Q60" i="1"/>
  <c r="M733" i="1"/>
  <c r="N733" i="1"/>
  <c r="P733" i="1"/>
  <c r="Q733" i="1"/>
  <c r="M398" i="1"/>
  <c r="N398" i="1"/>
  <c r="P398" i="1"/>
  <c r="Q398" i="1"/>
  <c r="M1695" i="1"/>
  <c r="N1695" i="1"/>
  <c r="P1695" i="1"/>
  <c r="Q1695" i="1"/>
  <c r="M1165" i="1"/>
  <c r="N1165" i="1"/>
  <c r="P1165" i="1"/>
  <c r="Q1165" i="1"/>
  <c r="M1166" i="1"/>
  <c r="N1166" i="1"/>
  <c r="P1166" i="1"/>
  <c r="Q1166" i="1"/>
  <c r="M1629" i="1"/>
  <c r="N1629" i="1"/>
  <c r="P1629" i="1"/>
  <c r="Q1629" i="1"/>
  <c r="M1626" i="1"/>
  <c r="N1626" i="1"/>
  <c r="P1626" i="1"/>
  <c r="Q1626" i="1"/>
  <c r="M645" i="1"/>
  <c r="N645" i="1"/>
  <c r="P645" i="1"/>
  <c r="Q645" i="1"/>
  <c r="M378" i="1"/>
  <c r="N378" i="1"/>
  <c r="P378" i="1"/>
  <c r="Q378" i="1"/>
  <c r="M637" i="1"/>
  <c r="N637" i="1"/>
  <c r="P637" i="1"/>
  <c r="Q637" i="1"/>
  <c r="M1373" i="1"/>
  <c r="N1373" i="1"/>
  <c r="P1373" i="1"/>
  <c r="Q1373" i="1"/>
  <c r="M482" i="1"/>
  <c r="N482" i="1"/>
  <c r="P482" i="1"/>
  <c r="Q482" i="1"/>
  <c r="M1364" i="1"/>
  <c r="N1364" i="1"/>
  <c r="P1364" i="1"/>
  <c r="Q1364" i="1"/>
  <c r="M736" i="1"/>
  <c r="N736" i="1"/>
  <c r="P736" i="1"/>
  <c r="Q736" i="1"/>
  <c r="M1048" i="1"/>
  <c r="N1048" i="1"/>
  <c r="P1048" i="1"/>
  <c r="Q1048" i="1"/>
  <c r="M1020" i="1"/>
  <c r="N1020" i="1"/>
  <c r="P1020" i="1"/>
  <c r="Q1020" i="1"/>
  <c r="M1019" i="1"/>
  <c r="N1019" i="1"/>
  <c r="P1019" i="1"/>
  <c r="Q1019" i="1"/>
  <c r="M992" i="1"/>
  <c r="N992" i="1"/>
  <c r="P992" i="1"/>
  <c r="Q992" i="1"/>
  <c r="M1391" i="1"/>
  <c r="N1391" i="1"/>
  <c r="P1391" i="1"/>
  <c r="Q1391" i="1"/>
  <c r="M1562" i="1"/>
  <c r="N1562" i="1"/>
  <c r="P1562" i="1"/>
  <c r="Q1562" i="1"/>
  <c r="M1180" i="1"/>
  <c r="N1180" i="1"/>
  <c r="P1180" i="1"/>
  <c r="Q1180" i="1"/>
  <c r="M1195" i="1"/>
  <c r="N1195" i="1"/>
  <c r="P1195" i="1"/>
  <c r="Q1195" i="1"/>
  <c r="M1240" i="1"/>
  <c r="N1240" i="1"/>
  <c r="P1240" i="1"/>
  <c r="Q1240" i="1"/>
  <c r="M314" i="1"/>
  <c r="N314" i="1"/>
  <c r="P314" i="1"/>
  <c r="Q314" i="1"/>
  <c r="M1574" i="1"/>
  <c r="N1574" i="1"/>
  <c r="P1574" i="1"/>
  <c r="Q1574" i="1"/>
  <c r="M1241" i="1"/>
  <c r="N1241" i="1"/>
  <c r="P1241" i="1"/>
  <c r="Q1241" i="1"/>
  <c r="M699" i="1"/>
  <c r="N699" i="1"/>
  <c r="P699" i="1"/>
  <c r="Q699" i="1"/>
  <c r="M118" i="1"/>
  <c r="N118" i="1"/>
  <c r="P118" i="1"/>
  <c r="Q118" i="1"/>
  <c r="M1563" i="1"/>
  <c r="N1563" i="1"/>
  <c r="P1563" i="1"/>
  <c r="Q1563" i="1"/>
  <c r="M115" i="1"/>
  <c r="N115" i="1"/>
  <c r="P115" i="1"/>
  <c r="Q115" i="1"/>
  <c r="M140" i="1"/>
  <c r="N140" i="1"/>
  <c r="P140" i="1"/>
  <c r="Q140" i="1"/>
  <c r="M1194" i="1"/>
  <c r="N1194" i="1"/>
  <c r="P1194" i="1"/>
  <c r="Q1194" i="1"/>
  <c r="M775" i="1"/>
  <c r="N775" i="1"/>
  <c r="P775" i="1"/>
  <c r="Q775" i="1"/>
  <c r="M1420" i="1"/>
  <c r="N1420" i="1"/>
  <c r="P1420" i="1"/>
  <c r="Q1420" i="1"/>
  <c r="M138" i="1"/>
  <c r="N138" i="1"/>
  <c r="P138" i="1"/>
  <c r="Q138" i="1"/>
  <c r="M82" i="1"/>
  <c r="N82" i="1"/>
  <c r="P82" i="1"/>
  <c r="Q82" i="1"/>
  <c r="M990" i="1"/>
  <c r="N990" i="1"/>
  <c r="P990" i="1"/>
  <c r="Q990" i="1"/>
  <c r="M691" i="1"/>
  <c r="N691" i="1"/>
  <c r="P691" i="1"/>
  <c r="Q691" i="1"/>
  <c r="M162" i="1"/>
  <c r="N162" i="1"/>
  <c r="P162" i="1"/>
  <c r="Q162" i="1"/>
  <c r="M74" i="1"/>
  <c r="N74" i="1"/>
  <c r="P74" i="1"/>
  <c r="Q74" i="1"/>
  <c r="M675" i="1"/>
  <c r="N675" i="1"/>
  <c r="P675" i="1"/>
  <c r="Q675" i="1"/>
  <c r="M75" i="1"/>
  <c r="N75" i="1"/>
  <c r="P75" i="1"/>
  <c r="Q75" i="1"/>
  <c r="M328" i="1"/>
  <c r="N328" i="1"/>
  <c r="P328" i="1"/>
  <c r="Q328" i="1"/>
  <c r="M1662" i="1"/>
  <c r="N1662" i="1"/>
  <c r="P1662" i="1"/>
  <c r="Q1662" i="1"/>
  <c r="M67" i="1"/>
  <c r="N67" i="1"/>
  <c r="P67" i="1"/>
  <c r="Q67" i="1"/>
  <c r="M172" i="1"/>
  <c r="N172" i="1"/>
  <c r="P172" i="1"/>
  <c r="Q172" i="1"/>
  <c r="M1552" i="1"/>
  <c r="N1552" i="1"/>
  <c r="P1552" i="1"/>
  <c r="Q1552" i="1"/>
  <c r="M932" i="1"/>
  <c r="N932" i="1"/>
  <c r="P932" i="1"/>
  <c r="Q932" i="1"/>
  <c r="M1684" i="1"/>
  <c r="N1684" i="1"/>
  <c r="P1684" i="1"/>
  <c r="Q1684" i="1"/>
  <c r="M1690" i="1"/>
  <c r="N1690" i="1"/>
  <c r="P1690" i="1"/>
  <c r="Q1690" i="1"/>
  <c r="M1505" i="1"/>
  <c r="N1505" i="1"/>
  <c r="P1505" i="1"/>
  <c r="Q1505" i="1"/>
  <c r="M182" i="1"/>
  <c r="N182" i="1"/>
  <c r="P182" i="1"/>
  <c r="Q182" i="1"/>
  <c r="M1137" i="1"/>
  <c r="N1137" i="1"/>
  <c r="P1137" i="1"/>
  <c r="Q1137" i="1"/>
  <c r="M1088" i="1"/>
  <c r="N1088" i="1"/>
  <c r="P1088" i="1"/>
  <c r="Q1088" i="1"/>
  <c r="M478" i="1"/>
  <c r="N478" i="1"/>
  <c r="P478" i="1"/>
  <c r="Q478" i="1"/>
  <c r="M1338" i="1"/>
  <c r="N1338" i="1"/>
  <c r="P1338" i="1"/>
  <c r="Q1338" i="1"/>
  <c r="M193" i="1"/>
  <c r="N193" i="1"/>
  <c r="P193" i="1"/>
  <c r="Q193" i="1"/>
  <c r="M561" i="1"/>
  <c r="N561" i="1"/>
  <c r="P561" i="1"/>
  <c r="Q561" i="1"/>
  <c r="M153" i="1"/>
  <c r="N153" i="1"/>
  <c r="P153" i="1"/>
  <c r="Q153" i="1"/>
  <c r="M236" i="1"/>
  <c r="N236" i="1"/>
  <c r="P236" i="1"/>
  <c r="Q236" i="1"/>
  <c r="M524" i="1"/>
  <c r="N524" i="1"/>
  <c r="P524" i="1"/>
  <c r="Q524" i="1"/>
  <c r="M780" i="1"/>
  <c r="N780" i="1"/>
  <c r="P780" i="1"/>
  <c r="Q780" i="1"/>
  <c r="M261" i="1"/>
  <c r="N261" i="1"/>
  <c r="P261" i="1"/>
  <c r="Q261" i="1"/>
  <c r="M1466" i="1"/>
  <c r="N1466" i="1"/>
  <c r="P1466" i="1"/>
  <c r="Q1466" i="1"/>
  <c r="M698" i="1"/>
  <c r="N698" i="1"/>
  <c r="P698" i="1"/>
  <c r="Q698" i="1"/>
  <c r="M1671" i="1"/>
  <c r="N1671" i="1"/>
  <c r="P1671" i="1"/>
  <c r="Q1671" i="1"/>
  <c r="M1669" i="1"/>
  <c r="N1669" i="1"/>
  <c r="P1669" i="1"/>
  <c r="Q1669" i="1"/>
  <c r="M880" i="1"/>
  <c r="N880" i="1"/>
  <c r="P880" i="1"/>
  <c r="Q880" i="1"/>
  <c r="M1061" i="1"/>
  <c r="N1061" i="1"/>
  <c r="P1061" i="1"/>
  <c r="Q1061" i="1"/>
  <c r="M1193" i="1"/>
  <c r="N1193" i="1"/>
  <c r="P1193" i="1"/>
  <c r="Q1193" i="1"/>
  <c r="M1526" i="1"/>
  <c r="N1526" i="1"/>
  <c r="P1526" i="1"/>
  <c r="Q1526" i="1"/>
  <c r="M210" i="1"/>
  <c r="N210" i="1"/>
  <c r="P210" i="1"/>
  <c r="Q210" i="1"/>
  <c r="M972" i="1"/>
  <c r="N972" i="1"/>
  <c r="P972" i="1"/>
  <c r="Q972" i="1"/>
  <c r="M1672" i="1"/>
  <c r="N1672" i="1"/>
  <c r="P1672" i="1"/>
  <c r="Q1672" i="1"/>
  <c r="M1548" i="1"/>
  <c r="N1548" i="1"/>
  <c r="P1548" i="1"/>
  <c r="Q1548" i="1"/>
  <c r="M1306" i="1"/>
  <c r="N1306" i="1"/>
  <c r="P1306" i="1"/>
  <c r="Q1306" i="1"/>
  <c r="M232" i="1"/>
  <c r="N232" i="1"/>
  <c r="P232" i="1"/>
  <c r="Q232" i="1"/>
  <c r="M447" i="1"/>
  <c r="N447" i="1"/>
  <c r="P447" i="1"/>
  <c r="Q447" i="1"/>
  <c r="M1226" i="1"/>
  <c r="N1226" i="1"/>
  <c r="P1226" i="1"/>
  <c r="Q1226" i="1"/>
  <c r="M545" i="1"/>
  <c r="N545" i="1"/>
  <c r="P545" i="1"/>
  <c r="Q545" i="1"/>
  <c r="M2" i="1"/>
  <c r="N2" i="1"/>
  <c r="P2" i="1"/>
  <c r="Q2" i="1"/>
  <c r="M580" i="1"/>
  <c r="N580" i="1"/>
  <c r="P580" i="1"/>
  <c r="Q580" i="1"/>
  <c r="M995" i="1"/>
  <c r="N995" i="1"/>
  <c r="P995" i="1"/>
  <c r="Q995" i="1"/>
  <c r="M278" i="1"/>
  <c r="N278" i="1"/>
  <c r="P278" i="1"/>
  <c r="Q278" i="1"/>
  <c r="M858" i="1"/>
  <c r="N858" i="1"/>
  <c r="P858" i="1"/>
  <c r="Q858" i="1"/>
  <c r="M139" i="1"/>
  <c r="N139" i="1"/>
  <c r="P139" i="1"/>
  <c r="Q139" i="1"/>
  <c r="M1356" i="1"/>
  <c r="N1356" i="1"/>
  <c r="P1356" i="1"/>
  <c r="Q1356" i="1"/>
  <c r="M1185" i="1"/>
  <c r="N1185" i="1"/>
  <c r="P1185" i="1"/>
  <c r="Q1185" i="1"/>
  <c r="M299" i="1"/>
  <c r="N299" i="1"/>
  <c r="P299" i="1"/>
  <c r="Q299" i="1"/>
  <c r="M368" i="1"/>
  <c r="N368" i="1"/>
  <c r="P368" i="1"/>
  <c r="Q368" i="1"/>
  <c r="M1697" i="1"/>
  <c r="N1697" i="1"/>
  <c r="P1697" i="1"/>
  <c r="Q1697" i="1"/>
  <c r="M1319" i="1"/>
  <c r="N1319" i="1"/>
  <c r="P1319" i="1"/>
  <c r="Q1319" i="1"/>
  <c r="M847" i="1"/>
  <c r="N847" i="1"/>
  <c r="P847" i="1"/>
  <c r="Q847" i="1"/>
  <c r="M89" i="1"/>
  <c r="N89" i="1"/>
  <c r="P89" i="1"/>
  <c r="Q89" i="1"/>
  <c r="M1288" i="1"/>
  <c r="N1288" i="1"/>
  <c r="P1288" i="1"/>
  <c r="Q1288" i="1"/>
  <c r="M1212" i="1"/>
  <c r="N1212" i="1"/>
  <c r="P1212" i="1"/>
  <c r="Q1212" i="1"/>
  <c r="M1110" i="1"/>
  <c r="N1110" i="1"/>
  <c r="P1110" i="1"/>
  <c r="Q1110" i="1"/>
  <c r="M1280" i="1"/>
  <c r="N1280" i="1"/>
  <c r="P1280" i="1"/>
  <c r="Q1280" i="1"/>
  <c r="M334" i="1"/>
  <c r="N334" i="1"/>
  <c r="P334" i="1"/>
  <c r="Q334" i="1"/>
  <c r="M1332" i="1"/>
  <c r="N1332" i="1"/>
  <c r="P1332" i="1"/>
  <c r="Q1332" i="1"/>
  <c r="M1084" i="1"/>
  <c r="N1084" i="1"/>
  <c r="P1084" i="1"/>
  <c r="Q1084" i="1"/>
  <c r="M1279" i="1"/>
  <c r="N1279" i="1"/>
  <c r="P1279" i="1"/>
  <c r="Q1279" i="1"/>
  <c r="M135" i="1"/>
  <c r="N135" i="1"/>
  <c r="P135" i="1"/>
  <c r="Q135" i="1"/>
  <c r="M1334" i="1"/>
  <c r="N1334" i="1"/>
  <c r="P1334" i="1"/>
  <c r="Q1334" i="1"/>
  <c r="M568" i="1"/>
  <c r="N568" i="1"/>
  <c r="P568" i="1"/>
  <c r="Q568" i="1"/>
  <c r="M1321" i="1"/>
  <c r="N1321" i="1"/>
  <c r="P1321" i="1"/>
  <c r="Q1321" i="1"/>
  <c r="M695" i="1"/>
  <c r="N695" i="1"/>
  <c r="P695" i="1"/>
  <c r="Q695" i="1"/>
  <c r="M734" i="1"/>
  <c r="N734" i="1"/>
  <c r="P734" i="1"/>
  <c r="Q734" i="1"/>
  <c r="M46" i="1"/>
  <c r="N46" i="1"/>
  <c r="P46" i="1"/>
  <c r="Q46" i="1"/>
  <c r="M1189" i="1"/>
  <c r="N1189" i="1"/>
  <c r="P1189" i="1"/>
  <c r="Q1189" i="1"/>
  <c r="M1640" i="1"/>
  <c r="N1640" i="1"/>
  <c r="P1640" i="1"/>
  <c r="Q1640" i="1"/>
  <c r="M1173" i="1"/>
  <c r="N1173" i="1"/>
  <c r="P1173" i="1"/>
  <c r="Q1173" i="1"/>
  <c r="M1341" i="1"/>
  <c r="N1341" i="1"/>
  <c r="P1341" i="1"/>
  <c r="Q1341" i="1"/>
  <c r="M228" i="1"/>
  <c r="N228" i="1"/>
  <c r="P228" i="1"/>
  <c r="Q228" i="1"/>
  <c r="M233" i="1"/>
  <c r="N233" i="1"/>
  <c r="P233" i="1"/>
  <c r="Q233" i="1"/>
  <c r="M1572" i="1"/>
  <c r="N1572" i="1"/>
  <c r="P1572" i="1"/>
  <c r="Q1572" i="1"/>
  <c r="M247" i="1"/>
  <c r="N247" i="1"/>
  <c r="P247" i="1"/>
  <c r="Q247" i="1"/>
  <c r="M275" i="1"/>
  <c r="N275" i="1"/>
  <c r="P275" i="1"/>
  <c r="Q275" i="1"/>
  <c r="M19" i="1"/>
  <c r="N19" i="1"/>
  <c r="P19" i="1"/>
  <c r="Q19" i="1"/>
  <c r="M551" i="1"/>
  <c r="N551" i="1"/>
  <c r="P551" i="1"/>
  <c r="Q551" i="1"/>
  <c r="M93" i="1"/>
  <c r="N93" i="1"/>
  <c r="P93" i="1"/>
  <c r="Q93" i="1"/>
  <c r="M945" i="1"/>
  <c r="N945" i="1"/>
  <c r="P945" i="1"/>
  <c r="Q945" i="1"/>
  <c r="M704" i="1"/>
  <c r="N704" i="1"/>
  <c r="P704" i="1"/>
  <c r="Q704" i="1"/>
  <c r="M1178" i="1"/>
  <c r="N1178" i="1"/>
  <c r="P1178" i="1"/>
  <c r="Q1178" i="1"/>
  <c r="M848" i="1"/>
  <c r="N848" i="1"/>
  <c r="P848" i="1"/>
  <c r="Q848" i="1"/>
  <c r="M164" i="1"/>
  <c r="N164" i="1"/>
  <c r="P164" i="1"/>
  <c r="Q164" i="1"/>
  <c r="M811" i="1"/>
  <c r="N811" i="1"/>
  <c r="P811" i="1"/>
  <c r="Q811" i="1"/>
  <c r="M536" i="1"/>
  <c r="N536" i="1"/>
  <c r="P536" i="1"/>
  <c r="Q536" i="1"/>
  <c r="M1553" i="1"/>
  <c r="N1553" i="1"/>
  <c r="P1553" i="1"/>
  <c r="Q1553" i="1"/>
  <c r="M1648" i="1"/>
  <c r="N1648" i="1"/>
  <c r="P1648" i="1"/>
  <c r="Q1648" i="1"/>
  <c r="M1504" i="1"/>
  <c r="N1504" i="1"/>
  <c r="P1504" i="1"/>
  <c r="Q1504" i="1"/>
  <c r="M213" i="1"/>
  <c r="N213" i="1"/>
  <c r="P213" i="1"/>
  <c r="Q213" i="1"/>
  <c r="M817" i="1"/>
  <c r="N817" i="1"/>
  <c r="P817" i="1"/>
  <c r="Q817" i="1"/>
  <c r="M596" i="1"/>
  <c r="N596" i="1"/>
  <c r="P596" i="1"/>
  <c r="Q596" i="1"/>
  <c r="M1654" i="1"/>
  <c r="N1654" i="1"/>
  <c r="P1654" i="1"/>
  <c r="Q1654" i="1"/>
  <c r="M192" i="1"/>
  <c r="N192" i="1"/>
  <c r="P192" i="1"/>
  <c r="Q192" i="1"/>
  <c r="M1726" i="1"/>
  <c r="N1726" i="1"/>
  <c r="P1726" i="1"/>
  <c r="Q1726" i="1"/>
  <c r="M41" i="1"/>
  <c r="N41" i="1"/>
  <c r="P41" i="1"/>
  <c r="Q41" i="1"/>
  <c r="M1707" i="1"/>
  <c r="N1707" i="1"/>
  <c r="P1707" i="1"/>
  <c r="Q1707" i="1"/>
  <c r="M1527" i="1"/>
  <c r="N1527" i="1"/>
  <c r="P1527" i="1"/>
  <c r="Q1527" i="1"/>
  <c r="M1251" i="1"/>
  <c r="N1251" i="1"/>
  <c r="P1251" i="1"/>
  <c r="Q1251" i="1"/>
  <c r="M1694" i="1"/>
  <c r="N1694" i="1"/>
  <c r="P1694" i="1"/>
  <c r="Q1694" i="1"/>
  <c r="M973" i="1"/>
  <c r="N973" i="1"/>
  <c r="P973" i="1"/>
  <c r="Q973" i="1"/>
  <c r="M915" i="1"/>
  <c r="N915" i="1"/>
  <c r="P915" i="1"/>
  <c r="Q915" i="1"/>
  <c r="M216" i="1"/>
  <c r="N216" i="1"/>
  <c r="P216" i="1"/>
  <c r="Q216" i="1"/>
  <c r="M37" i="1"/>
  <c r="N37" i="1"/>
  <c r="P37" i="1"/>
  <c r="Q37" i="1"/>
  <c r="M263" i="1"/>
  <c r="N263" i="1"/>
  <c r="P263" i="1"/>
  <c r="Q263" i="1"/>
  <c r="M621" i="1"/>
  <c r="N621" i="1"/>
  <c r="P621" i="1"/>
  <c r="Q621" i="1"/>
  <c r="M542" i="1"/>
  <c r="N542" i="1"/>
  <c r="P542" i="1"/>
  <c r="Q542" i="1"/>
  <c r="M1484" i="1"/>
  <c r="N1484" i="1"/>
  <c r="P1484" i="1"/>
  <c r="Q1484" i="1"/>
  <c r="M48" i="1"/>
  <c r="N48" i="1"/>
  <c r="P48" i="1"/>
  <c r="Q48" i="1"/>
  <c r="M1544" i="1"/>
  <c r="N1544" i="1"/>
  <c r="P1544" i="1"/>
  <c r="Q1544" i="1"/>
  <c r="M1528" i="1"/>
  <c r="N1528" i="1"/>
  <c r="P1528" i="1"/>
  <c r="Q1528" i="1"/>
  <c r="M202" i="1"/>
  <c r="N202" i="1"/>
  <c r="P202" i="1"/>
  <c r="Q202" i="1"/>
  <c r="M1335" i="1"/>
  <c r="N1335" i="1"/>
  <c r="P1335" i="1"/>
  <c r="Q1335" i="1"/>
  <c r="M1617" i="1"/>
  <c r="N1617" i="1"/>
  <c r="P1617" i="1"/>
  <c r="Q1617" i="1"/>
  <c r="M1243" i="1"/>
  <c r="N1243" i="1"/>
  <c r="P1243" i="1"/>
  <c r="Q1243" i="1"/>
  <c r="M1704" i="1"/>
  <c r="N1704" i="1"/>
  <c r="P1704" i="1"/>
  <c r="Q1704" i="1"/>
  <c r="M1155" i="1"/>
  <c r="N1155" i="1"/>
  <c r="P1155" i="1"/>
  <c r="Q1155" i="1"/>
  <c r="M198" i="1"/>
  <c r="N198" i="1"/>
  <c r="P198" i="1"/>
  <c r="Q198" i="1"/>
  <c r="M756" i="1"/>
  <c r="N756" i="1"/>
  <c r="P756" i="1"/>
  <c r="Q756" i="1"/>
  <c r="M1158" i="1"/>
  <c r="N1158" i="1"/>
  <c r="P1158" i="1"/>
  <c r="Q1158" i="1"/>
  <c r="M1708" i="1"/>
  <c r="N1708" i="1"/>
  <c r="P1708" i="1"/>
  <c r="Q1708" i="1"/>
  <c r="M946" i="1"/>
  <c r="N946" i="1"/>
  <c r="P946" i="1"/>
  <c r="Q946" i="1"/>
  <c r="M1488" i="1"/>
  <c r="N1488" i="1"/>
  <c r="P1488" i="1"/>
  <c r="Q1488" i="1"/>
  <c r="M414" i="1"/>
  <c r="N414" i="1"/>
  <c r="P414" i="1"/>
  <c r="Q414" i="1"/>
  <c r="M676" i="1"/>
  <c r="N676" i="1"/>
  <c r="P676" i="1"/>
  <c r="Q676" i="1"/>
  <c r="M43" i="1"/>
  <c r="N43" i="1"/>
  <c r="P43" i="1"/>
  <c r="Q43" i="1"/>
  <c r="M842" i="1"/>
  <c r="N842" i="1"/>
  <c r="P842" i="1"/>
  <c r="Q842" i="1"/>
  <c r="M641" i="1"/>
  <c r="N641" i="1"/>
  <c r="P641" i="1"/>
  <c r="Q641" i="1"/>
  <c r="M160" i="1"/>
  <c r="N160" i="1"/>
  <c r="P160" i="1"/>
  <c r="Q160" i="1"/>
  <c r="M411" i="1"/>
  <c r="N411" i="1"/>
  <c r="P411" i="1"/>
  <c r="Q411" i="1"/>
  <c r="M168" i="1"/>
  <c r="N168" i="1"/>
  <c r="P168" i="1"/>
  <c r="Q168" i="1"/>
  <c r="M1346" i="1"/>
  <c r="N1346" i="1"/>
  <c r="P1346" i="1"/>
  <c r="Q1346" i="1"/>
  <c r="M1179" i="1"/>
  <c r="N1179" i="1"/>
  <c r="P1179" i="1"/>
  <c r="Q1179" i="1"/>
  <c r="M991" i="1"/>
  <c r="N991" i="1"/>
  <c r="P991" i="1"/>
  <c r="Q991" i="1"/>
  <c r="M1491" i="1"/>
  <c r="N1491" i="1"/>
  <c r="P1491" i="1"/>
  <c r="Q1491" i="1"/>
  <c r="M1578" i="1"/>
  <c r="N1578" i="1"/>
  <c r="P1578" i="1"/>
  <c r="Q1578" i="1"/>
  <c r="M1549" i="1"/>
  <c r="N1549" i="1"/>
  <c r="P1549" i="1"/>
  <c r="Q1549" i="1"/>
  <c r="M822" i="1"/>
  <c r="N822" i="1"/>
  <c r="P822" i="1"/>
  <c r="Q822" i="1"/>
  <c r="M347" i="1"/>
  <c r="N347" i="1"/>
  <c r="P347" i="1"/>
  <c r="Q347" i="1"/>
  <c r="M1687" i="1"/>
  <c r="N1687" i="1"/>
  <c r="P1687" i="1"/>
  <c r="Q1687" i="1"/>
  <c r="M1119" i="1"/>
  <c r="N1119" i="1"/>
  <c r="P1119" i="1"/>
  <c r="Q1119" i="1"/>
  <c r="M109" i="1"/>
  <c r="N109" i="1"/>
  <c r="P109" i="1"/>
  <c r="Q109" i="1"/>
  <c r="M560" i="1"/>
  <c r="N560" i="1"/>
  <c r="P560" i="1"/>
  <c r="Q560" i="1"/>
  <c r="M1310" i="1"/>
  <c r="N1310" i="1"/>
  <c r="P1310" i="1"/>
  <c r="Q1310" i="1"/>
  <c r="M794" i="1"/>
  <c r="N794" i="1"/>
  <c r="P794" i="1"/>
  <c r="Q794" i="1"/>
  <c r="M1657" i="1"/>
  <c r="N1657" i="1"/>
  <c r="P1657" i="1"/>
  <c r="Q1657" i="1"/>
  <c r="M171" i="1"/>
  <c r="N171" i="1"/>
  <c r="P171" i="1"/>
  <c r="Q171" i="1"/>
  <c r="M1389" i="1"/>
  <c r="N1389" i="1"/>
  <c r="P1389" i="1"/>
  <c r="Q1389" i="1"/>
  <c r="M767" i="1"/>
  <c r="N767" i="1"/>
  <c r="P767" i="1"/>
  <c r="Q767" i="1"/>
  <c r="M739" i="1"/>
  <c r="N739" i="1"/>
  <c r="P739" i="1"/>
  <c r="Q739" i="1"/>
  <c r="M105" i="1"/>
  <c r="N105" i="1"/>
  <c r="P105" i="1"/>
  <c r="Q105" i="1"/>
  <c r="M859" i="1"/>
  <c r="N859" i="1"/>
  <c r="P859" i="1"/>
  <c r="Q859" i="1"/>
  <c r="M1411" i="1"/>
  <c r="N1411" i="1"/>
  <c r="P1411" i="1"/>
  <c r="Q1411" i="1"/>
  <c r="M1424" i="1"/>
  <c r="N1424" i="1"/>
  <c r="P1424" i="1"/>
  <c r="Q1424" i="1"/>
  <c r="M321" i="1"/>
  <c r="N321" i="1"/>
  <c r="P321" i="1"/>
  <c r="Q321" i="1"/>
  <c r="M1326" i="1"/>
  <c r="N1326" i="1"/>
  <c r="P1326" i="1"/>
  <c r="Q1326" i="1"/>
  <c r="M1104" i="1"/>
  <c r="N1104" i="1"/>
  <c r="P1104" i="1"/>
  <c r="Q1104" i="1"/>
  <c r="M1313" i="1"/>
  <c r="N1313" i="1"/>
  <c r="P1313" i="1"/>
  <c r="Q1313" i="1"/>
  <c r="M1051" i="1"/>
  <c r="N1051" i="1"/>
  <c r="P1051" i="1"/>
  <c r="Q1051" i="1"/>
  <c r="M300" i="1"/>
  <c r="N300" i="1"/>
  <c r="P300" i="1"/>
  <c r="Q300" i="1"/>
  <c r="M298" i="1"/>
  <c r="N298" i="1"/>
  <c r="P298" i="1"/>
  <c r="Q298" i="1"/>
  <c r="M768" i="1"/>
  <c r="N768" i="1"/>
  <c r="P768" i="1"/>
  <c r="Q768" i="1"/>
  <c r="M921" i="1"/>
  <c r="N921" i="1"/>
  <c r="P921" i="1"/>
  <c r="Q921" i="1"/>
  <c r="M941" i="1"/>
  <c r="N941" i="1"/>
  <c r="P941" i="1"/>
  <c r="Q941" i="1"/>
  <c r="M326" i="1"/>
  <c r="N326" i="1"/>
  <c r="P326" i="1"/>
  <c r="Q326" i="1"/>
  <c r="M1380" i="1"/>
  <c r="N1380" i="1"/>
  <c r="P1380" i="1"/>
  <c r="Q1380" i="1"/>
  <c r="M1653" i="1"/>
  <c r="N1653" i="1"/>
  <c r="P1653" i="1"/>
  <c r="Q1653" i="1"/>
  <c r="M1405" i="1"/>
  <c r="N1405" i="1"/>
  <c r="P1405" i="1"/>
  <c r="Q1405" i="1"/>
  <c r="M158" i="1"/>
  <c r="N158" i="1"/>
  <c r="P158" i="1"/>
  <c r="Q158" i="1"/>
  <c r="M983" i="1"/>
  <c r="N983" i="1"/>
  <c r="P983" i="1"/>
  <c r="Q983" i="1"/>
  <c r="M194" i="1"/>
  <c r="N194" i="1"/>
  <c r="P194" i="1"/>
  <c r="Q194" i="1"/>
  <c r="M1586" i="1"/>
  <c r="N1586" i="1"/>
  <c r="P1586" i="1"/>
  <c r="Q1586" i="1"/>
  <c r="M511" i="1"/>
  <c r="N511" i="1"/>
  <c r="P511" i="1"/>
  <c r="Q511" i="1"/>
  <c r="M199" i="1"/>
  <c r="N199" i="1"/>
  <c r="P199" i="1"/>
  <c r="Q199" i="1"/>
  <c r="M392" i="1"/>
  <c r="N392" i="1"/>
  <c r="P392" i="1"/>
  <c r="Q392" i="1"/>
  <c r="M442" i="1"/>
  <c r="N442" i="1"/>
  <c r="P442" i="1"/>
  <c r="Q442" i="1"/>
  <c r="M195" i="1"/>
  <c r="N195" i="1"/>
  <c r="P195" i="1"/>
  <c r="Q195" i="1"/>
  <c r="M1331" i="1"/>
  <c r="N1331" i="1"/>
  <c r="P1331" i="1"/>
  <c r="Q1331" i="1"/>
  <c r="M981" i="1"/>
  <c r="N981" i="1"/>
  <c r="P981" i="1"/>
  <c r="Q981" i="1"/>
  <c r="M152" i="1"/>
  <c r="N152" i="1"/>
  <c r="P152" i="1"/>
  <c r="Q152" i="1"/>
  <c r="M1431" i="1"/>
  <c r="N1431" i="1"/>
  <c r="P1431" i="1"/>
  <c r="Q1431" i="1"/>
  <c r="M982" i="1"/>
  <c r="N982" i="1"/>
  <c r="P982" i="1"/>
  <c r="Q982" i="1"/>
  <c r="M1400" i="1"/>
  <c r="N1400" i="1"/>
  <c r="P1400" i="1"/>
  <c r="Q1400" i="1"/>
  <c r="M97" i="1"/>
  <c r="N97" i="1"/>
  <c r="P97" i="1"/>
  <c r="Q97" i="1"/>
  <c r="M287" i="1"/>
  <c r="N287" i="1"/>
  <c r="P287" i="1"/>
  <c r="Q287" i="1"/>
  <c r="M1507" i="1"/>
  <c r="N1507" i="1"/>
  <c r="P1507" i="1"/>
  <c r="Q1507" i="1"/>
  <c r="M1102" i="1"/>
  <c r="N1102" i="1"/>
  <c r="P1102" i="1"/>
  <c r="Q1102" i="1"/>
  <c r="M147" i="1"/>
  <c r="N147" i="1"/>
  <c r="P147" i="1"/>
  <c r="Q147" i="1"/>
  <c r="M85" i="1"/>
  <c r="N85" i="1"/>
  <c r="P85" i="1"/>
  <c r="Q85" i="1"/>
  <c r="M36" i="1"/>
  <c r="N36" i="1"/>
  <c r="P36" i="1"/>
  <c r="Q36" i="1"/>
  <c r="M1320" i="1"/>
  <c r="N1320" i="1"/>
  <c r="P1320" i="1"/>
  <c r="Q1320" i="1"/>
  <c r="M1680" i="1"/>
  <c r="N1680" i="1"/>
  <c r="P1680" i="1"/>
  <c r="Q1680" i="1"/>
  <c r="M951" i="1"/>
  <c r="N951" i="1"/>
  <c r="P951" i="1"/>
  <c r="Q951" i="1"/>
  <c r="M1717" i="1"/>
  <c r="N1717" i="1"/>
  <c r="P1717" i="1"/>
  <c r="Q1717" i="1"/>
  <c r="M483" i="1"/>
  <c r="N483" i="1"/>
  <c r="P483" i="1"/>
  <c r="Q483" i="1"/>
  <c r="M268" i="1"/>
  <c r="N268" i="1"/>
  <c r="P268" i="1"/>
  <c r="Q268" i="1"/>
  <c r="M1560" i="1"/>
  <c r="N1560" i="1"/>
  <c r="P1560" i="1"/>
  <c r="Q1560" i="1"/>
  <c r="M458" i="1"/>
  <c r="N458" i="1"/>
  <c r="P458" i="1"/>
  <c r="Q458" i="1"/>
  <c r="M471" i="1"/>
  <c r="N471" i="1"/>
  <c r="P471" i="1"/>
  <c r="Q471" i="1"/>
  <c r="M1379" i="1"/>
  <c r="N1379" i="1"/>
  <c r="P1379" i="1"/>
  <c r="Q1379" i="1"/>
  <c r="M1376" i="1"/>
  <c r="N1376" i="1"/>
  <c r="P1376" i="1"/>
  <c r="Q1376" i="1"/>
  <c r="M144" i="1"/>
  <c r="N144" i="1"/>
  <c r="P144" i="1"/>
  <c r="Q144" i="1"/>
  <c r="M513" i="1"/>
  <c r="N513" i="1"/>
  <c r="P513" i="1"/>
  <c r="Q513" i="1"/>
  <c r="M4" i="1"/>
  <c r="N4" i="1"/>
  <c r="P4" i="1"/>
  <c r="Q4" i="1"/>
  <c r="M931" i="1"/>
  <c r="N931" i="1"/>
  <c r="P931" i="1"/>
  <c r="Q931" i="1"/>
  <c r="M1415" i="1"/>
  <c r="N1415" i="1"/>
  <c r="P1415" i="1"/>
  <c r="Q1415" i="1"/>
  <c r="M1360" i="1"/>
  <c r="N1360" i="1"/>
  <c r="P1360" i="1"/>
  <c r="Q1360" i="1"/>
  <c r="M1493" i="1"/>
  <c r="N1493" i="1"/>
  <c r="P1493" i="1"/>
  <c r="Q1493" i="1"/>
  <c r="M1083" i="1"/>
  <c r="N1083" i="1"/>
  <c r="P1083" i="1"/>
  <c r="Q1083" i="1"/>
  <c r="M573" i="1"/>
  <c r="N573" i="1"/>
  <c r="P573" i="1"/>
  <c r="Q573" i="1"/>
  <c r="M781" i="1"/>
  <c r="N781" i="1"/>
  <c r="P781" i="1"/>
  <c r="Q781" i="1"/>
  <c r="M12" i="1"/>
  <c r="N12" i="1"/>
  <c r="P12" i="1"/>
  <c r="Q12" i="1"/>
  <c r="M747" i="1"/>
  <c r="N747" i="1"/>
  <c r="P747" i="1"/>
  <c r="Q747" i="1"/>
  <c r="M1537" i="1"/>
  <c r="N1537" i="1"/>
  <c r="P1537" i="1"/>
  <c r="Q1537" i="1"/>
  <c r="M437" i="1"/>
  <c r="N437" i="1"/>
  <c r="P437" i="1"/>
  <c r="Q437" i="1"/>
  <c r="M1362" i="1"/>
  <c r="N1362" i="1"/>
  <c r="P1362" i="1"/>
  <c r="Q1362" i="1"/>
  <c r="M703" i="1"/>
  <c r="N703" i="1"/>
  <c r="P703" i="1"/>
  <c r="Q703" i="1"/>
  <c r="M1606" i="1"/>
  <c r="N1606" i="1"/>
  <c r="P1606" i="1"/>
  <c r="Q1606" i="1"/>
  <c r="M1607" i="1"/>
  <c r="N1607" i="1"/>
  <c r="P1607" i="1"/>
  <c r="Q1607" i="1"/>
  <c r="M1576" i="1"/>
  <c r="N1576" i="1"/>
  <c r="P1576" i="1"/>
  <c r="Q1576" i="1"/>
  <c r="M439" i="1"/>
  <c r="N439" i="1"/>
  <c r="P439" i="1"/>
  <c r="Q439" i="1"/>
  <c r="M877" i="1"/>
  <c r="N877" i="1"/>
  <c r="P877" i="1"/>
  <c r="Q877" i="1"/>
  <c r="M1399" i="1"/>
  <c r="N1399" i="1"/>
  <c r="P1399" i="1"/>
  <c r="Q1399" i="1"/>
  <c r="M276" i="1"/>
  <c r="N276" i="1"/>
  <c r="P276" i="1"/>
  <c r="Q276" i="1"/>
  <c r="M149" i="1"/>
  <c r="N149" i="1"/>
  <c r="P149" i="1"/>
  <c r="Q149" i="1"/>
  <c r="M465" i="1"/>
  <c r="N465" i="1"/>
  <c r="P465" i="1"/>
  <c r="Q465" i="1"/>
  <c r="M782" i="1"/>
  <c r="N782" i="1"/>
  <c r="P782" i="1"/>
  <c r="Q782" i="1"/>
  <c r="M134" i="1"/>
  <c r="N134" i="1"/>
  <c r="P134" i="1"/>
  <c r="Q134" i="1"/>
  <c r="M1524" i="1"/>
  <c r="N1524" i="1"/>
  <c r="P1524" i="1"/>
  <c r="Q1524" i="1"/>
  <c r="M279" i="1"/>
  <c r="N279" i="1"/>
  <c r="P279" i="1"/>
  <c r="Q279" i="1"/>
  <c r="M772" i="1"/>
  <c r="N772" i="1"/>
  <c r="P772" i="1"/>
  <c r="Q772" i="1"/>
  <c r="M1698" i="1"/>
  <c r="N1698" i="1"/>
  <c r="P1698" i="1"/>
  <c r="Q1698" i="1"/>
  <c r="M1573" i="1"/>
  <c r="N1573" i="1"/>
  <c r="P1573" i="1"/>
  <c r="Q1573" i="1"/>
  <c r="M632" i="1"/>
  <c r="N632" i="1"/>
  <c r="P632" i="1"/>
  <c r="Q632" i="1"/>
  <c r="M1418" i="1"/>
  <c r="N1418" i="1"/>
  <c r="P1418" i="1"/>
  <c r="Q1418" i="1"/>
  <c r="M1432" i="1"/>
  <c r="N1432" i="1"/>
  <c r="P1432" i="1"/>
  <c r="Q1432" i="1"/>
  <c r="M1329" i="1"/>
  <c r="N1329" i="1"/>
  <c r="P1329" i="1"/>
  <c r="Q1329" i="1"/>
  <c r="M944" i="1"/>
  <c r="N944" i="1"/>
  <c r="P944" i="1"/>
  <c r="Q944" i="1"/>
  <c r="M1096" i="1"/>
  <c r="N1096" i="1"/>
  <c r="P1096" i="1"/>
  <c r="Q1096" i="1"/>
  <c r="M947" i="1"/>
  <c r="N947" i="1"/>
  <c r="P947" i="1"/>
  <c r="Q947" i="1"/>
  <c r="M943" i="1"/>
  <c r="N943" i="1"/>
  <c r="P943" i="1"/>
  <c r="Q943" i="1"/>
  <c r="M626" i="1"/>
  <c r="N626" i="1"/>
  <c r="P626" i="1"/>
  <c r="Q626" i="1"/>
  <c r="M1063" i="1"/>
  <c r="N1063" i="1"/>
  <c r="P1063" i="1"/>
  <c r="Q1063" i="1"/>
  <c r="M1435" i="1"/>
  <c r="N1435" i="1"/>
  <c r="P1435" i="1"/>
  <c r="Q1435" i="1"/>
  <c r="M799" i="1"/>
  <c r="N799" i="1"/>
  <c r="P799" i="1"/>
  <c r="Q799" i="1"/>
  <c r="M1099" i="1"/>
  <c r="N1099" i="1"/>
  <c r="P1099" i="1"/>
  <c r="Q1099" i="1"/>
  <c r="M1114" i="1"/>
  <c r="N1114" i="1"/>
  <c r="P1114" i="1"/>
  <c r="Q1114" i="1"/>
  <c r="M302" i="1"/>
  <c r="N302" i="1"/>
  <c r="P302" i="1"/>
  <c r="Q302" i="1"/>
  <c r="M51" i="1"/>
  <c r="N51" i="1"/>
  <c r="P51" i="1"/>
  <c r="Q51" i="1"/>
  <c r="M1281" i="1"/>
  <c r="N1281" i="1"/>
  <c r="P1281" i="1"/>
  <c r="Q1281" i="1"/>
  <c r="M608" i="1"/>
  <c r="N608" i="1"/>
  <c r="P608" i="1"/>
  <c r="Q608" i="1"/>
  <c r="M971" i="1"/>
  <c r="N971" i="1"/>
  <c r="P971" i="1"/>
  <c r="Q971" i="1"/>
  <c r="M1025" i="1"/>
  <c r="N1025" i="1"/>
  <c r="P1025" i="1"/>
  <c r="Q1025" i="1"/>
  <c r="M339" i="1"/>
  <c r="N339" i="1"/>
  <c r="P339" i="1"/>
  <c r="Q339" i="1"/>
  <c r="M335" i="1"/>
  <c r="N335" i="1"/>
  <c r="P335" i="1"/>
  <c r="Q335" i="1"/>
  <c r="M867" i="1"/>
  <c r="N867" i="1"/>
  <c r="P867" i="1"/>
  <c r="Q867" i="1"/>
  <c r="M1276" i="1"/>
  <c r="N1276" i="1"/>
  <c r="P1276" i="1"/>
  <c r="Q1276" i="1"/>
  <c r="M249" i="1"/>
  <c r="N249" i="1"/>
  <c r="P249" i="1"/>
  <c r="Q249" i="1"/>
  <c r="M113" i="1"/>
  <c r="N113" i="1"/>
  <c r="P113" i="1"/>
  <c r="Q113" i="1"/>
  <c r="M970" i="1"/>
  <c r="N970" i="1"/>
  <c r="P970" i="1"/>
  <c r="Q970" i="1"/>
  <c r="M548" i="1"/>
  <c r="N548" i="1"/>
  <c r="P548" i="1"/>
  <c r="Q548" i="1"/>
  <c r="M1005" i="1"/>
  <c r="N1005" i="1"/>
  <c r="P1005" i="1"/>
  <c r="Q1005" i="1"/>
  <c r="M1034" i="1"/>
  <c r="N1034" i="1"/>
  <c r="P1034" i="1"/>
  <c r="Q1034" i="1"/>
  <c r="M1113" i="1"/>
  <c r="N1113" i="1"/>
  <c r="P1113" i="1"/>
  <c r="Q1113" i="1"/>
  <c r="M384" i="1"/>
  <c r="N384" i="1"/>
  <c r="P384" i="1"/>
  <c r="Q384" i="1"/>
  <c r="M157" i="1"/>
  <c r="N157" i="1"/>
  <c r="P157" i="1"/>
  <c r="Q157" i="1"/>
  <c r="M208" i="1"/>
  <c r="N208" i="1"/>
  <c r="P208" i="1"/>
  <c r="Q208" i="1"/>
  <c r="M1092" i="1"/>
  <c r="N1092" i="1"/>
  <c r="P1092" i="1"/>
  <c r="Q1092" i="1"/>
  <c r="M163" i="1"/>
  <c r="N163" i="1"/>
  <c r="P163" i="1"/>
  <c r="Q163" i="1"/>
  <c r="M1372" i="1"/>
  <c r="N1372" i="1"/>
  <c r="P1372" i="1"/>
  <c r="Q1372" i="1"/>
  <c r="M42" i="1"/>
  <c r="N42" i="1"/>
  <c r="P42" i="1"/>
  <c r="Q42" i="1"/>
  <c r="M1709" i="1"/>
  <c r="N1709" i="1"/>
  <c r="P1709" i="1"/>
  <c r="Q1709" i="1"/>
  <c r="M600" i="1"/>
  <c r="N600" i="1"/>
  <c r="P600" i="1"/>
  <c r="Q600" i="1"/>
  <c r="M918" i="1"/>
  <c r="N918" i="1"/>
  <c r="P918" i="1"/>
  <c r="Q918" i="1"/>
  <c r="M369" i="1"/>
  <c r="N369" i="1"/>
  <c r="P369" i="1"/>
  <c r="Q369" i="1"/>
  <c r="M1713" i="1"/>
  <c r="N1713" i="1"/>
  <c r="P1713" i="1"/>
  <c r="Q1713" i="1"/>
  <c r="M178" i="1"/>
  <c r="N178" i="1"/>
  <c r="P178" i="1"/>
  <c r="Q178" i="1"/>
  <c r="M1478" i="1"/>
  <c r="N1478" i="1"/>
  <c r="P1478" i="1"/>
  <c r="Q1478" i="1"/>
  <c r="M919" i="1"/>
  <c r="N919" i="1"/>
  <c r="P919" i="1"/>
  <c r="Q919" i="1"/>
  <c r="M1050" i="1"/>
  <c r="N1050" i="1"/>
  <c r="P1050" i="1"/>
  <c r="Q1050" i="1"/>
  <c r="M1037" i="1"/>
  <c r="N1037" i="1"/>
  <c r="P1037" i="1"/>
  <c r="Q1037" i="1"/>
  <c r="M1041" i="1"/>
  <c r="N1041" i="1"/>
  <c r="P1041" i="1"/>
  <c r="Q1041" i="1"/>
  <c r="M515" i="1"/>
  <c r="N515" i="1"/>
  <c r="P515" i="1"/>
  <c r="Q515" i="1"/>
  <c r="M1017" i="1"/>
  <c r="N1017" i="1"/>
  <c r="P1017" i="1"/>
  <c r="Q1017" i="1"/>
  <c r="M499" i="1"/>
  <c r="N499" i="1"/>
  <c r="P499" i="1"/>
  <c r="Q499" i="1"/>
  <c r="M808" i="1"/>
  <c r="N808" i="1"/>
  <c r="P808" i="1"/>
  <c r="Q808" i="1"/>
  <c r="M1377" i="1"/>
  <c r="N1377" i="1"/>
  <c r="P1377" i="1"/>
  <c r="Q1377" i="1"/>
  <c r="M521" i="1"/>
  <c r="N521" i="1"/>
  <c r="P521" i="1"/>
  <c r="Q521" i="1"/>
  <c r="M1472" i="1"/>
  <c r="N1472" i="1"/>
  <c r="P1472" i="1"/>
  <c r="Q1472" i="1"/>
  <c r="M581" i="1"/>
  <c r="N581" i="1"/>
  <c r="P581" i="1"/>
  <c r="Q581" i="1"/>
  <c r="M1714" i="1"/>
  <c r="N1714" i="1"/>
  <c r="P1714" i="1"/>
  <c r="Q1714" i="1"/>
  <c r="M1089" i="1"/>
  <c r="N1089" i="1"/>
  <c r="P1089" i="1"/>
  <c r="Q1089" i="1"/>
  <c r="M1723" i="1"/>
  <c r="N1723" i="1"/>
  <c r="P1723" i="1"/>
  <c r="Q1723" i="1"/>
  <c r="M1693" i="1"/>
  <c r="N1693" i="1"/>
  <c r="P1693" i="1"/>
  <c r="Q1693" i="1"/>
  <c r="M557" i="1"/>
  <c r="N557" i="1"/>
  <c r="P557" i="1"/>
  <c r="Q557" i="1"/>
  <c r="M807" i="1"/>
  <c r="N807" i="1"/>
  <c r="P807" i="1"/>
  <c r="Q807" i="1"/>
  <c r="M672" i="1"/>
  <c r="N672" i="1"/>
  <c r="P672" i="1"/>
  <c r="Q672" i="1"/>
  <c r="M1042" i="1"/>
  <c r="N1042" i="1"/>
  <c r="P1042" i="1"/>
  <c r="Q1042" i="1"/>
  <c r="M315" i="1"/>
  <c r="N315" i="1"/>
  <c r="P315" i="1"/>
  <c r="Q315" i="1"/>
  <c r="M1712" i="1"/>
  <c r="N1712" i="1"/>
  <c r="P1712" i="1"/>
  <c r="Q1712" i="1"/>
  <c r="M1477" i="1"/>
  <c r="N1477" i="1"/>
  <c r="P1477" i="1"/>
  <c r="Q1477" i="1"/>
  <c r="M496" i="1"/>
  <c r="N496" i="1"/>
  <c r="P496" i="1"/>
  <c r="Q496" i="1"/>
  <c r="M679" i="1"/>
  <c r="N679" i="1"/>
  <c r="P679" i="1"/>
  <c r="Q679" i="1"/>
  <c r="M805" i="1"/>
  <c r="N805" i="1"/>
  <c r="P805" i="1"/>
  <c r="Q805" i="1"/>
  <c r="M1701" i="1"/>
  <c r="N1701" i="1"/>
  <c r="P1701" i="1"/>
  <c r="Q1701" i="1"/>
  <c r="M245" i="1"/>
  <c r="N245" i="1"/>
  <c r="P245" i="1"/>
  <c r="Q245" i="1"/>
  <c r="M324" i="1"/>
  <c r="N324" i="1"/>
  <c r="P324" i="1"/>
  <c r="Q324" i="1"/>
  <c r="M660" i="1"/>
  <c r="N660" i="1"/>
  <c r="P660" i="1"/>
  <c r="Q660" i="1"/>
  <c r="M1009" i="1"/>
  <c r="N1009" i="1"/>
  <c r="P1009" i="1"/>
  <c r="Q1009" i="1"/>
  <c r="M644" i="1"/>
  <c r="N644" i="1"/>
  <c r="P644" i="1"/>
  <c r="Q644" i="1"/>
  <c r="M786" i="1"/>
  <c r="N786" i="1"/>
  <c r="P786" i="1"/>
  <c r="Q786" i="1"/>
  <c r="M331" i="1"/>
  <c r="N331" i="1"/>
  <c r="P331" i="1"/>
  <c r="Q331" i="1"/>
  <c r="M293" i="1"/>
  <c r="N293" i="1"/>
  <c r="P293" i="1"/>
  <c r="Q293" i="1"/>
  <c r="M338" i="1"/>
  <c r="N338" i="1"/>
  <c r="P338" i="1"/>
  <c r="Q338" i="1"/>
  <c r="M143" i="1"/>
  <c r="N143" i="1"/>
  <c r="P143" i="1"/>
  <c r="Q143" i="1"/>
  <c r="M903" i="1"/>
  <c r="N903" i="1"/>
  <c r="P903" i="1"/>
  <c r="Q903" i="1"/>
  <c r="M640" i="1"/>
  <c r="N640" i="1"/>
  <c r="P640" i="1"/>
  <c r="Q640" i="1"/>
  <c r="M148" i="1"/>
  <c r="N148" i="1"/>
  <c r="P148" i="1"/>
  <c r="Q148" i="1"/>
  <c r="M1656" i="1"/>
  <c r="N1656" i="1"/>
  <c r="P1656" i="1"/>
  <c r="Q1656" i="1"/>
  <c r="M1149" i="1"/>
  <c r="N1149" i="1"/>
  <c r="P1149" i="1"/>
  <c r="Q1149" i="1"/>
  <c r="M896" i="1"/>
  <c r="N896" i="1"/>
  <c r="P896" i="1"/>
  <c r="Q896" i="1"/>
  <c r="M912" i="1"/>
  <c r="N912" i="1"/>
  <c r="P912" i="1"/>
  <c r="Q912" i="1"/>
  <c r="M469" i="1"/>
  <c r="N469" i="1"/>
  <c r="P469" i="1"/>
  <c r="Q469" i="1"/>
  <c r="M1613" i="1"/>
  <c r="N1613" i="1"/>
  <c r="P1613" i="1"/>
  <c r="Q1613" i="1"/>
  <c r="M203" i="1"/>
  <c r="N203" i="1"/>
  <c r="P203" i="1"/>
  <c r="Q203" i="1"/>
  <c r="M1539" i="1"/>
  <c r="N1539" i="1"/>
  <c r="P1539" i="1"/>
  <c r="Q1539" i="1"/>
  <c r="M653" i="1"/>
  <c r="N653" i="1"/>
  <c r="P653" i="1"/>
  <c r="Q653" i="1"/>
  <c r="M852" i="1"/>
  <c r="N852" i="1"/>
  <c r="P852" i="1"/>
  <c r="Q852" i="1"/>
  <c r="M727" i="1"/>
  <c r="N727" i="1"/>
  <c r="P727" i="1"/>
  <c r="Q727" i="1"/>
  <c r="M833" i="1"/>
  <c r="N833" i="1"/>
  <c r="P833" i="1"/>
  <c r="Q833" i="1"/>
  <c r="M137" i="1"/>
  <c r="N137" i="1"/>
  <c r="P137" i="1"/>
  <c r="Q137" i="1"/>
  <c r="M408" i="1"/>
  <c r="N408" i="1"/>
  <c r="P408" i="1"/>
  <c r="Q408" i="1"/>
  <c r="M684" i="1"/>
  <c r="N684" i="1"/>
  <c r="P684" i="1"/>
  <c r="Q684" i="1"/>
  <c r="M555" i="1"/>
  <c r="N555" i="1"/>
  <c r="P555" i="1"/>
  <c r="Q555" i="1"/>
  <c r="M652" i="1"/>
  <c r="N652" i="1"/>
  <c r="P652" i="1"/>
  <c r="Q652" i="1"/>
  <c r="M680" i="1"/>
  <c r="N680" i="1"/>
  <c r="P680" i="1"/>
  <c r="Q680" i="1"/>
  <c r="M28" i="1"/>
  <c r="N28" i="1"/>
  <c r="P28" i="1"/>
  <c r="Q28" i="1"/>
  <c r="M1132" i="1"/>
  <c r="N1132" i="1"/>
  <c r="P1132" i="1"/>
  <c r="Q1132" i="1"/>
  <c r="M1064" i="1"/>
  <c r="N1064" i="1"/>
  <c r="P1064" i="1"/>
  <c r="Q1064" i="1"/>
  <c r="M623" i="1"/>
  <c r="N623" i="1"/>
  <c r="P623" i="1"/>
  <c r="Q623" i="1"/>
  <c r="M1150" i="1"/>
  <c r="N1150" i="1"/>
  <c r="P1150" i="1"/>
  <c r="Q1150" i="1"/>
  <c r="M1369" i="1"/>
  <c r="N1369" i="1"/>
  <c r="P1369" i="1"/>
  <c r="Q1369" i="1"/>
  <c r="M585" i="1"/>
  <c r="N585" i="1"/>
  <c r="P585" i="1"/>
  <c r="Q585" i="1"/>
  <c r="M133" i="1"/>
  <c r="N133" i="1"/>
  <c r="P133" i="1"/>
  <c r="Q133" i="1"/>
  <c r="M663" i="1"/>
  <c r="N663" i="1"/>
  <c r="P663" i="1"/>
  <c r="Q663" i="1"/>
  <c r="M1541" i="1"/>
  <c r="N1541" i="1"/>
  <c r="P1541" i="1"/>
  <c r="Q1541" i="1"/>
  <c r="M1035" i="1"/>
  <c r="N1035" i="1"/>
  <c r="P1035" i="1"/>
  <c r="Q1035" i="1"/>
  <c r="M1144" i="1"/>
  <c r="N1144" i="1"/>
  <c r="P1144" i="1"/>
  <c r="Q1144" i="1"/>
  <c r="M1421" i="1"/>
  <c r="N1421" i="1"/>
  <c r="P1421" i="1"/>
  <c r="Q1421" i="1"/>
  <c r="M1065" i="1"/>
  <c r="N1065" i="1"/>
  <c r="P1065" i="1"/>
  <c r="Q1065" i="1"/>
  <c r="M1174" i="1"/>
  <c r="N1174" i="1"/>
  <c r="P1174" i="1"/>
  <c r="Q1174" i="1"/>
  <c r="N927" i="1"/>
  <c r="P927" i="1"/>
  <c r="Q927" i="1"/>
  <c r="M1077" i="1"/>
  <c r="N1077" i="1"/>
  <c r="P1077" i="1"/>
  <c r="Q1077" i="1"/>
  <c r="M1587" i="1"/>
  <c r="N1587" i="1"/>
  <c r="P1587" i="1"/>
  <c r="Q1587" i="1"/>
  <c r="M1078" i="1"/>
  <c r="N1078" i="1"/>
  <c r="P1078" i="1"/>
  <c r="Q1078" i="1"/>
  <c r="M1176" i="1"/>
  <c r="N1176" i="1"/>
  <c r="P1176" i="1"/>
  <c r="Q1176" i="1"/>
  <c r="M52" i="1"/>
  <c r="N52" i="1"/>
  <c r="P52" i="1"/>
  <c r="Q52" i="1"/>
  <c r="M1590" i="1"/>
  <c r="N1590" i="1"/>
  <c r="P1590" i="1"/>
  <c r="Q1590" i="1"/>
  <c r="M1506" i="1"/>
  <c r="N1506" i="1"/>
  <c r="P1506" i="1"/>
  <c r="Q1506" i="1"/>
  <c r="M892" i="1"/>
  <c r="N892" i="1"/>
  <c r="P892" i="1"/>
  <c r="Q892" i="1"/>
  <c r="M362" i="1"/>
  <c r="N362" i="1"/>
  <c r="P362" i="1"/>
  <c r="Q362" i="1"/>
  <c r="M303" i="1"/>
  <c r="N303" i="1"/>
  <c r="P303" i="1"/>
  <c r="Q303" i="1"/>
  <c r="M24" i="1"/>
  <c r="N24" i="1"/>
  <c r="P24" i="1"/>
  <c r="Q24" i="1"/>
  <c r="M1594" i="1"/>
  <c r="N1594" i="1"/>
  <c r="P1594" i="1"/>
  <c r="Q1594" i="1"/>
  <c r="M1465" i="1"/>
  <c r="N1465" i="1"/>
  <c r="P1465" i="1"/>
  <c r="Q1465" i="1"/>
  <c r="M1396" i="1"/>
  <c r="N1396" i="1"/>
  <c r="P1396" i="1"/>
  <c r="Q1396" i="1"/>
  <c r="M317" i="1"/>
  <c r="N317" i="1"/>
  <c r="P317" i="1"/>
  <c r="Q317" i="1"/>
  <c r="M141" i="1"/>
  <c r="N141" i="1"/>
  <c r="P141" i="1"/>
  <c r="Q141" i="1"/>
  <c r="M1600" i="1"/>
  <c r="N1600" i="1"/>
  <c r="P1600" i="1"/>
  <c r="Q1600" i="1"/>
  <c r="M604" i="1"/>
  <c r="N604" i="1"/>
  <c r="P604" i="1"/>
  <c r="Q604" i="1"/>
  <c r="M1263" i="1"/>
  <c r="N1263" i="1"/>
  <c r="P1263" i="1"/>
  <c r="Q1263" i="1"/>
  <c r="M154" i="1"/>
  <c r="N154" i="1"/>
  <c r="P154" i="1"/>
  <c r="Q154" i="1"/>
  <c r="M58" i="1"/>
  <c r="N58" i="1"/>
  <c r="P58" i="1"/>
  <c r="Q58" i="1"/>
  <c r="M211" i="1"/>
  <c r="N211" i="1"/>
  <c r="P211" i="1"/>
  <c r="Q211" i="1"/>
  <c r="M65" i="1"/>
  <c r="N65" i="1"/>
  <c r="P65" i="1"/>
  <c r="Q65" i="1"/>
  <c r="M589" i="1"/>
  <c r="N589" i="1"/>
  <c r="P589" i="1"/>
  <c r="Q589" i="1"/>
  <c r="M1056" i="1"/>
  <c r="N1056" i="1"/>
  <c r="P1056" i="1"/>
  <c r="Q1056" i="1"/>
  <c r="M1499" i="1"/>
  <c r="N1499" i="1"/>
  <c r="P1499" i="1"/>
  <c r="Q1499" i="1"/>
  <c r="M1057" i="1"/>
  <c r="N1057" i="1"/>
  <c r="P1057" i="1"/>
  <c r="Q1057" i="1"/>
  <c r="M999" i="1"/>
  <c r="N999" i="1"/>
  <c r="P999" i="1"/>
  <c r="Q999" i="1"/>
  <c r="M1437" i="1"/>
  <c r="N1437" i="1"/>
  <c r="P1437" i="1"/>
  <c r="Q1437" i="1"/>
  <c r="M1268" i="1"/>
  <c r="N1268" i="1"/>
  <c r="P1268" i="1"/>
  <c r="Q1268" i="1"/>
  <c r="M280" i="1"/>
  <c r="N280" i="1"/>
  <c r="P280" i="1"/>
  <c r="Q280" i="1"/>
  <c r="M755" i="1"/>
  <c r="N755" i="1"/>
  <c r="P755" i="1"/>
  <c r="Q755" i="1"/>
  <c r="M304" i="1"/>
  <c r="N304" i="1"/>
  <c r="P304" i="1"/>
  <c r="Q304" i="1"/>
  <c r="M1058" i="1"/>
  <c r="N1058" i="1"/>
  <c r="P1058" i="1"/>
  <c r="Q1058" i="1"/>
  <c r="M1184" i="1"/>
  <c r="N1184" i="1"/>
  <c r="P1184" i="1"/>
  <c r="Q1184" i="1"/>
  <c r="M550" i="1"/>
  <c r="N550" i="1"/>
  <c r="P550" i="1"/>
  <c r="Q550" i="1"/>
  <c r="M344" i="1"/>
  <c r="N344" i="1"/>
  <c r="P344" i="1"/>
  <c r="Q344" i="1"/>
  <c r="M18" i="1"/>
  <c r="N18" i="1"/>
  <c r="P18" i="1"/>
  <c r="Q18" i="1"/>
  <c r="M1584" i="1"/>
  <c r="N1584" i="1"/>
  <c r="P1584" i="1"/>
  <c r="Q1584" i="1"/>
  <c r="M310" i="1"/>
  <c r="N310" i="1"/>
  <c r="P310" i="1"/>
  <c r="Q310" i="1"/>
  <c r="M878" i="1"/>
  <c r="N878" i="1"/>
  <c r="P878" i="1"/>
  <c r="Q878" i="1"/>
  <c r="M460" i="1"/>
  <c r="N460" i="1"/>
  <c r="P460" i="1"/>
  <c r="Q460" i="1"/>
  <c r="M605" i="1"/>
  <c r="N605" i="1"/>
  <c r="P605" i="1"/>
  <c r="Q605" i="1"/>
  <c r="M345" i="1"/>
  <c r="N345" i="1"/>
  <c r="P345" i="1"/>
  <c r="Q345" i="1"/>
  <c r="M898" i="1"/>
  <c r="N898" i="1"/>
  <c r="P898" i="1"/>
  <c r="Q898" i="1"/>
  <c r="M239" i="1"/>
  <c r="N239" i="1"/>
  <c r="P239" i="1"/>
  <c r="Q239" i="1"/>
  <c r="M1052" i="1"/>
  <c r="N1052" i="1"/>
  <c r="P1052" i="1"/>
  <c r="Q1052" i="1"/>
  <c r="M779" i="1"/>
  <c r="N779" i="1"/>
  <c r="P779" i="1"/>
  <c r="Q779" i="1"/>
  <c r="M1451" i="1"/>
  <c r="N1451" i="1"/>
  <c r="P1451" i="1"/>
  <c r="Q1451" i="1"/>
  <c r="M1500" i="1"/>
  <c r="N1500" i="1"/>
  <c r="P1500" i="1"/>
  <c r="Q1500" i="1"/>
  <c r="M1265" i="1"/>
  <c r="N1265" i="1"/>
  <c r="P1265" i="1"/>
  <c r="Q1265" i="1"/>
  <c r="M136" i="1"/>
  <c r="N136" i="1"/>
  <c r="P136" i="1"/>
  <c r="Q136" i="1"/>
  <c r="M1628" i="1"/>
  <c r="N1628" i="1"/>
  <c r="P1628" i="1"/>
  <c r="Q1628" i="1"/>
  <c r="M1168" i="1"/>
  <c r="N1168" i="1"/>
  <c r="P1168" i="1"/>
  <c r="Q1168" i="1"/>
  <c r="M1000" i="1"/>
  <c r="N1000" i="1"/>
  <c r="P1000" i="1"/>
  <c r="Q1000" i="1"/>
  <c r="M1633" i="1"/>
  <c r="N1633" i="1"/>
  <c r="P1633" i="1"/>
  <c r="Q1633" i="1"/>
  <c r="M1270" i="1"/>
  <c r="N1270" i="1"/>
  <c r="P1270" i="1"/>
  <c r="Q1270" i="1"/>
  <c r="M1015" i="1"/>
  <c r="N1015" i="1"/>
  <c r="P1015" i="1"/>
  <c r="Q1015" i="1"/>
  <c r="M1449" i="1"/>
  <c r="N1449" i="1"/>
  <c r="P1449" i="1"/>
  <c r="Q1449" i="1"/>
  <c r="M1395" i="1"/>
  <c r="N1395" i="1"/>
  <c r="P1395" i="1"/>
  <c r="Q1395" i="1"/>
  <c r="M196" i="1"/>
  <c r="N196" i="1"/>
  <c r="P196" i="1"/>
  <c r="Q196" i="1"/>
  <c r="M1103" i="1"/>
  <c r="N1103" i="1"/>
  <c r="P1103" i="1"/>
  <c r="Q1103" i="1"/>
  <c r="M166" i="1"/>
  <c r="N166" i="1"/>
  <c r="P166" i="1"/>
  <c r="Q166" i="1"/>
  <c r="M1108" i="1"/>
  <c r="N1108" i="1"/>
  <c r="P1108" i="1"/>
  <c r="Q1108" i="1"/>
  <c r="M348" i="1"/>
  <c r="N348" i="1"/>
  <c r="P348" i="1"/>
  <c r="Q348" i="1"/>
  <c r="M282" i="1"/>
  <c r="N282" i="1"/>
  <c r="P282" i="1"/>
  <c r="Q282" i="1"/>
  <c r="M377" i="1"/>
  <c r="N377" i="1"/>
  <c r="P377" i="1"/>
  <c r="Q377" i="1"/>
  <c r="M165" i="1"/>
  <c r="N165" i="1"/>
  <c r="P165" i="1"/>
  <c r="Q165" i="1"/>
  <c r="M917" i="1"/>
  <c r="N917" i="1"/>
  <c r="P917" i="1"/>
  <c r="Q917" i="1"/>
  <c r="M264" i="1"/>
  <c r="N264" i="1"/>
  <c r="P264" i="1"/>
  <c r="Q264" i="1"/>
  <c r="M1609" i="1"/>
  <c r="N1609" i="1"/>
  <c r="P1609" i="1"/>
  <c r="Q1609" i="1"/>
  <c r="M357" i="1"/>
  <c r="N357" i="1"/>
  <c r="P357" i="1"/>
  <c r="Q357" i="1"/>
  <c r="M1328" i="1"/>
  <c r="N1328" i="1"/>
  <c r="P1328" i="1"/>
  <c r="Q1328" i="1"/>
  <c r="M718" i="1"/>
  <c r="N718" i="1"/>
  <c r="P718" i="1"/>
  <c r="Q718" i="1"/>
  <c r="M485" i="1"/>
  <c r="N485" i="1"/>
  <c r="P485" i="1"/>
  <c r="Q485" i="1"/>
  <c r="M720" i="1"/>
  <c r="N720" i="1"/>
  <c r="P720" i="1"/>
  <c r="Q720" i="1"/>
  <c r="M229" i="1"/>
  <c r="N229" i="1"/>
  <c r="P229" i="1"/>
  <c r="Q229" i="1"/>
  <c r="M237" i="1"/>
  <c r="N237" i="1"/>
  <c r="P237" i="1"/>
  <c r="Q237" i="1"/>
  <c r="M843" i="1"/>
  <c r="N843" i="1"/>
  <c r="P843" i="1"/>
  <c r="Q843" i="1"/>
  <c r="M1027" i="1"/>
  <c r="N1027" i="1"/>
  <c r="P1027" i="1"/>
  <c r="Q1027" i="1"/>
  <c r="M1146" i="1"/>
  <c r="N1146" i="1"/>
  <c r="P1146" i="1"/>
  <c r="Q1146" i="1"/>
  <c r="M226" i="1"/>
  <c r="N226" i="1"/>
  <c r="P226" i="1"/>
  <c r="Q226" i="1"/>
  <c r="M1164" i="1"/>
  <c r="N1164" i="1"/>
  <c r="P1164" i="1"/>
  <c r="Q1164" i="1"/>
  <c r="M985" i="1"/>
  <c r="N985" i="1"/>
  <c r="P985" i="1"/>
  <c r="Q985" i="1"/>
  <c r="M170" i="1"/>
  <c r="N170" i="1"/>
  <c r="P170" i="1"/>
  <c r="Q170" i="1"/>
  <c r="M773" i="1"/>
  <c r="N773" i="1"/>
  <c r="P773" i="1"/>
  <c r="Q773" i="1"/>
  <c r="M27" i="1"/>
  <c r="N27" i="1"/>
  <c r="P27" i="1"/>
  <c r="Q27" i="1"/>
  <c r="M305" i="1"/>
  <c r="N305" i="1"/>
  <c r="P305" i="1"/>
  <c r="Q305" i="1"/>
  <c r="M311" i="1"/>
  <c r="N311" i="1"/>
  <c r="P311" i="1"/>
  <c r="Q311" i="1"/>
  <c r="M197" i="1"/>
  <c r="N197" i="1"/>
  <c r="P197" i="1"/>
  <c r="Q197" i="1"/>
  <c r="M200" i="1"/>
  <c r="N200" i="1"/>
  <c r="P200" i="1"/>
  <c r="Q200" i="1"/>
  <c r="M631" i="1"/>
  <c r="N631" i="1"/>
  <c r="P631" i="1"/>
  <c r="Q631" i="1"/>
  <c r="M1032" i="1"/>
  <c r="N1032" i="1"/>
  <c r="P1032" i="1"/>
  <c r="Q1032" i="1"/>
  <c r="M457" i="1"/>
  <c r="N457" i="1"/>
  <c r="P457" i="1"/>
  <c r="Q457" i="1"/>
  <c r="M217" i="1"/>
  <c r="N217" i="1"/>
  <c r="P217" i="1"/>
  <c r="Q217" i="1"/>
  <c r="M1383" i="1"/>
  <c r="N1383" i="1"/>
  <c r="P1383" i="1"/>
  <c r="Q1383" i="1"/>
  <c r="M860" i="1"/>
  <c r="N860" i="1"/>
  <c r="P860" i="1"/>
  <c r="Q860" i="1"/>
  <c r="M530" i="1"/>
  <c r="N530" i="1"/>
  <c r="P530" i="1"/>
  <c r="Q530" i="1"/>
  <c r="M273" i="1"/>
  <c r="N273" i="1"/>
  <c r="P273" i="1"/>
  <c r="Q273" i="1"/>
  <c r="M1602" i="1"/>
  <c r="N1602" i="1"/>
  <c r="P1602" i="1"/>
  <c r="Q1602" i="1"/>
  <c r="M1006" i="1"/>
  <c r="N1006" i="1"/>
  <c r="P1006" i="1"/>
  <c r="Q1006" i="1"/>
  <c r="M532" i="1"/>
  <c r="N532" i="1"/>
  <c r="P532" i="1"/>
  <c r="Q532" i="1"/>
  <c r="M1147" i="1"/>
  <c r="N1147" i="1"/>
  <c r="P1147" i="1"/>
  <c r="Q1147" i="1"/>
  <c r="M721" i="1"/>
  <c r="N721" i="1"/>
  <c r="P721" i="1"/>
  <c r="Q721" i="1"/>
  <c r="M1175" i="1"/>
  <c r="N1175" i="1"/>
  <c r="P1175" i="1"/>
  <c r="Q1175" i="1"/>
  <c r="M472" i="1"/>
  <c r="N472" i="1"/>
  <c r="P472" i="1"/>
  <c r="Q472" i="1"/>
  <c r="M454" i="1"/>
  <c r="N454" i="1"/>
  <c r="P454" i="1"/>
  <c r="Q454" i="1"/>
  <c r="M1495" i="1"/>
  <c r="N1495" i="1"/>
  <c r="P1495" i="1"/>
  <c r="Q1495" i="1"/>
  <c r="M844" i="1"/>
  <c r="N844" i="1"/>
  <c r="P844" i="1"/>
  <c r="Q844" i="1"/>
  <c r="M1001" i="1"/>
  <c r="N1001" i="1"/>
  <c r="P1001" i="1"/>
  <c r="Q1001" i="1"/>
  <c r="M56" i="1"/>
  <c r="N56" i="1"/>
  <c r="P56" i="1"/>
  <c r="Q56" i="1"/>
  <c r="M1658" i="1"/>
  <c r="N1658" i="1"/>
  <c r="P1658" i="1"/>
  <c r="Q1658" i="1"/>
  <c r="M1151" i="1"/>
  <c r="N1151" i="1"/>
  <c r="P1151" i="1"/>
  <c r="Q1151" i="1"/>
  <c r="M1622" i="1"/>
  <c r="N1622" i="1"/>
  <c r="P1622" i="1"/>
  <c r="Q1622" i="1"/>
  <c r="M1596" i="1"/>
  <c r="N1596" i="1"/>
  <c r="P1596" i="1"/>
  <c r="Q1596" i="1"/>
  <c r="M104" i="1"/>
  <c r="N104" i="1"/>
  <c r="P104" i="1"/>
  <c r="Q104" i="1"/>
  <c r="M349" i="1"/>
  <c r="N349" i="1"/>
  <c r="P349" i="1"/>
  <c r="Q349" i="1"/>
  <c r="M142" i="1"/>
  <c r="N142" i="1"/>
  <c r="P142" i="1"/>
  <c r="Q142" i="1"/>
  <c r="M1235" i="1"/>
  <c r="N1235" i="1"/>
  <c r="P1235" i="1"/>
  <c r="Q1235" i="1"/>
  <c r="M40" i="1"/>
  <c r="N40" i="1"/>
  <c r="P40" i="1"/>
  <c r="Q40" i="1"/>
  <c r="M1318" i="1"/>
  <c r="N1318" i="1"/>
  <c r="P1318" i="1"/>
  <c r="Q1318" i="1"/>
  <c r="M1443" i="1"/>
  <c r="N1443" i="1"/>
  <c r="P1443" i="1"/>
  <c r="Q1443" i="1"/>
  <c r="M1031" i="1"/>
  <c r="N1031" i="1"/>
  <c r="P1031" i="1"/>
  <c r="Q1031" i="1"/>
  <c r="M616" i="1"/>
  <c r="N616" i="1"/>
  <c r="P616" i="1"/>
  <c r="Q616" i="1"/>
  <c r="M1427" i="1"/>
  <c r="N1427" i="1"/>
  <c r="P1427" i="1"/>
  <c r="Q1427" i="1"/>
  <c r="M619" i="1"/>
  <c r="N619" i="1"/>
  <c r="P619" i="1"/>
  <c r="Q619" i="1"/>
  <c r="M836" i="1"/>
  <c r="N836" i="1"/>
  <c r="P836" i="1"/>
  <c r="Q836" i="1"/>
  <c r="M1616" i="1"/>
  <c r="N1616" i="1"/>
  <c r="P1616" i="1"/>
  <c r="Q1616" i="1"/>
  <c r="M26" i="1"/>
  <c r="N26" i="1"/>
  <c r="P26" i="1"/>
  <c r="Q26" i="1"/>
  <c r="M993" i="1"/>
  <c r="N993" i="1"/>
  <c r="P993" i="1"/>
  <c r="Q993" i="1"/>
  <c r="M582" i="1"/>
  <c r="N582" i="1"/>
  <c r="P582" i="1"/>
  <c r="Q582" i="1"/>
  <c r="M49" i="1"/>
  <c r="N49" i="1"/>
  <c r="P49" i="1"/>
  <c r="Q49" i="1"/>
  <c r="M50" i="1"/>
  <c r="N50" i="1"/>
  <c r="P50" i="1"/>
  <c r="Q50" i="1"/>
  <c r="M556" i="1"/>
  <c r="N556" i="1"/>
  <c r="P556" i="1"/>
  <c r="Q556" i="1"/>
  <c r="M468" i="1"/>
  <c r="N468" i="1"/>
  <c r="P468" i="1"/>
  <c r="Q468" i="1"/>
  <c r="M1314" i="1"/>
  <c r="N1314" i="1"/>
  <c r="P1314" i="1"/>
  <c r="Q1314" i="1"/>
  <c r="M669" i="1"/>
  <c r="N669" i="1"/>
  <c r="P669" i="1"/>
  <c r="Q669" i="1"/>
  <c r="M800" i="1"/>
  <c r="N800" i="1"/>
  <c r="P800" i="1"/>
  <c r="Q800" i="1"/>
  <c r="M44" i="1"/>
  <c r="N44" i="1"/>
  <c r="P44" i="1"/>
  <c r="Q44" i="1"/>
  <c r="M783" i="1"/>
  <c r="N783" i="1"/>
  <c r="P783" i="1"/>
  <c r="Q783" i="1"/>
  <c r="M1030" i="1"/>
  <c r="N1030" i="1"/>
  <c r="P1030" i="1"/>
  <c r="Q1030" i="1"/>
  <c r="M1311" i="1"/>
  <c r="N1311" i="1"/>
  <c r="P1311" i="1"/>
  <c r="Q1311" i="1"/>
  <c r="M1535" i="1"/>
  <c r="N1535" i="1"/>
  <c r="P1535" i="1"/>
  <c r="Q1535" i="1"/>
  <c r="M62" i="1"/>
  <c r="N62" i="1"/>
  <c r="P62" i="1"/>
  <c r="Q62" i="1"/>
  <c r="M1532" i="1"/>
  <c r="N1532" i="1"/>
  <c r="P1532" i="1"/>
  <c r="Q1532" i="1"/>
  <c r="M474" i="1"/>
  <c r="N474" i="1"/>
  <c r="P474" i="1"/>
  <c r="Q474" i="1"/>
  <c r="M73" i="1"/>
  <c r="N73" i="1"/>
  <c r="P73" i="1"/>
  <c r="Q73" i="1"/>
  <c r="M559" i="1"/>
  <c r="N559" i="1"/>
  <c r="P559" i="1"/>
  <c r="Q559" i="1"/>
  <c r="M998" i="1"/>
  <c r="N998" i="1"/>
  <c r="P998" i="1"/>
  <c r="Q998" i="1"/>
  <c r="M438" i="1"/>
  <c r="N438" i="1"/>
  <c r="P438" i="1"/>
  <c r="Q438" i="1"/>
  <c r="M1430" i="1"/>
  <c r="N1430" i="1"/>
  <c r="P1430" i="1"/>
  <c r="Q1430" i="1"/>
  <c r="M1408" i="1"/>
  <c r="N1408" i="1"/>
  <c r="P1408" i="1"/>
  <c r="Q1408" i="1"/>
  <c r="M792" i="1"/>
  <c r="N792" i="1"/>
  <c r="P792" i="1"/>
  <c r="Q792" i="1"/>
  <c r="M830" i="1"/>
  <c r="N830" i="1"/>
  <c r="P830" i="1"/>
  <c r="Q830" i="1"/>
  <c r="M649" i="1"/>
  <c r="N649" i="1"/>
  <c r="P649" i="1"/>
  <c r="Q649" i="1"/>
  <c r="M1414" i="1"/>
  <c r="N1414" i="1"/>
  <c r="P1414" i="1"/>
  <c r="Q1414" i="1"/>
  <c r="M11" i="1"/>
  <c r="N11" i="1"/>
  <c r="P11" i="1"/>
  <c r="Q11" i="1"/>
  <c r="M61" i="1"/>
  <c r="N61" i="1"/>
  <c r="P61" i="1"/>
  <c r="Q61" i="1"/>
  <c r="M1140" i="1"/>
  <c r="N1140" i="1"/>
  <c r="P1140" i="1"/>
  <c r="Q1140" i="1"/>
  <c r="M267" i="1"/>
  <c r="N267" i="1"/>
  <c r="P267" i="1"/>
  <c r="Q267" i="1"/>
  <c r="M1413" i="1"/>
  <c r="N1413" i="1"/>
  <c r="P1413" i="1"/>
  <c r="Q1413" i="1"/>
  <c r="M77" i="1"/>
  <c r="N77" i="1"/>
  <c r="P77" i="1"/>
  <c r="Q77" i="1"/>
  <c r="M204" i="1"/>
  <c r="N204" i="1"/>
  <c r="P204" i="1"/>
  <c r="Q204" i="1"/>
  <c r="M1330" i="1"/>
  <c r="N1330" i="1"/>
  <c r="P1330" i="1"/>
  <c r="Q1330" i="1"/>
  <c r="M1291" i="1"/>
  <c r="N1291" i="1"/>
  <c r="P1291" i="1"/>
  <c r="Q1291" i="1"/>
  <c r="M607" i="1"/>
  <c r="N607" i="1"/>
  <c r="P607" i="1"/>
  <c r="Q607" i="1"/>
  <c r="M1269" i="1"/>
  <c r="N1269" i="1"/>
  <c r="P1269" i="1"/>
  <c r="Q1269" i="1"/>
  <c r="M1509" i="1"/>
  <c r="N1509" i="1"/>
  <c r="P1509" i="1"/>
  <c r="Q1509" i="1"/>
  <c r="M346" i="1"/>
  <c r="N346" i="1"/>
  <c r="P346" i="1"/>
  <c r="Q346" i="1"/>
  <c r="M832" i="1"/>
  <c r="N832" i="1"/>
  <c r="P832" i="1"/>
  <c r="Q832" i="1"/>
  <c r="M1561" i="1"/>
  <c r="N1561" i="1"/>
  <c r="P1561" i="1"/>
  <c r="Q1561" i="1"/>
  <c r="M776" i="1"/>
  <c r="N776" i="1"/>
  <c r="P776" i="1"/>
  <c r="Q776" i="1"/>
  <c r="P70" i="1"/>
  <c r="Q70" i="1"/>
  <c r="N70" i="1"/>
  <c r="M70" i="1"/>
  <c r="I70" i="1"/>
  <c r="H666" i="1"/>
  <c r="H928" i="1"/>
  <c r="H899" i="1"/>
  <c r="H382" i="1"/>
  <c r="H723" i="1"/>
  <c r="H175" i="1"/>
  <c r="H725" i="1"/>
  <c r="H8" i="1"/>
  <c r="H801" i="1"/>
  <c r="H1090" i="1"/>
  <c r="H1259" i="1"/>
  <c r="H481" i="1"/>
  <c r="H1087" i="1"/>
  <c r="H209" i="1"/>
  <c r="H1591" i="1"/>
  <c r="H809" i="1"/>
  <c r="H39" i="1"/>
  <c r="H862" i="1"/>
  <c r="H930" i="1"/>
  <c r="H527" i="1"/>
  <c r="H402" i="1"/>
  <c r="H1252" i="1"/>
  <c r="H647" i="1"/>
  <c r="H7" i="1"/>
  <c r="H1307" i="1"/>
  <c r="H466" i="1"/>
  <c r="H571" i="1"/>
  <c r="H1115" i="1"/>
  <c r="H738" i="1"/>
  <c r="H405" i="1"/>
  <c r="H1588" i="1"/>
  <c r="H1210" i="1"/>
  <c r="H1667" i="1"/>
  <c r="H1558" i="1"/>
  <c r="H719" i="1"/>
  <c r="H1085" i="1"/>
  <c r="H940" i="1"/>
  <c r="H1647" i="1"/>
  <c r="H963" i="1"/>
  <c r="H1646" i="1"/>
  <c r="H562" i="1"/>
  <c r="H942" i="1"/>
  <c r="H1589" i="1"/>
  <c r="H1304" i="1"/>
  <c r="H969" i="1"/>
  <c r="H234" i="1"/>
  <c r="H359" i="1"/>
  <c r="H754" i="1"/>
  <c r="H1460" i="1"/>
  <c r="H824" i="1"/>
  <c r="H961" i="1"/>
  <c r="H798" i="1"/>
  <c r="H1344" i="1"/>
  <c r="H294" i="1"/>
  <c r="H960" i="1"/>
  <c r="H868" i="1"/>
  <c r="H978" i="1"/>
  <c r="H1497" i="1"/>
  <c r="H1503" i="1"/>
  <c r="H959" i="1"/>
  <c r="H962" i="1"/>
  <c r="H235" i="1"/>
  <c r="H1705" i="1"/>
  <c r="H72" i="1"/>
  <c r="H746" i="1"/>
  <c r="H1638" i="1"/>
  <c r="H1649" i="1"/>
  <c r="H572" i="1"/>
  <c r="H724" i="1"/>
  <c r="H1107" i="1"/>
  <c r="H510" i="1"/>
  <c r="H1355" i="1"/>
  <c r="H514" i="1"/>
  <c r="H390" i="1"/>
  <c r="H380" i="1"/>
  <c r="H1685" i="1"/>
  <c r="H958" i="1"/>
  <c r="H1666" i="1"/>
  <c r="H648" i="1"/>
  <c r="H256" i="1"/>
  <c r="H566" i="1"/>
  <c r="H385" i="1"/>
  <c r="H1293" i="1"/>
  <c r="H977" i="1"/>
  <c r="H1142" i="1"/>
  <c r="H285" i="1"/>
  <c r="H526" i="1"/>
  <c r="H979" i="1"/>
  <c r="H322" i="1"/>
  <c r="H258" i="1"/>
  <c r="H505" i="1"/>
  <c r="H980" i="1"/>
  <c r="H642" i="1"/>
  <c r="H1683" i="1"/>
  <c r="H975" i="1"/>
  <c r="H1349" i="1"/>
  <c r="H1470" i="1"/>
  <c r="H376" i="1"/>
  <c r="H570" i="1"/>
  <c r="H238" i="1"/>
  <c r="H507" i="1"/>
  <c r="H277" i="1"/>
  <c r="H88" i="1"/>
  <c r="H615" i="1"/>
  <c r="H1645" i="1"/>
  <c r="H636" i="1"/>
  <c r="H650" i="1"/>
  <c r="H395" i="1"/>
  <c r="H662" i="1"/>
  <c r="H1433" i="1"/>
  <c r="H1347" i="1"/>
  <c r="H713" i="1"/>
  <c r="H797" i="1"/>
  <c r="H1286" i="1"/>
  <c r="H1639" i="1"/>
  <c r="H988" i="1"/>
  <c r="H1143" i="1"/>
  <c r="H729" i="1"/>
  <c r="H1250" i="1"/>
  <c r="H221" i="1"/>
  <c r="H103" i="1"/>
  <c r="H1508" i="1"/>
  <c r="H1677" i="1"/>
  <c r="H1299" i="1"/>
  <c r="H897" i="1"/>
  <c r="H525" i="1"/>
  <c r="H668" i="1"/>
  <c r="H1294" i="1"/>
  <c r="H391" i="1"/>
  <c r="H1682" i="1"/>
  <c r="H1665" i="1"/>
  <c r="H84" i="1"/>
  <c r="H802" i="1"/>
  <c r="H107" i="1"/>
  <c r="H1540" i="1"/>
  <c r="H323" i="1"/>
  <c r="H1354" i="1"/>
  <c r="H1678" i="1"/>
  <c r="H473" i="1"/>
  <c r="H393" i="1"/>
  <c r="H452" i="1"/>
  <c r="H383" i="1"/>
  <c r="H618" i="1"/>
  <c r="H224" i="1"/>
  <c r="H396" i="1"/>
  <c r="H1260" i="1"/>
  <c r="H59" i="1"/>
  <c r="H1644" i="1"/>
  <c r="H1292" i="1"/>
  <c r="H1575" i="1"/>
  <c r="H762" i="1"/>
  <c r="H1245" i="1"/>
  <c r="H1200" i="1"/>
  <c r="H1267" i="1"/>
  <c r="H330" i="1"/>
  <c r="H902" i="1"/>
  <c r="H1577" i="1"/>
  <c r="H1614" i="1"/>
  <c r="H1211" i="1"/>
  <c r="H1117" i="1"/>
  <c r="H1153" i="1"/>
  <c r="H1536" i="1"/>
  <c r="H948" i="1"/>
  <c r="H1579" i="1"/>
  <c r="H69" i="1"/>
  <c r="H272" i="1"/>
  <c r="H31" i="1"/>
  <c r="H1190" i="1"/>
  <c r="H1255" i="1"/>
  <c r="H1258" i="1"/>
  <c r="H1134" i="1"/>
  <c r="H887" i="1"/>
  <c r="H266" i="1"/>
  <c r="H94" i="1"/>
  <c r="H332" i="1"/>
  <c r="H1454" i="1"/>
  <c r="H1351" i="1"/>
  <c r="H1118" i="1"/>
  <c r="H1382" i="1"/>
  <c r="H759" i="1"/>
  <c r="H920" i="1"/>
  <c r="H1266" i="1"/>
  <c r="H905" i="1"/>
  <c r="H819" i="1"/>
  <c r="H409" i="1"/>
  <c r="H270" i="1"/>
  <c r="H854" i="1"/>
  <c r="H849" i="1"/>
  <c r="H1257" i="1"/>
  <c r="H936" i="1"/>
  <c r="H760" i="1"/>
  <c r="H528" i="1"/>
  <c r="H1135" i="1"/>
  <c r="H758" i="1"/>
  <c r="H651" i="1"/>
  <c r="H212" i="1"/>
  <c r="H1476" i="1"/>
  <c r="H1079" i="1"/>
  <c r="H1249" i="1"/>
  <c r="H806" i="1"/>
  <c r="H479" i="1"/>
  <c r="H477" i="1"/>
  <c r="H1082" i="1"/>
  <c r="H498" i="1"/>
  <c r="H592" i="1"/>
  <c r="H318" i="1"/>
  <c r="H1513" i="1"/>
  <c r="H745" i="1"/>
  <c r="H1520" i="1"/>
  <c r="H757" i="1"/>
  <c r="H913" i="1"/>
  <c r="H1214" i="1"/>
  <c r="H875" i="1"/>
  <c r="H1550" i="1"/>
  <c r="H891" i="1"/>
  <c r="H1547" i="1"/>
  <c r="H313" i="1"/>
  <c r="H1216" i="1"/>
  <c r="H1219" i="1"/>
  <c r="H1215" i="1"/>
  <c r="H1121" i="1"/>
  <c r="H873" i="1"/>
  <c r="H949" i="1"/>
  <c r="H732" i="1"/>
  <c r="H410" i="1"/>
  <c r="H845" i="1"/>
  <c r="H412" i="1"/>
  <c r="H1494" i="1"/>
  <c r="H1080" i="1"/>
  <c r="H394" i="1"/>
  <c r="H863" i="1"/>
  <c r="H176" i="1"/>
  <c r="H1231" i="1"/>
  <c r="H1227" i="1"/>
  <c r="H795" i="1"/>
  <c r="H789" i="1"/>
  <c r="H839" i="1"/>
  <c r="H254" i="1"/>
  <c r="H1571" i="1"/>
  <c r="H417" i="1"/>
  <c r="H602" i="1"/>
  <c r="H1091" i="1"/>
  <c r="H416" i="1"/>
  <c r="H419" i="1"/>
  <c r="H717" i="1"/>
  <c r="H173" i="1"/>
  <c r="H306" i="1"/>
  <c r="H601" i="1"/>
  <c r="H743" i="1"/>
  <c r="H1402" i="1"/>
  <c r="H1692" i="1"/>
  <c r="H124" i="1"/>
  <c r="H495" i="1"/>
  <c r="H735" i="1"/>
  <c r="H34" i="1"/>
  <c r="H1534" i="1"/>
  <c r="H262" i="1"/>
  <c r="H855" i="1"/>
  <c r="H749" i="1"/>
  <c r="H612" i="1"/>
  <c r="H1556" i="1"/>
  <c r="H70" i="1"/>
  <c r="H840" i="1"/>
  <c r="H1236" i="1"/>
  <c r="H671" i="1"/>
  <c r="H537" i="1"/>
  <c r="H954" i="1"/>
  <c r="H1100" i="1"/>
  <c r="H1359" i="1"/>
  <c r="H614" i="1"/>
  <c r="H1618" i="1"/>
  <c r="H603" i="1"/>
  <c r="H125" i="1"/>
  <c r="H1337" i="1"/>
  <c r="H694" i="1"/>
  <c r="H876" i="1"/>
  <c r="H1228" i="1"/>
  <c r="H366" i="1"/>
  <c r="H1611" i="1"/>
  <c r="H1345" i="1"/>
  <c r="H785" i="1"/>
  <c r="H99" i="1"/>
  <c r="H371" i="1"/>
  <c r="H413" i="1"/>
  <c r="H292" i="1"/>
  <c r="H1525" i="1"/>
  <c r="H549" i="1"/>
  <c r="H1452" i="1"/>
  <c r="H375" i="1"/>
  <c r="H119" i="1"/>
  <c r="H1619" i="1"/>
  <c r="H1615" i="1"/>
  <c r="H1278" i="1"/>
  <c r="H381" i="1"/>
  <c r="H1116" i="1"/>
  <c r="H834" i="1"/>
  <c r="H1112" i="1"/>
  <c r="H128" i="1"/>
  <c r="H1283" i="1"/>
  <c r="H1003" i="1"/>
  <c r="H1352" i="1"/>
  <c r="H427" i="1"/>
  <c r="H223" i="1"/>
  <c r="H215" i="1"/>
  <c r="H812" i="1"/>
  <c r="H774" i="1"/>
  <c r="H241" i="1"/>
  <c r="H231" i="1"/>
  <c r="H423" i="1"/>
  <c r="H421" i="1"/>
  <c r="H1384" i="1"/>
  <c r="H726" i="1"/>
  <c r="H288" i="1"/>
  <c r="H974" i="1"/>
  <c r="H518" i="1"/>
  <c r="H316" i="1"/>
  <c r="H117" i="1"/>
  <c r="H289" i="1"/>
  <c r="H1136" i="1"/>
  <c r="H664" i="1"/>
  <c r="H1718" i="1"/>
  <c r="H1367" i="1"/>
  <c r="H986" i="1"/>
  <c r="H813" i="1"/>
  <c r="H1368" i="1"/>
  <c r="H246" i="1"/>
  <c r="H1696" i="1"/>
  <c r="H987" i="1"/>
  <c r="H1620" i="1"/>
  <c r="H1409" i="1"/>
  <c r="H1570" i="1"/>
  <c r="H1169" i="1"/>
  <c r="H1390" i="1"/>
  <c r="H1655" i="1"/>
  <c r="H426" i="1"/>
  <c r="H309" i="1"/>
  <c r="H308" i="1"/>
  <c r="H120" i="1"/>
  <c r="H129" i="1"/>
  <c r="H435" i="1"/>
  <c r="H1417" i="1"/>
  <c r="H748" i="1"/>
  <c r="H1348" i="1"/>
  <c r="H131" i="1"/>
  <c r="H1045" i="1"/>
  <c r="H126" i="1"/>
  <c r="H989" i="1"/>
  <c r="H837" i="1"/>
  <c r="H1093" i="1"/>
  <c r="H1630" i="1"/>
  <c r="H816" i="1"/>
  <c r="H259" i="1"/>
  <c r="H243" i="1"/>
  <c r="H578" i="1"/>
  <c r="H579" i="1"/>
  <c r="H244" i="1"/>
  <c r="H1217" i="1"/>
  <c r="H841" i="1"/>
  <c r="H1469" i="1"/>
  <c r="H1218" i="1"/>
  <c r="H911" i="1"/>
  <c r="H1098" i="1"/>
  <c r="H577" i="1"/>
  <c r="H886" i="1"/>
  <c r="H1133" i="1"/>
  <c r="H1222" i="1"/>
  <c r="H933" i="1"/>
  <c r="H240" i="1"/>
  <c r="H857" i="1"/>
  <c r="H214" i="1"/>
  <c r="H593" i="1"/>
  <c r="H1324" i="1"/>
  <c r="H1631" i="1"/>
  <c r="H1206" i="1"/>
  <c r="H1204" i="1"/>
  <c r="H475" i="1"/>
  <c r="H1094" i="1"/>
  <c r="H407" i="1"/>
  <c r="H467" i="1"/>
  <c r="H431" i="1"/>
  <c r="H30" i="1"/>
  <c r="H1462" i="1"/>
  <c r="H1475" i="1"/>
  <c r="H1207" i="1"/>
  <c r="H591" i="1"/>
  <c r="H1203" i="1"/>
  <c r="H1502" i="1"/>
  <c r="H227" i="1"/>
  <c r="H1205" i="1"/>
  <c r="H1237" i="1"/>
  <c r="H459" i="1"/>
  <c r="H6" i="1"/>
  <c r="H1289" i="1"/>
  <c r="H1097" i="1"/>
  <c r="H428" i="1"/>
  <c r="H804" i="1"/>
  <c r="H1363" i="1"/>
  <c r="H803" i="1"/>
  <c r="H838" i="1"/>
  <c r="H594" i="1"/>
  <c r="H752" i="1"/>
  <c r="H770" i="1"/>
  <c r="H1679" i="1"/>
  <c r="H763" i="1"/>
  <c r="H1223" i="1"/>
  <c r="H1719" i="1"/>
  <c r="H1634" i="1"/>
  <c r="H1668" i="1"/>
  <c r="H628" i="1"/>
  <c r="H1238" i="1"/>
  <c r="H57" i="1"/>
  <c r="H1637" i="1"/>
  <c r="H1287" i="1"/>
  <c r="H127" i="1"/>
  <c r="H1688" i="1"/>
  <c r="H687" i="1"/>
  <c r="H765" i="1"/>
  <c r="H422" i="1"/>
  <c r="H1101" i="1"/>
  <c r="H1012" i="1"/>
  <c r="H1095" i="1"/>
  <c r="H35" i="1"/>
  <c r="H541" i="1"/>
  <c r="H1013" i="1"/>
  <c r="H1010" i="1"/>
  <c r="H924" i="1"/>
  <c r="H688" i="1"/>
  <c r="H1285" i="1"/>
  <c r="H1008" i="1"/>
  <c r="H248" i="1"/>
  <c r="H1603" i="1"/>
  <c r="H764" i="1"/>
  <c r="H821" i="1"/>
  <c r="H53" i="1"/>
  <c r="H1208" i="1"/>
  <c r="H630" i="1"/>
  <c r="H253" i="1"/>
  <c r="H900" i="1"/>
  <c r="H1139" i="1"/>
  <c r="H885" i="1"/>
  <c r="H1229" i="1"/>
  <c r="H1076" i="1"/>
  <c r="H436" i="1"/>
  <c r="H1523" i="1"/>
  <c r="H851" i="1"/>
  <c r="H1220" i="1"/>
  <c r="H480" i="1"/>
  <c r="H1416" i="1"/>
  <c r="H925" i="1"/>
  <c r="H996" i="1"/>
  <c r="H1664" i="1"/>
  <c r="H890" i="1"/>
  <c r="H1365" i="1"/>
  <c r="H1425" i="1"/>
  <c r="H71" i="1"/>
  <c r="H494" i="1"/>
  <c r="H1152" i="1"/>
  <c r="H20" i="1"/>
  <c r="H1700" i="1"/>
  <c r="H1233" i="1"/>
  <c r="H320" i="1"/>
  <c r="H1202" i="1"/>
  <c r="H686" i="1"/>
  <c r="H881" i="1"/>
  <c r="H358" i="1"/>
  <c r="H1181" i="1"/>
  <c r="H1353" i="1"/>
  <c r="H1422" i="1"/>
  <c r="H1710" i="1"/>
  <c r="H1209" i="1"/>
  <c r="H1234" i="1"/>
  <c r="H1703" i="1"/>
  <c r="H1350" i="1"/>
  <c r="H722" i="1"/>
  <c r="H1711" i="1"/>
  <c r="H230" i="1"/>
  <c r="H682" i="1"/>
  <c r="H222" i="1"/>
  <c r="H220" i="1"/>
  <c r="H864" i="1"/>
  <c r="H709" i="1"/>
  <c r="H710" i="1"/>
  <c r="H654" i="1"/>
  <c r="H1316" i="1"/>
  <c r="H1439" i="1"/>
  <c r="H83" i="1"/>
  <c r="H1323" i="1"/>
  <c r="H638" i="1"/>
  <c r="H1081" i="1"/>
  <c r="H771" i="1"/>
  <c r="H639" i="1"/>
  <c r="H23" i="1"/>
  <c r="H186" i="1"/>
  <c r="H181" i="1"/>
  <c r="H493" i="1"/>
  <c r="H1303" i="1"/>
  <c r="H255" i="1"/>
  <c r="H1224" i="1"/>
  <c r="H497" i="1"/>
  <c r="H1457" i="1"/>
  <c r="H576" i="1"/>
  <c r="H1295" i="1"/>
  <c r="H1054" i="1"/>
  <c r="H189" i="1"/>
  <c r="H1407" i="1"/>
  <c r="H1605" i="1"/>
  <c r="H424" i="1"/>
  <c r="H1492" i="1"/>
  <c r="H286" i="1"/>
  <c r="H853" i="1"/>
  <c r="H1624" i="1"/>
  <c r="H92" i="1"/>
  <c r="H907" i="1"/>
  <c r="H446" i="1"/>
  <c r="H429" i="1"/>
  <c r="H1702" i="1"/>
  <c r="H908" i="1"/>
  <c r="H188" i="1"/>
  <c r="H1322" i="1"/>
  <c r="H187" i="1"/>
  <c r="H1393" i="1"/>
  <c r="H1522" i="1"/>
  <c r="H251" i="1"/>
  <c r="H1302" i="1"/>
  <c r="H14" i="1"/>
  <c r="H430" i="1"/>
  <c r="H463" i="1"/>
  <c r="H909" i="1"/>
  <c r="H1305" i="1"/>
  <c r="H655" i="1"/>
  <c r="H778" i="1"/>
  <c r="H185" i="1"/>
  <c r="H1225" i="1"/>
  <c r="H1256" i="1"/>
  <c r="H1309" i="1"/>
  <c r="H595" i="1"/>
  <c r="H814" i="1"/>
  <c r="H29" i="1"/>
  <c r="H1601" i="1"/>
  <c r="H112" i="1"/>
  <c r="H968" i="1"/>
  <c r="H5" i="1"/>
  <c r="H451" i="1"/>
  <c r="H901" i="1"/>
  <c r="H1651" i="1"/>
  <c r="H895" i="1"/>
  <c r="H1120" i="1"/>
  <c r="H661" i="1"/>
  <c r="H9" i="1"/>
  <c r="H1681" i="1"/>
  <c r="H1659" i="1"/>
  <c r="H1650" i="1"/>
  <c r="H1464" i="1"/>
  <c r="H1308" i="1"/>
  <c r="H1340" i="1"/>
  <c r="H106" i="1"/>
  <c r="H1125" i="1"/>
  <c r="H1154" i="1"/>
  <c r="H1385" i="1"/>
  <c r="H1161" i="1"/>
  <c r="H1608" i="1"/>
  <c r="H937" i="1"/>
  <c r="H1412" i="1"/>
  <c r="H1510" i="1"/>
  <c r="H1450" i="1"/>
  <c r="H535" i="1"/>
  <c r="H1111" i="1"/>
  <c r="H1159" i="1"/>
  <c r="H1641" i="1"/>
  <c r="H1410" i="1"/>
  <c r="H1406" i="1"/>
  <c r="H750" i="1"/>
  <c r="H874" i="1"/>
  <c r="H242" i="1"/>
  <c r="H90" i="1"/>
  <c r="H534" i="1"/>
  <c r="H487" i="1"/>
  <c r="H98" i="1"/>
  <c r="H870" i="1"/>
  <c r="H448" i="1"/>
  <c r="H484" i="1"/>
  <c r="H865" i="1"/>
  <c r="H102" i="1"/>
  <c r="H183" i="1"/>
  <c r="H1128" i="1"/>
  <c r="H1297" i="1"/>
  <c r="H488" i="1"/>
  <c r="H1467" i="1"/>
  <c r="H1471" i="1"/>
  <c r="H111" i="1"/>
  <c r="H95" i="1"/>
  <c r="H1463" i="1"/>
  <c r="H976" i="1"/>
  <c r="H1487" i="1"/>
  <c r="H1689" i="1"/>
  <c r="H1106" i="1"/>
  <c r="H820" i="1"/>
  <c r="H700" i="1"/>
  <c r="H110" i="1"/>
  <c r="H939" i="1"/>
  <c r="H935" i="1"/>
  <c r="H904" i="1"/>
  <c r="H1441" i="1"/>
  <c r="H387" i="1"/>
  <c r="H78" i="1"/>
  <c r="H1248" i="1"/>
  <c r="H869" i="1"/>
  <c r="H13" i="1"/>
  <c r="H737" i="1"/>
  <c r="H1126" i="1"/>
  <c r="H81" i="1"/>
  <c r="H790" i="1"/>
  <c r="H1162" i="1"/>
  <c r="H1131" i="1"/>
  <c r="H540" i="1"/>
  <c r="H1440" i="1"/>
  <c r="H922" i="1"/>
  <c r="H1284" i="1"/>
  <c r="H539" i="1"/>
  <c r="H1486" i="1"/>
  <c r="H1404" i="1"/>
  <c r="H1264" i="1"/>
  <c r="H1428" i="1"/>
  <c r="H265" i="1"/>
  <c r="H1720" i="1"/>
  <c r="H1124" i="1"/>
  <c r="H1455" i="1"/>
  <c r="H598" i="1"/>
  <c r="H667" i="1"/>
  <c r="H1599" i="1"/>
  <c r="H657" i="1"/>
  <c r="H609" i="1"/>
  <c r="H583" i="1"/>
  <c r="H1691" i="1"/>
  <c r="H658" i="1"/>
  <c r="H597" i="1"/>
  <c r="H1141" i="1"/>
  <c r="H1585" i="1"/>
  <c r="H1333" i="1"/>
  <c r="H1485" i="1"/>
  <c r="H1021" i="1"/>
  <c r="H1026" i="1"/>
  <c r="H449" i="1"/>
  <c r="H889" i="1"/>
  <c r="H1182" i="1"/>
  <c r="H1580" i="1"/>
  <c r="H1721" i="1"/>
  <c r="H586" i="1"/>
  <c r="H1581" i="1"/>
  <c r="H450" i="1"/>
  <c r="H1582" i="1"/>
  <c r="H1148" i="1"/>
  <c r="H599" i="1"/>
  <c r="H1583" i="1"/>
  <c r="H588" i="1"/>
  <c r="H1024" i="1"/>
  <c r="H569" i="1"/>
  <c r="H1557" i="1"/>
  <c r="H1398" i="1"/>
  <c r="H965" i="1"/>
  <c r="H522" i="1"/>
  <c r="H1436" i="1"/>
  <c r="H123" i="1"/>
  <c r="H444" i="1"/>
  <c r="H1300" i="1"/>
  <c r="H205" i="1"/>
  <c r="H1366" i="1"/>
  <c r="H1660" i="1"/>
  <c r="H1271" i="1"/>
  <c r="H453" i="1"/>
  <c r="H1434" i="1"/>
  <c r="H1023" i="1"/>
  <c r="H96" i="1"/>
  <c r="H274" i="1"/>
  <c r="H656" i="1"/>
  <c r="H611" i="1"/>
  <c r="H823" i="1"/>
  <c r="H1516" i="1"/>
  <c r="H1461" i="1"/>
  <c r="H252" i="1"/>
  <c r="H866" i="1"/>
  <c r="H1518" i="1"/>
  <c r="H351" i="1"/>
  <c r="H1145" i="1"/>
  <c r="H159" i="1"/>
  <c r="H741" i="1"/>
  <c r="H508" i="1"/>
  <c r="H1022" i="1"/>
  <c r="H1282" i="1"/>
  <c r="H1676" i="1"/>
  <c r="H950" i="1"/>
  <c r="H87" i="1"/>
  <c r="H190" i="1"/>
  <c r="H145" i="1"/>
  <c r="H1511" i="1"/>
  <c r="H1480" i="1"/>
  <c r="H295" i="1"/>
  <c r="H1171" i="1"/>
  <c r="H1483" i="1"/>
  <c r="H174" i="1"/>
  <c r="H161" i="1"/>
  <c r="H64" i="1"/>
  <c r="H1673" i="1"/>
  <c r="H17" i="1"/>
  <c r="H1686" i="1"/>
  <c r="H1566" i="1"/>
  <c r="H1559" i="1"/>
  <c r="H689" i="1"/>
  <c r="H520" i="1"/>
  <c r="H116" i="1"/>
  <c r="H336" i="1"/>
  <c r="H121" i="1"/>
  <c r="H519" i="1"/>
  <c r="H751" i="1"/>
  <c r="H486" i="1"/>
  <c r="H1512" i="1"/>
  <c r="H1515" i="1"/>
  <c r="H108" i="1"/>
  <c r="H744" i="1"/>
  <c r="H207" i="1"/>
  <c r="H389" i="1"/>
  <c r="H1489" i="1"/>
  <c r="H1554" i="1"/>
  <c r="H546" i="1"/>
  <c r="H386" i="1"/>
  <c r="H388" i="1"/>
  <c r="H1130" i="1"/>
  <c r="H1474" i="1"/>
  <c r="H1086" i="1"/>
  <c r="H553" i="1"/>
  <c r="H509" i="1"/>
  <c r="H191" i="1"/>
  <c r="H610" i="1"/>
  <c r="H54" i="1"/>
  <c r="H290" i="1"/>
  <c r="H894" i="1"/>
  <c r="H702" i="1"/>
  <c r="H565" i="1"/>
  <c r="H712" i="1"/>
  <c r="H544" i="1"/>
  <c r="H360" i="1"/>
  <c r="H613" i="1"/>
  <c r="H938" i="1"/>
  <c r="H1643" i="1"/>
  <c r="H646" i="1"/>
  <c r="H1375" i="1"/>
  <c r="H1374" i="1"/>
  <c r="H1160" i="1"/>
  <c r="H826" i="1"/>
  <c r="H1122" i="1"/>
  <c r="H584" i="1"/>
  <c r="H1371" i="1"/>
  <c r="H10" i="1"/>
  <c r="H1187" i="1"/>
  <c r="H815" i="1"/>
  <c r="H967" i="1"/>
  <c r="H1172" i="1"/>
  <c r="H701" i="1"/>
  <c r="H401" i="1"/>
  <c r="H16" i="1"/>
  <c r="H835" i="1"/>
  <c r="H957" i="1"/>
  <c r="H1198" i="1"/>
  <c r="H523" i="1"/>
  <c r="H914" i="1"/>
  <c r="H563" i="1"/>
  <c r="H367" i="1"/>
  <c r="H529" i="1"/>
  <c r="H1044" i="1"/>
  <c r="H1459" i="1"/>
  <c r="H517" i="1"/>
  <c r="H1498" i="1"/>
  <c r="H1445" i="1"/>
  <c r="H1170" i="1"/>
  <c r="H1419" i="1"/>
  <c r="H625" i="1"/>
  <c r="H169" i="1"/>
  <c r="H871" i="1"/>
  <c r="H964" i="1"/>
  <c r="H1426" i="1"/>
  <c r="H333" i="1"/>
  <c r="H219" i="1"/>
  <c r="H22" i="1"/>
  <c r="H1221" i="1"/>
  <c r="H432" i="1"/>
  <c r="H15" i="1"/>
  <c r="H827" i="1"/>
  <c r="H291" i="1"/>
  <c r="H1196" i="1"/>
  <c r="H753" i="1"/>
  <c r="H1706" i="1"/>
  <c r="H1247" i="1"/>
  <c r="H206" i="1"/>
  <c r="H492" i="1"/>
  <c r="H1201" i="1"/>
  <c r="H325" i="1"/>
  <c r="H1213" i="1"/>
  <c r="H21" i="1"/>
  <c r="H1230" i="1"/>
  <c r="H500" i="1"/>
  <c r="H1060" i="1"/>
  <c r="H1069" i="1"/>
  <c r="H1040" i="1"/>
  <c r="H629" i="1"/>
  <c r="H543" i="1"/>
  <c r="H696" i="1"/>
  <c r="H1038" i="1"/>
  <c r="H370" i="1"/>
  <c r="H180" i="1"/>
  <c r="H1670" i="1"/>
  <c r="H250" i="1"/>
  <c r="H929" i="1"/>
  <c r="H590" i="1"/>
  <c r="H1632" i="1"/>
  <c r="H184" i="1"/>
  <c r="H882" i="1"/>
  <c r="H1387" i="1"/>
  <c r="H926" i="1"/>
  <c r="H506" i="1"/>
  <c r="H403" i="1"/>
  <c r="H714" i="1"/>
  <c r="H1075" i="1"/>
  <c r="H155" i="1"/>
  <c r="H1317" i="1"/>
  <c r="H1036" i="1"/>
  <c r="H810" i="1"/>
  <c r="H1453" i="1"/>
  <c r="H1722" i="1"/>
  <c r="H966" i="1"/>
  <c r="H1244" i="1"/>
  <c r="H665" i="1"/>
  <c r="H879" i="1"/>
  <c r="H260" i="1"/>
  <c r="H910" i="1"/>
  <c r="H372" i="1"/>
  <c r="H1543" i="1"/>
  <c r="H1444" i="1"/>
  <c r="H705" i="1"/>
  <c r="H1138" i="1"/>
  <c r="H225" i="1"/>
  <c r="H777" i="1"/>
  <c r="H284" i="1"/>
  <c r="H1014" i="1"/>
  <c r="H1555" i="1"/>
  <c r="H501" i="1"/>
  <c r="H1715" i="1"/>
  <c r="H1197" i="1"/>
  <c r="H1002" i="1"/>
  <c r="H1456" i="1"/>
  <c r="H397" i="1"/>
  <c r="H418" i="1"/>
  <c r="H825" i="1"/>
  <c r="H296" i="1"/>
  <c r="H271" i="1"/>
  <c r="H1635" i="1"/>
  <c r="H693" i="1"/>
  <c r="H1458" i="1"/>
  <c r="H730" i="1"/>
  <c r="H489" i="1"/>
  <c r="H1177" i="1"/>
  <c r="H1546" i="1"/>
  <c r="H1361" i="1"/>
  <c r="H916" i="1"/>
  <c r="H547" i="1"/>
  <c r="H1298" i="1"/>
  <c r="H1342" i="1"/>
  <c r="H1049" i="1"/>
  <c r="H1388" i="1"/>
  <c r="H1339" i="1"/>
  <c r="H728" i="1"/>
  <c r="H558" i="1"/>
  <c r="H1011" i="1"/>
  <c r="H1191" i="1"/>
  <c r="H1381" i="1"/>
  <c r="H1192" i="1"/>
  <c r="H1156" i="1"/>
  <c r="H1517" i="1"/>
  <c r="H1062" i="1"/>
  <c r="H415" i="1"/>
  <c r="H1033" i="1"/>
  <c r="H462" i="1"/>
  <c r="H1538" i="1"/>
  <c r="H1067" i="1"/>
  <c r="H742" i="1"/>
  <c r="H1163" i="1"/>
  <c r="H531" i="1"/>
  <c r="H888" i="1"/>
  <c r="H86" i="1"/>
  <c r="H33" i="1"/>
  <c r="H1029" i="1"/>
  <c r="H76" i="1"/>
  <c r="H341" i="1"/>
  <c r="H1490" i="1"/>
  <c r="H883" i="1"/>
  <c r="H552" i="1"/>
  <c r="H1028" i="1"/>
  <c r="H1016" i="1"/>
  <c r="H984" i="1"/>
  <c r="H997" i="1"/>
  <c r="H784" i="1"/>
  <c r="H1188" i="1"/>
  <c r="H443" i="1"/>
  <c r="H1004" i="1"/>
  <c r="H1397" i="1"/>
  <c r="H1448" i="1"/>
  <c r="H828" i="1"/>
  <c r="H1343" i="1"/>
  <c r="H79" i="1"/>
  <c r="H101" i="1"/>
  <c r="H769" i="1"/>
  <c r="H1447" i="1"/>
  <c r="H502" i="1"/>
  <c r="H1127" i="1"/>
  <c r="H1301" i="1"/>
  <c r="H60" i="1"/>
  <c r="H1652" i="1"/>
  <c r="H733" i="1"/>
  <c r="H398" i="1"/>
  <c r="H1183" i="1"/>
  <c r="H399" i="1"/>
  <c r="H1612" i="1"/>
  <c r="H1073" i="1"/>
  <c r="H1695" i="1"/>
  <c r="H1274" i="1"/>
  <c r="H400" i="1"/>
  <c r="H1529" i="1"/>
  <c r="H1165" i="1"/>
  <c r="H955" i="1"/>
  <c r="H715" i="1"/>
  <c r="H38" i="1"/>
  <c r="H1166" i="1"/>
  <c r="H1629" i="1"/>
  <c r="H1199" i="1"/>
  <c r="H1275" i="1"/>
  <c r="H934" i="1"/>
  <c r="H1167" i="1"/>
  <c r="H1626" i="1"/>
  <c r="H731" i="1"/>
  <c r="H617" i="1"/>
  <c r="H1403" i="1"/>
  <c r="H420" i="1"/>
  <c r="H564" i="1"/>
  <c r="H645" i="1"/>
  <c r="H1623" i="1"/>
  <c r="H567" i="1"/>
  <c r="H80" i="1"/>
  <c r="H503" i="1"/>
  <c r="H340" i="1"/>
  <c r="H953" i="1"/>
  <c r="H378" i="1"/>
  <c r="H1357" i="1"/>
  <c r="H538" i="1"/>
  <c r="H406" i="1"/>
  <c r="H637" i="1"/>
  <c r="H1373" i="1"/>
  <c r="H1519" i="1"/>
  <c r="H482" i="1"/>
  <c r="H1364" i="1"/>
  <c r="H736" i="1"/>
  <c r="H994" i="1"/>
  <c r="H1530" i="1"/>
  <c r="H1048" i="1"/>
  <c r="H1020" i="1"/>
  <c r="H1019" i="1"/>
  <c r="H992" i="1"/>
  <c r="H1391" i="1"/>
  <c r="H1562" i="1"/>
  <c r="H1180" i="1"/>
  <c r="H1195" i="1"/>
  <c r="H1358" i="1"/>
  <c r="H1240" i="1"/>
  <c r="H314" i="1"/>
  <c r="H1574" i="1"/>
  <c r="H1241" i="1"/>
  <c r="H699" i="1"/>
  <c r="H118" i="1"/>
  <c r="H1563" i="1"/>
  <c r="H319" i="1"/>
  <c r="H692" i="1"/>
  <c r="H690" i="1"/>
  <c r="H342" i="1"/>
  <c r="H831" i="1"/>
  <c r="H337" i="1"/>
  <c r="H115" i="1"/>
  <c r="H140" i="1"/>
  <c r="H1194" i="1"/>
  <c r="H775" i="1"/>
  <c r="H1420" i="1"/>
  <c r="H138" i="1"/>
  <c r="H82" i="1"/>
  <c r="H990" i="1"/>
  <c r="H691" i="1"/>
  <c r="H162" i="1"/>
  <c r="H74" i="1"/>
  <c r="H675" i="1"/>
  <c r="H1716" i="1"/>
  <c r="H75" i="1"/>
  <c r="H328" i="1"/>
  <c r="H1662" i="1"/>
  <c r="H67" i="1"/>
  <c r="H172" i="1"/>
  <c r="H1552" i="1"/>
  <c r="H156" i="1"/>
  <c r="H932" i="1"/>
  <c r="H1684" i="1"/>
  <c r="H1690" i="1"/>
  <c r="H1505" i="1"/>
  <c r="H182" i="1"/>
  <c r="H1137" i="1"/>
  <c r="H1088" i="1"/>
  <c r="H478" i="1"/>
  <c r="H1338" i="1"/>
  <c r="H193" i="1"/>
  <c r="H561" i="1"/>
  <c r="H153" i="1"/>
  <c r="H236" i="1"/>
  <c r="H329" i="1"/>
  <c r="H524" i="1"/>
  <c r="H780" i="1"/>
  <c r="H261" i="1"/>
  <c r="H1466" i="1"/>
  <c r="H698" i="1"/>
  <c r="H1671" i="1"/>
  <c r="H1669" i="1"/>
  <c r="H880" i="1"/>
  <c r="H1061" i="1"/>
  <c r="H1193" i="1"/>
  <c r="H1526" i="1"/>
  <c r="H210" i="1"/>
  <c r="H972" i="1"/>
  <c r="H1672" i="1"/>
  <c r="H1548" i="1"/>
  <c r="H1306" i="1"/>
  <c r="H232" i="1"/>
  <c r="H447" i="1"/>
  <c r="H1226" i="1"/>
  <c r="H545" i="1"/>
  <c r="H2" i="1"/>
  <c r="H580" i="1"/>
  <c r="H404" i="1"/>
  <c r="H1232" i="1"/>
  <c r="H995" i="1"/>
  <c r="H278" i="1"/>
  <c r="H858" i="1"/>
  <c r="H139" i="1"/>
  <c r="H1356" i="1"/>
  <c r="H1185" i="1"/>
  <c r="H299" i="1"/>
  <c r="H368" i="1"/>
  <c r="H1697" i="1"/>
  <c r="H1319" i="1"/>
  <c r="H847" i="1"/>
  <c r="H89" i="1"/>
  <c r="H1288" i="1"/>
  <c r="H1212" i="1"/>
  <c r="H1110" i="1"/>
  <c r="H1280" i="1"/>
  <c r="H334" i="1"/>
  <c r="H1332" i="1"/>
  <c r="H1084" i="1"/>
  <c r="H1279" i="1"/>
  <c r="H135" i="1"/>
  <c r="H1334" i="1"/>
  <c r="H568" i="1"/>
  <c r="H1321" i="1"/>
  <c r="H1479" i="1"/>
  <c r="H695" i="1"/>
  <c r="H734" i="1"/>
  <c r="H46" i="1"/>
  <c r="H1189" i="1"/>
  <c r="H1640" i="1"/>
  <c r="H1173" i="1"/>
  <c r="H1341" i="1"/>
  <c r="H1592" i="1"/>
  <c r="H228" i="1"/>
  <c r="H233" i="1"/>
  <c r="H1572" i="1"/>
  <c r="H247" i="1"/>
  <c r="H275" i="1"/>
  <c r="H19" i="1"/>
  <c r="H551" i="1"/>
  <c r="H93" i="1"/>
  <c r="H945" i="1"/>
  <c r="H704" i="1"/>
  <c r="H1178" i="1"/>
  <c r="H848" i="1"/>
  <c r="H164" i="1"/>
  <c r="H811" i="1"/>
  <c r="H536" i="1"/>
  <c r="H1553" i="1"/>
  <c r="H1648" i="1"/>
  <c r="H1504" i="1"/>
  <c r="H213" i="1"/>
  <c r="H817" i="1"/>
  <c r="H596" i="1"/>
  <c r="H1473" i="1"/>
  <c r="H1654" i="1"/>
  <c r="H192" i="1"/>
  <c r="H1726" i="1"/>
  <c r="H41" i="1"/>
  <c r="H1727" i="1"/>
  <c r="H1707" i="1"/>
  <c r="H1527" i="1"/>
  <c r="H1251" i="1"/>
  <c r="H1694" i="1"/>
  <c r="H973" i="1"/>
  <c r="H915" i="1"/>
  <c r="H216" i="1"/>
  <c r="H37" i="1"/>
  <c r="H263" i="1"/>
  <c r="H621" i="1"/>
  <c r="H542" i="1"/>
  <c r="H1484" i="1"/>
  <c r="H48" i="1"/>
  <c r="H1544" i="1"/>
  <c r="H1105" i="1"/>
  <c r="H1528" i="1"/>
  <c r="H202" i="1"/>
  <c r="H1335" i="1"/>
  <c r="H1617" i="1"/>
  <c r="H1243" i="1"/>
  <c r="H1704" i="1"/>
  <c r="H1155" i="1"/>
  <c r="H198" i="1"/>
  <c r="H756" i="1"/>
  <c r="H1158" i="1"/>
  <c r="H179" i="1"/>
  <c r="H1708" i="1"/>
  <c r="H946" i="1"/>
  <c r="H1488" i="1"/>
  <c r="H414" i="1"/>
  <c r="H676" i="1"/>
  <c r="H43" i="1"/>
  <c r="H842" i="1"/>
  <c r="H641" i="1"/>
  <c r="H160" i="1"/>
  <c r="H411" i="1"/>
  <c r="H168" i="1"/>
  <c r="H1346" i="1"/>
  <c r="H1179" i="1"/>
  <c r="H991" i="1"/>
  <c r="H1491" i="1"/>
  <c r="H1578" i="1"/>
  <c r="H1549" i="1"/>
  <c r="H822" i="1"/>
  <c r="H347" i="1"/>
  <c r="H1687" i="1"/>
  <c r="H1119" i="1"/>
  <c r="H109" i="1"/>
  <c r="H343" i="1"/>
  <c r="H425" i="1"/>
  <c r="H560" i="1"/>
  <c r="H1310" i="1"/>
  <c r="H794" i="1"/>
  <c r="H1564" i="1"/>
  <c r="H685" i="1"/>
  <c r="H678" i="1"/>
  <c r="H1059" i="1"/>
  <c r="H1657" i="1"/>
  <c r="H1072" i="1"/>
  <c r="H884" i="1"/>
  <c r="H171" i="1"/>
  <c r="H1389" i="1"/>
  <c r="H767" i="1"/>
  <c r="H739" i="1"/>
  <c r="H105" i="1"/>
  <c r="H859" i="1"/>
  <c r="H1411" i="1"/>
  <c r="H1424" i="1"/>
  <c r="H321" i="1"/>
  <c r="H1326" i="1"/>
  <c r="H1104" i="1"/>
  <c r="H1277" i="1"/>
  <c r="H1313" i="1"/>
  <c r="H1051" i="1"/>
  <c r="H300" i="1"/>
  <c r="H298" i="1"/>
  <c r="H768" i="1"/>
  <c r="H921" i="1"/>
  <c r="H761" i="1"/>
  <c r="H941" i="1"/>
  <c r="H1312" i="1"/>
  <c r="H622" i="1"/>
  <c r="H1296" i="1"/>
  <c r="H326" i="1"/>
  <c r="H1380" i="1"/>
  <c r="H1653" i="1"/>
  <c r="H1405" i="1"/>
  <c r="H158" i="1"/>
  <c r="H983" i="1"/>
  <c r="H374" i="1"/>
  <c r="H194" i="1"/>
  <c r="H1586" i="1"/>
  <c r="H511" i="1"/>
  <c r="H199" i="1"/>
  <c r="H392" i="1"/>
  <c r="H442" i="1"/>
  <c r="H195" i="1"/>
  <c r="H1331" i="1"/>
  <c r="H981" i="1"/>
  <c r="H152" i="1"/>
  <c r="H1431" i="1"/>
  <c r="H982" i="1"/>
  <c r="H1400" i="1"/>
  <c r="H132" i="1"/>
  <c r="H97" i="1"/>
  <c r="H287" i="1"/>
  <c r="H1507" i="1"/>
  <c r="H1102" i="1"/>
  <c r="H147" i="1"/>
  <c r="H85" i="1"/>
  <c r="H856" i="1"/>
  <c r="H36" i="1"/>
  <c r="H846" i="1"/>
  <c r="H1320" i="1"/>
  <c r="H1680" i="1"/>
  <c r="H951" i="1"/>
  <c r="H1542" i="1"/>
  <c r="H516" i="1"/>
  <c r="H1717" i="1"/>
  <c r="H470" i="1"/>
  <c r="H483" i="1"/>
  <c r="H1254" i="1"/>
  <c r="H1253" i="1"/>
  <c r="H268" i="1"/>
  <c r="H512" i="1"/>
  <c r="H167" i="1"/>
  <c r="H1273" i="1"/>
  <c r="H766" i="1"/>
  <c r="H1560" i="1"/>
  <c r="H461" i="1"/>
  <c r="H458" i="1"/>
  <c r="H716" i="1"/>
  <c r="H471" i="1"/>
  <c r="H455" i="1"/>
  <c r="H1501" i="1"/>
  <c r="H1569" i="1"/>
  <c r="H1379" i="1"/>
  <c r="H456" i="1"/>
  <c r="H1567" i="1"/>
  <c r="H122" i="1"/>
  <c r="H818" i="1"/>
  <c r="H1376" i="1"/>
  <c r="H1725" i="1"/>
  <c r="H1053" i="1"/>
  <c r="H793" i="1"/>
  <c r="H144" i="1"/>
  <c r="H1675" i="1"/>
  <c r="H677" i="1"/>
  <c r="H683" i="1"/>
  <c r="H441" i="1"/>
  <c r="H513" i="1"/>
  <c r="H146" i="1"/>
  <c r="H353" i="1"/>
  <c r="H1642" i="1"/>
  <c r="H491" i="1"/>
  <c r="H1482" i="1"/>
  <c r="H433" i="1"/>
  <c r="H1496" i="1"/>
  <c r="H355" i="1"/>
  <c r="H4" i="1"/>
  <c r="H1157" i="1"/>
  <c r="H1568" i="1"/>
  <c r="H25" i="1"/>
  <c r="H1047" i="1"/>
  <c r="H114" i="1"/>
  <c r="H68" i="1"/>
  <c r="H1468" i="1"/>
  <c r="H350" i="1"/>
  <c r="H931" i="1"/>
  <c r="H1415" i="1"/>
  <c r="H1360" i="1"/>
  <c r="H1493" i="1"/>
  <c r="H1083" i="1"/>
  <c r="H55" i="1"/>
  <c r="H573" i="1"/>
  <c r="H781" i="1"/>
  <c r="H1663" i="1"/>
  <c r="H12" i="1"/>
  <c r="H151" i="1"/>
  <c r="H747" i="1"/>
  <c r="H1537" i="1"/>
  <c r="H1621" i="1"/>
  <c r="H437" i="1"/>
  <c r="H1362" i="1"/>
  <c r="H703" i="1"/>
  <c r="H1046" i="1"/>
  <c r="H1606" i="1"/>
  <c r="H627" i="1"/>
  <c r="H1607" i="1"/>
  <c r="H1576" i="1"/>
  <c r="H711" i="1"/>
  <c r="H439" i="1"/>
  <c r="H257" i="1"/>
  <c r="H787" i="1"/>
  <c r="H877" i="1"/>
  <c r="H1636" i="1"/>
  <c r="H1399" i="1"/>
  <c r="H379" i="1"/>
  <c r="H673" i="1"/>
  <c r="H1627" i="1"/>
  <c r="H276" i="1"/>
  <c r="H149" i="1"/>
  <c r="H634" i="1"/>
  <c r="H465" i="1"/>
  <c r="H624" i="1"/>
  <c r="H782" i="1"/>
  <c r="H134" i="1"/>
  <c r="H445" i="1"/>
  <c r="H706" i="1"/>
  <c r="H1446" i="1"/>
  <c r="H697" i="1"/>
  <c r="H1524" i="1"/>
  <c r="H279" i="1"/>
  <c r="H772" i="1"/>
  <c r="H1698" i="1"/>
  <c r="H364" i="1"/>
  <c r="H1565" i="1"/>
  <c r="H1573" i="1"/>
  <c r="H632" i="1"/>
  <c r="H1418" i="1"/>
  <c r="H633" i="1"/>
  <c r="H796" i="1"/>
  <c r="H1610" i="1"/>
  <c r="H490" i="1"/>
  <c r="H956" i="1"/>
  <c r="H66" i="1"/>
  <c r="H1432" i="1"/>
  <c r="H1329" i="1"/>
  <c r="H944" i="1"/>
  <c r="H1096" i="1"/>
  <c r="H1392" i="1"/>
  <c r="H1315" i="1"/>
  <c r="H1481" i="1"/>
  <c r="H708" i="1"/>
  <c r="H130" i="1"/>
  <c r="H947" i="1"/>
  <c r="H943" i="1"/>
  <c r="H626" i="1"/>
  <c r="H1063" i="1"/>
  <c r="H1435" i="1"/>
  <c r="H1604" i="1"/>
  <c r="H791" i="1"/>
  <c r="H799" i="1"/>
  <c r="H1438" i="1"/>
  <c r="H1099" i="1"/>
  <c r="H1114" i="1"/>
  <c r="H302" i="1"/>
  <c r="H51" i="1"/>
  <c r="H533" i="1"/>
  <c r="H1281" i="1"/>
  <c r="H608" i="1"/>
  <c r="H971" i="1"/>
  <c r="H1025" i="1"/>
  <c r="H339" i="1"/>
  <c r="H335" i="1"/>
  <c r="H867" i="1"/>
  <c r="H1276" i="1"/>
  <c r="H249" i="1"/>
  <c r="H113" i="1"/>
  <c r="H970" i="1"/>
  <c r="H548" i="1"/>
  <c r="H1005" i="1"/>
  <c r="H1034" i="1"/>
  <c r="H1113" i="1"/>
  <c r="H1370" i="1"/>
  <c r="H384" i="1"/>
  <c r="H157" i="1"/>
  <c r="H208" i="1"/>
  <c r="H1092" i="1"/>
  <c r="H163" i="1"/>
  <c r="H218" i="1"/>
  <c r="H100" i="1"/>
  <c r="H1372" i="1"/>
  <c r="H1674" i="1"/>
  <c r="H42" i="1"/>
  <c r="H1709" i="1"/>
  <c r="H600" i="1"/>
  <c r="H918" i="1"/>
  <c r="H369" i="1"/>
  <c r="H872" i="1"/>
  <c r="H1713" i="1"/>
  <c r="H1055" i="1"/>
  <c r="H178" i="1"/>
  <c r="H1478" i="1"/>
  <c r="H919" i="1"/>
  <c r="H1050" i="1"/>
  <c r="H1037" i="1"/>
  <c r="H1041" i="1"/>
  <c r="H47" i="1"/>
  <c r="H515" i="1"/>
  <c r="H1017" i="1"/>
  <c r="H499" i="1"/>
  <c r="H808" i="1"/>
  <c r="H1377" i="1"/>
  <c r="H521" i="1"/>
  <c r="H1472" i="1"/>
  <c r="H581" i="1"/>
  <c r="H1714" i="1"/>
  <c r="H1089" i="1"/>
  <c r="H1723" i="1"/>
  <c r="H1693" i="1"/>
  <c r="H557" i="1"/>
  <c r="H807" i="1"/>
  <c r="H672" i="1"/>
  <c r="H45" i="1"/>
  <c r="H1042" i="1"/>
  <c r="H315" i="1"/>
  <c r="H1712" i="1"/>
  <c r="H1477" i="1"/>
  <c r="H496" i="1"/>
  <c r="H679" i="1"/>
  <c r="H1109" i="1"/>
  <c r="H805" i="1"/>
  <c r="H1701" i="1"/>
  <c r="H245" i="1"/>
  <c r="H324" i="1"/>
  <c r="H660" i="1"/>
  <c r="H1009" i="1"/>
  <c r="H644" i="1"/>
  <c r="H786" i="1"/>
  <c r="H434" i="1"/>
  <c r="H365" i="1"/>
  <c r="H331" i="1"/>
  <c r="H293" i="1"/>
  <c r="H338" i="1"/>
  <c r="H363" i="1"/>
  <c r="H143" i="1"/>
  <c r="H903" i="1"/>
  <c r="H707" i="1"/>
  <c r="H640" i="1"/>
  <c r="H148" i="1"/>
  <c r="H1656" i="1"/>
  <c r="H681" i="1"/>
  <c r="H1149" i="1"/>
  <c r="H896" i="1"/>
  <c r="H912" i="1"/>
  <c r="H850" i="1"/>
  <c r="H469" i="1"/>
  <c r="H1613" i="1"/>
  <c r="H1625" i="1"/>
  <c r="H203" i="1"/>
  <c r="H1539" i="1"/>
  <c r="H653" i="1"/>
  <c r="H852" i="1"/>
  <c r="H727" i="1"/>
  <c r="H833" i="1"/>
  <c r="H3" i="1"/>
  <c r="H137" i="1"/>
  <c r="H408" i="1"/>
  <c r="H361" i="1"/>
  <c r="H684" i="1"/>
  <c r="H1123" i="1"/>
  <c r="H555" i="1"/>
  <c r="H476" i="1"/>
  <c r="H1531" i="1"/>
  <c r="H652" i="1"/>
  <c r="H680" i="1"/>
  <c r="H28" i="1"/>
  <c r="H1597" i="1"/>
  <c r="H1132" i="1"/>
  <c r="H1064" i="1"/>
  <c r="H623" i="1"/>
  <c r="H1150" i="1"/>
  <c r="H1369" i="1"/>
  <c r="H585" i="1"/>
  <c r="H133" i="1"/>
  <c r="H663" i="1"/>
  <c r="H1541" i="1"/>
  <c r="H1035" i="1"/>
  <c r="H1144" i="1"/>
  <c r="H1421" i="1"/>
  <c r="H1065" i="1"/>
  <c r="H1174" i="1"/>
  <c r="H927" i="1"/>
  <c r="H1077" i="1"/>
  <c r="H1587" i="1"/>
  <c r="H1078" i="1"/>
  <c r="H1176" i="1"/>
  <c r="H52" i="1"/>
  <c r="H1590" i="1"/>
  <c r="H1506" i="1"/>
  <c r="H892" i="1"/>
  <c r="H1186" i="1"/>
  <c r="H362" i="1"/>
  <c r="H303" i="1"/>
  <c r="H1595" i="1"/>
  <c r="H24" i="1"/>
  <c r="H1594" i="1"/>
  <c r="H1129" i="1"/>
  <c r="H1465" i="1"/>
  <c r="H1396" i="1"/>
  <c r="H317" i="1"/>
  <c r="H141" i="1"/>
  <c r="H1600" i="1"/>
  <c r="H1007" i="1"/>
  <c r="H604" i="1"/>
  <c r="H923" i="1"/>
  <c r="H177" i="1"/>
  <c r="H674" i="1"/>
  <c r="H1263" i="1"/>
  <c r="H154" i="1"/>
  <c r="H150" i="1"/>
  <c r="H58" i="1"/>
  <c r="H211" i="1"/>
  <c r="H906" i="1"/>
  <c r="H65" i="1"/>
  <c r="H589" i="1"/>
  <c r="H1056" i="1"/>
  <c r="H1499" i="1"/>
  <c r="H1057" i="1"/>
  <c r="H740" i="1"/>
  <c r="H999" i="1"/>
  <c r="H1437" i="1"/>
  <c r="H307" i="1"/>
  <c r="H1268" i="1"/>
  <c r="H1290" i="1"/>
  <c r="H1071" i="1"/>
  <c r="H280" i="1"/>
  <c r="H755" i="1"/>
  <c r="H304" i="1"/>
  <c r="H1058" i="1"/>
  <c r="H1184" i="1"/>
  <c r="H550" i="1"/>
  <c r="H344" i="1"/>
  <c r="H18" i="1"/>
  <c r="H1584" i="1"/>
  <c r="H310" i="1"/>
  <c r="H878" i="1"/>
  <c r="H460" i="1"/>
  <c r="H1699" i="1"/>
  <c r="H605" i="1"/>
  <c r="H345" i="1"/>
  <c r="H898" i="1"/>
  <c r="H239" i="1"/>
  <c r="H1052" i="1"/>
  <c r="H779" i="1"/>
  <c r="H1451" i="1"/>
  <c r="H1500" i="1"/>
  <c r="H1265" i="1"/>
  <c r="H659" i="1"/>
  <c r="H136" i="1"/>
  <c r="H554" i="1"/>
  <c r="H1628" i="1"/>
  <c r="H1168" i="1"/>
  <c r="H1000" i="1"/>
  <c r="H643" i="1"/>
  <c r="H1325" i="1"/>
  <c r="H575" i="1"/>
  <c r="H1018" i="1"/>
  <c r="H1633" i="1"/>
  <c r="H373" i="1"/>
  <c r="H1270" i="1"/>
  <c r="H327" i="1"/>
  <c r="H1015" i="1"/>
  <c r="H1449" i="1"/>
  <c r="H1395" i="1"/>
  <c r="H196" i="1"/>
  <c r="H1103" i="1"/>
  <c r="H312" i="1"/>
  <c r="H166" i="1"/>
  <c r="H1108" i="1"/>
  <c r="H348" i="1"/>
  <c r="H282" i="1"/>
  <c r="H377" i="1"/>
  <c r="H165" i="1"/>
  <c r="H917" i="1"/>
  <c r="H356" i="1"/>
  <c r="H264" i="1"/>
  <c r="H1609" i="1"/>
  <c r="H357" i="1"/>
  <c r="H1328" i="1"/>
  <c r="H718" i="1"/>
  <c r="H485" i="1"/>
  <c r="H720" i="1"/>
  <c r="H201" i="1"/>
  <c r="H229" i="1"/>
  <c r="H237" i="1"/>
  <c r="H843" i="1"/>
  <c r="H861" i="1"/>
  <c r="H1027" i="1"/>
  <c r="H1146" i="1"/>
  <c r="H226" i="1"/>
  <c r="H574" i="1"/>
  <c r="H1164" i="1"/>
  <c r="H606" i="1"/>
  <c r="H1074" i="1"/>
  <c r="H985" i="1"/>
  <c r="H587" i="1"/>
  <c r="H170" i="1"/>
  <c r="H773" i="1"/>
  <c r="H27" i="1"/>
  <c r="H305" i="1"/>
  <c r="H311" i="1"/>
  <c r="H1327" i="1"/>
  <c r="H197" i="1"/>
  <c r="H200" i="1"/>
  <c r="H631" i="1"/>
  <c r="H1262" i="1"/>
  <c r="H352" i="1"/>
  <c r="H1593" i="1"/>
  <c r="H1032" i="1"/>
  <c r="H457" i="1"/>
  <c r="H283" i="1"/>
  <c r="H1551" i="1"/>
  <c r="H217" i="1"/>
  <c r="H1383" i="1"/>
  <c r="H354" i="1"/>
  <c r="H504" i="1"/>
  <c r="H860" i="1"/>
  <c r="H530" i="1"/>
  <c r="H273" i="1"/>
  <c r="H1602" i="1"/>
  <c r="H1423" i="1"/>
  <c r="H1006" i="1"/>
  <c r="H532" i="1"/>
  <c r="H1521" i="1"/>
  <c r="H1378" i="1"/>
  <c r="H1336" i="1"/>
  <c r="H1147" i="1"/>
  <c r="H721" i="1"/>
  <c r="H1175" i="1"/>
  <c r="H893" i="1"/>
  <c r="H472" i="1"/>
  <c r="H952" i="1"/>
  <c r="H454" i="1"/>
  <c r="H1495" i="1"/>
  <c r="H297" i="1"/>
  <c r="H844" i="1"/>
  <c r="H1001" i="1"/>
  <c r="H56" i="1"/>
  <c r="H1658" i="1"/>
  <c r="H1394" i="1"/>
  <c r="H1151" i="1"/>
  <c r="H1068" i="1"/>
  <c r="H1622" i="1"/>
  <c r="H1596" i="1"/>
  <c r="H104" i="1"/>
  <c r="H349" i="1"/>
  <c r="H91" i="1"/>
  <c r="H142" i="1"/>
  <c r="H301" i="1"/>
  <c r="H635" i="1"/>
  <c r="H269" i="1"/>
  <c r="H1235" i="1"/>
  <c r="H40" i="1"/>
  <c r="H1272" i="1"/>
  <c r="H1318" i="1"/>
  <c r="H1443" i="1"/>
  <c r="H1031" i="1"/>
  <c r="H616" i="1"/>
  <c r="H1427" i="1"/>
  <c r="H619" i="1"/>
  <c r="H440" i="1"/>
  <c r="H836" i="1"/>
  <c r="H1039" i="1"/>
  <c r="H1616" i="1"/>
  <c r="H26" i="1"/>
  <c r="H1545" i="1"/>
  <c r="H829" i="1"/>
  <c r="H993" i="1"/>
  <c r="H1242" i="1"/>
  <c r="H582" i="1"/>
  <c r="H49" i="1"/>
  <c r="H1661" i="1"/>
  <c r="H50" i="1"/>
  <c r="H556" i="1"/>
  <c r="H468" i="1"/>
  <c r="H63" i="1"/>
  <c r="H1401" i="1"/>
  <c r="H1314" i="1"/>
  <c r="H1724" i="1"/>
  <c r="H1442" i="1"/>
  <c r="H788" i="1"/>
  <c r="H669" i="1"/>
  <c r="H800" i="1"/>
  <c r="H44" i="1"/>
  <c r="H783" i="1"/>
  <c r="H1030" i="1"/>
  <c r="H1070" i="1"/>
  <c r="H1311" i="1"/>
  <c r="H1535" i="1"/>
  <c r="H62" i="1"/>
  <c r="H1533" i="1"/>
  <c r="H1532" i="1"/>
  <c r="H474" i="1"/>
  <c r="H73" i="1"/>
  <c r="H559" i="1"/>
  <c r="H464" i="1"/>
  <c r="H998" i="1"/>
  <c r="H438" i="1"/>
  <c r="H1430" i="1"/>
  <c r="H1408" i="1"/>
  <c r="H670" i="1"/>
  <c r="H792" i="1"/>
  <c r="H830" i="1"/>
  <c r="H620" i="1"/>
  <c r="H649" i="1"/>
  <c r="H1414" i="1"/>
  <c r="H11" i="1"/>
  <c r="H61" i="1"/>
  <c r="H1140" i="1"/>
  <c r="H267" i="1"/>
  <c r="H1429" i="1"/>
  <c r="H1413" i="1"/>
  <c r="H77" i="1"/>
  <c r="H204" i="1"/>
  <c r="H32" i="1"/>
  <c r="H1330" i="1"/>
  <c r="H1598" i="1"/>
  <c r="H1386" i="1"/>
  <c r="H1239" i="1"/>
  <c r="H1261" i="1"/>
  <c r="H1246" i="1"/>
  <c r="H1291" i="1"/>
  <c r="H607" i="1"/>
  <c r="H1066" i="1"/>
  <c r="H1269" i="1"/>
  <c r="H1509" i="1"/>
  <c r="H346" i="1"/>
  <c r="H832" i="1"/>
  <c r="H1561" i="1"/>
  <c r="H281" i="1"/>
  <c r="H776" i="1"/>
  <c r="H1514" i="1"/>
  <c r="H1043" i="1"/>
  <c r="G666" i="1"/>
  <c r="G928" i="1"/>
  <c r="G899" i="1"/>
  <c r="G382" i="1"/>
  <c r="G723" i="1"/>
  <c r="G175" i="1"/>
  <c r="G725" i="1"/>
  <c r="G8" i="1"/>
  <c r="G801" i="1"/>
  <c r="G1090" i="1"/>
  <c r="G1259" i="1"/>
  <c r="G481" i="1"/>
  <c r="G1087" i="1"/>
  <c r="G209" i="1"/>
  <c r="G1591" i="1"/>
  <c r="G809" i="1"/>
  <c r="G39" i="1"/>
  <c r="G862" i="1"/>
  <c r="G930" i="1"/>
  <c r="G527" i="1"/>
  <c r="G402" i="1"/>
  <c r="G1252" i="1"/>
  <c r="G647" i="1"/>
  <c r="G7" i="1"/>
  <c r="G1307" i="1"/>
  <c r="G466" i="1"/>
  <c r="G571" i="1"/>
  <c r="G1115" i="1"/>
  <c r="G738" i="1"/>
  <c r="G405" i="1"/>
  <c r="G1588" i="1"/>
  <c r="G1210" i="1"/>
  <c r="G1667" i="1"/>
  <c r="G1558" i="1"/>
  <c r="G719" i="1"/>
  <c r="G1085" i="1"/>
  <c r="G940" i="1"/>
  <c r="G1647" i="1"/>
  <c r="G963" i="1"/>
  <c r="G1646" i="1"/>
  <c r="G562" i="1"/>
  <c r="G942" i="1"/>
  <c r="G1589" i="1"/>
  <c r="G1304" i="1"/>
  <c r="G969" i="1"/>
  <c r="G234" i="1"/>
  <c r="G359" i="1"/>
  <c r="G754" i="1"/>
  <c r="G1460" i="1"/>
  <c r="G824" i="1"/>
  <c r="G961" i="1"/>
  <c r="G798" i="1"/>
  <c r="G1344" i="1"/>
  <c r="G294" i="1"/>
  <c r="G960" i="1"/>
  <c r="G868" i="1"/>
  <c r="G978" i="1"/>
  <c r="G1497" i="1"/>
  <c r="G1503" i="1"/>
  <c r="G959" i="1"/>
  <c r="G962" i="1"/>
  <c r="G235" i="1"/>
  <c r="G1705" i="1"/>
  <c r="G72" i="1"/>
  <c r="G746" i="1"/>
  <c r="G1638" i="1"/>
  <c r="G1649" i="1"/>
  <c r="G572" i="1"/>
  <c r="G724" i="1"/>
  <c r="G1107" i="1"/>
  <c r="G510" i="1"/>
  <c r="G1355" i="1"/>
  <c r="G514" i="1"/>
  <c r="G390" i="1"/>
  <c r="G380" i="1"/>
  <c r="G1685" i="1"/>
  <c r="G958" i="1"/>
  <c r="G1666" i="1"/>
  <c r="G648" i="1"/>
  <c r="G256" i="1"/>
  <c r="G566" i="1"/>
  <c r="G385" i="1"/>
  <c r="G1293" i="1"/>
  <c r="G977" i="1"/>
  <c r="G1142" i="1"/>
  <c r="G285" i="1"/>
  <c r="G526" i="1"/>
  <c r="G979" i="1"/>
  <c r="G322" i="1"/>
  <c r="G258" i="1"/>
  <c r="G505" i="1"/>
  <c r="G980" i="1"/>
  <c r="G642" i="1"/>
  <c r="G1683" i="1"/>
  <c r="G975" i="1"/>
  <c r="G1349" i="1"/>
  <c r="G1470" i="1"/>
  <c r="G376" i="1"/>
  <c r="G570" i="1"/>
  <c r="G238" i="1"/>
  <c r="G507" i="1"/>
  <c r="G277" i="1"/>
  <c r="G88" i="1"/>
  <c r="G615" i="1"/>
  <c r="G1645" i="1"/>
  <c r="G636" i="1"/>
  <c r="G650" i="1"/>
  <c r="G395" i="1"/>
  <c r="G662" i="1"/>
  <c r="G1433" i="1"/>
  <c r="G1347" i="1"/>
  <c r="G713" i="1"/>
  <c r="G797" i="1"/>
  <c r="G1286" i="1"/>
  <c r="G1639" i="1"/>
  <c r="G988" i="1"/>
  <c r="G1143" i="1"/>
  <c r="G729" i="1"/>
  <c r="G1250" i="1"/>
  <c r="G221" i="1"/>
  <c r="G103" i="1"/>
  <c r="G1508" i="1"/>
  <c r="G1677" i="1"/>
  <c r="G1299" i="1"/>
  <c r="G897" i="1"/>
  <c r="G525" i="1"/>
  <c r="G668" i="1"/>
  <c r="G1294" i="1"/>
  <c r="G391" i="1"/>
  <c r="G1682" i="1"/>
  <c r="G1665" i="1"/>
  <c r="G84" i="1"/>
  <c r="G802" i="1"/>
  <c r="G107" i="1"/>
  <c r="G1540" i="1"/>
  <c r="G323" i="1"/>
  <c r="G1354" i="1"/>
  <c r="G1678" i="1"/>
  <c r="G473" i="1"/>
  <c r="G393" i="1"/>
  <c r="G452" i="1"/>
  <c r="G383" i="1"/>
  <c r="G618" i="1"/>
  <c r="G224" i="1"/>
  <c r="G396" i="1"/>
  <c r="G1260" i="1"/>
  <c r="G59" i="1"/>
  <c r="G1644" i="1"/>
  <c r="G1292" i="1"/>
  <c r="G1575" i="1"/>
  <c r="G762" i="1"/>
  <c r="G1245" i="1"/>
  <c r="G1200" i="1"/>
  <c r="G1267" i="1"/>
  <c r="G330" i="1"/>
  <c r="G902" i="1"/>
  <c r="G1577" i="1"/>
  <c r="G1614" i="1"/>
  <c r="G1211" i="1"/>
  <c r="G1117" i="1"/>
  <c r="G1153" i="1"/>
  <c r="G1536" i="1"/>
  <c r="G948" i="1"/>
  <c r="G1579" i="1"/>
  <c r="G69" i="1"/>
  <c r="G272" i="1"/>
  <c r="G31" i="1"/>
  <c r="G1190" i="1"/>
  <c r="G1255" i="1"/>
  <c r="G1258" i="1"/>
  <c r="G1134" i="1"/>
  <c r="G887" i="1"/>
  <c r="G266" i="1"/>
  <c r="G94" i="1"/>
  <c r="G332" i="1"/>
  <c r="G1454" i="1"/>
  <c r="G1351" i="1"/>
  <c r="G1118" i="1"/>
  <c r="G1382" i="1"/>
  <c r="G759" i="1"/>
  <c r="G920" i="1"/>
  <c r="G1266" i="1"/>
  <c r="G905" i="1"/>
  <c r="G819" i="1"/>
  <c r="G409" i="1"/>
  <c r="G270" i="1"/>
  <c r="G854" i="1"/>
  <c r="G849" i="1"/>
  <c r="G1257" i="1"/>
  <c r="G936" i="1"/>
  <c r="G760" i="1"/>
  <c r="G528" i="1"/>
  <c r="G1135" i="1"/>
  <c r="G758" i="1"/>
  <c r="G651" i="1"/>
  <c r="G212" i="1"/>
  <c r="G1476" i="1"/>
  <c r="G1079" i="1"/>
  <c r="G1249" i="1"/>
  <c r="G806" i="1"/>
  <c r="G479" i="1"/>
  <c r="G477" i="1"/>
  <c r="G1082" i="1"/>
  <c r="G498" i="1"/>
  <c r="G592" i="1"/>
  <c r="G318" i="1"/>
  <c r="G1513" i="1"/>
  <c r="G745" i="1"/>
  <c r="G1520" i="1"/>
  <c r="G757" i="1"/>
  <c r="G913" i="1"/>
  <c r="G1214" i="1"/>
  <c r="G875" i="1"/>
  <c r="G1550" i="1"/>
  <c r="G891" i="1"/>
  <c r="G1547" i="1"/>
  <c r="G313" i="1"/>
  <c r="G1216" i="1"/>
  <c r="G1219" i="1"/>
  <c r="G1215" i="1"/>
  <c r="G1121" i="1"/>
  <c r="G873" i="1"/>
  <c r="G949" i="1"/>
  <c r="G732" i="1"/>
  <c r="G410" i="1"/>
  <c r="G845" i="1"/>
  <c r="G412" i="1"/>
  <c r="G1494" i="1"/>
  <c r="G1080" i="1"/>
  <c r="G394" i="1"/>
  <c r="G863" i="1"/>
  <c r="G176" i="1"/>
  <c r="G1231" i="1"/>
  <c r="G1227" i="1"/>
  <c r="G795" i="1"/>
  <c r="G789" i="1"/>
  <c r="G839" i="1"/>
  <c r="G254" i="1"/>
  <c r="G1571" i="1"/>
  <c r="G417" i="1"/>
  <c r="G602" i="1"/>
  <c r="G1091" i="1"/>
  <c r="G416" i="1"/>
  <c r="G419" i="1"/>
  <c r="G717" i="1"/>
  <c r="G173" i="1"/>
  <c r="G306" i="1"/>
  <c r="G601" i="1"/>
  <c r="G743" i="1"/>
  <c r="G1402" i="1"/>
  <c r="G1692" i="1"/>
  <c r="G124" i="1"/>
  <c r="G495" i="1"/>
  <c r="G735" i="1"/>
  <c r="G34" i="1"/>
  <c r="G1534" i="1"/>
  <c r="G262" i="1"/>
  <c r="G855" i="1"/>
  <c r="G749" i="1"/>
  <c r="G612" i="1"/>
  <c r="G1556" i="1"/>
  <c r="G70" i="1"/>
  <c r="G840" i="1"/>
  <c r="G1236" i="1"/>
  <c r="G671" i="1"/>
  <c r="G537" i="1"/>
  <c r="G954" i="1"/>
  <c r="G1100" i="1"/>
  <c r="G1359" i="1"/>
  <c r="G614" i="1"/>
  <c r="G1618" i="1"/>
  <c r="G603" i="1"/>
  <c r="G125" i="1"/>
  <c r="G1337" i="1"/>
  <c r="G694" i="1"/>
  <c r="G876" i="1"/>
  <c r="G1228" i="1"/>
  <c r="G366" i="1"/>
  <c r="G1611" i="1"/>
  <c r="G1345" i="1"/>
  <c r="G785" i="1"/>
  <c r="G99" i="1"/>
  <c r="G371" i="1"/>
  <c r="G413" i="1"/>
  <c r="G292" i="1"/>
  <c r="G1525" i="1"/>
  <c r="G549" i="1"/>
  <c r="G1452" i="1"/>
  <c r="G375" i="1"/>
  <c r="G119" i="1"/>
  <c r="G1619" i="1"/>
  <c r="G1615" i="1"/>
  <c r="G1278" i="1"/>
  <c r="G381" i="1"/>
  <c r="G1116" i="1"/>
  <c r="G834" i="1"/>
  <c r="G1112" i="1"/>
  <c r="G128" i="1"/>
  <c r="G1283" i="1"/>
  <c r="G1003" i="1"/>
  <c r="G1352" i="1"/>
  <c r="G427" i="1"/>
  <c r="G223" i="1"/>
  <c r="G215" i="1"/>
  <c r="G812" i="1"/>
  <c r="G774" i="1"/>
  <c r="G241" i="1"/>
  <c r="G231" i="1"/>
  <c r="G423" i="1"/>
  <c r="G421" i="1"/>
  <c r="G1384" i="1"/>
  <c r="G726" i="1"/>
  <c r="G288" i="1"/>
  <c r="G974" i="1"/>
  <c r="G518" i="1"/>
  <c r="G316" i="1"/>
  <c r="G117" i="1"/>
  <c r="G289" i="1"/>
  <c r="G1136" i="1"/>
  <c r="G664" i="1"/>
  <c r="G1718" i="1"/>
  <c r="G1367" i="1"/>
  <c r="G986" i="1"/>
  <c r="G813" i="1"/>
  <c r="G1368" i="1"/>
  <c r="G246" i="1"/>
  <c r="G1696" i="1"/>
  <c r="G987" i="1"/>
  <c r="G1620" i="1"/>
  <c r="G1409" i="1"/>
  <c r="G1570" i="1"/>
  <c r="G1169" i="1"/>
  <c r="G1390" i="1"/>
  <c r="G1655" i="1"/>
  <c r="G426" i="1"/>
  <c r="G309" i="1"/>
  <c r="G308" i="1"/>
  <c r="G120" i="1"/>
  <c r="G129" i="1"/>
  <c r="G435" i="1"/>
  <c r="G1417" i="1"/>
  <c r="G748" i="1"/>
  <c r="G1348" i="1"/>
  <c r="G131" i="1"/>
  <c r="G1045" i="1"/>
  <c r="G126" i="1"/>
  <c r="G989" i="1"/>
  <c r="G837" i="1"/>
  <c r="G1093" i="1"/>
  <c r="G1630" i="1"/>
  <c r="G816" i="1"/>
  <c r="G259" i="1"/>
  <c r="G243" i="1"/>
  <c r="G578" i="1"/>
  <c r="G579" i="1"/>
  <c r="G244" i="1"/>
  <c r="G1217" i="1"/>
  <c r="G841" i="1"/>
  <c r="G1469" i="1"/>
  <c r="G1218" i="1"/>
  <c r="G911" i="1"/>
  <c r="G1098" i="1"/>
  <c r="G577" i="1"/>
  <c r="G886" i="1"/>
  <c r="G1133" i="1"/>
  <c r="G1222" i="1"/>
  <c r="G933" i="1"/>
  <c r="G240" i="1"/>
  <c r="G857" i="1"/>
  <c r="G214" i="1"/>
  <c r="G593" i="1"/>
  <c r="G1324" i="1"/>
  <c r="G1631" i="1"/>
  <c r="G1206" i="1"/>
  <c r="G1204" i="1"/>
  <c r="G475" i="1"/>
  <c r="G1094" i="1"/>
  <c r="G407" i="1"/>
  <c r="G467" i="1"/>
  <c r="G431" i="1"/>
  <c r="G30" i="1"/>
  <c r="G1462" i="1"/>
  <c r="G1475" i="1"/>
  <c r="G1207" i="1"/>
  <c r="G591" i="1"/>
  <c r="G1203" i="1"/>
  <c r="G1502" i="1"/>
  <c r="G227" i="1"/>
  <c r="G1205" i="1"/>
  <c r="G1237" i="1"/>
  <c r="G459" i="1"/>
  <c r="G6" i="1"/>
  <c r="G1289" i="1"/>
  <c r="G1097" i="1"/>
  <c r="G428" i="1"/>
  <c r="G804" i="1"/>
  <c r="G1363" i="1"/>
  <c r="G803" i="1"/>
  <c r="G838" i="1"/>
  <c r="G594" i="1"/>
  <c r="G752" i="1"/>
  <c r="G770" i="1"/>
  <c r="G1679" i="1"/>
  <c r="G763" i="1"/>
  <c r="G1223" i="1"/>
  <c r="G1719" i="1"/>
  <c r="G1634" i="1"/>
  <c r="G1668" i="1"/>
  <c r="G628" i="1"/>
  <c r="G1238" i="1"/>
  <c r="G57" i="1"/>
  <c r="G1637" i="1"/>
  <c r="G1287" i="1"/>
  <c r="G127" i="1"/>
  <c r="G1688" i="1"/>
  <c r="G687" i="1"/>
  <c r="G765" i="1"/>
  <c r="G422" i="1"/>
  <c r="G1101" i="1"/>
  <c r="G1012" i="1"/>
  <c r="G1095" i="1"/>
  <c r="G35" i="1"/>
  <c r="G541" i="1"/>
  <c r="G1013" i="1"/>
  <c r="G1010" i="1"/>
  <c r="G924" i="1"/>
  <c r="G688" i="1"/>
  <c r="G1285" i="1"/>
  <c r="G1008" i="1"/>
  <c r="G248" i="1"/>
  <c r="G1603" i="1"/>
  <c r="G764" i="1"/>
  <c r="G821" i="1"/>
  <c r="G53" i="1"/>
  <c r="G1208" i="1"/>
  <c r="G630" i="1"/>
  <c r="G253" i="1"/>
  <c r="G900" i="1"/>
  <c r="G1139" i="1"/>
  <c r="G885" i="1"/>
  <c r="G1229" i="1"/>
  <c r="G1076" i="1"/>
  <c r="G436" i="1"/>
  <c r="G1523" i="1"/>
  <c r="G851" i="1"/>
  <c r="G1220" i="1"/>
  <c r="G480" i="1"/>
  <c r="G1416" i="1"/>
  <c r="G925" i="1"/>
  <c r="G996" i="1"/>
  <c r="G1664" i="1"/>
  <c r="G890" i="1"/>
  <c r="G1365" i="1"/>
  <c r="G1425" i="1"/>
  <c r="G71" i="1"/>
  <c r="G494" i="1"/>
  <c r="G1152" i="1"/>
  <c r="G20" i="1"/>
  <c r="G1700" i="1"/>
  <c r="G1233" i="1"/>
  <c r="G320" i="1"/>
  <c r="G1202" i="1"/>
  <c r="G686" i="1"/>
  <c r="G881" i="1"/>
  <c r="G358" i="1"/>
  <c r="G1181" i="1"/>
  <c r="G1353" i="1"/>
  <c r="G1422" i="1"/>
  <c r="G1710" i="1"/>
  <c r="G1209" i="1"/>
  <c r="G1234" i="1"/>
  <c r="G1703" i="1"/>
  <c r="G1350" i="1"/>
  <c r="G722" i="1"/>
  <c r="G1711" i="1"/>
  <c r="G230" i="1"/>
  <c r="G682" i="1"/>
  <c r="G222" i="1"/>
  <c r="G220" i="1"/>
  <c r="G864" i="1"/>
  <c r="G709" i="1"/>
  <c r="G710" i="1"/>
  <c r="G654" i="1"/>
  <c r="G1316" i="1"/>
  <c r="G1439" i="1"/>
  <c r="G83" i="1"/>
  <c r="G1323" i="1"/>
  <c r="G638" i="1"/>
  <c r="G1081" i="1"/>
  <c r="G771" i="1"/>
  <c r="G639" i="1"/>
  <c r="G23" i="1"/>
  <c r="G186" i="1"/>
  <c r="G181" i="1"/>
  <c r="G493" i="1"/>
  <c r="G1303" i="1"/>
  <c r="G255" i="1"/>
  <c r="G1224" i="1"/>
  <c r="G497" i="1"/>
  <c r="G1457" i="1"/>
  <c r="G576" i="1"/>
  <c r="G1295" i="1"/>
  <c r="G1054" i="1"/>
  <c r="G189" i="1"/>
  <c r="G1407" i="1"/>
  <c r="G1605" i="1"/>
  <c r="G424" i="1"/>
  <c r="G1492" i="1"/>
  <c r="G286" i="1"/>
  <c r="G853" i="1"/>
  <c r="G1624" i="1"/>
  <c r="G92" i="1"/>
  <c r="G907" i="1"/>
  <c r="G446" i="1"/>
  <c r="G429" i="1"/>
  <c r="G1702" i="1"/>
  <c r="G908" i="1"/>
  <c r="G188" i="1"/>
  <c r="G1322" i="1"/>
  <c r="G187" i="1"/>
  <c r="G1393" i="1"/>
  <c r="G1522" i="1"/>
  <c r="G251" i="1"/>
  <c r="G1302" i="1"/>
  <c r="G14" i="1"/>
  <c r="G430" i="1"/>
  <c r="G463" i="1"/>
  <c r="G909" i="1"/>
  <c r="G1305" i="1"/>
  <c r="G655" i="1"/>
  <c r="G778" i="1"/>
  <c r="G185" i="1"/>
  <c r="G1225" i="1"/>
  <c r="G1256" i="1"/>
  <c r="G1309" i="1"/>
  <c r="G595" i="1"/>
  <c r="G814" i="1"/>
  <c r="G29" i="1"/>
  <c r="G1601" i="1"/>
  <c r="G112" i="1"/>
  <c r="G968" i="1"/>
  <c r="G5" i="1"/>
  <c r="G451" i="1"/>
  <c r="G901" i="1"/>
  <c r="G1651" i="1"/>
  <c r="G895" i="1"/>
  <c r="G1120" i="1"/>
  <c r="G661" i="1"/>
  <c r="G9" i="1"/>
  <c r="G1681" i="1"/>
  <c r="G1659" i="1"/>
  <c r="G1650" i="1"/>
  <c r="G1464" i="1"/>
  <c r="G1308" i="1"/>
  <c r="G1340" i="1"/>
  <c r="G106" i="1"/>
  <c r="G1125" i="1"/>
  <c r="G1154" i="1"/>
  <c r="G1385" i="1"/>
  <c r="G1161" i="1"/>
  <c r="G1608" i="1"/>
  <c r="G937" i="1"/>
  <c r="G1412" i="1"/>
  <c r="G1510" i="1"/>
  <c r="G1450" i="1"/>
  <c r="G535" i="1"/>
  <c r="G1111" i="1"/>
  <c r="G1159" i="1"/>
  <c r="G1641" i="1"/>
  <c r="G1410" i="1"/>
  <c r="G1406" i="1"/>
  <c r="G750" i="1"/>
  <c r="G874" i="1"/>
  <c r="G242" i="1"/>
  <c r="G90" i="1"/>
  <c r="G534" i="1"/>
  <c r="G487" i="1"/>
  <c r="G98" i="1"/>
  <c r="G870" i="1"/>
  <c r="G448" i="1"/>
  <c r="G484" i="1"/>
  <c r="G865" i="1"/>
  <c r="G102" i="1"/>
  <c r="G183" i="1"/>
  <c r="G1128" i="1"/>
  <c r="G1297" i="1"/>
  <c r="G488" i="1"/>
  <c r="G1467" i="1"/>
  <c r="G1471" i="1"/>
  <c r="G111" i="1"/>
  <c r="G95" i="1"/>
  <c r="G1463" i="1"/>
  <c r="G976" i="1"/>
  <c r="G1487" i="1"/>
  <c r="G1689" i="1"/>
  <c r="G1106" i="1"/>
  <c r="G820" i="1"/>
  <c r="G700" i="1"/>
  <c r="G110" i="1"/>
  <c r="G939" i="1"/>
  <c r="G935" i="1"/>
  <c r="G904" i="1"/>
  <c r="G1441" i="1"/>
  <c r="G387" i="1"/>
  <c r="G78" i="1"/>
  <c r="G1248" i="1"/>
  <c r="G869" i="1"/>
  <c r="G13" i="1"/>
  <c r="G737" i="1"/>
  <c r="G1126" i="1"/>
  <c r="G81" i="1"/>
  <c r="G790" i="1"/>
  <c r="G1162" i="1"/>
  <c r="G1131" i="1"/>
  <c r="G540" i="1"/>
  <c r="G1440" i="1"/>
  <c r="G922" i="1"/>
  <c r="G1284" i="1"/>
  <c r="G539" i="1"/>
  <c r="G1486" i="1"/>
  <c r="G1404" i="1"/>
  <c r="G1264" i="1"/>
  <c r="G1428" i="1"/>
  <c r="G265" i="1"/>
  <c r="G1720" i="1"/>
  <c r="G1124" i="1"/>
  <c r="G1455" i="1"/>
  <c r="G598" i="1"/>
  <c r="G667" i="1"/>
  <c r="G1599" i="1"/>
  <c r="G657" i="1"/>
  <c r="G609" i="1"/>
  <c r="G583" i="1"/>
  <c r="G1691" i="1"/>
  <c r="G658" i="1"/>
  <c r="G597" i="1"/>
  <c r="G1141" i="1"/>
  <c r="G1585" i="1"/>
  <c r="G1333" i="1"/>
  <c r="G1485" i="1"/>
  <c r="G1021" i="1"/>
  <c r="G1026" i="1"/>
  <c r="G449" i="1"/>
  <c r="G889" i="1"/>
  <c r="G1182" i="1"/>
  <c r="G1580" i="1"/>
  <c r="G1721" i="1"/>
  <c r="G586" i="1"/>
  <c r="G1581" i="1"/>
  <c r="G450" i="1"/>
  <c r="G1582" i="1"/>
  <c r="G1148" i="1"/>
  <c r="G599" i="1"/>
  <c r="G1583" i="1"/>
  <c r="G588" i="1"/>
  <c r="G1024" i="1"/>
  <c r="G569" i="1"/>
  <c r="G1557" i="1"/>
  <c r="G1398" i="1"/>
  <c r="G965" i="1"/>
  <c r="G522" i="1"/>
  <c r="G1436" i="1"/>
  <c r="G123" i="1"/>
  <c r="G444" i="1"/>
  <c r="G1300" i="1"/>
  <c r="G205" i="1"/>
  <c r="G1366" i="1"/>
  <c r="G1660" i="1"/>
  <c r="G1271" i="1"/>
  <c r="G453" i="1"/>
  <c r="G1434" i="1"/>
  <c r="G1023" i="1"/>
  <c r="G96" i="1"/>
  <c r="G274" i="1"/>
  <c r="G656" i="1"/>
  <c r="G611" i="1"/>
  <c r="G823" i="1"/>
  <c r="G1516" i="1"/>
  <c r="G1461" i="1"/>
  <c r="G252" i="1"/>
  <c r="G866" i="1"/>
  <c r="G1518" i="1"/>
  <c r="G351" i="1"/>
  <c r="G1145" i="1"/>
  <c r="G159" i="1"/>
  <c r="G741" i="1"/>
  <c r="G508" i="1"/>
  <c r="G1022" i="1"/>
  <c r="G1282" i="1"/>
  <c r="G1676" i="1"/>
  <c r="G950" i="1"/>
  <c r="G87" i="1"/>
  <c r="G190" i="1"/>
  <c r="G145" i="1"/>
  <c r="G1511" i="1"/>
  <c r="G1480" i="1"/>
  <c r="G295" i="1"/>
  <c r="G1171" i="1"/>
  <c r="G1483" i="1"/>
  <c r="G174" i="1"/>
  <c r="G161" i="1"/>
  <c r="G64" i="1"/>
  <c r="G1673" i="1"/>
  <c r="G17" i="1"/>
  <c r="G1686" i="1"/>
  <c r="G1566" i="1"/>
  <c r="G1559" i="1"/>
  <c r="G689" i="1"/>
  <c r="G520" i="1"/>
  <c r="G116" i="1"/>
  <c r="G336" i="1"/>
  <c r="G121" i="1"/>
  <c r="G519" i="1"/>
  <c r="G751" i="1"/>
  <c r="G486" i="1"/>
  <c r="G1512" i="1"/>
  <c r="G1515" i="1"/>
  <c r="G108" i="1"/>
  <c r="G744" i="1"/>
  <c r="G207" i="1"/>
  <c r="G389" i="1"/>
  <c r="G1489" i="1"/>
  <c r="G1554" i="1"/>
  <c r="G546" i="1"/>
  <c r="G386" i="1"/>
  <c r="G388" i="1"/>
  <c r="G1130" i="1"/>
  <c r="G1474" i="1"/>
  <c r="G1086" i="1"/>
  <c r="G553" i="1"/>
  <c r="G509" i="1"/>
  <c r="G191" i="1"/>
  <c r="G610" i="1"/>
  <c r="G54" i="1"/>
  <c r="G290" i="1"/>
  <c r="G894" i="1"/>
  <c r="G702" i="1"/>
  <c r="G565" i="1"/>
  <c r="G712" i="1"/>
  <c r="G544" i="1"/>
  <c r="G360" i="1"/>
  <c r="G613" i="1"/>
  <c r="G938" i="1"/>
  <c r="G1643" i="1"/>
  <c r="G646" i="1"/>
  <c r="G1375" i="1"/>
  <c r="G1374" i="1"/>
  <c r="G1160" i="1"/>
  <c r="G826" i="1"/>
  <c r="G1122" i="1"/>
  <c r="G584" i="1"/>
  <c r="G1371" i="1"/>
  <c r="G10" i="1"/>
  <c r="G1187" i="1"/>
  <c r="G815" i="1"/>
  <c r="G967" i="1"/>
  <c r="G1172" i="1"/>
  <c r="G701" i="1"/>
  <c r="G401" i="1"/>
  <c r="G16" i="1"/>
  <c r="G835" i="1"/>
  <c r="G957" i="1"/>
  <c r="G1198" i="1"/>
  <c r="G523" i="1"/>
  <c r="G914" i="1"/>
  <c r="G563" i="1"/>
  <c r="G367" i="1"/>
  <c r="G529" i="1"/>
  <c r="G1044" i="1"/>
  <c r="G1459" i="1"/>
  <c r="G517" i="1"/>
  <c r="G1498" i="1"/>
  <c r="G1445" i="1"/>
  <c r="G1170" i="1"/>
  <c r="G1419" i="1"/>
  <c r="G625" i="1"/>
  <c r="G169" i="1"/>
  <c r="G871" i="1"/>
  <c r="G964" i="1"/>
  <c r="G1426" i="1"/>
  <c r="G333" i="1"/>
  <c r="G219" i="1"/>
  <c r="G22" i="1"/>
  <c r="G1221" i="1"/>
  <c r="G432" i="1"/>
  <c r="G15" i="1"/>
  <c r="G827" i="1"/>
  <c r="G291" i="1"/>
  <c r="G1196" i="1"/>
  <c r="G753" i="1"/>
  <c r="G1706" i="1"/>
  <c r="G1247" i="1"/>
  <c r="G206" i="1"/>
  <c r="G492" i="1"/>
  <c r="G1201" i="1"/>
  <c r="G325" i="1"/>
  <c r="G1213" i="1"/>
  <c r="G21" i="1"/>
  <c r="G1230" i="1"/>
  <c r="G500" i="1"/>
  <c r="G1060" i="1"/>
  <c r="G1069" i="1"/>
  <c r="G1040" i="1"/>
  <c r="G629" i="1"/>
  <c r="G543" i="1"/>
  <c r="G696" i="1"/>
  <c r="G1038" i="1"/>
  <c r="G370" i="1"/>
  <c r="G180" i="1"/>
  <c r="G1670" i="1"/>
  <c r="G250" i="1"/>
  <c r="G929" i="1"/>
  <c r="G590" i="1"/>
  <c r="G1632" i="1"/>
  <c r="G184" i="1"/>
  <c r="G882" i="1"/>
  <c r="G1387" i="1"/>
  <c r="G926" i="1"/>
  <c r="G506" i="1"/>
  <c r="G403" i="1"/>
  <c r="G714" i="1"/>
  <c r="G1075" i="1"/>
  <c r="G155" i="1"/>
  <c r="G1317" i="1"/>
  <c r="G1036" i="1"/>
  <c r="G810" i="1"/>
  <c r="G1453" i="1"/>
  <c r="G1722" i="1"/>
  <c r="G966" i="1"/>
  <c r="G1244" i="1"/>
  <c r="G665" i="1"/>
  <c r="G879" i="1"/>
  <c r="G260" i="1"/>
  <c r="G910" i="1"/>
  <c r="G372" i="1"/>
  <c r="G1543" i="1"/>
  <c r="G1444" i="1"/>
  <c r="G705" i="1"/>
  <c r="G1138" i="1"/>
  <c r="G225" i="1"/>
  <c r="G777" i="1"/>
  <c r="G284" i="1"/>
  <c r="G1014" i="1"/>
  <c r="G1555" i="1"/>
  <c r="G501" i="1"/>
  <c r="G1715" i="1"/>
  <c r="G1197" i="1"/>
  <c r="G1002" i="1"/>
  <c r="G1456" i="1"/>
  <c r="G397" i="1"/>
  <c r="G418" i="1"/>
  <c r="G825" i="1"/>
  <c r="G296" i="1"/>
  <c r="G271" i="1"/>
  <c r="G1635" i="1"/>
  <c r="G693" i="1"/>
  <c r="G1458" i="1"/>
  <c r="G730" i="1"/>
  <c r="G489" i="1"/>
  <c r="G1177" i="1"/>
  <c r="G1546" i="1"/>
  <c r="G1361" i="1"/>
  <c r="G916" i="1"/>
  <c r="G547" i="1"/>
  <c r="G1298" i="1"/>
  <c r="G1342" i="1"/>
  <c r="G1049" i="1"/>
  <c r="G1388" i="1"/>
  <c r="G1339" i="1"/>
  <c r="G728" i="1"/>
  <c r="G558" i="1"/>
  <c r="G1011" i="1"/>
  <c r="G1191" i="1"/>
  <c r="G1381" i="1"/>
  <c r="G1192" i="1"/>
  <c r="G1156" i="1"/>
  <c r="G1517" i="1"/>
  <c r="G1062" i="1"/>
  <c r="G415" i="1"/>
  <c r="G1033" i="1"/>
  <c r="G462" i="1"/>
  <c r="G1538" i="1"/>
  <c r="G1067" i="1"/>
  <c r="G742" i="1"/>
  <c r="G1163" i="1"/>
  <c r="G531" i="1"/>
  <c r="G888" i="1"/>
  <c r="G86" i="1"/>
  <c r="G33" i="1"/>
  <c r="G1029" i="1"/>
  <c r="G76" i="1"/>
  <c r="G341" i="1"/>
  <c r="G1490" i="1"/>
  <c r="G883" i="1"/>
  <c r="G552" i="1"/>
  <c r="G1028" i="1"/>
  <c r="G1016" i="1"/>
  <c r="G984" i="1"/>
  <c r="G997" i="1"/>
  <c r="G784" i="1"/>
  <c r="G1188" i="1"/>
  <c r="G443" i="1"/>
  <c r="G1004" i="1"/>
  <c r="G1397" i="1"/>
  <c r="G1448" i="1"/>
  <c r="G828" i="1"/>
  <c r="G1343" i="1"/>
  <c r="G79" i="1"/>
  <c r="G101" i="1"/>
  <c r="G769" i="1"/>
  <c r="G1447" i="1"/>
  <c r="G502" i="1"/>
  <c r="G1127" i="1"/>
  <c r="G1301" i="1"/>
  <c r="G60" i="1"/>
  <c r="G1652" i="1"/>
  <c r="G733" i="1"/>
  <c r="G398" i="1"/>
  <c r="G1183" i="1"/>
  <c r="G399" i="1"/>
  <c r="G1612" i="1"/>
  <c r="G1073" i="1"/>
  <c r="G1695" i="1"/>
  <c r="G1274" i="1"/>
  <c r="G400" i="1"/>
  <c r="G1529" i="1"/>
  <c r="G1165" i="1"/>
  <c r="G955" i="1"/>
  <c r="G715" i="1"/>
  <c r="G38" i="1"/>
  <c r="G1166" i="1"/>
  <c r="G1629" i="1"/>
  <c r="G1199" i="1"/>
  <c r="G1275" i="1"/>
  <c r="G934" i="1"/>
  <c r="G1167" i="1"/>
  <c r="G1626" i="1"/>
  <c r="G731" i="1"/>
  <c r="G617" i="1"/>
  <c r="G1403" i="1"/>
  <c r="G420" i="1"/>
  <c r="G564" i="1"/>
  <c r="G645" i="1"/>
  <c r="G1623" i="1"/>
  <c r="G567" i="1"/>
  <c r="G80" i="1"/>
  <c r="G503" i="1"/>
  <c r="G340" i="1"/>
  <c r="G953" i="1"/>
  <c r="G378" i="1"/>
  <c r="G1357" i="1"/>
  <c r="G538" i="1"/>
  <c r="G406" i="1"/>
  <c r="G637" i="1"/>
  <c r="G1373" i="1"/>
  <c r="G1519" i="1"/>
  <c r="G482" i="1"/>
  <c r="G1364" i="1"/>
  <c r="G736" i="1"/>
  <c r="G994" i="1"/>
  <c r="G1530" i="1"/>
  <c r="G1048" i="1"/>
  <c r="G1020" i="1"/>
  <c r="G1019" i="1"/>
  <c r="G992" i="1"/>
  <c r="G1391" i="1"/>
  <c r="G1562" i="1"/>
  <c r="G1180" i="1"/>
  <c r="G1195" i="1"/>
  <c r="G1358" i="1"/>
  <c r="G1240" i="1"/>
  <c r="G314" i="1"/>
  <c r="G1574" i="1"/>
  <c r="G1241" i="1"/>
  <c r="G699" i="1"/>
  <c r="G118" i="1"/>
  <c r="G1563" i="1"/>
  <c r="G319" i="1"/>
  <c r="G692" i="1"/>
  <c r="G690" i="1"/>
  <c r="G342" i="1"/>
  <c r="G831" i="1"/>
  <c r="G337" i="1"/>
  <c r="G115" i="1"/>
  <c r="G140" i="1"/>
  <c r="G1194" i="1"/>
  <c r="G775" i="1"/>
  <c r="G1420" i="1"/>
  <c r="G138" i="1"/>
  <c r="G82" i="1"/>
  <c r="G990" i="1"/>
  <c r="G691" i="1"/>
  <c r="G162" i="1"/>
  <c r="G74" i="1"/>
  <c r="G675" i="1"/>
  <c r="G1716" i="1"/>
  <c r="G75" i="1"/>
  <c r="G328" i="1"/>
  <c r="G1662" i="1"/>
  <c r="G67" i="1"/>
  <c r="G172" i="1"/>
  <c r="G1552" i="1"/>
  <c r="G156" i="1"/>
  <c r="G932" i="1"/>
  <c r="G1684" i="1"/>
  <c r="G1690" i="1"/>
  <c r="G1505" i="1"/>
  <c r="G182" i="1"/>
  <c r="G1137" i="1"/>
  <c r="G1088" i="1"/>
  <c r="G478" i="1"/>
  <c r="G1338" i="1"/>
  <c r="G193" i="1"/>
  <c r="G561" i="1"/>
  <c r="G153" i="1"/>
  <c r="G236" i="1"/>
  <c r="G329" i="1"/>
  <c r="G524" i="1"/>
  <c r="G780" i="1"/>
  <c r="G261" i="1"/>
  <c r="G1466" i="1"/>
  <c r="G698" i="1"/>
  <c r="G1671" i="1"/>
  <c r="G1669" i="1"/>
  <c r="G880" i="1"/>
  <c r="G1061" i="1"/>
  <c r="G1193" i="1"/>
  <c r="G1526" i="1"/>
  <c r="G210" i="1"/>
  <c r="G972" i="1"/>
  <c r="G1672" i="1"/>
  <c r="G1548" i="1"/>
  <c r="G1306" i="1"/>
  <c r="G232" i="1"/>
  <c r="G447" i="1"/>
  <c r="G1226" i="1"/>
  <c r="G545" i="1"/>
  <c r="G2" i="1"/>
  <c r="G580" i="1"/>
  <c r="G404" i="1"/>
  <c r="G1232" i="1"/>
  <c r="G995" i="1"/>
  <c r="G278" i="1"/>
  <c r="G858" i="1"/>
  <c r="G139" i="1"/>
  <c r="G1356" i="1"/>
  <c r="G1185" i="1"/>
  <c r="G299" i="1"/>
  <c r="G368" i="1"/>
  <c r="G1697" i="1"/>
  <c r="G1319" i="1"/>
  <c r="G847" i="1"/>
  <c r="G89" i="1"/>
  <c r="G1288" i="1"/>
  <c r="G1212" i="1"/>
  <c r="G1110" i="1"/>
  <c r="G1280" i="1"/>
  <c r="G334" i="1"/>
  <c r="G1332" i="1"/>
  <c r="G1084" i="1"/>
  <c r="G1279" i="1"/>
  <c r="G135" i="1"/>
  <c r="G1334" i="1"/>
  <c r="G568" i="1"/>
  <c r="G1321" i="1"/>
  <c r="G1479" i="1"/>
  <c r="G695" i="1"/>
  <c r="G734" i="1"/>
  <c r="G46" i="1"/>
  <c r="G1189" i="1"/>
  <c r="G1640" i="1"/>
  <c r="G1173" i="1"/>
  <c r="G1341" i="1"/>
  <c r="G1592" i="1"/>
  <c r="G228" i="1"/>
  <c r="G233" i="1"/>
  <c r="G1572" i="1"/>
  <c r="G247" i="1"/>
  <c r="G275" i="1"/>
  <c r="G19" i="1"/>
  <c r="G551" i="1"/>
  <c r="G93" i="1"/>
  <c r="G945" i="1"/>
  <c r="G704" i="1"/>
  <c r="G1178" i="1"/>
  <c r="G848" i="1"/>
  <c r="G164" i="1"/>
  <c r="G811" i="1"/>
  <c r="G536" i="1"/>
  <c r="G1553" i="1"/>
  <c r="G1648" i="1"/>
  <c r="G1504" i="1"/>
  <c r="G213" i="1"/>
  <c r="G817" i="1"/>
  <c r="G596" i="1"/>
  <c r="G1473" i="1"/>
  <c r="G1654" i="1"/>
  <c r="G192" i="1"/>
  <c r="G1726" i="1"/>
  <c r="G41" i="1"/>
  <c r="G1727" i="1"/>
  <c r="G1707" i="1"/>
  <c r="G1527" i="1"/>
  <c r="G1251" i="1"/>
  <c r="G1694" i="1"/>
  <c r="G973" i="1"/>
  <c r="G915" i="1"/>
  <c r="G216" i="1"/>
  <c r="G37" i="1"/>
  <c r="G263" i="1"/>
  <c r="G621" i="1"/>
  <c r="G542" i="1"/>
  <c r="G1484" i="1"/>
  <c r="G48" i="1"/>
  <c r="G1544" i="1"/>
  <c r="G1105" i="1"/>
  <c r="G1528" i="1"/>
  <c r="G202" i="1"/>
  <c r="G1335" i="1"/>
  <c r="G1617" i="1"/>
  <c r="G1243" i="1"/>
  <c r="G1704" i="1"/>
  <c r="G1155" i="1"/>
  <c r="G198" i="1"/>
  <c r="G756" i="1"/>
  <c r="G1158" i="1"/>
  <c r="G179" i="1"/>
  <c r="G1708" i="1"/>
  <c r="G946" i="1"/>
  <c r="G1488" i="1"/>
  <c r="G414" i="1"/>
  <c r="G676" i="1"/>
  <c r="G43" i="1"/>
  <c r="G842" i="1"/>
  <c r="G641" i="1"/>
  <c r="G160" i="1"/>
  <c r="G411" i="1"/>
  <c r="G168" i="1"/>
  <c r="G1346" i="1"/>
  <c r="G1179" i="1"/>
  <c r="G991" i="1"/>
  <c r="G1491" i="1"/>
  <c r="G1578" i="1"/>
  <c r="G1549" i="1"/>
  <c r="G822" i="1"/>
  <c r="G347" i="1"/>
  <c r="G1687" i="1"/>
  <c r="G1119" i="1"/>
  <c r="G109" i="1"/>
  <c r="G343" i="1"/>
  <c r="G425" i="1"/>
  <c r="G560" i="1"/>
  <c r="G1310" i="1"/>
  <c r="G794" i="1"/>
  <c r="G1564" i="1"/>
  <c r="G685" i="1"/>
  <c r="G678" i="1"/>
  <c r="G1059" i="1"/>
  <c r="G1657" i="1"/>
  <c r="G1072" i="1"/>
  <c r="G884" i="1"/>
  <c r="G171" i="1"/>
  <c r="G1389" i="1"/>
  <c r="G767" i="1"/>
  <c r="G739" i="1"/>
  <c r="G105" i="1"/>
  <c r="G859" i="1"/>
  <c r="G1411" i="1"/>
  <c r="G1424" i="1"/>
  <c r="G321" i="1"/>
  <c r="G1326" i="1"/>
  <c r="G1104" i="1"/>
  <c r="G1277" i="1"/>
  <c r="G1313" i="1"/>
  <c r="G1051" i="1"/>
  <c r="G300" i="1"/>
  <c r="G298" i="1"/>
  <c r="G768" i="1"/>
  <c r="G921" i="1"/>
  <c r="G761" i="1"/>
  <c r="G941" i="1"/>
  <c r="G1312" i="1"/>
  <c r="G622" i="1"/>
  <c r="G1296" i="1"/>
  <c r="G326" i="1"/>
  <c r="G1380" i="1"/>
  <c r="G1653" i="1"/>
  <c r="G1405" i="1"/>
  <c r="G158" i="1"/>
  <c r="G983" i="1"/>
  <c r="G374" i="1"/>
  <c r="G194" i="1"/>
  <c r="G1586" i="1"/>
  <c r="G511" i="1"/>
  <c r="G199" i="1"/>
  <c r="G392" i="1"/>
  <c r="G442" i="1"/>
  <c r="G195" i="1"/>
  <c r="G1331" i="1"/>
  <c r="G981" i="1"/>
  <c r="G152" i="1"/>
  <c r="G1431" i="1"/>
  <c r="G982" i="1"/>
  <c r="G1400" i="1"/>
  <c r="G132" i="1"/>
  <c r="G97" i="1"/>
  <c r="G287" i="1"/>
  <c r="G1507" i="1"/>
  <c r="G1102" i="1"/>
  <c r="G147" i="1"/>
  <c r="G85" i="1"/>
  <c r="G856" i="1"/>
  <c r="G36" i="1"/>
  <c r="G846" i="1"/>
  <c r="G1320" i="1"/>
  <c r="G1680" i="1"/>
  <c r="G951" i="1"/>
  <c r="G1542" i="1"/>
  <c r="G516" i="1"/>
  <c r="G1717" i="1"/>
  <c r="G470" i="1"/>
  <c r="G483" i="1"/>
  <c r="G1254" i="1"/>
  <c r="G1253" i="1"/>
  <c r="G268" i="1"/>
  <c r="G512" i="1"/>
  <c r="G167" i="1"/>
  <c r="G1273" i="1"/>
  <c r="G766" i="1"/>
  <c r="G1560" i="1"/>
  <c r="G461" i="1"/>
  <c r="G458" i="1"/>
  <c r="G716" i="1"/>
  <c r="G471" i="1"/>
  <c r="G455" i="1"/>
  <c r="G1501" i="1"/>
  <c r="G1569" i="1"/>
  <c r="G1379" i="1"/>
  <c r="G456" i="1"/>
  <c r="G1567" i="1"/>
  <c r="G122" i="1"/>
  <c r="G818" i="1"/>
  <c r="G1376" i="1"/>
  <c r="G1725" i="1"/>
  <c r="G1053" i="1"/>
  <c r="G793" i="1"/>
  <c r="G144" i="1"/>
  <c r="G1675" i="1"/>
  <c r="G677" i="1"/>
  <c r="G683" i="1"/>
  <c r="G441" i="1"/>
  <c r="G513" i="1"/>
  <c r="G146" i="1"/>
  <c r="G353" i="1"/>
  <c r="G1642" i="1"/>
  <c r="G491" i="1"/>
  <c r="G1482" i="1"/>
  <c r="G433" i="1"/>
  <c r="G1496" i="1"/>
  <c r="G355" i="1"/>
  <c r="G4" i="1"/>
  <c r="G1157" i="1"/>
  <c r="G1568" i="1"/>
  <c r="G25" i="1"/>
  <c r="G1047" i="1"/>
  <c r="G114" i="1"/>
  <c r="G68" i="1"/>
  <c r="G1468" i="1"/>
  <c r="G350" i="1"/>
  <c r="G931" i="1"/>
  <c r="G1415" i="1"/>
  <c r="G1360" i="1"/>
  <c r="G1493" i="1"/>
  <c r="G1083" i="1"/>
  <c r="G55" i="1"/>
  <c r="G573" i="1"/>
  <c r="G781" i="1"/>
  <c r="G1663" i="1"/>
  <c r="G12" i="1"/>
  <c r="G151" i="1"/>
  <c r="G747" i="1"/>
  <c r="G1537" i="1"/>
  <c r="G1621" i="1"/>
  <c r="G437" i="1"/>
  <c r="G1362" i="1"/>
  <c r="G703" i="1"/>
  <c r="G1046" i="1"/>
  <c r="G1606" i="1"/>
  <c r="G627" i="1"/>
  <c r="G1607" i="1"/>
  <c r="G1576" i="1"/>
  <c r="G711" i="1"/>
  <c r="G439" i="1"/>
  <c r="G257" i="1"/>
  <c r="G787" i="1"/>
  <c r="G877" i="1"/>
  <c r="G1636" i="1"/>
  <c r="G1399" i="1"/>
  <c r="G379" i="1"/>
  <c r="G673" i="1"/>
  <c r="G1627" i="1"/>
  <c r="G276" i="1"/>
  <c r="G149" i="1"/>
  <c r="G634" i="1"/>
  <c r="G465" i="1"/>
  <c r="G624" i="1"/>
  <c r="G782" i="1"/>
  <c r="G134" i="1"/>
  <c r="G445" i="1"/>
  <c r="G706" i="1"/>
  <c r="G1446" i="1"/>
  <c r="G697" i="1"/>
  <c r="G1524" i="1"/>
  <c r="G279" i="1"/>
  <c r="G772" i="1"/>
  <c r="G1698" i="1"/>
  <c r="G364" i="1"/>
  <c r="G1565" i="1"/>
  <c r="G1573" i="1"/>
  <c r="G632" i="1"/>
  <c r="G1418" i="1"/>
  <c r="G633" i="1"/>
  <c r="G796" i="1"/>
  <c r="G1610" i="1"/>
  <c r="G490" i="1"/>
  <c r="G956" i="1"/>
  <c r="G66" i="1"/>
  <c r="G1432" i="1"/>
  <c r="G1329" i="1"/>
  <c r="G944" i="1"/>
  <c r="G1096" i="1"/>
  <c r="G1392" i="1"/>
  <c r="G1315" i="1"/>
  <c r="G1481" i="1"/>
  <c r="G708" i="1"/>
  <c r="G130" i="1"/>
  <c r="G947" i="1"/>
  <c r="G943" i="1"/>
  <c r="G626" i="1"/>
  <c r="G1063" i="1"/>
  <c r="G1435" i="1"/>
  <c r="G1604" i="1"/>
  <c r="G791" i="1"/>
  <c r="G799" i="1"/>
  <c r="G1438" i="1"/>
  <c r="G1099" i="1"/>
  <c r="G1114" i="1"/>
  <c r="G302" i="1"/>
  <c r="G51" i="1"/>
  <c r="G533" i="1"/>
  <c r="G1281" i="1"/>
  <c r="G608" i="1"/>
  <c r="G971" i="1"/>
  <c r="G1025" i="1"/>
  <c r="G339" i="1"/>
  <c r="G335" i="1"/>
  <c r="G867" i="1"/>
  <c r="G1276" i="1"/>
  <c r="G249" i="1"/>
  <c r="G113" i="1"/>
  <c r="G970" i="1"/>
  <c r="G548" i="1"/>
  <c r="G1005" i="1"/>
  <c r="G1034" i="1"/>
  <c r="G1113" i="1"/>
  <c r="G1370" i="1"/>
  <c r="G384" i="1"/>
  <c r="G157" i="1"/>
  <c r="G208" i="1"/>
  <c r="G1092" i="1"/>
  <c r="G163" i="1"/>
  <c r="G218" i="1"/>
  <c r="G100" i="1"/>
  <c r="G1372" i="1"/>
  <c r="G1674" i="1"/>
  <c r="G42" i="1"/>
  <c r="G1709" i="1"/>
  <c r="G600" i="1"/>
  <c r="G918" i="1"/>
  <c r="G369" i="1"/>
  <c r="G872" i="1"/>
  <c r="G1713" i="1"/>
  <c r="G1055" i="1"/>
  <c r="G178" i="1"/>
  <c r="G1478" i="1"/>
  <c r="G919" i="1"/>
  <c r="G1050" i="1"/>
  <c r="G1037" i="1"/>
  <c r="G1041" i="1"/>
  <c r="G47" i="1"/>
  <c r="G515" i="1"/>
  <c r="G1017" i="1"/>
  <c r="G499" i="1"/>
  <c r="G808" i="1"/>
  <c r="G1377" i="1"/>
  <c r="G521" i="1"/>
  <c r="G1472" i="1"/>
  <c r="G581" i="1"/>
  <c r="G1714" i="1"/>
  <c r="G1089" i="1"/>
  <c r="G1723" i="1"/>
  <c r="G1693" i="1"/>
  <c r="G557" i="1"/>
  <c r="G807" i="1"/>
  <c r="G672" i="1"/>
  <c r="G45" i="1"/>
  <c r="G1042" i="1"/>
  <c r="G315" i="1"/>
  <c r="G1712" i="1"/>
  <c r="G1477" i="1"/>
  <c r="G496" i="1"/>
  <c r="G679" i="1"/>
  <c r="G1109" i="1"/>
  <c r="G805" i="1"/>
  <c r="G1701" i="1"/>
  <c r="G245" i="1"/>
  <c r="G324" i="1"/>
  <c r="G660" i="1"/>
  <c r="G1009" i="1"/>
  <c r="G644" i="1"/>
  <c r="G786" i="1"/>
  <c r="G434" i="1"/>
  <c r="G365" i="1"/>
  <c r="G331" i="1"/>
  <c r="G293" i="1"/>
  <c r="G338" i="1"/>
  <c r="G363" i="1"/>
  <c r="G143" i="1"/>
  <c r="G903" i="1"/>
  <c r="G707" i="1"/>
  <c r="G640" i="1"/>
  <c r="G148" i="1"/>
  <c r="G1656" i="1"/>
  <c r="G681" i="1"/>
  <c r="G1149" i="1"/>
  <c r="G896" i="1"/>
  <c r="G912" i="1"/>
  <c r="G850" i="1"/>
  <c r="G469" i="1"/>
  <c r="G1613" i="1"/>
  <c r="G1625" i="1"/>
  <c r="G203" i="1"/>
  <c r="G1539" i="1"/>
  <c r="G653" i="1"/>
  <c r="G852" i="1"/>
  <c r="G727" i="1"/>
  <c r="G833" i="1"/>
  <c r="G3" i="1"/>
  <c r="G137" i="1"/>
  <c r="G408" i="1"/>
  <c r="G361" i="1"/>
  <c r="G684" i="1"/>
  <c r="G1123" i="1"/>
  <c r="G555" i="1"/>
  <c r="G476" i="1"/>
  <c r="G1531" i="1"/>
  <c r="G652" i="1"/>
  <c r="G680" i="1"/>
  <c r="G28" i="1"/>
  <c r="G1597" i="1"/>
  <c r="G1132" i="1"/>
  <c r="G1064" i="1"/>
  <c r="G623" i="1"/>
  <c r="G1150" i="1"/>
  <c r="G1369" i="1"/>
  <c r="G585" i="1"/>
  <c r="G133" i="1"/>
  <c r="G663" i="1"/>
  <c r="G1541" i="1"/>
  <c r="G1035" i="1"/>
  <c r="G1144" i="1"/>
  <c r="G1421" i="1"/>
  <c r="G1065" i="1"/>
  <c r="G1174" i="1"/>
  <c r="G927" i="1"/>
  <c r="G1077" i="1"/>
  <c r="G1587" i="1"/>
  <c r="G1078" i="1"/>
  <c r="G1176" i="1"/>
  <c r="G52" i="1"/>
  <c r="G1590" i="1"/>
  <c r="G1506" i="1"/>
  <c r="G892" i="1"/>
  <c r="G1186" i="1"/>
  <c r="G362" i="1"/>
  <c r="G303" i="1"/>
  <c r="G1595" i="1"/>
  <c r="G24" i="1"/>
  <c r="G1594" i="1"/>
  <c r="G1129" i="1"/>
  <c r="G1465" i="1"/>
  <c r="G1396" i="1"/>
  <c r="G317" i="1"/>
  <c r="G141" i="1"/>
  <c r="G1600" i="1"/>
  <c r="G1007" i="1"/>
  <c r="G604" i="1"/>
  <c r="G923" i="1"/>
  <c r="G177" i="1"/>
  <c r="G674" i="1"/>
  <c r="G1263" i="1"/>
  <c r="G154" i="1"/>
  <c r="G150" i="1"/>
  <c r="G58" i="1"/>
  <c r="G211" i="1"/>
  <c r="G906" i="1"/>
  <c r="G65" i="1"/>
  <c r="G589" i="1"/>
  <c r="G1056" i="1"/>
  <c r="G1499" i="1"/>
  <c r="G1057" i="1"/>
  <c r="G740" i="1"/>
  <c r="G999" i="1"/>
  <c r="G1437" i="1"/>
  <c r="G307" i="1"/>
  <c r="G1268" i="1"/>
  <c r="G1290" i="1"/>
  <c r="G1071" i="1"/>
  <c r="G280" i="1"/>
  <c r="G755" i="1"/>
  <c r="G304" i="1"/>
  <c r="G1058" i="1"/>
  <c r="G1184" i="1"/>
  <c r="G550" i="1"/>
  <c r="G344" i="1"/>
  <c r="G18" i="1"/>
  <c r="G1584" i="1"/>
  <c r="G310" i="1"/>
  <c r="G878" i="1"/>
  <c r="G460" i="1"/>
  <c r="G1699" i="1"/>
  <c r="G605" i="1"/>
  <c r="G345" i="1"/>
  <c r="G898" i="1"/>
  <c r="G239" i="1"/>
  <c r="G1052" i="1"/>
  <c r="G779" i="1"/>
  <c r="G1451" i="1"/>
  <c r="G1500" i="1"/>
  <c r="G1265" i="1"/>
  <c r="G659" i="1"/>
  <c r="G136" i="1"/>
  <c r="G554" i="1"/>
  <c r="G1628" i="1"/>
  <c r="G1168" i="1"/>
  <c r="G1000" i="1"/>
  <c r="G643" i="1"/>
  <c r="G1325" i="1"/>
  <c r="G575" i="1"/>
  <c r="G1018" i="1"/>
  <c r="G1633" i="1"/>
  <c r="G373" i="1"/>
  <c r="G1270" i="1"/>
  <c r="G327" i="1"/>
  <c r="G1015" i="1"/>
  <c r="G1449" i="1"/>
  <c r="G1395" i="1"/>
  <c r="G196" i="1"/>
  <c r="G1103" i="1"/>
  <c r="G312" i="1"/>
  <c r="G166" i="1"/>
  <c r="G1108" i="1"/>
  <c r="G348" i="1"/>
  <c r="G282" i="1"/>
  <c r="G377" i="1"/>
  <c r="G165" i="1"/>
  <c r="G917" i="1"/>
  <c r="G356" i="1"/>
  <c r="G264" i="1"/>
  <c r="G1609" i="1"/>
  <c r="G357" i="1"/>
  <c r="G1328" i="1"/>
  <c r="G718" i="1"/>
  <c r="G485" i="1"/>
  <c r="G720" i="1"/>
  <c r="G201" i="1"/>
  <c r="G229" i="1"/>
  <c r="G237" i="1"/>
  <c r="G843" i="1"/>
  <c r="G861" i="1"/>
  <c r="G1027" i="1"/>
  <c r="G1146" i="1"/>
  <c r="G226" i="1"/>
  <c r="G574" i="1"/>
  <c r="G1164" i="1"/>
  <c r="G606" i="1"/>
  <c r="G1074" i="1"/>
  <c r="G985" i="1"/>
  <c r="G587" i="1"/>
  <c r="G170" i="1"/>
  <c r="G773" i="1"/>
  <c r="G27" i="1"/>
  <c r="G305" i="1"/>
  <c r="G311" i="1"/>
  <c r="G1327" i="1"/>
  <c r="G197" i="1"/>
  <c r="G200" i="1"/>
  <c r="G631" i="1"/>
  <c r="G1262" i="1"/>
  <c r="G352" i="1"/>
  <c r="G1593" i="1"/>
  <c r="G1032" i="1"/>
  <c r="G457" i="1"/>
  <c r="G283" i="1"/>
  <c r="G1551" i="1"/>
  <c r="G217" i="1"/>
  <c r="G1383" i="1"/>
  <c r="G354" i="1"/>
  <c r="G504" i="1"/>
  <c r="G860" i="1"/>
  <c r="G530" i="1"/>
  <c r="G273" i="1"/>
  <c r="G1602" i="1"/>
  <c r="G1423" i="1"/>
  <c r="G1006" i="1"/>
  <c r="G532" i="1"/>
  <c r="G1521" i="1"/>
  <c r="G1378" i="1"/>
  <c r="G1336" i="1"/>
  <c r="G1147" i="1"/>
  <c r="G721" i="1"/>
  <c r="G1175" i="1"/>
  <c r="G893" i="1"/>
  <c r="G472" i="1"/>
  <c r="G952" i="1"/>
  <c r="G454" i="1"/>
  <c r="G1495" i="1"/>
  <c r="G297" i="1"/>
  <c r="G844" i="1"/>
  <c r="G1001" i="1"/>
  <c r="G56" i="1"/>
  <c r="G1658" i="1"/>
  <c r="G1394" i="1"/>
  <c r="G1151" i="1"/>
  <c r="G1068" i="1"/>
  <c r="G1622" i="1"/>
  <c r="G1596" i="1"/>
  <c r="G104" i="1"/>
  <c r="G349" i="1"/>
  <c r="G91" i="1"/>
  <c r="G142" i="1"/>
  <c r="G301" i="1"/>
  <c r="G635" i="1"/>
  <c r="G269" i="1"/>
  <c r="G1235" i="1"/>
  <c r="G40" i="1"/>
  <c r="G1272" i="1"/>
  <c r="G1318" i="1"/>
  <c r="G1443" i="1"/>
  <c r="G1031" i="1"/>
  <c r="G616" i="1"/>
  <c r="G1427" i="1"/>
  <c r="G619" i="1"/>
  <c r="G440" i="1"/>
  <c r="G836" i="1"/>
  <c r="G1039" i="1"/>
  <c r="G1616" i="1"/>
  <c r="G26" i="1"/>
  <c r="G1545" i="1"/>
  <c r="G829" i="1"/>
  <c r="G993" i="1"/>
  <c r="G1242" i="1"/>
  <c r="G582" i="1"/>
  <c r="G49" i="1"/>
  <c r="G1661" i="1"/>
  <c r="G50" i="1"/>
  <c r="G556" i="1"/>
  <c r="G468" i="1"/>
  <c r="G63" i="1"/>
  <c r="G1401" i="1"/>
  <c r="G1314" i="1"/>
  <c r="G1724" i="1"/>
  <c r="G1442" i="1"/>
  <c r="G788" i="1"/>
  <c r="G669" i="1"/>
  <c r="G800" i="1"/>
  <c r="G44" i="1"/>
  <c r="G783" i="1"/>
  <c r="G1030" i="1"/>
  <c r="G1070" i="1"/>
  <c r="G1311" i="1"/>
  <c r="G1535" i="1"/>
  <c r="G62" i="1"/>
  <c r="G1533" i="1"/>
  <c r="G1532" i="1"/>
  <c r="G474" i="1"/>
  <c r="G73" i="1"/>
  <c r="G559" i="1"/>
  <c r="G464" i="1"/>
  <c r="G998" i="1"/>
  <c r="G438" i="1"/>
  <c r="G1430" i="1"/>
  <c r="G1408" i="1"/>
  <c r="G670" i="1"/>
  <c r="G792" i="1"/>
  <c r="G830" i="1"/>
  <c r="G620" i="1"/>
  <c r="G649" i="1"/>
  <c r="G1414" i="1"/>
  <c r="G11" i="1"/>
  <c r="G61" i="1"/>
  <c r="G1140" i="1"/>
  <c r="G267" i="1"/>
  <c r="G1429" i="1"/>
  <c r="G1413" i="1"/>
  <c r="G77" i="1"/>
  <c r="G204" i="1"/>
  <c r="G32" i="1"/>
  <c r="G1330" i="1"/>
  <c r="G1598" i="1"/>
  <c r="G1386" i="1"/>
  <c r="G1239" i="1"/>
  <c r="G1261" i="1"/>
  <c r="G1246" i="1"/>
  <c r="G1291" i="1"/>
  <c r="G607" i="1"/>
  <c r="G1066" i="1"/>
  <c r="G1269" i="1"/>
  <c r="G1509" i="1"/>
  <c r="G346" i="1"/>
  <c r="G832" i="1"/>
  <c r="G1561" i="1"/>
  <c r="G281" i="1"/>
  <c r="G776" i="1"/>
  <c r="G1514" i="1"/>
  <c r="G1043" i="1"/>
  <c r="F666" i="1"/>
  <c r="F928" i="1"/>
  <c r="F899" i="1"/>
  <c r="F382" i="1"/>
  <c r="F723" i="1"/>
  <c r="F175" i="1"/>
  <c r="F725" i="1"/>
  <c r="F8" i="1"/>
  <c r="F801" i="1"/>
  <c r="F1090" i="1"/>
  <c r="F1259" i="1"/>
  <c r="F481" i="1"/>
  <c r="F1087" i="1"/>
  <c r="F209" i="1"/>
  <c r="F1591" i="1"/>
  <c r="F809" i="1"/>
  <c r="F39" i="1"/>
  <c r="F862" i="1"/>
  <c r="F930" i="1"/>
  <c r="F527" i="1"/>
  <c r="F402" i="1"/>
  <c r="F1252" i="1"/>
  <c r="F647" i="1"/>
  <c r="F7" i="1"/>
  <c r="F1307" i="1"/>
  <c r="F466" i="1"/>
  <c r="F571" i="1"/>
  <c r="F1115" i="1"/>
  <c r="F738" i="1"/>
  <c r="F405" i="1"/>
  <c r="F1588" i="1"/>
  <c r="F1210" i="1"/>
  <c r="F1667" i="1"/>
  <c r="F1558" i="1"/>
  <c r="F719" i="1"/>
  <c r="F1085" i="1"/>
  <c r="F940" i="1"/>
  <c r="F1647" i="1"/>
  <c r="F963" i="1"/>
  <c r="F1646" i="1"/>
  <c r="F562" i="1"/>
  <c r="F942" i="1"/>
  <c r="F1589" i="1"/>
  <c r="F1304" i="1"/>
  <c r="F969" i="1"/>
  <c r="F234" i="1"/>
  <c r="F359" i="1"/>
  <c r="F754" i="1"/>
  <c r="F1460" i="1"/>
  <c r="F824" i="1"/>
  <c r="F961" i="1"/>
  <c r="F798" i="1"/>
  <c r="F1344" i="1"/>
  <c r="F294" i="1"/>
  <c r="F960" i="1"/>
  <c r="F868" i="1"/>
  <c r="F978" i="1"/>
  <c r="F1497" i="1"/>
  <c r="F1503" i="1"/>
  <c r="F959" i="1"/>
  <c r="F962" i="1"/>
  <c r="F235" i="1"/>
  <c r="F1705" i="1"/>
  <c r="F72" i="1"/>
  <c r="F746" i="1"/>
  <c r="F1638" i="1"/>
  <c r="F1649" i="1"/>
  <c r="F572" i="1"/>
  <c r="F724" i="1"/>
  <c r="F1107" i="1"/>
  <c r="F510" i="1"/>
  <c r="F1355" i="1"/>
  <c r="F514" i="1"/>
  <c r="F390" i="1"/>
  <c r="F380" i="1"/>
  <c r="F1685" i="1"/>
  <c r="F958" i="1"/>
  <c r="F1666" i="1"/>
  <c r="F648" i="1"/>
  <c r="F256" i="1"/>
  <c r="F566" i="1"/>
  <c r="F385" i="1"/>
  <c r="F1293" i="1"/>
  <c r="F977" i="1"/>
  <c r="F1142" i="1"/>
  <c r="F285" i="1"/>
  <c r="F526" i="1"/>
  <c r="F979" i="1"/>
  <c r="F322" i="1"/>
  <c r="F258" i="1"/>
  <c r="F505" i="1"/>
  <c r="F980" i="1"/>
  <c r="F642" i="1"/>
  <c r="F1683" i="1"/>
  <c r="F975" i="1"/>
  <c r="F1349" i="1"/>
  <c r="F1470" i="1"/>
  <c r="F376" i="1"/>
  <c r="F570" i="1"/>
  <c r="F238" i="1"/>
  <c r="F507" i="1"/>
  <c r="F277" i="1"/>
  <c r="F88" i="1"/>
  <c r="F615" i="1"/>
  <c r="F1645" i="1"/>
  <c r="F636" i="1"/>
  <c r="F650" i="1"/>
  <c r="F395" i="1"/>
  <c r="F662" i="1"/>
  <c r="F1433" i="1"/>
  <c r="F1347" i="1"/>
  <c r="F713" i="1"/>
  <c r="F797" i="1"/>
  <c r="F1286" i="1"/>
  <c r="F1639" i="1"/>
  <c r="F988" i="1"/>
  <c r="F1143" i="1"/>
  <c r="F729" i="1"/>
  <c r="F1250" i="1"/>
  <c r="F221" i="1"/>
  <c r="F103" i="1"/>
  <c r="F1508" i="1"/>
  <c r="F1677" i="1"/>
  <c r="F1299" i="1"/>
  <c r="F897" i="1"/>
  <c r="F525" i="1"/>
  <c r="F668" i="1"/>
  <c r="F1294" i="1"/>
  <c r="F391" i="1"/>
  <c r="F1682" i="1"/>
  <c r="F1665" i="1"/>
  <c r="F84" i="1"/>
  <c r="F802" i="1"/>
  <c r="F107" i="1"/>
  <c r="F1540" i="1"/>
  <c r="F323" i="1"/>
  <c r="F1354" i="1"/>
  <c r="F1678" i="1"/>
  <c r="F473" i="1"/>
  <c r="F393" i="1"/>
  <c r="F452" i="1"/>
  <c r="F383" i="1"/>
  <c r="F618" i="1"/>
  <c r="F224" i="1"/>
  <c r="F396" i="1"/>
  <c r="F1260" i="1"/>
  <c r="F59" i="1"/>
  <c r="F1644" i="1"/>
  <c r="F1292" i="1"/>
  <c r="F1575" i="1"/>
  <c r="F762" i="1"/>
  <c r="F1245" i="1"/>
  <c r="F1200" i="1"/>
  <c r="F1267" i="1"/>
  <c r="F330" i="1"/>
  <c r="F902" i="1"/>
  <c r="F1577" i="1"/>
  <c r="F1614" i="1"/>
  <c r="F1211" i="1"/>
  <c r="F1117" i="1"/>
  <c r="F1153" i="1"/>
  <c r="F1536" i="1"/>
  <c r="F948" i="1"/>
  <c r="F1579" i="1"/>
  <c r="F69" i="1"/>
  <c r="F272" i="1"/>
  <c r="F31" i="1"/>
  <c r="F1190" i="1"/>
  <c r="F1255" i="1"/>
  <c r="F1258" i="1"/>
  <c r="F1134" i="1"/>
  <c r="F887" i="1"/>
  <c r="F266" i="1"/>
  <c r="F94" i="1"/>
  <c r="F332" i="1"/>
  <c r="F1454" i="1"/>
  <c r="F1351" i="1"/>
  <c r="F1118" i="1"/>
  <c r="F1382" i="1"/>
  <c r="F759" i="1"/>
  <c r="F920" i="1"/>
  <c r="F1266" i="1"/>
  <c r="F905" i="1"/>
  <c r="F819" i="1"/>
  <c r="F409" i="1"/>
  <c r="F270" i="1"/>
  <c r="F854" i="1"/>
  <c r="F849" i="1"/>
  <c r="F1257" i="1"/>
  <c r="F936" i="1"/>
  <c r="F760" i="1"/>
  <c r="F528" i="1"/>
  <c r="F1135" i="1"/>
  <c r="F758" i="1"/>
  <c r="F651" i="1"/>
  <c r="F212" i="1"/>
  <c r="F1476" i="1"/>
  <c r="F1079" i="1"/>
  <c r="F1249" i="1"/>
  <c r="F806" i="1"/>
  <c r="F479" i="1"/>
  <c r="F477" i="1"/>
  <c r="F1082" i="1"/>
  <c r="F498" i="1"/>
  <c r="F592" i="1"/>
  <c r="F318" i="1"/>
  <c r="F1513" i="1"/>
  <c r="F745" i="1"/>
  <c r="F1520" i="1"/>
  <c r="F757" i="1"/>
  <c r="F913" i="1"/>
  <c r="F1214" i="1"/>
  <c r="F875" i="1"/>
  <c r="F1550" i="1"/>
  <c r="F891" i="1"/>
  <c r="F1547" i="1"/>
  <c r="F313" i="1"/>
  <c r="F1216" i="1"/>
  <c r="F1219" i="1"/>
  <c r="F1215" i="1"/>
  <c r="F1121" i="1"/>
  <c r="F873" i="1"/>
  <c r="F949" i="1"/>
  <c r="F732" i="1"/>
  <c r="F410" i="1"/>
  <c r="F845" i="1"/>
  <c r="F412" i="1"/>
  <c r="F1494" i="1"/>
  <c r="F1080" i="1"/>
  <c r="F394" i="1"/>
  <c r="F863" i="1"/>
  <c r="F176" i="1"/>
  <c r="F1231" i="1"/>
  <c r="F1227" i="1"/>
  <c r="F795" i="1"/>
  <c r="F789" i="1"/>
  <c r="F839" i="1"/>
  <c r="F254" i="1"/>
  <c r="F1571" i="1"/>
  <c r="F417" i="1"/>
  <c r="F602" i="1"/>
  <c r="F1091" i="1"/>
  <c r="F416" i="1"/>
  <c r="F419" i="1"/>
  <c r="F717" i="1"/>
  <c r="F173" i="1"/>
  <c r="F306" i="1"/>
  <c r="F601" i="1"/>
  <c r="F743" i="1"/>
  <c r="F1402" i="1"/>
  <c r="F1692" i="1"/>
  <c r="F124" i="1"/>
  <c r="F495" i="1"/>
  <c r="F735" i="1"/>
  <c r="F34" i="1"/>
  <c r="F1534" i="1"/>
  <c r="F262" i="1"/>
  <c r="F855" i="1"/>
  <c r="F749" i="1"/>
  <c r="F612" i="1"/>
  <c r="F1556" i="1"/>
  <c r="F70" i="1"/>
  <c r="F840" i="1"/>
  <c r="F1236" i="1"/>
  <c r="F671" i="1"/>
  <c r="F537" i="1"/>
  <c r="F954" i="1"/>
  <c r="F1100" i="1"/>
  <c r="F1359" i="1"/>
  <c r="F614" i="1"/>
  <c r="F1618" i="1"/>
  <c r="F603" i="1"/>
  <c r="F125" i="1"/>
  <c r="F1337" i="1"/>
  <c r="F694" i="1"/>
  <c r="F876" i="1"/>
  <c r="F1228" i="1"/>
  <c r="F366" i="1"/>
  <c r="F1611" i="1"/>
  <c r="F1345" i="1"/>
  <c r="F785" i="1"/>
  <c r="F99" i="1"/>
  <c r="F371" i="1"/>
  <c r="F413" i="1"/>
  <c r="F292" i="1"/>
  <c r="F1525" i="1"/>
  <c r="F549" i="1"/>
  <c r="F1452" i="1"/>
  <c r="F375" i="1"/>
  <c r="F119" i="1"/>
  <c r="F1619" i="1"/>
  <c r="F1615" i="1"/>
  <c r="F1278" i="1"/>
  <c r="F381" i="1"/>
  <c r="F1116" i="1"/>
  <c r="F834" i="1"/>
  <c r="F1112" i="1"/>
  <c r="F128" i="1"/>
  <c r="F1283" i="1"/>
  <c r="F1003" i="1"/>
  <c r="F1352" i="1"/>
  <c r="F427" i="1"/>
  <c r="F223" i="1"/>
  <c r="F215" i="1"/>
  <c r="F812" i="1"/>
  <c r="F774" i="1"/>
  <c r="F241" i="1"/>
  <c r="F231" i="1"/>
  <c r="F423" i="1"/>
  <c r="F421" i="1"/>
  <c r="F1384" i="1"/>
  <c r="F726" i="1"/>
  <c r="F288" i="1"/>
  <c r="F974" i="1"/>
  <c r="F518" i="1"/>
  <c r="F316" i="1"/>
  <c r="F117" i="1"/>
  <c r="F289" i="1"/>
  <c r="F1136" i="1"/>
  <c r="F664" i="1"/>
  <c r="F1718" i="1"/>
  <c r="F1367" i="1"/>
  <c r="F986" i="1"/>
  <c r="F813" i="1"/>
  <c r="F1368" i="1"/>
  <c r="F246" i="1"/>
  <c r="F1696" i="1"/>
  <c r="F987" i="1"/>
  <c r="F1620" i="1"/>
  <c r="F1409" i="1"/>
  <c r="F1570" i="1"/>
  <c r="F1169" i="1"/>
  <c r="F1390" i="1"/>
  <c r="F1655" i="1"/>
  <c r="F426" i="1"/>
  <c r="F309" i="1"/>
  <c r="F308" i="1"/>
  <c r="F120" i="1"/>
  <c r="F129" i="1"/>
  <c r="F435" i="1"/>
  <c r="F1417" i="1"/>
  <c r="F748" i="1"/>
  <c r="F1348" i="1"/>
  <c r="F131" i="1"/>
  <c r="F1045" i="1"/>
  <c r="F126" i="1"/>
  <c r="F989" i="1"/>
  <c r="F837" i="1"/>
  <c r="F1093" i="1"/>
  <c r="F1630" i="1"/>
  <c r="F816" i="1"/>
  <c r="F259" i="1"/>
  <c r="F243" i="1"/>
  <c r="F578" i="1"/>
  <c r="F579" i="1"/>
  <c r="F244" i="1"/>
  <c r="F1217" i="1"/>
  <c r="F841" i="1"/>
  <c r="F1469" i="1"/>
  <c r="F1218" i="1"/>
  <c r="F911" i="1"/>
  <c r="F1098" i="1"/>
  <c r="F577" i="1"/>
  <c r="F886" i="1"/>
  <c r="F1133" i="1"/>
  <c r="F1222" i="1"/>
  <c r="F933" i="1"/>
  <c r="F240" i="1"/>
  <c r="F857" i="1"/>
  <c r="F214" i="1"/>
  <c r="F593" i="1"/>
  <c r="F1324" i="1"/>
  <c r="F1631" i="1"/>
  <c r="F1206" i="1"/>
  <c r="F1204" i="1"/>
  <c r="F475" i="1"/>
  <c r="F1094" i="1"/>
  <c r="F407" i="1"/>
  <c r="F467" i="1"/>
  <c r="F431" i="1"/>
  <c r="F30" i="1"/>
  <c r="F1462" i="1"/>
  <c r="F1475" i="1"/>
  <c r="F1207" i="1"/>
  <c r="F591" i="1"/>
  <c r="F1203" i="1"/>
  <c r="F1502" i="1"/>
  <c r="F227" i="1"/>
  <c r="F1205" i="1"/>
  <c r="F1237" i="1"/>
  <c r="F459" i="1"/>
  <c r="F6" i="1"/>
  <c r="F1289" i="1"/>
  <c r="F1097" i="1"/>
  <c r="F428" i="1"/>
  <c r="F804" i="1"/>
  <c r="F1363" i="1"/>
  <c r="F803" i="1"/>
  <c r="F838" i="1"/>
  <c r="F594" i="1"/>
  <c r="F752" i="1"/>
  <c r="F770" i="1"/>
  <c r="F1679" i="1"/>
  <c r="F763" i="1"/>
  <c r="F1223" i="1"/>
  <c r="F1719" i="1"/>
  <c r="F1634" i="1"/>
  <c r="F1668" i="1"/>
  <c r="F628" i="1"/>
  <c r="F1238" i="1"/>
  <c r="F57" i="1"/>
  <c r="F1637" i="1"/>
  <c r="F1287" i="1"/>
  <c r="F127" i="1"/>
  <c r="F1688" i="1"/>
  <c r="F687" i="1"/>
  <c r="F765" i="1"/>
  <c r="F422" i="1"/>
  <c r="F1101" i="1"/>
  <c r="F1012" i="1"/>
  <c r="F1095" i="1"/>
  <c r="F35" i="1"/>
  <c r="F541" i="1"/>
  <c r="F1013" i="1"/>
  <c r="F1010" i="1"/>
  <c r="F924" i="1"/>
  <c r="F688" i="1"/>
  <c r="F1285" i="1"/>
  <c r="F1008" i="1"/>
  <c r="F248" i="1"/>
  <c r="F1603" i="1"/>
  <c r="F764" i="1"/>
  <c r="F821" i="1"/>
  <c r="F53" i="1"/>
  <c r="F1208" i="1"/>
  <c r="F630" i="1"/>
  <c r="F253" i="1"/>
  <c r="F900" i="1"/>
  <c r="F1139" i="1"/>
  <c r="F885" i="1"/>
  <c r="F1229" i="1"/>
  <c r="F1076" i="1"/>
  <c r="F436" i="1"/>
  <c r="F1523" i="1"/>
  <c r="F851" i="1"/>
  <c r="F1220" i="1"/>
  <c r="F480" i="1"/>
  <c r="F1416" i="1"/>
  <c r="F925" i="1"/>
  <c r="F996" i="1"/>
  <c r="F1664" i="1"/>
  <c r="F890" i="1"/>
  <c r="F1365" i="1"/>
  <c r="F1425" i="1"/>
  <c r="F71" i="1"/>
  <c r="F494" i="1"/>
  <c r="F1152" i="1"/>
  <c r="F20" i="1"/>
  <c r="F1700" i="1"/>
  <c r="F1233" i="1"/>
  <c r="F320" i="1"/>
  <c r="F1202" i="1"/>
  <c r="F686" i="1"/>
  <c r="F881" i="1"/>
  <c r="F358" i="1"/>
  <c r="F1181" i="1"/>
  <c r="F1353" i="1"/>
  <c r="F1422" i="1"/>
  <c r="F1710" i="1"/>
  <c r="F1209" i="1"/>
  <c r="F1234" i="1"/>
  <c r="F1703" i="1"/>
  <c r="F1350" i="1"/>
  <c r="F722" i="1"/>
  <c r="F1711" i="1"/>
  <c r="F230" i="1"/>
  <c r="F682" i="1"/>
  <c r="F222" i="1"/>
  <c r="F220" i="1"/>
  <c r="F864" i="1"/>
  <c r="F709" i="1"/>
  <c r="F710" i="1"/>
  <c r="F654" i="1"/>
  <c r="F1316" i="1"/>
  <c r="F1439" i="1"/>
  <c r="F83" i="1"/>
  <c r="F1323" i="1"/>
  <c r="F638" i="1"/>
  <c r="F1081" i="1"/>
  <c r="F771" i="1"/>
  <c r="F639" i="1"/>
  <c r="F23" i="1"/>
  <c r="F186" i="1"/>
  <c r="F181" i="1"/>
  <c r="F493" i="1"/>
  <c r="F1303" i="1"/>
  <c r="F255" i="1"/>
  <c r="F1224" i="1"/>
  <c r="F497" i="1"/>
  <c r="F1457" i="1"/>
  <c r="F576" i="1"/>
  <c r="F1295" i="1"/>
  <c r="F1054" i="1"/>
  <c r="F189" i="1"/>
  <c r="F1407" i="1"/>
  <c r="F1605" i="1"/>
  <c r="F424" i="1"/>
  <c r="F1492" i="1"/>
  <c r="F286" i="1"/>
  <c r="F853" i="1"/>
  <c r="F1624" i="1"/>
  <c r="F92" i="1"/>
  <c r="F907" i="1"/>
  <c r="F446" i="1"/>
  <c r="F429" i="1"/>
  <c r="F1702" i="1"/>
  <c r="F908" i="1"/>
  <c r="F188" i="1"/>
  <c r="F1322" i="1"/>
  <c r="F187" i="1"/>
  <c r="F1393" i="1"/>
  <c r="F1522" i="1"/>
  <c r="F251" i="1"/>
  <c r="F1302" i="1"/>
  <c r="F14" i="1"/>
  <c r="F430" i="1"/>
  <c r="F463" i="1"/>
  <c r="F909" i="1"/>
  <c r="F1305" i="1"/>
  <c r="F655" i="1"/>
  <c r="F778" i="1"/>
  <c r="F185" i="1"/>
  <c r="F1225" i="1"/>
  <c r="F1256" i="1"/>
  <c r="F1309" i="1"/>
  <c r="F595" i="1"/>
  <c r="F814" i="1"/>
  <c r="F29" i="1"/>
  <c r="F1601" i="1"/>
  <c r="F112" i="1"/>
  <c r="F968" i="1"/>
  <c r="F5" i="1"/>
  <c r="F451" i="1"/>
  <c r="F901" i="1"/>
  <c r="F1651" i="1"/>
  <c r="F895" i="1"/>
  <c r="F1120" i="1"/>
  <c r="F661" i="1"/>
  <c r="F9" i="1"/>
  <c r="F1681" i="1"/>
  <c r="F1659" i="1"/>
  <c r="F1650" i="1"/>
  <c r="F1464" i="1"/>
  <c r="F1308" i="1"/>
  <c r="F1340" i="1"/>
  <c r="F106" i="1"/>
  <c r="F1125" i="1"/>
  <c r="F1154" i="1"/>
  <c r="F1385" i="1"/>
  <c r="F1161" i="1"/>
  <c r="F1608" i="1"/>
  <c r="F937" i="1"/>
  <c r="F1412" i="1"/>
  <c r="F1510" i="1"/>
  <c r="F1450" i="1"/>
  <c r="F535" i="1"/>
  <c r="F1111" i="1"/>
  <c r="F1159" i="1"/>
  <c r="F1641" i="1"/>
  <c r="F1410" i="1"/>
  <c r="F1406" i="1"/>
  <c r="F750" i="1"/>
  <c r="F874" i="1"/>
  <c r="F242" i="1"/>
  <c r="F90" i="1"/>
  <c r="F534" i="1"/>
  <c r="F487" i="1"/>
  <c r="F98" i="1"/>
  <c r="F870" i="1"/>
  <c r="F448" i="1"/>
  <c r="F484" i="1"/>
  <c r="F865" i="1"/>
  <c r="F102" i="1"/>
  <c r="F183" i="1"/>
  <c r="F1128" i="1"/>
  <c r="F1297" i="1"/>
  <c r="F488" i="1"/>
  <c r="F1467" i="1"/>
  <c r="F1471" i="1"/>
  <c r="F111" i="1"/>
  <c r="F95" i="1"/>
  <c r="F1463" i="1"/>
  <c r="F976" i="1"/>
  <c r="F1487" i="1"/>
  <c r="F1689" i="1"/>
  <c r="F1106" i="1"/>
  <c r="F820" i="1"/>
  <c r="F700" i="1"/>
  <c r="F110" i="1"/>
  <c r="F939" i="1"/>
  <c r="F935" i="1"/>
  <c r="F904" i="1"/>
  <c r="F1441" i="1"/>
  <c r="F387" i="1"/>
  <c r="F78" i="1"/>
  <c r="F1248" i="1"/>
  <c r="F869" i="1"/>
  <c r="F13" i="1"/>
  <c r="F737" i="1"/>
  <c r="F1126" i="1"/>
  <c r="F81" i="1"/>
  <c r="F790" i="1"/>
  <c r="F1162" i="1"/>
  <c r="F1131" i="1"/>
  <c r="F540" i="1"/>
  <c r="F1440" i="1"/>
  <c r="F922" i="1"/>
  <c r="F1284" i="1"/>
  <c r="F539" i="1"/>
  <c r="F1486" i="1"/>
  <c r="F1404" i="1"/>
  <c r="F1264" i="1"/>
  <c r="F1428" i="1"/>
  <c r="F265" i="1"/>
  <c r="F1720" i="1"/>
  <c r="F1124" i="1"/>
  <c r="F1455" i="1"/>
  <c r="F598" i="1"/>
  <c r="F667" i="1"/>
  <c r="F1599" i="1"/>
  <c r="F657" i="1"/>
  <c r="F609" i="1"/>
  <c r="F583" i="1"/>
  <c r="F1691" i="1"/>
  <c r="F658" i="1"/>
  <c r="F597" i="1"/>
  <c r="F1141" i="1"/>
  <c r="F1585" i="1"/>
  <c r="F1333" i="1"/>
  <c r="F1485" i="1"/>
  <c r="F1021" i="1"/>
  <c r="F1026" i="1"/>
  <c r="F449" i="1"/>
  <c r="F889" i="1"/>
  <c r="F1182" i="1"/>
  <c r="F1580" i="1"/>
  <c r="F1721" i="1"/>
  <c r="F586" i="1"/>
  <c r="F1581" i="1"/>
  <c r="F450" i="1"/>
  <c r="F1582" i="1"/>
  <c r="F1148" i="1"/>
  <c r="F599" i="1"/>
  <c r="F1583" i="1"/>
  <c r="F588" i="1"/>
  <c r="F1024" i="1"/>
  <c r="F569" i="1"/>
  <c r="F1557" i="1"/>
  <c r="F1398" i="1"/>
  <c r="F965" i="1"/>
  <c r="F522" i="1"/>
  <c r="F1436" i="1"/>
  <c r="F123" i="1"/>
  <c r="F444" i="1"/>
  <c r="F1300" i="1"/>
  <c r="F205" i="1"/>
  <c r="F1366" i="1"/>
  <c r="F1660" i="1"/>
  <c r="F1271" i="1"/>
  <c r="F453" i="1"/>
  <c r="F1434" i="1"/>
  <c r="F1023" i="1"/>
  <c r="F96" i="1"/>
  <c r="F274" i="1"/>
  <c r="F656" i="1"/>
  <c r="F611" i="1"/>
  <c r="F823" i="1"/>
  <c r="F1516" i="1"/>
  <c r="F1461" i="1"/>
  <c r="F252" i="1"/>
  <c r="F866" i="1"/>
  <c r="F1518" i="1"/>
  <c r="F351" i="1"/>
  <c r="F1145" i="1"/>
  <c r="F159" i="1"/>
  <c r="F741" i="1"/>
  <c r="F508" i="1"/>
  <c r="F1022" i="1"/>
  <c r="F1282" i="1"/>
  <c r="F1676" i="1"/>
  <c r="F950" i="1"/>
  <c r="F87" i="1"/>
  <c r="F190" i="1"/>
  <c r="F145" i="1"/>
  <c r="F1511" i="1"/>
  <c r="F1480" i="1"/>
  <c r="F295" i="1"/>
  <c r="F1171" i="1"/>
  <c r="F1483" i="1"/>
  <c r="F174" i="1"/>
  <c r="F161" i="1"/>
  <c r="F64" i="1"/>
  <c r="F1673" i="1"/>
  <c r="F17" i="1"/>
  <c r="F1686" i="1"/>
  <c r="F1566" i="1"/>
  <c r="F1559" i="1"/>
  <c r="F689" i="1"/>
  <c r="F520" i="1"/>
  <c r="F116" i="1"/>
  <c r="F336" i="1"/>
  <c r="F121" i="1"/>
  <c r="F519" i="1"/>
  <c r="F751" i="1"/>
  <c r="F486" i="1"/>
  <c r="F1512" i="1"/>
  <c r="F1515" i="1"/>
  <c r="F108" i="1"/>
  <c r="F744" i="1"/>
  <c r="F207" i="1"/>
  <c r="F389" i="1"/>
  <c r="F1489" i="1"/>
  <c r="F1554" i="1"/>
  <c r="F546" i="1"/>
  <c r="F386" i="1"/>
  <c r="F388" i="1"/>
  <c r="F1130" i="1"/>
  <c r="F1474" i="1"/>
  <c r="F1086" i="1"/>
  <c r="F553" i="1"/>
  <c r="F509" i="1"/>
  <c r="F191" i="1"/>
  <c r="F610" i="1"/>
  <c r="F54" i="1"/>
  <c r="F290" i="1"/>
  <c r="F894" i="1"/>
  <c r="F702" i="1"/>
  <c r="F565" i="1"/>
  <c r="F712" i="1"/>
  <c r="F544" i="1"/>
  <c r="F360" i="1"/>
  <c r="F613" i="1"/>
  <c r="F938" i="1"/>
  <c r="F1643" i="1"/>
  <c r="F646" i="1"/>
  <c r="F1375" i="1"/>
  <c r="F1374" i="1"/>
  <c r="F1160" i="1"/>
  <c r="F826" i="1"/>
  <c r="F1122" i="1"/>
  <c r="F584" i="1"/>
  <c r="F1371" i="1"/>
  <c r="F10" i="1"/>
  <c r="F1187" i="1"/>
  <c r="F815" i="1"/>
  <c r="F967" i="1"/>
  <c r="F1172" i="1"/>
  <c r="F701" i="1"/>
  <c r="F401" i="1"/>
  <c r="F16" i="1"/>
  <c r="F835" i="1"/>
  <c r="F957" i="1"/>
  <c r="F1198" i="1"/>
  <c r="F523" i="1"/>
  <c r="F914" i="1"/>
  <c r="F563" i="1"/>
  <c r="F367" i="1"/>
  <c r="F529" i="1"/>
  <c r="F1044" i="1"/>
  <c r="F1459" i="1"/>
  <c r="F517" i="1"/>
  <c r="F1498" i="1"/>
  <c r="F1445" i="1"/>
  <c r="F1170" i="1"/>
  <c r="F1419" i="1"/>
  <c r="F625" i="1"/>
  <c r="F169" i="1"/>
  <c r="F871" i="1"/>
  <c r="F964" i="1"/>
  <c r="F1426" i="1"/>
  <c r="F333" i="1"/>
  <c r="F219" i="1"/>
  <c r="F22" i="1"/>
  <c r="F1221" i="1"/>
  <c r="F432" i="1"/>
  <c r="F15" i="1"/>
  <c r="F827" i="1"/>
  <c r="F291" i="1"/>
  <c r="F1196" i="1"/>
  <c r="F753" i="1"/>
  <c r="F1706" i="1"/>
  <c r="F1247" i="1"/>
  <c r="F206" i="1"/>
  <c r="F492" i="1"/>
  <c r="F1201" i="1"/>
  <c r="F325" i="1"/>
  <c r="F1213" i="1"/>
  <c r="F21" i="1"/>
  <c r="F1230" i="1"/>
  <c r="F500" i="1"/>
  <c r="F1060" i="1"/>
  <c r="F1069" i="1"/>
  <c r="F1040" i="1"/>
  <c r="F629" i="1"/>
  <c r="F543" i="1"/>
  <c r="F696" i="1"/>
  <c r="F1038" i="1"/>
  <c r="F370" i="1"/>
  <c r="F180" i="1"/>
  <c r="F1670" i="1"/>
  <c r="F250" i="1"/>
  <c r="F929" i="1"/>
  <c r="F590" i="1"/>
  <c r="F1632" i="1"/>
  <c r="F184" i="1"/>
  <c r="F882" i="1"/>
  <c r="F1387" i="1"/>
  <c r="F926" i="1"/>
  <c r="F506" i="1"/>
  <c r="F403" i="1"/>
  <c r="F714" i="1"/>
  <c r="F1075" i="1"/>
  <c r="F155" i="1"/>
  <c r="F1317" i="1"/>
  <c r="F1036" i="1"/>
  <c r="F810" i="1"/>
  <c r="F1453" i="1"/>
  <c r="F1722" i="1"/>
  <c r="F966" i="1"/>
  <c r="F1244" i="1"/>
  <c r="F665" i="1"/>
  <c r="F879" i="1"/>
  <c r="F260" i="1"/>
  <c r="F910" i="1"/>
  <c r="F372" i="1"/>
  <c r="F1543" i="1"/>
  <c r="F1444" i="1"/>
  <c r="F705" i="1"/>
  <c r="F1138" i="1"/>
  <c r="F225" i="1"/>
  <c r="F777" i="1"/>
  <c r="F284" i="1"/>
  <c r="F1014" i="1"/>
  <c r="F1555" i="1"/>
  <c r="F501" i="1"/>
  <c r="F1715" i="1"/>
  <c r="F1197" i="1"/>
  <c r="F1002" i="1"/>
  <c r="F1456" i="1"/>
  <c r="F397" i="1"/>
  <c r="F418" i="1"/>
  <c r="F825" i="1"/>
  <c r="F296" i="1"/>
  <c r="F271" i="1"/>
  <c r="F1635" i="1"/>
  <c r="F693" i="1"/>
  <c r="F1458" i="1"/>
  <c r="F730" i="1"/>
  <c r="F489" i="1"/>
  <c r="F1177" i="1"/>
  <c r="F1546" i="1"/>
  <c r="F1361" i="1"/>
  <c r="F916" i="1"/>
  <c r="F547" i="1"/>
  <c r="F1298" i="1"/>
  <c r="F1342" i="1"/>
  <c r="F1049" i="1"/>
  <c r="F1388" i="1"/>
  <c r="F1339" i="1"/>
  <c r="F728" i="1"/>
  <c r="F558" i="1"/>
  <c r="F1011" i="1"/>
  <c r="F1191" i="1"/>
  <c r="F1381" i="1"/>
  <c r="F1192" i="1"/>
  <c r="F1156" i="1"/>
  <c r="F1517" i="1"/>
  <c r="F1062" i="1"/>
  <c r="F415" i="1"/>
  <c r="F1033" i="1"/>
  <c r="F462" i="1"/>
  <c r="F1538" i="1"/>
  <c r="F1067" i="1"/>
  <c r="F742" i="1"/>
  <c r="F1163" i="1"/>
  <c r="F531" i="1"/>
  <c r="F888" i="1"/>
  <c r="F86" i="1"/>
  <c r="F33" i="1"/>
  <c r="F1029" i="1"/>
  <c r="F76" i="1"/>
  <c r="F341" i="1"/>
  <c r="F1490" i="1"/>
  <c r="F883" i="1"/>
  <c r="F552" i="1"/>
  <c r="F1028" i="1"/>
  <c r="F1016" i="1"/>
  <c r="F984" i="1"/>
  <c r="F997" i="1"/>
  <c r="F784" i="1"/>
  <c r="F1188" i="1"/>
  <c r="F443" i="1"/>
  <c r="F1004" i="1"/>
  <c r="F1397" i="1"/>
  <c r="F1448" i="1"/>
  <c r="F828" i="1"/>
  <c r="F1343" i="1"/>
  <c r="F79" i="1"/>
  <c r="F101" i="1"/>
  <c r="F769" i="1"/>
  <c r="F1447" i="1"/>
  <c r="F502" i="1"/>
  <c r="F1127" i="1"/>
  <c r="F1301" i="1"/>
  <c r="F60" i="1"/>
  <c r="F1652" i="1"/>
  <c r="F733" i="1"/>
  <c r="F398" i="1"/>
  <c r="F1183" i="1"/>
  <c r="F399" i="1"/>
  <c r="F1612" i="1"/>
  <c r="F1073" i="1"/>
  <c r="F1695" i="1"/>
  <c r="F1274" i="1"/>
  <c r="F400" i="1"/>
  <c r="F1529" i="1"/>
  <c r="F1165" i="1"/>
  <c r="F955" i="1"/>
  <c r="F715" i="1"/>
  <c r="F38" i="1"/>
  <c r="F1166" i="1"/>
  <c r="F1629" i="1"/>
  <c r="F1199" i="1"/>
  <c r="F1275" i="1"/>
  <c r="F934" i="1"/>
  <c r="F1167" i="1"/>
  <c r="F1626" i="1"/>
  <c r="F731" i="1"/>
  <c r="F617" i="1"/>
  <c r="F1403" i="1"/>
  <c r="F420" i="1"/>
  <c r="F564" i="1"/>
  <c r="F645" i="1"/>
  <c r="F1623" i="1"/>
  <c r="F567" i="1"/>
  <c r="F80" i="1"/>
  <c r="F503" i="1"/>
  <c r="F340" i="1"/>
  <c r="F953" i="1"/>
  <c r="F378" i="1"/>
  <c r="F1357" i="1"/>
  <c r="F538" i="1"/>
  <c r="F406" i="1"/>
  <c r="F637" i="1"/>
  <c r="F1373" i="1"/>
  <c r="F1519" i="1"/>
  <c r="F482" i="1"/>
  <c r="F1364" i="1"/>
  <c r="F736" i="1"/>
  <c r="F994" i="1"/>
  <c r="F1530" i="1"/>
  <c r="F1048" i="1"/>
  <c r="F1020" i="1"/>
  <c r="F1019" i="1"/>
  <c r="F992" i="1"/>
  <c r="F1391" i="1"/>
  <c r="F1562" i="1"/>
  <c r="F1180" i="1"/>
  <c r="F1195" i="1"/>
  <c r="F1358" i="1"/>
  <c r="F1240" i="1"/>
  <c r="F314" i="1"/>
  <c r="F1574" i="1"/>
  <c r="F1241" i="1"/>
  <c r="F699" i="1"/>
  <c r="F118" i="1"/>
  <c r="F1563" i="1"/>
  <c r="F319" i="1"/>
  <c r="F692" i="1"/>
  <c r="F690" i="1"/>
  <c r="F342" i="1"/>
  <c r="F831" i="1"/>
  <c r="F337" i="1"/>
  <c r="F115" i="1"/>
  <c r="F140" i="1"/>
  <c r="F1194" i="1"/>
  <c r="F775" i="1"/>
  <c r="F1420" i="1"/>
  <c r="F138" i="1"/>
  <c r="F82" i="1"/>
  <c r="F990" i="1"/>
  <c r="F691" i="1"/>
  <c r="F162" i="1"/>
  <c r="F74" i="1"/>
  <c r="F675" i="1"/>
  <c r="F1716" i="1"/>
  <c r="F75" i="1"/>
  <c r="F328" i="1"/>
  <c r="F1662" i="1"/>
  <c r="F67" i="1"/>
  <c r="F172" i="1"/>
  <c r="F1552" i="1"/>
  <c r="F156" i="1"/>
  <c r="F932" i="1"/>
  <c r="F1684" i="1"/>
  <c r="F1690" i="1"/>
  <c r="F1505" i="1"/>
  <c r="F182" i="1"/>
  <c r="F1137" i="1"/>
  <c r="F1088" i="1"/>
  <c r="F478" i="1"/>
  <c r="F1338" i="1"/>
  <c r="F193" i="1"/>
  <c r="F561" i="1"/>
  <c r="F153" i="1"/>
  <c r="F236" i="1"/>
  <c r="F329" i="1"/>
  <c r="F524" i="1"/>
  <c r="F780" i="1"/>
  <c r="F261" i="1"/>
  <c r="F1466" i="1"/>
  <c r="F698" i="1"/>
  <c r="F1671" i="1"/>
  <c r="F1669" i="1"/>
  <c r="F880" i="1"/>
  <c r="F1061" i="1"/>
  <c r="F1193" i="1"/>
  <c r="F1526" i="1"/>
  <c r="F210" i="1"/>
  <c r="F972" i="1"/>
  <c r="F1672" i="1"/>
  <c r="F1548" i="1"/>
  <c r="F1306" i="1"/>
  <c r="F232" i="1"/>
  <c r="F447" i="1"/>
  <c r="F1226" i="1"/>
  <c r="F545" i="1"/>
  <c r="F2" i="1"/>
  <c r="F580" i="1"/>
  <c r="F404" i="1"/>
  <c r="F1232" i="1"/>
  <c r="F995" i="1"/>
  <c r="F278" i="1"/>
  <c r="F858" i="1"/>
  <c r="F139" i="1"/>
  <c r="F1356" i="1"/>
  <c r="F1185" i="1"/>
  <c r="F299" i="1"/>
  <c r="F368" i="1"/>
  <c r="F1697" i="1"/>
  <c r="F1319" i="1"/>
  <c r="F847" i="1"/>
  <c r="F89" i="1"/>
  <c r="F1288" i="1"/>
  <c r="F1212" i="1"/>
  <c r="F1110" i="1"/>
  <c r="F1280" i="1"/>
  <c r="F334" i="1"/>
  <c r="F1332" i="1"/>
  <c r="F1084" i="1"/>
  <c r="F1279" i="1"/>
  <c r="F135" i="1"/>
  <c r="F1334" i="1"/>
  <c r="F568" i="1"/>
  <c r="F1321" i="1"/>
  <c r="F1479" i="1"/>
  <c r="F695" i="1"/>
  <c r="F734" i="1"/>
  <c r="F46" i="1"/>
  <c r="F1189" i="1"/>
  <c r="F1640" i="1"/>
  <c r="F1173" i="1"/>
  <c r="F1341" i="1"/>
  <c r="F1592" i="1"/>
  <c r="F228" i="1"/>
  <c r="F233" i="1"/>
  <c r="F1572" i="1"/>
  <c r="F247" i="1"/>
  <c r="F275" i="1"/>
  <c r="F19" i="1"/>
  <c r="F551" i="1"/>
  <c r="F93" i="1"/>
  <c r="F945" i="1"/>
  <c r="F704" i="1"/>
  <c r="F1178" i="1"/>
  <c r="F848" i="1"/>
  <c r="F164" i="1"/>
  <c r="F811" i="1"/>
  <c r="F536" i="1"/>
  <c r="F1553" i="1"/>
  <c r="F1648" i="1"/>
  <c r="F1504" i="1"/>
  <c r="F213" i="1"/>
  <c r="F817" i="1"/>
  <c r="F596" i="1"/>
  <c r="F1473" i="1"/>
  <c r="F1654" i="1"/>
  <c r="F192" i="1"/>
  <c r="F1726" i="1"/>
  <c r="F41" i="1"/>
  <c r="F1727" i="1"/>
  <c r="F1707" i="1"/>
  <c r="F1527" i="1"/>
  <c r="F1251" i="1"/>
  <c r="F1694" i="1"/>
  <c r="F973" i="1"/>
  <c r="F915" i="1"/>
  <c r="F216" i="1"/>
  <c r="F37" i="1"/>
  <c r="F263" i="1"/>
  <c r="F621" i="1"/>
  <c r="F542" i="1"/>
  <c r="F1484" i="1"/>
  <c r="F48" i="1"/>
  <c r="F1544" i="1"/>
  <c r="F1105" i="1"/>
  <c r="F1528" i="1"/>
  <c r="F202" i="1"/>
  <c r="F1335" i="1"/>
  <c r="F1617" i="1"/>
  <c r="F1243" i="1"/>
  <c r="F1704" i="1"/>
  <c r="F1155" i="1"/>
  <c r="F198" i="1"/>
  <c r="F756" i="1"/>
  <c r="F1158" i="1"/>
  <c r="F179" i="1"/>
  <c r="F1708" i="1"/>
  <c r="F946" i="1"/>
  <c r="F1488" i="1"/>
  <c r="F414" i="1"/>
  <c r="F676" i="1"/>
  <c r="F43" i="1"/>
  <c r="F842" i="1"/>
  <c r="F641" i="1"/>
  <c r="F160" i="1"/>
  <c r="F411" i="1"/>
  <c r="F168" i="1"/>
  <c r="F1346" i="1"/>
  <c r="F1179" i="1"/>
  <c r="F991" i="1"/>
  <c r="F1491" i="1"/>
  <c r="F1578" i="1"/>
  <c r="F1549" i="1"/>
  <c r="F822" i="1"/>
  <c r="F347" i="1"/>
  <c r="F1687" i="1"/>
  <c r="F1119" i="1"/>
  <c r="F109" i="1"/>
  <c r="F343" i="1"/>
  <c r="F425" i="1"/>
  <c r="F560" i="1"/>
  <c r="F1310" i="1"/>
  <c r="F794" i="1"/>
  <c r="F1564" i="1"/>
  <c r="F685" i="1"/>
  <c r="F678" i="1"/>
  <c r="F1059" i="1"/>
  <c r="F1657" i="1"/>
  <c r="F1072" i="1"/>
  <c r="F884" i="1"/>
  <c r="F171" i="1"/>
  <c r="F1389" i="1"/>
  <c r="F767" i="1"/>
  <c r="F739" i="1"/>
  <c r="F105" i="1"/>
  <c r="F859" i="1"/>
  <c r="F1411" i="1"/>
  <c r="F1424" i="1"/>
  <c r="F321" i="1"/>
  <c r="F1326" i="1"/>
  <c r="F1104" i="1"/>
  <c r="F1277" i="1"/>
  <c r="F1313" i="1"/>
  <c r="F1051" i="1"/>
  <c r="F300" i="1"/>
  <c r="F298" i="1"/>
  <c r="F768" i="1"/>
  <c r="F921" i="1"/>
  <c r="F761" i="1"/>
  <c r="F941" i="1"/>
  <c r="F1312" i="1"/>
  <c r="F622" i="1"/>
  <c r="F1296" i="1"/>
  <c r="F326" i="1"/>
  <c r="F1380" i="1"/>
  <c r="F1653" i="1"/>
  <c r="F1405" i="1"/>
  <c r="F158" i="1"/>
  <c r="F983" i="1"/>
  <c r="F374" i="1"/>
  <c r="F194" i="1"/>
  <c r="F1586" i="1"/>
  <c r="F511" i="1"/>
  <c r="F199" i="1"/>
  <c r="F392" i="1"/>
  <c r="F442" i="1"/>
  <c r="F195" i="1"/>
  <c r="F1331" i="1"/>
  <c r="F981" i="1"/>
  <c r="F152" i="1"/>
  <c r="F1431" i="1"/>
  <c r="F982" i="1"/>
  <c r="F1400" i="1"/>
  <c r="F132" i="1"/>
  <c r="F97" i="1"/>
  <c r="F287" i="1"/>
  <c r="F1507" i="1"/>
  <c r="F1102" i="1"/>
  <c r="F147" i="1"/>
  <c r="F85" i="1"/>
  <c r="F856" i="1"/>
  <c r="F36" i="1"/>
  <c r="F846" i="1"/>
  <c r="F1320" i="1"/>
  <c r="F1680" i="1"/>
  <c r="F951" i="1"/>
  <c r="F1542" i="1"/>
  <c r="F516" i="1"/>
  <c r="F1717" i="1"/>
  <c r="F470" i="1"/>
  <c r="F483" i="1"/>
  <c r="F1254" i="1"/>
  <c r="F1253" i="1"/>
  <c r="F268" i="1"/>
  <c r="F512" i="1"/>
  <c r="F167" i="1"/>
  <c r="F1273" i="1"/>
  <c r="F766" i="1"/>
  <c r="F1560" i="1"/>
  <c r="F461" i="1"/>
  <c r="F458" i="1"/>
  <c r="F716" i="1"/>
  <c r="F471" i="1"/>
  <c r="F455" i="1"/>
  <c r="F1501" i="1"/>
  <c r="F1569" i="1"/>
  <c r="F1379" i="1"/>
  <c r="F456" i="1"/>
  <c r="F1567" i="1"/>
  <c r="F122" i="1"/>
  <c r="F818" i="1"/>
  <c r="F1376" i="1"/>
  <c r="F1725" i="1"/>
  <c r="F1053" i="1"/>
  <c r="F793" i="1"/>
  <c r="F144" i="1"/>
  <c r="F1675" i="1"/>
  <c r="F677" i="1"/>
  <c r="F683" i="1"/>
  <c r="F441" i="1"/>
  <c r="F513" i="1"/>
  <c r="F146" i="1"/>
  <c r="F353" i="1"/>
  <c r="F1642" i="1"/>
  <c r="F491" i="1"/>
  <c r="F1482" i="1"/>
  <c r="F433" i="1"/>
  <c r="F1496" i="1"/>
  <c r="F355" i="1"/>
  <c r="F4" i="1"/>
  <c r="F1157" i="1"/>
  <c r="F1568" i="1"/>
  <c r="F25" i="1"/>
  <c r="F1047" i="1"/>
  <c r="F114" i="1"/>
  <c r="F68" i="1"/>
  <c r="F1468" i="1"/>
  <c r="F350" i="1"/>
  <c r="F931" i="1"/>
  <c r="F1415" i="1"/>
  <c r="F1360" i="1"/>
  <c r="F1493" i="1"/>
  <c r="F1083" i="1"/>
  <c r="F55" i="1"/>
  <c r="F573" i="1"/>
  <c r="F781" i="1"/>
  <c r="F1663" i="1"/>
  <c r="F12" i="1"/>
  <c r="F151" i="1"/>
  <c r="F747" i="1"/>
  <c r="F1537" i="1"/>
  <c r="F1621" i="1"/>
  <c r="F437" i="1"/>
  <c r="F1362" i="1"/>
  <c r="F703" i="1"/>
  <c r="F1046" i="1"/>
  <c r="F1606" i="1"/>
  <c r="F627" i="1"/>
  <c r="F1607" i="1"/>
  <c r="F1576" i="1"/>
  <c r="F711" i="1"/>
  <c r="F439" i="1"/>
  <c r="F257" i="1"/>
  <c r="F787" i="1"/>
  <c r="F877" i="1"/>
  <c r="F1636" i="1"/>
  <c r="F1399" i="1"/>
  <c r="F379" i="1"/>
  <c r="F673" i="1"/>
  <c r="F1627" i="1"/>
  <c r="F276" i="1"/>
  <c r="F149" i="1"/>
  <c r="F634" i="1"/>
  <c r="F465" i="1"/>
  <c r="F624" i="1"/>
  <c r="F782" i="1"/>
  <c r="F134" i="1"/>
  <c r="F445" i="1"/>
  <c r="F706" i="1"/>
  <c r="F1446" i="1"/>
  <c r="F697" i="1"/>
  <c r="F1524" i="1"/>
  <c r="F279" i="1"/>
  <c r="F772" i="1"/>
  <c r="F1698" i="1"/>
  <c r="F364" i="1"/>
  <c r="F1565" i="1"/>
  <c r="F1573" i="1"/>
  <c r="F632" i="1"/>
  <c r="F1418" i="1"/>
  <c r="F633" i="1"/>
  <c r="F796" i="1"/>
  <c r="F1610" i="1"/>
  <c r="F490" i="1"/>
  <c r="F956" i="1"/>
  <c r="F66" i="1"/>
  <c r="F1432" i="1"/>
  <c r="F1329" i="1"/>
  <c r="F944" i="1"/>
  <c r="F1096" i="1"/>
  <c r="F1392" i="1"/>
  <c r="F1315" i="1"/>
  <c r="F1481" i="1"/>
  <c r="F708" i="1"/>
  <c r="F130" i="1"/>
  <c r="F947" i="1"/>
  <c r="F943" i="1"/>
  <c r="F626" i="1"/>
  <c r="F1063" i="1"/>
  <c r="F1435" i="1"/>
  <c r="F1604" i="1"/>
  <c r="F791" i="1"/>
  <c r="F799" i="1"/>
  <c r="F1438" i="1"/>
  <c r="F1099" i="1"/>
  <c r="F1114" i="1"/>
  <c r="F302" i="1"/>
  <c r="F51" i="1"/>
  <c r="F533" i="1"/>
  <c r="F1281" i="1"/>
  <c r="F608" i="1"/>
  <c r="F971" i="1"/>
  <c r="F1025" i="1"/>
  <c r="F339" i="1"/>
  <c r="F335" i="1"/>
  <c r="F867" i="1"/>
  <c r="F1276" i="1"/>
  <c r="F249" i="1"/>
  <c r="F113" i="1"/>
  <c r="F970" i="1"/>
  <c r="F548" i="1"/>
  <c r="F1005" i="1"/>
  <c r="F1034" i="1"/>
  <c r="F1113" i="1"/>
  <c r="F1370" i="1"/>
  <c r="F384" i="1"/>
  <c r="F157" i="1"/>
  <c r="F208" i="1"/>
  <c r="F1092" i="1"/>
  <c r="F163" i="1"/>
  <c r="F218" i="1"/>
  <c r="F100" i="1"/>
  <c r="F1372" i="1"/>
  <c r="F1674" i="1"/>
  <c r="F42" i="1"/>
  <c r="F1709" i="1"/>
  <c r="F600" i="1"/>
  <c r="F918" i="1"/>
  <c r="F369" i="1"/>
  <c r="F872" i="1"/>
  <c r="F1713" i="1"/>
  <c r="F1055" i="1"/>
  <c r="F178" i="1"/>
  <c r="F1478" i="1"/>
  <c r="F919" i="1"/>
  <c r="F1050" i="1"/>
  <c r="F1037" i="1"/>
  <c r="F1041" i="1"/>
  <c r="F47" i="1"/>
  <c r="F515" i="1"/>
  <c r="F1017" i="1"/>
  <c r="F499" i="1"/>
  <c r="F808" i="1"/>
  <c r="F1377" i="1"/>
  <c r="F521" i="1"/>
  <c r="F1472" i="1"/>
  <c r="F581" i="1"/>
  <c r="F1714" i="1"/>
  <c r="F1089" i="1"/>
  <c r="F1723" i="1"/>
  <c r="F1693" i="1"/>
  <c r="F557" i="1"/>
  <c r="F807" i="1"/>
  <c r="F672" i="1"/>
  <c r="F45" i="1"/>
  <c r="F1042" i="1"/>
  <c r="F315" i="1"/>
  <c r="F1712" i="1"/>
  <c r="F1477" i="1"/>
  <c r="F496" i="1"/>
  <c r="F679" i="1"/>
  <c r="F1109" i="1"/>
  <c r="F805" i="1"/>
  <c r="F1701" i="1"/>
  <c r="F245" i="1"/>
  <c r="F324" i="1"/>
  <c r="F660" i="1"/>
  <c r="F1009" i="1"/>
  <c r="F644" i="1"/>
  <c r="F786" i="1"/>
  <c r="F434" i="1"/>
  <c r="F365" i="1"/>
  <c r="F331" i="1"/>
  <c r="F293" i="1"/>
  <c r="F338" i="1"/>
  <c r="F363" i="1"/>
  <c r="F143" i="1"/>
  <c r="F903" i="1"/>
  <c r="F707" i="1"/>
  <c r="F640" i="1"/>
  <c r="F148" i="1"/>
  <c r="F1656" i="1"/>
  <c r="F681" i="1"/>
  <c r="F1149" i="1"/>
  <c r="F896" i="1"/>
  <c r="F912" i="1"/>
  <c r="F850" i="1"/>
  <c r="F469" i="1"/>
  <c r="F1613" i="1"/>
  <c r="F1625" i="1"/>
  <c r="F203" i="1"/>
  <c r="F1539" i="1"/>
  <c r="F653" i="1"/>
  <c r="F852" i="1"/>
  <c r="F727" i="1"/>
  <c r="F833" i="1"/>
  <c r="F3" i="1"/>
  <c r="F137" i="1"/>
  <c r="F408" i="1"/>
  <c r="F361" i="1"/>
  <c r="F684" i="1"/>
  <c r="F1123" i="1"/>
  <c r="F555" i="1"/>
  <c r="F476" i="1"/>
  <c r="F1531" i="1"/>
  <c r="F652" i="1"/>
  <c r="F680" i="1"/>
  <c r="F28" i="1"/>
  <c r="F1597" i="1"/>
  <c r="F1132" i="1"/>
  <c r="F1064" i="1"/>
  <c r="F623" i="1"/>
  <c r="F1150" i="1"/>
  <c r="F1369" i="1"/>
  <c r="F585" i="1"/>
  <c r="F133" i="1"/>
  <c r="F663" i="1"/>
  <c r="F1541" i="1"/>
  <c r="F1035" i="1"/>
  <c r="F1144" i="1"/>
  <c r="F1421" i="1"/>
  <c r="F1065" i="1"/>
  <c r="F1174" i="1"/>
  <c r="F927" i="1"/>
  <c r="F1077" i="1"/>
  <c r="F1587" i="1"/>
  <c r="F1078" i="1"/>
  <c r="F1176" i="1"/>
  <c r="F52" i="1"/>
  <c r="F1590" i="1"/>
  <c r="F1506" i="1"/>
  <c r="F892" i="1"/>
  <c r="F1186" i="1"/>
  <c r="F362" i="1"/>
  <c r="F303" i="1"/>
  <c r="F1595" i="1"/>
  <c r="F24" i="1"/>
  <c r="F1594" i="1"/>
  <c r="F1129" i="1"/>
  <c r="F1465" i="1"/>
  <c r="F1396" i="1"/>
  <c r="F317" i="1"/>
  <c r="F141" i="1"/>
  <c r="F1600" i="1"/>
  <c r="F1007" i="1"/>
  <c r="F604" i="1"/>
  <c r="F923" i="1"/>
  <c r="F177" i="1"/>
  <c r="F674" i="1"/>
  <c r="F1263" i="1"/>
  <c r="F154" i="1"/>
  <c r="F150" i="1"/>
  <c r="F58" i="1"/>
  <c r="F211" i="1"/>
  <c r="F906" i="1"/>
  <c r="F65" i="1"/>
  <c r="F589" i="1"/>
  <c r="F1056" i="1"/>
  <c r="F1499" i="1"/>
  <c r="F1057" i="1"/>
  <c r="F740" i="1"/>
  <c r="F999" i="1"/>
  <c r="F1437" i="1"/>
  <c r="F307" i="1"/>
  <c r="F1268" i="1"/>
  <c r="F1290" i="1"/>
  <c r="F1071" i="1"/>
  <c r="F280" i="1"/>
  <c r="F755" i="1"/>
  <c r="F304" i="1"/>
  <c r="F1058" i="1"/>
  <c r="F1184" i="1"/>
  <c r="F550" i="1"/>
  <c r="F344" i="1"/>
  <c r="F18" i="1"/>
  <c r="F1584" i="1"/>
  <c r="F310" i="1"/>
  <c r="F878" i="1"/>
  <c r="F460" i="1"/>
  <c r="F1699" i="1"/>
  <c r="F605" i="1"/>
  <c r="F345" i="1"/>
  <c r="F898" i="1"/>
  <c r="F239" i="1"/>
  <c r="F1052" i="1"/>
  <c r="F779" i="1"/>
  <c r="F1451" i="1"/>
  <c r="F1500" i="1"/>
  <c r="F1265" i="1"/>
  <c r="F659" i="1"/>
  <c r="F136" i="1"/>
  <c r="F554" i="1"/>
  <c r="F1628" i="1"/>
  <c r="F1168" i="1"/>
  <c r="F1000" i="1"/>
  <c r="F643" i="1"/>
  <c r="F1325" i="1"/>
  <c r="F575" i="1"/>
  <c r="F1018" i="1"/>
  <c r="F1633" i="1"/>
  <c r="F373" i="1"/>
  <c r="F1270" i="1"/>
  <c r="F327" i="1"/>
  <c r="F1015" i="1"/>
  <c r="F1449" i="1"/>
  <c r="F1395" i="1"/>
  <c r="F196" i="1"/>
  <c r="F1103" i="1"/>
  <c r="F312" i="1"/>
  <c r="F166" i="1"/>
  <c r="F1108" i="1"/>
  <c r="F348" i="1"/>
  <c r="F282" i="1"/>
  <c r="F377" i="1"/>
  <c r="F165" i="1"/>
  <c r="F917" i="1"/>
  <c r="F356" i="1"/>
  <c r="F264" i="1"/>
  <c r="F1609" i="1"/>
  <c r="F357" i="1"/>
  <c r="F1328" i="1"/>
  <c r="F718" i="1"/>
  <c r="F485" i="1"/>
  <c r="F720" i="1"/>
  <c r="F201" i="1"/>
  <c r="F229" i="1"/>
  <c r="F237" i="1"/>
  <c r="F843" i="1"/>
  <c r="F861" i="1"/>
  <c r="F1027" i="1"/>
  <c r="F1146" i="1"/>
  <c r="F226" i="1"/>
  <c r="F574" i="1"/>
  <c r="F1164" i="1"/>
  <c r="F606" i="1"/>
  <c r="F1074" i="1"/>
  <c r="F985" i="1"/>
  <c r="F587" i="1"/>
  <c r="F170" i="1"/>
  <c r="F773" i="1"/>
  <c r="F27" i="1"/>
  <c r="F305" i="1"/>
  <c r="F311" i="1"/>
  <c r="F1327" i="1"/>
  <c r="F197" i="1"/>
  <c r="F200" i="1"/>
  <c r="F631" i="1"/>
  <c r="F1262" i="1"/>
  <c r="F352" i="1"/>
  <c r="F1593" i="1"/>
  <c r="F1032" i="1"/>
  <c r="F457" i="1"/>
  <c r="F283" i="1"/>
  <c r="F1551" i="1"/>
  <c r="F217" i="1"/>
  <c r="F1383" i="1"/>
  <c r="F354" i="1"/>
  <c r="F504" i="1"/>
  <c r="F860" i="1"/>
  <c r="F530" i="1"/>
  <c r="F273" i="1"/>
  <c r="F1602" i="1"/>
  <c r="F1423" i="1"/>
  <c r="F1006" i="1"/>
  <c r="F532" i="1"/>
  <c r="F1521" i="1"/>
  <c r="F1378" i="1"/>
  <c r="F1336" i="1"/>
  <c r="F1147" i="1"/>
  <c r="F721" i="1"/>
  <c r="F1175" i="1"/>
  <c r="F893" i="1"/>
  <c r="F472" i="1"/>
  <c r="F952" i="1"/>
  <c r="F454" i="1"/>
  <c r="F1495" i="1"/>
  <c r="F297" i="1"/>
  <c r="F844" i="1"/>
  <c r="F1001" i="1"/>
  <c r="F56" i="1"/>
  <c r="F1658" i="1"/>
  <c r="F1394" i="1"/>
  <c r="F1151" i="1"/>
  <c r="F1068" i="1"/>
  <c r="F1622" i="1"/>
  <c r="F1596" i="1"/>
  <c r="F104" i="1"/>
  <c r="F349" i="1"/>
  <c r="F91" i="1"/>
  <c r="F142" i="1"/>
  <c r="F301" i="1"/>
  <c r="F635" i="1"/>
  <c r="F269" i="1"/>
  <c r="F1235" i="1"/>
  <c r="F40" i="1"/>
  <c r="F1272" i="1"/>
  <c r="F1318" i="1"/>
  <c r="F1443" i="1"/>
  <c r="F1031" i="1"/>
  <c r="F616" i="1"/>
  <c r="F1427" i="1"/>
  <c r="F619" i="1"/>
  <c r="F440" i="1"/>
  <c r="F836" i="1"/>
  <c r="F1039" i="1"/>
  <c r="F1616" i="1"/>
  <c r="F26" i="1"/>
  <c r="F1545" i="1"/>
  <c r="F829" i="1"/>
  <c r="F993" i="1"/>
  <c r="F1242" i="1"/>
  <c r="F582" i="1"/>
  <c r="F49" i="1"/>
  <c r="F1661" i="1"/>
  <c r="F50" i="1"/>
  <c r="F556" i="1"/>
  <c r="F468" i="1"/>
  <c r="F63" i="1"/>
  <c r="F1401" i="1"/>
  <c r="F1314" i="1"/>
  <c r="F1724" i="1"/>
  <c r="F1442" i="1"/>
  <c r="F788" i="1"/>
  <c r="F669" i="1"/>
  <c r="F800" i="1"/>
  <c r="F44" i="1"/>
  <c r="F783" i="1"/>
  <c r="F1030" i="1"/>
  <c r="F1070" i="1"/>
  <c r="F1311" i="1"/>
  <c r="F1535" i="1"/>
  <c r="F62" i="1"/>
  <c r="F1533" i="1"/>
  <c r="F1532" i="1"/>
  <c r="F474" i="1"/>
  <c r="F73" i="1"/>
  <c r="F559" i="1"/>
  <c r="F464" i="1"/>
  <c r="F998" i="1"/>
  <c r="F438" i="1"/>
  <c r="F1430" i="1"/>
  <c r="F1408" i="1"/>
  <c r="F670" i="1"/>
  <c r="F792" i="1"/>
  <c r="F830" i="1"/>
  <c r="F620" i="1"/>
  <c r="F649" i="1"/>
  <c r="F1414" i="1"/>
  <c r="F11" i="1"/>
  <c r="F61" i="1"/>
  <c r="F1140" i="1"/>
  <c r="F267" i="1"/>
  <c r="F1429" i="1"/>
  <c r="F1413" i="1"/>
  <c r="F77" i="1"/>
  <c r="F204" i="1"/>
  <c r="F32" i="1"/>
  <c r="F1330" i="1"/>
  <c r="F1598" i="1"/>
  <c r="F1386" i="1"/>
  <c r="F1239" i="1"/>
  <c r="F1261" i="1"/>
  <c r="F1246" i="1"/>
  <c r="F1291" i="1"/>
  <c r="F607" i="1"/>
  <c r="F1066" i="1"/>
  <c r="F1269" i="1"/>
  <c r="F1509" i="1"/>
  <c r="F346" i="1"/>
  <c r="F832" i="1"/>
  <c r="F1561" i="1"/>
  <c r="F281" i="1"/>
  <c r="F776" i="1"/>
  <c r="F1514" i="1"/>
  <c r="F1043" i="1"/>
  <c r="E666" i="1"/>
  <c r="E928" i="1"/>
  <c r="E899" i="1"/>
  <c r="E382" i="1"/>
  <c r="E723" i="1"/>
  <c r="E175" i="1"/>
  <c r="E725" i="1"/>
  <c r="E8" i="1"/>
  <c r="E801" i="1"/>
  <c r="E1090" i="1"/>
  <c r="E1259" i="1"/>
  <c r="E481" i="1"/>
  <c r="E1087" i="1"/>
  <c r="E209" i="1"/>
  <c r="E1591" i="1"/>
  <c r="E809" i="1"/>
  <c r="E39" i="1"/>
  <c r="E862" i="1"/>
  <c r="E930" i="1"/>
  <c r="E527" i="1"/>
  <c r="E402" i="1"/>
  <c r="E1252" i="1"/>
  <c r="E647" i="1"/>
  <c r="E7" i="1"/>
  <c r="E1307" i="1"/>
  <c r="E466" i="1"/>
  <c r="E571" i="1"/>
  <c r="E1115" i="1"/>
  <c r="E738" i="1"/>
  <c r="E405" i="1"/>
  <c r="E1588" i="1"/>
  <c r="E1210" i="1"/>
  <c r="E1667" i="1"/>
  <c r="E1558" i="1"/>
  <c r="E719" i="1"/>
  <c r="E1085" i="1"/>
  <c r="E940" i="1"/>
  <c r="E1647" i="1"/>
  <c r="E963" i="1"/>
  <c r="E1646" i="1"/>
  <c r="E562" i="1"/>
  <c r="E942" i="1"/>
  <c r="E1589" i="1"/>
  <c r="E1304" i="1"/>
  <c r="E969" i="1"/>
  <c r="E234" i="1"/>
  <c r="E359" i="1"/>
  <c r="E754" i="1"/>
  <c r="E1460" i="1"/>
  <c r="E824" i="1"/>
  <c r="E961" i="1"/>
  <c r="E798" i="1"/>
  <c r="E1344" i="1"/>
  <c r="E294" i="1"/>
  <c r="E960" i="1"/>
  <c r="E868" i="1"/>
  <c r="E978" i="1"/>
  <c r="E1497" i="1"/>
  <c r="E1503" i="1"/>
  <c r="E959" i="1"/>
  <c r="E962" i="1"/>
  <c r="E235" i="1"/>
  <c r="E1705" i="1"/>
  <c r="E72" i="1"/>
  <c r="E746" i="1"/>
  <c r="E1638" i="1"/>
  <c r="E1649" i="1"/>
  <c r="E572" i="1"/>
  <c r="E724" i="1"/>
  <c r="E1107" i="1"/>
  <c r="E510" i="1"/>
  <c r="E1355" i="1"/>
  <c r="E514" i="1"/>
  <c r="E390" i="1"/>
  <c r="E380" i="1"/>
  <c r="E1685" i="1"/>
  <c r="E958" i="1"/>
  <c r="E1666" i="1"/>
  <c r="E648" i="1"/>
  <c r="E256" i="1"/>
  <c r="E566" i="1"/>
  <c r="E385" i="1"/>
  <c r="E1293" i="1"/>
  <c r="E977" i="1"/>
  <c r="E1142" i="1"/>
  <c r="E285" i="1"/>
  <c r="E526" i="1"/>
  <c r="E979" i="1"/>
  <c r="E322" i="1"/>
  <c r="E258" i="1"/>
  <c r="E505" i="1"/>
  <c r="E980" i="1"/>
  <c r="E642" i="1"/>
  <c r="E1683" i="1"/>
  <c r="E975" i="1"/>
  <c r="E1349" i="1"/>
  <c r="E1470" i="1"/>
  <c r="E376" i="1"/>
  <c r="E570" i="1"/>
  <c r="E238" i="1"/>
  <c r="E507" i="1"/>
  <c r="E277" i="1"/>
  <c r="E88" i="1"/>
  <c r="E615" i="1"/>
  <c r="E1645" i="1"/>
  <c r="E636" i="1"/>
  <c r="E650" i="1"/>
  <c r="E395" i="1"/>
  <c r="E662" i="1"/>
  <c r="E1433" i="1"/>
  <c r="E1347" i="1"/>
  <c r="E713" i="1"/>
  <c r="E797" i="1"/>
  <c r="E1286" i="1"/>
  <c r="E1639" i="1"/>
  <c r="E988" i="1"/>
  <c r="E1143" i="1"/>
  <c r="E729" i="1"/>
  <c r="E1250" i="1"/>
  <c r="E221" i="1"/>
  <c r="E103" i="1"/>
  <c r="E1508" i="1"/>
  <c r="E1677" i="1"/>
  <c r="E1299" i="1"/>
  <c r="E897" i="1"/>
  <c r="E525" i="1"/>
  <c r="E668" i="1"/>
  <c r="E1294" i="1"/>
  <c r="E391" i="1"/>
  <c r="E1682" i="1"/>
  <c r="E1665" i="1"/>
  <c r="E84" i="1"/>
  <c r="E802" i="1"/>
  <c r="E107" i="1"/>
  <c r="E1540" i="1"/>
  <c r="E323" i="1"/>
  <c r="E1354" i="1"/>
  <c r="E1678" i="1"/>
  <c r="E473" i="1"/>
  <c r="E393" i="1"/>
  <c r="E452" i="1"/>
  <c r="E383" i="1"/>
  <c r="E618" i="1"/>
  <c r="E224" i="1"/>
  <c r="E396" i="1"/>
  <c r="E1260" i="1"/>
  <c r="E59" i="1"/>
  <c r="E1644" i="1"/>
  <c r="E1292" i="1"/>
  <c r="E1575" i="1"/>
  <c r="E762" i="1"/>
  <c r="E1245" i="1"/>
  <c r="E1200" i="1"/>
  <c r="E1267" i="1"/>
  <c r="E330" i="1"/>
  <c r="E902" i="1"/>
  <c r="E1577" i="1"/>
  <c r="E1614" i="1"/>
  <c r="E1211" i="1"/>
  <c r="E1117" i="1"/>
  <c r="E1153" i="1"/>
  <c r="E1536" i="1"/>
  <c r="E948" i="1"/>
  <c r="E1579" i="1"/>
  <c r="E69" i="1"/>
  <c r="E272" i="1"/>
  <c r="E31" i="1"/>
  <c r="E1190" i="1"/>
  <c r="E1255" i="1"/>
  <c r="E1258" i="1"/>
  <c r="E1134" i="1"/>
  <c r="E887" i="1"/>
  <c r="E266" i="1"/>
  <c r="E94" i="1"/>
  <c r="E332" i="1"/>
  <c r="E1454" i="1"/>
  <c r="E1351" i="1"/>
  <c r="E1118" i="1"/>
  <c r="E1382" i="1"/>
  <c r="E759" i="1"/>
  <c r="E920" i="1"/>
  <c r="E1266" i="1"/>
  <c r="E905" i="1"/>
  <c r="E819" i="1"/>
  <c r="E409" i="1"/>
  <c r="E270" i="1"/>
  <c r="E854" i="1"/>
  <c r="E849" i="1"/>
  <c r="E1257" i="1"/>
  <c r="E936" i="1"/>
  <c r="E760" i="1"/>
  <c r="E528" i="1"/>
  <c r="E1135" i="1"/>
  <c r="E758" i="1"/>
  <c r="E651" i="1"/>
  <c r="E212" i="1"/>
  <c r="E1476" i="1"/>
  <c r="E1079" i="1"/>
  <c r="E1249" i="1"/>
  <c r="E806" i="1"/>
  <c r="E479" i="1"/>
  <c r="E477" i="1"/>
  <c r="E1082" i="1"/>
  <c r="E498" i="1"/>
  <c r="E592" i="1"/>
  <c r="E318" i="1"/>
  <c r="E1513" i="1"/>
  <c r="E745" i="1"/>
  <c r="E1520" i="1"/>
  <c r="E757" i="1"/>
  <c r="E913" i="1"/>
  <c r="E1214" i="1"/>
  <c r="E875" i="1"/>
  <c r="E1550" i="1"/>
  <c r="E891" i="1"/>
  <c r="E1547" i="1"/>
  <c r="E313" i="1"/>
  <c r="E1216" i="1"/>
  <c r="E1219" i="1"/>
  <c r="E1215" i="1"/>
  <c r="E1121" i="1"/>
  <c r="E873" i="1"/>
  <c r="E949" i="1"/>
  <c r="E732" i="1"/>
  <c r="E410" i="1"/>
  <c r="E845" i="1"/>
  <c r="E412" i="1"/>
  <c r="E1494" i="1"/>
  <c r="E1080" i="1"/>
  <c r="E394" i="1"/>
  <c r="E863" i="1"/>
  <c r="E176" i="1"/>
  <c r="E1231" i="1"/>
  <c r="E1227" i="1"/>
  <c r="E795" i="1"/>
  <c r="E789" i="1"/>
  <c r="E839" i="1"/>
  <c r="E254" i="1"/>
  <c r="E1571" i="1"/>
  <c r="E417" i="1"/>
  <c r="E602" i="1"/>
  <c r="E1091" i="1"/>
  <c r="E416" i="1"/>
  <c r="E419" i="1"/>
  <c r="E717" i="1"/>
  <c r="E173" i="1"/>
  <c r="E306" i="1"/>
  <c r="E601" i="1"/>
  <c r="E743" i="1"/>
  <c r="E1402" i="1"/>
  <c r="E1692" i="1"/>
  <c r="E124" i="1"/>
  <c r="E495" i="1"/>
  <c r="E735" i="1"/>
  <c r="E34" i="1"/>
  <c r="E1534" i="1"/>
  <c r="E262" i="1"/>
  <c r="E855" i="1"/>
  <c r="E749" i="1"/>
  <c r="E612" i="1"/>
  <c r="E1556" i="1"/>
  <c r="E70" i="1"/>
  <c r="E840" i="1"/>
  <c r="E1236" i="1"/>
  <c r="E671" i="1"/>
  <c r="E537" i="1"/>
  <c r="E954" i="1"/>
  <c r="E1100" i="1"/>
  <c r="E1359" i="1"/>
  <c r="E614" i="1"/>
  <c r="E1618" i="1"/>
  <c r="E603" i="1"/>
  <c r="E125" i="1"/>
  <c r="E1337" i="1"/>
  <c r="E694" i="1"/>
  <c r="E876" i="1"/>
  <c r="E1228" i="1"/>
  <c r="E366" i="1"/>
  <c r="E1611" i="1"/>
  <c r="E1345" i="1"/>
  <c r="E785" i="1"/>
  <c r="E99" i="1"/>
  <c r="E371" i="1"/>
  <c r="E413" i="1"/>
  <c r="E292" i="1"/>
  <c r="E1525" i="1"/>
  <c r="E549" i="1"/>
  <c r="E1452" i="1"/>
  <c r="E375" i="1"/>
  <c r="E119" i="1"/>
  <c r="E1619" i="1"/>
  <c r="E1615" i="1"/>
  <c r="E1278" i="1"/>
  <c r="E381" i="1"/>
  <c r="E1116" i="1"/>
  <c r="E834" i="1"/>
  <c r="E1112" i="1"/>
  <c r="E128" i="1"/>
  <c r="E1283" i="1"/>
  <c r="E1003" i="1"/>
  <c r="E1352" i="1"/>
  <c r="E427" i="1"/>
  <c r="E223" i="1"/>
  <c r="E215" i="1"/>
  <c r="E812" i="1"/>
  <c r="E774" i="1"/>
  <c r="E241" i="1"/>
  <c r="E231" i="1"/>
  <c r="E423" i="1"/>
  <c r="E421" i="1"/>
  <c r="E1384" i="1"/>
  <c r="E726" i="1"/>
  <c r="E288" i="1"/>
  <c r="E974" i="1"/>
  <c r="E518" i="1"/>
  <c r="E316" i="1"/>
  <c r="E117" i="1"/>
  <c r="E289" i="1"/>
  <c r="E1136" i="1"/>
  <c r="E664" i="1"/>
  <c r="E1718" i="1"/>
  <c r="E1367" i="1"/>
  <c r="E986" i="1"/>
  <c r="E813" i="1"/>
  <c r="E1368" i="1"/>
  <c r="E246" i="1"/>
  <c r="E1696" i="1"/>
  <c r="E987" i="1"/>
  <c r="E1620" i="1"/>
  <c r="E1409" i="1"/>
  <c r="E1570" i="1"/>
  <c r="E1169" i="1"/>
  <c r="E1390" i="1"/>
  <c r="E1655" i="1"/>
  <c r="E426" i="1"/>
  <c r="E309" i="1"/>
  <c r="E308" i="1"/>
  <c r="E120" i="1"/>
  <c r="E129" i="1"/>
  <c r="E435" i="1"/>
  <c r="E1417" i="1"/>
  <c r="E748" i="1"/>
  <c r="E1348" i="1"/>
  <c r="E131" i="1"/>
  <c r="E1045" i="1"/>
  <c r="E126" i="1"/>
  <c r="E989" i="1"/>
  <c r="E837" i="1"/>
  <c r="E1093" i="1"/>
  <c r="E1630" i="1"/>
  <c r="E816" i="1"/>
  <c r="E259" i="1"/>
  <c r="E243" i="1"/>
  <c r="E578" i="1"/>
  <c r="E579" i="1"/>
  <c r="E244" i="1"/>
  <c r="E1217" i="1"/>
  <c r="E841" i="1"/>
  <c r="E1469" i="1"/>
  <c r="E1218" i="1"/>
  <c r="E911" i="1"/>
  <c r="E1098" i="1"/>
  <c r="E577" i="1"/>
  <c r="E886" i="1"/>
  <c r="E1133" i="1"/>
  <c r="E1222" i="1"/>
  <c r="E933" i="1"/>
  <c r="E240" i="1"/>
  <c r="E857" i="1"/>
  <c r="E214" i="1"/>
  <c r="E593" i="1"/>
  <c r="E1324" i="1"/>
  <c r="E1631" i="1"/>
  <c r="E1206" i="1"/>
  <c r="E1204" i="1"/>
  <c r="E475" i="1"/>
  <c r="E1094" i="1"/>
  <c r="E407" i="1"/>
  <c r="E467" i="1"/>
  <c r="E431" i="1"/>
  <c r="E30" i="1"/>
  <c r="E1462" i="1"/>
  <c r="E1475" i="1"/>
  <c r="E1207" i="1"/>
  <c r="E591" i="1"/>
  <c r="E1203" i="1"/>
  <c r="E1502" i="1"/>
  <c r="E227" i="1"/>
  <c r="E1205" i="1"/>
  <c r="E1237" i="1"/>
  <c r="E459" i="1"/>
  <c r="E6" i="1"/>
  <c r="E1289" i="1"/>
  <c r="E1097" i="1"/>
  <c r="E428" i="1"/>
  <c r="E804" i="1"/>
  <c r="E1363" i="1"/>
  <c r="E803" i="1"/>
  <c r="E838" i="1"/>
  <c r="E594" i="1"/>
  <c r="E752" i="1"/>
  <c r="E770" i="1"/>
  <c r="E1679" i="1"/>
  <c r="E763" i="1"/>
  <c r="E1223" i="1"/>
  <c r="E1719" i="1"/>
  <c r="E1634" i="1"/>
  <c r="E1668" i="1"/>
  <c r="E628" i="1"/>
  <c r="E1238" i="1"/>
  <c r="E57" i="1"/>
  <c r="E1637" i="1"/>
  <c r="E1287" i="1"/>
  <c r="E127" i="1"/>
  <c r="E1688" i="1"/>
  <c r="E687" i="1"/>
  <c r="E765" i="1"/>
  <c r="E422" i="1"/>
  <c r="E1101" i="1"/>
  <c r="E1012" i="1"/>
  <c r="E1095" i="1"/>
  <c r="E35" i="1"/>
  <c r="E541" i="1"/>
  <c r="E1013" i="1"/>
  <c r="E1010" i="1"/>
  <c r="E924" i="1"/>
  <c r="E688" i="1"/>
  <c r="E1285" i="1"/>
  <c r="E1008" i="1"/>
  <c r="E248" i="1"/>
  <c r="E1603" i="1"/>
  <c r="E764" i="1"/>
  <c r="E821" i="1"/>
  <c r="E53" i="1"/>
  <c r="E1208" i="1"/>
  <c r="E630" i="1"/>
  <c r="E253" i="1"/>
  <c r="E900" i="1"/>
  <c r="E1139" i="1"/>
  <c r="E885" i="1"/>
  <c r="E1229" i="1"/>
  <c r="E1076" i="1"/>
  <c r="E436" i="1"/>
  <c r="E1523" i="1"/>
  <c r="E851" i="1"/>
  <c r="E1220" i="1"/>
  <c r="E480" i="1"/>
  <c r="E1416" i="1"/>
  <c r="E925" i="1"/>
  <c r="E996" i="1"/>
  <c r="E1664" i="1"/>
  <c r="E890" i="1"/>
  <c r="E1365" i="1"/>
  <c r="E1425" i="1"/>
  <c r="E71" i="1"/>
  <c r="E494" i="1"/>
  <c r="E1152" i="1"/>
  <c r="E20" i="1"/>
  <c r="E1700" i="1"/>
  <c r="E1233" i="1"/>
  <c r="E320" i="1"/>
  <c r="E1202" i="1"/>
  <c r="E686" i="1"/>
  <c r="E881" i="1"/>
  <c r="E358" i="1"/>
  <c r="E1181" i="1"/>
  <c r="E1353" i="1"/>
  <c r="E1422" i="1"/>
  <c r="E1710" i="1"/>
  <c r="E1209" i="1"/>
  <c r="E1234" i="1"/>
  <c r="E1703" i="1"/>
  <c r="E1350" i="1"/>
  <c r="E722" i="1"/>
  <c r="E1711" i="1"/>
  <c r="E230" i="1"/>
  <c r="E682" i="1"/>
  <c r="E222" i="1"/>
  <c r="E220" i="1"/>
  <c r="E864" i="1"/>
  <c r="E709" i="1"/>
  <c r="E710" i="1"/>
  <c r="E654" i="1"/>
  <c r="E1316" i="1"/>
  <c r="E1439" i="1"/>
  <c r="E83" i="1"/>
  <c r="E1323" i="1"/>
  <c r="E638" i="1"/>
  <c r="E1081" i="1"/>
  <c r="E771" i="1"/>
  <c r="E639" i="1"/>
  <c r="E23" i="1"/>
  <c r="E186" i="1"/>
  <c r="E181" i="1"/>
  <c r="E493" i="1"/>
  <c r="E1303" i="1"/>
  <c r="E255" i="1"/>
  <c r="E1224" i="1"/>
  <c r="E497" i="1"/>
  <c r="E1457" i="1"/>
  <c r="E576" i="1"/>
  <c r="E1295" i="1"/>
  <c r="E1054" i="1"/>
  <c r="E189" i="1"/>
  <c r="E1407" i="1"/>
  <c r="E1605" i="1"/>
  <c r="E424" i="1"/>
  <c r="E1492" i="1"/>
  <c r="E286" i="1"/>
  <c r="E853" i="1"/>
  <c r="E1624" i="1"/>
  <c r="E92" i="1"/>
  <c r="E907" i="1"/>
  <c r="E446" i="1"/>
  <c r="E429" i="1"/>
  <c r="E1702" i="1"/>
  <c r="E908" i="1"/>
  <c r="E188" i="1"/>
  <c r="E1322" i="1"/>
  <c r="E187" i="1"/>
  <c r="E1393" i="1"/>
  <c r="E1522" i="1"/>
  <c r="E251" i="1"/>
  <c r="E1302" i="1"/>
  <c r="E14" i="1"/>
  <c r="E430" i="1"/>
  <c r="E463" i="1"/>
  <c r="E909" i="1"/>
  <c r="E1305" i="1"/>
  <c r="E655" i="1"/>
  <c r="E778" i="1"/>
  <c r="E185" i="1"/>
  <c r="E1225" i="1"/>
  <c r="E1256" i="1"/>
  <c r="E1309" i="1"/>
  <c r="E595" i="1"/>
  <c r="E814" i="1"/>
  <c r="E29" i="1"/>
  <c r="E1601" i="1"/>
  <c r="E112" i="1"/>
  <c r="E968" i="1"/>
  <c r="E5" i="1"/>
  <c r="E451" i="1"/>
  <c r="E901" i="1"/>
  <c r="E1651" i="1"/>
  <c r="E895" i="1"/>
  <c r="E1120" i="1"/>
  <c r="E661" i="1"/>
  <c r="E9" i="1"/>
  <c r="E1681" i="1"/>
  <c r="E1659" i="1"/>
  <c r="E1650" i="1"/>
  <c r="E1464" i="1"/>
  <c r="E1308" i="1"/>
  <c r="E1340" i="1"/>
  <c r="E106" i="1"/>
  <c r="E1125" i="1"/>
  <c r="E1154" i="1"/>
  <c r="E1385" i="1"/>
  <c r="E1161" i="1"/>
  <c r="E1608" i="1"/>
  <c r="E937" i="1"/>
  <c r="E1412" i="1"/>
  <c r="E1510" i="1"/>
  <c r="E1450" i="1"/>
  <c r="E535" i="1"/>
  <c r="E1111" i="1"/>
  <c r="E1159" i="1"/>
  <c r="E1641" i="1"/>
  <c r="E1410" i="1"/>
  <c r="E1406" i="1"/>
  <c r="E750" i="1"/>
  <c r="E874" i="1"/>
  <c r="E242" i="1"/>
  <c r="E90" i="1"/>
  <c r="E534" i="1"/>
  <c r="E487" i="1"/>
  <c r="E98" i="1"/>
  <c r="E870" i="1"/>
  <c r="E448" i="1"/>
  <c r="E484" i="1"/>
  <c r="E865" i="1"/>
  <c r="E102" i="1"/>
  <c r="E183" i="1"/>
  <c r="E1128" i="1"/>
  <c r="E1297" i="1"/>
  <c r="E488" i="1"/>
  <c r="E1467" i="1"/>
  <c r="E1471" i="1"/>
  <c r="E111" i="1"/>
  <c r="E95" i="1"/>
  <c r="E1463" i="1"/>
  <c r="E976" i="1"/>
  <c r="E1487" i="1"/>
  <c r="E1689" i="1"/>
  <c r="E1106" i="1"/>
  <c r="E820" i="1"/>
  <c r="E700" i="1"/>
  <c r="E110" i="1"/>
  <c r="E939" i="1"/>
  <c r="E935" i="1"/>
  <c r="E904" i="1"/>
  <c r="E1441" i="1"/>
  <c r="E387" i="1"/>
  <c r="E78" i="1"/>
  <c r="E1248" i="1"/>
  <c r="E869" i="1"/>
  <c r="E13" i="1"/>
  <c r="E737" i="1"/>
  <c r="E1126" i="1"/>
  <c r="E81" i="1"/>
  <c r="E790" i="1"/>
  <c r="E1162" i="1"/>
  <c r="E1131" i="1"/>
  <c r="E540" i="1"/>
  <c r="E1440" i="1"/>
  <c r="E922" i="1"/>
  <c r="E1284" i="1"/>
  <c r="E539" i="1"/>
  <c r="E1486" i="1"/>
  <c r="E1404" i="1"/>
  <c r="E1264" i="1"/>
  <c r="E1428" i="1"/>
  <c r="E265" i="1"/>
  <c r="E1720" i="1"/>
  <c r="E1124" i="1"/>
  <c r="E1455" i="1"/>
  <c r="E598" i="1"/>
  <c r="E667" i="1"/>
  <c r="E1599" i="1"/>
  <c r="E657" i="1"/>
  <c r="E609" i="1"/>
  <c r="E583" i="1"/>
  <c r="E1691" i="1"/>
  <c r="E658" i="1"/>
  <c r="E597" i="1"/>
  <c r="E1141" i="1"/>
  <c r="E1585" i="1"/>
  <c r="E1333" i="1"/>
  <c r="E1485" i="1"/>
  <c r="E1021" i="1"/>
  <c r="E1026" i="1"/>
  <c r="E449" i="1"/>
  <c r="E889" i="1"/>
  <c r="E1182" i="1"/>
  <c r="E1580" i="1"/>
  <c r="E1721" i="1"/>
  <c r="E586" i="1"/>
  <c r="E1581" i="1"/>
  <c r="E450" i="1"/>
  <c r="E1582" i="1"/>
  <c r="E1148" i="1"/>
  <c r="E599" i="1"/>
  <c r="E1583" i="1"/>
  <c r="E588" i="1"/>
  <c r="E1024" i="1"/>
  <c r="E569" i="1"/>
  <c r="E1557" i="1"/>
  <c r="E1398" i="1"/>
  <c r="E965" i="1"/>
  <c r="E522" i="1"/>
  <c r="E1436" i="1"/>
  <c r="E123" i="1"/>
  <c r="E444" i="1"/>
  <c r="E1300" i="1"/>
  <c r="E205" i="1"/>
  <c r="E1366" i="1"/>
  <c r="E1660" i="1"/>
  <c r="E1271" i="1"/>
  <c r="E453" i="1"/>
  <c r="E1434" i="1"/>
  <c r="E1023" i="1"/>
  <c r="E96" i="1"/>
  <c r="E274" i="1"/>
  <c r="E656" i="1"/>
  <c r="E611" i="1"/>
  <c r="E823" i="1"/>
  <c r="E1516" i="1"/>
  <c r="E1461" i="1"/>
  <c r="E252" i="1"/>
  <c r="E866" i="1"/>
  <c r="E1518" i="1"/>
  <c r="E351" i="1"/>
  <c r="E1145" i="1"/>
  <c r="E159" i="1"/>
  <c r="E741" i="1"/>
  <c r="E508" i="1"/>
  <c r="E1022" i="1"/>
  <c r="E1282" i="1"/>
  <c r="E1676" i="1"/>
  <c r="E950" i="1"/>
  <c r="E87" i="1"/>
  <c r="E190" i="1"/>
  <c r="E145" i="1"/>
  <c r="E1511" i="1"/>
  <c r="E1480" i="1"/>
  <c r="E295" i="1"/>
  <c r="E1171" i="1"/>
  <c r="E1483" i="1"/>
  <c r="E174" i="1"/>
  <c r="E161" i="1"/>
  <c r="E64" i="1"/>
  <c r="E1673" i="1"/>
  <c r="E17" i="1"/>
  <c r="E1686" i="1"/>
  <c r="E1566" i="1"/>
  <c r="E1559" i="1"/>
  <c r="E689" i="1"/>
  <c r="E520" i="1"/>
  <c r="E116" i="1"/>
  <c r="E336" i="1"/>
  <c r="E121" i="1"/>
  <c r="E519" i="1"/>
  <c r="E751" i="1"/>
  <c r="E486" i="1"/>
  <c r="E1512" i="1"/>
  <c r="E1515" i="1"/>
  <c r="E108" i="1"/>
  <c r="E744" i="1"/>
  <c r="E207" i="1"/>
  <c r="E389" i="1"/>
  <c r="E1489" i="1"/>
  <c r="E1554" i="1"/>
  <c r="E546" i="1"/>
  <c r="E386" i="1"/>
  <c r="E388" i="1"/>
  <c r="E1130" i="1"/>
  <c r="E1474" i="1"/>
  <c r="E1086" i="1"/>
  <c r="E553" i="1"/>
  <c r="E509" i="1"/>
  <c r="E191" i="1"/>
  <c r="E610" i="1"/>
  <c r="E54" i="1"/>
  <c r="E290" i="1"/>
  <c r="E894" i="1"/>
  <c r="E702" i="1"/>
  <c r="E565" i="1"/>
  <c r="E712" i="1"/>
  <c r="E544" i="1"/>
  <c r="E360" i="1"/>
  <c r="E613" i="1"/>
  <c r="E938" i="1"/>
  <c r="E1643" i="1"/>
  <c r="E646" i="1"/>
  <c r="E1375" i="1"/>
  <c r="E1374" i="1"/>
  <c r="E1160" i="1"/>
  <c r="E826" i="1"/>
  <c r="E1122" i="1"/>
  <c r="E584" i="1"/>
  <c r="E1371" i="1"/>
  <c r="E10" i="1"/>
  <c r="E1187" i="1"/>
  <c r="E815" i="1"/>
  <c r="E967" i="1"/>
  <c r="E1172" i="1"/>
  <c r="E701" i="1"/>
  <c r="E401" i="1"/>
  <c r="E16" i="1"/>
  <c r="E835" i="1"/>
  <c r="E957" i="1"/>
  <c r="E1198" i="1"/>
  <c r="E523" i="1"/>
  <c r="E914" i="1"/>
  <c r="E563" i="1"/>
  <c r="E367" i="1"/>
  <c r="E529" i="1"/>
  <c r="E1044" i="1"/>
  <c r="E1459" i="1"/>
  <c r="E517" i="1"/>
  <c r="E1498" i="1"/>
  <c r="E1445" i="1"/>
  <c r="E1170" i="1"/>
  <c r="E1419" i="1"/>
  <c r="E625" i="1"/>
  <c r="E169" i="1"/>
  <c r="E871" i="1"/>
  <c r="E964" i="1"/>
  <c r="E1426" i="1"/>
  <c r="E333" i="1"/>
  <c r="E219" i="1"/>
  <c r="E22" i="1"/>
  <c r="E1221" i="1"/>
  <c r="E432" i="1"/>
  <c r="E15" i="1"/>
  <c r="E827" i="1"/>
  <c r="E291" i="1"/>
  <c r="E1196" i="1"/>
  <c r="E753" i="1"/>
  <c r="E1706" i="1"/>
  <c r="E1247" i="1"/>
  <c r="E206" i="1"/>
  <c r="E492" i="1"/>
  <c r="E1201" i="1"/>
  <c r="E325" i="1"/>
  <c r="E1213" i="1"/>
  <c r="E21" i="1"/>
  <c r="E1230" i="1"/>
  <c r="E500" i="1"/>
  <c r="E1060" i="1"/>
  <c r="E1069" i="1"/>
  <c r="E1040" i="1"/>
  <c r="E629" i="1"/>
  <c r="E543" i="1"/>
  <c r="E696" i="1"/>
  <c r="E1038" i="1"/>
  <c r="E370" i="1"/>
  <c r="E180" i="1"/>
  <c r="E1670" i="1"/>
  <c r="E250" i="1"/>
  <c r="E929" i="1"/>
  <c r="E590" i="1"/>
  <c r="E1632" i="1"/>
  <c r="E184" i="1"/>
  <c r="E882" i="1"/>
  <c r="E1387" i="1"/>
  <c r="E926" i="1"/>
  <c r="E506" i="1"/>
  <c r="E403" i="1"/>
  <c r="E714" i="1"/>
  <c r="E1075" i="1"/>
  <c r="E155" i="1"/>
  <c r="E1317" i="1"/>
  <c r="E1036" i="1"/>
  <c r="E810" i="1"/>
  <c r="E1453" i="1"/>
  <c r="E1722" i="1"/>
  <c r="E966" i="1"/>
  <c r="E1244" i="1"/>
  <c r="E665" i="1"/>
  <c r="E879" i="1"/>
  <c r="E260" i="1"/>
  <c r="E910" i="1"/>
  <c r="E372" i="1"/>
  <c r="E1543" i="1"/>
  <c r="E1444" i="1"/>
  <c r="E705" i="1"/>
  <c r="E1138" i="1"/>
  <c r="E225" i="1"/>
  <c r="E777" i="1"/>
  <c r="E284" i="1"/>
  <c r="E1014" i="1"/>
  <c r="E1555" i="1"/>
  <c r="E501" i="1"/>
  <c r="E1715" i="1"/>
  <c r="E1197" i="1"/>
  <c r="E1002" i="1"/>
  <c r="E1456" i="1"/>
  <c r="E397" i="1"/>
  <c r="E418" i="1"/>
  <c r="E825" i="1"/>
  <c r="E296" i="1"/>
  <c r="E271" i="1"/>
  <c r="E1635" i="1"/>
  <c r="E693" i="1"/>
  <c r="E1458" i="1"/>
  <c r="E730" i="1"/>
  <c r="E489" i="1"/>
  <c r="E1177" i="1"/>
  <c r="E1546" i="1"/>
  <c r="E1361" i="1"/>
  <c r="E916" i="1"/>
  <c r="E547" i="1"/>
  <c r="E1298" i="1"/>
  <c r="E1342" i="1"/>
  <c r="E1049" i="1"/>
  <c r="E1388" i="1"/>
  <c r="E1339" i="1"/>
  <c r="E728" i="1"/>
  <c r="E558" i="1"/>
  <c r="E1011" i="1"/>
  <c r="E1191" i="1"/>
  <c r="E1381" i="1"/>
  <c r="E1192" i="1"/>
  <c r="E1156" i="1"/>
  <c r="E1517" i="1"/>
  <c r="E1062" i="1"/>
  <c r="E415" i="1"/>
  <c r="E1033" i="1"/>
  <c r="E462" i="1"/>
  <c r="E1538" i="1"/>
  <c r="E1067" i="1"/>
  <c r="E742" i="1"/>
  <c r="E1163" i="1"/>
  <c r="E531" i="1"/>
  <c r="E888" i="1"/>
  <c r="E86" i="1"/>
  <c r="E33" i="1"/>
  <c r="E1029" i="1"/>
  <c r="E76" i="1"/>
  <c r="E341" i="1"/>
  <c r="E1490" i="1"/>
  <c r="E883" i="1"/>
  <c r="E552" i="1"/>
  <c r="E1028" i="1"/>
  <c r="E1016" i="1"/>
  <c r="E984" i="1"/>
  <c r="E997" i="1"/>
  <c r="E784" i="1"/>
  <c r="E1188" i="1"/>
  <c r="E443" i="1"/>
  <c r="E1004" i="1"/>
  <c r="E1397" i="1"/>
  <c r="E1448" i="1"/>
  <c r="E828" i="1"/>
  <c r="E1343" i="1"/>
  <c r="E79" i="1"/>
  <c r="E101" i="1"/>
  <c r="E769" i="1"/>
  <c r="E1447" i="1"/>
  <c r="E502" i="1"/>
  <c r="E1127" i="1"/>
  <c r="E1301" i="1"/>
  <c r="E60" i="1"/>
  <c r="E1652" i="1"/>
  <c r="E733" i="1"/>
  <c r="E398" i="1"/>
  <c r="E1183" i="1"/>
  <c r="E399" i="1"/>
  <c r="E1612" i="1"/>
  <c r="E1073" i="1"/>
  <c r="E1695" i="1"/>
  <c r="E1274" i="1"/>
  <c r="E400" i="1"/>
  <c r="E1529" i="1"/>
  <c r="E1165" i="1"/>
  <c r="E955" i="1"/>
  <c r="E715" i="1"/>
  <c r="E38" i="1"/>
  <c r="E1166" i="1"/>
  <c r="E1629" i="1"/>
  <c r="E1199" i="1"/>
  <c r="E1275" i="1"/>
  <c r="E934" i="1"/>
  <c r="E1167" i="1"/>
  <c r="E1626" i="1"/>
  <c r="E731" i="1"/>
  <c r="E617" i="1"/>
  <c r="E1403" i="1"/>
  <c r="E420" i="1"/>
  <c r="E564" i="1"/>
  <c r="E645" i="1"/>
  <c r="E1623" i="1"/>
  <c r="E567" i="1"/>
  <c r="E80" i="1"/>
  <c r="E503" i="1"/>
  <c r="E340" i="1"/>
  <c r="E953" i="1"/>
  <c r="E378" i="1"/>
  <c r="E1357" i="1"/>
  <c r="E538" i="1"/>
  <c r="E406" i="1"/>
  <c r="E637" i="1"/>
  <c r="E1373" i="1"/>
  <c r="E1519" i="1"/>
  <c r="E482" i="1"/>
  <c r="E1364" i="1"/>
  <c r="E736" i="1"/>
  <c r="E994" i="1"/>
  <c r="E1530" i="1"/>
  <c r="E1048" i="1"/>
  <c r="E1020" i="1"/>
  <c r="E1019" i="1"/>
  <c r="E992" i="1"/>
  <c r="E1391" i="1"/>
  <c r="E1562" i="1"/>
  <c r="E1180" i="1"/>
  <c r="E1195" i="1"/>
  <c r="E1358" i="1"/>
  <c r="E1240" i="1"/>
  <c r="E314" i="1"/>
  <c r="E1574" i="1"/>
  <c r="E1241" i="1"/>
  <c r="E699" i="1"/>
  <c r="E118" i="1"/>
  <c r="E1563" i="1"/>
  <c r="E319" i="1"/>
  <c r="E692" i="1"/>
  <c r="E690" i="1"/>
  <c r="E342" i="1"/>
  <c r="E831" i="1"/>
  <c r="E337" i="1"/>
  <c r="E115" i="1"/>
  <c r="E140" i="1"/>
  <c r="E1194" i="1"/>
  <c r="E775" i="1"/>
  <c r="E1420" i="1"/>
  <c r="E138" i="1"/>
  <c r="E82" i="1"/>
  <c r="E990" i="1"/>
  <c r="E691" i="1"/>
  <c r="E162" i="1"/>
  <c r="E74" i="1"/>
  <c r="E675" i="1"/>
  <c r="E1716" i="1"/>
  <c r="E75" i="1"/>
  <c r="E328" i="1"/>
  <c r="E1662" i="1"/>
  <c r="E67" i="1"/>
  <c r="E172" i="1"/>
  <c r="E1552" i="1"/>
  <c r="E156" i="1"/>
  <c r="E932" i="1"/>
  <c r="E1684" i="1"/>
  <c r="E1690" i="1"/>
  <c r="E1505" i="1"/>
  <c r="E182" i="1"/>
  <c r="E1137" i="1"/>
  <c r="E1088" i="1"/>
  <c r="E478" i="1"/>
  <c r="E1338" i="1"/>
  <c r="E193" i="1"/>
  <c r="E561" i="1"/>
  <c r="E153" i="1"/>
  <c r="E236" i="1"/>
  <c r="E329" i="1"/>
  <c r="E524" i="1"/>
  <c r="E780" i="1"/>
  <c r="E261" i="1"/>
  <c r="E1466" i="1"/>
  <c r="E698" i="1"/>
  <c r="E1671" i="1"/>
  <c r="E1669" i="1"/>
  <c r="E880" i="1"/>
  <c r="E1061" i="1"/>
  <c r="E1193" i="1"/>
  <c r="E1526" i="1"/>
  <c r="E210" i="1"/>
  <c r="E972" i="1"/>
  <c r="E1672" i="1"/>
  <c r="E1548" i="1"/>
  <c r="E1306" i="1"/>
  <c r="E232" i="1"/>
  <c r="E447" i="1"/>
  <c r="E1226" i="1"/>
  <c r="E545" i="1"/>
  <c r="E2" i="1"/>
  <c r="E580" i="1"/>
  <c r="E404" i="1"/>
  <c r="E1232" i="1"/>
  <c r="E995" i="1"/>
  <c r="E278" i="1"/>
  <c r="E858" i="1"/>
  <c r="E139" i="1"/>
  <c r="E1356" i="1"/>
  <c r="E1185" i="1"/>
  <c r="E299" i="1"/>
  <c r="E368" i="1"/>
  <c r="E1697" i="1"/>
  <c r="E1319" i="1"/>
  <c r="E847" i="1"/>
  <c r="E89" i="1"/>
  <c r="E1288" i="1"/>
  <c r="E1212" i="1"/>
  <c r="E1110" i="1"/>
  <c r="E1280" i="1"/>
  <c r="E334" i="1"/>
  <c r="E1332" i="1"/>
  <c r="E1084" i="1"/>
  <c r="E1279" i="1"/>
  <c r="E135" i="1"/>
  <c r="E1334" i="1"/>
  <c r="E568" i="1"/>
  <c r="E1321" i="1"/>
  <c r="E1479" i="1"/>
  <c r="E695" i="1"/>
  <c r="E734" i="1"/>
  <c r="E46" i="1"/>
  <c r="E1189" i="1"/>
  <c r="E1640" i="1"/>
  <c r="E1173" i="1"/>
  <c r="E1341" i="1"/>
  <c r="E1592" i="1"/>
  <c r="E228" i="1"/>
  <c r="E233" i="1"/>
  <c r="E1572" i="1"/>
  <c r="E247" i="1"/>
  <c r="E275" i="1"/>
  <c r="E19" i="1"/>
  <c r="E551" i="1"/>
  <c r="E93" i="1"/>
  <c r="E945" i="1"/>
  <c r="E704" i="1"/>
  <c r="E1178" i="1"/>
  <c r="E848" i="1"/>
  <c r="E164" i="1"/>
  <c r="E811" i="1"/>
  <c r="E536" i="1"/>
  <c r="E1553" i="1"/>
  <c r="E1648" i="1"/>
  <c r="E1504" i="1"/>
  <c r="E213" i="1"/>
  <c r="E817" i="1"/>
  <c r="E596" i="1"/>
  <c r="E1473" i="1"/>
  <c r="E1654" i="1"/>
  <c r="E192" i="1"/>
  <c r="E1726" i="1"/>
  <c r="E41" i="1"/>
  <c r="E1727" i="1"/>
  <c r="E1707" i="1"/>
  <c r="E1527" i="1"/>
  <c r="E1251" i="1"/>
  <c r="E1694" i="1"/>
  <c r="E973" i="1"/>
  <c r="E915" i="1"/>
  <c r="E216" i="1"/>
  <c r="E37" i="1"/>
  <c r="E263" i="1"/>
  <c r="E621" i="1"/>
  <c r="E542" i="1"/>
  <c r="E1484" i="1"/>
  <c r="E48" i="1"/>
  <c r="E1544" i="1"/>
  <c r="E1105" i="1"/>
  <c r="E1528" i="1"/>
  <c r="E202" i="1"/>
  <c r="E1335" i="1"/>
  <c r="E1617" i="1"/>
  <c r="E1243" i="1"/>
  <c r="E1704" i="1"/>
  <c r="E1155" i="1"/>
  <c r="E198" i="1"/>
  <c r="E756" i="1"/>
  <c r="E1158" i="1"/>
  <c r="E179" i="1"/>
  <c r="E1708" i="1"/>
  <c r="E946" i="1"/>
  <c r="E1488" i="1"/>
  <c r="E414" i="1"/>
  <c r="E676" i="1"/>
  <c r="E43" i="1"/>
  <c r="E842" i="1"/>
  <c r="E641" i="1"/>
  <c r="E160" i="1"/>
  <c r="E411" i="1"/>
  <c r="E168" i="1"/>
  <c r="E1346" i="1"/>
  <c r="E1179" i="1"/>
  <c r="E991" i="1"/>
  <c r="E1491" i="1"/>
  <c r="E1578" i="1"/>
  <c r="E1549" i="1"/>
  <c r="E822" i="1"/>
  <c r="E347" i="1"/>
  <c r="E1687" i="1"/>
  <c r="E1119" i="1"/>
  <c r="E109" i="1"/>
  <c r="E343" i="1"/>
  <c r="E425" i="1"/>
  <c r="E560" i="1"/>
  <c r="E1310" i="1"/>
  <c r="E794" i="1"/>
  <c r="E1564" i="1"/>
  <c r="E685" i="1"/>
  <c r="E678" i="1"/>
  <c r="E1059" i="1"/>
  <c r="E1657" i="1"/>
  <c r="E1072" i="1"/>
  <c r="E884" i="1"/>
  <c r="E171" i="1"/>
  <c r="E1389" i="1"/>
  <c r="E767" i="1"/>
  <c r="E739" i="1"/>
  <c r="E105" i="1"/>
  <c r="E859" i="1"/>
  <c r="E1411" i="1"/>
  <c r="E1424" i="1"/>
  <c r="E321" i="1"/>
  <c r="E1326" i="1"/>
  <c r="E1104" i="1"/>
  <c r="E1277" i="1"/>
  <c r="E1313" i="1"/>
  <c r="E1051" i="1"/>
  <c r="E300" i="1"/>
  <c r="E298" i="1"/>
  <c r="E768" i="1"/>
  <c r="E921" i="1"/>
  <c r="E761" i="1"/>
  <c r="E941" i="1"/>
  <c r="E1312" i="1"/>
  <c r="E622" i="1"/>
  <c r="E1296" i="1"/>
  <c r="E326" i="1"/>
  <c r="E1380" i="1"/>
  <c r="E1653" i="1"/>
  <c r="E1405" i="1"/>
  <c r="E158" i="1"/>
  <c r="E983" i="1"/>
  <c r="E374" i="1"/>
  <c r="E194" i="1"/>
  <c r="E1586" i="1"/>
  <c r="E511" i="1"/>
  <c r="E199" i="1"/>
  <c r="E392" i="1"/>
  <c r="E442" i="1"/>
  <c r="E195" i="1"/>
  <c r="E1331" i="1"/>
  <c r="E981" i="1"/>
  <c r="E152" i="1"/>
  <c r="E1431" i="1"/>
  <c r="E982" i="1"/>
  <c r="E1400" i="1"/>
  <c r="E132" i="1"/>
  <c r="E97" i="1"/>
  <c r="E287" i="1"/>
  <c r="E1507" i="1"/>
  <c r="E1102" i="1"/>
  <c r="E147" i="1"/>
  <c r="E85" i="1"/>
  <c r="E856" i="1"/>
  <c r="E36" i="1"/>
  <c r="E846" i="1"/>
  <c r="E1320" i="1"/>
  <c r="E1680" i="1"/>
  <c r="E951" i="1"/>
  <c r="E1542" i="1"/>
  <c r="E516" i="1"/>
  <c r="E1717" i="1"/>
  <c r="E470" i="1"/>
  <c r="E483" i="1"/>
  <c r="E1254" i="1"/>
  <c r="E1253" i="1"/>
  <c r="E268" i="1"/>
  <c r="E512" i="1"/>
  <c r="E167" i="1"/>
  <c r="E1273" i="1"/>
  <c r="E766" i="1"/>
  <c r="E1560" i="1"/>
  <c r="E461" i="1"/>
  <c r="E458" i="1"/>
  <c r="E716" i="1"/>
  <c r="E471" i="1"/>
  <c r="E455" i="1"/>
  <c r="E1501" i="1"/>
  <c r="E1569" i="1"/>
  <c r="E1379" i="1"/>
  <c r="E456" i="1"/>
  <c r="E1567" i="1"/>
  <c r="E122" i="1"/>
  <c r="E818" i="1"/>
  <c r="E1376" i="1"/>
  <c r="E1725" i="1"/>
  <c r="E1053" i="1"/>
  <c r="E793" i="1"/>
  <c r="E144" i="1"/>
  <c r="E1675" i="1"/>
  <c r="E677" i="1"/>
  <c r="E683" i="1"/>
  <c r="E441" i="1"/>
  <c r="E513" i="1"/>
  <c r="E146" i="1"/>
  <c r="E353" i="1"/>
  <c r="E1642" i="1"/>
  <c r="E491" i="1"/>
  <c r="E1482" i="1"/>
  <c r="E433" i="1"/>
  <c r="E1496" i="1"/>
  <c r="E355" i="1"/>
  <c r="E4" i="1"/>
  <c r="E1157" i="1"/>
  <c r="E1568" i="1"/>
  <c r="E25" i="1"/>
  <c r="E1047" i="1"/>
  <c r="E114" i="1"/>
  <c r="E68" i="1"/>
  <c r="E1468" i="1"/>
  <c r="E350" i="1"/>
  <c r="E931" i="1"/>
  <c r="E1415" i="1"/>
  <c r="E1360" i="1"/>
  <c r="E1493" i="1"/>
  <c r="E1083" i="1"/>
  <c r="E55" i="1"/>
  <c r="E573" i="1"/>
  <c r="E781" i="1"/>
  <c r="E1663" i="1"/>
  <c r="E12" i="1"/>
  <c r="E151" i="1"/>
  <c r="E747" i="1"/>
  <c r="E1537" i="1"/>
  <c r="E1621" i="1"/>
  <c r="E437" i="1"/>
  <c r="E1362" i="1"/>
  <c r="E703" i="1"/>
  <c r="E1046" i="1"/>
  <c r="E1606" i="1"/>
  <c r="E627" i="1"/>
  <c r="E1607" i="1"/>
  <c r="E1576" i="1"/>
  <c r="E711" i="1"/>
  <c r="E439" i="1"/>
  <c r="E257" i="1"/>
  <c r="E787" i="1"/>
  <c r="E877" i="1"/>
  <c r="E1636" i="1"/>
  <c r="E1399" i="1"/>
  <c r="E379" i="1"/>
  <c r="E673" i="1"/>
  <c r="E1627" i="1"/>
  <c r="E276" i="1"/>
  <c r="E149" i="1"/>
  <c r="E634" i="1"/>
  <c r="E465" i="1"/>
  <c r="E624" i="1"/>
  <c r="E782" i="1"/>
  <c r="E134" i="1"/>
  <c r="E445" i="1"/>
  <c r="E706" i="1"/>
  <c r="E1446" i="1"/>
  <c r="E697" i="1"/>
  <c r="E1524" i="1"/>
  <c r="E279" i="1"/>
  <c r="E772" i="1"/>
  <c r="E1698" i="1"/>
  <c r="E364" i="1"/>
  <c r="E1565" i="1"/>
  <c r="E1573" i="1"/>
  <c r="E632" i="1"/>
  <c r="E1418" i="1"/>
  <c r="E633" i="1"/>
  <c r="E796" i="1"/>
  <c r="E1610" i="1"/>
  <c r="E490" i="1"/>
  <c r="E956" i="1"/>
  <c r="E66" i="1"/>
  <c r="E1432" i="1"/>
  <c r="E1329" i="1"/>
  <c r="E944" i="1"/>
  <c r="E1096" i="1"/>
  <c r="E1392" i="1"/>
  <c r="E1315" i="1"/>
  <c r="E1481" i="1"/>
  <c r="E708" i="1"/>
  <c r="E130" i="1"/>
  <c r="E947" i="1"/>
  <c r="E943" i="1"/>
  <c r="E626" i="1"/>
  <c r="E1063" i="1"/>
  <c r="E1435" i="1"/>
  <c r="E1604" i="1"/>
  <c r="E791" i="1"/>
  <c r="E799" i="1"/>
  <c r="E1438" i="1"/>
  <c r="E1099" i="1"/>
  <c r="E1114" i="1"/>
  <c r="E302" i="1"/>
  <c r="E51" i="1"/>
  <c r="E533" i="1"/>
  <c r="E1281" i="1"/>
  <c r="E608" i="1"/>
  <c r="E971" i="1"/>
  <c r="E1025" i="1"/>
  <c r="E339" i="1"/>
  <c r="E335" i="1"/>
  <c r="E867" i="1"/>
  <c r="E1276" i="1"/>
  <c r="E249" i="1"/>
  <c r="E113" i="1"/>
  <c r="E970" i="1"/>
  <c r="E548" i="1"/>
  <c r="E1005" i="1"/>
  <c r="E1034" i="1"/>
  <c r="E1113" i="1"/>
  <c r="E1370" i="1"/>
  <c r="E384" i="1"/>
  <c r="E157" i="1"/>
  <c r="E208" i="1"/>
  <c r="E1092" i="1"/>
  <c r="E163" i="1"/>
  <c r="E218" i="1"/>
  <c r="E100" i="1"/>
  <c r="E1372" i="1"/>
  <c r="E1674" i="1"/>
  <c r="E42" i="1"/>
  <c r="E1709" i="1"/>
  <c r="E600" i="1"/>
  <c r="E918" i="1"/>
  <c r="E369" i="1"/>
  <c r="E872" i="1"/>
  <c r="E1713" i="1"/>
  <c r="E1055" i="1"/>
  <c r="E178" i="1"/>
  <c r="E1478" i="1"/>
  <c r="E919" i="1"/>
  <c r="E1050" i="1"/>
  <c r="E1037" i="1"/>
  <c r="E1041" i="1"/>
  <c r="E47" i="1"/>
  <c r="E515" i="1"/>
  <c r="E1017" i="1"/>
  <c r="E499" i="1"/>
  <c r="E808" i="1"/>
  <c r="E1377" i="1"/>
  <c r="E521" i="1"/>
  <c r="E1472" i="1"/>
  <c r="E581" i="1"/>
  <c r="E1714" i="1"/>
  <c r="E1089" i="1"/>
  <c r="E1723" i="1"/>
  <c r="E1693" i="1"/>
  <c r="E557" i="1"/>
  <c r="E807" i="1"/>
  <c r="E672" i="1"/>
  <c r="E45" i="1"/>
  <c r="E1042" i="1"/>
  <c r="E315" i="1"/>
  <c r="E1712" i="1"/>
  <c r="E1477" i="1"/>
  <c r="E496" i="1"/>
  <c r="E679" i="1"/>
  <c r="E1109" i="1"/>
  <c r="E805" i="1"/>
  <c r="E1701" i="1"/>
  <c r="E245" i="1"/>
  <c r="E324" i="1"/>
  <c r="E660" i="1"/>
  <c r="E1009" i="1"/>
  <c r="E644" i="1"/>
  <c r="E786" i="1"/>
  <c r="E434" i="1"/>
  <c r="E365" i="1"/>
  <c r="E331" i="1"/>
  <c r="E293" i="1"/>
  <c r="E338" i="1"/>
  <c r="E363" i="1"/>
  <c r="E143" i="1"/>
  <c r="E903" i="1"/>
  <c r="E707" i="1"/>
  <c r="E640" i="1"/>
  <c r="E148" i="1"/>
  <c r="E1656" i="1"/>
  <c r="E681" i="1"/>
  <c r="E1149" i="1"/>
  <c r="E896" i="1"/>
  <c r="E912" i="1"/>
  <c r="E850" i="1"/>
  <c r="E469" i="1"/>
  <c r="E1613" i="1"/>
  <c r="E1625" i="1"/>
  <c r="E203" i="1"/>
  <c r="E1539" i="1"/>
  <c r="E653" i="1"/>
  <c r="E852" i="1"/>
  <c r="E727" i="1"/>
  <c r="E833" i="1"/>
  <c r="E3" i="1"/>
  <c r="E137" i="1"/>
  <c r="E408" i="1"/>
  <c r="E361" i="1"/>
  <c r="E684" i="1"/>
  <c r="E1123" i="1"/>
  <c r="E555" i="1"/>
  <c r="E476" i="1"/>
  <c r="E1531" i="1"/>
  <c r="E652" i="1"/>
  <c r="E680" i="1"/>
  <c r="E28" i="1"/>
  <c r="E1597" i="1"/>
  <c r="E1132" i="1"/>
  <c r="E1064" i="1"/>
  <c r="E623" i="1"/>
  <c r="E1150" i="1"/>
  <c r="E1369" i="1"/>
  <c r="E585" i="1"/>
  <c r="E133" i="1"/>
  <c r="E663" i="1"/>
  <c r="E1541" i="1"/>
  <c r="E1035" i="1"/>
  <c r="E1144" i="1"/>
  <c r="E1421" i="1"/>
  <c r="E1065" i="1"/>
  <c r="E1174" i="1"/>
  <c r="E927" i="1"/>
  <c r="E1077" i="1"/>
  <c r="E1587" i="1"/>
  <c r="E1078" i="1"/>
  <c r="E1176" i="1"/>
  <c r="E52" i="1"/>
  <c r="E1590" i="1"/>
  <c r="E1506" i="1"/>
  <c r="E892" i="1"/>
  <c r="E1186" i="1"/>
  <c r="E362" i="1"/>
  <c r="E303" i="1"/>
  <c r="E1595" i="1"/>
  <c r="E24" i="1"/>
  <c r="E1594" i="1"/>
  <c r="E1129" i="1"/>
  <c r="E1465" i="1"/>
  <c r="E1396" i="1"/>
  <c r="E317" i="1"/>
  <c r="E141" i="1"/>
  <c r="E1600" i="1"/>
  <c r="E1007" i="1"/>
  <c r="E604" i="1"/>
  <c r="E923" i="1"/>
  <c r="E177" i="1"/>
  <c r="E674" i="1"/>
  <c r="E1263" i="1"/>
  <c r="E154" i="1"/>
  <c r="E150" i="1"/>
  <c r="E58" i="1"/>
  <c r="E211" i="1"/>
  <c r="E906" i="1"/>
  <c r="E65" i="1"/>
  <c r="E589" i="1"/>
  <c r="E1056" i="1"/>
  <c r="E1499" i="1"/>
  <c r="E1057" i="1"/>
  <c r="E740" i="1"/>
  <c r="E999" i="1"/>
  <c r="E1437" i="1"/>
  <c r="E307" i="1"/>
  <c r="E1268" i="1"/>
  <c r="E1290" i="1"/>
  <c r="E1071" i="1"/>
  <c r="E280" i="1"/>
  <c r="E755" i="1"/>
  <c r="E304" i="1"/>
  <c r="E1058" i="1"/>
  <c r="E1184" i="1"/>
  <c r="E550" i="1"/>
  <c r="E344" i="1"/>
  <c r="E18" i="1"/>
  <c r="E1584" i="1"/>
  <c r="E310" i="1"/>
  <c r="E878" i="1"/>
  <c r="E460" i="1"/>
  <c r="E1699" i="1"/>
  <c r="E605" i="1"/>
  <c r="E345" i="1"/>
  <c r="E898" i="1"/>
  <c r="E239" i="1"/>
  <c r="E1052" i="1"/>
  <c r="E779" i="1"/>
  <c r="E1451" i="1"/>
  <c r="E1500" i="1"/>
  <c r="E1265" i="1"/>
  <c r="E659" i="1"/>
  <c r="E136" i="1"/>
  <c r="E554" i="1"/>
  <c r="E1628" i="1"/>
  <c r="E1168" i="1"/>
  <c r="E1000" i="1"/>
  <c r="E643" i="1"/>
  <c r="E1325" i="1"/>
  <c r="E575" i="1"/>
  <c r="E1018" i="1"/>
  <c r="E1633" i="1"/>
  <c r="E373" i="1"/>
  <c r="E1270" i="1"/>
  <c r="E327" i="1"/>
  <c r="E1015" i="1"/>
  <c r="E1449" i="1"/>
  <c r="E1395" i="1"/>
  <c r="E196" i="1"/>
  <c r="E1103" i="1"/>
  <c r="E312" i="1"/>
  <c r="E166" i="1"/>
  <c r="E1108" i="1"/>
  <c r="E348" i="1"/>
  <c r="E282" i="1"/>
  <c r="E377" i="1"/>
  <c r="E165" i="1"/>
  <c r="E917" i="1"/>
  <c r="E356" i="1"/>
  <c r="E264" i="1"/>
  <c r="E1609" i="1"/>
  <c r="E357" i="1"/>
  <c r="E1328" i="1"/>
  <c r="E718" i="1"/>
  <c r="E485" i="1"/>
  <c r="E720" i="1"/>
  <c r="E201" i="1"/>
  <c r="E229" i="1"/>
  <c r="E237" i="1"/>
  <c r="E843" i="1"/>
  <c r="E861" i="1"/>
  <c r="E1027" i="1"/>
  <c r="E1146" i="1"/>
  <c r="E226" i="1"/>
  <c r="E574" i="1"/>
  <c r="E1164" i="1"/>
  <c r="E606" i="1"/>
  <c r="E1074" i="1"/>
  <c r="E985" i="1"/>
  <c r="E587" i="1"/>
  <c r="E170" i="1"/>
  <c r="E773" i="1"/>
  <c r="E27" i="1"/>
  <c r="E305" i="1"/>
  <c r="E311" i="1"/>
  <c r="E1327" i="1"/>
  <c r="E197" i="1"/>
  <c r="E200" i="1"/>
  <c r="E631" i="1"/>
  <c r="E1262" i="1"/>
  <c r="E352" i="1"/>
  <c r="E1593" i="1"/>
  <c r="E1032" i="1"/>
  <c r="E457" i="1"/>
  <c r="E283" i="1"/>
  <c r="E1551" i="1"/>
  <c r="E217" i="1"/>
  <c r="E1383" i="1"/>
  <c r="E354" i="1"/>
  <c r="E504" i="1"/>
  <c r="E860" i="1"/>
  <c r="E530" i="1"/>
  <c r="E273" i="1"/>
  <c r="E1602" i="1"/>
  <c r="E1423" i="1"/>
  <c r="E1006" i="1"/>
  <c r="E532" i="1"/>
  <c r="E1521" i="1"/>
  <c r="E1378" i="1"/>
  <c r="E1336" i="1"/>
  <c r="E1147" i="1"/>
  <c r="E721" i="1"/>
  <c r="E1175" i="1"/>
  <c r="E893" i="1"/>
  <c r="E472" i="1"/>
  <c r="E952" i="1"/>
  <c r="E454" i="1"/>
  <c r="E1495" i="1"/>
  <c r="E297" i="1"/>
  <c r="E844" i="1"/>
  <c r="E1001" i="1"/>
  <c r="E56" i="1"/>
  <c r="E1658" i="1"/>
  <c r="E1394" i="1"/>
  <c r="E1151" i="1"/>
  <c r="E1068" i="1"/>
  <c r="E1622" i="1"/>
  <c r="E1596" i="1"/>
  <c r="E104" i="1"/>
  <c r="E349" i="1"/>
  <c r="E91" i="1"/>
  <c r="E142" i="1"/>
  <c r="E301" i="1"/>
  <c r="E635" i="1"/>
  <c r="E269" i="1"/>
  <c r="E1235" i="1"/>
  <c r="E40" i="1"/>
  <c r="E1272" i="1"/>
  <c r="E1318" i="1"/>
  <c r="E1443" i="1"/>
  <c r="E1031" i="1"/>
  <c r="E616" i="1"/>
  <c r="E1427" i="1"/>
  <c r="E619" i="1"/>
  <c r="E440" i="1"/>
  <c r="E836" i="1"/>
  <c r="E1039" i="1"/>
  <c r="E1616" i="1"/>
  <c r="E26" i="1"/>
  <c r="E1545" i="1"/>
  <c r="E829" i="1"/>
  <c r="E993" i="1"/>
  <c r="E1242" i="1"/>
  <c r="E582" i="1"/>
  <c r="E49" i="1"/>
  <c r="E1661" i="1"/>
  <c r="E50" i="1"/>
  <c r="E556" i="1"/>
  <c r="E468" i="1"/>
  <c r="E63" i="1"/>
  <c r="E1401" i="1"/>
  <c r="E1314" i="1"/>
  <c r="E1724" i="1"/>
  <c r="E1442" i="1"/>
  <c r="E788" i="1"/>
  <c r="E669" i="1"/>
  <c r="E800" i="1"/>
  <c r="E44" i="1"/>
  <c r="E783" i="1"/>
  <c r="E1030" i="1"/>
  <c r="E1070" i="1"/>
  <c r="E1311" i="1"/>
  <c r="E1535" i="1"/>
  <c r="E62" i="1"/>
  <c r="E1533" i="1"/>
  <c r="E1532" i="1"/>
  <c r="E474" i="1"/>
  <c r="E73" i="1"/>
  <c r="E559" i="1"/>
  <c r="E464" i="1"/>
  <c r="E998" i="1"/>
  <c r="E438" i="1"/>
  <c r="E1430" i="1"/>
  <c r="E1408" i="1"/>
  <c r="E670" i="1"/>
  <c r="E792" i="1"/>
  <c r="E830" i="1"/>
  <c r="E620" i="1"/>
  <c r="E649" i="1"/>
  <c r="E1414" i="1"/>
  <c r="E11" i="1"/>
  <c r="E61" i="1"/>
  <c r="E1140" i="1"/>
  <c r="E267" i="1"/>
  <c r="E1429" i="1"/>
  <c r="E1413" i="1"/>
  <c r="E77" i="1"/>
  <c r="E204" i="1"/>
  <c r="E32" i="1"/>
  <c r="E1330" i="1"/>
  <c r="E1598" i="1"/>
  <c r="E1386" i="1"/>
  <c r="E1239" i="1"/>
  <c r="E1261" i="1"/>
  <c r="E1246" i="1"/>
  <c r="E1291" i="1"/>
  <c r="E607" i="1"/>
  <c r="E1066" i="1"/>
  <c r="E1269" i="1"/>
  <c r="E1509" i="1"/>
  <c r="E346" i="1"/>
  <c r="E832" i="1"/>
  <c r="E1561" i="1"/>
  <c r="E281" i="1"/>
  <c r="E776" i="1"/>
  <c r="E1514" i="1"/>
  <c r="E1043" i="1"/>
  <c r="D666" i="1"/>
  <c r="D928" i="1"/>
  <c r="D899" i="1"/>
  <c r="D382" i="1"/>
  <c r="D723" i="1"/>
  <c r="D175" i="1"/>
  <c r="D725" i="1"/>
  <c r="D8" i="1"/>
  <c r="D801" i="1"/>
  <c r="D1090" i="1"/>
  <c r="D1259" i="1"/>
  <c r="D481" i="1"/>
  <c r="D1087" i="1"/>
  <c r="D209" i="1"/>
  <c r="D1591" i="1"/>
  <c r="D809" i="1"/>
  <c r="D39" i="1"/>
  <c r="D862" i="1"/>
  <c r="D930" i="1"/>
  <c r="D527" i="1"/>
  <c r="D402" i="1"/>
  <c r="D1252" i="1"/>
  <c r="D647" i="1"/>
  <c r="D7" i="1"/>
  <c r="D1307" i="1"/>
  <c r="D466" i="1"/>
  <c r="D571" i="1"/>
  <c r="D1115" i="1"/>
  <c r="D738" i="1"/>
  <c r="D405" i="1"/>
  <c r="D1588" i="1"/>
  <c r="D1210" i="1"/>
  <c r="D1667" i="1"/>
  <c r="D1558" i="1"/>
  <c r="D719" i="1"/>
  <c r="D1085" i="1"/>
  <c r="D940" i="1"/>
  <c r="D1647" i="1"/>
  <c r="D963" i="1"/>
  <c r="D1646" i="1"/>
  <c r="D562" i="1"/>
  <c r="D942" i="1"/>
  <c r="D1589" i="1"/>
  <c r="D1304" i="1"/>
  <c r="D969" i="1"/>
  <c r="D234" i="1"/>
  <c r="D359" i="1"/>
  <c r="D754" i="1"/>
  <c r="D1460" i="1"/>
  <c r="D824" i="1"/>
  <c r="D961" i="1"/>
  <c r="D798" i="1"/>
  <c r="D1344" i="1"/>
  <c r="D294" i="1"/>
  <c r="D960" i="1"/>
  <c r="D868" i="1"/>
  <c r="D978" i="1"/>
  <c r="D1497" i="1"/>
  <c r="D1503" i="1"/>
  <c r="D959" i="1"/>
  <c r="D962" i="1"/>
  <c r="D235" i="1"/>
  <c r="D1705" i="1"/>
  <c r="D72" i="1"/>
  <c r="D746" i="1"/>
  <c r="D1638" i="1"/>
  <c r="D1649" i="1"/>
  <c r="D572" i="1"/>
  <c r="D724" i="1"/>
  <c r="D1107" i="1"/>
  <c r="D510" i="1"/>
  <c r="D1355" i="1"/>
  <c r="D514" i="1"/>
  <c r="D390" i="1"/>
  <c r="D380" i="1"/>
  <c r="D1685" i="1"/>
  <c r="D958" i="1"/>
  <c r="D1666" i="1"/>
  <c r="D648" i="1"/>
  <c r="D256" i="1"/>
  <c r="D566" i="1"/>
  <c r="D385" i="1"/>
  <c r="D1293" i="1"/>
  <c r="D977" i="1"/>
  <c r="D1142" i="1"/>
  <c r="D285" i="1"/>
  <c r="D526" i="1"/>
  <c r="D979" i="1"/>
  <c r="D322" i="1"/>
  <c r="D258" i="1"/>
  <c r="D505" i="1"/>
  <c r="D980" i="1"/>
  <c r="D642" i="1"/>
  <c r="D1683" i="1"/>
  <c r="D975" i="1"/>
  <c r="D1349" i="1"/>
  <c r="D1470" i="1"/>
  <c r="D376" i="1"/>
  <c r="D570" i="1"/>
  <c r="D238" i="1"/>
  <c r="D507" i="1"/>
  <c r="D277" i="1"/>
  <c r="D88" i="1"/>
  <c r="D615" i="1"/>
  <c r="D1645" i="1"/>
  <c r="D636" i="1"/>
  <c r="D650" i="1"/>
  <c r="D395" i="1"/>
  <c r="D662" i="1"/>
  <c r="D1433" i="1"/>
  <c r="D1347" i="1"/>
  <c r="D713" i="1"/>
  <c r="D797" i="1"/>
  <c r="D1286" i="1"/>
  <c r="D1639" i="1"/>
  <c r="D988" i="1"/>
  <c r="D1143" i="1"/>
  <c r="D729" i="1"/>
  <c r="D1250" i="1"/>
  <c r="D221" i="1"/>
  <c r="D103" i="1"/>
  <c r="D1508" i="1"/>
  <c r="D1677" i="1"/>
  <c r="D1299" i="1"/>
  <c r="D897" i="1"/>
  <c r="D525" i="1"/>
  <c r="D668" i="1"/>
  <c r="D1294" i="1"/>
  <c r="D391" i="1"/>
  <c r="D1682" i="1"/>
  <c r="D1665" i="1"/>
  <c r="D84" i="1"/>
  <c r="D802" i="1"/>
  <c r="D107" i="1"/>
  <c r="D1540" i="1"/>
  <c r="D323" i="1"/>
  <c r="D1354" i="1"/>
  <c r="D1678" i="1"/>
  <c r="D473" i="1"/>
  <c r="D393" i="1"/>
  <c r="D452" i="1"/>
  <c r="D383" i="1"/>
  <c r="D618" i="1"/>
  <c r="D224" i="1"/>
  <c r="D396" i="1"/>
  <c r="D1260" i="1"/>
  <c r="D59" i="1"/>
  <c r="D1644" i="1"/>
  <c r="D1292" i="1"/>
  <c r="D1575" i="1"/>
  <c r="D762" i="1"/>
  <c r="D1245" i="1"/>
  <c r="D1200" i="1"/>
  <c r="D1267" i="1"/>
  <c r="D330" i="1"/>
  <c r="D902" i="1"/>
  <c r="D1577" i="1"/>
  <c r="D1614" i="1"/>
  <c r="D1211" i="1"/>
  <c r="D1117" i="1"/>
  <c r="D1153" i="1"/>
  <c r="D1536" i="1"/>
  <c r="D948" i="1"/>
  <c r="D1579" i="1"/>
  <c r="D69" i="1"/>
  <c r="D272" i="1"/>
  <c r="D31" i="1"/>
  <c r="D1190" i="1"/>
  <c r="D1255" i="1"/>
  <c r="D1258" i="1"/>
  <c r="D1134" i="1"/>
  <c r="D887" i="1"/>
  <c r="D266" i="1"/>
  <c r="D94" i="1"/>
  <c r="D332" i="1"/>
  <c r="D1454" i="1"/>
  <c r="D1351" i="1"/>
  <c r="D1118" i="1"/>
  <c r="D1382" i="1"/>
  <c r="D759" i="1"/>
  <c r="D920" i="1"/>
  <c r="D1266" i="1"/>
  <c r="D905" i="1"/>
  <c r="D819" i="1"/>
  <c r="D409" i="1"/>
  <c r="D270" i="1"/>
  <c r="D854" i="1"/>
  <c r="D849" i="1"/>
  <c r="D1257" i="1"/>
  <c r="D936" i="1"/>
  <c r="D760" i="1"/>
  <c r="D528" i="1"/>
  <c r="D1135" i="1"/>
  <c r="D758" i="1"/>
  <c r="D651" i="1"/>
  <c r="D212" i="1"/>
  <c r="D1476" i="1"/>
  <c r="D1079" i="1"/>
  <c r="D1249" i="1"/>
  <c r="D806" i="1"/>
  <c r="D479" i="1"/>
  <c r="D477" i="1"/>
  <c r="D1082" i="1"/>
  <c r="D498" i="1"/>
  <c r="D592" i="1"/>
  <c r="D318" i="1"/>
  <c r="D1513" i="1"/>
  <c r="D745" i="1"/>
  <c r="D1520" i="1"/>
  <c r="D757" i="1"/>
  <c r="D913" i="1"/>
  <c r="D1214" i="1"/>
  <c r="D875" i="1"/>
  <c r="D1550" i="1"/>
  <c r="D891" i="1"/>
  <c r="D1547" i="1"/>
  <c r="D313" i="1"/>
  <c r="D1216" i="1"/>
  <c r="D1219" i="1"/>
  <c r="D1215" i="1"/>
  <c r="D1121" i="1"/>
  <c r="D873" i="1"/>
  <c r="D949" i="1"/>
  <c r="D732" i="1"/>
  <c r="D410" i="1"/>
  <c r="D845" i="1"/>
  <c r="D412" i="1"/>
  <c r="D1494" i="1"/>
  <c r="D1080" i="1"/>
  <c r="D394" i="1"/>
  <c r="D863" i="1"/>
  <c r="D176" i="1"/>
  <c r="D1231" i="1"/>
  <c r="D1227" i="1"/>
  <c r="D795" i="1"/>
  <c r="D789" i="1"/>
  <c r="D839" i="1"/>
  <c r="D254" i="1"/>
  <c r="D1571" i="1"/>
  <c r="D417" i="1"/>
  <c r="D602" i="1"/>
  <c r="D1091" i="1"/>
  <c r="D416" i="1"/>
  <c r="D419" i="1"/>
  <c r="D717" i="1"/>
  <c r="D173" i="1"/>
  <c r="D306" i="1"/>
  <c r="D601" i="1"/>
  <c r="D743" i="1"/>
  <c r="D1402" i="1"/>
  <c r="D1692" i="1"/>
  <c r="D124" i="1"/>
  <c r="D495" i="1"/>
  <c r="D735" i="1"/>
  <c r="D34" i="1"/>
  <c r="D1534" i="1"/>
  <c r="D262" i="1"/>
  <c r="D855" i="1"/>
  <c r="D749" i="1"/>
  <c r="D612" i="1"/>
  <c r="D1556" i="1"/>
  <c r="D70" i="1"/>
  <c r="D840" i="1"/>
  <c r="D1236" i="1"/>
  <c r="D671" i="1"/>
  <c r="D537" i="1"/>
  <c r="D954" i="1"/>
  <c r="D1100" i="1"/>
  <c r="D1359" i="1"/>
  <c r="D614" i="1"/>
  <c r="D1618" i="1"/>
  <c r="D603" i="1"/>
  <c r="D125" i="1"/>
  <c r="D1337" i="1"/>
  <c r="D694" i="1"/>
  <c r="D876" i="1"/>
  <c r="D1228" i="1"/>
  <c r="D366" i="1"/>
  <c r="D1611" i="1"/>
  <c r="D1345" i="1"/>
  <c r="D785" i="1"/>
  <c r="D99" i="1"/>
  <c r="D371" i="1"/>
  <c r="D413" i="1"/>
  <c r="D292" i="1"/>
  <c r="D1525" i="1"/>
  <c r="D549" i="1"/>
  <c r="D1452" i="1"/>
  <c r="D375" i="1"/>
  <c r="D119" i="1"/>
  <c r="D1619" i="1"/>
  <c r="D1615" i="1"/>
  <c r="D1278" i="1"/>
  <c r="D381" i="1"/>
  <c r="D1116" i="1"/>
  <c r="D834" i="1"/>
  <c r="D1112" i="1"/>
  <c r="D128" i="1"/>
  <c r="D1283" i="1"/>
  <c r="D1003" i="1"/>
  <c r="D1352" i="1"/>
  <c r="D427" i="1"/>
  <c r="D223" i="1"/>
  <c r="D215" i="1"/>
  <c r="D812" i="1"/>
  <c r="D774" i="1"/>
  <c r="D241" i="1"/>
  <c r="D231" i="1"/>
  <c r="D423" i="1"/>
  <c r="D421" i="1"/>
  <c r="D1384" i="1"/>
  <c r="D726" i="1"/>
  <c r="D288" i="1"/>
  <c r="D974" i="1"/>
  <c r="D518" i="1"/>
  <c r="D316" i="1"/>
  <c r="D117" i="1"/>
  <c r="D289" i="1"/>
  <c r="D1136" i="1"/>
  <c r="D664" i="1"/>
  <c r="D1718" i="1"/>
  <c r="D1367" i="1"/>
  <c r="D986" i="1"/>
  <c r="D813" i="1"/>
  <c r="D1368" i="1"/>
  <c r="D246" i="1"/>
  <c r="D1696" i="1"/>
  <c r="D987" i="1"/>
  <c r="D1620" i="1"/>
  <c r="D1409" i="1"/>
  <c r="D1570" i="1"/>
  <c r="D1169" i="1"/>
  <c r="D1390" i="1"/>
  <c r="D1655" i="1"/>
  <c r="D426" i="1"/>
  <c r="D309" i="1"/>
  <c r="D308" i="1"/>
  <c r="D120" i="1"/>
  <c r="D129" i="1"/>
  <c r="D435" i="1"/>
  <c r="D1417" i="1"/>
  <c r="D748" i="1"/>
  <c r="D1348" i="1"/>
  <c r="D131" i="1"/>
  <c r="D1045" i="1"/>
  <c r="D126" i="1"/>
  <c r="D989" i="1"/>
  <c r="D837" i="1"/>
  <c r="D1093" i="1"/>
  <c r="D1630" i="1"/>
  <c r="D816" i="1"/>
  <c r="D259" i="1"/>
  <c r="D243" i="1"/>
  <c r="D578" i="1"/>
  <c r="D579" i="1"/>
  <c r="D244" i="1"/>
  <c r="D1217" i="1"/>
  <c r="D841" i="1"/>
  <c r="D1469" i="1"/>
  <c r="D1218" i="1"/>
  <c r="D911" i="1"/>
  <c r="D1098" i="1"/>
  <c r="D577" i="1"/>
  <c r="D886" i="1"/>
  <c r="D1133" i="1"/>
  <c r="D1222" i="1"/>
  <c r="D933" i="1"/>
  <c r="D240" i="1"/>
  <c r="D857" i="1"/>
  <c r="D214" i="1"/>
  <c r="D593" i="1"/>
  <c r="D1324" i="1"/>
  <c r="D1631" i="1"/>
  <c r="D1206" i="1"/>
  <c r="D1204" i="1"/>
  <c r="D475" i="1"/>
  <c r="D1094" i="1"/>
  <c r="D407" i="1"/>
  <c r="D467" i="1"/>
  <c r="D431" i="1"/>
  <c r="D30" i="1"/>
  <c r="D1462" i="1"/>
  <c r="D1475" i="1"/>
  <c r="D1207" i="1"/>
  <c r="D591" i="1"/>
  <c r="D1203" i="1"/>
  <c r="D1502" i="1"/>
  <c r="D227" i="1"/>
  <c r="D1205" i="1"/>
  <c r="D1237" i="1"/>
  <c r="D459" i="1"/>
  <c r="D6" i="1"/>
  <c r="D1289" i="1"/>
  <c r="D1097" i="1"/>
  <c r="D428" i="1"/>
  <c r="D804" i="1"/>
  <c r="D1363" i="1"/>
  <c r="D803" i="1"/>
  <c r="D838" i="1"/>
  <c r="D594" i="1"/>
  <c r="D752" i="1"/>
  <c r="D770" i="1"/>
  <c r="D1679" i="1"/>
  <c r="D763" i="1"/>
  <c r="D1223" i="1"/>
  <c r="D1719" i="1"/>
  <c r="D1634" i="1"/>
  <c r="D1668" i="1"/>
  <c r="D628" i="1"/>
  <c r="D1238" i="1"/>
  <c r="D57" i="1"/>
  <c r="D1637" i="1"/>
  <c r="D1287" i="1"/>
  <c r="D127" i="1"/>
  <c r="D1688" i="1"/>
  <c r="D687" i="1"/>
  <c r="D765" i="1"/>
  <c r="D422" i="1"/>
  <c r="D1101" i="1"/>
  <c r="D1012" i="1"/>
  <c r="D1095" i="1"/>
  <c r="D35" i="1"/>
  <c r="D541" i="1"/>
  <c r="D1013" i="1"/>
  <c r="D1010" i="1"/>
  <c r="D924" i="1"/>
  <c r="D688" i="1"/>
  <c r="D1285" i="1"/>
  <c r="D1008" i="1"/>
  <c r="D248" i="1"/>
  <c r="D1603" i="1"/>
  <c r="D764" i="1"/>
  <c r="D821" i="1"/>
  <c r="D53" i="1"/>
  <c r="D1208" i="1"/>
  <c r="D630" i="1"/>
  <c r="D253" i="1"/>
  <c r="D900" i="1"/>
  <c r="D1139" i="1"/>
  <c r="D885" i="1"/>
  <c r="D1229" i="1"/>
  <c r="D1076" i="1"/>
  <c r="D436" i="1"/>
  <c r="D1523" i="1"/>
  <c r="D851" i="1"/>
  <c r="D1220" i="1"/>
  <c r="D480" i="1"/>
  <c r="D1416" i="1"/>
  <c r="D925" i="1"/>
  <c r="D996" i="1"/>
  <c r="D1664" i="1"/>
  <c r="D890" i="1"/>
  <c r="D1365" i="1"/>
  <c r="D1425" i="1"/>
  <c r="D71" i="1"/>
  <c r="D494" i="1"/>
  <c r="D1152" i="1"/>
  <c r="D20" i="1"/>
  <c r="D1700" i="1"/>
  <c r="D1233" i="1"/>
  <c r="D320" i="1"/>
  <c r="D1202" i="1"/>
  <c r="D686" i="1"/>
  <c r="D881" i="1"/>
  <c r="D358" i="1"/>
  <c r="D1181" i="1"/>
  <c r="D1353" i="1"/>
  <c r="D1422" i="1"/>
  <c r="D1710" i="1"/>
  <c r="D1209" i="1"/>
  <c r="D1234" i="1"/>
  <c r="D1703" i="1"/>
  <c r="D1350" i="1"/>
  <c r="D722" i="1"/>
  <c r="D1711" i="1"/>
  <c r="D230" i="1"/>
  <c r="D682" i="1"/>
  <c r="D222" i="1"/>
  <c r="D220" i="1"/>
  <c r="D864" i="1"/>
  <c r="D709" i="1"/>
  <c r="D710" i="1"/>
  <c r="D654" i="1"/>
  <c r="D1316" i="1"/>
  <c r="D1439" i="1"/>
  <c r="D83" i="1"/>
  <c r="D1323" i="1"/>
  <c r="D638" i="1"/>
  <c r="D1081" i="1"/>
  <c r="D771" i="1"/>
  <c r="D639" i="1"/>
  <c r="D23" i="1"/>
  <c r="D186" i="1"/>
  <c r="D181" i="1"/>
  <c r="D493" i="1"/>
  <c r="D1303" i="1"/>
  <c r="D255" i="1"/>
  <c r="D1224" i="1"/>
  <c r="D497" i="1"/>
  <c r="D1457" i="1"/>
  <c r="D576" i="1"/>
  <c r="D1295" i="1"/>
  <c r="D1054" i="1"/>
  <c r="D189" i="1"/>
  <c r="D1407" i="1"/>
  <c r="D1605" i="1"/>
  <c r="D424" i="1"/>
  <c r="D1492" i="1"/>
  <c r="D286" i="1"/>
  <c r="D853" i="1"/>
  <c r="D1624" i="1"/>
  <c r="D92" i="1"/>
  <c r="D907" i="1"/>
  <c r="D446" i="1"/>
  <c r="D429" i="1"/>
  <c r="D1702" i="1"/>
  <c r="D908" i="1"/>
  <c r="D188" i="1"/>
  <c r="D1322" i="1"/>
  <c r="D187" i="1"/>
  <c r="D1393" i="1"/>
  <c r="D1522" i="1"/>
  <c r="D251" i="1"/>
  <c r="D1302" i="1"/>
  <c r="D14" i="1"/>
  <c r="D430" i="1"/>
  <c r="D463" i="1"/>
  <c r="D909" i="1"/>
  <c r="D1305" i="1"/>
  <c r="D655" i="1"/>
  <c r="D778" i="1"/>
  <c r="D185" i="1"/>
  <c r="D1225" i="1"/>
  <c r="D1256" i="1"/>
  <c r="D1309" i="1"/>
  <c r="D595" i="1"/>
  <c r="D814" i="1"/>
  <c r="D29" i="1"/>
  <c r="D1601" i="1"/>
  <c r="D112" i="1"/>
  <c r="D968" i="1"/>
  <c r="D5" i="1"/>
  <c r="D451" i="1"/>
  <c r="D901" i="1"/>
  <c r="D1651" i="1"/>
  <c r="D895" i="1"/>
  <c r="D1120" i="1"/>
  <c r="D661" i="1"/>
  <c r="D9" i="1"/>
  <c r="D1681" i="1"/>
  <c r="D1659" i="1"/>
  <c r="D1650" i="1"/>
  <c r="D1464" i="1"/>
  <c r="D1308" i="1"/>
  <c r="D1340" i="1"/>
  <c r="D106" i="1"/>
  <c r="D1125" i="1"/>
  <c r="D1154" i="1"/>
  <c r="D1385" i="1"/>
  <c r="D1161" i="1"/>
  <c r="D1608" i="1"/>
  <c r="D937" i="1"/>
  <c r="D1412" i="1"/>
  <c r="D1510" i="1"/>
  <c r="D1450" i="1"/>
  <c r="D535" i="1"/>
  <c r="D1111" i="1"/>
  <c r="D1159" i="1"/>
  <c r="D1641" i="1"/>
  <c r="D1410" i="1"/>
  <c r="D1406" i="1"/>
  <c r="D750" i="1"/>
  <c r="D874" i="1"/>
  <c r="D242" i="1"/>
  <c r="D90" i="1"/>
  <c r="D534" i="1"/>
  <c r="D487" i="1"/>
  <c r="D98" i="1"/>
  <c r="D870" i="1"/>
  <c r="D448" i="1"/>
  <c r="D484" i="1"/>
  <c r="D865" i="1"/>
  <c r="D102" i="1"/>
  <c r="D183" i="1"/>
  <c r="D1128" i="1"/>
  <c r="D1297" i="1"/>
  <c r="D488" i="1"/>
  <c r="D1467" i="1"/>
  <c r="D1471" i="1"/>
  <c r="D111" i="1"/>
  <c r="D95" i="1"/>
  <c r="D1463" i="1"/>
  <c r="D976" i="1"/>
  <c r="D1487" i="1"/>
  <c r="D1689" i="1"/>
  <c r="D1106" i="1"/>
  <c r="D820" i="1"/>
  <c r="D700" i="1"/>
  <c r="D110" i="1"/>
  <c r="D939" i="1"/>
  <c r="D935" i="1"/>
  <c r="D904" i="1"/>
  <c r="D1441" i="1"/>
  <c r="D387" i="1"/>
  <c r="D78" i="1"/>
  <c r="D1248" i="1"/>
  <c r="D869" i="1"/>
  <c r="D13" i="1"/>
  <c r="D737" i="1"/>
  <c r="D1126" i="1"/>
  <c r="D81" i="1"/>
  <c r="D790" i="1"/>
  <c r="D1162" i="1"/>
  <c r="D1131" i="1"/>
  <c r="D540" i="1"/>
  <c r="D1440" i="1"/>
  <c r="D922" i="1"/>
  <c r="D1284" i="1"/>
  <c r="D539" i="1"/>
  <c r="D1486" i="1"/>
  <c r="D1404" i="1"/>
  <c r="D1264" i="1"/>
  <c r="D1428" i="1"/>
  <c r="D265" i="1"/>
  <c r="D1720" i="1"/>
  <c r="D1124" i="1"/>
  <c r="D1455" i="1"/>
  <c r="D598" i="1"/>
  <c r="D667" i="1"/>
  <c r="D1599" i="1"/>
  <c r="D657" i="1"/>
  <c r="D609" i="1"/>
  <c r="D583" i="1"/>
  <c r="D1691" i="1"/>
  <c r="D658" i="1"/>
  <c r="D597" i="1"/>
  <c r="D1141" i="1"/>
  <c r="D1585" i="1"/>
  <c r="D1333" i="1"/>
  <c r="D1485" i="1"/>
  <c r="D1021" i="1"/>
  <c r="D1026" i="1"/>
  <c r="D449" i="1"/>
  <c r="D889" i="1"/>
  <c r="D1182" i="1"/>
  <c r="D1580" i="1"/>
  <c r="D1721" i="1"/>
  <c r="D586" i="1"/>
  <c r="D1581" i="1"/>
  <c r="D450" i="1"/>
  <c r="D1582" i="1"/>
  <c r="D1148" i="1"/>
  <c r="D599" i="1"/>
  <c r="D1583" i="1"/>
  <c r="D588" i="1"/>
  <c r="D1024" i="1"/>
  <c r="D569" i="1"/>
  <c r="D1557" i="1"/>
  <c r="D1398" i="1"/>
  <c r="D965" i="1"/>
  <c r="D522" i="1"/>
  <c r="D1436" i="1"/>
  <c r="D123" i="1"/>
  <c r="D444" i="1"/>
  <c r="D1300" i="1"/>
  <c r="D205" i="1"/>
  <c r="D1366" i="1"/>
  <c r="D1660" i="1"/>
  <c r="D1271" i="1"/>
  <c r="D453" i="1"/>
  <c r="D1434" i="1"/>
  <c r="D1023" i="1"/>
  <c r="D96" i="1"/>
  <c r="D274" i="1"/>
  <c r="D656" i="1"/>
  <c r="D611" i="1"/>
  <c r="D823" i="1"/>
  <c r="D1516" i="1"/>
  <c r="D1461" i="1"/>
  <c r="D252" i="1"/>
  <c r="D866" i="1"/>
  <c r="D1518" i="1"/>
  <c r="D351" i="1"/>
  <c r="D1145" i="1"/>
  <c r="D159" i="1"/>
  <c r="D741" i="1"/>
  <c r="D508" i="1"/>
  <c r="D1022" i="1"/>
  <c r="D1282" i="1"/>
  <c r="D1676" i="1"/>
  <c r="D950" i="1"/>
  <c r="D87" i="1"/>
  <c r="D190" i="1"/>
  <c r="D145" i="1"/>
  <c r="D1511" i="1"/>
  <c r="D1480" i="1"/>
  <c r="D295" i="1"/>
  <c r="D1171" i="1"/>
  <c r="D1483" i="1"/>
  <c r="D174" i="1"/>
  <c r="D161" i="1"/>
  <c r="D64" i="1"/>
  <c r="D1673" i="1"/>
  <c r="D17" i="1"/>
  <c r="D1686" i="1"/>
  <c r="D1566" i="1"/>
  <c r="D1559" i="1"/>
  <c r="D689" i="1"/>
  <c r="D520" i="1"/>
  <c r="D116" i="1"/>
  <c r="D336" i="1"/>
  <c r="D121" i="1"/>
  <c r="D519" i="1"/>
  <c r="D751" i="1"/>
  <c r="D486" i="1"/>
  <c r="D1512" i="1"/>
  <c r="D1515" i="1"/>
  <c r="D108" i="1"/>
  <c r="D744" i="1"/>
  <c r="D207" i="1"/>
  <c r="D389" i="1"/>
  <c r="D1489" i="1"/>
  <c r="D1554" i="1"/>
  <c r="D546" i="1"/>
  <c r="D386" i="1"/>
  <c r="D388" i="1"/>
  <c r="D1130" i="1"/>
  <c r="D1474" i="1"/>
  <c r="D1086" i="1"/>
  <c r="D553" i="1"/>
  <c r="D509" i="1"/>
  <c r="D191" i="1"/>
  <c r="D610" i="1"/>
  <c r="D54" i="1"/>
  <c r="D290" i="1"/>
  <c r="D894" i="1"/>
  <c r="D702" i="1"/>
  <c r="D565" i="1"/>
  <c r="D712" i="1"/>
  <c r="D544" i="1"/>
  <c r="D360" i="1"/>
  <c r="D613" i="1"/>
  <c r="D938" i="1"/>
  <c r="D1643" i="1"/>
  <c r="D646" i="1"/>
  <c r="D1375" i="1"/>
  <c r="D1374" i="1"/>
  <c r="D1160" i="1"/>
  <c r="D826" i="1"/>
  <c r="D1122" i="1"/>
  <c r="D584" i="1"/>
  <c r="D1371" i="1"/>
  <c r="D10" i="1"/>
  <c r="D1187" i="1"/>
  <c r="D815" i="1"/>
  <c r="D967" i="1"/>
  <c r="D1172" i="1"/>
  <c r="D701" i="1"/>
  <c r="D401" i="1"/>
  <c r="D16" i="1"/>
  <c r="D835" i="1"/>
  <c r="D957" i="1"/>
  <c r="D1198" i="1"/>
  <c r="D523" i="1"/>
  <c r="D914" i="1"/>
  <c r="D563" i="1"/>
  <c r="D367" i="1"/>
  <c r="D529" i="1"/>
  <c r="D1044" i="1"/>
  <c r="D1459" i="1"/>
  <c r="D517" i="1"/>
  <c r="D1498" i="1"/>
  <c r="D1445" i="1"/>
  <c r="D1170" i="1"/>
  <c r="D1419" i="1"/>
  <c r="D625" i="1"/>
  <c r="D169" i="1"/>
  <c r="D871" i="1"/>
  <c r="D964" i="1"/>
  <c r="D1426" i="1"/>
  <c r="D333" i="1"/>
  <c r="D219" i="1"/>
  <c r="D22" i="1"/>
  <c r="D1221" i="1"/>
  <c r="D432" i="1"/>
  <c r="D15" i="1"/>
  <c r="D827" i="1"/>
  <c r="D291" i="1"/>
  <c r="D1196" i="1"/>
  <c r="D753" i="1"/>
  <c r="D1706" i="1"/>
  <c r="D1247" i="1"/>
  <c r="D206" i="1"/>
  <c r="D492" i="1"/>
  <c r="D1201" i="1"/>
  <c r="D325" i="1"/>
  <c r="D1213" i="1"/>
  <c r="D21" i="1"/>
  <c r="D1230" i="1"/>
  <c r="D500" i="1"/>
  <c r="D1060" i="1"/>
  <c r="D1069" i="1"/>
  <c r="D1040" i="1"/>
  <c r="D629" i="1"/>
  <c r="D543" i="1"/>
  <c r="D696" i="1"/>
  <c r="D1038" i="1"/>
  <c r="D370" i="1"/>
  <c r="D180" i="1"/>
  <c r="D1670" i="1"/>
  <c r="D250" i="1"/>
  <c r="D929" i="1"/>
  <c r="D590" i="1"/>
  <c r="D1632" i="1"/>
  <c r="D184" i="1"/>
  <c r="D882" i="1"/>
  <c r="D1387" i="1"/>
  <c r="D926" i="1"/>
  <c r="D506" i="1"/>
  <c r="D403" i="1"/>
  <c r="D714" i="1"/>
  <c r="D1075" i="1"/>
  <c r="D155" i="1"/>
  <c r="D1317" i="1"/>
  <c r="D1036" i="1"/>
  <c r="D810" i="1"/>
  <c r="D1453" i="1"/>
  <c r="D1722" i="1"/>
  <c r="D966" i="1"/>
  <c r="D1244" i="1"/>
  <c r="D665" i="1"/>
  <c r="D879" i="1"/>
  <c r="D260" i="1"/>
  <c r="D910" i="1"/>
  <c r="D372" i="1"/>
  <c r="D1543" i="1"/>
  <c r="D1444" i="1"/>
  <c r="D705" i="1"/>
  <c r="D1138" i="1"/>
  <c r="D225" i="1"/>
  <c r="D777" i="1"/>
  <c r="D284" i="1"/>
  <c r="D1014" i="1"/>
  <c r="D1555" i="1"/>
  <c r="D501" i="1"/>
  <c r="D1715" i="1"/>
  <c r="D1197" i="1"/>
  <c r="D1002" i="1"/>
  <c r="D1456" i="1"/>
  <c r="D397" i="1"/>
  <c r="D418" i="1"/>
  <c r="D825" i="1"/>
  <c r="D296" i="1"/>
  <c r="D271" i="1"/>
  <c r="D1635" i="1"/>
  <c r="D693" i="1"/>
  <c r="D1458" i="1"/>
  <c r="D730" i="1"/>
  <c r="D489" i="1"/>
  <c r="D1177" i="1"/>
  <c r="D1546" i="1"/>
  <c r="D1361" i="1"/>
  <c r="D916" i="1"/>
  <c r="D547" i="1"/>
  <c r="D1298" i="1"/>
  <c r="D1342" i="1"/>
  <c r="D1049" i="1"/>
  <c r="D1388" i="1"/>
  <c r="D1339" i="1"/>
  <c r="D728" i="1"/>
  <c r="D558" i="1"/>
  <c r="D1011" i="1"/>
  <c r="D1191" i="1"/>
  <c r="D1381" i="1"/>
  <c r="D1192" i="1"/>
  <c r="D1156" i="1"/>
  <c r="D1517" i="1"/>
  <c r="D1062" i="1"/>
  <c r="D415" i="1"/>
  <c r="D1033" i="1"/>
  <c r="D462" i="1"/>
  <c r="D1538" i="1"/>
  <c r="D1067" i="1"/>
  <c r="D742" i="1"/>
  <c r="D1163" i="1"/>
  <c r="D531" i="1"/>
  <c r="D888" i="1"/>
  <c r="D86" i="1"/>
  <c r="D33" i="1"/>
  <c r="D1029" i="1"/>
  <c r="D76" i="1"/>
  <c r="D341" i="1"/>
  <c r="D1490" i="1"/>
  <c r="D883" i="1"/>
  <c r="D552" i="1"/>
  <c r="D1028" i="1"/>
  <c r="D1016" i="1"/>
  <c r="D984" i="1"/>
  <c r="D997" i="1"/>
  <c r="D784" i="1"/>
  <c r="D1188" i="1"/>
  <c r="D443" i="1"/>
  <c r="D1004" i="1"/>
  <c r="D1397" i="1"/>
  <c r="D1448" i="1"/>
  <c r="D828" i="1"/>
  <c r="D1343" i="1"/>
  <c r="D79" i="1"/>
  <c r="D101" i="1"/>
  <c r="D769" i="1"/>
  <c r="D1447" i="1"/>
  <c r="D502" i="1"/>
  <c r="D1127" i="1"/>
  <c r="D1301" i="1"/>
  <c r="D60" i="1"/>
  <c r="D1652" i="1"/>
  <c r="D733" i="1"/>
  <c r="D398" i="1"/>
  <c r="D1183" i="1"/>
  <c r="D399" i="1"/>
  <c r="D1612" i="1"/>
  <c r="D1073" i="1"/>
  <c r="D1695" i="1"/>
  <c r="D1274" i="1"/>
  <c r="D400" i="1"/>
  <c r="D1529" i="1"/>
  <c r="D1165" i="1"/>
  <c r="D955" i="1"/>
  <c r="D715" i="1"/>
  <c r="D38" i="1"/>
  <c r="D1166" i="1"/>
  <c r="D1629" i="1"/>
  <c r="D1199" i="1"/>
  <c r="D1275" i="1"/>
  <c r="D934" i="1"/>
  <c r="D1167" i="1"/>
  <c r="D1626" i="1"/>
  <c r="D731" i="1"/>
  <c r="D617" i="1"/>
  <c r="D1403" i="1"/>
  <c r="D420" i="1"/>
  <c r="D564" i="1"/>
  <c r="D645" i="1"/>
  <c r="D1623" i="1"/>
  <c r="D567" i="1"/>
  <c r="D80" i="1"/>
  <c r="D503" i="1"/>
  <c r="D340" i="1"/>
  <c r="D953" i="1"/>
  <c r="D378" i="1"/>
  <c r="D1357" i="1"/>
  <c r="D538" i="1"/>
  <c r="D406" i="1"/>
  <c r="D637" i="1"/>
  <c r="D1373" i="1"/>
  <c r="D1519" i="1"/>
  <c r="D482" i="1"/>
  <c r="D1364" i="1"/>
  <c r="D736" i="1"/>
  <c r="D994" i="1"/>
  <c r="D1530" i="1"/>
  <c r="D1048" i="1"/>
  <c r="D1020" i="1"/>
  <c r="D1019" i="1"/>
  <c r="D992" i="1"/>
  <c r="D1391" i="1"/>
  <c r="D1562" i="1"/>
  <c r="D1180" i="1"/>
  <c r="D1195" i="1"/>
  <c r="D1358" i="1"/>
  <c r="D1240" i="1"/>
  <c r="D314" i="1"/>
  <c r="D1574" i="1"/>
  <c r="D1241" i="1"/>
  <c r="D699" i="1"/>
  <c r="D118" i="1"/>
  <c r="D1563" i="1"/>
  <c r="D319" i="1"/>
  <c r="D692" i="1"/>
  <c r="D690" i="1"/>
  <c r="D342" i="1"/>
  <c r="D831" i="1"/>
  <c r="D337" i="1"/>
  <c r="D115" i="1"/>
  <c r="D140" i="1"/>
  <c r="D1194" i="1"/>
  <c r="D775" i="1"/>
  <c r="D1420" i="1"/>
  <c r="D138" i="1"/>
  <c r="D82" i="1"/>
  <c r="D990" i="1"/>
  <c r="D691" i="1"/>
  <c r="D162" i="1"/>
  <c r="D74" i="1"/>
  <c r="D675" i="1"/>
  <c r="D1716" i="1"/>
  <c r="D75" i="1"/>
  <c r="D328" i="1"/>
  <c r="D1662" i="1"/>
  <c r="D67" i="1"/>
  <c r="D172" i="1"/>
  <c r="D1552" i="1"/>
  <c r="D156" i="1"/>
  <c r="D932" i="1"/>
  <c r="D1684" i="1"/>
  <c r="D1690" i="1"/>
  <c r="D1505" i="1"/>
  <c r="D182" i="1"/>
  <c r="D1137" i="1"/>
  <c r="D1088" i="1"/>
  <c r="D478" i="1"/>
  <c r="D1338" i="1"/>
  <c r="D193" i="1"/>
  <c r="D561" i="1"/>
  <c r="D153" i="1"/>
  <c r="D236" i="1"/>
  <c r="D329" i="1"/>
  <c r="D524" i="1"/>
  <c r="D780" i="1"/>
  <c r="D261" i="1"/>
  <c r="D1466" i="1"/>
  <c r="D698" i="1"/>
  <c r="D1671" i="1"/>
  <c r="D1669" i="1"/>
  <c r="D880" i="1"/>
  <c r="D1061" i="1"/>
  <c r="D1193" i="1"/>
  <c r="D1526" i="1"/>
  <c r="D210" i="1"/>
  <c r="D972" i="1"/>
  <c r="D1672" i="1"/>
  <c r="D1548" i="1"/>
  <c r="D1306" i="1"/>
  <c r="D232" i="1"/>
  <c r="D447" i="1"/>
  <c r="D1226" i="1"/>
  <c r="D545" i="1"/>
  <c r="D2" i="1"/>
  <c r="D580" i="1"/>
  <c r="D404" i="1"/>
  <c r="D1232" i="1"/>
  <c r="D995" i="1"/>
  <c r="D278" i="1"/>
  <c r="D858" i="1"/>
  <c r="D139" i="1"/>
  <c r="D1356" i="1"/>
  <c r="D1185" i="1"/>
  <c r="D299" i="1"/>
  <c r="D368" i="1"/>
  <c r="D1697" i="1"/>
  <c r="D1319" i="1"/>
  <c r="D847" i="1"/>
  <c r="D89" i="1"/>
  <c r="D1288" i="1"/>
  <c r="D1212" i="1"/>
  <c r="D1110" i="1"/>
  <c r="D1280" i="1"/>
  <c r="D334" i="1"/>
  <c r="D1332" i="1"/>
  <c r="D1084" i="1"/>
  <c r="D1279" i="1"/>
  <c r="D135" i="1"/>
  <c r="D1334" i="1"/>
  <c r="D568" i="1"/>
  <c r="D1321" i="1"/>
  <c r="D1479" i="1"/>
  <c r="D695" i="1"/>
  <c r="D734" i="1"/>
  <c r="D46" i="1"/>
  <c r="D1189" i="1"/>
  <c r="D1640" i="1"/>
  <c r="D1173" i="1"/>
  <c r="D1341" i="1"/>
  <c r="D1592" i="1"/>
  <c r="D228" i="1"/>
  <c r="D233" i="1"/>
  <c r="D1572" i="1"/>
  <c r="D247" i="1"/>
  <c r="D275" i="1"/>
  <c r="D19" i="1"/>
  <c r="D551" i="1"/>
  <c r="D93" i="1"/>
  <c r="D945" i="1"/>
  <c r="D704" i="1"/>
  <c r="D1178" i="1"/>
  <c r="D848" i="1"/>
  <c r="D164" i="1"/>
  <c r="D811" i="1"/>
  <c r="D536" i="1"/>
  <c r="D1553" i="1"/>
  <c r="D1648" i="1"/>
  <c r="D1504" i="1"/>
  <c r="D213" i="1"/>
  <c r="D817" i="1"/>
  <c r="D596" i="1"/>
  <c r="D1473" i="1"/>
  <c r="D1654" i="1"/>
  <c r="D192" i="1"/>
  <c r="D1726" i="1"/>
  <c r="D41" i="1"/>
  <c r="D1727" i="1"/>
  <c r="D1707" i="1"/>
  <c r="D1527" i="1"/>
  <c r="D1251" i="1"/>
  <c r="D1694" i="1"/>
  <c r="D973" i="1"/>
  <c r="D915" i="1"/>
  <c r="D216" i="1"/>
  <c r="D37" i="1"/>
  <c r="D263" i="1"/>
  <c r="D621" i="1"/>
  <c r="D542" i="1"/>
  <c r="D1484" i="1"/>
  <c r="D48" i="1"/>
  <c r="D1544" i="1"/>
  <c r="D1105" i="1"/>
  <c r="D1528" i="1"/>
  <c r="D202" i="1"/>
  <c r="D1335" i="1"/>
  <c r="D1617" i="1"/>
  <c r="D1243" i="1"/>
  <c r="D1704" i="1"/>
  <c r="D1155" i="1"/>
  <c r="D198" i="1"/>
  <c r="D756" i="1"/>
  <c r="D1158" i="1"/>
  <c r="D179" i="1"/>
  <c r="D1708" i="1"/>
  <c r="D946" i="1"/>
  <c r="D1488" i="1"/>
  <c r="D414" i="1"/>
  <c r="D676" i="1"/>
  <c r="D43" i="1"/>
  <c r="D842" i="1"/>
  <c r="D641" i="1"/>
  <c r="D160" i="1"/>
  <c r="D411" i="1"/>
  <c r="D168" i="1"/>
  <c r="D1346" i="1"/>
  <c r="D1179" i="1"/>
  <c r="D991" i="1"/>
  <c r="D1491" i="1"/>
  <c r="D1578" i="1"/>
  <c r="D1549" i="1"/>
  <c r="D822" i="1"/>
  <c r="D347" i="1"/>
  <c r="D1687" i="1"/>
  <c r="D1119" i="1"/>
  <c r="D109" i="1"/>
  <c r="D343" i="1"/>
  <c r="D425" i="1"/>
  <c r="D560" i="1"/>
  <c r="D1310" i="1"/>
  <c r="D794" i="1"/>
  <c r="D1564" i="1"/>
  <c r="D685" i="1"/>
  <c r="D678" i="1"/>
  <c r="D1059" i="1"/>
  <c r="D1657" i="1"/>
  <c r="D1072" i="1"/>
  <c r="D884" i="1"/>
  <c r="D171" i="1"/>
  <c r="D1389" i="1"/>
  <c r="D767" i="1"/>
  <c r="D739" i="1"/>
  <c r="D105" i="1"/>
  <c r="D859" i="1"/>
  <c r="D1411" i="1"/>
  <c r="D1424" i="1"/>
  <c r="D321" i="1"/>
  <c r="D1326" i="1"/>
  <c r="D1104" i="1"/>
  <c r="D1277" i="1"/>
  <c r="D1313" i="1"/>
  <c r="D1051" i="1"/>
  <c r="D300" i="1"/>
  <c r="D298" i="1"/>
  <c r="D768" i="1"/>
  <c r="D921" i="1"/>
  <c r="D761" i="1"/>
  <c r="D941" i="1"/>
  <c r="D1312" i="1"/>
  <c r="D622" i="1"/>
  <c r="D1296" i="1"/>
  <c r="D326" i="1"/>
  <c r="D1380" i="1"/>
  <c r="D1653" i="1"/>
  <c r="D1405" i="1"/>
  <c r="D158" i="1"/>
  <c r="D983" i="1"/>
  <c r="D374" i="1"/>
  <c r="D194" i="1"/>
  <c r="D1586" i="1"/>
  <c r="D511" i="1"/>
  <c r="D199" i="1"/>
  <c r="D392" i="1"/>
  <c r="D442" i="1"/>
  <c r="D195" i="1"/>
  <c r="D1331" i="1"/>
  <c r="D981" i="1"/>
  <c r="D152" i="1"/>
  <c r="D1431" i="1"/>
  <c r="D982" i="1"/>
  <c r="D1400" i="1"/>
  <c r="D132" i="1"/>
  <c r="D97" i="1"/>
  <c r="D287" i="1"/>
  <c r="D1507" i="1"/>
  <c r="D1102" i="1"/>
  <c r="D147" i="1"/>
  <c r="D85" i="1"/>
  <c r="D856" i="1"/>
  <c r="D36" i="1"/>
  <c r="D846" i="1"/>
  <c r="D1320" i="1"/>
  <c r="D1680" i="1"/>
  <c r="D951" i="1"/>
  <c r="D1542" i="1"/>
  <c r="D516" i="1"/>
  <c r="D1717" i="1"/>
  <c r="D470" i="1"/>
  <c r="D483" i="1"/>
  <c r="D1254" i="1"/>
  <c r="D1253" i="1"/>
  <c r="D268" i="1"/>
  <c r="D512" i="1"/>
  <c r="D167" i="1"/>
  <c r="D1273" i="1"/>
  <c r="D766" i="1"/>
  <c r="D1560" i="1"/>
  <c r="D461" i="1"/>
  <c r="D458" i="1"/>
  <c r="D716" i="1"/>
  <c r="D471" i="1"/>
  <c r="D455" i="1"/>
  <c r="D1501" i="1"/>
  <c r="D1569" i="1"/>
  <c r="D1379" i="1"/>
  <c r="D456" i="1"/>
  <c r="D1567" i="1"/>
  <c r="D122" i="1"/>
  <c r="D818" i="1"/>
  <c r="D1376" i="1"/>
  <c r="D1725" i="1"/>
  <c r="D1053" i="1"/>
  <c r="D793" i="1"/>
  <c r="D144" i="1"/>
  <c r="D1675" i="1"/>
  <c r="D677" i="1"/>
  <c r="D683" i="1"/>
  <c r="D441" i="1"/>
  <c r="D513" i="1"/>
  <c r="D146" i="1"/>
  <c r="D353" i="1"/>
  <c r="D1642" i="1"/>
  <c r="D491" i="1"/>
  <c r="D1482" i="1"/>
  <c r="D433" i="1"/>
  <c r="D1496" i="1"/>
  <c r="D355" i="1"/>
  <c r="D4" i="1"/>
  <c r="D1157" i="1"/>
  <c r="D1568" i="1"/>
  <c r="D25" i="1"/>
  <c r="D1047" i="1"/>
  <c r="D114" i="1"/>
  <c r="D68" i="1"/>
  <c r="D1468" i="1"/>
  <c r="D350" i="1"/>
  <c r="D931" i="1"/>
  <c r="D1415" i="1"/>
  <c r="D1360" i="1"/>
  <c r="D1493" i="1"/>
  <c r="D1083" i="1"/>
  <c r="D55" i="1"/>
  <c r="D573" i="1"/>
  <c r="D781" i="1"/>
  <c r="D1663" i="1"/>
  <c r="D12" i="1"/>
  <c r="D151" i="1"/>
  <c r="D747" i="1"/>
  <c r="D1537" i="1"/>
  <c r="D1621" i="1"/>
  <c r="D437" i="1"/>
  <c r="D1362" i="1"/>
  <c r="D703" i="1"/>
  <c r="D1046" i="1"/>
  <c r="D1606" i="1"/>
  <c r="D627" i="1"/>
  <c r="D1607" i="1"/>
  <c r="D1576" i="1"/>
  <c r="D711" i="1"/>
  <c r="D439" i="1"/>
  <c r="D257" i="1"/>
  <c r="D787" i="1"/>
  <c r="D877" i="1"/>
  <c r="D1636" i="1"/>
  <c r="D1399" i="1"/>
  <c r="D379" i="1"/>
  <c r="D673" i="1"/>
  <c r="D1627" i="1"/>
  <c r="D276" i="1"/>
  <c r="D149" i="1"/>
  <c r="D634" i="1"/>
  <c r="D465" i="1"/>
  <c r="D624" i="1"/>
  <c r="D782" i="1"/>
  <c r="D134" i="1"/>
  <c r="D445" i="1"/>
  <c r="D706" i="1"/>
  <c r="D1446" i="1"/>
  <c r="D697" i="1"/>
  <c r="D1524" i="1"/>
  <c r="D279" i="1"/>
  <c r="D772" i="1"/>
  <c r="D1698" i="1"/>
  <c r="D364" i="1"/>
  <c r="D1565" i="1"/>
  <c r="D1573" i="1"/>
  <c r="D632" i="1"/>
  <c r="D1418" i="1"/>
  <c r="D633" i="1"/>
  <c r="D796" i="1"/>
  <c r="D1610" i="1"/>
  <c r="D490" i="1"/>
  <c r="D956" i="1"/>
  <c r="D66" i="1"/>
  <c r="D1432" i="1"/>
  <c r="D1329" i="1"/>
  <c r="D944" i="1"/>
  <c r="D1096" i="1"/>
  <c r="D1392" i="1"/>
  <c r="D1315" i="1"/>
  <c r="D1481" i="1"/>
  <c r="D708" i="1"/>
  <c r="D130" i="1"/>
  <c r="D947" i="1"/>
  <c r="D943" i="1"/>
  <c r="D626" i="1"/>
  <c r="D1063" i="1"/>
  <c r="D1435" i="1"/>
  <c r="D1604" i="1"/>
  <c r="D791" i="1"/>
  <c r="D799" i="1"/>
  <c r="D1438" i="1"/>
  <c r="D1099" i="1"/>
  <c r="D1114" i="1"/>
  <c r="D302" i="1"/>
  <c r="D51" i="1"/>
  <c r="D533" i="1"/>
  <c r="D1281" i="1"/>
  <c r="D608" i="1"/>
  <c r="D971" i="1"/>
  <c r="D1025" i="1"/>
  <c r="D339" i="1"/>
  <c r="D335" i="1"/>
  <c r="D867" i="1"/>
  <c r="D1276" i="1"/>
  <c r="D249" i="1"/>
  <c r="D113" i="1"/>
  <c r="D970" i="1"/>
  <c r="D548" i="1"/>
  <c r="D1005" i="1"/>
  <c r="D1034" i="1"/>
  <c r="D1113" i="1"/>
  <c r="D1370" i="1"/>
  <c r="D384" i="1"/>
  <c r="D157" i="1"/>
  <c r="D208" i="1"/>
  <c r="D1092" i="1"/>
  <c r="D163" i="1"/>
  <c r="D218" i="1"/>
  <c r="D100" i="1"/>
  <c r="D1372" i="1"/>
  <c r="D1674" i="1"/>
  <c r="D42" i="1"/>
  <c r="D1709" i="1"/>
  <c r="D600" i="1"/>
  <c r="D918" i="1"/>
  <c r="D369" i="1"/>
  <c r="D872" i="1"/>
  <c r="D1713" i="1"/>
  <c r="D1055" i="1"/>
  <c r="D178" i="1"/>
  <c r="D1478" i="1"/>
  <c r="D919" i="1"/>
  <c r="D1050" i="1"/>
  <c r="D1037" i="1"/>
  <c r="D1041" i="1"/>
  <c r="D47" i="1"/>
  <c r="D515" i="1"/>
  <c r="D1017" i="1"/>
  <c r="D499" i="1"/>
  <c r="D808" i="1"/>
  <c r="D1377" i="1"/>
  <c r="D521" i="1"/>
  <c r="D1472" i="1"/>
  <c r="D581" i="1"/>
  <c r="D1714" i="1"/>
  <c r="D1089" i="1"/>
  <c r="D1723" i="1"/>
  <c r="D1693" i="1"/>
  <c r="D557" i="1"/>
  <c r="D807" i="1"/>
  <c r="D672" i="1"/>
  <c r="D45" i="1"/>
  <c r="D1042" i="1"/>
  <c r="D315" i="1"/>
  <c r="D1712" i="1"/>
  <c r="D1477" i="1"/>
  <c r="D496" i="1"/>
  <c r="D679" i="1"/>
  <c r="D1109" i="1"/>
  <c r="D805" i="1"/>
  <c r="D1701" i="1"/>
  <c r="D245" i="1"/>
  <c r="D324" i="1"/>
  <c r="D660" i="1"/>
  <c r="D1009" i="1"/>
  <c r="D644" i="1"/>
  <c r="D786" i="1"/>
  <c r="D434" i="1"/>
  <c r="D365" i="1"/>
  <c r="D331" i="1"/>
  <c r="D293" i="1"/>
  <c r="D338" i="1"/>
  <c r="D363" i="1"/>
  <c r="D143" i="1"/>
  <c r="D903" i="1"/>
  <c r="D707" i="1"/>
  <c r="D640" i="1"/>
  <c r="D148" i="1"/>
  <c r="D1656" i="1"/>
  <c r="D681" i="1"/>
  <c r="D1149" i="1"/>
  <c r="D896" i="1"/>
  <c r="D912" i="1"/>
  <c r="D850" i="1"/>
  <c r="D469" i="1"/>
  <c r="D1613" i="1"/>
  <c r="D1625" i="1"/>
  <c r="D203" i="1"/>
  <c r="D1539" i="1"/>
  <c r="D653" i="1"/>
  <c r="D852" i="1"/>
  <c r="D727" i="1"/>
  <c r="D833" i="1"/>
  <c r="D3" i="1"/>
  <c r="D137" i="1"/>
  <c r="D408" i="1"/>
  <c r="D361" i="1"/>
  <c r="D684" i="1"/>
  <c r="D1123" i="1"/>
  <c r="D555" i="1"/>
  <c r="D476" i="1"/>
  <c r="D1531" i="1"/>
  <c r="D652" i="1"/>
  <c r="D680" i="1"/>
  <c r="D28" i="1"/>
  <c r="D1597" i="1"/>
  <c r="D1132" i="1"/>
  <c r="D1064" i="1"/>
  <c r="D623" i="1"/>
  <c r="D1150" i="1"/>
  <c r="D1369" i="1"/>
  <c r="D585" i="1"/>
  <c r="D133" i="1"/>
  <c r="D663" i="1"/>
  <c r="D1541" i="1"/>
  <c r="D1035" i="1"/>
  <c r="D1144" i="1"/>
  <c r="D1421" i="1"/>
  <c r="D1065" i="1"/>
  <c r="D1174" i="1"/>
  <c r="D927" i="1"/>
  <c r="D1077" i="1"/>
  <c r="D1587" i="1"/>
  <c r="D1078" i="1"/>
  <c r="D1176" i="1"/>
  <c r="D52" i="1"/>
  <c r="D1590" i="1"/>
  <c r="D1506" i="1"/>
  <c r="D892" i="1"/>
  <c r="D1186" i="1"/>
  <c r="D362" i="1"/>
  <c r="D303" i="1"/>
  <c r="D1595" i="1"/>
  <c r="D24" i="1"/>
  <c r="D1594" i="1"/>
  <c r="D1129" i="1"/>
  <c r="D1465" i="1"/>
  <c r="D1396" i="1"/>
  <c r="D317" i="1"/>
  <c r="D141" i="1"/>
  <c r="D1600" i="1"/>
  <c r="D1007" i="1"/>
  <c r="D604" i="1"/>
  <c r="D923" i="1"/>
  <c r="D177" i="1"/>
  <c r="D674" i="1"/>
  <c r="D1263" i="1"/>
  <c r="D154" i="1"/>
  <c r="D150" i="1"/>
  <c r="D58" i="1"/>
  <c r="D211" i="1"/>
  <c r="D906" i="1"/>
  <c r="D65" i="1"/>
  <c r="D589" i="1"/>
  <c r="D1056" i="1"/>
  <c r="D1499" i="1"/>
  <c r="D1057" i="1"/>
  <c r="D740" i="1"/>
  <c r="D999" i="1"/>
  <c r="D1437" i="1"/>
  <c r="D307" i="1"/>
  <c r="D1268" i="1"/>
  <c r="D1290" i="1"/>
  <c r="D1071" i="1"/>
  <c r="D280" i="1"/>
  <c r="D755" i="1"/>
  <c r="D304" i="1"/>
  <c r="D1058" i="1"/>
  <c r="D1184" i="1"/>
  <c r="D550" i="1"/>
  <c r="D344" i="1"/>
  <c r="D18" i="1"/>
  <c r="D1584" i="1"/>
  <c r="D310" i="1"/>
  <c r="D878" i="1"/>
  <c r="D460" i="1"/>
  <c r="D1699" i="1"/>
  <c r="D605" i="1"/>
  <c r="D345" i="1"/>
  <c r="D898" i="1"/>
  <c r="D239" i="1"/>
  <c r="D1052" i="1"/>
  <c r="D779" i="1"/>
  <c r="D1451" i="1"/>
  <c r="D1500" i="1"/>
  <c r="D1265" i="1"/>
  <c r="D659" i="1"/>
  <c r="D136" i="1"/>
  <c r="D554" i="1"/>
  <c r="D1628" i="1"/>
  <c r="D1168" i="1"/>
  <c r="D1000" i="1"/>
  <c r="D643" i="1"/>
  <c r="D1325" i="1"/>
  <c r="D575" i="1"/>
  <c r="D1018" i="1"/>
  <c r="D1633" i="1"/>
  <c r="D373" i="1"/>
  <c r="D1270" i="1"/>
  <c r="D327" i="1"/>
  <c r="D1015" i="1"/>
  <c r="D1449" i="1"/>
  <c r="D1395" i="1"/>
  <c r="D196" i="1"/>
  <c r="D1103" i="1"/>
  <c r="D312" i="1"/>
  <c r="D166" i="1"/>
  <c r="D1108" i="1"/>
  <c r="D348" i="1"/>
  <c r="D282" i="1"/>
  <c r="D377" i="1"/>
  <c r="D165" i="1"/>
  <c r="D917" i="1"/>
  <c r="D356" i="1"/>
  <c r="D264" i="1"/>
  <c r="D1609" i="1"/>
  <c r="D357" i="1"/>
  <c r="D1328" i="1"/>
  <c r="D718" i="1"/>
  <c r="D485" i="1"/>
  <c r="D720" i="1"/>
  <c r="D201" i="1"/>
  <c r="D229" i="1"/>
  <c r="D237" i="1"/>
  <c r="D843" i="1"/>
  <c r="D861" i="1"/>
  <c r="D1027" i="1"/>
  <c r="D1146" i="1"/>
  <c r="D226" i="1"/>
  <c r="D574" i="1"/>
  <c r="D1164" i="1"/>
  <c r="D606" i="1"/>
  <c r="D1074" i="1"/>
  <c r="D985" i="1"/>
  <c r="D587" i="1"/>
  <c r="D170" i="1"/>
  <c r="D773" i="1"/>
  <c r="D27" i="1"/>
  <c r="D305" i="1"/>
  <c r="D311" i="1"/>
  <c r="D1327" i="1"/>
  <c r="D197" i="1"/>
  <c r="D200" i="1"/>
  <c r="D631" i="1"/>
  <c r="D1262" i="1"/>
  <c r="D352" i="1"/>
  <c r="D1593" i="1"/>
  <c r="D1032" i="1"/>
  <c r="D457" i="1"/>
  <c r="D283" i="1"/>
  <c r="D1551" i="1"/>
  <c r="D217" i="1"/>
  <c r="D1383" i="1"/>
  <c r="D354" i="1"/>
  <c r="D504" i="1"/>
  <c r="D860" i="1"/>
  <c r="D530" i="1"/>
  <c r="D273" i="1"/>
  <c r="D1602" i="1"/>
  <c r="D1423" i="1"/>
  <c r="D1006" i="1"/>
  <c r="D532" i="1"/>
  <c r="D1521" i="1"/>
  <c r="D1378" i="1"/>
  <c r="D1336" i="1"/>
  <c r="D1147" i="1"/>
  <c r="D721" i="1"/>
  <c r="D1175" i="1"/>
  <c r="D893" i="1"/>
  <c r="D472" i="1"/>
  <c r="D952" i="1"/>
  <c r="D454" i="1"/>
  <c r="D1495" i="1"/>
  <c r="D297" i="1"/>
  <c r="D844" i="1"/>
  <c r="D1001" i="1"/>
  <c r="D56" i="1"/>
  <c r="D1658" i="1"/>
  <c r="D1394" i="1"/>
  <c r="D1151" i="1"/>
  <c r="D1068" i="1"/>
  <c r="D1622" i="1"/>
  <c r="D1596" i="1"/>
  <c r="D104" i="1"/>
  <c r="D349" i="1"/>
  <c r="D91" i="1"/>
  <c r="D142" i="1"/>
  <c r="D301" i="1"/>
  <c r="D635" i="1"/>
  <c r="D269" i="1"/>
  <c r="D1235" i="1"/>
  <c r="D40" i="1"/>
  <c r="D1272" i="1"/>
  <c r="D1318" i="1"/>
  <c r="D1443" i="1"/>
  <c r="D1031" i="1"/>
  <c r="D616" i="1"/>
  <c r="D1427" i="1"/>
  <c r="D619" i="1"/>
  <c r="D440" i="1"/>
  <c r="D836" i="1"/>
  <c r="D1039" i="1"/>
  <c r="D1616" i="1"/>
  <c r="D26" i="1"/>
  <c r="D1545" i="1"/>
  <c r="D829" i="1"/>
  <c r="D993" i="1"/>
  <c r="D1242" i="1"/>
  <c r="D582" i="1"/>
  <c r="D49" i="1"/>
  <c r="D1661" i="1"/>
  <c r="D50" i="1"/>
  <c r="D556" i="1"/>
  <c r="D468" i="1"/>
  <c r="D63" i="1"/>
  <c r="D1401" i="1"/>
  <c r="D1314" i="1"/>
  <c r="D1724" i="1"/>
  <c r="D1442" i="1"/>
  <c r="D788" i="1"/>
  <c r="D669" i="1"/>
  <c r="D800" i="1"/>
  <c r="D44" i="1"/>
  <c r="D783" i="1"/>
  <c r="D1030" i="1"/>
  <c r="D1070" i="1"/>
  <c r="D1311" i="1"/>
  <c r="D1535" i="1"/>
  <c r="D62" i="1"/>
  <c r="D1533" i="1"/>
  <c r="D1532" i="1"/>
  <c r="D474" i="1"/>
  <c r="D73" i="1"/>
  <c r="D559" i="1"/>
  <c r="D464" i="1"/>
  <c r="D998" i="1"/>
  <c r="D438" i="1"/>
  <c r="D1430" i="1"/>
  <c r="D1408" i="1"/>
  <c r="D670" i="1"/>
  <c r="D792" i="1"/>
  <c r="D830" i="1"/>
  <c r="D620" i="1"/>
  <c r="D649" i="1"/>
  <c r="D1414" i="1"/>
  <c r="D11" i="1"/>
  <c r="D61" i="1"/>
  <c r="D1140" i="1"/>
  <c r="D267" i="1"/>
  <c r="D1429" i="1"/>
  <c r="D1413" i="1"/>
  <c r="D77" i="1"/>
  <c r="D204" i="1"/>
  <c r="D32" i="1"/>
  <c r="D1330" i="1"/>
  <c r="D1598" i="1"/>
  <c r="D1386" i="1"/>
  <c r="D1239" i="1"/>
  <c r="D1261" i="1"/>
  <c r="D1246" i="1"/>
  <c r="D1291" i="1"/>
  <c r="D607" i="1"/>
  <c r="D1066" i="1"/>
  <c r="D1269" i="1"/>
  <c r="D1509" i="1"/>
  <c r="D346" i="1"/>
  <c r="D832" i="1"/>
  <c r="D1561" i="1"/>
  <c r="D281" i="1"/>
  <c r="D776" i="1"/>
  <c r="D1514" i="1"/>
  <c r="D1043" i="1"/>
  <c r="C666" i="1"/>
  <c r="C928" i="1"/>
  <c r="C899" i="1"/>
  <c r="C382" i="1"/>
  <c r="C723" i="1"/>
  <c r="C175" i="1"/>
  <c r="C725" i="1"/>
  <c r="C8" i="1"/>
  <c r="C801" i="1"/>
  <c r="C1090" i="1"/>
  <c r="C1259" i="1"/>
  <c r="C481" i="1"/>
  <c r="C1087" i="1"/>
  <c r="C209" i="1"/>
  <c r="C1591" i="1"/>
  <c r="C809" i="1"/>
  <c r="C39" i="1"/>
  <c r="C862" i="1"/>
  <c r="C930" i="1"/>
  <c r="C527" i="1"/>
  <c r="C402" i="1"/>
  <c r="C1252" i="1"/>
  <c r="C647" i="1"/>
  <c r="C7" i="1"/>
  <c r="C1307" i="1"/>
  <c r="C466" i="1"/>
  <c r="C571" i="1"/>
  <c r="C1115" i="1"/>
  <c r="C738" i="1"/>
  <c r="C405" i="1"/>
  <c r="C1588" i="1"/>
  <c r="C1210" i="1"/>
  <c r="C1667" i="1"/>
  <c r="C1558" i="1"/>
  <c r="C719" i="1"/>
  <c r="C1085" i="1"/>
  <c r="C940" i="1"/>
  <c r="C1647" i="1"/>
  <c r="C963" i="1"/>
  <c r="C1646" i="1"/>
  <c r="C562" i="1"/>
  <c r="C942" i="1"/>
  <c r="C1589" i="1"/>
  <c r="C1304" i="1"/>
  <c r="C969" i="1"/>
  <c r="C234" i="1"/>
  <c r="C359" i="1"/>
  <c r="C754" i="1"/>
  <c r="C1460" i="1"/>
  <c r="C824" i="1"/>
  <c r="C961" i="1"/>
  <c r="C798" i="1"/>
  <c r="C1344" i="1"/>
  <c r="C294" i="1"/>
  <c r="C960" i="1"/>
  <c r="C868" i="1"/>
  <c r="C978" i="1"/>
  <c r="C1497" i="1"/>
  <c r="C1503" i="1"/>
  <c r="C959" i="1"/>
  <c r="C962" i="1"/>
  <c r="C235" i="1"/>
  <c r="C1705" i="1"/>
  <c r="C72" i="1"/>
  <c r="C746" i="1"/>
  <c r="C1638" i="1"/>
  <c r="C1649" i="1"/>
  <c r="C572" i="1"/>
  <c r="C724" i="1"/>
  <c r="C1107" i="1"/>
  <c r="C510" i="1"/>
  <c r="C1355" i="1"/>
  <c r="C514" i="1"/>
  <c r="C390" i="1"/>
  <c r="C380" i="1"/>
  <c r="C1685" i="1"/>
  <c r="C958" i="1"/>
  <c r="C1666" i="1"/>
  <c r="C648" i="1"/>
  <c r="C256" i="1"/>
  <c r="C566" i="1"/>
  <c r="C385" i="1"/>
  <c r="C1293" i="1"/>
  <c r="C977" i="1"/>
  <c r="C1142" i="1"/>
  <c r="C285" i="1"/>
  <c r="C526" i="1"/>
  <c r="C979" i="1"/>
  <c r="C322" i="1"/>
  <c r="C258" i="1"/>
  <c r="C505" i="1"/>
  <c r="C980" i="1"/>
  <c r="C642" i="1"/>
  <c r="C1683" i="1"/>
  <c r="C975" i="1"/>
  <c r="C1349" i="1"/>
  <c r="C1470" i="1"/>
  <c r="C376" i="1"/>
  <c r="C570" i="1"/>
  <c r="C238" i="1"/>
  <c r="C507" i="1"/>
  <c r="C277" i="1"/>
  <c r="C88" i="1"/>
  <c r="C615" i="1"/>
  <c r="C1645" i="1"/>
  <c r="C636" i="1"/>
  <c r="C650" i="1"/>
  <c r="C395" i="1"/>
  <c r="C662" i="1"/>
  <c r="C1433" i="1"/>
  <c r="C1347" i="1"/>
  <c r="C713" i="1"/>
  <c r="C797" i="1"/>
  <c r="C1286" i="1"/>
  <c r="C1639" i="1"/>
  <c r="C988" i="1"/>
  <c r="C1143" i="1"/>
  <c r="C729" i="1"/>
  <c r="C1250" i="1"/>
  <c r="C221" i="1"/>
  <c r="C103" i="1"/>
  <c r="C1508" i="1"/>
  <c r="C1677" i="1"/>
  <c r="C1299" i="1"/>
  <c r="C897" i="1"/>
  <c r="C525" i="1"/>
  <c r="C668" i="1"/>
  <c r="C1294" i="1"/>
  <c r="C391" i="1"/>
  <c r="C1682" i="1"/>
  <c r="C1665" i="1"/>
  <c r="C84" i="1"/>
  <c r="C802" i="1"/>
  <c r="C107" i="1"/>
  <c r="C1540" i="1"/>
  <c r="C323" i="1"/>
  <c r="C1354" i="1"/>
  <c r="C1678" i="1"/>
  <c r="C473" i="1"/>
  <c r="C393" i="1"/>
  <c r="C452" i="1"/>
  <c r="C383" i="1"/>
  <c r="C618" i="1"/>
  <c r="C224" i="1"/>
  <c r="C396" i="1"/>
  <c r="C1260" i="1"/>
  <c r="C59" i="1"/>
  <c r="C1644" i="1"/>
  <c r="C1292" i="1"/>
  <c r="C1575" i="1"/>
  <c r="C762" i="1"/>
  <c r="C1245" i="1"/>
  <c r="C1200" i="1"/>
  <c r="C1267" i="1"/>
  <c r="C330" i="1"/>
  <c r="C902" i="1"/>
  <c r="C1577" i="1"/>
  <c r="C1614" i="1"/>
  <c r="C1211" i="1"/>
  <c r="C1117" i="1"/>
  <c r="C1153" i="1"/>
  <c r="C1536" i="1"/>
  <c r="C948" i="1"/>
  <c r="C1579" i="1"/>
  <c r="C69" i="1"/>
  <c r="C272" i="1"/>
  <c r="C31" i="1"/>
  <c r="C1190" i="1"/>
  <c r="C1255" i="1"/>
  <c r="C1258" i="1"/>
  <c r="C1134" i="1"/>
  <c r="C887" i="1"/>
  <c r="C266" i="1"/>
  <c r="C94" i="1"/>
  <c r="C332" i="1"/>
  <c r="C1454" i="1"/>
  <c r="C1351" i="1"/>
  <c r="C1118" i="1"/>
  <c r="C1382" i="1"/>
  <c r="C759" i="1"/>
  <c r="C920" i="1"/>
  <c r="C1266" i="1"/>
  <c r="C905" i="1"/>
  <c r="C819" i="1"/>
  <c r="C409" i="1"/>
  <c r="C270" i="1"/>
  <c r="C854" i="1"/>
  <c r="C849" i="1"/>
  <c r="C1257" i="1"/>
  <c r="C936" i="1"/>
  <c r="C760" i="1"/>
  <c r="C528" i="1"/>
  <c r="C1135" i="1"/>
  <c r="C758" i="1"/>
  <c r="C651" i="1"/>
  <c r="C212" i="1"/>
  <c r="C1476" i="1"/>
  <c r="C1079" i="1"/>
  <c r="C1249" i="1"/>
  <c r="C806" i="1"/>
  <c r="C479" i="1"/>
  <c r="C477" i="1"/>
  <c r="C1082" i="1"/>
  <c r="C498" i="1"/>
  <c r="C592" i="1"/>
  <c r="C318" i="1"/>
  <c r="C1513" i="1"/>
  <c r="C745" i="1"/>
  <c r="C1520" i="1"/>
  <c r="C757" i="1"/>
  <c r="C913" i="1"/>
  <c r="C1214" i="1"/>
  <c r="C875" i="1"/>
  <c r="C1550" i="1"/>
  <c r="C891" i="1"/>
  <c r="C1547" i="1"/>
  <c r="C313" i="1"/>
  <c r="C1216" i="1"/>
  <c r="C1219" i="1"/>
  <c r="C1215" i="1"/>
  <c r="C1121" i="1"/>
  <c r="C873" i="1"/>
  <c r="C949" i="1"/>
  <c r="C732" i="1"/>
  <c r="C410" i="1"/>
  <c r="C845" i="1"/>
  <c r="C412" i="1"/>
  <c r="C1494" i="1"/>
  <c r="C1080" i="1"/>
  <c r="C394" i="1"/>
  <c r="C863" i="1"/>
  <c r="C176" i="1"/>
  <c r="C1231" i="1"/>
  <c r="C1227" i="1"/>
  <c r="C795" i="1"/>
  <c r="C789" i="1"/>
  <c r="C839" i="1"/>
  <c r="C254" i="1"/>
  <c r="C1571" i="1"/>
  <c r="C417" i="1"/>
  <c r="C602" i="1"/>
  <c r="C1091" i="1"/>
  <c r="C416" i="1"/>
  <c r="C419" i="1"/>
  <c r="C717" i="1"/>
  <c r="C173" i="1"/>
  <c r="C306" i="1"/>
  <c r="C601" i="1"/>
  <c r="C743" i="1"/>
  <c r="C1402" i="1"/>
  <c r="C1692" i="1"/>
  <c r="C124" i="1"/>
  <c r="C495" i="1"/>
  <c r="C735" i="1"/>
  <c r="C34" i="1"/>
  <c r="C1534" i="1"/>
  <c r="C262" i="1"/>
  <c r="C855" i="1"/>
  <c r="C749" i="1"/>
  <c r="C612" i="1"/>
  <c r="C1556" i="1"/>
  <c r="C70" i="1"/>
  <c r="C840" i="1"/>
  <c r="C1236" i="1"/>
  <c r="C671" i="1"/>
  <c r="C537" i="1"/>
  <c r="C954" i="1"/>
  <c r="C1100" i="1"/>
  <c r="C1359" i="1"/>
  <c r="C614" i="1"/>
  <c r="C1618" i="1"/>
  <c r="C603" i="1"/>
  <c r="C125" i="1"/>
  <c r="C1337" i="1"/>
  <c r="C694" i="1"/>
  <c r="C876" i="1"/>
  <c r="C1228" i="1"/>
  <c r="C366" i="1"/>
  <c r="C1611" i="1"/>
  <c r="C1345" i="1"/>
  <c r="C785" i="1"/>
  <c r="C99" i="1"/>
  <c r="C371" i="1"/>
  <c r="C413" i="1"/>
  <c r="C292" i="1"/>
  <c r="C1525" i="1"/>
  <c r="C549" i="1"/>
  <c r="C1452" i="1"/>
  <c r="C375" i="1"/>
  <c r="C119" i="1"/>
  <c r="C1619" i="1"/>
  <c r="C1615" i="1"/>
  <c r="C1278" i="1"/>
  <c r="C381" i="1"/>
  <c r="C1116" i="1"/>
  <c r="C834" i="1"/>
  <c r="C1112" i="1"/>
  <c r="C128" i="1"/>
  <c r="C1283" i="1"/>
  <c r="C1003" i="1"/>
  <c r="C1352" i="1"/>
  <c r="C427" i="1"/>
  <c r="C223" i="1"/>
  <c r="C215" i="1"/>
  <c r="C812" i="1"/>
  <c r="C774" i="1"/>
  <c r="C241" i="1"/>
  <c r="C231" i="1"/>
  <c r="C423" i="1"/>
  <c r="C421" i="1"/>
  <c r="C1384" i="1"/>
  <c r="C726" i="1"/>
  <c r="C288" i="1"/>
  <c r="C974" i="1"/>
  <c r="C518" i="1"/>
  <c r="C316" i="1"/>
  <c r="C117" i="1"/>
  <c r="C289" i="1"/>
  <c r="C1136" i="1"/>
  <c r="C664" i="1"/>
  <c r="C1718" i="1"/>
  <c r="C1367" i="1"/>
  <c r="C986" i="1"/>
  <c r="C813" i="1"/>
  <c r="C1368" i="1"/>
  <c r="C246" i="1"/>
  <c r="C1696" i="1"/>
  <c r="C987" i="1"/>
  <c r="C1620" i="1"/>
  <c r="C1409" i="1"/>
  <c r="C1570" i="1"/>
  <c r="C1169" i="1"/>
  <c r="C1390" i="1"/>
  <c r="C1655" i="1"/>
  <c r="C426" i="1"/>
  <c r="C309" i="1"/>
  <c r="C308" i="1"/>
  <c r="C120" i="1"/>
  <c r="C129" i="1"/>
  <c r="C435" i="1"/>
  <c r="C1417" i="1"/>
  <c r="C748" i="1"/>
  <c r="C1348" i="1"/>
  <c r="C131" i="1"/>
  <c r="C1045" i="1"/>
  <c r="C126" i="1"/>
  <c r="C989" i="1"/>
  <c r="C837" i="1"/>
  <c r="C1093" i="1"/>
  <c r="C1630" i="1"/>
  <c r="C816" i="1"/>
  <c r="C259" i="1"/>
  <c r="C243" i="1"/>
  <c r="C578" i="1"/>
  <c r="C579" i="1"/>
  <c r="C244" i="1"/>
  <c r="C1217" i="1"/>
  <c r="C841" i="1"/>
  <c r="C1469" i="1"/>
  <c r="C1218" i="1"/>
  <c r="C911" i="1"/>
  <c r="C1098" i="1"/>
  <c r="C577" i="1"/>
  <c r="C886" i="1"/>
  <c r="C1133" i="1"/>
  <c r="C1222" i="1"/>
  <c r="C933" i="1"/>
  <c r="C240" i="1"/>
  <c r="C857" i="1"/>
  <c r="C214" i="1"/>
  <c r="C593" i="1"/>
  <c r="C1324" i="1"/>
  <c r="C1631" i="1"/>
  <c r="C1206" i="1"/>
  <c r="C1204" i="1"/>
  <c r="C475" i="1"/>
  <c r="C1094" i="1"/>
  <c r="C407" i="1"/>
  <c r="C467" i="1"/>
  <c r="C431" i="1"/>
  <c r="C30" i="1"/>
  <c r="C1462" i="1"/>
  <c r="C1475" i="1"/>
  <c r="C1207" i="1"/>
  <c r="C591" i="1"/>
  <c r="C1203" i="1"/>
  <c r="C1502" i="1"/>
  <c r="C227" i="1"/>
  <c r="C1205" i="1"/>
  <c r="C1237" i="1"/>
  <c r="C459" i="1"/>
  <c r="C6" i="1"/>
  <c r="C1289" i="1"/>
  <c r="C1097" i="1"/>
  <c r="C428" i="1"/>
  <c r="C804" i="1"/>
  <c r="C1363" i="1"/>
  <c r="C803" i="1"/>
  <c r="C838" i="1"/>
  <c r="C594" i="1"/>
  <c r="C752" i="1"/>
  <c r="C770" i="1"/>
  <c r="C1679" i="1"/>
  <c r="C763" i="1"/>
  <c r="C1223" i="1"/>
  <c r="C1719" i="1"/>
  <c r="C1634" i="1"/>
  <c r="C1668" i="1"/>
  <c r="C628" i="1"/>
  <c r="C1238" i="1"/>
  <c r="C57" i="1"/>
  <c r="C1637" i="1"/>
  <c r="C1287" i="1"/>
  <c r="C127" i="1"/>
  <c r="C1688" i="1"/>
  <c r="C687" i="1"/>
  <c r="C765" i="1"/>
  <c r="C422" i="1"/>
  <c r="C1101" i="1"/>
  <c r="C1012" i="1"/>
  <c r="C1095" i="1"/>
  <c r="C35" i="1"/>
  <c r="C541" i="1"/>
  <c r="C1013" i="1"/>
  <c r="C1010" i="1"/>
  <c r="C924" i="1"/>
  <c r="C688" i="1"/>
  <c r="C1285" i="1"/>
  <c r="C1008" i="1"/>
  <c r="C248" i="1"/>
  <c r="C1603" i="1"/>
  <c r="C764" i="1"/>
  <c r="C821" i="1"/>
  <c r="C53" i="1"/>
  <c r="C1208" i="1"/>
  <c r="C630" i="1"/>
  <c r="C253" i="1"/>
  <c r="C900" i="1"/>
  <c r="C1139" i="1"/>
  <c r="C885" i="1"/>
  <c r="C1229" i="1"/>
  <c r="C1076" i="1"/>
  <c r="C436" i="1"/>
  <c r="C1523" i="1"/>
  <c r="C851" i="1"/>
  <c r="C1220" i="1"/>
  <c r="C480" i="1"/>
  <c r="C1416" i="1"/>
  <c r="C925" i="1"/>
  <c r="C996" i="1"/>
  <c r="C1664" i="1"/>
  <c r="C890" i="1"/>
  <c r="C1365" i="1"/>
  <c r="C1425" i="1"/>
  <c r="C71" i="1"/>
  <c r="C494" i="1"/>
  <c r="C1152" i="1"/>
  <c r="C20" i="1"/>
  <c r="C1700" i="1"/>
  <c r="C1233" i="1"/>
  <c r="C320" i="1"/>
  <c r="C1202" i="1"/>
  <c r="C686" i="1"/>
  <c r="C881" i="1"/>
  <c r="C358" i="1"/>
  <c r="C1181" i="1"/>
  <c r="C1353" i="1"/>
  <c r="C1422" i="1"/>
  <c r="C1710" i="1"/>
  <c r="C1209" i="1"/>
  <c r="C1234" i="1"/>
  <c r="C1703" i="1"/>
  <c r="C1350" i="1"/>
  <c r="C722" i="1"/>
  <c r="C1711" i="1"/>
  <c r="C230" i="1"/>
  <c r="C682" i="1"/>
  <c r="C222" i="1"/>
  <c r="C220" i="1"/>
  <c r="C864" i="1"/>
  <c r="C709" i="1"/>
  <c r="C710" i="1"/>
  <c r="C654" i="1"/>
  <c r="C1316" i="1"/>
  <c r="C1439" i="1"/>
  <c r="C83" i="1"/>
  <c r="C1323" i="1"/>
  <c r="C638" i="1"/>
  <c r="C1081" i="1"/>
  <c r="C771" i="1"/>
  <c r="C639" i="1"/>
  <c r="C23" i="1"/>
  <c r="C186" i="1"/>
  <c r="C181" i="1"/>
  <c r="C493" i="1"/>
  <c r="C1303" i="1"/>
  <c r="C255" i="1"/>
  <c r="C1224" i="1"/>
  <c r="C497" i="1"/>
  <c r="C1457" i="1"/>
  <c r="C576" i="1"/>
  <c r="C1295" i="1"/>
  <c r="C1054" i="1"/>
  <c r="C189" i="1"/>
  <c r="C1407" i="1"/>
  <c r="C1605" i="1"/>
  <c r="C424" i="1"/>
  <c r="C1492" i="1"/>
  <c r="C286" i="1"/>
  <c r="C853" i="1"/>
  <c r="C1624" i="1"/>
  <c r="C92" i="1"/>
  <c r="C907" i="1"/>
  <c r="C446" i="1"/>
  <c r="C429" i="1"/>
  <c r="C1702" i="1"/>
  <c r="C908" i="1"/>
  <c r="C188" i="1"/>
  <c r="C1322" i="1"/>
  <c r="C187" i="1"/>
  <c r="C1393" i="1"/>
  <c r="C1522" i="1"/>
  <c r="C251" i="1"/>
  <c r="C1302" i="1"/>
  <c r="C14" i="1"/>
  <c r="C430" i="1"/>
  <c r="C463" i="1"/>
  <c r="C909" i="1"/>
  <c r="C1305" i="1"/>
  <c r="C655" i="1"/>
  <c r="C778" i="1"/>
  <c r="C185" i="1"/>
  <c r="C1225" i="1"/>
  <c r="C1256" i="1"/>
  <c r="C1309" i="1"/>
  <c r="C595" i="1"/>
  <c r="C814" i="1"/>
  <c r="C29" i="1"/>
  <c r="C1601" i="1"/>
  <c r="C112" i="1"/>
  <c r="C968" i="1"/>
  <c r="C5" i="1"/>
  <c r="C451" i="1"/>
  <c r="C901" i="1"/>
  <c r="C1651" i="1"/>
  <c r="C895" i="1"/>
  <c r="C1120" i="1"/>
  <c r="C661" i="1"/>
  <c r="C9" i="1"/>
  <c r="C1681" i="1"/>
  <c r="C1659" i="1"/>
  <c r="C1650" i="1"/>
  <c r="C1464" i="1"/>
  <c r="C1308" i="1"/>
  <c r="C1340" i="1"/>
  <c r="C106" i="1"/>
  <c r="C1125" i="1"/>
  <c r="C1154" i="1"/>
  <c r="C1385" i="1"/>
  <c r="C1161" i="1"/>
  <c r="C1608" i="1"/>
  <c r="C937" i="1"/>
  <c r="C1412" i="1"/>
  <c r="C1510" i="1"/>
  <c r="C1450" i="1"/>
  <c r="C535" i="1"/>
  <c r="C1111" i="1"/>
  <c r="C1159" i="1"/>
  <c r="C1641" i="1"/>
  <c r="C1410" i="1"/>
  <c r="C1406" i="1"/>
  <c r="C750" i="1"/>
  <c r="C874" i="1"/>
  <c r="C242" i="1"/>
  <c r="C90" i="1"/>
  <c r="C534" i="1"/>
  <c r="C487" i="1"/>
  <c r="C98" i="1"/>
  <c r="C870" i="1"/>
  <c r="C448" i="1"/>
  <c r="C484" i="1"/>
  <c r="C865" i="1"/>
  <c r="C102" i="1"/>
  <c r="C183" i="1"/>
  <c r="C1128" i="1"/>
  <c r="C1297" i="1"/>
  <c r="C488" i="1"/>
  <c r="C1467" i="1"/>
  <c r="C1471" i="1"/>
  <c r="C111" i="1"/>
  <c r="C95" i="1"/>
  <c r="C1463" i="1"/>
  <c r="C976" i="1"/>
  <c r="C1487" i="1"/>
  <c r="C1689" i="1"/>
  <c r="C1106" i="1"/>
  <c r="C820" i="1"/>
  <c r="C700" i="1"/>
  <c r="C110" i="1"/>
  <c r="C939" i="1"/>
  <c r="C935" i="1"/>
  <c r="C904" i="1"/>
  <c r="C1441" i="1"/>
  <c r="C387" i="1"/>
  <c r="C78" i="1"/>
  <c r="C1248" i="1"/>
  <c r="C869" i="1"/>
  <c r="C13" i="1"/>
  <c r="C737" i="1"/>
  <c r="C1126" i="1"/>
  <c r="C81" i="1"/>
  <c r="C790" i="1"/>
  <c r="C1162" i="1"/>
  <c r="C1131" i="1"/>
  <c r="C540" i="1"/>
  <c r="C1440" i="1"/>
  <c r="C922" i="1"/>
  <c r="C1284" i="1"/>
  <c r="C539" i="1"/>
  <c r="C1486" i="1"/>
  <c r="C1404" i="1"/>
  <c r="C1264" i="1"/>
  <c r="C1428" i="1"/>
  <c r="C265" i="1"/>
  <c r="C1720" i="1"/>
  <c r="C1124" i="1"/>
  <c r="C1455" i="1"/>
  <c r="C598" i="1"/>
  <c r="C667" i="1"/>
  <c r="C1599" i="1"/>
  <c r="C657" i="1"/>
  <c r="C609" i="1"/>
  <c r="C583" i="1"/>
  <c r="C1691" i="1"/>
  <c r="C658" i="1"/>
  <c r="C597" i="1"/>
  <c r="C1141" i="1"/>
  <c r="C1585" i="1"/>
  <c r="C1333" i="1"/>
  <c r="C1485" i="1"/>
  <c r="C1021" i="1"/>
  <c r="C1026" i="1"/>
  <c r="C449" i="1"/>
  <c r="C889" i="1"/>
  <c r="C1182" i="1"/>
  <c r="C1580" i="1"/>
  <c r="C1721" i="1"/>
  <c r="C586" i="1"/>
  <c r="C1581" i="1"/>
  <c r="C450" i="1"/>
  <c r="C1582" i="1"/>
  <c r="C1148" i="1"/>
  <c r="C599" i="1"/>
  <c r="C1583" i="1"/>
  <c r="C588" i="1"/>
  <c r="C1024" i="1"/>
  <c r="C569" i="1"/>
  <c r="C1557" i="1"/>
  <c r="C1398" i="1"/>
  <c r="C965" i="1"/>
  <c r="C522" i="1"/>
  <c r="C1436" i="1"/>
  <c r="C123" i="1"/>
  <c r="C444" i="1"/>
  <c r="C1300" i="1"/>
  <c r="C205" i="1"/>
  <c r="C1366" i="1"/>
  <c r="C1660" i="1"/>
  <c r="C1271" i="1"/>
  <c r="C453" i="1"/>
  <c r="C1434" i="1"/>
  <c r="C1023" i="1"/>
  <c r="C96" i="1"/>
  <c r="C274" i="1"/>
  <c r="C656" i="1"/>
  <c r="C611" i="1"/>
  <c r="C823" i="1"/>
  <c r="C1516" i="1"/>
  <c r="C1461" i="1"/>
  <c r="C252" i="1"/>
  <c r="C866" i="1"/>
  <c r="C1518" i="1"/>
  <c r="C351" i="1"/>
  <c r="C1145" i="1"/>
  <c r="C159" i="1"/>
  <c r="C741" i="1"/>
  <c r="C508" i="1"/>
  <c r="C1022" i="1"/>
  <c r="C1282" i="1"/>
  <c r="C1676" i="1"/>
  <c r="C950" i="1"/>
  <c r="C87" i="1"/>
  <c r="C190" i="1"/>
  <c r="C145" i="1"/>
  <c r="C1511" i="1"/>
  <c r="C1480" i="1"/>
  <c r="C295" i="1"/>
  <c r="C1171" i="1"/>
  <c r="C1483" i="1"/>
  <c r="C174" i="1"/>
  <c r="C161" i="1"/>
  <c r="C64" i="1"/>
  <c r="C1673" i="1"/>
  <c r="C17" i="1"/>
  <c r="C1686" i="1"/>
  <c r="C1566" i="1"/>
  <c r="C1559" i="1"/>
  <c r="C689" i="1"/>
  <c r="C520" i="1"/>
  <c r="C116" i="1"/>
  <c r="C336" i="1"/>
  <c r="C121" i="1"/>
  <c r="C519" i="1"/>
  <c r="C751" i="1"/>
  <c r="C486" i="1"/>
  <c r="C1512" i="1"/>
  <c r="C1515" i="1"/>
  <c r="C108" i="1"/>
  <c r="C744" i="1"/>
  <c r="C207" i="1"/>
  <c r="C389" i="1"/>
  <c r="C1489" i="1"/>
  <c r="C1554" i="1"/>
  <c r="C546" i="1"/>
  <c r="C386" i="1"/>
  <c r="C388" i="1"/>
  <c r="C1130" i="1"/>
  <c r="C1474" i="1"/>
  <c r="C1086" i="1"/>
  <c r="C553" i="1"/>
  <c r="C509" i="1"/>
  <c r="C191" i="1"/>
  <c r="C610" i="1"/>
  <c r="C54" i="1"/>
  <c r="C290" i="1"/>
  <c r="C894" i="1"/>
  <c r="C702" i="1"/>
  <c r="C565" i="1"/>
  <c r="C712" i="1"/>
  <c r="C544" i="1"/>
  <c r="C360" i="1"/>
  <c r="C613" i="1"/>
  <c r="C938" i="1"/>
  <c r="C1643" i="1"/>
  <c r="C646" i="1"/>
  <c r="C1375" i="1"/>
  <c r="C1374" i="1"/>
  <c r="C1160" i="1"/>
  <c r="C826" i="1"/>
  <c r="C1122" i="1"/>
  <c r="C584" i="1"/>
  <c r="C1371" i="1"/>
  <c r="C10" i="1"/>
  <c r="C1187" i="1"/>
  <c r="C815" i="1"/>
  <c r="C967" i="1"/>
  <c r="C1172" i="1"/>
  <c r="C701" i="1"/>
  <c r="C401" i="1"/>
  <c r="C16" i="1"/>
  <c r="C835" i="1"/>
  <c r="C957" i="1"/>
  <c r="C1198" i="1"/>
  <c r="C523" i="1"/>
  <c r="C914" i="1"/>
  <c r="C563" i="1"/>
  <c r="C367" i="1"/>
  <c r="C529" i="1"/>
  <c r="C1044" i="1"/>
  <c r="C1459" i="1"/>
  <c r="C517" i="1"/>
  <c r="C1498" i="1"/>
  <c r="C1445" i="1"/>
  <c r="C1170" i="1"/>
  <c r="C1419" i="1"/>
  <c r="C625" i="1"/>
  <c r="C169" i="1"/>
  <c r="C871" i="1"/>
  <c r="C964" i="1"/>
  <c r="C1426" i="1"/>
  <c r="C333" i="1"/>
  <c r="C219" i="1"/>
  <c r="C22" i="1"/>
  <c r="C1221" i="1"/>
  <c r="C432" i="1"/>
  <c r="C15" i="1"/>
  <c r="C827" i="1"/>
  <c r="C291" i="1"/>
  <c r="C1196" i="1"/>
  <c r="C753" i="1"/>
  <c r="C1706" i="1"/>
  <c r="C1247" i="1"/>
  <c r="C206" i="1"/>
  <c r="C492" i="1"/>
  <c r="C1201" i="1"/>
  <c r="C325" i="1"/>
  <c r="C1213" i="1"/>
  <c r="C21" i="1"/>
  <c r="C1230" i="1"/>
  <c r="C500" i="1"/>
  <c r="C1060" i="1"/>
  <c r="C1069" i="1"/>
  <c r="C1040" i="1"/>
  <c r="C629" i="1"/>
  <c r="C543" i="1"/>
  <c r="C696" i="1"/>
  <c r="C1038" i="1"/>
  <c r="C370" i="1"/>
  <c r="C180" i="1"/>
  <c r="C1670" i="1"/>
  <c r="C250" i="1"/>
  <c r="C929" i="1"/>
  <c r="C590" i="1"/>
  <c r="C1632" i="1"/>
  <c r="C184" i="1"/>
  <c r="C882" i="1"/>
  <c r="C1387" i="1"/>
  <c r="C926" i="1"/>
  <c r="C506" i="1"/>
  <c r="C403" i="1"/>
  <c r="C714" i="1"/>
  <c r="C1075" i="1"/>
  <c r="C155" i="1"/>
  <c r="C1317" i="1"/>
  <c r="C1036" i="1"/>
  <c r="C810" i="1"/>
  <c r="C1453" i="1"/>
  <c r="C1722" i="1"/>
  <c r="C966" i="1"/>
  <c r="C1244" i="1"/>
  <c r="C665" i="1"/>
  <c r="C879" i="1"/>
  <c r="C260" i="1"/>
  <c r="C910" i="1"/>
  <c r="C372" i="1"/>
  <c r="C1543" i="1"/>
  <c r="C1444" i="1"/>
  <c r="C705" i="1"/>
  <c r="C1138" i="1"/>
  <c r="C225" i="1"/>
  <c r="C777" i="1"/>
  <c r="C284" i="1"/>
  <c r="C1014" i="1"/>
  <c r="C1555" i="1"/>
  <c r="C501" i="1"/>
  <c r="C1715" i="1"/>
  <c r="C1197" i="1"/>
  <c r="C1002" i="1"/>
  <c r="C1456" i="1"/>
  <c r="C397" i="1"/>
  <c r="C418" i="1"/>
  <c r="C825" i="1"/>
  <c r="C296" i="1"/>
  <c r="C271" i="1"/>
  <c r="C1635" i="1"/>
  <c r="C693" i="1"/>
  <c r="C1458" i="1"/>
  <c r="C730" i="1"/>
  <c r="C489" i="1"/>
  <c r="C1177" i="1"/>
  <c r="C1546" i="1"/>
  <c r="C1361" i="1"/>
  <c r="C916" i="1"/>
  <c r="C547" i="1"/>
  <c r="C1298" i="1"/>
  <c r="C1342" i="1"/>
  <c r="C1049" i="1"/>
  <c r="C1388" i="1"/>
  <c r="C1339" i="1"/>
  <c r="C728" i="1"/>
  <c r="C558" i="1"/>
  <c r="C1011" i="1"/>
  <c r="C1191" i="1"/>
  <c r="C1381" i="1"/>
  <c r="C1192" i="1"/>
  <c r="C1156" i="1"/>
  <c r="C1517" i="1"/>
  <c r="C1062" i="1"/>
  <c r="C415" i="1"/>
  <c r="C1033" i="1"/>
  <c r="C462" i="1"/>
  <c r="C1538" i="1"/>
  <c r="C1067" i="1"/>
  <c r="C742" i="1"/>
  <c r="C1163" i="1"/>
  <c r="C531" i="1"/>
  <c r="C888" i="1"/>
  <c r="C86" i="1"/>
  <c r="C33" i="1"/>
  <c r="C1029" i="1"/>
  <c r="C76" i="1"/>
  <c r="C341" i="1"/>
  <c r="C1490" i="1"/>
  <c r="C883" i="1"/>
  <c r="C552" i="1"/>
  <c r="C1028" i="1"/>
  <c r="C1016" i="1"/>
  <c r="C984" i="1"/>
  <c r="C997" i="1"/>
  <c r="C784" i="1"/>
  <c r="C1188" i="1"/>
  <c r="C443" i="1"/>
  <c r="C1004" i="1"/>
  <c r="C1397" i="1"/>
  <c r="C1448" i="1"/>
  <c r="C828" i="1"/>
  <c r="C1343" i="1"/>
  <c r="C79" i="1"/>
  <c r="C101" i="1"/>
  <c r="C769" i="1"/>
  <c r="C1447" i="1"/>
  <c r="C502" i="1"/>
  <c r="C1127" i="1"/>
  <c r="C1301" i="1"/>
  <c r="C60" i="1"/>
  <c r="C1652" i="1"/>
  <c r="C733" i="1"/>
  <c r="C398" i="1"/>
  <c r="C1183" i="1"/>
  <c r="C399" i="1"/>
  <c r="C1612" i="1"/>
  <c r="C1073" i="1"/>
  <c r="C1695" i="1"/>
  <c r="C1274" i="1"/>
  <c r="C400" i="1"/>
  <c r="C1529" i="1"/>
  <c r="C1165" i="1"/>
  <c r="C955" i="1"/>
  <c r="C715" i="1"/>
  <c r="C38" i="1"/>
  <c r="C1166" i="1"/>
  <c r="C1629" i="1"/>
  <c r="C1199" i="1"/>
  <c r="C1275" i="1"/>
  <c r="C934" i="1"/>
  <c r="C1167" i="1"/>
  <c r="C1626" i="1"/>
  <c r="C731" i="1"/>
  <c r="C617" i="1"/>
  <c r="C1403" i="1"/>
  <c r="C420" i="1"/>
  <c r="C564" i="1"/>
  <c r="C645" i="1"/>
  <c r="C1623" i="1"/>
  <c r="C567" i="1"/>
  <c r="C80" i="1"/>
  <c r="C503" i="1"/>
  <c r="C340" i="1"/>
  <c r="C953" i="1"/>
  <c r="C378" i="1"/>
  <c r="C1357" i="1"/>
  <c r="C538" i="1"/>
  <c r="C406" i="1"/>
  <c r="C637" i="1"/>
  <c r="C1373" i="1"/>
  <c r="C1519" i="1"/>
  <c r="C482" i="1"/>
  <c r="C1364" i="1"/>
  <c r="C736" i="1"/>
  <c r="C994" i="1"/>
  <c r="C1530" i="1"/>
  <c r="C1048" i="1"/>
  <c r="C1020" i="1"/>
  <c r="C1019" i="1"/>
  <c r="C992" i="1"/>
  <c r="C1391" i="1"/>
  <c r="C1562" i="1"/>
  <c r="C1180" i="1"/>
  <c r="C1195" i="1"/>
  <c r="C1358" i="1"/>
  <c r="C1240" i="1"/>
  <c r="C314" i="1"/>
  <c r="C1574" i="1"/>
  <c r="C1241" i="1"/>
  <c r="C699" i="1"/>
  <c r="C118" i="1"/>
  <c r="C1563" i="1"/>
  <c r="C319" i="1"/>
  <c r="C692" i="1"/>
  <c r="C690" i="1"/>
  <c r="C342" i="1"/>
  <c r="C831" i="1"/>
  <c r="C337" i="1"/>
  <c r="C115" i="1"/>
  <c r="C140" i="1"/>
  <c r="C1194" i="1"/>
  <c r="C775" i="1"/>
  <c r="C1420" i="1"/>
  <c r="C138" i="1"/>
  <c r="C82" i="1"/>
  <c r="C990" i="1"/>
  <c r="C691" i="1"/>
  <c r="C162" i="1"/>
  <c r="C74" i="1"/>
  <c r="C675" i="1"/>
  <c r="C1716" i="1"/>
  <c r="C75" i="1"/>
  <c r="C328" i="1"/>
  <c r="C1662" i="1"/>
  <c r="C67" i="1"/>
  <c r="C172" i="1"/>
  <c r="C1552" i="1"/>
  <c r="C156" i="1"/>
  <c r="C932" i="1"/>
  <c r="C1684" i="1"/>
  <c r="C1690" i="1"/>
  <c r="C1505" i="1"/>
  <c r="C182" i="1"/>
  <c r="C1137" i="1"/>
  <c r="C1088" i="1"/>
  <c r="C478" i="1"/>
  <c r="C1338" i="1"/>
  <c r="C193" i="1"/>
  <c r="C561" i="1"/>
  <c r="C153" i="1"/>
  <c r="C236" i="1"/>
  <c r="C329" i="1"/>
  <c r="C524" i="1"/>
  <c r="C780" i="1"/>
  <c r="C261" i="1"/>
  <c r="C1466" i="1"/>
  <c r="C698" i="1"/>
  <c r="C1671" i="1"/>
  <c r="C1669" i="1"/>
  <c r="C880" i="1"/>
  <c r="C1061" i="1"/>
  <c r="C1193" i="1"/>
  <c r="C1526" i="1"/>
  <c r="C210" i="1"/>
  <c r="C972" i="1"/>
  <c r="C1672" i="1"/>
  <c r="C1548" i="1"/>
  <c r="C1306" i="1"/>
  <c r="C232" i="1"/>
  <c r="C447" i="1"/>
  <c r="C1226" i="1"/>
  <c r="C545" i="1"/>
  <c r="C2" i="1"/>
  <c r="C580" i="1"/>
  <c r="C404" i="1"/>
  <c r="C1232" i="1"/>
  <c r="C995" i="1"/>
  <c r="C278" i="1"/>
  <c r="C858" i="1"/>
  <c r="C139" i="1"/>
  <c r="C1356" i="1"/>
  <c r="C1185" i="1"/>
  <c r="C299" i="1"/>
  <c r="C368" i="1"/>
  <c r="C1697" i="1"/>
  <c r="C1319" i="1"/>
  <c r="C847" i="1"/>
  <c r="C89" i="1"/>
  <c r="C1288" i="1"/>
  <c r="C1212" i="1"/>
  <c r="C1110" i="1"/>
  <c r="C1280" i="1"/>
  <c r="C334" i="1"/>
  <c r="C1332" i="1"/>
  <c r="C1084" i="1"/>
  <c r="C1279" i="1"/>
  <c r="C135" i="1"/>
  <c r="C1334" i="1"/>
  <c r="C568" i="1"/>
  <c r="C1321" i="1"/>
  <c r="C1479" i="1"/>
  <c r="C695" i="1"/>
  <c r="C734" i="1"/>
  <c r="C46" i="1"/>
  <c r="C1189" i="1"/>
  <c r="C1640" i="1"/>
  <c r="C1173" i="1"/>
  <c r="C1341" i="1"/>
  <c r="C1592" i="1"/>
  <c r="C228" i="1"/>
  <c r="C233" i="1"/>
  <c r="C1572" i="1"/>
  <c r="C247" i="1"/>
  <c r="C275" i="1"/>
  <c r="C19" i="1"/>
  <c r="C551" i="1"/>
  <c r="C93" i="1"/>
  <c r="C945" i="1"/>
  <c r="C704" i="1"/>
  <c r="C1178" i="1"/>
  <c r="C848" i="1"/>
  <c r="C164" i="1"/>
  <c r="C811" i="1"/>
  <c r="C536" i="1"/>
  <c r="C1553" i="1"/>
  <c r="C1648" i="1"/>
  <c r="C1504" i="1"/>
  <c r="C213" i="1"/>
  <c r="C817" i="1"/>
  <c r="C596" i="1"/>
  <c r="C1473" i="1"/>
  <c r="C1654" i="1"/>
  <c r="C192" i="1"/>
  <c r="C1726" i="1"/>
  <c r="C41" i="1"/>
  <c r="C1727" i="1"/>
  <c r="C1707" i="1"/>
  <c r="C1527" i="1"/>
  <c r="C1251" i="1"/>
  <c r="C1694" i="1"/>
  <c r="C973" i="1"/>
  <c r="C915" i="1"/>
  <c r="C216" i="1"/>
  <c r="C37" i="1"/>
  <c r="C263" i="1"/>
  <c r="C621" i="1"/>
  <c r="C542" i="1"/>
  <c r="C1484" i="1"/>
  <c r="C48" i="1"/>
  <c r="C1544" i="1"/>
  <c r="C1105" i="1"/>
  <c r="C1528" i="1"/>
  <c r="C202" i="1"/>
  <c r="C1335" i="1"/>
  <c r="C1617" i="1"/>
  <c r="C1243" i="1"/>
  <c r="C1704" i="1"/>
  <c r="C1155" i="1"/>
  <c r="C198" i="1"/>
  <c r="C756" i="1"/>
  <c r="C1158" i="1"/>
  <c r="C179" i="1"/>
  <c r="C1708" i="1"/>
  <c r="C946" i="1"/>
  <c r="C1488" i="1"/>
  <c r="C414" i="1"/>
  <c r="C676" i="1"/>
  <c r="C43" i="1"/>
  <c r="C842" i="1"/>
  <c r="C641" i="1"/>
  <c r="C160" i="1"/>
  <c r="C411" i="1"/>
  <c r="C168" i="1"/>
  <c r="C1346" i="1"/>
  <c r="C1179" i="1"/>
  <c r="C991" i="1"/>
  <c r="C1491" i="1"/>
  <c r="C1578" i="1"/>
  <c r="C1549" i="1"/>
  <c r="C822" i="1"/>
  <c r="C347" i="1"/>
  <c r="C1687" i="1"/>
  <c r="C1119" i="1"/>
  <c r="C109" i="1"/>
  <c r="C343" i="1"/>
  <c r="C425" i="1"/>
  <c r="C560" i="1"/>
  <c r="C1310" i="1"/>
  <c r="C794" i="1"/>
  <c r="C1564" i="1"/>
  <c r="C685" i="1"/>
  <c r="C678" i="1"/>
  <c r="C1059" i="1"/>
  <c r="C1657" i="1"/>
  <c r="C1072" i="1"/>
  <c r="C884" i="1"/>
  <c r="C171" i="1"/>
  <c r="C1389" i="1"/>
  <c r="C767" i="1"/>
  <c r="C739" i="1"/>
  <c r="C105" i="1"/>
  <c r="C859" i="1"/>
  <c r="C1411" i="1"/>
  <c r="C1424" i="1"/>
  <c r="C321" i="1"/>
  <c r="C1326" i="1"/>
  <c r="C1104" i="1"/>
  <c r="C1277" i="1"/>
  <c r="C1313" i="1"/>
  <c r="C1051" i="1"/>
  <c r="C300" i="1"/>
  <c r="C298" i="1"/>
  <c r="C768" i="1"/>
  <c r="C921" i="1"/>
  <c r="C761" i="1"/>
  <c r="C941" i="1"/>
  <c r="C1312" i="1"/>
  <c r="C622" i="1"/>
  <c r="C1296" i="1"/>
  <c r="C326" i="1"/>
  <c r="C1380" i="1"/>
  <c r="C1653" i="1"/>
  <c r="C1405" i="1"/>
  <c r="C158" i="1"/>
  <c r="C983" i="1"/>
  <c r="C374" i="1"/>
  <c r="C194" i="1"/>
  <c r="C1586" i="1"/>
  <c r="C511" i="1"/>
  <c r="C199" i="1"/>
  <c r="C392" i="1"/>
  <c r="C442" i="1"/>
  <c r="C195" i="1"/>
  <c r="C1331" i="1"/>
  <c r="C981" i="1"/>
  <c r="C152" i="1"/>
  <c r="C1431" i="1"/>
  <c r="C982" i="1"/>
  <c r="C1400" i="1"/>
  <c r="C132" i="1"/>
  <c r="C97" i="1"/>
  <c r="C287" i="1"/>
  <c r="C1507" i="1"/>
  <c r="C1102" i="1"/>
  <c r="C147" i="1"/>
  <c r="C85" i="1"/>
  <c r="C856" i="1"/>
  <c r="C36" i="1"/>
  <c r="C846" i="1"/>
  <c r="C1320" i="1"/>
  <c r="C1680" i="1"/>
  <c r="C951" i="1"/>
  <c r="C1542" i="1"/>
  <c r="C516" i="1"/>
  <c r="C1717" i="1"/>
  <c r="C470" i="1"/>
  <c r="C483" i="1"/>
  <c r="C1254" i="1"/>
  <c r="C1253" i="1"/>
  <c r="C268" i="1"/>
  <c r="C512" i="1"/>
  <c r="C167" i="1"/>
  <c r="C1273" i="1"/>
  <c r="C766" i="1"/>
  <c r="C1560" i="1"/>
  <c r="C461" i="1"/>
  <c r="C458" i="1"/>
  <c r="C716" i="1"/>
  <c r="C471" i="1"/>
  <c r="C455" i="1"/>
  <c r="C1501" i="1"/>
  <c r="C1569" i="1"/>
  <c r="C1379" i="1"/>
  <c r="C456" i="1"/>
  <c r="C1567" i="1"/>
  <c r="C122" i="1"/>
  <c r="C818" i="1"/>
  <c r="C1376" i="1"/>
  <c r="C1725" i="1"/>
  <c r="C1053" i="1"/>
  <c r="C793" i="1"/>
  <c r="C144" i="1"/>
  <c r="C1675" i="1"/>
  <c r="C677" i="1"/>
  <c r="C683" i="1"/>
  <c r="C441" i="1"/>
  <c r="C513" i="1"/>
  <c r="C146" i="1"/>
  <c r="C353" i="1"/>
  <c r="C1642" i="1"/>
  <c r="C491" i="1"/>
  <c r="C1482" i="1"/>
  <c r="C433" i="1"/>
  <c r="C1496" i="1"/>
  <c r="C355" i="1"/>
  <c r="C4" i="1"/>
  <c r="C1157" i="1"/>
  <c r="C1568" i="1"/>
  <c r="C25" i="1"/>
  <c r="C1047" i="1"/>
  <c r="C114" i="1"/>
  <c r="C68" i="1"/>
  <c r="C1468" i="1"/>
  <c r="C350" i="1"/>
  <c r="C931" i="1"/>
  <c r="C1415" i="1"/>
  <c r="C1360" i="1"/>
  <c r="C1493" i="1"/>
  <c r="C1083" i="1"/>
  <c r="C55" i="1"/>
  <c r="C573" i="1"/>
  <c r="C781" i="1"/>
  <c r="C1663" i="1"/>
  <c r="C12" i="1"/>
  <c r="C151" i="1"/>
  <c r="C747" i="1"/>
  <c r="C1537" i="1"/>
  <c r="C1621" i="1"/>
  <c r="C437" i="1"/>
  <c r="C1362" i="1"/>
  <c r="C703" i="1"/>
  <c r="C1046" i="1"/>
  <c r="C1606" i="1"/>
  <c r="C627" i="1"/>
  <c r="C1607" i="1"/>
  <c r="C1576" i="1"/>
  <c r="C711" i="1"/>
  <c r="C439" i="1"/>
  <c r="C257" i="1"/>
  <c r="C787" i="1"/>
  <c r="C877" i="1"/>
  <c r="C1636" i="1"/>
  <c r="C1399" i="1"/>
  <c r="C379" i="1"/>
  <c r="C673" i="1"/>
  <c r="C1627" i="1"/>
  <c r="C276" i="1"/>
  <c r="C149" i="1"/>
  <c r="C634" i="1"/>
  <c r="C465" i="1"/>
  <c r="C624" i="1"/>
  <c r="C782" i="1"/>
  <c r="C134" i="1"/>
  <c r="C445" i="1"/>
  <c r="C706" i="1"/>
  <c r="C1446" i="1"/>
  <c r="C697" i="1"/>
  <c r="C1524" i="1"/>
  <c r="C279" i="1"/>
  <c r="C772" i="1"/>
  <c r="C1698" i="1"/>
  <c r="C364" i="1"/>
  <c r="C1565" i="1"/>
  <c r="C1573" i="1"/>
  <c r="C632" i="1"/>
  <c r="C1418" i="1"/>
  <c r="C633" i="1"/>
  <c r="C796" i="1"/>
  <c r="C1610" i="1"/>
  <c r="C490" i="1"/>
  <c r="C956" i="1"/>
  <c r="C66" i="1"/>
  <c r="C1432" i="1"/>
  <c r="C1329" i="1"/>
  <c r="C944" i="1"/>
  <c r="C1096" i="1"/>
  <c r="C1392" i="1"/>
  <c r="C1315" i="1"/>
  <c r="C1481" i="1"/>
  <c r="C708" i="1"/>
  <c r="C130" i="1"/>
  <c r="C947" i="1"/>
  <c r="C943" i="1"/>
  <c r="C626" i="1"/>
  <c r="C1063" i="1"/>
  <c r="C1435" i="1"/>
  <c r="C1604" i="1"/>
  <c r="C791" i="1"/>
  <c r="C799" i="1"/>
  <c r="C1438" i="1"/>
  <c r="C1099" i="1"/>
  <c r="C1114" i="1"/>
  <c r="C302" i="1"/>
  <c r="C51" i="1"/>
  <c r="C533" i="1"/>
  <c r="C1281" i="1"/>
  <c r="C608" i="1"/>
  <c r="C971" i="1"/>
  <c r="C1025" i="1"/>
  <c r="C339" i="1"/>
  <c r="C335" i="1"/>
  <c r="C867" i="1"/>
  <c r="C1276" i="1"/>
  <c r="C249" i="1"/>
  <c r="C113" i="1"/>
  <c r="C970" i="1"/>
  <c r="C548" i="1"/>
  <c r="C1005" i="1"/>
  <c r="C1034" i="1"/>
  <c r="C1113" i="1"/>
  <c r="C1370" i="1"/>
  <c r="C384" i="1"/>
  <c r="C157" i="1"/>
  <c r="C208" i="1"/>
  <c r="C1092" i="1"/>
  <c r="C163" i="1"/>
  <c r="C218" i="1"/>
  <c r="C100" i="1"/>
  <c r="C1372" i="1"/>
  <c r="C1674" i="1"/>
  <c r="C42" i="1"/>
  <c r="C1709" i="1"/>
  <c r="C600" i="1"/>
  <c r="C918" i="1"/>
  <c r="C369" i="1"/>
  <c r="C872" i="1"/>
  <c r="C1713" i="1"/>
  <c r="C1055" i="1"/>
  <c r="C178" i="1"/>
  <c r="C1478" i="1"/>
  <c r="C919" i="1"/>
  <c r="C1050" i="1"/>
  <c r="C1037" i="1"/>
  <c r="C1041" i="1"/>
  <c r="C47" i="1"/>
  <c r="C515" i="1"/>
  <c r="C1017" i="1"/>
  <c r="C499" i="1"/>
  <c r="C808" i="1"/>
  <c r="C1377" i="1"/>
  <c r="C521" i="1"/>
  <c r="C1472" i="1"/>
  <c r="C581" i="1"/>
  <c r="C1714" i="1"/>
  <c r="C1089" i="1"/>
  <c r="C1723" i="1"/>
  <c r="C1693" i="1"/>
  <c r="C557" i="1"/>
  <c r="C807" i="1"/>
  <c r="C672" i="1"/>
  <c r="C45" i="1"/>
  <c r="C1042" i="1"/>
  <c r="C315" i="1"/>
  <c r="C1712" i="1"/>
  <c r="C1477" i="1"/>
  <c r="C496" i="1"/>
  <c r="C679" i="1"/>
  <c r="C1109" i="1"/>
  <c r="C805" i="1"/>
  <c r="C1701" i="1"/>
  <c r="C245" i="1"/>
  <c r="C324" i="1"/>
  <c r="C660" i="1"/>
  <c r="C1009" i="1"/>
  <c r="C644" i="1"/>
  <c r="C786" i="1"/>
  <c r="C434" i="1"/>
  <c r="C365" i="1"/>
  <c r="C331" i="1"/>
  <c r="C293" i="1"/>
  <c r="C338" i="1"/>
  <c r="C363" i="1"/>
  <c r="C143" i="1"/>
  <c r="C903" i="1"/>
  <c r="C707" i="1"/>
  <c r="C640" i="1"/>
  <c r="C148" i="1"/>
  <c r="C1656" i="1"/>
  <c r="C681" i="1"/>
  <c r="C1149" i="1"/>
  <c r="C896" i="1"/>
  <c r="C912" i="1"/>
  <c r="C850" i="1"/>
  <c r="C469" i="1"/>
  <c r="C1613" i="1"/>
  <c r="C1625" i="1"/>
  <c r="C203" i="1"/>
  <c r="C1539" i="1"/>
  <c r="C653" i="1"/>
  <c r="C852" i="1"/>
  <c r="C727" i="1"/>
  <c r="C833" i="1"/>
  <c r="C3" i="1"/>
  <c r="C137" i="1"/>
  <c r="C408" i="1"/>
  <c r="C361" i="1"/>
  <c r="C684" i="1"/>
  <c r="C1123" i="1"/>
  <c r="C555" i="1"/>
  <c r="C476" i="1"/>
  <c r="C1531" i="1"/>
  <c r="C652" i="1"/>
  <c r="C680" i="1"/>
  <c r="C28" i="1"/>
  <c r="C1597" i="1"/>
  <c r="C1132" i="1"/>
  <c r="C1064" i="1"/>
  <c r="C623" i="1"/>
  <c r="C1150" i="1"/>
  <c r="C1369" i="1"/>
  <c r="C585" i="1"/>
  <c r="C133" i="1"/>
  <c r="C663" i="1"/>
  <c r="C1541" i="1"/>
  <c r="C1035" i="1"/>
  <c r="C1144" i="1"/>
  <c r="C1421" i="1"/>
  <c r="C1065" i="1"/>
  <c r="C1174" i="1"/>
  <c r="C927" i="1"/>
  <c r="C1077" i="1"/>
  <c r="C1587" i="1"/>
  <c r="C1078" i="1"/>
  <c r="C1176" i="1"/>
  <c r="C52" i="1"/>
  <c r="C1590" i="1"/>
  <c r="C1506" i="1"/>
  <c r="C892" i="1"/>
  <c r="C1186" i="1"/>
  <c r="C362" i="1"/>
  <c r="C303" i="1"/>
  <c r="C1595" i="1"/>
  <c r="C24" i="1"/>
  <c r="C1594" i="1"/>
  <c r="C1129" i="1"/>
  <c r="C1465" i="1"/>
  <c r="C1396" i="1"/>
  <c r="C317" i="1"/>
  <c r="C141" i="1"/>
  <c r="C1600" i="1"/>
  <c r="C1007" i="1"/>
  <c r="C604" i="1"/>
  <c r="C923" i="1"/>
  <c r="C177" i="1"/>
  <c r="C674" i="1"/>
  <c r="C1263" i="1"/>
  <c r="C154" i="1"/>
  <c r="C150" i="1"/>
  <c r="C58" i="1"/>
  <c r="C211" i="1"/>
  <c r="C906" i="1"/>
  <c r="C65" i="1"/>
  <c r="C589" i="1"/>
  <c r="C1056" i="1"/>
  <c r="C1499" i="1"/>
  <c r="C1057" i="1"/>
  <c r="C740" i="1"/>
  <c r="C999" i="1"/>
  <c r="C1437" i="1"/>
  <c r="C307" i="1"/>
  <c r="C1268" i="1"/>
  <c r="C1290" i="1"/>
  <c r="C1071" i="1"/>
  <c r="C280" i="1"/>
  <c r="C755" i="1"/>
  <c r="C304" i="1"/>
  <c r="C1058" i="1"/>
  <c r="C1184" i="1"/>
  <c r="C550" i="1"/>
  <c r="C344" i="1"/>
  <c r="C18" i="1"/>
  <c r="C1584" i="1"/>
  <c r="C310" i="1"/>
  <c r="C878" i="1"/>
  <c r="C460" i="1"/>
  <c r="C1699" i="1"/>
  <c r="C605" i="1"/>
  <c r="C345" i="1"/>
  <c r="C898" i="1"/>
  <c r="C239" i="1"/>
  <c r="C1052" i="1"/>
  <c r="C779" i="1"/>
  <c r="C1451" i="1"/>
  <c r="C1500" i="1"/>
  <c r="C1265" i="1"/>
  <c r="C659" i="1"/>
  <c r="C136" i="1"/>
  <c r="C554" i="1"/>
  <c r="C1628" i="1"/>
  <c r="C1168" i="1"/>
  <c r="C1000" i="1"/>
  <c r="C643" i="1"/>
  <c r="C1325" i="1"/>
  <c r="C575" i="1"/>
  <c r="C1018" i="1"/>
  <c r="C1633" i="1"/>
  <c r="C373" i="1"/>
  <c r="C1270" i="1"/>
  <c r="C327" i="1"/>
  <c r="C1015" i="1"/>
  <c r="C1449" i="1"/>
  <c r="C1395" i="1"/>
  <c r="C196" i="1"/>
  <c r="C1103" i="1"/>
  <c r="C312" i="1"/>
  <c r="C166" i="1"/>
  <c r="C1108" i="1"/>
  <c r="C348" i="1"/>
  <c r="C282" i="1"/>
  <c r="C377" i="1"/>
  <c r="C165" i="1"/>
  <c r="C917" i="1"/>
  <c r="C356" i="1"/>
  <c r="C264" i="1"/>
  <c r="C1609" i="1"/>
  <c r="C357" i="1"/>
  <c r="C1328" i="1"/>
  <c r="C718" i="1"/>
  <c r="C485" i="1"/>
  <c r="C720" i="1"/>
  <c r="C201" i="1"/>
  <c r="C229" i="1"/>
  <c r="C237" i="1"/>
  <c r="C843" i="1"/>
  <c r="C861" i="1"/>
  <c r="C1027" i="1"/>
  <c r="C1146" i="1"/>
  <c r="C226" i="1"/>
  <c r="C574" i="1"/>
  <c r="C1164" i="1"/>
  <c r="C606" i="1"/>
  <c r="C1074" i="1"/>
  <c r="C985" i="1"/>
  <c r="C587" i="1"/>
  <c r="C170" i="1"/>
  <c r="C773" i="1"/>
  <c r="C27" i="1"/>
  <c r="C305" i="1"/>
  <c r="C311" i="1"/>
  <c r="C1327" i="1"/>
  <c r="C197" i="1"/>
  <c r="C200" i="1"/>
  <c r="C631" i="1"/>
  <c r="C1262" i="1"/>
  <c r="C352" i="1"/>
  <c r="C1593" i="1"/>
  <c r="C1032" i="1"/>
  <c r="C457" i="1"/>
  <c r="C283" i="1"/>
  <c r="C1551" i="1"/>
  <c r="C217" i="1"/>
  <c r="C1383" i="1"/>
  <c r="C354" i="1"/>
  <c r="C504" i="1"/>
  <c r="C860" i="1"/>
  <c r="C530" i="1"/>
  <c r="C273" i="1"/>
  <c r="C1602" i="1"/>
  <c r="C1423" i="1"/>
  <c r="C1006" i="1"/>
  <c r="C532" i="1"/>
  <c r="C1521" i="1"/>
  <c r="C1378" i="1"/>
  <c r="C1336" i="1"/>
  <c r="C1147" i="1"/>
  <c r="C721" i="1"/>
  <c r="C1175" i="1"/>
  <c r="C893" i="1"/>
  <c r="C472" i="1"/>
  <c r="C952" i="1"/>
  <c r="C454" i="1"/>
  <c r="C1495" i="1"/>
  <c r="C297" i="1"/>
  <c r="C844" i="1"/>
  <c r="C1001" i="1"/>
  <c r="C56" i="1"/>
  <c r="C1658" i="1"/>
  <c r="C1394" i="1"/>
  <c r="C1151" i="1"/>
  <c r="C1068" i="1"/>
  <c r="C1622" i="1"/>
  <c r="C1596" i="1"/>
  <c r="C104" i="1"/>
  <c r="C349" i="1"/>
  <c r="C91" i="1"/>
  <c r="C142" i="1"/>
  <c r="C301" i="1"/>
  <c r="C635" i="1"/>
  <c r="C269" i="1"/>
  <c r="C1235" i="1"/>
  <c r="C40" i="1"/>
  <c r="C1272" i="1"/>
  <c r="C1318" i="1"/>
  <c r="C1443" i="1"/>
  <c r="C1031" i="1"/>
  <c r="C616" i="1"/>
  <c r="C1427" i="1"/>
  <c r="C619" i="1"/>
  <c r="C440" i="1"/>
  <c r="C836" i="1"/>
  <c r="C1039" i="1"/>
  <c r="C1616" i="1"/>
  <c r="C26" i="1"/>
  <c r="C1545" i="1"/>
  <c r="C829" i="1"/>
  <c r="C993" i="1"/>
  <c r="C1242" i="1"/>
  <c r="C582" i="1"/>
  <c r="C49" i="1"/>
  <c r="C1661" i="1"/>
  <c r="C50" i="1"/>
  <c r="C556" i="1"/>
  <c r="C468" i="1"/>
  <c r="C63" i="1"/>
  <c r="C1401" i="1"/>
  <c r="C1314" i="1"/>
  <c r="C1724" i="1"/>
  <c r="C1442" i="1"/>
  <c r="C788" i="1"/>
  <c r="C669" i="1"/>
  <c r="C800" i="1"/>
  <c r="C44" i="1"/>
  <c r="C783" i="1"/>
  <c r="C1030" i="1"/>
  <c r="C1070" i="1"/>
  <c r="C1311" i="1"/>
  <c r="C1535" i="1"/>
  <c r="C62" i="1"/>
  <c r="C1533" i="1"/>
  <c r="C1532" i="1"/>
  <c r="C474" i="1"/>
  <c r="C73" i="1"/>
  <c r="C559" i="1"/>
  <c r="C464" i="1"/>
  <c r="C998" i="1"/>
  <c r="C438" i="1"/>
  <c r="C1430" i="1"/>
  <c r="C1408" i="1"/>
  <c r="C670" i="1"/>
  <c r="C792" i="1"/>
  <c r="C830" i="1"/>
  <c r="C620" i="1"/>
  <c r="C649" i="1"/>
  <c r="C1414" i="1"/>
  <c r="C11" i="1"/>
  <c r="C61" i="1"/>
  <c r="C1140" i="1"/>
  <c r="C267" i="1"/>
  <c r="C1429" i="1"/>
  <c r="C1413" i="1"/>
  <c r="C77" i="1"/>
  <c r="C204" i="1"/>
  <c r="C32" i="1"/>
  <c r="C1330" i="1"/>
  <c r="C1598" i="1"/>
  <c r="C1386" i="1"/>
  <c r="C1239" i="1"/>
  <c r="C1261" i="1"/>
  <c r="C1246" i="1"/>
  <c r="C1291" i="1"/>
  <c r="C607" i="1"/>
  <c r="C1066" i="1"/>
  <c r="C1269" i="1"/>
  <c r="C1509" i="1"/>
  <c r="C346" i="1"/>
  <c r="C832" i="1"/>
  <c r="C1561" i="1"/>
  <c r="C281" i="1"/>
  <c r="C776" i="1"/>
  <c r="C1514" i="1"/>
  <c r="C1043" i="1"/>
  <c r="B666" i="1"/>
  <c r="B928" i="1"/>
  <c r="B899" i="1"/>
  <c r="B382" i="1"/>
  <c r="B723" i="1"/>
  <c r="B175" i="1"/>
  <c r="B725" i="1"/>
  <c r="B8" i="1"/>
  <c r="B801" i="1"/>
  <c r="B1090" i="1"/>
  <c r="B1259" i="1"/>
  <c r="B481" i="1"/>
  <c r="B1087" i="1"/>
  <c r="B209" i="1"/>
  <c r="B1591" i="1"/>
  <c r="B809" i="1"/>
  <c r="B39" i="1"/>
  <c r="B862" i="1"/>
  <c r="B930" i="1"/>
  <c r="B527" i="1"/>
  <c r="B402" i="1"/>
  <c r="B1252" i="1"/>
  <c r="B647" i="1"/>
  <c r="B7" i="1"/>
  <c r="B1307" i="1"/>
  <c r="B466" i="1"/>
  <c r="B571" i="1"/>
  <c r="B1115" i="1"/>
  <c r="B738" i="1"/>
  <c r="B405" i="1"/>
  <c r="B1588" i="1"/>
  <c r="B1210" i="1"/>
  <c r="B1667" i="1"/>
  <c r="B1558" i="1"/>
  <c r="B719" i="1"/>
  <c r="B1085" i="1"/>
  <c r="B940" i="1"/>
  <c r="B1647" i="1"/>
  <c r="B963" i="1"/>
  <c r="B1646" i="1"/>
  <c r="B562" i="1"/>
  <c r="B942" i="1"/>
  <c r="B1589" i="1"/>
  <c r="B1304" i="1"/>
  <c r="B969" i="1"/>
  <c r="B234" i="1"/>
  <c r="B359" i="1"/>
  <c r="B754" i="1"/>
  <c r="B1460" i="1"/>
  <c r="B824" i="1"/>
  <c r="B961" i="1"/>
  <c r="B798" i="1"/>
  <c r="B1344" i="1"/>
  <c r="B294" i="1"/>
  <c r="B960" i="1"/>
  <c r="B868" i="1"/>
  <c r="B978" i="1"/>
  <c r="B1497" i="1"/>
  <c r="B1503" i="1"/>
  <c r="B959" i="1"/>
  <c r="B962" i="1"/>
  <c r="B235" i="1"/>
  <c r="B1705" i="1"/>
  <c r="B72" i="1"/>
  <c r="B746" i="1"/>
  <c r="B1638" i="1"/>
  <c r="B1649" i="1"/>
  <c r="B572" i="1"/>
  <c r="B724" i="1"/>
  <c r="B1107" i="1"/>
  <c r="B510" i="1"/>
  <c r="B1355" i="1"/>
  <c r="B514" i="1"/>
  <c r="B390" i="1"/>
  <c r="B380" i="1"/>
  <c r="B1685" i="1"/>
  <c r="B958" i="1"/>
  <c r="B1666" i="1"/>
  <c r="B648" i="1"/>
  <c r="B256" i="1"/>
  <c r="B566" i="1"/>
  <c r="B385" i="1"/>
  <c r="B1293" i="1"/>
  <c r="B977" i="1"/>
  <c r="B1142" i="1"/>
  <c r="B285" i="1"/>
  <c r="B526" i="1"/>
  <c r="B979" i="1"/>
  <c r="B322" i="1"/>
  <c r="B258" i="1"/>
  <c r="B505" i="1"/>
  <c r="B980" i="1"/>
  <c r="B642" i="1"/>
  <c r="B1683" i="1"/>
  <c r="B975" i="1"/>
  <c r="B1349" i="1"/>
  <c r="B1470" i="1"/>
  <c r="B376" i="1"/>
  <c r="B570" i="1"/>
  <c r="B238" i="1"/>
  <c r="B507" i="1"/>
  <c r="B277" i="1"/>
  <c r="B88" i="1"/>
  <c r="B615" i="1"/>
  <c r="B1645" i="1"/>
  <c r="B636" i="1"/>
  <c r="B650" i="1"/>
  <c r="B395" i="1"/>
  <c r="B662" i="1"/>
  <c r="B1433" i="1"/>
  <c r="B1347" i="1"/>
  <c r="B713" i="1"/>
  <c r="B797" i="1"/>
  <c r="B1286" i="1"/>
  <c r="B1639" i="1"/>
  <c r="B988" i="1"/>
  <c r="B1143" i="1"/>
  <c r="B729" i="1"/>
  <c r="B1250" i="1"/>
  <c r="B221" i="1"/>
  <c r="B103" i="1"/>
  <c r="B1508" i="1"/>
  <c r="B1677" i="1"/>
  <c r="B1299" i="1"/>
  <c r="B897" i="1"/>
  <c r="B525" i="1"/>
  <c r="B668" i="1"/>
  <c r="B1294" i="1"/>
  <c r="B391" i="1"/>
  <c r="B1682" i="1"/>
  <c r="B1665" i="1"/>
  <c r="B84" i="1"/>
  <c r="B802" i="1"/>
  <c r="B107" i="1"/>
  <c r="B1540" i="1"/>
  <c r="B323" i="1"/>
  <c r="B1354" i="1"/>
  <c r="B1678" i="1"/>
  <c r="B473" i="1"/>
  <c r="B393" i="1"/>
  <c r="B452" i="1"/>
  <c r="B383" i="1"/>
  <c r="B618" i="1"/>
  <c r="B224" i="1"/>
  <c r="B396" i="1"/>
  <c r="B1260" i="1"/>
  <c r="B59" i="1"/>
  <c r="B1644" i="1"/>
  <c r="B1292" i="1"/>
  <c r="B1575" i="1"/>
  <c r="B762" i="1"/>
  <c r="B1245" i="1"/>
  <c r="B1200" i="1"/>
  <c r="B1267" i="1"/>
  <c r="B330" i="1"/>
  <c r="B902" i="1"/>
  <c r="B1577" i="1"/>
  <c r="B1614" i="1"/>
  <c r="B1211" i="1"/>
  <c r="B1117" i="1"/>
  <c r="B1153" i="1"/>
  <c r="B1536" i="1"/>
  <c r="B948" i="1"/>
  <c r="B1579" i="1"/>
  <c r="B69" i="1"/>
  <c r="B272" i="1"/>
  <c r="B31" i="1"/>
  <c r="B1190" i="1"/>
  <c r="B1255" i="1"/>
  <c r="B1258" i="1"/>
  <c r="B1134" i="1"/>
  <c r="B887" i="1"/>
  <c r="B266" i="1"/>
  <c r="B94" i="1"/>
  <c r="B332" i="1"/>
  <c r="B1454" i="1"/>
  <c r="B1351" i="1"/>
  <c r="B1118" i="1"/>
  <c r="B1382" i="1"/>
  <c r="B759" i="1"/>
  <c r="B920" i="1"/>
  <c r="B1266" i="1"/>
  <c r="B905" i="1"/>
  <c r="B819" i="1"/>
  <c r="B409" i="1"/>
  <c r="B270" i="1"/>
  <c r="B854" i="1"/>
  <c r="B849" i="1"/>
  <c r="B1257" i="1"/>
  <c r="B936" i="1"/>
  <c r="B760" i="1"/>
  <c r="B528" i="1"/>
  <c r="B1135" i="1"/>
  <c r="B758" i="1"/>
  <c r="B651" i="1"/>
  <c r="B212" i="1"/>
  <c r="B1476" i="1"/>
  <c r="B1079" i="1"/>
  <c r="B1249" i="1"/>
  <c r="B806" i="1"/>
  <c r="B479" i="1"/>
  <c r="B477" i="1"/>
  <c r="B1082" i="1"/>
  <c r="B498" i="1"/>
  <c r="B592" i="1"/>
  <c r="B318" i="1"/>
  <c r="B1513" i="1"/>
  <c r="B745" i="1"/>
  <c r="B1520" i="1"/>
  <c r="B757" i="1"/>
  <c r="B913" i="1"/>
  <c r="B1214" i="1"/>
  <c r="B875" i="1"/>
  <c r="B1550" i="1"/>
  <c r="B891" i="1"/>
  <c r="B1547" i="1"/>
  <c r="B313" i="1"/>
  <c r="B1216" i="1"/>
  <c r="B1219" i="1"/>
  <c r="B1215" i="1"/>
  <c r="B1121" i="1"/>
  <c r="B873" i="1"/>
  <c r="B949" i="1"/>
  <c r="B732" i="1"/>
  <c r="B410" i="1"/>
  <c r="B845" i="1"/>
  <c r="B412" i="1"/>
  <c r="B1494" i="1"/>
  <c r="B1080" i="1"/>
  <c r="B394" i="1"/>
  <c r="B863" i="1"/>
  <c r="B176" i="1"/>
  <c r="B1231" i="1"/>
  <c r="B1227" i="1"/>
  <c r="B795" i="1"/>
  <c r="B789" i="1"/>
  <c r="B839" i="1"/>
  <c r="B254" i="1"/>
  <c r="B1571" i="1"/>
  <c r="B417" i="1"/>
  <c r="B602" i="1"/>
  <c r="B1091" i="1"/>
  <c r="B416" i="1"/>
  <c r="B419" i="1"/>
  <c r="B717" i="1"/>
  <c r="B173" i="1"/>
  <c r="B306" i="1"/>
  <c r="B601" i="1"/>
  <c r="B743" i="1"/>
  <c r="B1402" i="1"/>
  <c r="B1692" i="1"/>
  <c r="B124" i="1"/>
  <c r="B495" i="1"/>
  <c r="B735" i="1"/>
  <c r="B34" i="1"/>
  <c r="B1534" i="1"/>
  <c r="B262" i="1"/>
  <c r="B855" i="1"/>
  <c r="B749" i="1"/>
  <c r="B612" i="1"/>
  <c r="B1556" i="1"/>
  <c r="B70" i="1"/>
  <c r="B840" i="1"/>
  <c r="B1236" i="1"/>
  <c r="B671" i="1"/>
  <c r="B537" i="1"/>
  <c r="B954" i="1"/>
  <c r="B1100" i="1"/>
  <c r="B1359" i="1"/>
  <c r="B614" i="1"/>
  <c r="B1618" i="1"/>
  <c r="B603" i="1"/>
  <c r="B125" i="1"/>
  <c r="B1337" i="1"/>
  <c r="B694" i="1"/>
  <c r="B876" i="1"/>
  <c r="B1228" i="1"/>
  <c r="B366" i="1"/>
  <c r="B1611" i="1"/>
  <c r="B1345" i="1"/>
  <c r="B785" i="1"/>
  <c r="B99" i="1"/>
  <c r="B371" i="1"/>
  <c r="B413" i="1"/>
  <c r="B292" i="1"/>
  <c r="B1525" i="1"/>
  <c r="B549" i="1"/>
  <c r="B1452" i="1"/>
  <c r="B375" i="1"/>
  <c r="B119" i="1"/>
  <c r="B1619" i="1"/>
  <c r="B1615" i="1"/>
  <c r="B1278" i="1"/>
  <c r="B381" i="1"/>
  <c r="B1116" i="1"/>
  <c r="B834" i="1"/>
  <c r="B1112" i="1"/>
  <c r="B128" i="1"/>
  <c r="B1283" i="1"/>
  <c r="B1003" i="1"/>
  <c r="B1352" i="1"/>
  <c r="B427" i="1"/>
  <c r="B223" i="1"/>
  <c r="B215" i="1"/>
  <c r="B812" i="1"/>
  <c r="B774" i="1"/>
  <c r="B241" i="1"/>
  <c r="B231" i="1"/>
  <c r="B423" i="1"/>
  <c r="B421" i="1"/>
  <c r="B1384" i="1"/>
  <c r="B726" i="1"/>
  <c r="B288" i="1"/>
  <c r="B974" i="1"/>
  <c r="B518" i="1"/>
  <c r="B316" i="1"/>
  <c r="B117" i="1"/>
  <c r="B289" i="1"/>
  <c r="B1136" i="1"/>
  <c r="B664" i="1"/>
  <c r="B1718" i="1"/>
  <c r="B1367" i="1"/>
  <c r="B986" i="1"/>
  <c r="B813" i="1"/>
  <c r="B1368" i="1"/>
  <c r="B246" i="1"/>
  <c r="B1696" i="1"/>
  <c r="B987" i="1"/>
  <c r="B1620" i="1"/>
  <c r="B1409" i="1"/>
  <c r="B1570" i="1"/>
  <c r="B1169" i="1"/>
  <c r="B1390" i="1"/>
  <c r="B1655" i="1"/>
  <c r="B426" i="1"/>
  <c r="B309" i="1"/>
  <c r="B308" i="1"/>
  <c r="B120" i="1"/>
  <c r="B129" i="1"/>
  <c r="B435" i="1"/>
  <c r="B1417" i="1"/>
  <c r="B748" i="1"/>
  <c r="B1348" i="1"/>
  <c r="B131" i="1"/>
  <c r="B1045" i="1"/>
  <c r="B126" i="1"/>
  <c r="B989" i="1"/>
  <c r="B837" i="1"/>
  <c r="B1093" i="1"/>
  <c r="B1630" i="1"/>
  <c r="B816" i="1"/>
  <c r="B259" i="1"/>
  <c r="B243" i="1"/>
  <c r="B578" i="1"/>
  <c r="B579" i="1"/>
  <c r="B244" i="1"/>
  <c r="B1217" i="1"/>
  <c r="B841" i="1"/>
  <c r="B1469" i="1"/>
  <c r="B1218" i="1"/>
  <c r="B911" i="1"/>
  <c r="B1098" i="1"/>
  <c r="B577" i="1"/>
  <c r="B886" i="1"/>
  <c r="B1133" i="1"/>
  <c r="B1222" i="1"/>
  <c r="B933" i="1"/>
  <c r="B240" i="1"/>
  <c r="B857" i="1"/>
  <c r="B214" i="1"/>
  <c r="B593" i="1"/>
  <c r="B1324" i="1"/>
  <c r="B1631" i="1"/>
  <c r="B1206" i="1"/>
  <c r="B1204" i="1"/>
  <c r="B475" i="1"/>
  <c r="B1094" i="1"/>
  <c r="B407" i="1"/>
  <c r="B467" i="1"/>
  <c r="B431" i="1"/>
  <c r="B30" i="1"/>
  <c r="B1462" i="1"/>
  <c r="B1475" i="1"/>
  <c r="B1207" i="1"/>
  <c r="B591" i="1"/>
  <c r="B1203" i="1"/>
  <c r="B1502" i="1"/>
  <c r="B227" i="1"/>
  <c r="B1205" i="1"/>
  <c r="B1237" i="1"/>
  <c r="B459" i="1"/>
  <c r="B6" i="1"/>
  <c r="B1289" i="1"/>
  <c r="B1097" i="1"/>
  <c r="B428" i="1"/>
  <c r="B804" i="1"/>
  <c r="B1363" i="1"/>
  <c r="B803" i="1"/>
  <c r="B838" i="1"/>
  <c r="B594" i="1"/>
  <c r="B752" i="1"/>
  <c r="B770" i="1"/>
  <c r="B1679" i="1"/>
  <c r="B763" i="1"/>
  <c r="B1223" i="1"/>
  <c r="B1719" i="1"/>
  <c r="B1634" i="1"/>
  <c r="B1668" i="1"/>
  <c r="B628" i="1"/>
  <c r="B1238" i="1"/>
  <c r="B57" i="1"/>
  <c r="B1637" i="1"/>
  <c r="B1287" i="1"/>
  <c r="B127" i="1"/>
  <c r="B1688" i="1"/>
  <c r="B687" i="1"/>
  <c r="B765" i="1"/>
  <c r="B422" i="1"/>
  <c r="B1101" i="1"/>
  <c r="B1012" i="1"/>
  <c r="B1095" i="1"/>
  <c r="B35" i="1"/>
  <c r="B541" i="1"/>
  <c r="B1013" i="1"/>
  <c r="B1010" i="1"/>
  <c r="B924" i="1"/>
  <c r="B688" i="1"/>
  <c r="B1285" i="1"/>
  <c r="B1008" i="1"/>
  <c r="B248" i="1"/>
  <c r="B1603" i="1"/>
  <c r="B764" i="1"/>
  <c r="B821" i="1"/>
  <c r="B53" i="1"/>
  <c r="B1208" i="1"/>
  <c r="B630" i="1"/>
  <c r="B253" i="1"/>
  <c r="B900" i="1"/>
  <c r="B1139" i="1"/>
  <c r="B885" i="1"/>
  <c r="B1229" i="1"/>
  <c r="B1076" i="1"/>
  <c r="B436" i="1"/>
  <c r="B1523" i="1"/>
  <c r="B851" i="1"/>
  <c r="B1220" i="1"/>
  <c r="B480" i="1"/>
  <c r="B1416" i="1"/>
  <c r="B925" i="1"/>
  <c r="B996" i="1"/>
  <c r="B1664" i="1"/>
  <c r="B890" i="1"/>
  <c r="B1365" i="1"/>
  <c r="B1425" i="1"/>
  <c r="B71" i="1"/>
  <c r="B494" i="1"/>
  <c r="B1152" i="1"/>
  <c r="B20" i="1"/>
  <c r="B1700" i="1"/>
  <c r="B1233" i="1"/>
  <c r="B320" i="1"/>
  <c r="B1202" i="1"/>
  <c r="B686" i="1"/>
  <c r="B881" i="1"/>
  <c r="B358" i="1"/>
  <c r="B1181" i="1"/>
  <c r="B1353" i="1"/>
  <c r="B1422" i="1"/>
  <c r="B1710" i="1"/>
  <c r="B1209" i="1"/>
  <c r="B1234" i="1"/>
  <c r="B1703" i="1"/>
  <c r="B1350" i="1"/>
  <c r="B722" i="1"/>
  <c r="B1711" i="1"/>
  <c r="B230" i="1"/>
  <c r="B682" i="1"/>
  <c r="B222" i="1"/>
  <c r="B220" i="1"/>
  <c r="B864" i="1"/>
  <c r="B709" i="1"/>
  <c r="B710" i="1"/>
  <c r="B654" i="1"/>
  <c r="B1316" i="1"/>
  <c r="B1439" i="1"/>
  <c r="B83" i="1"/>
  <c r="B1323" i="1"/>
  <c r="B638" i="1"/>
  <c r="B1081" i="1"/>
  <c r="B771" i="1"/>
  <c r="B639" i="1"/>
  <c r="B23" i="1"/>
  <c r="B186" i="1"/>
  <c r="B181" i="1"/>
  <c r="B493" i="1"/>
  <c r="B1303" i="1"/>
  <c r="B255" i="1"/>
  <c r="B1224" i="1"/>
  <c r="B497" i="1"/>
  <c r="B1457" i="1"/>
  <c r="B576" i="1"/>
  <c r="B1295" i="1"/>
  <c r="B1054" i="1"/>
  <c r="B189" i="1"/>
  <c r="B1407" i="1"/>
  <c r="B1605" i="1"/>
  <c r="B424" i="1"/>
  <c r="B1492" i="1"/>
  <c r="B286" i="1"/>
  <c r="B853" i="1"/>
  <c r="B1624" i="1"/>
  <c r="B92" i="1"/>
  <c r="B907" i="1"/>
  <c r="B446" i="1"/>
  <c r="B429" i="1"/>
  <c r="B1702" i="1"/>
  <c r="B908" i="1"/>
  <c r="B188" i="1"/>
  <c r="B1322" i="1"/>
  <c r="B187" i="1"/>
  <c r="B1393" i="1"/>
  <c r="B1522" i="1"/>
  <c r="B251" i="1"/>
  <c r="B1302" i="1"/>
  <c r="B14" i="1"/>
  <c r="B430" i="1"/>
  <c r="B463" i="1"/>
  <c r="B909" i="1"/>
  <c r="B1305" i="1"/>
  <c r="B655" i="1"/>
  <c r="B778" i="1"/>
  <c r="B185" i="1"/>
  <c r="B1225" i="1"/>
  <c r="B1256" i="1"/>
  <c r="B1309" i="1"/>
  <c r="B595" i="1"/>
  <c r="B814" i="1"/>
  <c r="B29" i="1"/>
  <c r="B1601" i="1"/>
  <c r="B112" i="1"/>
  <c r="B968" i="1"/>
  <c r="B5" i="1"/>
  <c r="B451" i="1"/>
  <c r="B901" i="1"/>
  <c r="B1651" i="1"/>
  <c r="B895" i="1"/>
  <c r="B1120" i="1"/>
  <c r="B661" i="1"/>
  <c r="B9" i="1"/>
  <c r="B1681" i="1"/>
  <c r="B1659" i="1"/>
  <c r="B1650" i="1"/>
  <c r="B1464" i="1"/>
  <c r="B1308" i="1"/>
  <c r="B1340" i="1"/>
  <c r="B106" i="1"/>
  <c r="B1125" i="1"/>
  <c r="B1154" i="1"/>
  <c r="B1385" i="1"/>
  <c r="B1161" i="1"/>
  <c r="B1608" i="1"/>
  <c r="B937" i="1"/>
  <c r="B1412" i="1"/>
  <c r="B1510" i="1"/>
  <c r="B1450" i="1"/>
  <c r="B535" i="1"/>
  <c r="B1111" i="1"/>
  <c r="B1159" i="1"/>
  <c r="B1641" i="1"/>
  <c r="B1410" i="1"/>
  <c r="B1406" i="1"/>
  <c r="B750" i="1"/>
  <c r="B874" i="1"/>
  <c r="B242" i="1"/>
  <c r="B90" i="1"/>
  <c r="B534" i="1"/>
  <c r="B487" i="1"/>
  <c r="B98" i="1"/>
  <c r="B870" i="1"/>
  <c r="B448" i="1"/>
  <c r="B484" i="1"/>
  <c r="B865" i="1"/>
  <c r="B102" i="1"/>
  <c r="B183" i="1"/>
  <c r="B1128" i="1"/>
  <c r="B1297" i="1"/>
  <c r="B488" i="1"/>
  <c r="B1467" i="1"/>
  <c r="B1471" i="1"/>
  <c r="B111" i="1"/>
  <c r="B95" i="1"/>
  <c r="B1463" i="1"/>
  <c r="B976" i="1"/>
  <c r="B1487" i="1"/>
  <c r="B1689" i="1"/>
  <c r="B1106" i="1"/>
  <c r="B820" i="1"/>
  <c r="B700" i="1"/>
  <c r="B110" i="1"/>
  <c r="B939" i="1"/>
  <c r="B935" i="1"/>
  <c r="B904" i="1"/>
  <c r="B1441" i="1"/>
  <c r="B387" i="1"/>
  <c r="B78" i="1"/>
  <c r="B1248" i="1"/>
  <c r="B869" i="1"/>
  <c r="B13" i="1"/>
  <c r="B737" i="1"/>
  <c r="B1126" i="1"/>
  <c r="B81" i="1"/>
  <c r="B790" i="1"/>
  <c r="B1162" i="1"/>
  <c r="B1131" i="1"/>
  <c r="B540" i="1"/>
  <c r="B1440" i="1"/>
  <c r="B922" i="1"/>
  <c r="B1284" i="1"/>
  <c r="B539" i="1"/>
  <c r="B1486" i="1"/>
  <c r="B1404" i="1"/>
  <c r="B1264" i="1"/>
  <c r="B1428" i="1"/>
  <c r="B265" i="1"/>
  <c r="B1720" i="1"/>
  <c r="B1124" i="1"/>
  <c r="B1455" i="1"/>
  <c r="B598" i="1"/>
  <c r="B667" i="1"/>
  <c r="B1599" i="1"/>
  <c r="B657" i="1"/>
  <c r="B609" i="1"/>
  <c r="B583" i="1"/>
  <c r="B1691" i="1"/>
  <c r="B658" i="1"/>
  <c r="B597" i="1"/>
  <c r="B1141" i="1"/>
  <c r="B1585" i="1"/>
  <c r="B1333" i="1"/>
  <c r="B1485" i="1"/>
  <c r="B1021" i="1"/>
  <c r="B1026" i="1"/>
  <c r="B449" i="1"/>
  <c r="B889" i="1"/>
  <c r="B1182" i="1"/>
  <c r="B1580" i="1"/>
  <c r="B1721" i="1"/>
  <c r="B586" i="1"/>
  <c r="B1581" i="1"/>
  <c r="B450" i="1"/>
  <c r="B1582" i="1"/>
  <c r="B1148" i="1"/>
  <c r="B599" i="1"/>
  <c r="B1583" i="1"/>
  <c r="B588" i="1"/>
  <c r="B1024" i="1"/>
  <c r="B569" i="1"/>
  <c r="B1557" i="1"/>
  <c r="B1398" i="1"/>
  <c r="B965" i="1"/>
  <c r="B522" i="1"/>
  <c r="B1436" i="1"/>
  <c r="B123" i="1"/>
  <c r="B444" i="1"/>
  <c r="B1300" i="1"/>
  <c r="B205" i="1"/>
  <c r="B1366" i="1"/>
  <c r="B1660" i="1"/>
  <c r="B1271" i="1"/>
  <c r="B453" i="1"/>
  <c r="B1434" i="1"/>
  <c r="B1023" i="1"/>
  <c r="B96" i="1"/>
  <c r="B274" i="1"/>
  <c r="B656" i="1"/>
  <c r="B611" i="1"/>
  <c r="B823" i="1"/>
  <c r="B1516" i="1"/>
  <c r="B1461" i="1"/>
  <c r="B252" i="1"/>
  <c r="B866" i="1"/>
  <c r="B1518" i="1"/>
  <c r="B351" i="1"/>
  <c r="B1145" i="1"/>
  <c r="B159" i="1"/>
  <c r="B741" i="1"/>
  <c r="B508" i="1"/>
  <c r="B1022" i="1"/>
  <c r="B1282" i="1"/>
  <c r="B1676" i="1"/>
  <c r="B950" i="1"/>
  <c r="B87" i="1"/>
  <c r="B190" i="1"/>
  <c r="B145" i="1"/>
  <c r="B1511" i="1"/>
  <c r="B1480" i="1"/>
  <c r="B295" i="1"/>
  <c r="B1171" i="1"/>
  <c r="B1483" i="1"/>
  <c r="B174" i="1"/>
  <c r="B161" i="1"/>
  <c r="B64" i="1"/>
  <c r="B1673" i="1"/>
  <c r="B17" i="1"/>
  <c r="B1686" i="1"/>
  <c r="B1566" i="1"/>
  <c r="B1559" i="1"/>
  <c r="B689" i="1"/>
  <c r="B520" i="1"/>
  <c r="B116" i="1"/>
  <c r="B336" i="1"/>
  <c r="B121" i="1"/>
  <c r="B519" i="1"/>
  <c r="B751" i="1"/>
  <c r="B486" i="1"/>
  <c r="B1512" i="1"/>
  <c r="B1515" i="1"/>
  <c r="B108" i="1"/>
  <c r="B744" i="1"/>
  <c r="B207" i="1"/>
  <c r="B389" i="1"/>
  <c r="B1489" i="1"/>
  <c r="B1554" i="1"/>
  <c r="B546" i="1"/>
  <c r="B386" i="1"/>
  <c r="B388" i="1"/>
  <c r="B1130" i="1"/>
  <c r="B1474" i="1"/>
  <c r="B1086" i="1"/>
  <c r="B553" i="1"/>
  <c r="B509" i="1"/>
  <c r="B191" i="1"/>
  <c r="B610" i="1"/>
  <c r="B54" i="1"/>
  <c r="B290" i="1"/>
  <c r="B894" i="1"/>
  <c r="B702" i="1"/>
  <c r="B565" i="1"/>
  <c r="B712" i="1"/>
  <c r="B544" i="1"/>
  <c r="B360" i="1"/>
  <c r="B613" i="1"/>
  <c r="B938" i="1"/>
  <c r="B1643" i="1"/>
  <c r="B646" i="1"/>
  <c r="B1375" i="1"/>
  <c r="B1374" i="1"/>
  <c r="B1160" i="1"/>
  <c r="B826" i="1"/>
  <c r="B1122" i="1"/>
  <c r="B584" i="1"/>
  <c r="B1371" i="1"/>
  <c r="B10" i="1"/>
  <c r="B1187" i="1"/>
  <c r="B815" i="1"/>
  <c r="B967" i="1"/>
  <c r="B1172" i="1"/>
  <c r="B701" i="1"/>
  <c r="B401" i="1"/>
  <c r="B16" i="1"/>
  <c r="B835" i="1"/>
  <c r="B957" i="1"/>
  <c r="B1198" i="1"/>
  <c r="B523" i="1"/>
  <c r="B914" i="1"/>
  <c r="B563" i="1"/>
  <c r="B367" i="1"/>
  <c r="B529" i="1"/>
  <c r="B1044" i="1"/>
  <c r="B1459" i="1"/>
  <c r="B517" i="1"/>
  <c r="B1498" i="1"/>
  <c r="B1445" i="1"/>
  <c r="B1170" i="1"/>
  <c r="B1419" i="1"/>
  <c r="B625" i="1"/>
  <c r="B169" i="1"/>
  <c r="B871" i="1"/>
  <c r="B964" i="1"/>
  <c r="B1426" i="1"/>
  <c r="B333" i="1"/>
  <c r="B219" i="1"/>
  <c r="B22" i="1"/>
  <c r="B1221" i="1"/>
  <c r="B432" i="1"/>
  <c r="B15" i="1"/>
  <c r="B827" i="1"/>
  <c r="B291" i="1"/>
  <c r="B1196" i="1"/>
  <c r="B753" i="1"/>
  <c r="B1706" i="1"/>
  <c r="B1247" i="1"/>
  <c r="B206" i="1"/>
  <c r="B492" i="1"/>
  <c r="B1201" i="1"/>
  <c r="B325" i="1"/>
  <c r="B1213" i="1"/>
  <c r="B21" i="1"/>
  <c r="B1230" i="1"/>
  <c r="B500" i="1"/>
  <c r="B1060" i="1"/>
  <c r="B1069" i="1"/>
  <c r="B1040" i="1"/>
  <c r="B629" i="1"/>
  <c r="B543" i="1"/>
  <c r="B696" i="1"/>
  <c r="B1038" i="1"/>
  <c r="B370" i="1"/>
  <c r="B180" i="1"/>
  <c r="B1670" i="1"/>
  <c r="B250" i="1"/>
  <c r="B929" i="1"/>
  <c r="B590" i="1"/>
  <c r="B1632" i="1"/>
  <c r="B184" i="1"/>
  <c r="B882" i="1"/>
  <c r="B1387" i="1"/>
  <c r="B926" i="1"/>
  <c r="B506" i="1"/>
  <c r="B403" i="1"/>
  <c r="B714" i="1"/>
  <c r="B1075" i="1"/>
  <c r="B155" i="1"/>
  <c r="B1317" i="1"/>
  <c r="B1036" i="1"/>
  <c r="B810" i="1"/>
  <c r="B1453" i="1"/>
  <c r="B1722" i="1"/>
  <c r="B966" i="1"/>
  <c r="B1244" i="1"/>
  <c r="B665" i="1"/>
  <c r="B879" i="1"/>
  <c r="B260" i="1"/>
  <c r="B910" i="1"/>
  <c r="B372" i="1"/>
  <c r="B1543" i="1"/>
  <c r="B1444" i="1"/>
  <c r="B705" i="1"/>
  <c r="B1138" i="1"/>
  <c r="B225" i="1"/>
  <c r="B777" i="1"/>
  <c r="B284" i="1"/>
  <c r="B1014" i="1"/>
  <c r="B1555" i="1"/>
  <c r="B501" i="1"/>
  <c r="B1715" i="1"/>
  <c r="B1197" i="1"/>
  <c r="B1002" i="1"/>
  <c r="B1456" i="1"/>
  <c r="B397" i="1"/>
  <c r="B418" i="1"/>
  <c r="B825" i="1"/>
  <c r="B296" i="1"/>
  <c r="B271" i="1"/>
  <c r="B1635" i="1"/>
  <c r="B693" i="1"/>
  <c r="B1458" i="1"/>
  <c r="B730" i="1"/>
  <c r="B489" i="1"/>
  <c r="B1177" i="1"/>
  <c r="B1546" i="1"/>
  <c r="B1361" i="1"/>
  <c r="B916" i="1"/>
  <c r="B547" i="1"/>
  <c r="B1298" i="1"/>
  <c r="B1342" i="1"/>
  <c r="B1049" i="1"/>
  <c r="B1388" i="1"/>
  <c r="B1339" i="1"/>
  <c r="B728" i="1"/>
  <c r="B558" i="1"/>
  <c r="B1011" i="1"/>
  <c r="B1191" i="1"/>
  <c r="B1381" i="1"/>
  <c r="B1192" i="1"/>
  <c r="B1156" i="1"/>
  <c r="B1517" i="1"/>
  <c r="B1062" i="1"/>
  <c r="B415" i="1"/>
  <c r="B1033" i="1"/>
  <c r="B462" i="1"/>
  <c r="B1538" i="1"/>
  <c r="B1067" i="1"/>
  <c r="B742" i="1"/>
  <c r="B1163" i="1"/>
  <c r="B531" i="1"/>
  <c r="B888" i="1"/>
  <c r="B86" i="1"/>
  <c r="B33" i="1"/>
  <c r="B1029" i="1"/>
  <c r="B76" i="1"/>
  <c r="B341" i="1"/>
  <c r="B1490" i="1"/>
  <c r="B883" i="1"/>
  <c r="B552" i="1"/>
  <c r="B1028" i="1"/>
  <c r="B1016" i="1"/>
  <c r="B984" i="1"/>
  <c r="B997" i="1"/>
  <c r="B784" i="1"/>
  <c r="B1188" i="1"/>
  <c r="B443" i="1"/>
  <c r="B1004" i="1"/>
  <c r="B1397" i="1"/>
  <c r="B1448" i="1"/>
  <c r="B828" i="1"/>
  <c r="B1343" i="1"/>
  <c r="B79" i="1"/>
  <c r="B101" i="1"/>
  <c r="B769" i="1"/>
  <c r="B1447" i="1"/>
  <c r="B502" i="1"/>
  <c r="B1127" i="1"/>
  <c r="B1301" i="1"/>
  <c r="B60" i="1"/>
  <c r="B1652" i="1"/>
  <c r="B733" i="1"/>
  <c r="B398" i="1"/>
  <c r="B1183" i="1"/>
  <c r="B399" i="1"/>
  <c r="B1612" i="1"/>
  <c r="B1073" i="1"/>
  <c r="B1695" i="1"/>
  <c r="B1274" i="1"/>
  <c r="B400" i="1"/>
  <c r="B1529" i="1"/>
  <c r="B1165" i="1"/>
  <c r="B955" i="1"/>
  <c r="B715" i="1"/>
  <c r="B38" i="1"/>
  <c r="B1166" i="1"/>
  <c r="B1629" i="1"/>
  <c r="B1199" i="1"/>
  <c r="B1275" i="1"/>
  <c r="B934" i="1"/>
  <c r="B1167" i="1"/>
  <c r="B1626" i="1"/>
  <c r="B731" i="1"/>
  <c r="B617" i="1"/>
  <c r="B1403" i="1"/>
  <c r="B420" i="1"/>
  <c r="B564" i="1"/>
  <c r="B645" i="1"/>
  <c r="B1623" i="1"/>
  <c r="B567" i="1"/>
  <c r="B80" i="1"/>
  <c r="B503" i="1"/>
  <c r="B340" i="1"/>
  <c r="B953" i="1"/>
  <c r="B378" i="1"/>
  <c r="B1357" i="1"/>
  <c r="B538" i="1"/>
  <c r="B406" i="1"/>
  <c r="B637" i="1"/>
  <c r="B1373" i="1"/>
  <c r="B1519" i="1"/>
  <c r="B482" i="1"/>
  <c r="B1364" i="1"/>
  <c r="B736" i="1"/>
  <c r="B994" i="1"/>
  <c r="B1530" i="1"/>
  <c r="B1048" i="1"/>
  <c r="B1020" i="1"/>
  <c r="B1019" i="1"/>
  <c r="B992" i="1"/>
  <c r="B1391" i="1"/>
  <c r="B1562" i="1"/>
  <c r="B1180" i="1"/>
  <c r="B1195" i="1"/>
  <c r="B1358" i="1"/>
  <c r="B1240" i="1"/>
  <c r="B314" i="1"/>
  <c r="B1574" i="1"/>
  <c r="B1241" i="1"/>
  <c r="B699" i="1"/>
  <c r="B118" i="1"/>
  <c r="B1563" i="1"/>
  <c r="B319" i="1"/>
  <c r="B692" i="1"/>
  <c r="B690" i="1"/>
  <c r="B342" i="1"/>
  <c r="B831" i="1"/>
  <c r="B337" i="1"/>
  <c r="B115" i="1"/>
  <c r="B140" i="1"/>
  <c r="B1194" i="1"/>
  <c r="B775" i="1"/>
  <c r="B1420" i="1"/>
  <c r="B138" i="1"/>
  <c r="B82" i="1"/>
  <c r="B990" i="1"/>
  <c r="B691" i="1"/>
  <c r="B162" i="1"/>
  <c r="B74" i="1"/>
  <c r="B675" i="1"/>
  <c r="B1716" i="1"/>
  <c r="B75" i="1"/>
  <c r="B328" i="1"/>
  <c r="B1662" i="1"/>
  <c r="B67" i="1"/>
  <c r="B172" i="1"/>
  <c r="B1552" i="1"/>
  <c r="B156" i="1"/>
  <c r="B932" i="1"/>
  <c r="B1684" i="1"/>
  <c r="B1690" i="1"/>
  <c r="B1505" i="1"/>
  <c r="B182" i="1"/>
  <c r="B1137" i="1"/>
  <c r="B1088" i="1"/>
  <c r="B478" i="1"/>
  <c r="B1338" i="1"/>
  <c r="B193" i="1"/>
  <c r="B561" i="1"/>
  <c r="B153" i="1"/>
  <c r="B236" i="1"/>
  <c r="B329" i="1"/>
  <c r="B524" i="1"/>
  <c r="B780" i="1"/>
  <c r="B261" i="1"/>
  <c r="B1466" i="1"/>
  <c r="B698" i="1"/>
  <c r="B1671" i="1"/>
  <c r="B1669" i="1"/>
  <c r="B880" i="1"/>
  <c r="B1061" i="1"/>
  <c r="B1193" i="1"/>
  <c r="B1526" i="1"/>
  <c r="B210" i="1"/>
  <c r="B972" i="1"/>
  <c r="B1672" i="1"/>
  <c r="B1548" i="1"/>
  <c r="B1306" i="1"/>
  <c r="B232" i="1"/>
  <c r="B447" i="1"/>
  <c r="B1226" i="1"/>
  <c r="B545" i="1"/>
  <c r="B2" i="1"/>
  <c r="B580" i="1"/>
  <c r="B404" i="1"/>
  <c r="B1232" i="1"/>
  <c r="B995" i="1"/>
  <c r="B278" i="1"/>
  <c r="B858" i="1"/>
  <c r="B139" i="1"/>
  <c r="B1356" i="1"/>
  <c r="B1185" i="1"/>
  <c r="B299" i="1"/>
  <c r="B368" i="1"/>
  <c r="B1697" i="1"/>
  <c r="B1319" i="1"/>
  <c r="B847" i="1"/>
  <c r="B89" i="1"/>
  <c r="B1288" i="1"/>
  <c r="B1212" i="1"/>
  <c r="B1110" i="1"/>
  <c r="B1280" i="1"/>
  <c r="B334" i="1"/>
  <c r="B1332" i="1"/>
  <c r="B1084" i="1"/>
  <c r="B1279" i="1"/>
  <c r="B135" i="1"/>
  <c r="B1334" i="1"/>
  <c r="B568" i="1"/>
  <c r="B1321" i="1"/>
  <c r="B1479" i="1"/>
  <c r="B695" i="1"/>
  <c r="B734" i="1"/>
  <c r="B46" i="1"/>
  <c r="B1189" i="1"/>
  <c r="B1640" i="1"/>
  <c r="B1173" i="1"/>
  <c r="B1341" i="1"/>
  <c r="B1592" i="1"/>
  <c r="B228" i="1"/>
  <c r="B233" i="1"/>
  <c r="B1572" i="1"/>
  <c r="B247" i="1"/>
  <c r="B275" i="1"/>
  <c r="B19" i="1"/>
  <c r="B551" i="1"/>
  <c r="B93" i="1"/>
  <c r="B945" i="1"/>
  <c r="B704" i="1"/>
  <c r="B1178" i="1"/>
  <c r="B848" i="1"/>
  <c r="B164" i="1"/>
  <c r="B811" i="1"/>
  <c r="B536" i="1"/>
  <c r="B1553" i="1"/>
  <c r="B1648" i="1"/>
  <c r="B1504" i="1"/>
  <c r="B213" i="1"/>
  <c r="B817" i="1"/>
  <c r="B596" i="1"/>
  <c r="B1473" i="1"/>
  <c r="B1654" i="1"/>
  <c r="B192" i="1"/>
  <c r="B1726" i="1"/>
  <c r="B41" i="1"/>
  <c r="B1727" i="1"/>
  <c r="B1707" i="1"/>
  <c r="B1527" i="1"/>
  <c r="B1251" i="1"/>
  <c r="B1694" i="1"/>
  <c r="B973" i="1"/>
  <c r="B915" i="1"/>
  <c r="B216" i="1"/>
  <c r="B37" i="1"/>
  <c r="B263" i="1"/>
  <c r="B621" i="1"/>
  <c r="B542" i="1"/>
  <c r="B1484" i="1"/>
  <c r="B48" i="1"/>
  <c r="B1544" i="1"/>
  <c r="B1105" i="1"/>
  <c r="B1528" i="1"/>
  <c r="B202" i="1"/>
  <c r="B1335" i="1"/>
  <c r="B1617" i="1"/>
  <c r="B1243" i="1"/>
  <c r="B1704" i="1"/>
  <c r="B1155" i="1"/>
  <c r="B198" i="1"/>
  <c r="B756" i="1"/>
  <c r="B1158" i="1"/>
  <c r="B179" i="1"/>
  <c r="B1708" i="1"/>
  <c r="B946" i="1"/>
  <c r="B1488" i="1"/>
  <c r="B414" i="1"/>
  <c r="B676" i="1"/>
  <c r="B43" i="1"/>
  <c r="B842" i="1"/>
  <c r="B641" i="1"/>
  <c r="B160" i="1"/>
  <c r="B411" i="1"/>
  <c r="B168" i="1"/>
  <c r="B1346" i="1"/>
  <c r="B1179" i="1"/>
  <c r="B991" i="1"/>
  <c r="B1491" i="1"/>
  <c r="B1578" i="1"/>
  <c r="B1549" i="1"/>
  <c r="B822" i="1"/>
  <c r="B347" i="1"/>
  <c r="B1687" i="1"/>
  <c r="B1119" i="1"/>
  <c r="B109" i="1"/>
  <c r="B343" i="1"/>
  <c r="B425" i="1"/>
  <c r="B560" i="1"/>
  <c r="B1310" i="1"/>
  <c r="B794" i="1"/>
  <c r="B1564" i="1"/>
  <c r="B685" i="1"/>
  <c r="B678" i="1"/>
  <c r="B1059" i="1"/>
  <c r="B1657" i="1"/>
  <c r="B1072" i="1"/>
  <c r="B884" i="1"/>
  <c r="B171" i="1"/>
  <c r="B1389" i="1"/>
  <c r="B767" i="1"/>
  <c r="B739" i="1"/>
  <c r="B105" i="1"/>
  <c r="B859" i="1"/>
  <c r="B1411" i="1"/>
  <c r="B1424" i="1"/>
  <c r="B321" i="1"/>
  <c r="B1326" i="1"/>
  <c r="B1104" i="1"/>
  <c r="B1277" i="1"/>
  <c r="B1313" i="1"/>
  <c r="B1051" i="1"/>
  <c r="B300" i="1"/>
  <c r="B298" i="1"/>
  <c r="B768" i="1"/>
  <c r="B921" i="1"/>
  <c r="B761" i="1"/>
  <c r="B941" i="1"/>
  <c r="B1312" i="1"/>
  <c r="B622" i="1"/>
  <c r="B1296" i="1"/>
  <c r="B326" i="1"/>
  <c r="B1380" i="1"/>
  <c r="B1653" i="1"/>
  <c r="B1405" i="1"/>
  <c r="B158" i="1"/>
  <c r="B983" i="1"/>
  <c r="B374" i="1"/>
  <c r="B194" i="1"/>
  <c r="B1586" i="1"/>
  <c r="B511" i="1"/>
  <c r="B199" i="1"/>
  <c r="B392" i="1"/>
  <c r="B442" i="1"/>
  <c r="B195" i="1"/>
  <c r="B1331" i="1"/>
  <c r="B981" i="1"/>
  <c r="B152" i="1"/>
  <c r="B1431" i="1"/>
  <c r="B982" i="1"/>
  <c r="B1400" i="1"/>
  <c r="B132" i="1"/>
  <c r="B97" i="1"/>
  <c r="B287" i="1"/>
  <c r="B1507" i="1"/>
  <c r="B1102" i="1"/>
  <c r="B147" i="1"/>
  <c r="B85" i="1"/>
  <c r="B856" i="1"/>
  <c r="B36" i="1"/>
  <c r="B846" i="1"/>
  <c r="B1320" i="1"/>
  <c r="B1680" i="1"/>
  <c r="B951" i="1"/>
  <c r="B1542" i="1"/>
  <c r="B516" i="1"/>
  <c r="B1717" i="1"/>
  <c r="B470" i="1"/>
  <c r="B483" i="1"/>
  <c r="B1254" i="1"/>
  <c r="B1253" i="1"/>
  <c r="B268" i="1"/>
  <c r="B512" i="1"/>
  <c r="B167" i="1"/>
  <c r="B1273" i="1"/>
  <c r="B766" i="1"/>
  <c r="B1560" i="1"/>
  <c r="B461" i="1"/>
  <c r="B458" i="1"/>
  <c r="B716" i="1"/>
  <c r="B471" i="1"/>
  <c r="B455" i="1"/>
  <c r="B1501" i="1"/>
  <c r="B1569" i="1"/>
  <c r="B1379" i="1"/>
  <c r="B456" i="1"/>
  <c r="B1567" i="1"/>
  <c r="B122" i="1"/>
  <c r="B818" i="1"/>
  <c r="B1376" i="1"/>
  <c r="B1725" i="1"/>
  <c r="B1053" i="1"/>
  <c r="B793" i="1"/>
  <c r="B144" i="1"/>
  <c r="B1675" i="1"/>
  <c r="B677" i="1"/>
  <c r="B683" i="1"/>
  <c r="B441" i="1"/>
  <c r="B513" i="1"/>
  <c r="B146" i="1"/>
  <c r="B353" i="1"/>
  <c r="B1642" i="1"/>
  <c r="B491" i="1"/>
  <c r="B1482" i="1"/>
  <c r="B433" i="1"/>
  <c r="B1496" i="1"/>
  <c r="B355" i="1"/>
  <c r="B4" i="1"/>
  <c r="B1157" i="1"/>
  <c r="B1568" i="1"/>
  <c r="B25" i="1"/>
  <c r="B1047" i="1"/>
  <c r="B114" i="1"/>
  <c r="B68" i="1"/>
  <c r="B1468" i="1"/>
  <c r="B350" i="1"/>
  <c r="B931" i="1"/>
  <c r="B1415" i="1"/>
  <c r="B1360" i="1"/>
  <c r="B1493" i="1"/>
  <c r="B1083" i="1"/>
  <c r="B55" i="1"/>
  <c r="B573" i="1"/>
  <c r="B781" i="1"/>
  <c r="B1663" i="1"/>
  <c r="B12" i="1"/>
  <c r="B151" i="1"/>
  <c r="B747" i="1"/>
  <c r="B1537" i="1"/>
  <c r="B1621" i="1"/>
  <c r="B437" i="1"/>
  <c r="B1362" i="1"/>
  <c r="B703" i="1"/>
  <c r="B1046" i="1"/>
  <c r="B1606" i="1"/>
  <c r="B627" i="1"/>
  <c r="B1607" i="1"/>
  <c r="B1576" i="1"/>
  <c r="B711" i="1"/>
  <c r="B439" i="1"/>
  <c r="B257" i="1"/>
  <c r="B787" i="1"/>
  <c r="B877" i="1"/>
  <c r="B1636" i="1"/>
  <c r="B1399" i="1"/>
  <c r="B379" i="1"/>
  <c r="B673" i="1"/>
  <c r="B1627" i="1"/>
  <c r="B276" i="1"/>
  <c r="B149" i="1"/>
  <c r="B634" i="1"/>
  <c r="B465" i="1"/>
  <c r="B624" i="1"/>
  <c r="B782" i="1"/>
  <c r="B134" i="1"/>
  <c r="B445" i="1"/>
  <c r="B706" i="1"/>
  <c r="B1446" i="1"/>
  <c r="B697" i="1"/>
  <c r="B1524" i="1"/>
  <c r="B279" i="1"/>
  <c r="B772" i="1"/>
  <c r="B1698" i="1"/>
  <c r="B364" i="1"/>
  <c r="B1565" i="1"/>
  <c r="B1573" i="1"/>
  <c r="B632" i="1"/>
  <c r="B1418" i="1"/>
  <c r="B633" i="1"/>
  <c r="B796" i="1"/>
  <c r="B1610" i="1"/>
  <c r="B490" i="1"/>
  <c r="B956" i="1"/>
  <c r="B66" i="1"/>
  <c r="B1432" i="1"/>
  <c r="B1329" i="1"/>
  <c r="B944" i="1"/>
  <c r="B1096" i="1"/>
  <c r="B1392" i="1"/>
  <c r="B1315" i="1"/>
  <c r="B1481" i="1"/>
  <c r="B708" i="1"/>
  <c r="B130" i="1"/>
  <c r="B947" i="1"/>
  <c r="B943" i="1"/>
  <c r="B626" i="1"/>
  <c r="B1063" i="1"/>
  <c r="B1435" i="1"/>
  <c r="B1604" i="1"/>
  <c r="B791" i="1"/>
  <c r="B799" i="1"/>
  <c r="B1438" i="1"/>
  <c r="B1099" i="1"/>
  <c r="B1114" i="1"/>
  <c r="B302" i="1"/>
  <c r="B51" i="1"/>
  <c r="B533" i="1"/>
  <c r="B1281" i="1"/>
  <c r="B608" i="1"/>
  <c r="B971" i="1"/>
  <c r="B1025" i="1"/>
  <c r="B339" i="1"/>
  <c r="B335" i="1"/>
  <c r="B867" i="1"/>
  <c r="B1276" i="1"/>
  <c r="B249" i="1"/>
  <c r="B113" i="1"/>
  <c r="B970" i="1"/>
  <c r="B548" i="1"/>
  <c r="B1005" i="1"/>
  <c r="B1034" i="1"/>
  <c r="B1113" i="1"/>
  <c r="B1370" i="1"/>
  <c r="B384" i="1"/>
  <c r="B157" i="1"/>
  <c r="B208" i="1"/>
  <c r="B1092" i="1"/>
  <c r="B163" i="1"/>
  <c r="B218" i="1"/>
  <c r="B100" i="1"/>
  <c r="B1372" i="1"/>
  <c r="B1674" i="1"/>
  <c r="B42" i="1"/>
  <c r="B1709" i="1"/>
  <c r="B600" i="1"/>
  <c r="B918" i="1"/>
  <c r="B369" i="1"/>
  <c r="B872" i="1"/>
  <c r="B1713" i="1"/>
  <c r="B1055" i="1"/>
  <c r="B178" i="1"/>
  <c r="B1478" i="1"/>
  <c r="B919" i="1"/>
  <c r="B1050" i="1"/>
  <c r="B1037" i="1"/>
  <c r="B1041" i="1"/>
  <c r="B47" i="1"/>
  <c r="B515" i="1"/>
  <c r="B1017" i="1"/>
  <c r="B499" i="1"/>
  <c r="B808" i="1"/>
  <c r="B1377" i="1"/>
  <c r="B521" i="1"/>
  <c r="B1472" i="1"/>
  <c r="B581" i="1"/>
  <c r="B1714" i="1"/>
  <c r="B1089" i="1"/>
  <c r="B1723" i="1"/>
  <c r="B1693" i="1"/>
  <c r="B557" i="1"/>
  <c r="B807" i="1"/>
  <c r="B672" i="1"/>
  <c r="B45" i="1"/>
  <c r="B1042" i="1"/>
  <c r="B315" i="1"/>
  <c r="B1712" i="1"/>
  <c r="B1477" i="1"/>
  <c r="B496" i="1"/>
  <c r="B679" i="1"/>
  <c r="B1109" i="1"/>
  <c r="B805" i="1"/>
  <c r="B1701" i="1"/>
  <c r="B245" i="1"/>
  <c r="B324" i="1"/>
  <c r="B660" i="1"/>
  <c r="B1009" i="1"/>
  <c r="B644" i="1"/>
  <c r="B786" i="1"/>
  <c r="B434" i="1"/>
  <c r="B365" i="1"/>
  <c r="B331" i="1"/>
  <c r="B293" i="1"/>
  <c r="B338" i="1"/>
  <c r="B363" i="1"/>
  <c r="B143" i="1"/>
  <c r="B903" i="1"/>
  <c r="B707" i="1"/>
  <c r="B640" i="1"/>
  <c r="B148" i="1"/>
  <c r="B1656" i="1"/>
  <c r="B681" i="1"/>
  <c r="B1149" i="1"/>
  <c r="B896" i="1"/>
  <c r="B912" i="1"/>
  <c r="B850" i="1"/>
  <c r="B469" i="1"/>
  <c r="B1613" i="1"/>
  <c r="B1625" i="1"/>
  <c r="B203" i="1"/>
  <c r="B1539" i="1"/>
  <c r="B653" i="1"/>
  <c r="B852" i="1"/>
  <c r="B727" i="1"/>
  <c r="B833" i="1"/>
  <c r="B3" i="1"/>
  <c r="B137" i="1"/>
  <c r="B408" i="1"/>
  <c r="B361" i="1"/>
  <c r="B684" i="1"/>
  <c r="B1123" i="1"/>
  <c r="B555" i="1"/>
  <c r="B476" i="1"/>
  <c r="B1531" i="1"/>
  <c r="B652" i="1"/>
  <c r="B680" i="1"/>
  <c r="B28" i="1"/>
  <c r="B1597" i="1"/>
  <c r="B1132" i="1"/>
  <c r="B1064" i="1"/>
  <c r="B623" i="1"/>
  <c r="B1150" i="1"/>
  <c r="B1369" i="1"/>
  <c r="B585" i="1"/>
  <c r="B133" i="1"/>
  <c r="B663" i="1"/>
  <c r="B1541" i="1"/>
  <c r="B1035" i="1"/>
  <c r="B1144" i="1"/>
  <c r="B1421" i="1"/>
  <c r="B1065" i="1"/>
  <c r="B1174" i="1"/>
  <c r="B927" i="1"/>
  <c r="B1077" i="1"/>
  <c r="B1587" i="1"/>
  <c r="B1078" i="1"/>
  <c r="B1176" i="1"/>
  <c r="B52" i="1"/>
  <c r="B1590" i="1"/>
  <c r="B1506" i="1"/>
  <c r="B892" i="1"/>
  <c r="B1186" i="1"/>
  <c r="B362" i="1"/>
  <c r="B303" i="1"/>
  <c r="B1595" i="1"/>
  <c r="B24" i="1"/>
  <c r="B1594" i="1"/>
  <c r="B1129" i="1"/>
  <c r="B1465" i="1"/>
  <c r="B1396" i="1"/>
  <c r="B317" i="1"/>
  <c r="B141" i="1"/>
  <c r="B1600" i="1"/>
  <c r="B1007" i="1"/>
  <c r="B604" i="1"/>
  <c r="B923" i="1"/>
  <c r="B177" i="1"/>
  <c r="B674" i="1"/>
  <c r="B1263" i="1"/>
  <c r="B154" i="1"/>
  <c r="B150" i="1"/>
  <c r="B58" i="1"/>
  <c r="B211" i="1"/>
  <c r="B906" i="1"/>
  <c r="B65" i="1"/>
  <c r="B589" i="1"/>
  <c r="B1056" i="1"/>
  <c r="B1499" i="1"/>
  <c r="B1057" i="1"/>
  <c r="B740" i="1"/>
  <c r="B999" i="1"/>
  <c r="B1437" i="1"/>
  <c r="B307" i="1"/>
  <c r="B1268" i="1"/>
  <c r="B1290" i="1"/>
  <c r="B1071" i="1"/>
  <c r="B280" i="1"/>
  <c r="B755" i="1"/>
  <c r="B304" i="1"/>
  <c r="B1058" i="1"/>
  <c r="B1184" i="1"/>
  <c r="B550" i="1"/>
  <c r="B344" i="1"/>
  <c r="B18" i="1"/>
  <c r="B1584" i="1"/>
  <c r="B310" i="1"/>
  <c r="B878" i="1"/>
  <c r="B460" i="1"/>
  <c r="B1699" i="1"/>
  <c r="B605" i="1"/>
  <c r="B345" i="1"/>
  <c r="B898" i="1"/>
  <c r="B239" i="1"/>
  <c r="B1052" i="1"/>
  <c r="B779" i="1"/>
  <c r="B1451" i="1"/>
  <c r="B1500" i="1"/>
  <c r="B1265" i="1"/>
  <c r="B659" i="1"/>
  <c r="B136" i="1"/>
  <c r="B554" i="1"/>
  <c r="B1628" i="1"/>
  <c r="B1168" i="1"/>
  <c r="B1000" i="1"/>
  <c r="B643" i="1"/>
  <c r="B1325" i="1"/>
  <c r="B575" i="1"/>
  <c r="B1018" i="1"/>
  <c r="B1633" i="1"/>
  <c r="B373" i="1"/>
  <c r="B1270" i="1"/>
  <c r="B327" i="1"/>
  <c r="B1015" i="1"/>
  <c r="B1449" i="1"/>
  <c r="B1395" i="1"/>
  <c r="B196" i="1"/>
  <c r="B1103" i="1"/>
  <c r="B312" i="1"/>
  <c r="B166" i="1"/>
  <c r="B1108" i="1"/>
  <c r="B348" i="1"/>
  <c r="B282" i="1"/>
  <c r="B377" i="1"/>
  <c r="B165" i="1"/>
  <c r="B917" i="1"/>
  <c r="B356" i="1"/>
  <c r="B264" i="1"/>
  <c r="B1609" i="1"/>
  <c r="B357" i="1"/>
  <c r="B1328" i="1"/>
  <c r="B718" i="1"/>
  <c r="B485" i="1"/>
  <c r="B720" i="1"/>
  <c r="B201" i="1"/>
  <c r="B229" i="1"/>
  <c r="B237" i="1"/>
  <c r="B843" i="1"/>
  <c r="B861" i="1"/>
  <c r="B1027" i="1"/>
  <c r="B1146" i="1"/>
  <c r="B226" i="1"/>
  <c r="B574" i="1"/>
  <c r="B1164" i="1"/>
  <c r="B606" i="1"/>
  <c r="B1074" i="1"/>
  <c r="B985" i="1"/>
  <c r="B587" i="1"/>
  <c r="B170" i="1"/>
  <c r="B773" i="1"/>
  <c r="B27" i="1"/>
  <c r="B305" i="1"/>
  <c r="B311" i="1"/>
  <c r="B1327" i="1"/>
  <c r="B197" i="1"/>
  <c r="B200" i="1"/>
  <c r="B631" i="1"/>
  <c r="B1262" i="1"/>
  <c r="B352" i="1"/>
  <c r="B1593" i="1"/>
  <c r="B1032" i="1"/>
  <c r="B457" i="1"/>
  <c r="B283" i="1"/>
  <c r="B1551" i="1"/>
  <c r="B217" i="1"/>
  <c r="B1383" i="1"/>
  <c r="B354" i="1"/>
  <c r="B504" i="1"/>
  <c r="B860" i="1"/>
  <c r="B530" i="1"/>
  <c r="B273" i="1"/>
  <c r="B1602" i="1"/>
  <c r="B1423" i="1"/>
  <c r="B1006" i="1"/>
  <c r="B532" i="1"/>
  <c r="B1521" i="1"/>
  <c r="B1378" i="1"/>
  <c r="B1336" i="1"/>
  <c r="B1147" i="1"/>
  <c r="B721" i="1"/>
  <c r="B1175" i="1"/>
  <c r="B893" i="1"/>
  <c r="B472" i="1"/>
  <c r="B952" i="1"/>
  <c r="B454" i="1"/>
  <c r="B1495" i="1"/>
  <c r="B297" i="1"/>
  <c r="B844" i="1"/>
  <c r="B1001" i="1"/>
  <c r="B56" i="1"/>
  <c r="B1658" i="1"/>
  <c r="B1394" i="1"/>
  <c r="B1151" i="1"/>
  <c r="B1068" i="1"/>
  <c r="B1622" i="1"/>
  <c r="B1596" i="1"/>
  <c r="B104" i="1"/>
  <c r="B349" i="1"/>
  <c r="B91" i="1"/>
  <c r="B142" i="1"/>
  <c r="B301" i="1"/>
  <c r="B635" i="1"/>
  <c r="B269" i="1"/>
  <c r="B1235" i="1"/>
  <c r="B40" i="1"/>
  <c r="B1272" i="1"/>
  <c r="B1318" i="1"/>
  <c r="B1443" i="1"/>
  <c r="B1031" i="1"/>
  <c r="B616" i="1"/>
  <c r="B1427" i="1"/>
  <c r="B619" i="1"/>
  <c r="B440" i="1"/>
  <c r="B836" i="1"/>
  <c r="B1039" i="1"/>
  <c r="B1616" i="1"/>
  <c r="B26" i="1"/>
  <c r="B1545" i="1"/>
  <c r="B829" i="1"/>
  <c r="B993" i="1"/>
  <c r="B1242" i="1"/>
  <c r="B582" i="1"/>
  <c r="B49" i="1"/>
  <c r="B1661" i="1"/>
  <c r="B50" i="1"/>
  <c r="B556" i="1"/>
  <c r="B468" i="1"/>
  <c r="B63" i="1"/>
  <c r="B1401" i="1"/>
  <c r="B1314" i="1"/>
  <c r="B1724" i="1"/>
  <c r="B1442" i="1"/>
  <c r="B788" i="1"/>
  <c r="B669" i="1"/>
  <c r="B800" i="1"/>
  <c r="B44" i="1"/>
  <c r="B783" i="1"/>
  <c r="B1030" i="1"/>
  <c r="B1070" i="1"/>
  <c r="B1311" i="1"/>
  <c r="B1535" i="1"/>
  <c r="B62" i="1"/>
  <c r="B1533" i="1"/>
  <c r="B1532" i="1"/>
  <c r="B474" i="1"/>
  <c r="B73" i="1"/>
  <c r="B559" i="1"/>
  <c r="B464" i="1"/>
  <c r="B998" i="1"/>
  <c r="B438" i="1"/>
  <c r="B1430" i="1"/>
  <c r="B1408" i="1"/>
  <c r="B670" i="1"/>
  <c r="B792" i="1"/>
  <c r="B830" i="1"/>
  <c r="B620" i="1"/>
  <c r="B649" i="1"/>
  <c r="B1414" i="1"/>
  <c r="B11" i="1"/>
  <c r="B61" i="1"/>
  <c r="B1140" i="1"/>
  <c r="B267" i="1"/>
  <c r="B1429" i="1"/>
  <c r="B1413" i="1"/>
  <c r="B77" i="1"/>
  <c r="B204" i="1"/>
  <c r="B32" i="1"/>
  <c r="B1330" i="1"/>
  <c r="B1598" i="1"/>
  <c r="B1386" i="1"/>
  <c r="B1239" i="1"/>
  <c r="B1261" i="1"/>
  <c r="B1246" i="1"/>
  <c r="B1291" i="1"/>
  <c r="B607" i="1"/>
  <c r="B1066" i="1"/>
  <c r="B1269" i="1"/>
  <c r="B1509" i="1"/>
  <c r="B346" i="1"/>
  <c r="B832" i="1"/>
  <c r="B1561" i="1"/>
  <c r="B281" i="1"/>
  <c r="B776" i="1"/>
  <c r="B1514" i="1"/>
  <c r="B1043" i="1"/>
  <c r="D32" i="10" l="1"/>
  <c r="C32" i="10"/>
  <c r="B32" i="10"/>
  <c r="A32" i="10"/>
</calcChain>
</file>

<file path=xl/sharedStrings.xml><?xml version="1.0" encoding="utf-8"?>
<sst xmlns="http://schemas.openxmlformats.org/spreadsheetml/2006/main" count="42154" uniqueCount="9733">
  <si>
    <t xml:space="preserve">Gender Reporting </t>
  </si>
  <si>
    <t>Count of Name</t>
  </si>
  <si>
    <t>Reporting Status</t>
  </si>
  <si>
    <t>Gender</t>
  </si>
  <si>
    <t>PG</t>
  </si>
  <si>
    <t>Home</t>
  </si>
  <si>
    <t>Grand Total</t>
  </si>
  <si>
    <t>Female</t>
  </si>
  <si>
    <t>Male</t>
  </si>
  <si>
    <t>Nodal Point Table</t>
  </si>
  <si>
    <t>Relatives Located in chennai table</t>
  </si>
  <si>
    <t>Floor wise Table</t>
  </si>
  <si>
    <t>Grouping</t>
  </si>
  <si>
    <t xml:space="preserve"> Relatives in Chennai </t>
  </si>
  <si>
    <t>Floor</t>
  </si>
  <si>
    <t>Kelambakkam</t>
  </si>
  <si>
    <t>No</t>
  </si>
  <si>
    <t>Sholinganallur</t>
  </si>
  <si>
    <t>Yes</t>
  </si>
  <si>
    <t>Siruseri</t>
  </si>
  <si>
    <t>Vandalur</t>
  </si>
  <si>
    <t>Velachery</t>
  </si>
  <si>
    <t>Reporting from Table</t>
  </si>
  <si>
    <t>Reporting from</t>
  </si>
  <si>
    <t>Hostel</t>
  </si>
  <si>
    <t>Permanent Residence (House/Home)</t>
  </si>
  <si>
    <t>PG (Paying Guest)</t>
  </si>
  <si>
    <t>Rented House/Apartment</t>
  </si>
  <si>
    <t>Relatives Residence</t>
  </si>
  <si>
    <t>Projection Candidates count until Dec-26</t>
  </si>
  <si>
    <t>Sep 2026</t>
  </si>
  <si>
    <t>Oct 2026</t>
  </si>
  <si>
    <t>Nov 2026</t>
  </si>
  <si>
    <t>Dec 2026</t>
  </si>
  <si>
    <t>GF</t>
  </si>
  <si>
    <t>Zone</t>
  </si>
  <si>
    <t>Amber</t>
  </si>
  <si>
    <t>Red</t>
  </si>
  <si>
    <t>N/A</t>
  </si>
  <si>
    <t>Release Month</t>
  </si>
  <si>
    <t>Sep 2026 Total</t>
  </si>
  <si>
    <t>Oct 2026 Total</t>
  </si>
  <si>
    <t>Nov 2026 Total</t>
  </si>
  <si>
    <t>Dec 2026 Total</t>
  </si>
  <si>
    <t>Total</t>
  </si>
  <si>
    <t>Percentage</t>
  </si>
  <si>
    <t>Nodal Point</t>
  </si>
  <si>
    <t>Count</t>
  </si>
  <si>
    <t>Zone/Release month</t>
  </si>
  <si>
    <t>NA</t>
  </si>
  <si>
    <t>`</t>
  </si>
  <si>
    <t>Associate Id</t>
  </si>
  <si>
    <t>Name</t>
  </si>
  <si>
    <t>DOJ</t>
  </si>
  <si>
    <t>Joiners Type</t>
  </si>
  <si>
    <t>Joining Location</t>
  </si>
  <si>
    <t>Cohort Code</t>
  </si>
  <si>
    <t>Coach Name</t>
  </si>
  <si>
    <t>Revised End date</t>
  </si>
  <si>
    <t>Final Status</t>
  </si>
  <si>
    <t>PG Name</t>
  </si>
  <si>
    <t>Nearby location to board if in case any Emergency:</t>
  </si>
  <si>
    <t>Central</t>
  </si>
  <si>
    <t>Thambaram</t>
  </si>
  <si>
    <t xml:space="preserve">Thiruvanmiyur </t>
  </si>
  <si>
    <t>Cenrtal</t>
  </si>
  <si>
    <t>Koyambedu</t>
  </si>
  <si>
    <t>Shi</t>
  </si>
  <si>
    <t>ID2</t>
  </si>
  <si>
    <t xml:space="preserve">Full Name (As per ID Card)
Collected to accurately identify and contact associates during emergency situations and business continuity events.
</t>
  </si>
  <si>
    <t xml:space="preserve">Your Mobile Number
Collected to facilitate timely communication and coordination during emergencies, safety incidents, or business continuity events.
</t>
  </si>
  <si>
    <t xml:space="preserve">Emergency Contact Mobile Number (Other than yours)
Collected to enable communication with your designated emergency contact if you are unreachable during an emergency situation.
</t>
  </si>
  <si>
    <t>Relationship with Emergency Contact You Have Shared
Collected to understand your relationship with the emergency contact provided and facilitate appropriate communication during emergency situati...</t>
  </si>
  <si>
    <t>Primary Mode of Transport for Daily Commute to Office / Training Location
Collected to understand commuting arrangements and support transportation-related contingency planning during emergency s...</t>
  </si>
  <si>
    <t>Current Accommodation Type
Collected to understand your current living arrangement and support emergency preparedness and business continuity planning.</t>
  </si>
  <si>
    <t>Residence / Accommodation Name 
Collected to accurately identify your current place of residence and facilitate location-based support during emergencies.
Example: Pasanga Paradise PG - Branch 1...</t>
  </si>
  <si>
    <t>Current Staying Address
Collected to identify your current location and support emergency communication, safety measures, and business continuity response activities. 
Example: Pasanga Paradise ...</t>
  </si>
  <si>
    <t>Floor Number / Level
Collected to help identify your exact location within the residence and support emergency response and evacuation planning when required.
Examples: Ground Floor, 1st Floor,...</t>
  </si>
  <si>
    <t xml:space="preserve">Nearest Emergency Pickup / Nodal Point
Collected to identify the nearest assembly or pickup location that may be used for emergency communication, transportation, and response activities.
</t>
  </si>
  <si>
    <t>Do you have any relatives, friends, or guardians residing in Chennai who can provide temporary accommodation during emergency situations?
Collected to assess the availability of local support and...</t>
  </si>
  <si>
    <t>Comments (If Any)
Please provide any additional information that may be relevant for emergency preparedness, associate safety, or business continuity planning.</t>
  </si>
  <si>
    <t>Dharanakumar V</t>
  </si>
  <si>
    <t>9500093765</t>
  </si>
  <si>
    <t>9445450062</t>
  </si>
  <si>
    <t>Parent</t>
  </si>
  <si>
    <t>Public Transport</t>
  </si>
  <si>
    <t>-</t>
  </si>
  <si>
    <t>23/1, Sunkuwar Lane, Triplicane, Chennai - 600005</t>
  </si>
  <si>
    <t>Karapakkam</t>
  </si>
  <si>
    <t>Lawrance M</t>
  </si>
  <si>
    <t>9585987522</t>
  </si>
  <si>
    <t>9486402432</t>
  </si>
  <si>
    <t>Company Transport (Shuttle)</t>
  </si>
  <si>
    <t>3/68, 3rd Block, 4th Street, Mogappair West, Chennai-600037</t>
  </si>
  <si>
    <t>1</t>
  </si>
  <si>
    <t>Wavin bus stop</t>
  </si>
  <si>
    <t>Roslin Nihara M</t>
  </si>
  <si>
    <t>9363586357</t>
  </si>
  <si>
    <t>9940546955</t>
  </si>
  <si>
    <t xml:space="preserve"> </t>
  </si>
  <si>
    <t>3/11, KOTHARI NAGAR,1ST STREET, RAMAPURAM, CHENNAI:600089</t>
  </si>
  <si>
    <t>RAMAPURAM</t>
  </si>
  <si>
    <t>Lipika c</t>
  </si>
  <si>
    <t>9080030668</t>
  </si>
  <si>
    <t>9176674307</t>
  </si>
  <si>
    <t xml:space="preserve"> Aura Nest Pg For Ladies  </t>
  </si>
  <si>
    <t xml:space="preserve"> Aura Nest Pg For Ladies  86-b, Mamoothiamman Street,  City Park, Near Tcs New Building, Third Cross Road, Siruseri, Chennai-603103, Tamil Nadu  </t>
  </si>
  <si>
    <t>Egattur</t>
  </si>
  <si>
    <t>none</t>
  </si>
  <si>
    <t>Sana Sumera</t>
  </si>
  <si>
    <t>8328355283</t>
  </si>
  <si>
    <t>9948165630</t>
  </si>
  <si>
    <t>Own Transport</t>
  </si>
  <si>
    <t>Aura Nest Pg for Ladies,  86-b, Mamoothiamman Street, City Park, Near Tcs New Building, Third Cross Road, Siruseri, Chennai-603103, Tamil Nadu.</t>
  </si>
  <si>
    <t>Nalamothu Rishith</t>
  </si>
  <si>
    <t>9391596766</t>
  </si>
  <si>
    <t>9393855851</t>
  </si>
  <si>
    <t xml:space="preserve"> CNR GENTS PG BRANCH-1</t>
  </si>
  <si>
    <t>CNR GENTS PG BRANCH-1, Mamoothiamman, 3rd St, Egattur, Tamil Nadu 603103</t>
  </si>
  <si>
    <t>Rudra Naga Gani Varalakshmi Harika</t>
  </si>
  <si>
    <t>7901545112</t>
  </si>
  <si>
    <t>9603397078</t>
  </si>
  <si>
    <t xml:space="preserve"> Dheekshith Ladies Pg.</t>
  </si>
  <si>
    <t xml:space="preserve"> Dheekshith Ladies Pg ,4/189,  Periyar St,  Uthandi, Egattur, Chennai-603103, Tamil Nadu .</t>
  </si>
  <si>
    <t>Chaitanya Prakash Ghatbandhe</t>
  </si>
  <si>
    <t>8080062382</t>
  </si>
  <si>
    <t>7276476809</t>
  </si>
  <si>
    <t>Sibling</t>
  </si>
  <si>
    <t xml:space="preserve"> Pasanga Paradise PG - Branch 1, Egattur</t>
  </si>
  <si>
    <t>Pasanga Paradise PG, Branch 1, Gangai Amman Kovil Street, Egattur, Siruseri, Tamil Nadu - 603103</t>
  </si>
  <si>
    <t>B Likith Vardhan Reddy</t>
  </si>
  <si>
    <t>9347809128</t>
  </si>
  <si>
    <t>8897433271</t>
  </si>
  <si>
    <t xml:space="preserve"> S S Gents Pg </t>
  </si>
  <si>
    <t xml:space="preserve"> S S Gents Pg  No 95 A, S S Gents Pg, City Park Sipcot, Mamoothy Amman Kovil 3rd  Street, Sirucheri, Chennai-603103, Tamil Nadu  https://jsdl.in/DT-20SESSXI1XT</t>
  </si>
  <si>
    <t>lokesh - 863964472 roommate</t>
  </si>
  <si>
    <t>Sri Venkat Nichenametla</t>
  </si>
  <si>
    <t>7989497816</t>
  </si>
  <si>
    <t>9704435151</t>
  </si>
  <si>
    <t xml:space="preserve"> Siddhus premium Mens pg</t>
  </si>
  <si>
    <t xml:space="preserve"> Siddhus premium Mens pg, No 89c,  city park layout, 3rd left street, egattur, siruseri, chennai, tamil nadu - 603103</t>
  </si>
  <si>
    <t>Megha Roy</t>
  </si>
  <si>
    <t>8240603936</t>
  </si>
  <si>
    <t>8910031982</t>
  </si>
  <si>
    <t xml:space="preserve"> Sns Pg For Ladies </t>
  </si>
  <si>
    <t xml:space="preserve"> Sns Pg For Ladies  1/115,  Panzhadiamman Kovilstreet, Egattur, Navalur, Chennai-600130, Tamil Nadu</t>
  </si>
  <si>
    <t>Likith Vardhan : 9347809128</t>
  </si>
  <si>
    <t>Aditya Prabhakar Deshmukh</t>
  </si>
  <si>
    <t>7385672298</t>
  </si>
  <si>
    <t>9420707746</t>
  </si>
  <si>
    <t xml:space="preserve"> Soma Mens Stay</t>
  </si>
  <si>
    <t xml:space="preserve"> Soma Mens Stay  PLOT NO.15 B6, Soma Mens Stay, Sipcot IT Park, City Park Layout,  2nd Lane,  Mamoothiamman St, Siruseri, Chennai-603103, Tamil Nadu  https://jsdl.in/DT-20R2MCVYMKQ</t>
  </si>
  <si>
    <t>VARSHA KODADI</t>
  </si>
  <si>
    <t>9346977641</t>
  </si>
  <si>
    <t>9032735482</t>
  </si>
  <si>
    <t xml:space="preserve"> UniQ PG</t>
  </si>
  <si>
    <t>UniQ PG, Dr Ambedkar St (near Gangaiamman Kovil Street), beside the street of Zaitoon Restaurant, Siruseri, Chennai, Tamil Nadu 600130</t>
  </si>
  <si>
    <t>Nishanthi K</t>
  </si>
  <si>
    <t>7845252533</t>
  </si>
  <si>
    <t>9444681653</t>
  </si>
  <si>
    <t>"X" Block</t>
  </si>
  <si>
    <t>No: 14, "X" Block, RV Nagar, Jafferkhanpet, Chennai-600083</t>
  </si>
  <si>
    <t xml:space="preserve">Ashok Piller </t>
  </si>
  <si>
    <t>1/115, Panzhadiamman Kovilstreet, Egattur, Navalur, Chennai-600130, Tamil Nadu</t>
  </si>
  <si>
    <t>Roommate no: 7735844693 (Mauzila Nayek)</t>
  </si>
  <si>
    <t>Buela Sindhu</t>
  </si>
  <si>
    <t>9963122910</t>
  </si>
  <si>
    <t>9247837106</t>
  </si>
  <si>
    <t>1/210a, Dr Ambedkar St, Egattur, Chennai, Tamil Nadu 600130</t>
  </si>
  <si>
    <t>UZMA JABEEN SYED RAZA ALI</t>
  </si>
  <si>
    <t>9657387047</t>
  </si>
  <si>
    <t>8237859277</t>
  </si>
  <si>
    <t>Company Transport</t>
  </si>
  <si>
    <t>1/210a, SRS Luxury PG for Ladies Branch 2, Dr. Ambedkar Street, Egattur</t>
  </si>
  <si>
    <t>1/210a, SRS Luxury PG for Ladies, Dr. Ambedkar Street, Egattur, Siruseri, Tamil Nadu - 603103</t>
  </si>
  <si>
    <t>Abilash A</t>
  </si>
  <si>
    <t>9344350896</t>
  </si>
  <si>
    <t>9791463769</t>
  </si>
  <si>
    <t>Friend</t>
  </si>
  <si>
    <t>1/749, Maruthi Nagar, Perungudi, Chennai 600096</t>
  </si>
  <si>
    <t>Thoraipakkam</t>
  </si>
  <si>
    <t>Karan Saxena</t>
  </si>
  <si>
    <t>9889262823</t>
  </si>
  <si>
    <t>8957980504</t>
  </si>
  <si>
    <t>102B Greenwood, Hiranandani, Egattur</t>
  </si>
  <si>
    <t>8102974622</t>
  </si>
  <si>
    <t>102B Greenwood, Hiranandani, Egatur</t>
  </si>
  <si>
    <t>Mallakuppam Manendra</t>
  </si>
  <si>
    <t>6304733852</t>
  </si>
  <si>
    <t>7993484014</t>
  </si>
  <si>
    <t>105, Happy Homes Mens PG city park, Egatoor, Siruseri, Tamil Nadu 603103</t>
  </si>
  <si>
    <t>Mohamed Harish</t>
  </si>
  <si>
    <t>8220950542</t>
  </si>
  <si>
    <t>7200444061</t>
  </si>
  <si>
    <t>12 A, Sai Annai Avenue, Madha nagar, Madhananthapuram, Porur, Chennai</t>
  </si>
  <si>
    <t>2</t>
  </si>
  <si>
    <t>Porur</t>
  </si>
  <si>
    <t>Tharun B</t>
  </si>
  <si>
    <t>9342709956</t>
  </si>
  <si>
    <t>9941566224</t>
  </si>
  <si>
    <t>12/14 Rama rao garden 1st street royapettah chennai-14</t>
  </si>
  <si>
    <t>Royapettah</t>
  </si>
  <si>
    <t>Meghana S</t>
  </si>
  <si>
    <t>9019848955</t>
  </si>
  <si>
    <t>9535644152</t>
  </si>
  <si>
    <t>1-285, Sonachalam street, Rajiv Gandhi salai, OMR, Chennai-600130</t>
  </si>
  <si>
    <t>Navalur</t>
  </si>
  <si>
    <t>Saravanan A</t>
  </si>
  <si>
    <t>7598027746</t>
  </si>
  <si>
    <t>9487537746</t>
  </si>
  <si>
    <t>13 A, Narayanan Gents PG, Srivijayaganapathy nagar, mayana salai, navalur - 600130</t>
  </si>
  <si>
    <t>Balakumaran Bommudurai</t>
  </si>
  <si>
    <t>6381778820</t>
  </si>
  <si>
    <t>9943673263</t>
  </si>
  <si>
    <t>14 Valluvar high road ,subash nagar,chromepet,600044</t>
  </si>
  <si>
    <t>Chromepet</t>
  </si>
  <si>
    <t>Viveka Preethi</t>
  </si>
  <si>
    <t>9080537060</t>
  </si>
  <si>
    <t>9600129080</t>
  </si>
  <si>
    <t>Spouse</t>
  </si>
  <si>
    <t>18/A, Chandra Illam, Venkatachalapathy Street, Sembakkam - 600 073</t>
  </si>
  <si>
    <t>Medavakkam</t>
  </si>
  <si>
    <t>Nil</t>
  </si>
  <si>
    <t>Vikil Reddy Vangala</t>
  </si>
  <si>
    <t>9505616743</t>
  </si>
  <si>
    <t>789377371</t>
  </si>
  <si>
    <t>1st Left , Sipcot IT park , city park layout, Plot no - 56P, Siruseri , Egattur , Tamilnadu 603103</t>
  </si>
  <si>
    <t>Billakanti Mokshith</t>
  </si>
  <si>
    <t>9573761703</t>
  </si>
  <si>
    <t>9849384269</t>
  </si>
  <si>
    <t>1st Left, Sipcot It Park, City Park Layout, Plot No -56P, Siruseri, Egattur, TamilNadu 603103</t>
  </si>
  <si>
    <t>Venkata Thejeswar Reddy Yerasu</t>
  </si>
  <si>
    <t>9059025079</t>
  </si>
  <si>
    <t>6381245534</t>
  </si>
  <si>
    <t>1st street backside of the JS Global School, NO1 lake view point, Rajiv Gandhi salai,Ponniamman ,sholinganallur</t>
  </si>
  <si>
    <t>1st street backside of the JS Global School, NO1 lake view point, Rajiv Gandhi salai, sholinganallur, Tamilnadu</t>
  </si>
  <si>
    <t>Adarsh J Nair</t>
  </si>
  <si>
    <t>6380216432</t>
  </si>
  <si>
    <t>9150760027</t>
  </si>
  <si>
    <t>2/55. Thiruvalluvar street , Navalur</t>
  </si>
  <si>
    <t>2/55. Thiruvalluvar street , Navalur , 600130</t>
  </si>
  <si>
    <t>Srimattirumalapeddinti Sai Bala Harini</t>
  </si>
  <si>
    <t>7995615118</t>
  </si>
  <si>
    <t>9959873888</t>
  </si>
  <si>
    <t>206,4th floor,New Vaishnavi elite pg,egattur,siruseri,tambaram district</t>
  </si>
  <si>
    <t>206,4th floor,New Vaishnavi elite pg, egattur, siruseri , tambaram district ,tamil nadu</t>
  </si>
  <si>
    <t>Girija Sai Siri Cherukuri</t>
  </si>
  <si>
    <t>8919546878</t>
  </si>
  <si>
    <t>8143120465</t>
  </si>
  <si>
    <t>206,Vaishnavi Elite PG-Chennai,Egattur</t>
  </si>
  <si>
    <t>206,Vaishnavi Elite PG, Gangai Amman Kovil Street, Egattur, Siruseri, Tamil Nadu - 603103</t>
  </si>
  <si>
    <t>Narasani Udaya Teja</t>
  </si>
  <si>
    <t>6301074771</t>
  </si>
  <si>
    <t>9036400498</t>
  </si>
  <si>
    <t>25, St Thomas St,near Navalur, Tollgate, Egattur, Chennai</t>
  </si>
  <si>
    <t>Maddila Keerthana</t>
  </si>
  <si>
    <t>7989655434</t>
  </si>
  <si>
    <t>7661043579</t>
  </si>
  <si>
    <t>4/187, Periyar Street, Old Mahabalipuram Road, Egattur, Chennai, Tamil Nadu 600130</t>
  </si>
  <si>
    <t>Dadiboina Deepika</t>
  </si>
  <si>
    <t>6281477470</t>
  </si>
  <si>
    <t>8688827347</t>
  </si>
  <si>
    <t>4/201, Sai teja ladies hostel</t>
  </si>
  <si>
    <t>periyar Street, Uthandi, Egattur, Chengalpattu, Tamil Nadu, 600130</t>
  </si>
  <si>
    <t xml:space="preserve">Meghana N S </t>
  </si>
  <si>
    <t>8904188928</t>
  </si>
  <si>
    <t>9900368646</t>
  </si>
  <si>
    <t>4/203 , Muthu Rekha Building,Gangai Amman kovil street,Egattur, Landmark, Siruseri, Chennai, Tamil Nadu 603103</t>
  </si>
  <si>
    <t>Meghana N S</t>
  </si>
  <si>
    <t>4/203 , Muthu Rekha Building,Gangai Amman kovil street,Egattur, Landmark, Siruseri, Chennai, Tamil Nadu 603103·</t>
  </si>
  <si>
    <t>Sivaraj S</t>
  </si>
  <si>
    <t>8148394845</t>
  </si>
  <si>
    <t>9442604845</t>
  </si>
  <si>
    <t>4/238, Gangai Amman Kovil St, Egatur, Siruseri, Tamil Nadu 600130</t>
  </si>
  <si>
    <t>Arunthava Raj A</t>
  </si>
  <si>
    <t>9344645397</t>
  </si>
  <si>
    <t>9283338901</t>
  </si>
  <si>
    <t xml:space="preserve">4/453, plot no 2 </t>
  </si>
  <si>
    <t>4/453, plot no 2 swaminathan nagar 1st main road kottivakkam chennai 41</t>
  </si>
  <si>
    <t>Athira P</t>
  </si>
  <si>
    <t>8680015740</t>
  </si>
  <si>
    <t>8667238869</t>
  </si>
  <si>
    <t>4/820 A D/no 1 Angalamman Kovil 2nd Street, Mambakkam, Kolathur road Chennai 6000127</t>
  </si>
  <si>
    <t>0</t>
  </si>
  <si>
    <t>Mambakkam</t>
  </si>
  <si>
    <t>HAJARA KAMILA M</t>
  </si>
  <si>
    <t>9025922681</t>
  </si>
  <si>
    <t>8015832198</t>
  </si>
  <si>
    <t>42/78, 3rd main road, Venkateswara Nagar, Velachery.</t>
  </si>
  <si>
    <t>42/78, 3rd main road, Venkateswara Nagar, Velachery,600042.</t>
  </si>
  <si>
    <t>Velachery.</t>
  </si>
  <si>
    <t>SRI RAM SANKAR T S</t>
  </si>
  <si>
    <t>9677365164</t>
  </si>
  <si>
    <t>8610907425</t>
  </si>
  <si>
    <t>4th Floor, Vishvas Professional Stays, Plot No 34B, City Park, Egattur, Chennai, Tamil Nadu - 603130.</t>
  </si>
  <si>
    <t>Uncle house is present in Perungudi.</t>
  </si>
  <si>
    <t>Mulla Sai Nadha swamy 9177</t>
  </si>
  <si>
    <t>9177997378</t>
  </si>
  <si>
    <t>9618727575</t>
  </si>
  <si>
    <t>4th stree , Aadhilakshmi PG for gents ,Egattur,</t>
  </si>
  <si>
    <t>Aadhilakshmi PG for Gents,4th street,Tvh Teerahub,Plot no 47</t>
  </si>
  <si>
    <t>Mohamed Anish J</t>
  </si>
  <si>
    <t>9585317767</t>
  </si>
  <si>
    <t>9894132743</t>
  </si>
  <si>
    <t>5/112 Annai Indira Nagar, Thoraipakkam ,Chennai</t>
  </si>
  <si>
    <t>5/112 Annai Indira Nagar, Thiruvalluvar street, Thoraipakkam ,Chennai, Tamil Nadu</t>
  </si>
  <si>
    <t>Laksiya Vijayendran</t>
  </si>
  <si>
    <t>7433933555</t>
  </si>
  <si>
    <t>9737562061</t>
  </si>
  <si>
    <t>5/121, 4th Main Road, Otteri extension, Vandalur, 600048</t>
  </si>
  <si>
    <t>Kilambakkam</t>
  </si>
  <si>
    <t>Sumit Vishwakarma</t>
  </si>
  <si>
    <t>8423869436</t>
  </si>
  <si>
    <t>503, Brospace Phoenix premium mens PG indra gandhi street navalur</t>
  </si>
  <si>
    <t>7355527911</t>
  </si>
  <si>
    <t>sanjay kumar E</t>
  </si>
  <si>
    <t>7200401636</t>
  </si>
  <si>
    <t>9566210347</t>
  </si>
  <si>
    <t>8A , manikandan 2nd street,porur</t>
  </si>
  <si>
    <t>porur</t>
  </si>
  <si>
    <t>GUVVALA ASREETHA</t>
  </si>
  <si>
    <t>9347285016</t>
  </si>
  <si>
    <t>9063724579</t>
  </si>
  <si>
    <t>a</t>
  </si>
  <si>
    <t>SRS Ladies Hostel, PG for ladies, opp Marina Mall, Main, Egattur, Tamil Nadu 600130</t>
  </si>
  <si>
    <t>kandula siva pratap</t>
  </si>
  <si>
    <t>9010902015</t>
  </si>
  <si>
    <t>9177691881</t>
  </si>
  <si>
    <t>AADHI LAKSHMI PG FOR GENTS , Egattur</t>
  </si>
  <si>
    <t>4th Street, Aadilakshmi PG For Gents, Tvh Terrahub, LAYOUT, Egattur, Chennai, Tamil Nadu</t>
  </si>
  <si>
    <t>na</t>
  </si>
  <si>
    <t>Ashish Sriniwas Prasad</t>
  </si>
  <si>
    <t>9724814235</t>
  </si>
  <si>
    <t>9998703689</t>
  </si>
  <si>
    <t>Aadhi Lakshmi Gents PG, Plot 47, 4th Street, TVH Terra Hub, Siruseri, Chennai - 603103</t>
  </si>
  <si>
    <t>Prashant Dhanaji Narale</t>
  </si>
  <si>
    <t>9359807250</t>
  </si>
  <si>
    <t>9370544419</t>
  </si>
  <si>
    <t>Aadhi Lakshmi Gents pg ,plot 47 4th street , tvh, Terra Hub, Siruseri, Chennai</t>
  </si>
  <si>
    <t>Prem Sai Adigopula</t>
  </si>
  <si>
    <t>8247343749</t>
  </si>
  <si>
    <t>9515400919</t>
  </si>
  <si>
    <t>Aaadhi Lakshmi PG for gents , Plot. 47, 4th Street, TVH Terra Hub, Siruseri, Chennai, TamilNadu - 603103</t>
  </si>
  <si>
    <t>jathin kumar sahu</t>
  </si>
  <si>
    <t>8074656319</t>
  </si>
  <si>
    <t>9177366124</t>
  </si>
  <si>
    <t>aadhi lakshmi pg, tvh terrahub, navalur lake road, sipcot it park, siruseri, chennai, tamilnadu, 603103</t>
  </si>
  <si>
    <t>Yashas M</t>
  </si>
  <si>
    <t>9449259580</t>
  </si>
  <si>
    <t>7204402828</t>
  </si>
  <si>
    <t>Aadhi lakshmi PG, Plot 47, 4th Street, TVH Terra hub, siruseri, chennai</t>
  </si>
  <si>
    <t>Lokesh Rajmal Thakare</t>
  </si>
  <si>
    <t>9356962296</t>
  </si>
  <si>
    <t>9665641564</t>
  </si>
  <si>
    <t>Aadhilakshi PG for Gents, Plot No. 47, 4th Street, TVH Terrahub, Egattur, Chennai</t>
  </si>
  <si>
    <t>MANIKANTAREDDY MUPPIDI</t>
  </si>
  <si>
    <t>6302832198</t>
  </si>
  <si>
    <t>9705750123</t>
  </si>
  <si>
    <t xml:space="preserve">4th Street, Aadilakshmi PG For Gents, Tvh Terrahub, LAYOUT, Egattur, Chennai, Tamil Nadu  </t>
  </si>
  <si>
    <t>MUPPIDI MANIKANTA REDDY</t>
  </si>
  <si>
    <t>9290527775</t>
  </si>
  <si>
    <t>Gayathri S</t>
  </si>
  <si>
    <t>8129558833</t>
  </si>
  <si>
    <t>8129558822</t>
  </si>
  <si>
    <t>Aarabi Couture, Nanganallur</t>
  </si>
  <si>
    <t>39 B, Aarabi couture, Poonthottam 1st street, Nanganallur, Chennai 61</t>
  </si>
  <si>
    <t>Vetri Velan Theatre, Nanganallur</t>
  </si>
  <si>
    <t>Ajiesya DP</t>
  </si>
  <si>
    <t>6369462610</t>
  </si>
  <si>
    <t>9047485310</t>
  </si>
  <si>
    <t>Abi Ladies PG, Thoraipakkam</t>
  </si>
  <si>
    <t>Abi Ladies PG, 5/256, Vivekananda Nagar, Madha Koil Street, Thoraipakkam, Chennai - 600097</t>
  </si>
  <si>
    <t>Shaik Irfan</t>
  </si>
  <si>
    <t>7032990901</t>
  </si>
  <si>
    <t>9985130905</t>
  </si>
  <si>
    <t>adhi Lakshmi gents pg 4th street, TVH Tetra Hub, siruseri IT Park, chennai, Tamil nadu 603103</t>
  </si>
  <si>
    <t>Bommisetti Mahendra</t>
  </si>
  <si>
    <t>7386476270</t>
  </si>
  <si>
    <t>6300376271</t>
  </si>
  <si>
    <t>Adhi lakshmi pg for gents</t>
  </si>
  <si>
    <t>Adhi lakshmi pg for gents, near Mohamed sathak A.J college of engineering, Egattur, TamilNadu 603103</t>
  </si>
  <si>
    <t>Gummidi Sampath Kumar</t>
  </si>
  <si>
    <t>9392995907</t>
  </si>
  <si>
    <t>9908840215</t>
  </si>
  <si>
    <t>Guardian</t>
  </si>
  <si>
    <t>4th street, Aadilakshmi PG Gents, Tvh terrahub, plot no 47, Egattur, Siruseri, Chennai, Tamil Nadu 603103</t>
  </si>
  <si>
    <t>Santosh Dhurpat Narwad</t>
  </si>
  <si>
    <t>8605177819</t>
  </si>
  <si>
    <t>7757819482</t>
  </si>
  <si>
    <t>Adhi Laxmi Gents PG, Near Tera hub, Egattur, Siruseri, Tamil Nadu - 603103</t>
  </si>
  <si>
    <t>Patnam Harika</t>
  </si>
  <si>
    <t>7569712187</t>
  </si>
  <si>
    <t>9703530107</t>
  </si>
  <si>
    <t>Aditi Womens Hostel, Egattur</t>
  </si>
  <si>
    <t>Aditi Womens Hostel, OMR, Egatoor, 146A, Rajiv Gandhi Salai, Chennai, Tamil Nadu, 600130</t>
  </si>
  <si>
    <t>Nandika Sakthi V</t>
  </si>
  <si>
    <t>6374975957</t>
  </si>
  <si>
    <t>8220707210</t>
  </si>
  <si>
    <t>Aditi Womens Hostel, OMR, Egattur,146A, Rajiv Gandhi Salai, Chennai.</t>
  </si>
  <si>
    <t>Rethanya C</t>
  </si>
  <si>
    <t>9087848046</t>
  </si>
  <si>
    <t>9952484276</t>
  </si>
  <si>
    <t>OMR, Egatoor, 146A, Rajiv Gandhi Salai, Chennai, Tamil Nadu 600130</t>
  </si>
  <si>
    <t>146-A, Rajiv Gandhi Salai (OMR), Egattur, Siruseri, Chennai - 603103</t>
  </si>
  <si>
    <t>Saranya C R</t>
  </si>
  <si>
    <t>8903509435</t>
  </si>
  <si>
    <t>9563930355</t>
  </si>
  <si>
    <t>Aditi Womens Hostel, 146A, Rajiv Gandhi Salai, Egatoor, OMR, Chennai, Tamil Nadu</t>
  </si>
  <si>
    <t>Mude Jansi</t>
  </si>
  <si>
    <t>9391102037</t>
  </si>
  <si>
    <t>9959756945</t>
  </si>
  <si>
    <t>1/150, Rajiv Gandhi Salai (OMR), Egattur-600130.</t>
  </si>
  <si>
    <t>Gayathri Ramachandran</t>
  </si>
  <si>
    <t>6380946868</t>
  </si>
  <si>
    <t>7904634006</t>
  </si>
  <si>
    <t>Relative</t>
  </si>
  <si>
    <t>Aditi women's hostel, Egattur</t>
  </si>
  <si>
    <t>Aditi women's hostel, 146-A, Rajiv Gandhi Salai (OMR),Egattur, Siruseri, Tamilnadu - 600130</t>
  </si>
  <si>
    <t>Nanthini Ganapathy</t>
  </si>
  <si>
    <t>9677375780</t>
  </si>
  <si>
    <t>9444061534</t>
  </si>
  <si>
    <t xml:space="preserve">Aditi Women's Hostel, Egattur </t>
  </si>
  <si>
    <t>Aditi Womens Hostel, OMR, Egatoor, 146A, Rajiv Gandhi Salai, Chennai, Tamil Nadu 600130</t>
  </si>
  <si>
    <t>My PG is located opposite Marina Mall.</t>
  </si>
  <si>
    <t>Uma Venkatachalam</t>
  </si>
  <si>
    <t>8778759722</t>
  </si>
  <si>
    <t>9486960922</t>
  </si>
  <si>
    <t>Aditi Women's Pg - Branch 1, Egattur</t>
  </si>
  <si>
    <t>Aditi Women's Pg - Branch 1, Opp to Marina Mall, Near to Abi's Biryani, Egattur, Siruseri, Tamilnadu - 600130</t>
  </si>
  <si>
    <t>Somana Sindhu lahari</t>
  </si>
  <si>
    <t>6281831985</t>
  </si>
  <si>
    <t>8978310247</t>
  </si>
  <si>
    <t>aditi womens pg, egatur</t>
  </si>
  <si>
    <t>aditi womens pg , egatur , tamilnadu</t>
  </si>
  <si>
    <t>nope</t>
  </si>
  <si>
    <t>Rodrigues Serena</t>
  </si>
  <si>
    <t>6301684619</t>
  </si>
  <si>
    <t>8977343437</t>
  </si>
  <si>
    <t>AG Womens PG - brach 1, egattur</t>
  </si>
  <si>
    <t>AG Womens PG, branch 1, pazhandiamman kovil street, opp to marina mall, eggatur, siruseri, tamil nadu-603103</t>
  </si>
  <si>
    <t>M ALAGU DIVYA SHREE</t>
  </si>
  <si>
    <t>7868905310</t>
  </si>
  <si>
    <t>9688385580</t>
  </si>
  <si>
    <t>AG Womens PG ,Egattur</t>
  </si>
  <si>
    <t>AG Womens PG, Aadithya Arcade, Rajiv Gandhi Salai, OMR, Egattur, Chennai, TamilNadu - 631203</t>
  </si>
  <si>
    <t>lakshmi sree chegondi</t>
  </si>
  <si>
    <t>9912096935</t>
  </si>
  <si>
    <t>9849524421</t>
  </si>
  <si>
    <t>AJ Ladies Hostel</t>
  </si>
  <si>
    <t>AJ Ladies hostel, Chennai ,SIPCORT,Dr.Ambedhkar,primary panchayat,1st street ,Muthukadu,chennai  600 045,Tamil Nadu .</t>
  </si>
  <si>
    <t>Miriyala Jaya Satya Susmitha</t>
  </si>
  <si>
    <t>7386320009</t>
  </si>
  <si>
    <t>9553843816</t>
  </si>
  <si>
    <t>AJ LADIES HOSTEL</t>
  </si>
  <si>
    <t>AJ LADIES HOSTEL,CHENNAI,SIPCORT,DR.AMBEDKAR,PRIMARY PANCHAYAT,1ST STREET,MUTHUKADU,CHENNAI,TAMIL NADU 600130</t>
  </si>
  <si>
    <t>NO</t>
  </si>
  <si>
    <t>Anuhya Kondapalli</t>
  </si>
  <si>
    <t>6309768916</t>
  </si>
  <si>
    <t>9948968916</t>
  </si>
  <si>
    <t xml:space="preserve">Aj ladies hostel </t>
  </si>
  <si>
    <t>Aj ladies hostel Chennai , SIPCORT , Dr Ambedhkar , primary panchayat , 1st street , Muthukadu , Chennai , TamilNadu 600130</t>
  </si>
  <si>
    <t xml:space="preserve">During normal time we are coming by walk  it is taking around 10 minutes to reach the bus shuttles so when there is an emergency situation just provide the necessary facilities to reach the cognizant bus shuttles </t>
  </si>
  <si>
    <t>Mahesh Mekala</t>
  </si>
  <si>
    <t>7702828787</t>
  </si>
  <si>
    <t>9179620587</t>
  </si>
  <si>
    <t>AKKARAI BACE, SAI BABA GARDEN, AKKARAI</t>
  </si>
  <si>
    <t>AKKARAI BACE, SAI DWARAKA, SAI BABA GARDEN, 215/9, AKKARAI, INJAMBAKKAM, CHENNAI, TAMIL NADU, 600119</t>
  </si>
  <si>
    <t>Akkarai</t>
  </si>
  <si>
    <t>VISHALAKSHI SUDHAKAR MUTHULAKSHMI</t>
  </si>
  <si>
    <t>6369220493</t>
  </si>
  <si>
    <t>9363034724</t>
  </si>
  <si>
    <t>ALLIANCE HUMMING GARDEN VILLA NO 171</t>
  </si>
  <si>
    <t>ALLIANCE HUMMING GARDEN VILLA NO 171 KELAMBAKKAM CHENNAI 603103</t>
  </si>
  <si>
    <t>Ananya Vats</t>
  </si>
  <si>
    <t>6369596069</t>
  </si>
  <si>
    <t>9087699924</t>
  </si>
  <si>
    <t>Alliance Orchid Springs</t>
  </si>
  <si>
    <t>12A11, pine block, alliance orchid spring, no 54, water canal road, Korattur, Chennai 600076</t>
  </si>
  <si>
    <t>Korattur</t>
  </si>
  <si>
    <t xml:space="preserve">Ashwin Sundar V S </t>
  </si>
  <si>
    <t>9025009577</t>
  </si>
  <si>
    <t>9585538937</t>
  </si>
  <si>
    <t xml:space="preserve">Amar garden, 1/15 M.R Ratha road, pudupakkam, Tamilnadu. </t>
  </si>
  <si>
    <t>603103</t>
  </si>
  <si>
    <t>Rohith Boorla</t>
  </si>
  <si>
    <t>9392512922</t>
  </si>
  <si>
    <t>9490815742</t>
  </si>
  <si>
    <t>Amaravathi gents hostel, Periyar street, Egatur</t>
  </si>
  <si>
    <t>Amaravathi gents hostel, Periyar street, Egatur, Siruseri,Tamil Nadu - 603101</t>
  </si>
  <si>
    <t>PONNATHOTA CHARAN VARDHAN REDDY</t>
  </si>
  <si>
    <t>9392727535</t>
  </si>
  <si>
    <t>9949702048</t>
  </si>
  <si>
    <t>Amaravati Gents PG - Egattur</t>
  </si>
  <si>
    <t>Amaravati Gents PG, Periyar Street, Egattur, Siruseri, Tamil Nadu - 603103</t>
  </si>
  <si>
    <t>Aiswarya Dinesan</t>
  </si>
  <si>
    <t>9037284259</t>
  </si>
  <si>
    <t>9746480259</t>
  </si>
  <si>
    <t>Ambika Nest Hostel, Siruseri</t>
  </si>
  <si>
    <t>Ambika Nest Hostel, 35, Thrivalluvar salai, Siruseri, 603103</t>
  </si>
  <si>
    <t>Lerisa A Kalghatgi</t>
  </si>
  <si>
    <t>8088657421</t>
  </si>
  <si>
    <t>9901711451</t>
  </si>
  <si>
    <t>ambika Nest Ladies PG, Siruseri</t>
  </si>
  <si>
    <t>Ambika Nest Womens Hostel 35, Thrivalluvar salai, sipcot, near Siruseri, Vanniachavadi, Chennai, Tamil Nadu</t>
  </si>
  <si>
    <t>Mohamed yhahiya hidayathulla</t>
  </si>
  <si>
    <t>9384842109</t>
  </si>
  <si>
    <t>9488494054</t>
  </si>
  <si>
    <t>ambika nest mens hostel</t>
  </si>
  <si>
    <t>37, Thiruvalluvar Salai, vanianchavadi, Kalipattur, Tamil Nadu 603103</t>
  </si>
  <si>
    <t>Balaji S</t>
  </si>
  <si>
    <t>9597824968</t>
  </si>
  <si>
    <t>9790624968</t>
  </si>
  <si>
    <t>Ambika Nest PG, Siruseri</t>
  </si>
  <si>
    <t>DEBATRI PAL</t>
  </si>
  <si>
    <t>9007178811</t>
  </si>
  <si>
    <t>7980871103</t>
  </si>
  <si>
    <t>Ambika Nest Womens Hostel</t>
  </si>
  <si>
    <t>No.37, Thiruvalluvar Salai, Vanivanchavadi, Siruseri SIPCOT 2nd main road, OMR, Chennai - 603103</t>
  </si>
  <si>
    <t>NONE</t>
  </si>
  <si>
    <t>Sowmiya B</t>
  </si>
  <si>
    <t>7448452359</t>
  </si>
  <si>
    <t>9843216788</t>
  </si>
  <si>
    <t>Ambika nest Womens hostel</t>
  </si>
  <si>
    <t>35, Thiruvalluvaar salai, Siruseri sipcot IT park, vannianchavadi, chennai 603103.</t>
  </si>
  <si>
    <t>sumitha s</t>
  </si>
  <si>
    <t>8825826864</t>
  </si>
  <si>
    <t>9994370253</t>
  </si>
  <si>
    <t>Ambika nest womens hostel</t>
  </si>
  <si>
    <t>35, thiruvallar salai siruseri Sipcot IT park, Vannianchavadi,chennai 603103</t>
  </si>
  <si>
    <t>Anushreea De</t>
  </si>
  <si>
    <t>8013410225</t>
  </si>
  <si>
    <t>9831910482</t>
  </si>
  <si>
    <t>Ambika Nest Womens Hostel, 35, Thiruvalluvar salai, Sipcot, near Siruserri, vannianchavadi, Chennai, Tamil Nadu 603103</t>
  </si>
  <si>
    <t>Pooja Anil Bhanage</t>
  </si>
  <si>
    <t>8459914821</t>
  </si>
  <si>
    <t>9623919896</t>
  </si>
  <si>
    <t>Ambika Nest Womens Hostel, 35, Thiruvalluvar salai, Sipcot, near Siruserri, vannianchavadi, Chennai, Tamil Nadu - 603112</t>
  </si>
  <si>
    <t>Harshitha P</t>
  </si>
  <si>
    <t>6366187277</t>
  </si>
  <si>
    <t>7829060498</t>
  </si>
  <si>
    <t>Ambika Nest Womens Hostel, OMR Road, Perungudi, Chennai, Chengalpattu</t>
  </si>
  <si>
    <t>6363736162</t>
  </si>
  <si>
    <t xml:space="preserve">Ambika Nest Womens Hostel, 35, Thiruvalluvar salai, Sipcot, near Siruserri, vannianchavadi, Chennai, Tamil Nadu - 603112 </t>
  </si>
  <si>
    <t>Keerthi C V</t>
  </si>
  <si>
    <t>6383568648</t>
  </si>
  <si>
    <t>9245717379</t>
  </si>
  <si>
    <t>37, Thiruvalluvar Salai, Vanivanchavadi Omr Road, near Siruseri ,Chennai - 603103</t>
  </si>
  <si>
    <t>Ambika Nest Womens PG</t>
  </si>
  <si>
    <t>35, Thiruvalluvar Salai, Sipcot, near Siruseri, Vaniyanchavadi, Chennai, Tamil Nadu 603103</t>
  </si>
  <si>
    <t>Vishali Dhandayuthabani</t>
  </si>
  <si>
    <t>7904002464</t>
  </si>
  <si>
    <t>9791651983</t>
  </si>
  <si>
    <t>Ambika Nest women's PG- Sipcot 2 gate.</t>
  </si>
  <si>
    <t>35, Thiruvalluvar salai, Sipcot, near Siruserri, vannianchavadi, Chennai, Tamil Nadu 603103</t>
  </si>
  <si>
    <t>ANJALI SIKANDAR BHANDE</t>
  </si>
  <si>
    <t>8793548027</t>
  </si>
  <si>
    <t>7387480193</t>
  </si>
  <si>
    <t>AMBIKA WOMENS HOSTEL</t>
  </si>
  <si>
    <t>35,THIRUVALLUVAR SALAI,SIPCOT,NEAR SIRUSERRI,VANNIANCHAVADI,CHENNAI,TAMIL NADU 603103</t>
  </si>
  <si>
    <t>Abinaya Ramesh</t>
  </si>
  <si>
    <t>8778021157</t>
  </si>
  <si>
    <t>9940754626</t>
  </si>
  <si>
    <t>Ambikanest Womens Hostel</t>
  </si>
  <si>
    <t>35, Thiruvalluvar salai, SIPCOT, near Siruseri, Vannianchavadi, Chennai - 603103</t>
  </si>
  <si>
    <t>Ambikanest Women's Hostel</t>
  </si>
  <si>
    <t>Kiruthika T</t>
  </si>
  <si>
    <t>7010428632</t>
  </si>
  <si>
    <t>9894454540</t>
  </si>
  <si>
    <t>Anandham Womens Hostel (Behind Accenture)</t>
  </si>
  <si>
    <t>Anandham Womens Hostel (Behind Accenture),11Lal Bahadur, Lal Bahadur Shastri St, Laxmi Nagar Extension, Sholinganallur, Chennai, Tamil Nadu 600119</t>
  </si>
  <si>
    <t>Shamik Das</t>
  </si>
  <si>
    <t>8777498297</t>
  </si>
  <si>
    <t>8240708475</t>
  </si>
  <si>
    <t>Anish Gents pg</t>
  </si>
  <si>
    <t xml:space="preserve"> 1st Left, Sipcot It Park, City Park Layout, Plot No-56P, Siruseri, Egattur, Tamil Nadu 603103</t>
  </si>
  <si>
    <t>Gedela Dilleswara Rao</t>
  </si>
  <si>
    <t>7416987740</t>
  </si>
  <si>
    <t>9441017271</t>
  </si>
  <si>
    <t>Anish Luxary Gents PG</t>
  </si>
  <si>
    <t>Anish Luxary Gents PG, Inside City Park,Egattur,Siruseri,Tamil Nadu - 603103</t>
  </si>
  <si>
    <t>Desaboyina Mahendra Sri Sai Karthik</t>
  </si>
  <si>
    <t>8341714255</t>
  </si>
  <si>
    <t>9553639930</t>
  </si>
  <si>
    <t>Anish Luxuary Gents PG, sipcot park siruseri</t>
  </si>
  <si>
    <t>1st left, Sipcot it park, City park layout, Plot no - 56p, Siruseri, Egattur, Tamil Nadu, 603103</t>
  </si>
  <si>
    <t>PRATIK VASANT GUNJALKAR</t>
  </si>
  <si>
    <t>8999124376</t>
  </si>
  <si>
    <t>8600684095</t>
  </si>
  <si>
    <t>ANISH LUXURY GENTS PG</t>
  </si>
  <si>
    <t>Anish Luxury Gents PG, Siruseri IT Park, Egattur, Chennai-603103</t>
  </si>
  <si>
    <t>Aftab Ramig Molla</t>
  </si>
  <si>
    <t>8391869584</t>
  </si>
  <si>
    <t>8926391664</t>
  </si>
  <si>
    <t>1st Left, Sipcot It Park, City Park Layout, Plot No-56P, Siruseri, Egattur, Tamil Nadu 603103</t>
  </si>
  <si>
    <t>Jayant Mukund Khatavkar</t>
  </si>
  <si>
    <t>9511982045</t>
  </si>
  <si>
    <t>8055540980</t>
  </si>
  <si>
    <t>Anish Luxury Gents PG</t>
  </si>
  <si>
    <t>1st left, SIPCOT IT park, city park layout, Plot No-56P, Siruseri, Egattur, Tamil Nadu 603103</t>
  </si>
  <si>
    <t xml:space="preserve">Akash Sharma </t>
  </si>
  <si>
    <t>7377201279</t>
  </si>
  <si>
    <t>6371975049</t>
  </si>
  <si>
    <t xml:space="preserve">Anish Luxury Gents PG </t>
  </si>
  <si>
    <t>Anish Luxury Gents PG, SIPCOT, Egattur, Siruseri, Tamil Nadu -603103</t>
  </si>
  <si>
    <t>Bathinigari Kranthi Kumar Reddy</t>
  </si>
  <si>
    <t>9154620910</t>
  </si>
  <si>
    <t>9490920910</t>
  </si>
  <si>
    <t xml:space="preserve">Anish luxury gents PG </t>
  </si>
  <si>
    <t>Anish luxury gents PG, Siruseri, Tamil Nadu</t>
  </si>
  <si>
    <t>Varun K</t>
  </si>
  <si>
    <t>9620509160</t>
  </si>
  <si>
    <t>9945751085</t>
  </si>
  <si>
    <t>Anish Luxury Gents PG, Egattur</t>
  </si>
  <si>
    <t>Anish Luxury Gents PG, 1st Left, Sipcot It Park, City Park Layout, Plot No-56P, Siruseri, Egattur, Tamil Nadu-603103</t>
  </si>
  <si>
    <t>Manoj Sunil Thange</t>
  </si>
  <si>
    <t>8390953916</t>
  </si>
  <si>
    <t>9881225799</t>
  </si>
  <si>
    <t>1st Left, Sipcot It park, City Park Layout, Plot No-56P, Siruseri, Egattur, Tamil Nadu 603103</t>
  </si>
  <si>
    <t>Sumanth Chanduluru</t>
  </si>
  <si>
    <t>6304097130</t>
  </si>
  <si>
    <t>7702197319</t>
  </si>
  <si>
    <t>Anish Luxury Gents PG, City Park Layout, PlotNo-56P, Siruseri, Egattur</t>
  </si>
  <si>
    <t>Patnool Sameer Ahmad</t>
  </si>
  <si>
    <t>9493529014</t>
  </si>
  <si>
    <t>7671997583</t>
  </si>
  <si>
    <t>Anish luxury gents PG, Siruseri Sipcot IT park, Egattur, 603103</t>
  </si>
  <si>
    <t>Maddiboina Venkata Ganesh</t>
  </si>
  <si>
    <t>6305173106</t>
  </si>
  <si>
    <t>8074848619</t>
  </si>
  <si>
    <t>Anish luxury pg</t>
  </si>
  <si>
    <t>Anish Luxury pg, SIPCOT IT Park, City Park Layout, Plot No-56P, Siruseri, Egattur, Tamil Nadu 603103</t>
  </si>
  <si>
    <t>Na</t>
  </si>
  <si>
    <t>Abineet Omkar Yadav</t>
  </si>
  <si>
    <t>7304182987</t>
  </si>
  <si>
    <t>8108260947</t>
  </si>
  <si>
    <t>Anish luxury pg,sipcot it park egattur</t>
  </si>
  <si>
    <t>anish luxury pg , sipcot it park egattur 603103</t>
  </si>
  <si>
    <t>Medisetti Veerendra</t>
  </si>
  <si>
    <t>7995234256</t>
  </si>
  <si>
    <t>9392372782</t>
  </si>
  <si>
    <t>Anish mens luxary PG - Sipcot, Near to Moksha ladies PG</t>
  </si>
  <si>
    <t>Anish mens luxary PG - Sipcot, Near to Moksha ladies PG, Siruseri, Tamil Nadu - 603103</t>
  </si>
  <si>
    <t>DUMPALA VAMSIDHAR REDDY</t>
  </si>
  <si>
    <t>8247814455</t>
  </si>
  <si>
    <t>7569137417</t>
  </si>
  <si>
    <t>ANISH PG</t>
  </si>
  <si>
    <t>BALAVINAYAK BALASUBRAMANIAN</t>
  </si>
  <si>
    <t>9600061428</t>
  </si>
  <si>
    <t>7200001428</t>
  </si>
  <si>
    <t>ANNAI OIKOS</t>
  </si>
  <si>
    <t>3/C,23RD STREET,SOWMIYA NAGAR,PERUMBAKKAM,CHENNAI-600100</t>
  </si>
  <si>
    <t>Mujahid Jilanisab Shaikh</t>
  </si>
  <si>
    <t>6360193801</t>
  </si>
  <si>
    <t>6362507925</t>
  </si>
  <si>
    <t>AnnaPurna Gents PG</t>
  </si>
  <si>
    <t>4/212, Dr Ambedkar St, Siruseri, Egattur, Tamil Nadu 600130</t>
  </si>
  <si>
    <t>Balu Battu</t>
  </si>
  <si>
    <t>9391776387</t>
  </si>
  <si>
    <t>6301358695</t>
  </si>
  <si>
    <t>Annapurna gents pg</t>
  </si>
  <si>
    <t>Annapurna gents pg Ambedkar Street, Egattur, Siruseri, Tamil Nadu - 603103</t>
  </si>
  <si>
    <t xml:space="preserve">no </t>
  </si>
  <si>
    <t>Shahan V Saleem</t>
  </si>
  <si>
    <t>6238455009</t>
  </si>
  <si>
    <t>7042099135</t>
  </si>
  <si>
    <t>Annapurna Gents PG, Egattur</t>
  </si>
  <si>
    <t>Annapurna Gents PG, Dr Ambedkar St,  Egattur, Siruseri, Tamil Nadu - 600130</t>
  </si>
  <si>
    <t>Annapurna Gents PG, Dr Ambedkar St, Egattur, Siruseri, Tamil Nadu - 600130</t>
  </si>
  <si>
    <t>7780265834</t>
  </si>
  <si>
    <t>Annapurna gents pg. - Egattur</t>
  </si>
  <si>
    <t>Annapurna gents pg  Ambedkar Street, Egattur, Siruseri, Tamil Nadu - 603103</t>
  </si>
  <si>
    <t>vedavarshini Attuluri</t>
  </si>
  <si>
    <t>6281494078</t>
  </si>
  <si>
    <t>9912130904</t>
  </si>
  <si>
    <t>Annapurna ladies PG egattur opposite marina mall</t>
  </si>
  <si>
    <t>Annapurna ladies PG egattur opposite marina mall siruseri</t>
  </si>
  <si>
    <t>Thonduru Sai Sree</t>
  </si>
  <si>
    <t>9381563361</t>
  </si>
  <si>
    <t>9553644734</t>
  </si>
  <si>
    <t>Annapurna ladies pg opposite to marina mall</t>
  </si>
  <si>
    <t>Annapurna ladies pg, Navallur ,opposite to marina mall</t>
  </si>
  <si>
    <t>LENIN UTHUP</t>
  </si>
  <si>
    <t>9188316233</t>
  </si>
  <si>
    <t>9496638412</t>
  </si>
  <si>
    <t>ANNAPURNA MENS PG</t>
  </si>
  <si>
    <t>Annapurna Mens PG,  Egattur, Siruseri, Tamil Nadu - 603103</t>
  </si>
  <si>
    <t>Manthena Karthik</t>
  </si>
  <si>
    <t>7780265835</t>
  </si>
  <si>
    <t>9441714510</t>
  </si>
  <si>
    <t>Annapurna pg for gents</t>
  </si>
  <si>
    <t>Annapurna pg for gents 4/212, Dr Ambedkar St, Siruseri, Egattur, Tamil Nadu 600130</t>
  </si>
  <si>
    <t xml:space="preserve">Annapurna pg for gents </t>
  </si>
  <si>
    <t>aanapurna pg for gents 4/212, Dr Ambedkar St, Siruseri, Egattur, Tamil Nadu 600130</t>
  </si>
  <si>
    <t>Praveena S</t>
  </si>
  <si>
    <t>8610691361</t>
  </si>
  <si>
    <t>8637455966</t>
  </si>
  <si>
    <t>AP 1371 31ST STREET 6TH SECTOR KK NAGAR CHENNAI - 78</t>
  </si>
  <si>
    <t>Ashok Pillar</t>
  </si>
  <si>
    <t>Suryaa D</t>
  </si>
  <si>
    <t>6382514100</t>
  </si>
  <si>
    <t>9442526538</t>
  </si>
  <si>
    <t>Appartment(no name), Sholinganallur</t>
  </si>
  <si>
    <t>397, Village High Road, Sholinganallur, Chennai-600119</t>
  </si>
  <si>
    <t>YEDIDA SAI VENKATESWAR</t>
  </si>
  <si>
    <t>7995025686</t>
  </si>
  <si>
    <t>9542452098</t>
  </si>
  <si>
    <t>APS MENS HOSTEL , EGATTUR</t>
  </si>
  <si>
    <t>APS MENS HOSTEL ,  ST THOMAS STREET , EGATTUR , SIRUSERI , TAMIL NADU-603103</t>
  </si>
  <si>
    <t>Subrahmanya Seeta Ramaraju Sagiraju</t>
  </si>
  <si>
    <t>9441792219</t>
  </si>
  <si>
    <t>8121410116</t>
  </si>
  <si>
    <t>APS Mens Hostel, Egattur</t>
  </si>
  <si>
    <t>APS Mens Hostel, St Thomas Street, Egattur, Sipcot, omr, Tamil Nadu, 600130</t>
  </si>
  <si>
    <t>APS Mens Hostel, St Thomas Street, Egattur, Sipcot, omr,Tamil Nadu, 600130</t>
  </si>
  <si>
    <t>Rasamsetti Kalyan Ramu</t>
  </si>
  <si>
    <t>9515579471</t>
  </si>
  <si>
    <t>9640876764</t>
  </si>
  <si>
    <t>APS MENS PG</t>
  </si>
  <si>
    <t xml:space="preserve">203,APS MENS PG, Saint Thomas Street, Navalur </t>
  </si>
  <si>
    <t>Vignesh S</t>
  </si>
  <si>
    <t>8015693108</t>
  </si>
  <si>
    <t>9884058335</t>
  </si>
  <si>
    <t xml:space="preserve">AR Lotus Apartment </t>
  </si>
  <si>
    <t>1069, A1, 10th main road ram nagar, south madipakkam, Chennai -600091</t>
  </si>
  <si>
    <t xml:space="preserve">Velacherry </t>
  </si>
  <si>
    <t>Ronith Dhanesh</t>
  </si>
  <si>
    <t>6238159514</t>
  </si>
  <si>
    <t>9947643128</t>
  </si>
  <si>
    <t>Ardenwood coliving</t>
  </si>
  <si>
    <t>33, First Cross, SiruSeri, Egattur, Tamil Nadu 603103</t>
  </si>
  <si>
    <t>Bonda Anish</t>
  </si>
  <si>
    <t>9715211119</t>
  </si>
  <si>
    <t>9908991239</t>
  </si>
  <si>
    <t>Ardenwood coliving, 33, First Cross Road, Siruseri, Egattur, Tamil Nadu 603103</t>
  </si>
  <si>
    <t>Aman Kumar Singh</t>
  </si>
  <si>
    <t>9054709848</t>
  </si>
  <si>
    <t>Ardenwood Co-Living</t>
  </si>
  <si>
    <t>Ardenwood Co-Living, 33, First Cross Road, Siruseri, Egattur, Tamil Nadu 603103</t>
  </si>
  <si>
    <t>Uday Rai</t>
  </si>
  <si>
    <t>7000577952</t>
  </si>
  <si>
    <t>8839856093</t>
  </si>
  <si>
    <t>Ardenwood Co-living</t>
  </si>
  <si>
    <t>Ardenwood Co-living , 33 , First Cross Road , Siruseri , Egattur, Tamil Nadu 603103</t>
  </si>
  <si>
    <t>Mudit Vyas</t>
  </si>
  <si>
    <t>9039769159</t>
  </si>
  <si>
    <t>9039014991</t>
  </si>
  <si>
    <t>Ardenwood co-living</t>
  </si>
  <si>
    <t xml:space="preserve">33 first cross road , siruseri, egattur , tamil nadu </t>
  </si>
  <si>
    <t>i am diabetic and need continuous observation regarding my blood glucose level .</t>
  </si>
  <si>
    <t>Atharv Santosh kulkarni</t>
  </si>
  <si>
    <t>9960300754</t>
  </si>
  <si>
    <t>8669070065</t>
  </si>
  <si>
    <t>Ardenwood Co-living is located at 33, First Cross Road, City Park Layout, Siruseri, Chennai - 603103, Tamil Nadu</t>
  </si>
  <si>
    <t>Ardenwood Co-living , 33, First Cross Road , Siruseri , Egattur, Tamil Nadu 603103</t>
  </si>
  <si>
    <t>Prince</t>
  </si>
  <si>
    <t>9996642182</t>
  </si>
  <si>
    <t>9812536050</t>
  </si>
  <si>
    <t>Ardenwood Mens PG - Sipcot IT Park, Chennai</t>
  </si>
  <si>
    <t>Sahir Abidali I</t>
  </si>
  <si>
    <t>9008468331</t>
  </si>
  <si>
    <t>9845709345</t>
  </si>
  <si>
    <t>Ardenwood Co-living , Egattur</t>
  </si>
  <si>
    <t>Ardenwood Co-living ,33, First Cross Road, Siruseri, Egattur, Tamil Nadu 603103</t>
  </si>
  <si>
    <t>Save us, when its needed, Thats all!</t>
  </si>
  <si>
    <t>Divyansh Karan</t>
  </si>
  <si>
    <t>Ardenwood Co-Living Egattur</t>
  </si>
  <si>
    <t>Ardenwood Co-Living 33, First Cross Road, Siruseri, Egattur, Tamil Nadu 603103</t>
  </si>
  <si>
    <t>vankayala manish</t>
  </si>
  <si>
    <t>6281931671</t>
  </si>
  <si>
    <t>9866769070</t>
  </si>
  <si>
    <t>ardenwood coliving siruseri</t>
  </si>
  <si>
    <t>33 first cross road,siruseri,egattur  tamilnadu,603103</t>
  </si>
  <si>
    <t>Harshita Jangde</t>
  </si>
  <si>
    <t>9770880986</t>
  </si>
  <si>
    <t>9406934479</t>
  </si>
  <si>
    <t>Ardenwood Co-living, Egattur</t>
  </si>
  <si>
    <t>Ardenwood Co-living, 33, first cross road, siruseri, egattur, Chennai, Tamil Nadu - 603103</t>
  </si>
  <si>
    <t>Sripadha Kakani</t>
  </si>
  <si>
    <t>6300889541</t>
  </si>
  <si>
    <t>8317598563</t>
  </si>
  <si>
    <t>Ardenwood Co-living, First Cross Road, Thiruporur, Tamil Nadu 603112</t>
  </si>
  <si>
    <t>Adithyan P</t>
  </si>
  <si>
    <t>9544067196</t>
  </si>
  <si>
    <t>9447476129</t>
  </si>
  <si>
    <t>Ardenwood Pg</t>
  </si>
  <si>
    <t>Ardenwood Pg, First Cross road, Egattur, Sirusseri, Tamil Nadu - 603103</t>
  </si>
  <si>
    <t>krish agrawal</t>
  </si>
  <si>
    <t>8094740811</t>
  </si>
  <si>
    <t>9414340811</t>
  </si>
  <si>
    <t xml:space="preserve">ardenwood pg </t>
  </si>
  <si>
    <t>sipcoit siruseri</t>
  </si>
  <si>
    <t>Shyam Kaushik</t>
  </si>
  <si>
    <t>8859424584</t>
  </si>
  <si>
    <t>7078686862</t>
  </si>
  <si>
    <t>Ardenwood pg Siruseri It park</t>
  </si>
  <si>
    <t>Ardenwood pg Egattur Siruseri Tamil Nadu</t>
  </si>
  <si>
    <t>Ardenwood PG, Egattur</t>
  </si>
  <si>
    <t>Srishty Pawar</t>
  </si>
  <si>
    <t>9179026823</t>
  </si>
  <si>
    <t>7999238483</t>
  </si>
  <si>
    <t>Ardenwood PG, Siruseri</t>
  </si>
  <si>
    <t>Ardenwood PG, First Cross Road, Siruseri, Egattur, Tamil Nadu, 603103</t>
  </si>
  <si>
    <t>Ayush Pratap Singh</t>
  </si>
  <si>
    <t>9411608110</t>
  </si>
  <si>
    <t>6263129399</t>
  </si>
  <si>
    <t>Ardenwood PG, Siruseri IT Park</t>
  </si>
  <si>
    <t>Ardenwood PG, 33, First Cross Road, Siruseri, Egattur, Tamil Nadu- 603103</t>
  </si>
  <si>
    <t>R Rakshitha</t>
  </si>
  <si>
    <t>9677785555</t>
  </si>
  <si>
    <t>9791135555</t>
  </si>
  <si>
    <t>Arunachala Apartments</t>
  </si>
  <si>
    <t>No: 72, Arunachala apartments, AVM Avenue, 3rd street, Virugambakkam, Chennai- 600092</t>
  </si>
  <si>
    <t>vadapalani</t>
  </si>
  <si>
    <t>Angel Maria F</t>
  </si>
  <si>
    <t>8838355245</t>
  </si>
  <si>
    <t>9551624238</t>
  </si>
  <si>
    <t>Assisi Nagar, Madhavaram</t>
  </si>
  <si>
    <t>No.229, 8th Street, Assisi Nagar, Madhavaram, Chennai - 600 060.</t>
  </si>
  <si>
    <t>Madhavaram</t>
  </si>
  <si>
    <t>Afnan Khan</t>
  </si>
  <si>
    <t>8957489942</t>
  </si>
  <si>
    <t>9795032370</t>
  </si>
  <si>
    <t>AT RumaH PG - Tvh Terrahub, Siruseri</t>
  </si>
  <si>
    <t>At RumaH PG, R6MC+68G TVH Terra Hub, Rumah Stays, Egattur, Tamil Nadu 603103</t>
  </si>
  <si>
    <t>Call me or WhatsApp on my contact number 8957489942</t>
  </si>
  <si>
    <t>Subashree Ramesh</t>
  </si>
  <si>
    <t>9629366390</t>
  </si>
  <si>
    <t>9345137792</t>
  </si>
  <si>
    <t>Aura ladies PG</t>
  </si>
  <si>
    <t>City park 86,third cross street ,siruseri 603103</t>
  </si>
  <si>
    <t>City park 86, muthamma street,third cross road,siruseri chennai 603103</t>
  </si>
  <si>
    <t>Aura ladies PG siruseri</t>
  </si>
  <si>
    <t>City park 86,muthamma street,third cross street,siruseri sipcot 603103</t>
  </si>
  <si>
    <t>Prethvi CR</t>
  </si>
  <si>
    <t>9342558257</t>
  </si>
  <si>
    <t>6369940469</t>
  </si>
  <si>
    <t>Aura nest Ladies Hostel - Siruseri</t>
  </si>
  <si>
    <t>City park 86, muthamma street, 3rd cross road, Siruseri, Chennai, Tamilnadu, - 603104</t>
  </si>
  <si>
    <t xml:space="preserve">Yarnagula Iswarya Lakshmi </t>
  </si>
  <si>
    <t>9392311101</t>
  </si>
  <si>
    <t>8341436276</t>
  </si>
  <si>
    <t>Aura nest ladies pg</t>
  </si>
  <si>
    <t>City park 86, muthamma street, Third Cross Road, Siruseri, Chennai, Tamil Nadu 603103·</t>
  </si>
  <si>
    <t>Perugu Radha</t>
  </si>
  <si>
    <t>9542142157</t>
  </si>
  <si>
    <t>9515221587</t>
  </si>
  <si>
    <t>Aura Nest Ladies PG</t>
  </si>
  <si>
    <t>Sipcot IT park , 2nd cross road</t>
  </si>
  <si>
    <t>Seethini Bhavana</t>
  </si>
  <si>
    <t>9381979752</t>
  </si>
  <si>
    <t>9177563524</t>
  </si>
  <si>
    <t>aura nest ladies pg, siruseri, sipcot it park</t>
  </si>
  <si>
    <t>Pooja S</t>
  </si>
  <si>
    <t>8098741173</t>
  </si>
  <si>
    <t>9360333551</t>
  </si>
  <si>
    <t>Aura nest pf for ladies</t>
  </si>
  <si>
    <t>Aura nest pf for ladies, 86-b, Mamoothiamman Street, City Park, Near Tcs New Building, Third Cross Road, Siruseri, Chennai-603103, Tamil Nadu</t>
  </si>
  <si>
    <t>Aura nest pf for women</t>
  </si>
  <si>
    <t>Aura Nest pg for ladies, 86-b, Mamoothiamman Street, City Park, Near Tcs New Building, Third Cross Road, Siruseri, Chennai-603103, Tamil Nadu</t>
  </si>
  <si>
    <t>Vaishnavi Vikas Deshmukhe</t>
  </si>
  <si>
    <t>9309897346</t>
  </si>
  <si>
    <t>9922387151</t>
  </si>
  <si>
    <t>Aura Nest Pg</t>
  </si>
  <si>
    <t>City park 86, muthamma street , Third cross road , siruseri , chennai , Tamilnadu</t>
  </si>
  <si>
    <t>no</t>
  </si>
  <si>
    <t>REVATI SREE P</t>
  </si>
  <si>
    <t>7358048271</t>
  </si>
  <si>
    <t>9444472211</t>
  </si>
  <si>
    <t>Aura Nest PG - Sipcot</t>
  </si>
  <si>
    <t>Aura Nest PG, #86-B, 3rd cross, Momoothiamman Street, CITY PARK, Sipcot, Siruseri, Chennai, Tamil Nadu 603103.</t>
  </si>
  <si>
    <t>Chittiprolu Navya Sri</t>
  </si>
  <si>
    <t>9032632113</t>
  </si>
  <si>
    <t>8096195419</t>
  </si>
  <si>
    <t>AURA NEST PG FOR LADIES</t>
  </si>
  <si>
    <t>AURA NEST PG FOR LADIES, City park 86, Muthamma street, Third cross road, Siruseri, Chennai, Tamil Nadu 603103</t>
  </si>
  <si>
    <t>Karthika Vijayakumar</t>
  </si>
  <si>
    <t>6382037178</t>
  </si>
  <si>
    <t>9080815512</t>
  </si>
  <si>
    <t>Aura Nest Pg for Ladies</t>
  </si>
  <si>
    <t>City Park 86, Muthamma street, Third cross Road, Siruseri, Chennai, Tamil Nadu 603103</t>
  </si>
  <si>
    <t>Yasarla Jahnavi</t>
  </si>
  <si>
    <t>7731036493</t>
  </si>
  <si>
    <t>9676296968</t>
  </si>
  <si>
    <t>Aura Nest PG for ladies</t>
  </si>
  <si>
    <t>Aura Nest PG for ladies,City park 86, muthamma street, Third Cross Road, Siruseri, Chennai, Tamil Nadu 603103</t>
  </si>
  <si>
    <t>No comments</t>
  </si>
  <si>
    <t>Aura Nest PG for Ladies,city park 86, muthamma street, Third Cross Road,Siruseri, Chennai,Tamil Nadu-603103</t>
  </si>
  <si>
    <t>Neha Namdev Kale</t>
  </si>
  <si>
    <t>9146579366</t>
  </si>
  <si>
    <t>9767838320</t>
  </si>
  <si>
    <t>City park 86, muthamma street, third cross road , siruseri ,Chennai , tamil nadu 603103</t>
  </si>
  <si>
    <t>Ambapali Datta</t>
  </si>
  <si>
    <t>7029857113</t>
  </si>
  <si>
    <t>9647315964</t>
  </si>
  <si>
    <t>Aura Nest PG For Ladies</t>
  </si>
  <si>
    <t>86-b, Mamoothiamman Street, City Park, Near Tcs New Building, Third Cross Road, Siruseri, Chennai-603103, Tamil Nadu</t>
  </si>
  <si>
    <t>Krithika Vivekanandan</t>
  </si>
  <si>
    <t>9566700692</t>
  </si>
  <si>
    <t>9442781692</t>
  </si>
  <si>
    <t>AURA NEST PG FOR LADIES 86 3rd Cross Street, SIRUSERI, Chennai, Tamil Nadu 600047</t>
  </si>
  <si>
    <t>Aura Nest Pg for Ladies 86-b, Mamoothiamman Street, City Park, Near Tcs New Building, Third Cross Road, Siruseri, Chennai-603103, Tamil Nadu.</t>
  </si>
  <si>
    <t>NAKKA DIVYA TEJASWI</t>
  </si>
  <si>
    <t>9392730234</t>
  </si>
  <si>
    <t>8019329399</t>
  </si>
  <si>
    <t>AURA NEST PG FOR LADIES, EGATTUR</t>
  </si>
  <si>
    <t>City park 86, muthamma street, Third Cross Road, Siruseri, Chennai, Tamil Nadu 603103</t>
  </si>
  <si>
    <t>Pragnya Srikrishnan</t>
  </si>
  <si>
    <t>9665807043</t>
  </si>
  <si>
    <t>9860832809</t>
  </si>
  <si>
    <t>Aura Nest PG for Ladies, near TCS, Egattur</t>
  </si>
  <si>
    <t>Panakala Kavya</t>
  </si>
  <si>
    <t>6304244850</t>
  </si>
  <si>
    <t>9381921022</t>
  </si>
  <si>
    <t>Aura Nest Pg for ladies, Sipcot</t>
  </si>
  <si>
    <t>City park 86, Muthamma Street, Third Cross Road, Siruseri, Chennai, Tamil Nadu, 610103</t>
  </si>
  <si>
    <t>Durga.R</t>
  </si>
  <si>
    <t>9751990353</t>
  </si>
  <si>
    <t>8428039345</t>
  </si>
  <si>
    <t>Aura Nest Pg for Ladies, Siruseri.</t>
  </si>
  <si>
    <t>Aura Nest Pg for Ladies, City Park 86, Muthamma street, Third Cross Road, Siruseri, Tamil Nadu-603103.</t>
  </si>
  <si>
    <t>Dudekula Rizwana</t>
  </si>
  <si>
    <t>7671852464</t>
  </si>
  <si>
    <t>9494680946</t>
  </si>
  <si>
    <t>Aura Nest PG for ladies,city park 86</t>
  </si>
  <si>
    <t>Aura Nest PG for ladies ,muthamma street,third cross road, Siruseri, Tamil Nadu - 603103</t>
  </si>
  <si>
    <t>Yamini Chowdary Vadlamudi</t>
  </si>
  <si>
    <t>6303090816</t>
  </si>
  <si>
    <t>7569792184</t>
  </si>
  <si>
    <t>aura nest pg -sipcot it park,siruseri</t>
  </si>
  <si>
    <t>aura nest pg - sipcot it park,siruseri</t>
  </si>
  <si>
    <t>Rani Chandrashekhar Mehetre</t>
  </si>
  <si>
    <t>7972914718</t>
  </si>
  <si>
    <t>9822634384</t>
  </si>
  <si>
    <t>Aura nest pg siruseri it park</t>
  </si>
  <si>
    <t xml:space="preserve">Aura nest pg for ladies siruseri it park </t>
  </si>
  <si>
    <t xml:space="preserve">Nothing </t>
  </si>
  <si>
    <t>SIRIGINEEDI GEETHA SUSHMA</t>
  </si>
  <si>
    <t>7981117644</t>
  </si>
  <si>
    <t>9959233147</t>
  </si>
  <si>
    <t>Aura nest PG Women, Egattur</t>
  </si>
  <si>
    <t>Aura nest PG Women, Egattur,Siruseri, Tamilnadu</t>
  </si>
  <si>
    <t>Shruti Ravindra Shimpi</t>
  </si>
  <si>
    <t>9028130832</t>
  </si>
  <si>
    <t>8830364463</t>
  </si>
  <si>
    <t>Aura Nest PG, Egattur</t>
  </si>
  <si>
    <t>Aura Nest PG, City 86 Park, Muthamma street, Third cross Road, Siruseri, Chennai, Tamil Nadu.</t>
  </si>
  <si>
    <t>Himasree Ramini</t>
  </si>
  <si>
    <t>9642990549</t>
  </si>
  <si>
    <t>7013405591</t>
  </si>
  <si>
    <t>AuraNest Pg for Ladies</t>
  </si>
  <si>
    <t>city Park 86, muthamma street, Third Cross Road, Siruseri, Chennai, Tamilnadu 603103</t>
  </si>
  <si>
    <t>Benny Gibson</t>
  </si>
  <si>
    <t>9342760971</t>
  </si>
  <si>
    <t>9488093038</t>
  </si>
  <si>
    <t>Ayyan Aradhya</t>
  </si>
  <si>
    <t>0.5, S1, Ayyan Aradhya, Vadakkuppattu, Medavakkam - 600100</t>
  </si>
  <si>
    <t>Ayyan Aradhya, Vadakkuppattu, Medavakkam - 600100</t>
  </si>
  <si>
    <t>Ragul A</t>
  </si>
  <si>
    <t>9751945033</t>
  </si>
  <si>
    <t>7010115332</t>
  </si>
  <si>
    <t>Ayyapa Jothi Ganesh Ram house</t>
  </si>
  <si>
    <t>Bharathi Nagar,4rth St, Shollinganallur, chennai 600119</t>
  </si>
  <si>
    <t>Sweta Thoppil</t>
  </si>
  <si>
    <t>9587878799</t>
  </si>
  <si>
    <t>9884618686</t>
  </si>
  <si>
    <t>B-25, 2 Floor, Nest Mojo Apartments, Modern Layout - 2 Main Road, Padur, Chennai, Tamil Nadu - 603103</t>
  </si>
  <si>
    <t>B-25, 2 Floor, Nest Mojo Apartments, Modern Layout - 2 Main Road, Padur, Chennai,  Tamil Nadu - 603103</t>
  </si>
  <si>
    <t>Padur</t>
  </si>
  <si>
    <t>Mangipudi Venkata Sai Abhiram</t>
  </si>
  <si>
    <t>9701279950</t>
  </si>
  <si>
    <t>9620147780</t>
  </si>
  <si>
    <t>B-311, Siddus Premium PG, Siruseri</t>
  </si>
  <si>
    <t>B-311, Siddus Premium PG, Siruseri, SIPCOT</t>
  </si>
  <si>
    <t>Arpan Nayak</t>
  </si>
  <si>
    <t>7439699581</t>
  </si>
  <si>
    <t>8777849167</t>
  </si>
  <si>
    <t>Balaji Infinity Pg, 4/108, Egattura</t>
  </si>
  <si>
    <t>Sachin Mudnalkar</t>
  </si>
  <si>
    <t>8970618409</t>
  </si>
  <si>
    <t>Balaji PG - Branch 1, Egattur</t>
  </si>
  <si>
    <t>Balaji PG, 1, St Thomas St, near Navalur, Egattur, 1, St Thomas St, near Navalur, Egattur, Chennai, Navalur, Tamil Nadu 600130</t>
  </si>
  <si>
    <t>Balaji Pg - Branch 1, Egattur</t>
  </si>
  <si>
    <t>1, St Thomas St, near Navalur, Egattur, 1, St Thomas St, near Navalur, Egattur, Chennai, Navalur, Tamil Nadu 600130</t>
  </si>
  <si>
    <t>Nagarjun G P</t>
  </si>
  <si>
    <t>9344042600</t>
  </si>
  <si>
    <t>9751677753</t>
  </si>
  <si>
    <t xml:space="preserve">Balu Gents PG </t>
  </si>
  <si>
    <t>Ram janani shri ram priya avaenue,Natham link road Navalur,Sipcot,Egattur,Siruseri,Tamil Nadu 600130</t>
  </si>
  <si>
    <t>Nishant Shanmukha Annalore</t>
  </si>
  <si>
    <t>8898230444</t>
  </si>
  <si>
    <t>8291253190</t>
  </si>
  <si>
    <t>BALU GENTS PG, Janani shri ram priya avenue, egattur, siruseri, tamilnadu 600130</t>
  </si>
  <si>
    <t>Krishnaraj G</t>
  </si>
  <si>
    <t>8072615731</t>
  </si>
  <si>
    <t>6369586708</t>
  </si>
  <si>
    <t>Balu Gents PG, Shri ram priya avenue, Natham Link road Navalur, Sipcot, Egattur, Siruseri, Tamil Nadu 600130</t>
  </si>
  <si>
    <t>Shreyas Bedi</t>
  </si>
  <si>
    <t>7906100519</t>
  </si>
  <si>
    <t>9259024956</t>
  </si>
  <si>
    <t>BLR Gents Luxury PG, Tera Hub</t>
  </si>
  <si>
    <t>BLR Gents Luxury PG, Tvh terra hub, 77,6th cross street, siru seri, Chennai, Tamil Nadu 600103, siru seri, chennai</t>
  </si>
  <si>
    <t>Pathan Sajid Khan</t>
  </si>
  <si>
    <t>6303445065</t>
  </si>
  <si>
    <t>8309890191</t>
  </si>
  <si>
    <t>BLR Gents PG Siruseri</t>
  </si>
  <si>
    <t>BLR Gents PG, Tvh Terra Hub, 77, 6th Cross street, Siruseri, Chennai, Tamil Nadu</t>
  </si>
  <si>
    <t>Balaji Boda</t>
  </si>
  <si>
    <t>9010568013</t>
  </si>
  <si>
    <t>8978399648</t>
  </si>
  <si>
    <t>BLR Mens PG</t>
  </si>
  <si>
    <t>BLR Mens PG, TVH Terra hub, 6th cross street, Siruseri, Chennai.</t>
  </si>
  <si>
    <t>Yadla Rohith</t>
  </si>
  <si>
    <t>7993574774</t>
  </si>
  <si>
    <t>7981839426</t>
  </si>
  <si>
    <t>BLR mens pg ,Egattur</t>
  </si>
  <si>
    <t>BLR mens pg ,Egattur,Siruseri, Tamil Nadu - 603103</t>
  </si>
  <si>
    <t>None</t>
  </si>
  <si>
    <t>Gowtham R</t>
  </si>
  <si>
    <t>7010877543</t>
  </si>
  <si>
    <t>9003271055</t>
  </si>
  <si>
    <t>Bluemoon Callisto</t>
  </si>
  <si>
    <t>NO 60 Flat no 4C(4th Floor) Block C,Bluemoon Callisto Anand Nagar Thoraipakkam Chennai-600097</t>
  </si>
  <si>
    <t>Poojitha Narendra</t>
  </si>
  <si>
    <t>9731304429</t>
  </si>
  <si>
    <t>9741252655</t>
  </si>
  <si>
    <t>Branch 1 SRS luxury pg for ladies</t>
  </si>
  <si>
    <t>Branch 1 SRS luxury pg for women, gangai amman kovali street, opposite to A2B, Egattur, Siruseri, Tamil Nadu- 600130</t>
  </si>
  <si>
    <t>Branch 1 SRS luxury pg for women</t>
  </si>
  <si>
    <t>Branch 1 SRS luxury pg for ladies, Gangai Amman Kovil Street, Opposite to A2B, Egattur, Siruseri, Tamil Nadu- 600130</t>
  </si>
  <si>
    <t>Namboo Shree S</t>
  </si>
  <si>
    <t>9500678768</t>
  </si>
  <si>
    <t>9843368048</t>
  </si>
  <si>
    <t>Branch 2, SRS luxury PG for Womens, HP petrol pump, vembuliamman koil street, behind navalur, Egattur, Chennai.</t>
  </si>
  <si>
    <t>SEELAM ASHA</t>
  </si>
  <si>
    <t>8074578278</t>
  </si>
  <si>
    <t>9676967903</t>
  </si>
  <si>
    <t>Branch-1, SRS Luxury PG For Woman (ladies hostel, Gangai Amman Kovil St, near Marina Mall, opposite to A2B, Egattur, Chennai, Tamil Nadu 600130</t>
  </si>
  <si>
    <t xml:space="preserve">Golipally Greeshma </t>
  </si>
  <si>
    <t>9492296247</t>
  </si>
  <si>
    <t>9949338691</t>
  </si>
  <si>
    <t>Sai Vinay Sanka</t>
  </si>
  <si>
    <t>9032328316</t>
  </si>
  <si>
    <t>9989106282</t>
  </si>
  <si>
    <t>Brindhavanam HOMELY HEAVEN PG FOR MEN</t>
  </si>
  <si>
    <t>Brindhavanam HOMELY HEAVEN PG FOR MEN No.2/157, Thazhambur Road, Navalur, Chennai-600130.</t>
  </si>
  <si>
    <t>JANARTHANAN T</t>
  </si>
  <si>
    <t>9943057473</t>
  </si>
  <si>
    <t>9894066182</t>
  </si>
  <si>
    <t>Bro Space PG</t>
  </si>
  <si>
    <t>Bro Space PG, Navalur, Siruseri, chennai, Tamilnadu.</t>
  </si>
  <si>
    <t>Kannan</t>
  </si>
  <si>
    <t>6374362066</t>
  </si>
  <si>
    <t>8012742585</t>
  </si>
  <si>
    <t>BROSPACE Phoenix premium Men PG - Navalur</t>
  </si>
  <si>
    <t>BROSPACE Phoenix Premium Men PG, Indra Gandhi street, Navalur, 600130</t>
  </si>
  <si>
    <t>Abhi Verma</t>
  </si>
  <si>
    <t>8917785451</t>
  </si>
  <si>
    <t>9140025095</t>
  </si>
  <si>
    <t>BROSPACE Phoenix Premium Mens PG Hostel</t>
  </si>
  <si>
    <t>BROSPACE Phoenix Premium Mens PG Indra Gandhi street, Navalur, Tamil Nadu 600130</t>
  </si>
  <si>
    <t>sivasakthi S</t>
  </si>
  <si>
    <t>6379228260</t>
  </si>
  <si>
    <t>7904819050</t>
  </si>
  <si>
    <t>BROSPACE Phoenix Premium Mens PG Hostel, Navalur</t>
  </si>
  <si>
    <t>BROSPACE Phoenix Premium Mens PG Hostel, Indra Gandhi street, Navalur, Tamil Nadu 600130</t>
  </si>
  <si>
    <t>I think address of my pg in google is wrong my pg is in 3rd Street, Vijaya Ganapathi Nagar, Navalur, Tamil Nadu 600130</t>
  </si>
  <si>
    <t>Palanivel P</t>
  </si>
  <si>
    <t>7708323090</t>
  </si>
  <si>
    <t>9791609316</t>
  </si>
  <si>
    <t>Brospace Phoneix PG , Navalur</t>
  </si>
  <si>
    <t>Brospace Phoneix PG ,Mayana Salai Street, Navalur,Tamil Nadu ,636130</t>
  </si>
  <si>
    <t>Brospace phoneix pg -navalur</t>
  </si>
  <si>
    <t>Brospace phoneix pg -mayana salai street,navalur,tamil nadu ,636130</t>
  </si>
  <si>
    <t>Sundar S</t>
  </si>
  <si>
    <t>8667892496</t>
  </si>
  <si>
    <t>9894653027</t>
  </si>
  <si>
    <t>Brotherhood Boys Hostel</t>
  </si>
  <si>
    <t>Brotherhood Boys hostel Medavakkam &amp; Pallikaranai, 11/238, Bharathi, Medavakkam, 1st Cross St, near Venkateshwara Scans, Medavakkam, Tamil Nadu 600100</t>
  </si>
  <si>
    <t>Raghav Kothari</t>
  </si>
  <si>
    <t>9413654169</t>
  </si>
  <si>
    <t>9460112848</t>
  </si>
  <si>
    <t>C-1004, Radiance shine</t>
  </si>
  <si>
    <t>C-1004, Radiance Shine, Kallipatur</t>
  </si>
  <si>
    <t>Pavithra Kandasamy</t>
  </si>
  <si>
    <t>9786163347</t>
  </si>
  <si>
    <t>9444660408</t>
  </si>
  <si>
    <t>CasaGrand Supremus Block 2</t>
  </si>
  <si>
    <t>B2, A304, Casagrand Supremus, Sipcot Thazhambur Road, Chennai, TamilNadu 600130</t>
  </si>
  <si>
    <t>3</t>
  </si>
  <si>
    <t>Thalambur</t>
  </si>
  <si>
    <t>Vishnupriya D</t>
  </si>
  <si>
    <t>9159306817</t>
  </si>
  <si>
    <t>9965982607</t>
  </si>
  <si>
    <t>Casagrand Supremus, Thalambur</t>
  </si>
  <si>
    <t>Block A2, Flat number 304, Casagrand Supremus, Thalambur</t>
  </si>
  <si>
    <t>Suresh Babu K</t>
  </si>
  <si>
    <t>9345783603</t>
  </si>
  <si>
    <t>7010234859</t>
  </si>
  <si>
    <t>Chakar Gents PG Branch 1, Egattur</t>
  </si>
  <si>
    <t>Chakar Gents PG Branch 1,No 149/25A,Gangai Amman Kovil Street, Egattur , OMR ,Chennai - 603103</t>
  </si>
  <si>
    <t>Siddharth Vijay Waghmare</t>
  </si>
  <si>
    <t>8329254153</t>
  </si>
  <si>
    <t>9921302687</t>
  </si>
  <si>
    <t>Chakara Mens PG Branch 1,Egattur</t>
  </si>
  <si>
    <t>Chakara Mens PG Branch 1 ,No 149/25A, Gangai Amman Koil Street, Rajiv Gandhi Salai, Egattur, Chennai, Tamil Nadu 603103</t>
  </si>
  <si>
    <t>Saurav singh</t>
  </si>
  <si>
    <t>9693256273</t>
  </si>
  <si>
    <t>9311306060</t>
  </si>
  <si>
    <t>Chakra Gent PG</t>
  </si>
  <si>
    <t>No 149/25A, Gangai Amman Koil Street, Rajiv Gandhi Salai Egattur, Chennai, Tamil Nadu 603103</t>
  </si>
  <si>
    <t>Karan Raj T</t>
  </si>
  <si>
    <t>7010130390</t>
  </si>
  <si>
    <t>9842747187</t>
  </si>
  <si>
    <t>Chakra Gents PG</t>
  </si>
  <si>
    <t>Chakra Gents PG, Branch-I, No 149/25A, Gangai Amman Koil Street, Egattur, OMR, Chennai-603103</t>
  </si>
  <si>
    <t>Amin Nashir Shaikh</t>
  </si>
  <si>
    <t>8080902976</t>
  </si>
  <si>
    <t>9011817867</t>
  </si>
  <si>
    <t>Chakra Gents PG, Room No.305, Siruseri</t>
  </si>
  <si>
    <t>Amrut Shreedhar Kadli</t>
  </si>
  <si>
    <t>7411313763</t>
  </si>
  <si>
    <t>9742941111</t>
  </si>
  <si>
    <t>Chakra Gents PG, TVH Park, SIPCOT IT Park, Siruseri, Tamil Nadu 603103</t>
  </si>
  <si>
    <t>Laxman Hadagali</t>
  </si>
  <si>
    <t>9482095319</t>
  </si>
  <si>
    <t>9844235319</t>
  </si>
  <si>
    <t xml:space="preserve">Chakra Gents PG - Branch 2 </t>
  </si>
  <si>
    <t>Chakra Gents PG, Branch 2, TVH TERA HUB, 4TH STREET,Rajiv gandhi salai , SIPCOT, siruseri, chennai ,Tamil Nadu 603103</t>
  </si>
  <si>
    <t>PRANAV A S</t>
  </si>
  <si>
    <t>9384125235</t>
  </si>
  <si>
    <t>9788005235</t>
  </si>
  <si>
    <t>CHAKRA GENTS PG BRANCH 1</t>
  </si>
  <si>
    <t>CHAKRA GENTS PG BRANCH 1,Gangai Amman Kovil Street, Egattur,  Siruseri, Tamil Nadu - 603103</t>
  </si>
  <si>
    <t>Chakra Gents PG Branch 1, Egattur</t>
  </si>
  <si>
    <t>Chakra Gents PG Branch 1, No. 149/25A , Gangai Amman Kovil Street, Egattur , OMR ,Chennai-603103</t>
  </si>
  <si>
    <t>Karri Jnan Kumar</t>
  </si>
  <si>
    <t>6303084615</t>
  </si>
  <si>
    <t>7032897655</t>
  </si>
  <si>
    <t>CHAKRA GENTS PG BRANCH 3</t>
  </si>
  <si>
    <t>CHAKRA GENTS PG BRANCH 3, TVH TERA HUB, 6 th Street, Rajiv Gandhi Salai, SIPCOT, Siruseri, Chennai, Tamil Nadu 603103</t>
  </si>
  <si>
    <t>Killamsetti Jayaram</t>
  </si>
  <si>
    <t>7396772861</t>
  </si>
  <si>
    <t>9849654741</t>
  </si>
  <si>
    <t>CHAKRA GENTS PG BRANCH 3, TVH TERA HUB, 6 th Street, Rajiv Gandhi Salai, SIPCOT, Siruseri, Chennai, Tamil Nadu 60310</t>
  </si>
  <si>
    <t>VAYILAPALLI DILEEP</t>
  </si>
  <si>
    <t>8919340546</t>
  </si>
  <si>
    <t>9381673971</t>
  </si>
  <si>
    <t>Yash Kumar Pathak</t>
  </si>
  <si>
    <t>9297815663</t>
  </si>
  <si>
    <t>9835107248</t>
  </si>
  <si>
    <t>Chakra Gents PG-Branch 1, Egattur</t>
  </si>
  <si>
    <t>Chakra Gents PG-Branch 1, Gangai Amman Koli Street, Rajiv Gandhi Salai, Egattur, Chennai, Tamil Nadu</t>
  </si>
  <si>
    <t>Tamilkumaran S M</t>
  </si>
  <si>
    <t>6383225574</t>
  </si>
  <si>
    <t>9994819033</t>
  </si>
  <si>
    <t>Chakra mens pg, Doctor Ambedkar street, Egattur, Uthandi, Chengalpattu, Tamil Nadu - 600130</t>
  </si>
  <si>
    <t>Rosshan N R</t>
  </si>
  <si>
    <t>9843041169</t>
  </si>
  <si>
    <t>9698655055</t>
  </si>
  <si>
    <t>Chandra gents pg</t>
  </si>
  <si>
    <t>Terrahub, 4th Street, near tcs. mohammad satak college, Siruseri, Egattur, Tamil Nadu 600103</t>
  </si>
  <si>
    <t>Rohit Kishor Dhandar</t>
  </si>
  <si>
    <t>7410701300</t>
  </si>
  <si>
    <t>8856013277</t>
  </si>
  <si>
    <t>Chandra Gents PG</t>
  </si>
  <si>
    <t>Chandra gents pg, tvs terrahub, 4th street, near tcs, mohammad satak college, siruseri, egattur, chennai, tamilnadu 600103</t>
  </si>
  <si>
    <t>Pathan Naveed Khan</t>
  </si>
  <si>
    <t>8309718893</t>
  </si>
  <si>
    <t>7013131016</t>
  </si>
  <si>
    <t>Chandra gents Pg</t>
  </si>
  <si>
    <t>Chandra gents Pg, near Sipcot TCS Gate 1,Egattur, Chennai,603103</t>
  </si>
  <si>
    <t>Mukunda Sagar Varma Amireddy</t>
  </si>
  <si>
    <t>7794862306</t>
  </si>
  <si>
    <t>9704409639</t>
  </si>
  <si>
    <t>Chandra gents pg, Tvh Terrahub, 4th Street, near tcs. mohammad satak college, Siruseri, Egattur, Tamil Nadu 600103</t>
  </si>
  <si>
    <t>Mudde Vijay</t>
  </si>
  <si>
    <t>8247748151</t>
  </si>
  <si>
    <t>9346147048</t>
  </si>
  <si>
    <t>Chandra gents PG</t>
  </si>
  <si>
    <t>Chandra gents PG, TVH Terra Hub 4th street, Near mohamad satak college, siruseri, egattur, Tamil Nadu</t>
  </si>
  <si>
    <t>Amartya Menon PP</t>
  </si>
  <si>
    <t>8138832061</t>
  </si>
  <si>
    <t>7736755746</t>
  </si>
  <si>
    <t>Chandra Gents Pg</t>
  </si>
  <si>
    <t>Noel Alexander V</t>
  </si>
  <si>
    <t>9597091088</t>
  </si>
  <si>
    <t>9952368904</t>
  </si>
  <si>
    <t xml:space="preserve">Chandra Gents Pg </t>
  </si>
  <si>
    <t>Chandra Gents Pg Sipcot, Siruseri, Egattur Tamil Nadu.</t>
  </si>
  <si>
    <t>Mohammad Arqum Hasanuddin</t>
  </si>
  <si>
    <t>9595599476</t>
  </si>
  <si>
    <t>9595390694</t>
  </si>
  <si>
    <t xml:space="preserve">Chandra Gents Pg , TVH terra Hub , Siruseri </t>
  </si>
  <si>
    <t>Chandra Gents Pg , TVH terra Hub , Siruseri ,Egattur ,Chennai , TN - 603103</t>
  </si>
  <si>
    <t>Velagani Venkata Durga Prasad</t>
  </si>
  <si>
    <t>8790268697</t>
  </si>
  <si>
    <t>7731093990</t>
  </si>
  <si>
    <t>Chandra Gents PG, 4th street TVH TerraHub, Near Mohammed Satak College, Siruseri.</t>
  </si>
  <si>
    <t>Chandra Gents PG, 4th Street, TVH TerraHub, Near Mohammed Satak College, Siruseri, Egattur, TamilNadu, 600103.</t>
  </si>
  <si>
    <t xml:space="preserve">VATSAVAYI MAHENDRA VARMA </t>
  </si>
  <si>
    <t>8712254588</t>
  </si>
  <si>
    <t>9391110577</t>
  </si>
  <si>
    <t>Chandra gents pg, Egattur</t>
  </si>
  <si>
    <t>Chandra gents pg, Tvh terra hub, 4th street, Egattur, Siruseri, Tamil Nadu- 603103</t>
  </si>
  <si>
    <t>Arunkumar Kanakaraj</t>
  </si>
  <si>
    <t>9994363342</t>
  </si>
  <si>
    <t>9715377321</t>
  </si>
  <si>
    <t>Chennais Elite mens PG</t>
  </si>
  <si>
    <t xml:space="preserve">3/53, Mettu Street, Kalipattur, Tamil Nadu 603103  </t>
  </si>
  <si>
    <t>City Park 86, Muthamma street third cross Road, Siruseri, Chennai,Tamil Nadu 603103</t>
  </si>
  <si>
    <t>Samruddhi Anil Avasare</t>
  </si>
  <si>
    <t>8459917802</t>
  </si>
  <si>
    <t>9579540474</t>
  </si>
  <si>
    <t>City park 86,muthamma street,Third cross road,siruseri,chennai,tamilnadu 603103</t>
  </si>
  <si>
    <t>Sreerama Venkata Sai Raghavendra Rohan</t>
  </si>
  <si>
    <t>7396598304</t>
  </si>
  <si>
    <t>9866652096</t>
  </si>
  <si>
    <t>City Park Layout, 116 A2, 2nd Cross St, Siruseri, Kalipattur, Tamil Nadu 603103</t>
  </si>
  <si>
    <t xml:space="preserve">Bhaskara Dhulipudi </t>
  </si>
  <si>
    <t>9948053384</t>
  </si>
  <si>
    <t>9951535258</t>
  </si>
  <si>
    <t xml:space="preserve">City park, Plot#95A, Mamoothiamman, 3rd St, Sipcot, Siruseri, Chennai, Tamil Nadu 603103  </t>
  </si>
  <si>
    <t>PRIYADHARSHINI K</t>
  </si>
  <si>
    <t>9943210515</t>
  </si>
  <si>
    <t>9943218814</t>
  </si>
  <si>
    <t>CLOUD LAND NAVALUR</t>
  </si>
  <si>
    <t xml:space="preserve">SAMBAL NAGAR CLOUD LAND PG NAVALUR </t>
  </si>
  <si>
    <t>Bhavan shankar M</t>
  </si>
  <si>
    <t>8778934798</t>
  </si>
  <si>
    <t>9884487017</t>
  </si>
  <si>
    <t>CNR 2 PG Gents</t>
  </si>
  <si>
    <t>CNR 2 nd PG gents  Mamoothiamman, 2nd St, Siruseri, Egattur, Tamil Nadu 603103</t>
  </si>
  <si>
    <t>Ankith L</t>
  </si>
  <si>
    <t>7019149612</t>
  </si>
  <si>
    <t>9844059746</t>
  </si>
  <si>
    <t xml:space="preserve">cnr branch 1 pg </t>
  </si>
  <si>
    <t>City park, Plot#95A, Mamoothiamman, 3rd St, Sipcot, Siruseri, Chennai, Tamil Nadu 603103</t>
  </si>
  <si>
    <t>Rohit Richard Amedas</t>
  </si>
  <si>
    <t>8928660265</t>
  </si>
  <si>
    <t>9029848330</t>
  </si>
  <si>
    <t>CNR branch 2</t>
  </si>
  <si>
    <t xml:space="preserve">plot no 20 mamoothiamman 2nd street CNR gents PG branch 2 city park siruseri </t>
  </si>
  <si>
    <t>Harish Suresh</t>
  </si>
  <si>
    <t>9940013840</t>
  </si>
  <si>
    <t>9840227713</t>
  </si>
  <si>
    <t>CNR branch 2 Sipcot</t>
  </si>
  <si>
    <t>Nagiri Keshava Naidu</t>
  </si>
  <si>
    <t>9392360409</t>
  </si>
  <si>
    <t>8885457687</t>
  </si>
  <si>
    <t>CNR gents Pg</t>
  </si>
  <si>
    <t>CNR gents Pg Egattur</t>
  </si>
  <si>
    <t>Bhadane Lalit Sanjay</t>
  </si>
  <si>
    <t>8767709284</t>
  </si>
  <si>
    <t>9834582875</t>
  </si>
  <si>
    <t>CNR Gents PG - Branch 1 , Egattur</t>
  </si>
  <si>
    <t>CNR gents pg branch-1 siruseri sipcot, mamoothiamman, 3rd St, Egattur. Tamil Nadu 603103</t>
  </si>
  <si>
    <t>Sikilammetla Suman</t>
  </si>
  <si>
    <t>8247361963</t>
  </si>
  <si>
    <t>9491926380</t>
  </si>
  <si>
    <t>CNR Gents PG  BRANCH -1, Egattur</t>
  </si>
  <si>
    <t>CNR Gents PG  BRANCH -1 , Siruseri Sipcot, Mamoothiamman, 3rd Street, Egattur, Tamil Nadu, 603103</t>
  </si>
  <si>
    <t>Rahul kumar</t>
  </si>
  <si>
    <t>7082041646</t>
  </si>
  <si>
    <t>9466090646</t>
  </si>
  <si>
    <t>CNR Gents PG - Branch 1, Egattur</t>
  </si>
  <si>
    <t>CNR gents PG Branch-1, Mamoothiamman, City park, 3rd St, Sipcot, Siruseri, Chennai, Tamil Nadu 603103, India</t>
  </si>
  <si>
    <t>Poola Charan Kumar</t>
  </si>
  <si>
    <t>9391390192</t>
  </si>
  <si>
    <t>8074964662</t>
  </si>
  <si>
    <t>CNR Gents PG, Branch 1, Mamoothiamman, 3rd St, Egattur, Tamil Nadu 603103</t>
  </si>
  <si>
    <t>Yash Nitin Shirsath</t>
  </si>
  <si>
    <t>8999987355</t>
  </si>
  <si>
    <t>8999091607</t>
  </si>
  <si>
    <t>CNR Gents PG - Branch 1, Mamoothiamman, 3rd St Egattur, Tamil Nadu 603103</t>
  </si>
  <si>
    <t>Kompala Harshith</t>
  </si>
  <si>
    <t>8639500097</t>
  </si>
  <si>
    <t>8688458944</t>
  </si>
  <si>
    <t>CNR Gents PG - Branch 1, Siruseri</t>
  </si>
  <si>
    <t>CNR Gents PG, Branch 1, Mamoothiamman, 2nd street, Siruseri, Egattur, Tamil Nadu 603103</t>
  </si>
  <si>
    <t>CNR Gents Pg - Branch 1, Siruseri</t>
  </si>
  <si>
    <t>CNR GENTS PG BRANCH 1, R6GF+8WP, KALIPATTUR, EGATTUR, TAMIL NADU, 603103</t>
  </si>
  <si>
    <t>Vishwanathan N</t>
  </si>
  <si>
    <t>9790739680</t>
  </si>
  <si>
    <t>6379689860</t>
  </si>
  <si>
    <t>Cnr gents PG 2, Egattur</t>
  </si>
  <si>
    <t>Cnr gents PG 2, Mamoothaiamman, 2nd St, Siruseri, Egatttur, TamilNadu</t>
  </si>
  <si>
    <t>Anuj Rajesh Pisole</t>
  </si>
  <si>
    <t>7058163035</t>
  </si>
  <si>
    <t>7887628049</t>
  </si>
  <si>
    <t>CNR GENTS PG BRANCH - 1</t>
  </si>
  <si>
    <t>CNR GENTS PG BRANCH - 1 , Sipcot,Siruseri,Egattur,Chennai,Tamil Nadu - 603103</t>
  </si>
  <si>
    <t>Bodimalla Sudheer</t>
  </si>
  <si>
    <t>9701216708</t>
  </si>
  <si>
    <t>9652798314</t>
  </si>
  <si>
    <t>CNR Gents PG Branch - 1, Egatur</t>
  </si>
  <si>
    <t>CNR Gents PG Branch - 1, 3rd Street, SIPCOT, Egattur, TamilNadu 603103</t>
  </si>
  <si>
    <t>CNR Gents PG Branch - 1, SIPCOT,  Egattur</t>
  </si>
  <si>
    <t>CNR Gents PG Branch - 1, 3rd Street, SIPCOT,  Egattur, Chennai 603103</t>
  </si>
  <si>
    <t>SUJAL BHUSHANRAO KARNE</t>
  </si>
  <si>
    <t>9322826190</t>
  </si>
  <si>
    <t>9527392237</t>
  </si>
  <si>
    <t>CNR GENTS PG BRANCH 1</t>
  </si>
  <si>
    <t>CNR GENTS PG BRANCH-1 SIRUSERI SIPCOT, Mamoothiamman, 3rd St, Egattur, Tamil Nadu 603103</t>
  </si>
  <si>
    <t>Kondapalli Sai Kumar</t>
  </si>
  <si>
    <t>9381602408</t>
  </si>
  <si>
    <t>9391683260</t>
  </si>
  <si>
    <t>CNR Gents PG -Branch 1 , Siruseri</t>
  </si>
  <si>
    <t>CNR Gents PG -Branch 1 , Siruseri Tamil Nadu - 603103</t>
  </si>
  <si>
    <t>Pawan Gadelavarthi</t>
  </si>
  <si>
    <t>7483139055</t>
  </si>
  <si>
    <t>9703629445</t>
  </si>
  <si>
    <t>Uncle/Aunt</t>
  </si>
  <si>
    <t>CNR Gents PG Branch 1 ,3rd Street ,Egatur, Chennai</t>
  </si>
  <si>
    <t xml:space="preserve">CNR Gents PG Branch 1 , SIPCOT, Mamoothiamman, 3rd St, Egattur,Tamilnadu - 603103 </t>
  </si>
  <si>
    <t>Odela sai sri bhargav</t>
  </si>
  <si>
    <t>9390550754</t>
  </si>
  <si>
    <t>CNR gents pg branch 1 ,Egattur</t>
  </si>
  <si>
    <t>CNR gents pg branch 1,R6GF+8WP,Kalipattur,Egattur,Tamilnadu 603103</t>
  </si>
  <si>
    <t>Mahantesh Chikkeri</t>
  </si>
  <si>
    <t>9606293345</t>
  </si>
  <si>
    <t>9901861318</t>
  </si>
  <si>
    <t>CNR GENTS PG BRANCH 1 SERUSERI</t>
  </si>
  <si>
    <t>CNR GENTS PG BRANCH 1 Egattur, Siruseri, Tamil Nadu - 603103</t>
  </si>
  <si>
    <t>.....</t>
  </si>
  <si>
    <t>Aniket Dnyaneshwar Auty</t>
  </si>
  <si>
    <t>9022615614</t>
  </si>
  <si>
    <t>7020364190</t>
  </si>
  <si>
    <t xml:space="preserve">CNR GENTS PG BRANCH 1 SIRUSERI SIPCOT </t>
  </si>
  <si>
    <t>CNR GENTS PG BRANCH 1  Egattur, SIRUSERI SIPCOT, Tamil Nadu</t>
  </si>
  <si>
    <t>Odela Sai Sri Bhargav</t>
  </si>
  <si>
    <t>CNR Gents PG Branch 1, Egattur</t>
  </si>
  <si>
    <t>CNR GENTS PG , Branch1 kalipattur, Egattur, Siruseri, Tamil Nadu - 603103</t>
  </si>
  <si>
    <t>Shaik Abdul Sahil</t>
  </si>
  <si>
    <t>9701845655</t>
  </si>
  <si>
    <t>9963128787</t>
  </si>
  <si>
    <t>CNR Gents Pg Branch 1, Egattur</t>
  </si>
  <si>
    <t>CNR Gents Pg Branch 1, Egattur, Siruseri, TamilNadu</t>
  </si>
  <si>
    <t>Yogesh Ajaysing Gour</t>
  </si>
  <si>
    <t>9307714429</t>
  </si>
  <si>
    <t>9673067297</t>
  </si>
  <si>
    <t>CNR Gents PG Branch 1, Sipcot, Siruseri.</t>
  </si>
  <si>
    <t xml:space="preserve"> Plot no.95, CNR Gents PG Branch 1, Sipcot, Padur Post, Siruseri, Chegalpattu district, 603103, Tamilnadu.</t>
  </si>
  <si>
    <t>Nese Charan Teja</t>
  </si>
  <si>
    <t>9640245003</t>
  </si>
  <si>
    <t>8019364101</t>
  </si>
  <si>
    <t>CNR Gents Pg branch 1, Siruseri</t>
  </si>
  <si>
    <t>CNR Gents Pg branch 1, Siruseri , Chennai , Tamil Nadu 603103</t>
  </si>
  <si>
    <t>Karri Chandu</t>
  </si>
  <si>
    <t>9014961420</t>
  </si>
  <si>
    <t>9347810399</t>
  </si>
  <si>
    <t>CNR gents PG Branch 1,Egattur</t>
  </si>
  <si>
    <t>CNR Gents PG Branch-1, Mamoothiamman, 3rd St, Egattur, Tamil Nadu 603103</t>
  </si>
  <si>
    <t>KANBUDDI GOURI SHIVA SHANKAR REDDY</t>
  </si>
  <si>
    <t>7981933609</t>
  </si>
  <si>
    <t>9398764618</t>
  </si>
  <si>
    <t>CNR GENTS PG BRANCH 1,EGATTUR</t>
  </si>
  <si>
    <t>CNR GENTS PG BRANCH 1,MAMOOTHIAMMAN,3RD STREET ,EGATTUR,TAMIL NADU 603103</t>
  </si>
  <si>
    <t>Abhishek Trambak Daware</t>
  </si>
  <si>
    <t>9022358211</t>
  </si>
  <si>
    <t>8766450740</t>
  </si>
  <si>
    <t>CNR Gents PG Branch 2</t>
  </si>
  <si>
    <t>CNR Gents PG Branch 2 Egattur, Siruseri, Tamil Nadu - 603103</t>
  </si>
  <si>
    <t>Sourabh Balaso Chindage</t>
  </si>
  <si>
    <t>8805709502</t>
  </si>
  <si>
    <t>8805239196</t>
  </si>
  <si>
    <t>CNR Gents PG Branch 2, SIPCOT, Egattur, Siruseri, Tamil Nadu - 603103</t>
  </si>
  <si>
    <t>Ronith Kumar</t>
  </si>
  <si>
    <t>8340754107</t>
  </si>
  <si>
    <t>8618947831</t>
  </si>
  <si>
    <t>CNR Gents PG branch 2 SIPCOT</t>
  </si>
  <si>
    <t>Hitendra Arvind Singh</t>
  </si>
  <si>
    <t>8591082452</t>
  </si>
  <si>
    <t>7039655345</t>
  </si>
  <si>
    <t>CNR Gents PG Branch 2, SIPCOT</t>
  </si>
  <si>
    <t>Mamoothiamman, 2nd Street, Siruseri / Egatoor, Chennai - 603103, Tamil Nadu</t>
  </si>
  <si>
    <t>Rohit Anil Mahajan</t>
  </si>
  <si>
    <t>8010159156</t>
  </si>
  <si>
    <t>9881834585</t>
  </si>
  <si>
    <t>CNR Gents PG Branch-1</t>
  </si>
  <si>
    <t>CNR Gents PG Branch-1 Mamoothiamman, 3rd street, Egattur, Chennai, 603103</t>
  </si>
  <si>
    <t>Manchikanti Navaneeth</t>
  </si>
  <si>
    <t>8106825041</t>
  </si>
  <si>
    <t>9182472987</t>
  </si>
  <si>
    <t>CNR gents pg branch-1</t>
  </si>
  <si>
    <t xml:space="preserve">Mamoothiamman 3rd street Egattur ,near siruseri spicot it park </t>
  </si>
  <si>
    <t>Harshith K</t>
  </si>
  <si>
    <t>6363335930</t>
  </si>
  <si>
    <t>7975354859</t>
  </si>
  <si>
    <t xml:space="preserve">CNR GENTS PG BRANCH-1 </t>
  </si>
  <si>
    <t>medicines(insulin)</t>
  </si>
  <si>
    <t>Katikaparlu Karthik</t>
  </si>
  <si>
    <t>6281690638</t>
  </si>
  <si>
    <t>9966609015</t>
  </si>
  <si>
    <t>CNR Gents PG Branch-1 , SIRUSERI SIPCOT</t>
  </si>
  <si>
    <t>CNR Gents PG Branch -1 , SIRUSERI SPICOT , MAMOOTHIAMMAN,3RD ST, EGATTUR , TAMIL NADU 603103</t>
  </si>
  <si>
    <t>Balusu Vignesh</t>
  </si>
  <si>
    <t>9059379789</t>
  </si>
  <si>
    <t>9246914999</t>
  </si>
  <si>
    <t>CNR GENTS PG BRANCH-1 SIRUSERI SIPCOT</t>
  </si>
  <si>
    <t>Sandeep Laxman Jalandra</t>
  </si>
  <si>
    <t>9326773498</t>
  </si>
  <si>
    <t>9322066683</t>
  </si>
  <si>
    <t>Narsingandla Suresh</t>
  </si>
  <si>
    <t>7093226264</t>
  </si>
  <si>
    <t>8978266137</t>
  </si>
  <si>
    <t>Pavan Raj R</t>
  </si>
  <si>
    <t>7760813594</t>
  </si>
  <si>
    <t>9611645530</t>
  </si>
  <si>
    <t>Nallella Charan</t>
  </si>
  <si>
    <t>6302396580</t>
  </si>
  <si>
    <t>9989964263</t>
  </si>
  <si>
    <t>CNR GENTS PG BRANCH-1 SIRUSERI SIPCOT, Mamoothiamman, 3rd street, Egattur . Tamil Nadu - 603103</t>
  </si>
  <si>
    <t>CNR GENTS PG BRANCH-1 SIRUSERI SIPCOT.</t>
  </si>
  <si>
    <t>Attuluri Sai Omkar</t>
  </si>
  <si>
    <t>7013249226</t>
  </si>
  <si>
    <t>9441040303</t>
  </si>
  <si>
    <t>CNR Gents PG Branch-1, Egattur</t>
  </si>
  <si>
    <t>Tanish Jhamtani</t>
  </si>
  <si>
    <t>6232136860</t>
  </si>
  <si>
    <t>9926568606</t>
  </si>
  <si>
    <t>CNR Gents pg branch-1, Egattur</t>
  </si>
  <si>
    <t>CNR Gents PG Branch-1, 3rd Street, Mamoothiamman, Egattur, Siruseri, Tamil Nadu- 603103</t>
  </si>
  <si>
    <t>Naveen Kumar Marada</t>
  </si>
  <si>
    <t>7981670890</t>
  </si>
  <si>
    <t>9959736054</t>
  </si>
  <si>
    <t>CNR Gents pg branch-1, Egattur, siruseri sipcot</t>
  </si>
  <si>
    <t>CNR GENTS PG BRANCH-1 SIRUSERI SIPCOT,Mamoothiamman, 3rd St, Egattur, Tamil Nadu 603103</t>
  </si>
  <si>
    <t>CNR Gents PG Branch-1, Egatur</t>
  </si>
  <si>
    <t>CNR Gents PG Branch-1, 3rd street, Mamoothiamman, Egatur, Siruseri, Tamil Nadu- 603103</t>
  </si>
  <si>
    <t>Akshay Kumar Adepu</t>
  </si>
  <si>
    <t>9182117677</t>
  </si>
  <si>
    <t>8309313967</t>
  </si>
  <si>
    <t>CNR GENTS PG BRANCH-1,Egattur</t>
  </si>
  <si>
    <t>CNR GENTS PG BRANCH-1, Mamoothiamman, 3rd St, Siruseri, Tamil Nadu- 603103</t>
  </si>
  <si>
    <t>Pritesh Ramchandra Patil</t>
  </si>
  <si>
    <t>8010122174</t>
  </si>
  <si>
    <t>9325823753</t>
  </si>
  <si>
    <t>CNR GENTS PG BRANCH-1 SIRUSERI SIPCOT, Tamil Nadu-603103</t>
  </si>
  <si>
    <t>CNR GENTS PG BRANCH-1,Egatur</t>
  </si>
  <si>
    <t>Mamoothiamman, 2nd St, Siruseri, Navalur, Chennai-603103, Tamil Nadu</t>
  </si>
  <si>
    <t>Prasanna Venkateshan K</t>
  </si>
  <si>
    <t>9345532524</t>
  </si>
  <si>
    <t>9486968778</t>
  </si>
  <si>
    <t>CNR GENTS PG Branch-2</t>
  </si>
  <si>
    <t>CNR GENTS PG Branch-2, Mamoothiamman, 2nd st, Siruseri, Egattur, TamilNadu</t>
  </si>
  <si>
    <t>Junapudi Aadarsh Babu</t>
  </si>
  <si>
    <t>9347270709</t>
  </si>
  <si>
    <t>9392292121</t>
  </si>
  <si>
    <t>CNR GENTS PG BRANCH-2 SIRUSERI SIPCOT</t>
  </si>
  <si>
    <t>CNR GENTS PG BRANCH-2 SIRUSERI SIPCOT, Mamoothamman, 2nd St, Siruseri, Egattur, Tamil Nadu 603103.</t>
  </si>
  <si>
    <t>Thilak Adepu</t>
  </si>
  <si>
    <t>9912450440</t>
  </si>
  <si>
    <t>9390228488</t>
  </si>
  <si>
    <t>CNR GENTS PG HOSTEL BRANCH-1</t>
  </si>
  <si>
    <t>CNR GENTS PG HOSTEL BRANCH-1, Mamoothian 3rd St, Eggatur</t>
  </si>
  <si>
    <t>CNR Gents PG, Egattur</t>
  </si>
  <si>
    <t>CNR Gents PG, Mamoothiamman, 3rd St, Egattur, Tamil Nadu 603103</t>
  </si>
  <si>
    <t>Shiva Shankar Sankuri</t>
  </si>
  <si>
    <t>9398100106</t>
  </si>
  <si>
    <t>9848660106</t>
  </si>
  <si>
    <t>CNR Gents PG, Egatur branch 1</t>
  </si>
  <si>
    <t>CNR Gents PG, Egatur branch 1, Mamoothiamman, 3rd St, Tamil Nadu 603103</t>
  </si>
  <si>
    <t>Sirigineedi Sai Dileep</t>
  </si>
  <si>
    <t>9347635772</t>
  </si>
  <si>
    <t>9912990027</t>
  </si>
  <si>
    <t>CNR Gents PG, Sipcot, Siruseri</t>
  </si>
  <si>
    <t>CNR Gents PG, Branch 1, Mamoothiamman, 3rd St, Sipcot, Siruseri, Tamil Nadu 603103</t>
  </si>
  <si>
    <t>Vinay Kanuka</t>
  </si>
  <si>
    <t>6301639531</t>
  </si>
  <si>
    <t>7981942997</t>
  </si>
  <si>
    <t>CNR Gents PG-Branch-1, siruseri</t>
  </si>
  <si>
    <t>CNR Gents PG, Branch-1,siruseri IT park, egattur,tamilnadu-603103</t>
  </si>
  <si>
    <t>Abhishek Nitin Tiwari</t>
  </si>
  <si>
    <t>8767949252</t>
  </si>
  <si>
    <t>7448028388</t>
  </si>
  <si>
    <t>cnr mens pg branch 1</t>
  </si>
  <si>
    <t>3rd street, Egattur, Chennai-603103, Tamil Nadu</t>
  </si>
  <si>
    <t>8767949262</t>
  </si>
  <si>
    <t>cnr mens pg branch 1 sipcot</t>
  </si>
  <si>
    <t>Anish Ragav V</t>
  </si>
  <si>
    <t>7845471902</t>
  </si>
  <si>
    <t>9789994420</t>
  </si>
  <si>
    <t>CNR mens PG branch 2</t>
  </si>
  <si>
    <t>CNR mens PG branch 2, near TCS new building, SIPCOT IT park siruseri</t>
  </si>
  <si>
    <t>Kavin Senthilkumar</t>
  </si>
  <si>
    <t>7010965892</t>
  </si>
  <si>
    <t>9597749234</t>
  </si>
  <si>
    <t>CNR mens PG Branch-1,Siruseri</t>
  </si>
  <si>
    <t>CNR mens PG Branch-1,Siruseri,CHENNAI,TAMIL NADU,600130</t>
  </si>
  <si>
    <t>Mulukanuri Vishva</t>
  </si>
  <si>
    <t>9603662257</t>
  </si>
  <si>
    <t>CNR PG - branch 1, Eggatur, siruseri sipcot IT park</t>
  </si>
  <si>
    <t>CNR PG - branch 1, Eggatur, siruseri sipcot</t>
  </si>
  <si>
    <t>Shubham Prabhakar Pawar</t>
  </si>
  <si>
    <t>8010432252</t>
  </si>
  <si>
    <t>CNR PG Branch 1, Egatur</t>
  </si>
  <si>
    <t>CNR Gents PG Branch 1 Siruseri Sipcot, Tamil Nadu 60</t>
  </si>
  <si>
    <t>Rohan Dnyanoba Dharpale</t>
  </si>
  <si>
    <t>7798036835</t>
  </si>
  <si>
    <t>9623826626</t>
  </si>
  <si>
    <t>CNR PG Branch 2</t>
  </si>
  <si>
    <t>CNR PG Branch 2,Egattur, Siruseri, Tamil Nadu</t>
  </si>
  <si>
    <t>Vinayak Namdev Patil</t>
  </si>
  <si>
    <t>7620826867</t>
  </si>
  <si>
    <t>9764813753</t>
  </si>
  <si>
    <t>CNR PG -Branch 2 ,sirseri</t>
  </si>
  <si>
    <t>CNR PG -Branch 2 ,Egattur ,Siruseri ,tamilnadu 603103</t>
  </si>
  <si>
    <t>please give me permission  to work from home in  emergency</t>
  </si>
  <si>
    <t>Abhay Atish Birhade</t>
  </si>
  <si>
    <t>8623841415</t>
  </si>
  <si>
    <t>9975322090</t>
  </si>
  <si>
    <t>CNR PG BRANCH 2Mamoothiamman, 2nd St, Siruseri, Egattur, Tamil Nadu 603103</t>
  </si>
  <si>
    <t>Mamoothiamman, 2nd St, Siruseri, Egattur, Tamil Nadu 603103</t>
  </si>
  <si>
    <t>Srinivas Kareti</t>
  </si>
  <si>
    <t>9652925982</t>
  </si>
  <si>
    <t>6302948122</t>
  </si>
  <si>
    <t>CNR PG Branch-1 ,Egattur</t>
  </si>
  <si>
    <t>CNR PG Branch-1 Mamoothiamman,3rd St,Egattur,Tamil Nadu-603103</t>
  </si>
  <si>
    <t>Zeeshan P Sharmasvali</t>
  </si>
  <si>
    <t>6363583799</t>
  </si>
  <si>
    <t>8977426685</t>
  </si>
  <si>
    <t>CNR PG GENTS BRANCH 1 ,SIRUSERI</t>
  </si>
  <si>
    <t>CNR PG GENTS BRANCH 1 ,SIRUSERI SIPCOIT Samathuva Nagar 3rd Street, Thiruporur, Tamil Nadu 603112 ·</t>
  </si>
  <si>
    <t>AKASH KUMAR VERMA</t>
  </si>
  <si>
    <t>8052590227</t>
  </si>
  <si>
    <t>8795219091</t>
  </si>
  <si>
    <t>CNR PG(BOYS) SIPCOT SIRUSERI IT PARK TAMIL NADU CHENNAI</t>
  </si>
  <si>
    <t>GUJJALA VENKATA NIKHIL</t>
  </si>
  <si>
    <t>6304356711</t>
  </si>
  <si>
    <t>9742311345</t>
  </si>
  <si>
    <t>CNR-MENS PG,BRANCH-1</t>
  </si>
  <si>
    <t>CNR-Mens Pg Branch-1,Egattur,Siruseri,Tamil Nadu</t>
  </si>
  <si>
    <t>Arava Tharun Prasad Reddy</t>
  </si>
  <si>
    <t>9000423222</t>
  </si>
  <si>
    <t>8885087557</t>
  </si>
  <si>
    <t>CONWAY STANZA NAVALUR</t>
  </si>
  <si>
    <t>Address: 1/299, Thalambur Rd, Navalur, Tamil Nadu 600130</t>
  </si>
  <si>
    <t>R Akashraj</t>
  </si>
  <si>
    <t>8870681177</t>
  </si>
  <si>
    <t>9894844273</t>
  </si>
  <si>
    <t xml:space="preserve">Creations Valencia </t>
  </si>
  <si>
    <t>Creations Valencia ,Egattur</t>
  </si>
  <si>
    <t>Randhi Sri Valli</t>
  </si>
  <si>
    <t>6304486854</t>
  </si>
  <si>
    <t>9392437060</t>
  </si>
  <si>
    <t>CSR ladies hostel branch 2, Egattur</t>
  </si>
  <si>
    <t>CSR Luxury womens pg(branch 2), TR Land Properties, St Thomas Street, Egattur, Chennai, Tamil Nadu- 600130</t>
  </si>
  <si>
    <t>P Meghana</t>
  </si>
  <si>
    <t>7780727715</t>
  </si>
  <si>
    <t>9440531511</t>
  </si>
  <si>
    <t>CSR Ladies PG -  Branch 1, Egattur</t>
  </si>
  <si>
    <t>CSR Ladies PG - Branch 1, Egattur, Siruseri, Tamil Nadu - 600130</t>
  </si>
  <si>
    <t>Patan Akifa Anjum</t>
  </si>
  <si>
    <t>7780542221</t>
  </si>
  <si>
    <t>6309643486</t>
  </si>
  <si>
    <t>CSR Ladies PG - Branch 1, Egattur</t>
  </si>
  <si>
    <t>CSR Ladies PG, Branch 1, Thendral Street, Thazhambur, Egattur</t>
  </si>
  <si>
    <t>karamalla shareefa</t>
  </si>
  <si>
    <t>9949202540</t>
  </si>
  <si>
    <t>9441738411</t>
  </si>
  <si>
    <t>csr luxry ladies pg branch 1 - egattur</t>
  </si>
  <si>
    <t>nothing</t>
  </si>
  <si>
    <t>kema naga sai sri charitha</t>
  </si>
  <si>
    <t>9705912755</t>
  </si>
  <si>
    <t>9133610770</t>
  </si>
  <si>
    <t>csr luxury branch-branch 2, egattur</t>
  </si>
  <si>
    <t>csr luxury branch-branch 2, egattur,siruseri,tamilnadu-603103</t>
  </si>
  <si>
    <t>Pusuluri Swathi</t>
  </si>
  <si>
    <t>9392739771</t>
  </si>
  <si>
    <t>9177158197</t>
  </si>
  <si>
    <t>CSR Luxury PG - Branch 1,Egattur</t>
  </si>
  <si>
    <t>CSR luxury pg, Branch 1, 58, Thendral Street, Thazhambur, Egattur, Tamilnadu,600130</t>
  </si>
  <si>
    <t>Regimadugula Durgadevi</t>
  </si>
  <si>
    <t>7997550395</t>
  </si>
  <si>
    <t>7036986639</t>
  </si>
  <si>
    <t>CSR Luxury Women PG Branch-2</t>
  </si>
  <si>
    <t>CSR Luxury Women PG , 58, Thendral Street, Thazhambur, Egattur, Tamil Nadu, 600130</t>
  </si>
  <si>
    <t>Nurpasha Dilsha Begum</t>
  </si>
  <si>
    <t>6281777364</t>
  </si>
  <si>
    <t>7382966969</t>
  </si>
  <si>
    <t>CSR luxury women pg, Branch 2,Eggatur</t>
  </si>
  <si>
    <t>CSR luxury women pg, Branch 2, Thendral street, Thazhambur, Eggatur, tamilnadu 600130</t>
  </si>
  <si>
    <t>G Bhavya</t>
  </si>
  <si>
    <t>9392727851</t>
  </si>
  <si>
    <t>9392536327</t>
  </si>
  <si>
    <t>csr Luxury Women Pg-Branch 1, Egattur</t>
  </si>
  <si>
    <t>csr Luxury Women Pg, Branch 1, Thendral Street, Thazhambur, Egattur, Tamil Nadu 600130</t>
  </si>
  <si>
    <t>Vigneshwari Sakthivel</t>
  </si>
  <si>
    <t>9952809549</t>
  </si>
  <si>
    <t>8111033073</t>
  </si>
  <si>
    <t>CSR Luxury womens PG</t>
  </si>
  <si>
    <t>CSR Luxury womens PG, thendral street,egattur,chennai - 600130</t>
  </si>
  <si>
    <t>Harshini Saravanan</t>
  </si>
  <si>
    <t>6379317283</t>
  </si>
  <si>
    <t>9843822942</t>
  </si>
  <si>
    <t>CSR luxury womens Pg Branch 2</t>
  </si>
  <si>
    <t>TR land properties, St thomas st, Egattur, Chennai 600130</t>
  </si>
  <si>
    <t>Kothem Sasi Chakra Kumari</t>
  </si>
  <si>
    <t>8466916729</t>
  </si>
  <si>
    <t>9059316729</t>
  </si>
  <si>
    <t>CSR Luxury Womens PG Branch 2, Egattur</t>
  </si>
  <si>
    <t>Csr luxury womens PG Branch 2, TR land properties, St Thomas st, Egattur, Siruseri, Chennai</t>
  </si>
  <si>
    <t>Liziana Shaik</t>
  </si>
  <si>
    <t>9494545928</t>
  </si>
  <si>
    <t>8008511529</t>
  </si>
  <si>
    <t>csr luxury womens pg branch 2, egattur</t>
  </si>
  <si>
    <t>csr luxury womens pg branch 2, st thomas st, egattur siruseri, tamil nadu, 600130</t>
  </si>
  <si>
    <t>Katuri Siri Vennela</t>
  </si>
  <si>
    <t>7569502191</t>
  </si>
  <si>
    <t>9391148439</t>
  </si>
  <si>
    <t>CSR Luxury Womens PG Branch-2</t>
  </si>
  <si>
    <t>TR Land properties,Saint Thomas Street, Egattur, Chennai, Tamilnadu 600130</t>
  </si>
  <si>
    <t>TR Land properties, saint Thomas street, Egattur, Chennai, Tamil Nadu - 603103</t>
  </si>
  <si>
    <t>CSR Luxury Womens pg branch-2, Egattur</t>
  </si>
  <si>
    <t>CSR Luxury Womens Pg( Branch 2), ST Thomas Street, Egattur, Chennai, Tamil Nadu- 600130</t>
  </si>
  <si>
    <t>Maddukuri Lakshmi Santoshi</t>
  </si>
  <si>
    <t>6281678413</t>
  </si>
  <si>
    <t>9440918596</t>
  </si>
  <si>
    <t>CSR Luxury womens pg branch-2,Egattur</t>
  </si>
  <si>
    <t>CSR Luxury womens pg branch-2,St Thomas Street,Egattur,Chennai,Tamil Nadu</t>
  </si>
  <si>
    <t>Upputuri Sai Harshitha</t>
  </si>
  <si>
    <t>7671957545</t>
  </si>
  <si>
    <t>9951176025</t>
  </si>
  <si>
    <t>CSR Womens PG Hostel Branch 2, Egatur</t>
  </si>
  <si>
    <t>CSR Womens PG Hostel Branch 2, Egatur, saint thomas street</t>
  </si>
  <si>
    <t>CSR WOMENS PG HOSTEL-Branch 2, Egatur</t>
  </si>
  <si>
    <t>CSR WOMENS PG HOSTEL-BRANCH 2, Egatur, saint thomas street</t>
  </si>
  <si>
    <t>Preetham G Acharya</t>
  </si>
  <si>
    <t>89044211560</t>
  </si>
  <si>
    <t>9108693764</t>
  </si>
  <si>
    <t>Dhanalakshmi pg for Gents,114 , Village High Rd, Sholinganallur, Chennai, Tamil Nadu 600119</t>
  </si>
  <si>
    <t>Supriya S Talawar</t>
  </si>
  <si>
    <t>7090831667</t>
  </si>
  <si>
    <t>8971322318</t>
  </si>
  <si>
    <t>DRK Luxury PG stays</t>
  </si>
  <si>
    <t>DRK Luxury PG stays Tvh terra hub, SIPCOT - Thalambur Rd, Egattur, Chennai, Tamil Nadu 600130</t>
  </si>
  <si>
    <t>Ajay Kumar Kontala</t>
  </si>
  <si>
    <t>8790497058</t>
  </si>
  <si>
    <t>9502766988</t>
  </si>
  <si>
    <t>DVR Mens PG</t>
  </si>
  <si>
    <t>DVR Mens Pg, Thalambur , Chennai , Tamil Nadu , 603103</t>
  </si>
  <si>
    <t>Shaik Shehanaj</t>
  </si>
  <si>
    <t>6300347417</t>
  </si>
  <si>
    <t>8019734321</t>
  </si>
  <si>
    <t>Paritala Lavanya</t>
  </si>
  <si>
    <t>9848922823</t>
  </si>
  <si>
    <t>9550493338</t>
  </si>
  <si>
    <t xml:space="preserve">Egattur </t>
  </si>
  <si>
    <t>Sri Srinivasa Ladies PG,Egatur,Tamil Nadu - 603103</t>
  </si>
  <si>
    <t>Shaik Ashfaq Hussain</t>
  </si>
  <si>
    <t>9391340038</t>
  </si>
  <si>
    <t>9963336220</t>
  </si>
  <si>
    <t xml:space="preserve">Egattur spt gents pg </t>
  </si>
  <si>
    <t>Spt gents pg egattur,sirusuri ,tamil nadu- 603103</t>
  </si>
  <si>
    <t xml:space="preserve">Sanala Venkata Kishore </t>
  </si>
  <si>
    <t>9985089700</t>
  </si>
  <si>
    <t>9581769079</t>
  </si>
  <si>
    <t>Eggatur</t>
  </si>
  <si>
    <t>Naren G K</t>
  </si>
  <si>
    <t>8667007259</t>
  </si>
  <si>
    <t>9342074266</t>
  </si>
  <si>
    <t>Elite Stays PG</t>
  </si>
  <si>
    <t>MR Radha Road , Pudhupakam</t>
  </si>
  <si>
    <t>Hanush kumar M</t>
  </si>
  <si>
    <t>7010562593</t>
  </si>
  <si>
    <t>7708260573</t>
  </si>
  <si>
    <t>Elite Stays pg, pudhupakkam</t>
  </si>
  <si>
    <t>Elite Stays, Amar garden, pudhupakkam road</t>
  </si>
  <si>
    <t>pudhupakkam</t>
  </si>
  <si>
    <t>Payel Chakraborty</t>
  </si>
  <si>
    <t>7439328467</t>
  </si>
  <si>
    <t>8798188900</t>
  </si>
  <si>
    <t>Estancia township, SRM nagar,GUDUVANCHERY</t>
  </si>
  <si>
    <t>Tower 1,Core 1,Estancia township, SRM nagar, Thailavaram , Potheri</t>
  </si>
  <si>
    <t>Tambaram</t>
  </si>
  <si>
    <t>Raghav Chopra</t>
  </si>
  <si>
    <t>9988610920</t>
  </si>
  <si>
    <t>9814839995</t>
  </si>
  <si>
    <t>F5 stays Mens PG</t>
  </si>
  <si>
    <t>F5 stays Gandhi Nagar Main Rd, Semmancheri, Chennai, Tamil Nadu 600130</t>
  </si>
  <si>
    <t>My pg is near AGS Complex, behind Geetham Restaurant.</t>
  </si>
  <si>
    <t>Mohan M</t>
  </si>
  <si>
    <t>9025690245</t>
  </si>
  <si>
    <t>8310551503</t>
  </si>
  <si>
    <t>flat no 3,ramalingam nagar, chinammal nagar</t>
  </si>
  <si>
    <t>flat no 3,ramalingam nagar, chinammal nagar,puzhuthivakkam , chennai 6000091</t>
  </si>
  <si>
    <t>puzhuthivakkam</t>
  </si>
  <si>
    <t>Yernaidu Pothala</t>
  </si>
  <si>
    <t>7989684931</t>
  </si>
  <si>
    <t>9393252503</t>
  </si>
  <si>
    <t>Gaya gents Stays PG for men</t>
  </si>
  <si>
    <t>plot no 122, vijaya Ganapathi Nagar, Navalur,  chennai, tamilnadu 600130</t>
  </si>
  <si>
    <t>Ajay Raju Karthaka</t>
  </si>
  <si>
    <t>9704223947</t>
  </si>
  <si>
    <t>9963285977</t>
  </si>
  <si>
    <t>Geethika Grand Gents PG</t>
  </si>
  <si>
    <t>Geethika Grand Gents PG, CNK nivas city park, 2nd lane, Mamoothiamman St, Sipcot, Egattur, Tamil Nadu, 603103</t>
  </si>
  <si>
    <t>SIPCOT IT Park</t>
  </si>
  <si>
    <t>Shashank Suman</t>
  </si>
  <si>
    <t>7765009777</t>
  </si>
  <si>
    <t>8210391636</t>
  </si>
  <si>
    <t>CNK Nivas, City Park, 2nd lane, Mamoothiamman St,Sipcot,Egattur, Tamil Nadu 603103</t>
  </si>
  <si>
    <t>Amjuri Kanaka Harish</t>
  </si>
  <si>
    <t>7207099349</t>
  </si>
  <si>
    <t>7793978172</t>
  </si>
  <si>
    <t>Geethika Grand Gents Pg, CNK nivas city park, 2nd lane, mamoothianamman st, Sipcot, Eggatur, Tamil Nadu 603103</t>
  </si>
  <si>
    <t>Piyush Kumar</t>
  </si>
  <si>
    <t>9097668979</t>
  </si>
  <si>
    <t>7482937110</t>
  </si>
  <si>
    <t>City Park, CNK Nivas, 2nd Lane, Mamoothiamman Street, Sipcot, Siruseri, Chennai, Tamil Nadu 600119</t>
  </si>
  <si>
    <t>Ganesh Karri</t>
  </si>
  <si>
    <t>6305865176</t>
  </si>
  <si>
    <t>9346093415</t>
  </si>
  <si>
    <t>Geethika Grand Gents PG , CNK nivas city park, 2nd lane, Mamoothiamman St, Sipcot, Egattur, Tamil Nadu - 603103</t>
  </si>
  <si>
    <t>Turlapati Sri Rithvik</t>
  </si>
  <si>
    <t>6300674420</t>
  </si>
  <si>
    <t>9963252672</t>
  </si>
  <si>
    <t>Geethika grand gents PG</t>
  </si>
  <si>
    <t>Geethika grand gents PG, CNK nivas city park, 2nd lane, Mamoothiamman St, Sipcot, Egattur, Tamil Nadu - 603103</t>
  </si>
  <si>
    <t>Dontamsetti Sesha Sai</t>
  </si>
  <si>
    <t>7995960873</t>
  </si>
  <si>
    <t>8639635093</t>
  </si>
  <si>
    <t>Geethika Grand Gents Pg</t>
  </si>
  <si>
    <t>Geethika Grand Gents Pg, Mamoothiamman Street ,Egattur,Siruseri</t>
  </si>
  <si>
    <t>G Vamshi Kumar</t>
  </si>
  <si>
    <t>9160920296</t>
  </si>
  <si>
    <t>8555867638</t>
  </si>
  <si>
    <t>Geethika Grand Gents PG, Sipcot Siruseri</t>
  </si>
  <si>
    <t>Appalabhaktula Kumar Naga A</t>
  </si>
  <si>
    <t>9346681519</t>
  </si>
  <si>
    <t>9866435276</t>
  </si>
  <si>
    <t>Geethika grand gents pg</t>
  </si>
  <si>
    <t>Geethika grand gents pg, CNK nivas city park, 2nd lane, Mamoothiamman St, Sipcot, Egattur, Tamil Nadu 603103</t>
  </si>
  <si>
    <t>Rahul Dasi</t>
  </si>
  <si>
    <t>9676660873</t>
  </si>
  <si>
    <t>8897247260</t>
  </si>
  <si>
    <t>CNK Nivas, 2nd Street , 2nd Right, Mamoothiamman Street, City Park, Sipcot, Siruseri, -603103</t>
  </si>
  <si>
    <t>Mugilan R</t>
  </si>
  <si>
    <t>9843496311</t>
  </si>
  <si>
    <t>9842539888</t>
  </si>
  <si>
    <t>Geethika grand gents pg,CNK nivas city park,2nd lane,Mamoothiamman St,Sipcot,Egattur,Tamilnadu 603103</t>
  </si>
  <si>
    <t xml:space="preserve">Geethika Grand Gents PG </t>
  </si>
  <si>
    <t>DHINESH KANNAN</t>
  </si>
  <si>
    <t>9345392197</t>
  </si>
  <si>
    <t>9442380948</t>
  </si>
  <si>
    <t>Geethika grand gents pg ,2nd lane,ckn nivas,egattur</t>
  </si>
  <si>
    <t>Danish Shabab Kamaliwale</t>
  </si>
  <si>
    <t>9086832605</t>
  </si>
  <si>
    <t>7776991425</t>
  </si>
  <si>
    <t>Nothing.</t>
  </si>
  <si>
    <t xml:space="preserve">Prathamesh Rajkumar Salunke </t>
  </si>
  <si>
    <t>7666874727</t>
  </si>
  <si>
    <t>8208453898</t>
  </si>
  <si>
    <t>Geethika grand gents pg, CNK nivas city park, 2nd lane, Mamoothiamman St, Sipcot, Egattur.</t>
  </si>
  <si>
    <t>Nagamalla Lok Naga Durga Sai Manikanta</t>
  </si>
  <si>
    <t>9676936369</t>
  </si>
  <si>
    <t>9848699445</t>
  </si>
  <si>
    <t>geethika grand gents pg, egattur</t>
  </si>
  <si>
    <t>geethika grand gents pg, cnk nivas city park, 2nd lane, mamoothiamman st, sipcot, egattur, tamil nadu 603103</t>
  </si>
  <si>
    <t>Prabhala Subrahmanya Vishnu Siddhardha</t>
  </si>
  <si>
    <t>8247602864</t>
  </si>
  <si>
    <t>9393103771</t>
  </si>
  <si>
    <t>Geethika Grand gents pg, Egattur</t>
  </si>
  <si>
    <t>Vasireddy Anurag Reddy</t>
  </si>
  <si>
    <t>8247004100</t>
  </si>
  <si>
    <t>9502132301</t>
  </si>
  <si>
    <t>Geethika Grand Gents PG, Near TCS, Egattur, Siruseri IT Park, Chennai</t>
  </si>
  <si>
    <t>Geethika Grand Gents PG, Near TCS, Egattur, Siruseri IT Park, Chennai,603103</t>
  </si>
  <si>
    <t>Kanigiri Sai Kiran</t>
  </si>
  <si>
    <t>6302409284</t>
  </si>
  <si>
    <t>9000421246</t>
  </si>
  <si>
    <t>Geethika grand gents pg, Sipcot</t>
  </si>
  <si>
    <t>Md Faiz Abdul Wahid Yadgir</t>
  </si>
  <si>
    <t>7972648212</t>
  </si>
  <si>
    <t>9860804104</t>
  </si>
  <si>
    <t>Geethika Grand Gents PG.</t>
  </si>
  <si>
    <t>Geethika Grand Gents PG,2nd street,2nd right mamoothiamman street city park sipcot siruseri-603103</t>
  </si>
  <si>
    <t>Parella Ganesh</t>
  </si>
  <si>
    <t>9515997668</t>
  </si>
  <si>
    <t>9347383041</t>
  </si>
  <si>
    <t>Geethika Grand PG</t>
  </si>
  <si>
    <t>Geethika Grand PG, City Park, CNK Nivas, 2nd Lane, Mamoothiamman Street, Sipcot, Siruseri, Chennai, Tamil Nadu 600119</t>
  </si>
  <si>
    <t>GEETHIKA GRAND PG,CNK NIVAS EGATTUR</t>
  </si>
  <si>
    <t>GEETHIKA GRAND PG,2 ND LANE,MAMOOTHIAMMAN ST,SIPCOT,EGATTUR,TAMIL NADU</t>
  </si>
  <si>
    <t>Jammula Jaswanth</t>
  </si>
  <si>
    <t>9676558568</t>
  </si>
  <si>
    <t>9346008571</t>
  </si>
  <si>
    <t>Geethika grand pg,siruseri,603103</t>
  </si>
  <si>
    <t>Saivijayakrishna Mallineni</t>
  </si>
  <si>
    <t>7013384816</t>
  </si>
  <si>
    <t>9676911284</t>
  </si>
  <si>
    <t>Geethika grands gents pg,egattur</t>
  </si>
  <si>
    <t>Geethika grand gents pg,CNK nivas city park,2nd lane,mamoothiamman st,sipcot,Egattur,Tamil Nadu 603103</t>
  </si>
  <si>
    <t>Ravi Teja Paila</t>
  </si>
  <si>
    <t>6304393919</t>
  </si>
  <si>
    <t>7013442942</t>
  </si>
  <si>
    <t>Geethika Grands PG for Gents - Sipcot</t>
  </si>
  <si>
    <t>Geethika Grands PG for Gents, CNK Nivas, 2nd Street, 2nd Right, Mamoothiamman Street, City Park, Sipcot, Siruseri - 603103</t>
  </si>
  <si>
    <t>Hruthik Krishna Pavarala</t>
  </si>
  <si>
    <t>7671978733</t>
  </si>
  <si>
    <t>9985957666</t>
  </si>
  <si>
    <t>Geethika Premium Gents PG</t>
  </si>
  <si>
    <t>Tvh terra hub, Plot no 15, SIPCOT-Thalambur Rd, Egattur, Chennai, Tamil Nadu 600130</t>
  </si>
  <si>
    <t>Dheeraj Reddy Ramireddy</t>
  </si>
  <si>
    <t>8919591674</t>
  </si>
  <si>
    <t>9550611166</t>
  </si>
  <si>
    <t>Geethika Premium Gents PG, TVH Terra Hub, Plot no 15, Eggatur, Siruseri, Tamil Nadu, 603103</t>
  </si>
  <si>
    <t>Saran Kumar</t>
  </si>
  <si>
    <t>9344499701</t>
  </si>
  <si>
    <t>9677330669</t>
  </si>
  <si>
    <t>Geethika premium Gents PG</t>
  </si>
  <si>
    <t>Geethika premium Gents PG,1st cross road, Tvh terra hub, siruseri ,chennai 600130</t>
  </si>
  <si>
    <t>nil</t>
  </si>
  <si>
    <t>Mohammed Azarudeen A</t>
  </si>
  <si>
    <t>8940508478</t>
  </si>
  <si>
    <t>9751076668</t>
  </si>
  <si>
    <t>Geethika premium gents pg</t>
  </si>
  <si>
    <t>plot no:15 ,tvh terra hub,sipcot-thalambur road,egaatur,chennai,tamilnadu-600130</t>
  </si>
  <si>
    <t>M N K SHANKAR DASARI</t>
  </si>
  <si>
    <t>7997137874</t>
  </si>
  <si>
    <t>7893686449</t>
  </si>
  <si>
    <t>GEETHIKA PREMIUM GENTS PG</t>
  </si>
  <si>
    <t>GEETHIKA PREMIUM GENTS PG, Talambur road, Egattur , Siruseri, Tamil Nadu - 603103</t>
  </si>
  <si>
    <t>Geethika Premium Gents PG , 1st cross road , Tvh terra hub , siruseri , chennai 600130</t>
  </si>
  <si>
    <t>Geethika Premium Gents PG , 1st cross road , Tvh Terra hub , siruseri , chennai 600130 .</t>
  </si>
  <si>
    <t>flat 15 ,tvh terra hub,sipcot-thalambur road,egaatur,chennai,tamilnadu-600130</t>
  </si>
  <si>
    <t>Bitla Nithish</t>
  </si>
  <si>
    <t>9182070320</t>
  </si>
  <si>
    <t>9866322516</t>
  </si>
  <si>
    <t>Tvh terra hub,Plot no 15,SIPCOT-Thalambur Rd,Egattur,Chennai,Tamil Nadu 600130</t>
  </si>
  <si>
    <t>Ameen LNU</t>
  </si>
  <si>
    <t>8825900347</t>
  </si>
  <si>
    <t>9894879460</t>
  </si>
  <si>
    <t>Geethika Premium Gents PG Egattur</t>
  </si>
  <si>
    <t>Geethika Premium Gents PG, Tvh Terra hub, Plot No 15, SIPCOT - Thalambur Rd, Egattur, Chennai, Tamil Nadu 627751</t>
  </si>
  <si>
    <t>Geethika Premium Gents PG ,Tvh terra hub, Plot No 15, SIPCOT - Thalambur Rd, Egattur,Chennai 600130</t>
  </si>
  <si>
    <t>Keshapally Shashidhar Reddy</t>
  </si>
  <si>
    <t>9849577431</t>
  </si>
  <si>
    <t>6305295172</t>
  </si>
  <si>
    <t>Geethika Premium Pg</t>
  </si>
  <si>
    <t xml:space="preserve">   The address of Geethika Premium Gents PG is City Park, CNK Nivas, 2nd Lane, Mamoothiamman Street, Sipcot, Siruseri, Chennai, Tamil Nadu 600119</t>
  </si>
  <si>
    <t>Suresh Karri</t>
  </si>
  <si>
    <t>9381356704</t>
  </si>
  <si>
    <t>6303535476</t>
  </si>
  <si>
    <t>Geethikas gents PG</t>
  </si>
  <si>
    <t>Geethikas grand gents PG, CNK nivas city park, 2nd lane , Mamoothiamman st, Sipcot, egattur</t>
  </si>
  <si>
    <t>Venkatesh Naroju</t>
  </si>
  <si>
    <t>8143335257</t>
  </si>
  <si>
    <t>9293189628</t>
  </si>
  <si>
    <t>Geetika Grand Gents PG, SIPCOT, Egattur, Tamil Nadu, 603103</t>
  </si>
  <si>
    <t>Chetan Dipak Patil</t>
  </si>
  <si>
    <t>9322927174</t>
  </si>
  <si>
    <t>9921560826</t>
  </si>
  <si>
    <t>GKR PG , Egattur</t>
  </si>
  <si>
    <t>GKR PG for Mens, 9/65 , Opposite to the Marina Mall , Chennai, Egattur, Tamil Nadu 60013</t>
  </si>
  <si>
    <t>Pasupuleti Santosh</t>
  </si>
  <si>
    <t>9948963163</t>
  </si>
  <si>
    <t>8341863163</t>
  </si>
  <si>
    <t>GKR PG FOR MENS</t>
  </si>
  <si>
    <t>GKR PG FOR MENS, 9/65, Chennai, Egattur, Tamil Nadu - 600130</t>
  </si>
  <si>
    <t xml:space="preserve">Rupendra P </t>
  </si>
  <si>
    <t>7619236113</t>
  </si>
  <si>
    <t>8884031113</t>
  </si>
  <si>
    <t>GKR PG FOR MENS EGATTUR</t>
  </si>
  <si>
    <t>RUPENDRA P</t>
  </si>
  <si>
    <t>M.Madhan</t>
  </si>
  <si>
    <t>7826852656</t>
  </si>
  <si>
    <t>9442721480</t>
  </si>
  <si>
    <t>GKR Premium PG Egattur</t>
  </si>
  <si>
    <t>No.1, Kakan, Egattur, OMR Road, Navalur,Chennai-600130</t>
  </si>
  <si>
    <t xml:space="preserve">Cheppali Shafiunnisa </t>
  </si>
  <si>
    <t>8688962142</t>
  </si>
  <si>
    <t>9949911583</t>
  </si>
  <si>
    <t>Golden india PG - Karapakkam</t>
  </si>
  <si>
    <t>2, Gangai Amman Kovil St, Karapakkam, Chennai, Tamil Nadu 600097</t>
  </si>
  <si>
    <t>Cheppali Shafiunnisa</t>
  </si>
  <si>
    <t>Golden India PG - Karapakkam</t>
  </si>
  <si>
    <t xml:space="preserve">2, Gangai Amman Kovil St, Karapakkam, Chennai, Tamil Nadu 600097  </t>
  </si>
  <si>
    <t>Mano Princy J</t>
  </si>
  <si>
    <t>9789935503</t>
  </si>
  <si>
    <t>9176772724</t>
  </si>
  <si>
    <t>Grand celestia Apartments</t>
  </si>
  <si>
    <t>S2, Second floor, E-block, Grand Celestia apartments, Susheela Nagar, Kelambakkam, Chennai -603103.</t>
  </si>
  <si>
    <t>Hari Bharadwaj Perubhotla</t>
  </si>
  <si>
    <t>8125923190</t>
  </si>
  <si>
    <t>9493975898</t>
  </si>
  <si>
    <t>Grande Vista Apartments, Classic Farms Avenue, Shollinganallur, Chennai - 600119</t>
  </si>
  <si>
    <t>MEHAN K</t>
  </si>
  <si>
    <t>8111026142</t>
  </si>
  <si>
    <t>9629133369</t>
  </si>
  <si>
    <t>GTR MANS PG</t>
  </si>
  <si>
    <t xml:space="preserve">SUNIL COMPLEX,44/1,6TH STREET,VIJAYA  GANAPATHI NAGAR, CHENNAI, NAVALUR, TA,ILNADU </t>
  </si>
  <si>
    <t xml:space="preserve">NA </t>
  </si>
  <si>
    <t>Anikate Dahiya</t>
  </si>
  <si>
    <t>9462187106</t>
  </si>
  <si>
    <t>7086357946</t>
  </si>
  <si>
    <t>GTR Stays</t>
  </si>
  <si>
    <t>GTR stays , terrahub , eggatur , seruseri , Chennai , tamilnadu</t>
  </si>
  <si>
    <t>NIL</t>
  </si>
  <si>
    <t>Dulam Jayasurya</t>
  </si>
  <si>
    <t>9490062139</t>
  </si>
  <si>
    <t>7995105119</t>
  </si>
  <si>
    <t>Gtr stays</t>
  </si>
  <si>
    <t>tvh block,near egattur beside college</t>
  </si>
  <si>
    <t>Maragoni Dinesh</t>
  </si>
  <si>
    <t>9966577555</t>
  </si>
  <si>
    <t>8309083364</t>
  </si>
  <si>
    <t>gtr stays</t>
  </si>
  <si>
    <t>gtr stays, 4th street, tvh terra hub , egattur, siruseri, tamilnadu 603103</t>
  </si>
  <si>
    <t>Inaganti Nikhil</t>
  </si>
  <si>
    <t>6309677194</t>
  </si>
  <si>
    <t>9490310357</t>
  </si>
  <si>
    <t>Plot 48, tvh terra hub, 4th street, Siruseri, Egattur, Tamil Nadu 600130</t>
  </si>
  <si>
    <t xml:space="preserve">GTR stays </t>
  </si>
  <si>
    <t>TVh block , near egattur beside college, gtr stays gents pg</t>
  </si>
  <si>
    <t>Dulam JayaSurya</t>
  </si>
  <si>
    <t>Tvh block near egattur, beside college</t>
  </si>
  <si>
    <t>Parthiv Reddy Pelluru</t>
  </si>
  <si>
    <t>9515801459</t>
  </si>
  <si>
    <t>9440952600</t>
  </si>
  <si>
    <t>GTR Stays - PG,Egattur</t>
  </si>
  <si>
    <t>Polt 48, tvh terra hub, 4th street, Siruseri, Egattur, Tamil Nadu 600130</t>
  </si>
  <si>
    <t>Om Prakash Kumar</t>
  </si>
  <si>
    <t>8639527013</t>
  </si>
  <si>
    <t>8099873690</t>
  </si>
  <si>
    <t>GTR Stays - Siruseri</t>
  </si>
  <si>
    <t>GTR Stays, terrahub, Egattur, siruseri, Tamil Nadu</t>
  </si>
  <si>
    <t>Gtr stays gents Pg</t>
  </si>
  <si>
    <t>tvh block ,near Msajaa architecture college in chennai</t>
  </si>
  <si>
    <t>CHANDRA SRINIVAS CHIKKAM</t>
  </si>
  <si>
    <t>6304120823</t>
  </si>
  <si>
    <t>9676197259</t>
  </si>
  <si>
    <t>GTR STAYS, PLOT NO :38, TVH TERRA HUB, 4TH STREET, SIRUSERI, EGATTUR, TAMILNADU,600130</t>
  </si>
  <si>
    <t>Thatikonda vigneshwar</t>
  </si>
  <si>
    <t>7780515684</t>
  </si>
  <si>
    <t>8186818617</t>
  </si>
  <si>
    <t>GTR stays,Egattur</t>
  </si>
  <si>
    <t>GTR Stays ,Polt 48, tvh terra hub, 4th street, Siruseri, Egattur, Tamil Nadu 600130</t>
  </si>
  <si>
    <t>Utbhab Debnath</t>
  </si>
  <si>
    <t>8100094387</t>
  </si>
  <si>
    <t>9674216639</t>
  </si>
  <si>
    <t>GTR Strays for gents, Siruseri</t>
  </si>
  <si>
    <t>GTR Strays for gents, Siruseri, Tamil Nadu - 600130</t>
  </si>
  <si>
    <t>Anudeep Avula</t>
  </si>
  <si>
    <t>6300447414</t>
  </si>
  <si>
    <t>6301554866</t>
  </si>
  <si>
    <t xml:space="preserve">GVK delux mens pg </t>
  </si>
  <si>
    <t>GVK delux mens pg Navalur opposite navalur signal Tamilnadu 603103</t>
  </si>
  <si>
    <t xml:space="preserve">Anudeep Avula </t>
  </si>
  <si>
    <t xml:space="preserve">GVK Delux Mens PG Navalur </t>
  </si>
  <si>
    <t>GVK Delux MENS PG Navalur oppo to Navalur signal road</t>
  </si>
  <si>
    <t xml:space="preserve">Veerla Hanumath kumar </t>
  </si>
  <si>
    <t>6301072242</t>
  </si>
  <si>
    <t>6300491144</t>
  </si>
  <si>
    <t xml:space="preserve">GVK Deluxe Gents PG ,Navalur </t>
  </si>
  <si>
    <t>Vijayaganapathi nagar OMR NAVALURU, Siruseri sipcot, near navaluru, near vivara mall, signal, Navalur, Tamil Nadu 600130</t>
  </si>
  <si>
    <t>MIRIYALA LEELA KRISHNA</t>
  </si>
  <si>
    <t>9030386993</t>
  </si>
  <si>
    <t>9493179841</t>
  </si>
  <si>
    <t>Gvk Deluxe gents PG, Navalur</t>
  </si>
  <si>
    <t>Gvk Deluxe PG,vijayaganapathi nagar OMR,Navalur</t>
  </si>
  <si>
    <t>Irfan Mohammad Shaik</t>
  </si>
  <si>
    <t>8520995674</t>
  </si>
  <si>
    <t>9848052274</t>
  </si>
  <si>
    <t>GVK Deluxe Gents PG, Navalur.</t>
  </si>
  <si>
    <t>GVK Deluxe Gents PG, 2nd Street, Vijayaganapathi Nagar, Navalur, Chennai, Tamil Nadu - 600130.</t>
  </si>
  <si>
    <t>CHINTA PRUDHVI SAI RAJ</t>
  </si>
  <si>
    <t>9391277670</t>
  </si>
  <si>
    <t>8985851146</t>
  </si>
  <si>
    <t>GVK Deluxe Mens PG- Navalur</t>
  </si>
  <si>
    <t>GVK Deluxe Mens PG, Navalur , Tamilnadu - 603103</t>
  </si>
  <si>
    <t>Gowtham Mani Varma Nadakudhiti</t>
  </si>
  <si>
    <t>7036944486</t>
  </si>
  <si>
    <t>9705260279</t>
  </si>
  <si>
    <t>GVK Deluxe mens PG, Navalur</t>
  </si>
  <si>
    <t>GVK mens pg,Vinayagar street,02.Rajiv Gandhi Salai,Navalur,Tamil Nadu ,600130</t>
  </si>
  <si>
    <t>BADE SHYAM PAVAN KUMAR</t>
  </si>
  <si>
    <t>9573300814</t>
  </si>
  <si>
    <t>9392812503</t>
  </si>
  <si>
    <t>GVK DELUXE MENS PG, NAVALUR, SARDAR PATEL STREET, CHENNAI</t>
  </si>
  <si>
    <t>Gutti Reddy Prakash</t>
  </si>
  <si>
    <t>9618200661</t>
  </si>
  <si>
    <t>9573064241</t>
  </si>
  <si>
    <t>GVK Deluxe PG for gents, Navalur</t>
  </si>
  <si>
    <t>GVK Deluxe PG for gents, Navalur, Siruseri, Chennai, Tamilnadu - 603103</t>
  </si>
  <si>
    <t>Yenduri K N S Karthik</t>
  </si>
  <si>
    <t>9290995152</t>
  </si>
  <si>
    <t>9182353255</t>
  </si>
  <si>
    <t>GVK Deluxe PG Navalur</t>
  </si>
  <si>
    <t>2/282, Vijaya Ganapathy Nagar 2nd Street, Thiruporur, TN ·</t>
  </si>
  <si>
    <t>Naveen Prabhu M M</t>
  </si>
  <si>
    <t>7418818787</t>
  </si>
  <si>
    <t>9500934245</t>
  </si>
  <si>
    <t>GVK mens pg</t>
  </si>
  <si>
    <t>GVK mens pg, Vinayagar street, 02 Rajiv Gandhi Salai, Navalur, Tamil Nadu 600130</t>
  </si>
  <si>
    <t>Hari Prasad Thota</t>
  </si>
  <si>
    <t>8688143503</t>
  </si>
  <si>
    <t>8179721082</t>
  </si>
  <si>
    <t>GVK MENS PG, Vinayagar street,02, Rajiv Gandhi Salai, Navalur, Tamil Nadu</t>
  </si>
  <si>
    <t>GVK MENS PG, Vinayagar street,02, Rajiv Gandhi Salai, Navalur, Tamil Nadu -600130</t>
  </si>
  <si>
    <t>Jai Akash Subramanian Aruna</t>
  </si>
  <si>
    <t>9345581807</t>
  </si>
  <si>
    <t>9865397619</t>
  </si>
  <si>
    <t xml:space="preserve">gvk pg </t>
  </si>
  <si>
    <t>gvk pg,vinayagar street,02,rajiv gandhi salai,navalur ,tamilnadu</t>
  </si>
  <si>
    <t>Kodali Karthik</t>
  </si>
  <si>
    <t>6302305255</t>
  </si>
  <si>
    <t>8019160428</t>
  </si>
  <si>
    <t>GVR Deluxe PG, Thoraikapakkam</t>
  </si>
  <si>
    <t>GVR Deluxe PG, Gangai Amman Kovil Street, Customs Colony, Thoraikapakkam, Tamil Nadu- 600097</t>
  </si>
  <si>
    <t>GVR Gents PG, Thoraipakkam</t>
  </si>
  <si>
    <t>GVR Deluxe PG , Gangai Amman Kovil Street, Customs colony, Thoraipakkam, Tamil Nadu - 600097</t>
  </si>
  <si>
    <t>Vivek Allu</t>
  </si>
  <si>
    <t>9182062681</t>
  </si>
  <si>
    <t>6305415739</t>
  </si>
  <si>
    <t>GVR mens pg</t>
  </si>
  <si>
    <t>Rajiv Gandhi salai,Vijayanagar street,navvalur,tamil nadu,600130</t>
  </si>
  <si>
    <t>Prasad Pradip Bulli</t>
  </si>
  <si>
    <t>7619524008</t>
  </si>
  <si>
    <t>8496839755</t>
  </si>
  <si>
    <t>Hanuman PG Anna Street,Egattur</t>
  </si>
  <si>
    <t>Victor William S</t>
  </si>
  <si>
    <t>9894234381</t>
  </si>
  <si>
    <t>9087968201</t>
  </si>
  <si>
    <t>Happy Day School Building</t>
  </si>
  <si>
    <t>F2,Happy day school building, Manickam Nagar, Noothencheri, Madambakkam, Tambaram , Chennai - 600126.</t>
  </si>
  <si>
    <t>Sithalapakkam</t>
  </si>
  <si>
    <t>Kishore R</t>
  </si>
  <si>
    <t>9840181180</t>
  </si>
  <si>
    <t>9841191597</t>
  </si>
  <si>
    <t>Happy Homes</t>
  </si>
  <si>
    <t>129/City Park, Egatoor, Siruseri.</t>
  </si>
  <si>
    <t>Nothing</t>
  </si>
  <si>
    <t>NANDITHA D B</t>
  </si>
  <si>
    <t>9043646014</t>
  </si>
  <si>
    <t>9952033726</t>
  </si>
  <si>
    <t>HOME</t>
  </si>
  <si>
    <t>114 CHELLAPPA STREET, OTTERI, CHENNAI -12</t>
  </si>
  <si>
    <t>PURSAIWALKAM</t>
  </si>
  <si>
    <t>Ajay Rajan A</t>
  </si>
  <si>
    <t>6383809338</t>
  </si>
  <si>
    <t>9443676049</t>
  </si>
  <si>
    <t>40/85, Amman Koil Street, Broadway, Chennai</t>
  </si>
  <si>
    <t>It would be better if any dormitory will be allocated during such emergency times, since the travel for me from office is 35kms</t>
  </si>
  <si>
    <t>Tanushree R G</t>
  </si>
  <si>
    <t>8122774564</t>
  </si>
  <si>
    <t>9940858551</t>
  </si>
  <si>
    <t>1, Ayyasamy Street, Triplicane, Chennai - 600005</t>
  </si>
  <si>
    <t>Triplicane</t>
  </si>
  <si>
    <t>SANGEETHA S</t>
  </si>
  <si>
    <t>8122136224</t>
  </si>
  <si>
    <t>6369831173</t>
  </si>
  <si>
    <t>2/232,Mahasakthi street, Raghavendra Nagar,kundrathur,Chennai -600122</t>
  </si>
  <si>
    <t>S.Soundarajan</t>
  </si>
  <si>
    <t>9150579978</t>
  </si>
  <si>
    <t>9962319137</t>
  </si>
  <si>
    <t>4/2, Anna Pillai Street, 1st Lane, Sowcarpet, Chennai - 600001</t>
  </si>
  <si>
    <t>Central railway Station</t>
  </si>
  <si>
    <t>Deepa S</t>
  </si>
  <si>
    <t>8148823557</t>
  </si>
  <si>
    <t>9382817774</t>
  </si>
  <si>
    <t>No-7, 3rd Street, Swamiyar Thottam, Vyasarpadi, Chennai-39</t>
  </si>
  <si>
    <t>Ambedkar College (Vyasarpadi)</t>
  </si>
  <si>
    <t xml:space="preserve">Rahul Raj R </t>
  </si>
  <si>
    <t>9384665507</t>
  </si>
  <si>
    <t>9841151784</t>
  </si>
  <si>
    <t>No : 10, 6th west street, metha nagar, kundrathur, chennai - 600069</t>
  </si>
  <si>
    <t>Rahul Raj D</t>
  </si>
  <si>
    <t>8122992754</t>
  </si>
  <si>
    <t>7358523066</t>
  </si>
  <si>
    <t>6/171, 4th Street Forest Department Quarters, Perumbakkam, Chennai- 600100</t>
  </si>
  <si>
    <t>Perumbakkam</t>
  </si>
  <si>
    <t>Shanmugapriya</t>
  </si>
  <si>
    <t>7824966222</t>
  </si>
  <si>
    <t>9884739554</t>
  </si>
  <si>
    <t>No.8, M.E.S Road, Kadaperi, Tambaram,Chennai-600045</t>
  </si>
  <si>
    <t>Ambedkar College(Vyasarpadi)</t>
  </si>
  <si>
    <t>SUMITHA PRAKASH</t>
  </si>
  <si>
    <t>6383463938</t>
  </si>
  <si>
    <t>7358485480</t>
  </si>
  <si>
    <t>22/14 1ST CROSS STREET JANAKIRAM COLONY ARUMBAKKKAM CHENNAI TAWMILNADU-600106</t>
  </si>
  <si>
    <t>KOYEMBEDU</t>
  </si>
  <si>
    <t>22/14 1ST CROSS STREET JANAKIRAM COLONY ARUMBAKKAM CHENNAI TAMILNADU-600106</t>
  </si>
  <si>
    <t>Shaik Nafees Azmath</t>
  </si>
  <si>
    <t>9841504844</t>
  </si>
  <si>
    <t>8148568338</t>
  </si>
  <si>
    <t>House</t>
  </si>
  <si>
    <t>No - 12, Anna Street, Gandhi Nagar, Saligramam, Chennai - 600093</t>
  </si>
  <si>
    <t>Vadapalani</t>
  </si>
  <si>
    <t>Priyanka Prabhu Fande</t>
  </si>
  <si>
    <t>9359031336</t>
  </si>
  <si>
    <t>9822720069</t>
  </si>
  <si>
    <t>House No 25, Sarangapani St, Sholinganallur</t>
  </si>
  <si>
    <t>House No 25, Sarangapani St, Sholinganallur, Tamil Nadu</t>
  </si>
  <si>
    <t>Harini Vetriselvan</t>
  </si>
  <si>
    <t>6385556413</t>
  </si>
  <si>
    <t>9003963733</t>
  </si>
  <si>
    <t>Indira ladies pg</t>
  </si>
  <si>
    <t xml:space="preserve">Indira ladies pg,nest branch,nera Venkateswara super market, Navalur, Chennai </t>
  </si>
  <si>
    <t>Mahalakshmi B</t>
  </si>
  <si>
    <t>8072039921</t>
  </si>
  <si>
    <t>8489892896</t>
  </si>
  <si>
    <t>Indiras Women pg ,Navalur</t>
  </si>
  <si>
    <t>Indiras women pg,Rajiv gandhi saalai,Near vivira mall,Chennai</t>
  </si>
  <si>
    <t>Deepakraj Moorthy</t>
  </si>
  <si>
    <t>9629778259</t>
  </si>
  <si>
    <t>6379312052</t>
  </si>
  <si>
    <t>irumbuliyur, east Tambaram</t>
  </si>
  <si>
    <t>rose garden street, irumbuliyur, east tambaram, chennai, tamil nadu 600058</t>
  </si>
  <si>
    <t>Preeti Ramappa Chavati</t>
  </si>
  <si>
    <t>8867072498</t>
  </si>
  <si>
    <t>9606531698</t>
  </si>
  <si>
    <t>ja sree ladies pg</t>
  </si>
  <si>
    <t>ja sree ladies pg, st thomas st, chennai, navalur, tamil nadu 600130</t>
  </si>
  <si>
    <t>Venkata Rao Dasari</t>
  </si>
  <si>
    <t>6304880723</t>
  </si>
  <si>
    <t>9603569038</t>
  </si>
  <si>
    <t>Jai Shree gents PG, Sri kumaran Nagar, Saravana Nagar, Perungudi, Chennai</t>
  </si>
  <si>
    <t>Jai shree gents hostels, Sri Kumaran Nagar, Saravana nagar, Perungudi, Chennai, Tamil Nadu, 600096</t>
  </si>
  <si>
    <t>Sneha M K</t>
  </si>
  <si>
    <t>7397413864</t>
  </si>
  <si>
    <t>9884533036</t>
  </si>
  <si>
    <t>Jains Green Acres, Pallavaram</t>
  </si>
  <si>
    <t>Block 16,H1 Jains Green Acres, darga road, Zamin Pallavaram, Chennai-600043</t>
  </si>
  <si>
    <t xml:space="preserve">Srikrithi S </t>
  </si>
  <si>
    <t>8438433704</t>
  </si>
  <si>
    <t>9840694352</t>
  </si>
  <si>
    <t>Janavi Flats - Chennai 60003318/3</t>
  </si>
  <si>
    <t>18/3,Janavi flats, Raju street, West Mambalam , Chennai 33</t>
  </si>
  <si>
    <t>Ashok Nagar</t>
  </si>
  <si>
    <t>Rathish S</t>
  </si>
  <si>
    <t>7305963052</t>
  </si>
  <si>
    <t>9566753159</t>
  </si>
  <si>
    <t>Jaya gents stays</t>
  </si>
  <si>
    <t>Plot No 122, Vijaya Ganapathi Nagar, Navalur, Chennai, Tamil Nadu 600130</t>
  </si>
  <si>
    <t xml:space="preserve">jaya gents stays </t>
  </si>
  <si>
    <t>Kamran Ayaz</t>
  </si>
  <si>
    <t>9343169741</t>
  </si>
  <si>
    <t>8105117995</t>
  </si>
  <si>
    <t xml:space="preserve">Jaya Stay Gents PG </t>
  </si>
  <si>
    <t>Sayyad Adnan Ahemad Navidoddin</t>
  </si>
  <si>
    <t>7709192319</t>
  </si>
  <si>
    <t>9766772208</t>
  </si>
  <si>
    <t>Jaya stays gents pg for men</t>
  </si>
  <si>
    <t>R S Vishal</t>
  </si>
  <si>
    <t>8778273151</t>
  </si>
  <si>
    <t>9344156183</t>
  </si>
  <si>
    <t>Jaya stays mens PG</t>
  </si>
  <si>
    <t>Jaya stays mens PG , Plot no 122 , vijaya ganapathi nagar , navalur , chennai 600130</t>
  </si>
  <si>
    <t>Mohammed Moinuddin</t>
  </si>
  <si>
    <t>6303275502</t>
  </si>
  <si>
    <t>9885101282</t>
  </si>
  <si>
    <t xml:space="preserve">jaya stays mens pg </t>
  </si>
  <si>
    <t>No 122, Vijaya Ganapathi Nagar, Navalur, Chennai-600130, Tamil Nadu</t>
  </si>
  <si>
    <t>HARIHARAN K</t>
  </si>
  <si>
    <t>7708554879</t>
  </si>
  <si>
    <t>9047113670</t>
  </si>
  <si>
    <t>JAYA STAYs MENS PG -  Navalur, Chennai-600130, Tamil Nadu</t>
  </si>
  <si>
    <t>Jaya stays mens PG , Navalur</t>
  </si>
  <si>
    <t>Jaya stays mens PG , Plot No 122, Vijaya Ganapathi Nagar, Navalur, Chennai, Tamil Nadu 600130</t>
  </si>
  <si>
    <t>CHURCHILL L</t>
  </si>
  <si>
    <t>9360648780</t>
  </si>
  <si>
    <t>9080775834</t>
  </si>
  <si>
    <t>JAYAM PG - NAVALUR BRANCH</t>
  </si>
  <si>
    <t>JAYAM PG,THALAMBUR ROAD,NAVALUR,CHENGALPATTU</t>
  </si>
  <si>
    <t>YASH KAILAS KHAIRNAR</t>
  </si>
  <si>
    <t>9158281152</t>
  </si>
  <si>
    <t>8805665502</t>
  </si>
  <si>
    <t>JAYAM PG EGATTUR</t>
  </si>
  <si>
    <t>JAYAM PG NO.44/1, ST THOMAS STREET, EGATTUR, CHENGALPATTU-603001</t>
  </si>
  <si>
    <t>K Haresh</t>
  </si>
  <si>
    <t>6382299718</t>
  </si>
  <si>
    <t>7639283004</t>
  </si>
  <si>
    <t>Jayam Pg navalur branch</t>
  </si>
  <si>
    <t>Thalambur road, navalur,udhandi,Chennai.</t>
  </si>
  <si>
    <t>Thachana Moorthy V</t>
  </si>
  <si>
    <t>9384432197</t>
  </si>
  <si>
    <t>9894962197</t>
  </si>
  <si>
    <t>JJ mens PG , shollinganallur</t>
  </si>
  <si>
    <t>JJ mens pg, ponniammman kovil street, shollinganallur</t>
  </si>
  <si>
    <t>JJ mens pg, Ponniamman kovil, shollinganallur</t>
  </si>
  <si>
    <t>SHARUKHAN YASIN</t>
  </si>
  <si>
    <t>7448419090</t>
  </si>
  <si>
    <t>7598354775</t>
  </si>
  <si>
    <t>Jothi Gents Hostel 5th Branch</t>
  </si>
  <si>
    <t>Jothi Gents Hostel 5th Branch, NO-2/182, Green Park Layout,Thalambur rd, Navalur-600130</t>
  </si>
  <si>
    <t>K S Mithila</t>
  </si>
  <si>
    <t>9362811644</t>
  </si>
  <si>
    <t>9788874196</t>
  </si>
  <si>
    <t>Jothi ladies hostel branch 4,Navalur</t>
  </si>
  <si>
    <t>Jothi ladies hostel branch 4,Pillaiyar kovil street Navalur</t>
  </si>
  <si>
    <t>Kavitha S</t>
  </si>
  <si>
    <t>6380672220</t>
  </si>
  <si>
    <t>8610758840</t>
  </si>
  <si>
    <t>Jothi Ladies PG</t>
  </si>
  <si>
    <t>Jothi ladies pg, nearby navalur bus stop, Navalur</t>
  </si>
  <si>
    <t>Bhargavi R</t>
  </si>
  <si>
    <t>6361807420</t>
  </si>
  <si>
    <t>9790060034</t>
  </si>
  <si>
    <t>Jothi Ladies PG 4th branch, Navalur</t>
  </si>
  <si>
    <t>Jothi Ladies PG 4th branch, Navalur, 600130</t>
  </si>
  <si>
    <t>Purushothama J N</t>
  </si>
  <si>
    <t>8660595481</t>
  </si>
  <si>
    <t>8123311057</t>
  </si>
  <si>
    <t>Jothi Mens Hostel</t>
  </si>
  <si>
    <t>Jothi Mens Hostel 5th branch</t>
  </si>
  <si>
    <t>Gokul Mathiyalagan</t>
  </si>
  <si>
    <t>9901860084</t>
  </si>
  <si>
    <t>8610708936</t>
  </si>
  <si>
    <t xml:space="preserve">Jothi mens Hostel </t>
  </si>
  <si>
    <t xml:space="preserve">Jothi Mens Hostel 5th branch, Green park layout,Thalambur Road, Navalur </t>
  </si>
  <si>
    <t>Senthilkumar V</t>
  </si>
  <si>
    <t>6380604145</t>
  </si>
  <si>
    <t>9500723837</t>
  </si>
  <si>
    <t>JOTHI MENS HOSTEL 5TH BRANCH</t>
  </si>
  <si>
    <t>5TH BRANCH NO-2/128, GREEN PARK LAYOUT, JOTHI GENTS HOSTEL, THALAMBUR RD, NAVALUR, CHENNAI- 600130</t>
  </si>
  <si>
    <t xml:space="preserve">5TH BRANCH NO- 2/182, GREEN PARK LAYOUT, JOTHI GENTS HOSTEL, Thalambur Rd, Navalur, Tamil Nadu 600130  </t>
  </si>
  <si>
    <t>SNEHA YADAV</t>
  </si>
  <si>
    <t>9729333694</t>
  </si>
  <si>
    <t>9350135349</t>
  </si>
  <si>
    <t>JVR GIRLS HOSTEL PG</t>
  </si>
  <si>
    <t>JVR GIRLS HOSTEL PG, NO.3/53, METTU STREET, KAZHIPATTUR, CHENNAI,600103</t>
  </si>
  <si>
    <t>Vaishnavi Mishra</t>
  </si>
  <si>
    <t>7905674913</t>
  </si>
  <si>
    <t>9651668952</t>
  </si>
  <si>
    <t>JVR Luxury Ladies PG</t>
  </si>
  <si>
    <t>3/53, Mettu Street, Rajiv Gandhi Salai (OMR), Kazhipattur, Pudupakkam, Tamil Nadu</t>
  </si>
  <si>
    <t>yasmeen khatoon</t>
  </si>
  <si>
    <t>7349170588</t>
  </si>
  <si>
    <t>9743668966</t>
  </si>
  <si>
    <t>JVR luxury ladies pg</t>
  </si>
  <si>
    <t>JVR luxury ladies PG.3/53, METTU STREET, Rajiv Gandhi Salai, OMR, Kalipattur, Pudupakkam, Tamil Nadu 603103</t>
  </si>
  <si>
    <t>Munmun kumari</t>
  </si>
  <si>
    <t>6202458490</t>
  </si>
  <si>
    <t>9572901901</t>
  </si>
  <si>
    <t>JVR luxury ladies PG</t>
  </si>
  <si>
    <t>JVR luxury ladies PG , 2 mettu street , kazipattur ,tamil nadu - 603103</t>
  </si>
  <si>
    <t>Yasmeen Khatoon</t>
  </si>
  <si>
    <t xml:space="preserve">Munmun kumari </t>
  </si>
  <si>
    <t>JVR Luxury ladies PG</t>
  </si>
  <si>
    <t>Pavithra R K</t>
  </si>
  <si>
    <t>8667739971</t>
  </si>
  <si>
    <t>9994146734</t>
  </si>
  <si>
    <t>JVR Luxury ladies PG - kazhipattur.</t>
  </si>
  <si>
    <t>3/53, Mettu Street, Rajiv Gandhi Salai, OMR, Kazhipattur, Pudupakkam, Tamil Nadu 603103</t>
  </si>
  <si>
    <t>Disha Gopal Mahajan</t>
  </si>
  <si>
    <t>9960534794</t>
  </si>
  <si>
    <t>9970534794</t>
  </si>
  <si>
    <t>JVR Luxury Ladies PG , kazipattur chennai</t>
  </si>
  <si>
    <t>kazipattur</t>
  </si>
  <si>
    <t>Priyadarsine Nagarajan</t>
  </si>
  <si>
    <t>9597444787</t>
  </si>
  <si>
    <t>9894794787</t>
  </si>
  <si>
    <t>Jvr luxury ladies pg, pudupakkam</t>
  </si>
  <si>
    <t>Your organizations data cannot be pasted here.</t>
  </si>
  <si>
    <t>Akshata Santosh Waikar</t>
  </si>
  <si>
    <t>9356915725</t>
  </si>
  <si>
    <t>7499182588</t>
  </si>
  <si>
    <t>JVR luxury ladies PG.3/53, mattu street , kalipattur</t>
  </si>
  <si>
    <t>JVR luxury ladies PG.3/53, mattu street , Rajiv gandhi salai,OMR ,kalipattur, pudupakkam,Tmail Nadu 603103</t>
  </si>
  <si>
    <t>Pudupakkam</t>
  </si>
  <si>
    <t>Srija Rajendaran</t>
  </si>
  <si>
    <t>9361025660</t>
  </si>
  <si>
    <t>9965911410</t>
  </si>
  <si>
    <t>JVR PG</t>
  </si>
  <si>
    <t>JVR Pg,  Mettu Street, Kazhipattur, Chennai- 603103</t>
  </si>
  <si>
    <t>Shashwath V</t>
  </si>
  <si>
    <t>9535451420</t>
  </si>
  <si>
    <t>8668039912</t>
  </si>
  <si>
    <t>K R Men PG</t>
  </si>
  <si>
    <t>KR Men PG, Sirucheri, Egattur, Tamil Nadu - 603103</t>
  </si>
  <si>
    <t>JNANENDU KARAK</t>
  </si>
  <si>
    <t>6294159105</t>
  </si>
  <si>
    <t>9733978133</t>
  </si>
  <si>
    <t>Kalyani Gents Pg Navalur</t>
  </si>
  <si>
    <t>KALYANI GENTS PG NAVALUR,OMR ROAD  PIN CODE:600130 CHENNAI</t>
  </si>
  <si>
    <t>Kishore Kumar R</t>
  </si>
  <si>
    <t>7010426313</t>
  </si>
  <si>
    <t>8248519957</t>
  </si>
  <si>
    <t>Kalyani Gents PG, Navalur</t>
  </si>
  <si>
    <t>Kalyani Gents PG, Building 1 room 206, Periyar Street, Navalur, Chennai 600130.</t>
  </si>
  <si>
    <t>Aniket Sudarshan</t>
  </si>
  <si>
    <t>9570765404</t>
  </si>
  <si>
    <t>7070602273</t>
  </si>
  <si>
    <t xml:space="preserve">kalyani pg rajaganesh avanue house 10, navalur </t>
  </si>
  <si>
    <t xml:space="preserve">kalyani pg rajaganesh avanue house 10, omr road , navalur chennai 600130 </t>
  </si>
  <si>
    <t>DINESH SURIYA N</t>
  </si>
  <si>
    <t>9345799600</t>
  </si>
  <si>
    <t>9865867323</t>
  </si>
  <si>
    <t>kandhan gents pg, Sholinganallur</t>
  </si>
  <si>
    <t>kandhan gents pg,laxmi nagar extension,lal bahadur shastri street, new perungalathur,Sholinganallur</t>
  </si>
  <si>
    <t>M Manoj</t>
  </si>
  <si>
    <t>8147238718</t>
  </si>
  <si>
    <t>9611645361</t>
  </si>
  <si>
    <t>KMR DELUXE FOR GENTS, Navalur</t>
  </si>
  <si>
    <t xml:space="preserve">KMR DELUXE FOR GENTS, 6/97A, Sambalal St, Navalur, Chennai, Tamil Nadu 600130  </t>
  </si>
  <si>
    <t>Prajwal M Pattar</t>
  </si>
  <si>
    <t>6363706582</t>
  </si>
  <si>
    <t>9986595988</t>
  </si>
  <si>
    <t>KMR DELUXE PG FOR GENTS Navalur</t>
  </si>
  <si>
    <t>6/97A, KMR DELUXE PG FOR GENTS, Sambalal St, Navalur, Chennai, Tamil Nadu 600130</t>
  </si>
  <si>
    <t>KMR DELUXE PG FOR GENTS, Navalur</t>
  </si>
  <si>
    <t>KMR DELUXE FOR GENTS, 6/97A, Sambalal St, Navalur, Chennai, Tamil Nadu 600130</t>
  </si>
  <si>
    <t>Sahankumar Subhasachandra Pol</t>
  </si>
  <si>
    <t>7676050412</t>
  </si>
  <si>
    <t>9019292784</t>
  </si>
  <si>
    <t>KMR Deluxe PG For Gents, Sambalal ST, Navalur, Chennai, Tamil Nadu 600130</t>
  </si>
  <si>
    <t>KMR Deluxe PG For Gents, Sambalal St, Navalur, Chennai, Tamil Nadu 600130</t>
  </si>
  <si>
    <t>venkatesh prakash dasar</t>
  </si>
  <si>
    <t>9844758947</t>
  </si>
  <si>
    <t>7022570641</t>
  </si>
  <si>
    <t>KMR DELUXE PG FOR GENTS,6/97A,SAMBALAL ST,NAVALUR,CHENNAI,TAMILNADU 600130</t>
  </si>
  <si>
    <t>Edem Deepak</t>
  </si>
  <si>
    <t>6304938549</t>
  </si>
  <si>
    <t>8500225715</t>
  </si>
  <si>
    <t>KMR Deluxe PG for men</t>
  </si>
  <si>
    <t>6/97A KMR Deluxe PG for men ,NAVALUR</t>
  </si>
  <si>
    <t>santhosh javalagere talepalli</t>
  </si>
  <si>
    <t>6366456516</t>
  </si>
  <si>
    <t>9980241267</t>
  </si>
  <si>
    <t xml:space="preserve">KMR gents pg near navalur chennai </t>
  </si>
  <si>
    <t>KMR gents pg near navalur chennai  600130</t>
  </si>
  <si>
    <t>KMR GENTS PG,NAVALUR</t>
  </si>
  <si>
    <t>6/97A, KMR DELUXE PG FOR MEN,NAVALUR</t>
  </si>
  <si>
    <t>Nasina Hemanth Kumar</t>
  </si>
  <si>
    <t>7032923256</t>
  </si>
  <si>
    <t>9949362142</t>
  </si>
  <si>
    <t xml:space="preserve">KMR pg for gents - navalur </t>
  </si>
  <si>
    <t>KMR pg for gents, Sambalal street , near navalur bustop towards siruseri, beside navalur bustop street, navalur, Tamilnadu</t>
  </si>
  <si>
    <t>Peddakaam Jayachandra Reddy</t>
  </si>
  <si>
    <t>9392977288</t>
  </si>
  <si>
    <t>9346382128</t>
  </si>
  <si>
    <t>KNR Boys PG, Ambedkar colony, Egattur</t>
  </si>
  <si>
    <t>KNR Boys PG, Ambedkar colony, Egattur, Siruseri, Tamil Nadu, 631203</t>
  </si>
  <si>
    <t>A Harish</t>
  </si>
  <si>
    <t>6281328144</t>
  </si>
  <si>
    <t>KNR gents PG, Egattur</t>
  </si>
  <si>
    <t>Dr Ambedkar st, Siruseri, Tamil Nadu - 603103</t>
  </si>
  <si>
    <t>Ajay Kumar Reddy Gajjala</t>
  </si>
  <si>
    <t>8309299893</t>
  </si>
  <si>
    <t>6281023155</t>
  </si>
  <si>
    <t>KNR PG, Dr.Ambedkar Street, Egattur</t>
  </si>
  <si>
    <t>KR Men PG, Egattur</t>
  </si>
  <si>
    <t>YUGANK SINGH</t>
  </si>
  <si>
    <t>8052128256</t>
  </si>
  <si>
    <t>7007942151</t>
  </si>
  <si>
    <t>KR MEN’s PG</t>
  </si>
  <si>
    <t>City Park Layout, 118B, 2nd Cross St, Siruseri, Egattur, Tamil Nadu 603103</t>
  </si>
  <si>
    <t>SALUGARI MANOJ</t>
  </si>
  <si>
    <t>9391268301</t>
  </si>
  <si>
    <t>8074405041</t>
  </si>
  <si>
    <t>KR MEN’s PG , City Park Layout, 118B, 2nd Cross St, Siruseri, Egattur, Tamil Nadu 603103</t>
  </si>
  <si>
    <t>Likhith Kumar Arigala</t>
  </si>
  <si>
    <t>8121457656</t>
  </si>
  <si>
    <t>9908569699</t>
  </si>
  <si>
    <t>Kr men’s PG ,Egattur</t>
  </si>
  <si>
    <t>Kr mens pg ,City Park Layout, 118B, 2nd Cross St, Siruseri, Egattur, Tamil Nadu 603103</t>
  </si>
  <si>
    <t>KR Mens PG</t>
  </si>
  <si>
    <t>Prasanna Suresh Gandhi</t>
  </si>
  <si>
    <t>8237052267</t>
  </si>
  <si>
    <t>9822052267</t>
  </si>
  <si>
    <t>Navjyot Singh</t>
  </si>
  <si>
    <t>7811052419</t>
  </si>
  <si>
    <t>9382986395</t>
  </si>
  <si>
    <t>kr mens pg</t>
  </si>
  <si>
    <t>Sanket Hemraj Appa</t>
  </si>
  <si>
    <t>9763169039</t>
  </si>
  <si>
    <t>8262873614</t>
  </si>
  <si>
    <t>KR MENS PG</t>
  </si>
  <si>
    <t>Kr Mens Pg, City Park Layout, 118B, 2nd Cross St, Siruseri, Egattur, Tamil Nadu 603103</t>
  </si>
  <si>
    <t>Satish Adapa</t>
  </si>
  <si>
    <t>6304202442</t>
  </si>
  <si>
    <t>9493305129</t>
  </si>
  <si>
    <t>KR Mens PG, City Park Layout, 118B, 2nd Cross St, Siruseri, Egattur, Tamil Nadu 603103</t>
  </si>
  <si>
    <t>KRISHNAKUMAR N</t>
  </si>
  <si>
    <t>9025380910</t>
  </si>
  <si>
    <t>9344033278</t>
  </si>
  <si>
    <t>501b, KR Mens PG, 2nd Cross street, SIPCOT Siruseri, Egattur, Chennai, TamilNadu - 603103</t>
  </si>
  <si>
    <t>501B, KR Mens PG, 2nd Cross Street, SIPCOT Siruseri, Egattur, TamilNadu - 603103</t>
  </si>
  <si>
    <t>Vigneshwaran</t>
  </si>
  <si>
    <t>6382044855</t>
  </si>
  <si>
    <t>9842273203</t>
  </si>
  <si>
    <t xml:space="preserve">Ishan Jayant Walchale </t>
  </si>
  <si>
    <t>7558750880</t>
  </si>
  <si>
    <t>9423638922</t>
  </si>
  <si>
    <t xml:space="preserve">KR Mens PG </t>
  </si>
  <si>
    <t>M A Imran Hafeez</t>
  </si>
  <si>
    <t>7842310578</t>
  </si>
  <si>
    <t>7702060553</t>
  </si>
  <si>
    <t xml:space="preserve">KR mens pg </t>
  </si>
  <si>
    <t xml:space="preserve">Kr mens pg, city park layout,118B, 2nd Cross st, Siruseri, Egattur </t>
  </si>
  <si>
    <t>Saurabh Shriram Jagare</t>
  </si>
  <si>
    <t>7498109259</t>
  </si>
  <si>
    <t>9373929015</t>
  </si>
  <si>
    <t>KR Mens PG - Branch 1, Egattur</t>
  </si>
  <si>
    <t>KR Mens PG,  Branch 1 - City Park Layout, 118B, 2nd Cross St, Siruseri, Egattur, Tamil Nadu 603103</t>
  </si>
  <si>
    <t>VICKY GUPTA</t>
  </si>
  <si>
    <t>6206502824</t>
  </si>
  <si>
    <t>7677570690</t>
  </si>
  <si>
    <t xml:space="preserve">KR Mens PG Egattur </t>
  </si>
  <si>
    <t>Kishor D</t>
  </si>
  <si>
    <t>7358818726</t>
  </si>
  <si>
    <t>8973513151</t>
  </si>
  <si>
    <t>Kr mens pg Kazhipattur</t>
  </si>
  <si>
    <t>Sipcot It Park, 118b, City Park, Layout Siruseri, Sipcot, Egattur, Kazhipattur, Chennai-603103, Tamil Nadu</t>
  </si>
  <si>
    <t>Devansh Upadhyay</t>
  </si>
  <si>
    <t>7017309018</t>
  </si>
  <si>
    <t>7017309117</t>
  </si>
  <si>
    <t>Kr Mens PG Siruseri</t>
  </si>
  <si>
    <t>KR Mens PG City Park Layout Siruseri, Tamil Nadu - 603103</t>
  </si>
  <si>
    <t>Kr Mens PG, City Park Layout Siruseri</t>
  </si>
  <si>
    <t>Kr Mens PG, City Park Layout Siruseri , Tamil Nadu - 603103</t>
  </si>
  <si>
    <t>Aimad Sarwar</t>
  </si>
  <si>
    <t>9525474083</t>
  </si>
  <si>
    <t>7903814490</t>
  </si>
  <si>
    <t>KR MENs PG, City Park Layout, 118B, 2nd Cross St, Siruseri, Egattur, Tamil Nadu 603103</t>
  </si>
  <si>
    <t>Franklin S E</t>
  </si>
  <si>
    <t>9941162905</t>
  </si>
  <si>
    <t>9841286105</t>
  </si>
  <si>
    <t>KR MENS PG, EGATTUR</t>
  </si>
  <si>
    <t>KR MENS PG 118B, 2ND CROSS ST, EGATTUR, SIRUSERI, TAMIL NADU-603103</t>
  </si>
  <si>
    <t>Satyajeet Mishra</t>
  </si>
  <si>
    <t>7970735333</t>
  </si>
  <si>
    <t>7050831832</t>
  </si>
  <si>
    <t>KR Mens PG, Egattur</t>
  </si>
  <si>
    <t>KR Mens PG, Egattur Sipcoit, Seruseri, Tamil Nadu- 603102</t>
  </si>
  <si>
    <t>Mohan R</t>
  </si>
  <si>
    <t>8778265712</t>
  </si>
  <si>
    <t>8870760023</t>
  </si>
  <si>
    <t>KR Mens PG, Pudupakkam</t>
  </si>
  <si>
    <t>KR Mens PG, City Park Layout, 118B, 2nd Cross Street, Pudupakkam, Siruseri, Tamil Nadu - 603103</t>
  </si>
  <si>
    <t>Siva Karthik Sathish Babu</t>
  </si>
  <si>
    <t>7200700674</t>
  </si>
  <si>
    <t>9442715359</t>
  </si>
  <si>
    <t>KR Mens PG, siruseri</t>
  </si>
  <si>
    <t>KR mens PG, city park layout, 118B, 2nd cross street, siruseri, egattur</t>
  </si>
  <si>
    <t>KR mens PG, siruseri</t>
  </si>
  <si>
    <t>NaveenSakthi S</t>
  </si>
  <si>
    <t>8248503475</t>
  </si>
  <si>
    <t>9585500085</t>
  </si>
  <si>
    <t>KR Mens Pg, siruseri</t>
  </si>
  <si>
    <t>KR Mens PG, City park layout, 118B, 2nd cross st, siruser, pudupakkam, tamilnadu - 603103</t>
  </si>
  <si>
    <t>Saptak Singha</t>
  </si>
  <si>
    <t>9735290377</t>
  </si>
  <si>
    <t>9800144828</t>
  </si>
  <si>
    <t>KR Menss PG</t>
  </si>
  <si>
    <t>Kirti Dewaskar</t>
  </si>
  <si>
    <t>7489404515</t>
  </si>
  <si>
    <t>9165825264</t>
  </si>
  <si>
    <t>Krishna Nivas Egattur</t>
  </si>
  <si>
    <t>plot no.234 , Sheshadri avenue, Egattur , Chennai</t>
  </si>
  <si>
    <t>Pradnya More</t>
  </si>
  <si>
    <t>9359619186</t>
  </si>
  <si>
    <t>7888143999</t>
  </si>
  <si>
    <t>Krishna Nivas girls PGc</t>
  </si>
  <si>
    <t>No:1, seahadri Avenue, Rajiv Gandhi Salai, Egattur, Tamil Nadu 600130</t>
  </si>
  <si>
    <t>Gayam Sravani</t>
  </si>
  <si>
    <t>8179050196</t>
  </si>
  <si>
    <t>9494024709</t>
  </si>
  <si>
    <t>Krishna Nivas Ladies Hostel, Egattur, Chennai</t>
  </si>
  <si>
    <t>3/122, Sheshadri Avenue, behind The Marina Mall in Egattur, Chennai-603103</t>
  </si>
  <si>
    <t>Suryapeta Bhavani</t>
  </si>
  <si>
    <t>8790431021</t>
  </si>
  <si>
    <t>9182616817</t>
  </si>
  <si>
    <t>Krishna nivas Ladies Pg</t>
  </si>
  <si>
    <t>No. 3/122, Sheshadri Avenue, Behind The Marina Mall, Egattur, Chennai - 603103 (Rajiv Gandhi Salai)</t>
  </si>
  <si>
    <t>Krittika R</t>
  </si>
  <si>
    <t>9123517679</t>
  </si>
  <si>
    <t>9443896754</t>
  </si>
  <si>
    <t>Krishna Nivas Ladies Pg</t>
  </si>
  <si>
    <t>No:1,seahadri avenue,rajiv gandhi salai,chennai,tamil nadu - 600130</t>
  </si>
  <si>
    <t>Debolina Chatterjee</t>
  </si>
  <si>
    <t>9123078006</t>
  </si>
  <si>
    <t>9831770850</t>
  </si>
  <si>
    <t>Krishna Nivas Ladies PG</t>
  </si>
  <si>
    <t>Krishna Nivas Ladies PG, Rajiv Gandhi Salai, Egatoor, Chennai-6001303rd floor</t>
  </si>
  <si>
    <t>SHAIK MUNEERA BEGUM</t>
  </si>
  <si>
    <t>8142779817</t>
  </si>
  <si>
    <t>9618068482</t>
  </si>
  <si>
    <t>KRISHNA NIVAS LADIES PG</t>
  </si>
  <si>
    <t>DOOR NO.1, SESHADRI AVENUE, RAJIV GANDHI SALAI, OMR, EGATTUR, CHENNAI</t>
  </si>
  <si>
    <t>Mirza Nikhath Fathima</t>
  </si>
  <si>
    <t>7306488788</t>
  </si>
  <si>
    <t>9849159892</t>
  </si>
  <si>
    <t>Door No.1, Seshadri Avenue, Rajiv Gandhi Salai, Egattur, Chennai 600130.</t>
  </si>
  <si>
    <t>MEDA VENKATA LAKSHMI DIVYA</t>
  </si>
  <si>
    <t>8309330894</t>
  </si>
  <si>
    <t>9652638585</t>
  </si>
  <si>
    <t>KRISHNA NIVAS LADIES PG, No:1, seahadri avenue, Rajiv Gandhi salai, Chennai, Tamil Nadu, 600130</t>
  </si>
  <si>
    <t>ANISHA KUMARI</t>
  </si>
  <si>
    <t>9523003682</t>
  </si>
  <si>
    <t>8540992338</t>
  </si>
  <si>
    <t xml:space="preserve">KRISHNA NIVAS LADIES PG </t>
  </si>
  <si>
    <t>KRISHNA NIVAS LADIES PG Door No. 1, Seshadhari Avenue, Rajiv Gandhi Salai, OMR, Eggatur, Chennai-600130</t>
  </si>
  <si>
    <t xml:space="preserve">Thella Sushma </t>
  </si>
  <si>
    <t>9505603896</t>
  </si>
  <si>
    <t>9390408079</t>
  </si>
  <si>
    <t xml:space="preserve">Krishna nivas ladies pg </t>
  </si>
  <si>
    <t xml:space="preserve">Krishna nivas ladies pg , seshadri avenue ,rajiv gandhi salai ,omr, egattur , tamilnadu,chennai </t>
  </si>
  <si>
    <t xml:space="preserve">krishna nivas ladies pg </t>
  </si>
  <si>
    <t>krishna nivas ladies pg, egattur, seshadri avenue, rajiv gandhi salai ,omr, 603103,chennai ,tamilnadu .</t>
  </si>
  <si>
    <t>Pedapudi Meghana</t>
  </si>
  <si>
    <t>8688849046</t>
  </si>
  <si>
    <t>9652902998</t>
  </si>
  <si>
    <t xml:space="preserve">Krishna Nivas Ladies PG </t>
  </si>
  <si>
    <t>Ganchi Ravitha</t>
  </si>
  <si>
    <t>8885194757</t>
  </si>
  <si>
    <t>8885784847</t>
  </si>
  <si>
    <t>Krishna Nivas Ladies PG - Egattur</t>
  </si>
  <si>
    <t>Krishna Nivas Ladies PG, No: 1, Seshadri Avenue, Rajiv Gandhi Salai, Egattur, Tamilnadu - 600130</t>
  </si>
  <si>
    <t>Sruthi Raghunathan</t>
  </si>
  <si>
    <t>6385603956</t>
  </si>
  <si>
    <t>9790186490</t>
  </si>
  <si>
    <t>Krishna Nivas Ladies PG - No 1, Sheshadri Avenue Rajiv Gandhi Salai Egattur Chennai 600130</t>
  </si>
  <si>
    <t>Vaibhavlakshmi S P</t>
  </si>
  <si>
    <t>7806838035</t>
  </si>
  <si>
    <t>7598742735</t>
  </si>
  <si>
    <t>Krishna Nivas ladies PG, Plot no:234, Seshadri avenue, Egattur - 600130</t>
  </si>
  <si>
    <t>HEMAARTHI G</t>
  </si>
  <si>
    <t>7904472870</t>
  </si>
  <si>
    <t>8300442630</t>
  </si>
  <si>
    <t>Krishna Nivas Ladies PG , Egattur</t>
  </si>
  <si>
    <t>No. 3/122. Sheshadri Avenue , behind marina mall, Krishna nivas ladies PG, Egattur,chennai,603103</t>
  </si>
  <si>
    <t xml:space="preserve">Akanksha Konakandla </t>
  </si>
  <si>
    <t>7416516575</t>
  </si>
  <si>
    <t>9246565636</t>
  </si>
  <si>
    <t xml:space="preserve">Krishna Nivas ladies pg , egattur , near marina mall </t>
  </si>
  <si>
    <t>krishna nivas ladies pg , no.1 seahadri avenue , rajiv gandhi salai , egattur , tamil nadu 600130</t>
  </si>
  <si>
    <t>Kokiladevi P</t>
  </si>
  <si>
    <t>9626256078</t>
  </si>
  <si>
    <t>9894500760</t>
  </si>
  <si>
    <t>Krishna Nivas Ladies PG ,Egatur.</t>
  </si>
  <si>
    <t>Krishna Nivas Ladies PG Door no 1 Seshadri Avenue Rajiv Gandhi Salai, OMR ,Egatur, Chennai</t>
  </si>
  <si>
    <t>Kokiladevi.P</t>
  </si>
  <si>
    <t>Krishna Nivas Ladies PG Door no 1 Seshadri Avenue Rajiv Gandhi Salai, OMR ,Egatur Chennai</t>
  </si>
  <si>
    <t>Bantumilli Jeeva Lalithya</t>
  </si>
  <si>
    <t>6304455836</t>
  </si>
  <si>
    <t>9642558290</t>
  </si>
  <si>
    <t>Krishna Nivas Ladies Pg- Egattur</t>
  </si>
  <si>
    <t>Krishna Nivas Ladies PG No:1, Seahadri Avenue,Rajiv Gandhi Salai, Egattur, Tamilnadu - 600130</t>
  </si>
  <si>
    <t>Anne Debora P</t>
  </si>
  <si>
    <t>6382838073</t>
  </si>
  <si>
    <t>9087322215</t>
  </si>
  <si>
    <t>Krishna Nivas Ladies PG- Egattur</t>
  </si>
  <si>
    <t>Krishna Nivas Ladies Pg, Plot no-234, Seshadri Avenue, Egattur, Chennai-600130</t>
  </si>
  <si>
    <t>Sayala Revathi</t>
  </si>
  <si>
    <t>9966496991</t>
  </si>
  <si>
    <t>9959149699</t>
  </si>
  <si>
    <t>Krishna nivas ladies PG, Egattur</t>
  </si>
  <si>
    <t>Krishna nivas ladies PG, Plot no: 234, sheshadri avenue, Egattur, chennai-600130</t>
  </si>
  <si>
    <t>Potla Harshitha</t>
  </si>
  <si>
    <t>7893843594</t>
  </si>
  <si>
    <t>7893089848</t>
  </si>
  <si>
    <t>Krishna nivas ladies pg, Egattur</t>
  </si>
  <si>
    <t>Krishna nivas ladies pg, Egattur, Siruseri</t>
  </si>
  <si>
    <t>Krishna nivas ladies PG, plot no: 234, Sheshadri avenue, Egattur, chennai-600130</t>
  </si>
  <si>
    <t>Goli Sri Godha</t>
  </si>
  <si>
    <t>8374194764</t>
  </si>
  <si>
    <t>7981819858</t>
  </si>
  <si>
    <t>Krishna Nivas Ladies PG, Egattur</t>
  </si>
  <si>
    <t>Krishna Nivas Ladies PG, Door no: 1, Seshadri Avenue, Rajiv Gandhi Salai, OMR, Egattur, Chennai - 600130</t>
  </si>
  <si>
    <t>Disha Manishbhai Chachpara</t>
  </si>
  <si>
    <t>8977515646</t>
  </si>
  <si>
    <t>7498443582</t>
  </si>
  <si>
    <t>krishna Nivas ladies PG, Egattur</t>
  </si>
  <si>
    <t>Krishna Nivas Ladies PG, Rajiv Gandhi Salai, Near behind Marina Mall, egattur, Siruseri, Tamil Nadu - 603103</t>
  </si>
  <si>
    <t>Safrin Bargana A</t>
  </si>
  <si>
    <t>8825683458</t>
  </si>
  <si>
    <t>6379600830</t>
  </si>
  <si>
    <t>Krishna Nivas Ladies PG, Plot No. 234, Sheshadri avenue, Egattur, Siruseri, Tamil Nadu - 600130</t>
  </si>
  <si>
    <t>Bhagya Lakshmi Makina</t>
  </si>
  <si>
    <t>8374292469</t>
  </si>
  <si>
    <t>6301682469</t>
  </si>
  <si>
    <t>Krishna Nivas Ladies PG, Rajiv Gandhi Salai, Egattur , chennai - 600130</t>
  </si>
  <si>
    <t>Aasritha Devi Vuddanti</t>
  </si>
  <si>
    <t>9014905997</t>
  </si>
  <si>
    <t>8328436326</t>
  </si>
  <si>
    <t>Krishna Nivas Ladies PG, Plot No. 234, Sheshadri Avenue, Egattur, Siruseri, Chennai, Tamil Nadu,600130</t>
  </si>
  <si>
    <t>Lakshana V</t>
  </si>
  <si>
    <t>6381462030</t>
  </si>
  <si>
    <t>9842721415</t>
  </si>
  <si>
    <t>Krishna Nivas Ladies PG, Plot No.234, Sheshadri Avenue, Egattur, Chennai-600130</t>
  </si>
  <si>
    <t xml:space="preserve">Sayala Revathi </t>
  </si>
  <si>
    <t xml:space="preserve">Krishna nivas ladies pg, Egattur </t>
  </si>
  <si>
    <t xml:space="preserve">Krishna nivas ladies pg, plot no: 234, Sheshadri Avenue, Egattur, Chennai-600130 </t>
  </si>
  <si>
    <t>S Pooja</t>
  </si>
  <si>
    <t>6281458155</t>
  </si>
  <si>
    <t>8500365457</t>
  </si>
  <si>
    <t xml:space="preserve">Krishna Nivas ladies PG, Egattur  </t>
  </si>
  <si>
    <t xml:space="preserve">Krishna Nivas ladies PG, PLOT-234 Seshadri avenue, Rajiv Gandhi salai, Egattur, Tamil Nadu 600130 </t>
  </si>
  <si>
    <t>Mary Lumina Fernando M</t>
  </si>
  <si>
    <t>7010964861</t>
  </si>
  <si>
    <t>9677322360</t>
  </si>
  <si>
    <t>Krishna Nivas Ladies PG, Egattur.</t>
  </si>
  <si>
    <t>Krishna Nivas Ladies PG, plot no:234, Seshadri Avenue, Egattur, Chennai-600130.</t>
  </si>
  <si>
    <t>Narayanam Teja Sai saranya</t>
  </si>
  <si>
    <t>9392649522</t>
  </si>
  <si>
    <t>9291855300</t>
  </si>
  <si>
    <t>Krishna Nivas Ladies PG, Egatur</t>
  </si>
  <si>
    <t>Krishna Nivas Ladies PG, door no 1 , seshadhri avenue, Rajiv gandhi salai, OMR, Egatur, chennai, 600130</t>
  </si>
  <si>
    <t>Helpful</t>
  </si>
  <si>
    <t>Khamithkar Srujana</t>
  </si>
  <si>
    <t>7382610109</t>
  </si>
  <si>
    <t>9059884950</t>
  </si>
  <si>
    <t>Krishna Nivas Ladies Pg, Sheshadri Avenue, Rajiv Gandhi salai, Egattur,Chennai</t>
  </si>
  <si>
    <t>Krishna Nivas Ladies Pg, Sheshadri Avenue, Rajiv Gandhi salai, Egattur, Chennai, Tamil Nadu - 600130</t>
  </si>
  <si>
    <t>Kosuri Lakshmi Sowjanya</t>
  </si>
  <si>
    <t>9154267746</t>
  </si>
  <si>
    <t>9246189255</t>
  </si>
  <si>
    <t>Krishna Nivas Ladies PG,Egattur</t>
  </si>
  <si>
    <t>Krishna Nivas Ladies PG, Door no.1,Seshadri Avenue,Rajiv Gandhi Salai, OMR , Egattur, Chennai,Tamil Nadu -600130</t>
  </si>
  <si>
    <t>VIBHITHA V</t>
  </si>
  <si>
    <t>8610688638</t>
  </si>
  <si>
    <t>8012641787</t>
  </si>
  <si>
    <t>krishna nivas ladies pg,egattur</t>
  </si>
  <si>
    <t>krishna nivas ladies pg, no:1 seahadri avenue,rajiv gandhi salai,chennai,600130</t>
  </si>
  <si>
    <t>Krishna Nivas Ladies PG, Plot No. 234, Sheshadri Avenue, Egattur, Chennai-600130</t>
  </si>
  <si>
    <t>Chandrika Lakshmipalem</t>
  </si>
  <si>
    <t>9347531120</t>
  </si>
  <si>
    <t>9676687458</t>
  </si>
  <si>
    <t>Krishna nivas ladies pg-egattur</t>
  </si>
  <si>
    <t>Krishna nivas Ladies pg,No.3/122,Sheshadri avenue ,egattur,Chennai-603103</t>
  </si>
  <si>
    <t>Disha shivraj Patil</t>
  </si>
  <si>
    <t>7975536426</t>
  </si>
  <si>
    <t>9743386888</t>
  </si>
  <si>
    <t>Krishna Nivas pg</t>
  </si>
  <si>
    <t>Krishna Nivas Ladies PG,  Behind The Marina Mall, Sheshadri Avenue,  Egattur, Chennai – 603103, Tamil Nadu.</t>
  </si>
  <si>
    <t>Akiri Sai Deepika</t>
  </si>
  <si>
    <t>6302600386</t>
  </si>
  <si>
    <t>8333033404</t>
  </si>
  <si>
    <t>Krishna Nivas Pg Branch 1, Egattur</t>
  </si>
  <si>
    <t>plot No 234, Krishna Nivas Ladies Pg, Behind The Marina Mall, Sheshadri Avenue, Egattur, Chennai-603103, Tamil Nadu</t>
  </si>
  <si>
    <t>Ayesha Khanam</t>
  </si>
  <si>
    <t>7008042404</t>
  </si>
  <si>
    <t>9861486661</t>
  </si>
  <si>
    <t>Krishna Nivas Pg for ladies</t>
  </si>
  <si>
    <t>No Comment</t>
  </si>
  <si>
    <t>Bijjala Sai Preethi</t>
  </si>
  <si>
    <t>8309853944</t>
  </si>
  <si>
    <t>9440786840</t>
  </si>
  <si>
    <t>Krishna Nivas Pg for ladies - Egattur</t>
  </si>
  <si>
    <t>Krishna nivas pg for ladies ,No:1,seshadri Avenue,Rajiv Gandhi salai,Egattur,Tamilnadu 600130</t>
  </si>
  <si>
    <t>Kolla Tejaswi</t>
  </si>
  <si>
    <t>7993948266</t>
  </si>
  <si>
    <t>9603856979</t>
  </si>
  <si>
    <t>Krishna nivas pg-egattur</t>
  </si>
  <si>
    <t>Egattur,beside marina mall road</t>
  </si>
  <si>
    <t>Krishna Nivas, Egattur</t>
  </si>
  <si>
    <t>Krishna Nivas PG, Sheshadri avenue, Egattur,Siruseri,Tamil Nadu-600130</t>
  </si>
  <si>
    <t>Chinmayi S</t>
  </si>
  <si>
    <t>8904299133</t>
  </si>
  <si>
    <t>8310993387</t>
  </si>
  <si>
    <t>Krishna Nivasa ladies PG, Egattur</t>
  </si>
  <si>
    <t xml:space="preserve"> Krishna Nivasa Ladies PG, Sheshadri Avenue, Rajiv Gandhi Salai, Egattur, Chennai. 600130</t>
  </si>
  <si>
    <t>Krishna Nivasa ladies pg, seahadri avenue,rajiv Gandhi Salai,Egattur,Tamil nadu 600130</t>
  </si>
  <si>
    <t>Nikita Ganesh Deshmukh</t>
  </si>
  <si>
    <t>8767184829</t>
  </si>
  <si>
    <t>9595432932</t>
  </si>
  <si>
    <t>KRISHNA NIWAS LADIES PG</t>
  </si>
  <si>
    <t>KRISHNA NIWAS LADIES PG RAJIV GANDHI SALAI</t>
  </si>
  <si>
    <t>Manchala Preethi</t>
  </si>
  <si>
    <t>7671969519</t>
  </si>
  <si>
    <t>6281455089</t>
  </si>
  <si>
    <t>Krishna Niwas PG</t>
  </si>
  <si>
    <t>Rajiv Gandhi Salai, OMG, Egattur</t>
  </si>
  <si>
    <t>HARSHITHA KANDULA</t>
  </si>
  <si>
    <t>7989318277</t>
  </si>
  <si>
    <t>9948929664</t>
  </si>
  <si>
    <t>Krishnanivas ladies pg -egattur</t>
  </si>
  <si>
    <t>Krishnanivas ladies pg ,Seshadri Avenue ,Rajiv Gandhi Salai,OMR,Egattur,Chennai</t>
  </si>
  <si>
    <t>Mohammad Juned Mohd Anis Shaikh</t>
  </si>
  <si>
    <t>7738361751</t>
  </si>
  <si>
    <t>8691918961</t>
  </si>
  <si>
    <t xml:space="preserve">KSR gents PG - Egattur </t>
  </si>
  <si>
    <t xml:space="preserve">KSR Gents PG - Inside Sipcot IT park, New TCS Building, Straight from Anish PG </t>
  </si>
  <si>
    <t>SHAIK USMAN</t>
  </si>
  <si>
    <t>6304660241</t>
  </si>
  <si>
    <t>9704362560</t>
  </si>
  <si>
    <t>KSR GENTS PG  Egattur, Siruseri</t>
  </si>
  <si>
    <t>KSR GENTS PG , Egattur, Siruseri, Tamil Nadu - 603103</t>
  </si>
  <si>
    <t>Rudraprasad Bisoyi</t>
  </si>
  <si>
    <t>9556446127</t>
  </si>
  <si>
    <t>9937803855</t>
  </si>
  <si>
    <t>KSR Gents PG, Siruseri</t>
  </si>
  <si>
    <t>KSR Gents PG, City Park, Plot no 50, First Cross Road, Siruseri, Chennai, Tamil Nadu 603101</t>
  </si>
  <si>
    <t>Deepak Paraste</t>
  </si>
  <si>
    <t>9669793145</t>
  </si>
  <si>
    <t>8461073256</t>
  </si>
  <si>
    <t>KSR PG, near anish pg and mensa house, eggattur</t>
  </si>
  <si>
    <t>Lavanya C</t>
  </si>
  <si>
    <t>6383354951</t>
  </si>
  <si>
    <t>9941623356</t>
  </si>
  <si>
    <t>Lakshmi Illam</t>
  </si>
  <si>
    <t>no 250, V.O.C Street, EVP Prabhu Avenue, Iyyapanthangal, Chennai- 600122</t>
  </si>
  <si>
    <t xml:space="preserve">Maneesha S A </t>
  </si>
  <si>
    <t>9342112356</t>
  </si>
  <si>
    <t>9363121411</t>
  </si>
  <si>
    <t>Lakshmi Nivas Ladies Paying Guest - New Hostel, Kalaingar Karunanidhi Salai, Rajiv Gandhi Salai, Semmencheri, Chennai - 600119</t>
  </si>
  <si>
    <t>Lakshmi Nivas Ladies Paying Guest - New Hostel, Kalaingar Karunanidhi Salai, Rajiv Gandhi Salai, Semmencheri, Chennai, Tamil Nadu - 600119</t>
  </si>
  <si>
    <t>Semmancheri</t>
  </si>
  <si>
    <t>malyala sathwik</t>
  </si>
  <si>
    <t>9032785103</t>
  </si>
  <si>
    <t>lakshmi srinivas elite pg,egattur</t>
  </si>
  <si>
    <t>lakshmi srinivas elite pg gents,pazhandiyamman koli street,egattur,navalur-600130</t>
  </si>
  <si>
    <t xml:space="preserve">Vinod S R </t>
  </si>
  <si>
    <t>8050057968</t>
  </si>
  <si>
    <t>9008889185</t>
  </si>
  <si>
    <t xml:space="preserve">Lakshmi Srinivas Mens Elite PG </t>
  </si>
  <si>
    <t>Lakshmi Srinivasa Mens Elite PG, 7/44, Palandi Amman Koil St, Egattur, Navalur, Tamil Nadu 600130</t>
  </si>
  <si>
    <t>Maalaiahgari Chandu</t>
  </si>
  <si>
    <t>7386626654</t>
  </si>
  <si>
    <t>8008125739</t>
  </si>
  <si>
    <t>Lakshmi Srinivasa elite Mens PG</t>
  </si>
  <si>
    <t>7/44, Palandi Amman Koil St, Egattur, Navalur, Tamil Nadu 600130</t>
  </si>
  <si>
    <t>Anandhu Das</t>
  </si>
  <si>
    <t>7592030865</t>
  </si>
  <si>
    <t>9744459004</t>
  </si>
  <si>
    <t xml:space="preserve">Lakshmi Srinivasa Elite Mens PG </t>
  </si>
  <si>
    <t>Lakshmi Srinivasa elite mens PG Pazhandiyamman Koil Street, TVH Taus, Navalur CHENNAI, TAMIL NADU 600130 India</t>
  </si>
  <si>
    <t xml:space="preserve">Having family residing in Banglore. </t>
  </si>
  <si>
    <t xml:space="preserve">Saurabh Jaiswal </t>
  </si>
  <si>
    <t>8318910094</t>
  </si>
  <si>
    <t>8127255040</t>
  </si>
  <si>
    <t xml:space="preserve">Lakshmi srinivasa elite mens pg </t>
  </si>
  <si>
    <t xml:space="preserve"> 7/44, Palandi Amman Koil St, Egattur, Navalur, Tamil Nadu 600130</t>
  </si>
  <si>
    <t xml:space="preserve">Lakshmi srinivasa elite men's pg </t>
  </si>
  <si>
    <t>KOTHEM ARVIND SAI TEJA</t>
  </si>
  <si>
    <t>9393532917</t>
  </si>
  <si>
    <t>9849236834</t>
  </si>
  <si>
    <t>Lakshmi Srinivasa Mens Elite PG</t>
  </si>
  <si>
    <t>7/44, Palandi Amman Koil St, Egattur, Navalur, Tamil Nadu-600130</t>
  </si>
  <si>
    <t>Vinod S R</t>
  </si>
  <si>
    <t xml:space="preserve">Lakshmi Srinivasa Mens Elite PG, 7/44, Palandi Amman Koil St, Egattur, Navalur, Tamil Nadu 600130  </t>
  </si>
  <si>
    <t>Prakash Santra</t>
  </si>
  <si>
    <t>8001740001</t>
  </si>
  <si>
    <t>9732883307</t>
  </si>
  <si>
    <t>Tarun Kumar</t>
  </si>
  <si>
    <t>7985811516</t>
  </si>
  <si>
    <t>9559220709</t>
  </si>
  <si>
    <t>Lakshmi Srinivasa Mens Elite PG, Egattur</t>
  </si>
  <si>
    <t>Lakshmi Srinivasa Mens Elite PG, Egattur, 7/44, Palandi Amman Koil St, Egattur, Navalur, Tamil Nadu - 600130</t>
  </si>
  <si>
    <t xml:space="preserve">my PG is near Shri Shakthi TVS service Center, Amman Koil St., Egattur, Navalur </t>
  </si>
  <si>
    <t>Lakshmi Srinivasa Men's Elite PG, Egattur</t>
  </si>
  <si>
    <t>Lakshmi Srinivasa Men's Elite PG, Egattur, 7/44, Palandi Amman Koil St, Egattur, Navalur, Tamil Nadu - 600130</t>
  </si>
  <si>
    <t>Sodum Hemanth Kumar Reddy</t>
  </si>
  <si>
    <t>7075053189</t>
  </si>
  <si>
    <t>7675021087</t>
  </si>
  <si>
    <t>Lakshmi Srinivasa mens pg - Eggatur</t>
  </si>
  <si>
    <t>Lakshmi Srinivasa mens pg, 203, st joseph church street , Eggatur , Siruseri ,TamilNadu,603103</t>
  </si>
  <si>
    <t>Vasudha Koorma</t>
  </si>
  <si>
    <t>7337566823</t>
  </si>
  <si>
    <t>9849250978</t>
  </si>
  <si>
    <t>Lavender Girls Pg - Siruseri, Egattur</t>
  </si>
  <si>
    <t>Lavender girls Pg, Beside mohamed sattak campus, Near Financial Software System pvt ltd, Inside sirusiri It park, 603103</t>
  </si>
  <si>
    <t>lohanathan house</t>
  </si>
  <si>
    <t>5/112 Annai Indira Nagar, Thiruvalluvar street, Thoraipakkam, Chennai, Tamil Nadu</t>
  </si>
  <si>
    <t>Dwarasila Jyoshna</t>
  </si>
  <si>
    <t>6303439457</t>
  </si>
  <si>
    <t>9912162550</t>
  </si>
  <si>
    <t>M.S.R Pg for ladies- Branch 1,Egattur</t>
  </si>
  <si>
    <t>M.S.R Luxury PG for ladies Branch 1, Gangai Amman Kovil Street, Egattur, Siruseri, Tamil Nadu - 603103</t>
  </si>
  <si>
    <t>Devesh Joshi</t>
  </si>
  <si>
    <t>8795974556</t>
  </si>
  <si>
    <t>9129440345</t>
  </si>
  <si>
    <t>Maa Durga PG</t>
  </si>
  <si>
    <t>Maa Durga PG, 15th street, Perubakkam  Main Road, Indrapriya Dharshini nagar, Perubakkam, Tamil Nadu, 600100</t>
  </si>
  <si>
    <t>Maa Durga PG, Indrapriyadarshini Nagar, Cheran Nagar, Perubakkam, Tamil Nadu, 600100</t>
  </si>
  <si>
    <t>Aashiq M</t>
  </si>
  <si>
    <t>8903257793</t>
  </si>
  <si>
    <t>9381051793</t>
  </si>
  <si>
    <t>Mahalakshmi Apartments</t>
  </si>
  <si>
    <t>No 82/40 F7 Mahalakshmi Apartments, Alagar Perumal Kovil Street, Vadapalani, Chennai - 26</t>
  </si>
  <si>
    <t>Abinaya R</t>
  </si>
  <si>
    <t>9677179969</t>
  </si>
  <si>
    <t>9360571970</t>
  </si>
  <si>
    <t>Mahalakshmi Apartments, Adambakkam</t>
  </si>
  <si>
    <t>No.1 Securatariat colony, Mahalakshmi Apartments D1 block - F1, Adambakkam, Chennai- 600088.</t>
  </si>
  <si>
    <t>Guindy</t>
  </si>
  <si>
    <t>Neya K M</t>
  </si>
  <si>
    <t>7708209395</t>
  </si>
  <si>
    <t>9488031161</t>
  </si>
  <si>
    <t>Maiyura Ladies Hostel</t>
  </si>
  <si>
    <t>Plot No: 53, 1st Street, Vijaya Ganapathy Nagar, near Jothi Shopping Centre &amp; CSI Church, Navalur, Tamil Nadu 600130</t>
  </si>
  <si>
    <t>SabarinathanAnbusezhiyan</t>
  </si>
  <si>
    <t>9344339660</t>
  </si>
  <si>
    <t>7502604235</t>
  </si>
  <si>
    <t>Mallesh Aashira apartment , perumbakkam.</t>
  </si>
  <si>
    <t>Mallesh Aashira, cheran nagar , perumbakkam,tamil Nadu-600100</t>
  </si>
  <si>
    <t>Sabarivasan K</t>
  </si>
  <si>
    <t>8838970254</t>
  </si>
  <si>
    <t>8883458550</t>
  </si>
  <si>
    <t>mambakkam</t>
  </si>
  <si>
    <t xml:space="preserve">vishnupriya garden 2nd street keelakottiyur </t>
  </si>
  <si>
    <t>Mamoothiamman, 3rd street, Egattur, Tamilnadu 603103</t>
  </si>
  <si>
    <t>Mamoothiamman,3rd street, Egattur,Tamilnadu 603103</t>
  </si>
  <si>
    <t>Mounika M</t>
  </si>
  <si>
    <t>8778658383</t>
  </si>
  <si>
    <t>9965647720</t>
  </si>
  <si>
    <t>Mangai kamalam Appartments</t>
  </si>
  <si>
    <t>ASF1, Mangai kamalam Apartments, 2nd street, Bhagyalakshmi Nagar, S.Kolathur, Kovilambakkam, Tamilnadu 600117</t>
  </si>
  <si>
    <t>Hepsiba P</t>
  </si>
  <si>
    <t>7204665940</t>
  </si>
  <si>
    <t>9035174752</t>
  </si>
  <si>
    <t>Manideep ladies Pg - Navalur</t>
  </si>
  <si>
    <t>Heena Kousar</t>
  </si>
  <si>
    <t>9483373667</t>
  </si>
  <si>
    <t>9480942014</t>
  </si>
  <si>
    <t>Manikandan PG Padur BRANCH 1</t>
  </si>
  <si>
    <t xml:space="preserve">Manikandan Pg Padur Mettu street Branch 1 </t>
  </si>
  <si>
    <t>GIRIPRASAD P</t>
  </si>
  <si>
    <t>6379407084</t>
  </si>
  <si>
    <t>9488084405</t>
  </si>
  <si>
    <t>MARK PG</t>
  </si>
  <si>
    <t>MARK PG NAVALUR CHENNAI</t>
  </si>
  <si>
    <t>Giriprasad P</t>
  </si>
  <si>
    <t>MARK PG , NAVALUR ,CHENNAI</t>
  </si>
  <si>
    <t>Jai Vignesh Elumalai</t>
  </si>
  <si>
    <t>8248020728</t>
  </si>
  <si>
    <t>9094402203</t>
  </si>
  <si>
    <t xml:space="preserve">MARKS gents pg navalur </t>
  </si>
  <si>
    <t>MARK gents PG navalur</t>
  </si>
  <si>
    <t>Shwetha Sri L</t>
  </si>
  <si>
    <t>7806844956</t>
  </si>
  <si>
    <t>9944467302</t>
  </si>
  <si>
    <t>Mayura Ladies Pg,Navalur</t>
  </si>
  <si>
    <t>Mayura Ladies Pg ,1st street,vijaya ganapathy nagar,navalur,chennai</t>
  </si>
  <si>
    <t>Rohan Kumar Sharma</t>
  </si>
  <si>
    <t>9341249013</t>
  </si>
  <si>
    <t>9835124366</t>
  </si>
  <si>
    <t>Meera Gents Pg , Navalur</t>
  </si>
  <si>
    <t>Meera Gents Pg , 25 , St Thomas St, near Navalur , Tollgate , Egattur , chennai, Tamil Nadu 600130</t>
  </si>
  <si>
    <t>Sangram Chavan Patil</t>
  </si>
  <si>
    <t>9019409736</t>
  </si>
  <si>
    <t>7483136295</t>
  </si>
  <si>
    <t>Meera Gents PG Egattur</t>
  </si>
  <si>
    <t>Meera Gents PG - 25, St, Thomas st, near Navalur Tollgate, Egattur, Chennai,Tamil Nadu 600130</t>
  </si>
  <si>
    <t>Manikanth Parasaram Madiwalar</t>
  </si>
  <si>
    <t>9742653775</t>
  </si>
  <si>
    <t>7829546331</t>
  </si>
  <si>
    <t>Meera gents pg egattur</t>
  </si>
  <si>
    <t xml:space="preserve">Meera gents pg,25, St Thomas St, near Navalur, Tollgate, Egattur, Chennai, Tamil Nadu 600130  </t>
  </si>
  <si>
    <t>Manoj M Hatalageri</t>
  </si>
  <si>
    <t>9019036168</t>
  </si>
  <si>
    <t>9482467617</t>
  </si>
  <si>
    <t>Meera Gents Pg, Chennai,Tamilnadu</t>
  </si>
  <si>
    <t>Meera Gents Pg ,St Thomas St near ngc church,navalur,egattur Chennai,Tamilnadu</t>
  </si>
  <si>
    <t>Lagadapati Ravi Teja</t>
  </si>
  <si>
    <t>6305544531</t>
  </si>
  <si>
    <t>9381498784</t>
  </si>
  <si>
    <t>Meera Gents PG, Egattur</t>
  </si>
  <si>
    <t>Meera Gents PG, 2A St Thomas street,Navalur</t>
  </si>
  <si>
    <t>Gamidi Vamsikrishna</t>
  </si>
  <si>
    <t>Meera Gents PG, Egatur</t>
  </si>
  <si>
    <t>Meera Gents PG, 2A St. Thomas Street, Navalur</t>
  </si>
  <si>
    <t>Chandan Swain</t>
  </si>
  <si>
    <t>6372398788</t>
  </si>
  <si>
    <t>7008424588</t>
  </si>
  <si>
    <t>Meera Gents PG, Navalur</t>
  </si>
  <si>
    <t>25, St Thomas St, near Navalur, Tollgate, Egattur, Chennai, Tamil Nadu 600130</t>
  </si>
  <si>
    <t>Bestha Bharath</t>
  </si>
  <si>
    <t>7995841453</t>
  </si>
  <si>
    <t>6305021248</t>
  </si>
  <si>
    <t>meera gents pg,egattur</t>
  </si>
  <si>
    <t>meera gents pg,2a,st thomas street, navalur</t>
  </si>
  <si>
    <t>Mekala Narayana</t>
  </si>
  <si>
    <t>7780142654</t>
  </si>
  <si>
    <t>8106199964</t>
  </si>
  <si>
    <t>Meghana PG, inside SIPCOT IT park, Egattur</t>
  </si>
  <si>
    <t xml:space="preserve">Anurag pravinrao Deshmukh </t>
  </si>
  <si>
    <t>9146848498</t>
  </si>
  <si>
    <t>8484978483</t>
  </si>
  <si>
    <t xml:space="preserve">Mettu street </t>
  </si>
  <si>
    <t>3/53, The Chennais Nest Elite | Mens Pg in Siruseri | Mens Hostel in Siruseri | Pg for Accomodation in Siruseri, Mettu Street, Kalipattur, Tamil Nadu</t>
  </si>
  <si>
    <t>Althi Sai Adarsh Naidu</t>
  </si>
  <si>
    <t>8142197635</t>
  </si>
  <si>
    <t>9849566488</t>
  </si>
  <si>
    <t>Mirchi Luxury Gents PG - Plot no: 71, Vijayaganapathy Nagar, 6th street, Navalur, Chennai</t>
  </si>
  <si>
    <t>Mirchi Luxury Gents PG - Plot no: 71, Vijayaganapathy Nagar, 6th street, Navalur, Chennai, Tamil Nadu - 600130</t>
  </si>
  <si>
    <t>Jakku Sai Krishna</t>
  </si>
  <si>
    <t>7386238987</t>
  </si>
  <si>
    <t>9491828987</t>
  </si>
  <si>
    <t>Mirchi luxury Gents PG , Navalur</t>
  </si>
  <si>
    <t>Mirchi Luxury Gents PG , Vijaya Ganapathy nagar 6th Street, Navalur, Chennai</t>
  </si>
  <si>
    <t>Sourav sikdar</t>
  </si>
  <si>
    <t>7001791396</t>
  </si>
  <si>
    <t>9832763901</t>
  </si>
  <si>
    <t xml:space="preserve">Mirchi pg </t>
  </si>
  <si>
    <t xml:space="preserve">Navalur </t>
  </si>
  <si>
    <t>Yanamala Neelima</t>
  </si>
  <si>
    <t>7995055982</t>
  </si>
  <si>
    <t>9160967515</t>
  </si>
  <si>
    <t>Moksha ladies Hostel</t>
  </si>
  <si>
    <t>Moksha ladies Hostel, Pariyar street, 3rd street from sipcot main gate, Egattur, Chegalpattu Dist., Siruseri, Chennai, TN - 600130</t>
  </si>
  <si>
    <t>moksha ladies hostel</t>
  </si>
  <si>
    <t>MOksha ladies hostel, periyar street, 3rd street from sipcot main gate, egattur, chennai, TN - 600130</t>
  </si>
  <si>
    <t>Vaishnavi Prakashchand Agrawal</t>
  </si>
  <si>
    <t>9356048822</t>
  </si>
  <si>
    <t>8459561805</t>
  </si>
  <si>
    <t>Moksha Ladies Hostel</t>
  </si>
  <si>
    <t>Periyar Street, Egattur, Tamil Nadu- 603103</t>
  </si>
  <si>
    <t>Bhavani M</t>
  </si>
  <si>
    <t>9176417262</t>
  </si>
  <si>
    <t>9715334703</t>
  </si>
  <si>
    <t>4/179, Periyar Street (Off OMR), Egattur, Chennai, Tamil Nadu 603103</t>
  </si>
  <si>
    <t>ANUSHYA K</t>
  </si>
  <si>
    <t>6382426071</t>
  </si>
  <si>
    <t>9976311644</t>
  </si>
  <si>
    <t xml:space="preserve">Moksha ladies hostel </t>
  </si>
  <si>
    <t>Moksha ladies hostel,periyar street, egattur</t>
  </si>
  <si>
    <t>sherin infanta jemimma a</t>
  </si>
  <si>
    <t>9344811401</t>
  </si>
  <si>
    <t>9443302865</t>
  </si>
  <si>
    <t>Moksha ladies hostel - egattur</t>
  </si>
  <si>
    <t>Moksha ladies hostel - egattur 36,city park,siruseriIT park, egattur, Tamil nadu 603103</t>
  </si>
  <si>
    <t>Abitha M</t>
  </si>
  <si>
    <t>7418545297</t>
  </si>
  <si>
    <t>8973732996</t>
  </si>
  <si>
    <t>Moksha Ladies Hostel - SIPCOT Siruseri</t>
  </si>
  <si>
    <t>Moksha Ladies Hostel - SIPCOT , 4/179, Periyar street, Egattur, Siruseri, Chennai - 603103</t>
  </si>
  <si>
    <t>sherin infanta jemimma A</t>
  </si>
  <si>
    <t>Moksha ladies hostel PG - siruseri IT park egattur</t>
  </si>
  <si>
    <t>Moksha ladies hostel PG - siruseri IT park egattur 36, city park, siruseri IT park, Egattur</t>
  </si>
  <si>
    <t>Moksha Ladies Hostel Siruseri Sipcot</t>
  </si>
  <si>
    <t>Moksha Ladies Hostel Siruseri Sipcot -Pudupakkam Main Road, Thiruporur, Tamil Nadu 600130</t>
  </si>
  <si>
    <t>DANGETI VIDYA MADHURI</t>
  </si>
  <si>
    <t>8143764349</t>
  </si>
  <si>
    <t>9395344701</t>
  </si>
  <si>
    <t>Moksha Ladies Hostel -Siruseri Sipcot , Egattur</t>
  </si>
  <si>
    <t>Moksha Ladies Hostel Siruseri Sipcot, SIPCOT IT Park, City Park, sipcot, Plot No 36, Siruseri, Chennai, Tamil Nadu 603103</t>
  </si>
  <si>
    <t>Eeri Leela Amrutha</t>
  </si>
  <si>
    <t>6304584747</t>
  </si>
  <si>
    <t>6303394747</t>
  </si>
  <si>
    <t>Moksha Ladies Hostel Siruseri Sipcot, Egattur</t>
  </si>
  <si>
    <t>Amulya Mukkera</t>
  </si>
  <si>
    <t>7842703293</t>
  </si>
  <si>
    <t>7032937258</t>
  </si>
  <si>
    <t>Moksha Ladies Hostel, Sipcot</t>
  </si>
  <si>
    <t>Moksha Ladies Hostel, Sipcot, Plot no. 36, Sipcot IT Park, Egattur, Siruseri, Tamil Nadu, 603103</t>
  </si>
  <si>
    <t>Akhila R</t>
  </si>
  <si>
    <t>9778547053</t>
  </si>
  <si>
    <t>9946889465</t>
  </si>
  <si>
    <t xml:space="preserve">Moksha Ladies hostel, Sipcot </t>
  </si>
  <si>
    <t>Moksha Ladies hostel sipcot siruseri, Plot No. 36, City Park, SIPCOT IT Park, Siruseri, Chennai, Tamil Nadu.</t>
  </si>
  <si>
    <t>Karthikeyani K</t>
  </si>
  <si>
    <t>9043167045</t>
  </si>
  <si>
    <t>9865124673</t>
  </si>
  <si>
    <t>Moksha Ladies PG</t>
  </si>
  <si>
    <t>Sipcot IT park, City Park, sipcot, plot no 36, siruseri, chennai, Tamil Nadu 603 103</t>
  </si>
  <si>
    <t>SHREE VARKHEDI</t>
  </si>
  <si>
    <t>7019469108</t>
  </si>
  <si>
    <t>9606304687</t>
  </si>
  <si>
    <t xml:space="preserve">MSR 2 GIRLS PG </t>
  </si>
  <si>
    <t>MSR  BRANCH 2 Gangai Amman Kovil Street, Egatur, Siruseri</t>
  </si>
  <si>
    <t>NO COMMENTS</t>
  </si>
  <si>
    <t>Preeti B Nandi</t>
  </si>
  <si>
    <t>8310888035</t>
  </si>
  <si>
    <t>6360124253</t>
  </si>
  <si>
    <t>MSR 2ND BRANCH LADIES LUXURY PG,EGATTUR</t>
  </si>
  <si>
    <t>MSR 2nd Branch ladies luxury PG-Egattur</t>
  </si>
  <si>
    <t>MSR 2nd branch luxury pg, Pazhandi Amman Koil Street, Egattur, Siruseri, OMR, Chennai, Tamil Nadu, 600130</t>
  </si>
  <si>
    <t>Mandapati Yashasri</t>
  </si>
  <si>
    <t>8019616797</t>
  </si>
  <si>
    <t>9493515494</t>
  </si>
  <si>
    <t>MSR Branch 2</t>
  </si>
  <si>
    <t>MSR Branch 2 Amman Kovil Street, Egattur ,Siruseri</t>
  </si>
  <si>
    <t>Arepalli Meghana</t>
  </si>
  <si>
    <t>9392913901</t>
  </si>
  <si>
    <t>6303330670</t>
  </si>
  <si>
    <t>MSR Branch III ladies Luxury PG</t>
  </si>
  <si>
    <t>MSR Branch III ladies Luxury PG, Gangai Amman Kovil Street, Egattur, Siruseri, Tamil Nadu - 603103</t>
  </si>
  <si>
    <t>Sakshi Manoj Chavan</t>
  </si>
  <si>
    <t>8408003138</t>
  </si>
  <si>
    <t>9922455558</t>
  </si>
  <si>
    <t>MSR Girls PG Branch 3</t>
  </si>
  <si>
    <t>MSR Girls PG Branch 3,SIPCOT IT PARK, NO: 4/239, GANGAI AMMAN KOVIL STREET, EGATTUR, SIRUSERI LANDMARK:, AND, NEAR MARINA MALL, OPPOSITE TO ADYAR ANANDHA BHAVAN (A2B)</t>
  </si>
  <si>
    <t>Gunaganti Revan Kumar</t>
  </si>
  <si>
    <t>8790318411</t>
  </si>
  <si>
    <t>9347456191</t>
  </si>
  <si>
    <t>MSR Grand PG Gents PG Hostel, Navalur</t>
  </si>
  <si>
    <t>248/30, Sambalal Street, Rajiv Gandhi Salai, Navalur, Chennai, Tamilnadu -603103</t>
  </si>
  <si>
    <t>Sindhusena Thirunavukkarasu</t>
  </si>
  <si>
    <t>6382048191</t>
  </si>
  <si>
    <t>9994636348</t>
  </si>
  <si>
    <t>MSR Ladies Hostel -Branch 1, Egattur</t>
  </si>
  <si>
    <t>MSR Ladies Hostel, 4/239,Gangai Amman Kovil Street, Egattur, Siruseri 600130</t>
  </si>
  <si>
    <t>Sakshi Sunil Musale</t>
  </si>
  <si>
    <t>9324750466</t>
  </si>
  <si>
    <t>8268201207</t>
  </si>
  <si>
    <t>MSR Ladies Luxury PG Branch 3</t>
  </si>
  <si>
    <t>S.No..92/12, Gangai Amman Kovil Street, Old Mahabalipuram Road, Egattur, Siruseri, TamilNadu 600130</t>
  </si>
  <si>
    <t>jJAYAWARDHINI VADIVELU</t>
  </si>
  <si>
    <t>7810076446</t>
  </si>
  <si>
    <t>9894970043</t>
  </si>
  <si>
    <t>MSR LADIES LUXURY PG BRANCH 3 EGATTUR</t>
  </si>
  <si>
    <t>MSR LADIES LUXURY PG BRANCH 3 , Gangai Amman Kovil Street, Egattur, Siruseri, Tamil Nadu - 603103</t>
  </si>
  <si>
    <t>kajal sambhaji ligade</t>
  </si>
  <si>
    <t>7249125696</t>
  </si>
  <si>
    <t>7058347772</t>
  </si>
  <si>
    <t>MSR ladies luxury PG, S.No.92/12, Gangai Amman Kovil Street, Old Mahabalipuram Road, Egattur, Siruseri. Tamil Nadu 600130</t>
  </si>
  <si>
    <t xml:space="preserve">kajal sambhaji ligade </t>
  </si>
  <si>
    <t>7249125695</t>
  </si>
  <si>
    <t>MSR Ladies luxury PG-Branch 3, Egattur.</t>
  </si>
  <si>
    <t>MSR Ladies luxury PG-Branch 3, S.No.92/12, Gangai Amman Kovil Street, Old Mahabalipuram Road, Egattur, Siruseri, Tamil Nadu 600130</t>
  </si>
  <si>
    <t>Kakara Nanda Mounika</t>
  </si>
  <si>
    <t>9390229435</t>
  </si>
  <si>
    <t>9182681959</t>
  </si>
  <si>
    <t>MSR LADIES PG - Branch 1, Egattu</t>
  </si>
  <si>
    <t>MSR LADIES PG, Branch 1, Gangai Amman Kovil Street, Egattur, Siruseri, Tamil Nadu - 603103</t>
  </si>
  <si>
    <t>Karne Komali Bhavani</t>
  </si>
  <si>
    <t>9392052343</t>
  </si>
  <si>
    <t>8247568010</t>
  </si>
  <si>
    <t>MSR Ladies PG - Branch 2, Egattur</t>
  </si>
  <si>
    <t>MSR Ladies PG - Branch 2, Egattur, Siruseri, Tamil Nadu - 603103</t>
  </si>
  <si>
    <t>Shruti Ashok Shigehalli</t>
  </si>
  <si>
    <t>9008545285</t>
  </si>
  <si>
    <t>9980603138</t>
  </si>
  <si>
    <t>MSR Ladies PG Branch 2 Egattur</t>
  </si>
  <si>
    <t>MSR GRAND LADIES PG Egattur, Siruseri, Tamil Nadu - 603103</t>
  </si>
  <si>
    <t>Natla Vaishnavi</t>
  </si>
  <si>
    <t>9550365359</t>
  </si>
  <si>
    <t>8186952787</t>
  </si>
  <si>
    <t>MSR ladies PG branch 2,Egattur</t>
  </si>
  <si>
    <t xml:space="preserve">MSR ladies PG Branch 2, Pazhandi Amman Kovil Street, Egattur, Siruseri,Chennai-600130 </t>
  </si>
  <si>
    <t>Sakshi Sinha</t>
  </si>
  <si>
    <t>7782888881</t>
  </si>
  <si>
    <t>9776307595</t>
  </si>
  <si>
    <t>MSR LADIES PG BRANCH 3</t>
  </si>
  <si>
    <t>MSR LADIES PG BRANCH 3, 213,GANGAI AMMAN KOVIL STREET , IMPERIAL TOWERS , EGATTUR CHENNAI</t>
  </si>
  <si>
    <t>Pratiksha Bhagavnarao Pawar</t>
  </si>
  <si>
    <t>9156027349</t>
  </si>
  <si>
    <t>9545897349</t>
  </si>
  <si>
    <t>MSR Ladies Pg Branch 3, S.No.92/12, Gangai Amman Kovil Street, Old Mahabalipuram Road, Egattur, Siruseri, Tamil Nadu.</t>
  </si>
  <si>
    <t>Monika S</t>
  </si>
  <si>
    <t>9150657404</t>
  </si>
  <si>
    <t>9003110027</t>
  </si>
  <si>
    <t>MSR Luxury Ladies PG - Branch 1, Egattur, Siruseri</t>
  </si>
  <si>
    <t>MSR Luxury Ladies PG - Branch 1, Gangai Amman Kovil Street, Egattur, Siruseri, Tamil Nadu - 603103</t>
  </si>
  <si>
    <t>Pedasingu Sanjana</t>
  </si>
  <si>
    <t>8500791730</t>
  </si>
  <si>
    <t>9848849965</t>
  </si>
  <si>
    <t>MSR Luxury Ladies PG - Branch 3, Egattur</t>
  </si>
  <si>
    <t>MSR Luxury Ladies PG - Branch 3, Siruseri</t>
  </si>
  <si>
    <t>Mote Srija</t>
  </si>
  <si>
    <t>7680871971</t>
  </si>
  <si>
    <t>9553918491</t>
  </si>
  <si>
    <t xml:space="preserve">MSR LUXURY LADIES PG - Branch 3,Egattur </t>
  </si>
  <si>
    <t>MSR LUXURY LADIES PG - Branch 3(B-III):No.92/12,Gangai Amman Kovil Street, Egattur, Siruseri, Tamil Nadu-603103</t>
  </si>
  <si>
    <t>Yallala Veera Nishitha</t>
  </si>
  <si>
    <t>9618305365</t>
  </si>
  <si>
    <t>9482998395</t>
  </si>
  <si>
    <t>MSR luxury ladies pg branch 2 ,Egattur</t>
  </si>
  <si>
    <t>MSR luxury ladies pg branch 2,A/31 pazhandi amman kovil street ,Egattur,siruseri ,Chennai</t>
  </si>
  <si>
    <t>Priyanka Kalidas Sundalam</t>
  </si>
  <si>
    <t>8625957549</t>
  </si>
  <si>
    <t>9890557549</t>
  </si>
  <si>
    <t>MSR luxury ladies PG branch 2, Siruseri, Egattur</t>
  </si>
  <si>
    <t>MSR luxury ladies PG branch 2, A/31, Pazhandi Amman kovil Street, Old Mahabalipuram Road, Siruseri, Egattur, Tamil Nadu 600130</t>
  </si>
  <si>
    <t>Sanika Suresh Lavate</t>
  </si>
  <si>
    <t>8262931965</t>
  </si>
  <si>
    <t>8999575789</t>
  </si>
  <si>
    <t>msr luxury ladies pg branch 3 ,Gangai Amman Kovil Street, Old Mahabalipuram Road, Egattur, Siruseri, Tamil Nadu 600130</t>
  </si>
  <si>
    <t xml:space="preserve">Shradha Surendra Joshi </t>
  </si>
  <si>
    <t>7058384305</t>
  </si>
  <si>
    <t>9420770956</t>
  </si>
  <si>
    <t>MSR Luxury ladies PG branch 3,,Egattur</t>
  </si>
  <si>
    <t>MSR Luxury ladies PG branch 3,chennai,Egattur,Tamilnadu,600130,India</t>
  </si>
  <si>
    <t>Harshitha U</t>
  </si>
  <si>
    <t>6363417096</t>
  </si>
  <si>
    <t>9591091049</t>
  </si>
  <si>
    <t>MSR Luxury Ladies PG Branch III</t>
  </si>
  <si>
    <t>S.No.92/12, Gangai Amman Kovil Street, Egattur, OMR, Siruseri, Chennai, Tamilnadu - 600 130.   LM: Opposite to Adyar Anandha Bhavan (A2B) Behind SIPCOT Bus Stand, NEAR SIRUSERI SIPCOT IT PARK</t>
  </si>
  <si>
    <t>DEEPIKA S</t>
  </si>
  <si>
    <t>9840862795</t>
  </si>
  <si>
    <t>9486305733</t>
  </si>
  <si>
    <t>MSR LUXURY LADIES PG BRANCH-1, EGATTUR</t>
  </si>
  <si>
    <t>No: 4/239, Gangai Amman Kovil Street, MSR Luxury Ladies PG Branch-1, Egattur, Siruseri, Chennai</t>
  </si>
  <si>
    <t>Tumpaala Lakshmi Vaatsalya</t>
  </si>
  <si>
    <t>8309926733</t>
  </si>
  <si>
    <t>8125259121</t>
  </si>
  <si>
    <t>MSR LUXURY LADIES PG BRANCH-3, Egattur</t>
  </si>
  <si>
    <t>MSR LUXURY LADIES PG BRANCH-3, Doctor Ambedkar Street, Egattur, Uthadi, Chengalpattu, Tamil Nadu, 600130</t>
  </si>
  <si>
    <t>Aishwary Shivappa Singaragoppa</t>
  </si>
  <si>
    <t>9019710488</t>
  </si>
  <si>
    <t>7204699312</t>
  </si>
  <si>
    <t>MSR Luxury Ladies PG-Branch 3, Egattur</t>
  </si>
  <si>
    <t>MSR Luxury Ladies PG-Branch 3, Gangai Amman Kovil Street, Egattur, Siruseri, TamilNadu-603103</t>
  </si>
  <si>
    <t>Abinaya Sivakumar</t>
  </si>
  <si>
    <t>9345239236</t>
  </si>
  <si>
    <t>9751209706</t>
  </si>
  <si>
    <t>MSR Luxury PG</t>
  </si>
  <si>
    <t>MSR Luxury PG, Branch 2, pazhandiamman kovil street, old mahabalipuram road, siruseri, Chennai.</t>
  </si>
  <si>
    <t>Sri Hareeni G</t>
  </si>
  <si>
    <t>6374475735</t>
  </si>
  <si>
    <t>9842272063</t>
  </si>
  <si>
    <t>MSR Luxury PG, Gangai Amman Kovil Street, Egattur, Siruseri, Tamil Nadu - 600130</t>
  </si>
  <si>
    <t>Pranathi S</t>
  </si>
  <si>
    <t>9353023098</t>
  </si>
  <si>
    <t>9483202240</t>
  </si>
  <si>
    <t>MSR LUXURY PG - BRANCH 1</t>
  </si>
  <si>
    <t>MSR Luxury PG- branch 1, Gangai Amman Kovil Street, Egattur, Siruseri, Tamil Nadu- 603103</t>
  </si>
  <si>
    <t>MSR Luxury PG - Branch 1, Egatur</t>
  </si>
  <si>
    <t>MSR Luxury Ladies PG, Branch 1, Gangai Amman Kovil Street, Egatur, Siruseri, Tamil Nadu - 603103</t>
  </si>
  <si>
    <t>Regular emergency drills and awareness sessions, maintaining an updated emergency contact list, ensuring access to first-aid kits and emergency supplies, clear communication channels during disruptions, and periodic checks of backup systems and remote working capabilities. These measures can help improve associate safety, emergency preparedness, and business continuity.</t>
  </si>
  <si>
    <t>Sandhya Illingi</t>
  </si>
  <si>
    <t>9121675146</t>
  </si>
  <si>
    <t>7671934753</t>
  </si>
  <si>
    <t>MSR Luxury PG - Branch 2, A/31, Egattur</t>
  </si>
  <si>
    <t>MSR Luxury PG - Branch 2, A/31, Pazhandi Amman kovil street, Old Mahabalipuram Road, Siruseri, Egattur, Tamil Nadu</t>
  </si>
  <si>
    <t>Lakshamithra S A B</t>
  </si>
  <si>
    <t>6374742332</t>
  </si>
  <si>
    <t>9865561750</t>
  </si>
  <si>
    <t>MSR Luxury PG - Branch 2, Egatur</t>
  </si>
  <si>
    <t>MSR Luxury PG, Branch 2, Pazhandi Amman kovil street, Egattur, Siruseri, Tamil Nadu - 600130</t>
  </si>
  <si>
    <t>Priya P</t>
  </si>
  <si>
    <t>9113047515</t>
  </si>
  <si>
    <t>9742661240</t>
  </si>
  <si>
    <t>MSR Luxury PG Branch 1</t>
  </si>
  <si>
    <t>SIPCOT IT PARK, NO: 4/239, GANGAI AMMAN KOVIL STREET, EGATTUR, SIRUSERI LANDMARK, NEAR MARINA MALL, OPPOSITE TO ADYAR ANANDHA BHAVAN (A2B).</t>
  </si>
  <si>
    <t>Chinmayi HP</t>
  </si>
  <si>
    <t>8088412329</t>
  </si>
  <si>
    <t>MSR LUXURY PG BRANCH 2</t>
  </si>
  <si>
    <t>MSR LUXURY PG BRANCH 2,Pazhandi Amman Kovil Street, Egattur, Siruseri, Tamil Nadu - 603103</t>
  </si>
  <si>
    <t>HARSHAVARTHINI S</t>
  </si>
  <si>
    <t>9894095280</t>
  </si>
  <si>
    <t>9150840955</t>
  </si>
  <si>
    <t>MSR LUXURY PG BRANCH 3</t>
  </si>
  <si>
    <t>MSR LUXURY PG BRANCH 3, Gangai Amman Kovil Street, Egattur, Siruseri, Tamil Nadu - 600130</t>
  </si>
  <si>
    <t>Sudha B</t>
  </si>
  <si>
    <t>7539985433</t>
  </si>
  <si>
    <t>9865785433</t>
  </si>
  <si>
    <t>MSR LUXURY PG -BRANCH 3,SIRU SERI</t>
  </si>
  <si>
    <t>MSR LUXURY PG -BRANCH 3,       SNO 92/12,GANGAI AMMAN KOVIL STREET ,OLD MAHABALIPURAM ROAD,EGATTUR,SIRU SERI</t>
  </si>
  <si>
    <t>Gunasundhari N</t>
  </si>
  <si>
    <t>8148398072</t>
  </si>
  <si>
    <t>6383082121</t>
  </si>
  <si>
    <t>MSR LUXURY PG BRANCH III, GANGAI AMMAN KOIL STREET, OMR, EGATTUR, SIRUSERI, CHENNAI-600130</t>
  </si>
  <si>
    <t>Kolli Mounika</t>
  </si>
  <si>
    <t>9121526712</t>
  </si>
  <si>
    <t>9989709808</t>
  </si>
  <si>
    <t>MSR Luxury PG for Ladies</t>
  </si>
  <si>
    <t>MSR Luxury PG for Ladies, Branch 1, 4/239, Gangai Amman Kovil Street, Egattur, Siruseri, Tamil Nadu-603103</t>
  </si>
  <si>
    <t xml:space="preserve">Perumalla Harshitha </t>
  </si>
  <si>
    <t>9573552122</t>
  </si>
  <si>
    <t>7989728136</t>
  </si>
  <si>
    <t xml:space="preserve">MSR Luxury PG for Ladies </t>
  </si>
  <si>
    <t>Ladies (Branch II), A/31, Pazhandi Amman kovil Street, Old Mahabalipuram Road, Siruseri, Egattur, Tamil Nadu 600130</t>
  </si>
  <si>
    <t>Kaviya P</t>
  </si>
  <si>
    <t>9791227023</t>
  </si>
  <si>
    <t>9626215146</t>
  </si>
  <si>
    <t>MSR Luxury PG for Ladies - Branch 1</t>
  </si>
  <si>
    <t>MSR Luxury PG for Ladies - Branch 1, No: 4/239, Gangai Amman Kovil Street, Egattur, OMR, Siruseri, Chennai – 603103 Landmark: Opposite Adyar Anandha Bhavan (A2B), behind SIPCOT Bus Stand, near SIPCOT IT Park</t>
  </si>
  <si>
    <t>Kayalvizhi R</t>
  </si>
  <si>
    <t>7094877008</t>
  </si>
  <si>
    <t>8667847788</t>
  </si>
  <si>
    <t>MSR Luxury Pg for ladies - Branch 1</t>
  </si>
  <si>
    <t>Gangai Amman Kovil Street, Egattur, Siruseri, Tamil Nadu - 603103</t>
  </si>
  <si>
    <t>Santhiya S</t>
  </si>
  <si>
    <t>9786587745</t>
  </si>
  <si>
    <t>9786984595</t>
  </si>
  <si>
    <t>MSR LUXURY PG FOR LADIES - Branch 1, Egattur</t>
  </si>
  <si>
    <t>Srimathidevi P</t>
  </si>
  <si>
    <t>8825664540</t>
  </si>
  <si>
    <t>9488713325</t>
  </si>
  <si>
    <t>MSR Luxury PG for Ladies - Branch 1, Egattur</t>
  </si>
  <si>
    <t>MSR Luxury PG for Ladies, Branch 1, Gangai Amman Kovil Street, Egattur, Siruseri, Tamil Nadu - 603103</t>
  </si>
  <si>
    <t>Nasika Parvin Raja Mohamed</t>
  </si>
  <si>
    <t>9843547530</t>
  </si>
  <si>
    <t>9245878290</t>
  </si>
  <si>
    <t>MSR luxury PG for ladies, Branch 1, Gangai Amman Kovil Street, Egattur, Siruseri, Tamil Nadu - 603103</t>
  </si>
  <si>
    <t>MSR Luxury PG for Ladies, Branch 1, 4/239, Gangai Amman Kovil Street, Egattur, Siruseri, Chennai – 603103, Tamil Nadu</t>
  </si>
  <si>
    <t>Aishwarya Appasaheb Waje</t>
  </si>
  <si>
    <t>9322236548</t>
  </si>
  <si>
    <t>8956109232</t>
  </si>
  <si>
    <t>MSR Luxury PG for Ladies - Branch 2, Siruseri</t>
  </si>
  <si>
    <t>MSR Luxury PG for Ladies, Branch 2, Pazhandi Amman Kovil Street, Siruseri, Egattur, Tamil Nadu 600130</t>
  </si>
  <si>
    <t>Pooja Basker</t>
  </si>
  <si>
    <t>9150570823</t>
  </si>
  <si>
    <t>7200806731</t>
  </si>
  <si>
    <t>MSR Luxury PG for Ladies - Branch 3 ,  Egattur</t>
  </si>
  <si>
    <t>MSR Luxury PG for Ladies - Branch 3 , no.92/12,Gangai Amman Kovil Street, Old Mahabalipuram Road , Egattur , Siruseri , Tamil Nadu 600130</t>
  </si>
  <si>
    <t>Neya Charlote S A</t>
  </si>
  <si>
    <t>9361814310</t>
  </si>
  <si>
    <t>6369301121</t>
  </si>
  <si>
    <t>MSR Luxury PG for Ladies - Branch 3, Egattur</t>
  </si>
  <si>
    <t>MSR Luxury PG for Ladies - Branch 3, Gangai Amman Kovil Street, Egattur, Siruseri, TamilNadu - 603103</t>
  </si>
  <si>
    <t>Priyanka Pandey</t>
  </si>
  <si>
    <t>7394804410</t>
  </si>
  <si>
    <t>9456290169</t>
  </si>
  <si>
    <t>MSR Luxury PG for ladies - Branch 3,Egattur</t>
  </si>
  <si>
    <t>MSR Luxury PG for ladies - Branch 3,Gangai Amman Kovil Street, Egattur, Siruseri, Tamil Nadu - 603103</t>
  </si>
  <si>
    <t>Rishitha Vooturi</t>
  </si>
  <si>
    <t>778067994</t>
  </si>
  <si>
    <t>9949318227</t>
  </si>
  <si>
    <t>MSR Luxury PG for Ladies - Branch 3,Egattur</t>
  </si>
  <si>
    <t>MSR Luxury PG for Ladies , Branch 3, 92/12, Gangai Amman Kovil Street, Egattur, Siruseri, Tamil Nadu - 603103</t>
  </si>
  <si>
    <t>Sarumathi N</t>
  </si>
  <si>
    <t>7604881194</t>
  </si>
  <si>
    <t>9751393538</t>
  </si>
  <si>
    <t>MSR Luxury PG for LADIES-  Branch II , Egattur</t>
  </si>
  <si>
    <t>MSR Luxury PG for Ladies, Branch II , Pazhandi Amman Kovil Street, Egattur , Siruseri, Tamil Nadu - 603103.</t>
  </si>
  <si>
    <t>Saranyashree Vijayakumar</t>
  </si>
  <si>
    <t>9361550702</t>
  </si>
  <si>
    <t>9840582709</t>
  </si>
  <si>
    <t>MSR Luxury PG for Ladies - Branch III, Egatur</t>
  </si>
  <si>
    <t>MSR Luxury PG for Ladies - Branch III, S.No.92/12, Gangai Amman Kovil Street, Egattur, OMR, Siruseri, Chennai, Tamilnadu - 600 130.</t>
  </si>
  <si>
    <t>Pamula Indhu Sri</t>
  </si>
  <si>
    <t>8522901395</t>
  </si>
  <si>
    <t>9381418911</t>
  </si>
  <si>
    <t>MSR Luxury PG for Ladies (Branch 2)</t>
  </si>
  <si>
    <t>A/31, Pazhandi Amman kovil Street Old Mahabalipuram Raod Siruseri Egattur, Tamil Nadu 600130</t>
  </si>
  <si>
    <t>Thrisala K</t>
  </si>
  <si>
    <t>8667635731</t>
  </si>
  <si>
    <t>6369192040</t>
  </si>
  <si>
    <t>MSR Luxury PG for Ladies (branch 3)</t>
  </si>
  <si>
    <t>MSR Luxury PG for Ladies (branch 3), Gangai Amman Kovil Street, Old Mahabalipuram Road, Egattur, Siruseri, Tamil Nadu - 603103</t>
  </si>
  <si>
    <t>Shrushti Arun Shelke</t>
  </si>
  <si>
    <t>9890083226</t>
  </si>
  <si>
    <t>7620770911</t>
  </si>
  <si>
    <t>MSR Luxury PG for Ladies (Branch 3), Siruseri, Tamil Nadu.</t>
  </si>
  <si>
    <t>Andra Tulasi Lakshmi Tanya</t>
  </si>
  <si>
    <t>6302601497</t>
  </si>
  <si>
    <t>9985345626</t>
  </si>
  <si>
    <t>MSR Luxury PG for Ladies (Branch II)</t>
  </si>
  <si>
    <t>MSR Luxury PG for Ladies (Branch II), A/31, Pazhandi Amman kovilStreet, Egattur,Siruseri,OMR,Chennai,Tamilnadu, 600 130.</t>
  </si>
  <si>
    <t>Anusri Saha</t>
  </si>
  <si>
    <t>9062612803</t>
  </si>
  <si>
    <t>8902703712</t>
  </si>
  <si>
    <t>MSR Luxury PG for Ladies (Branch III)</t>
  </si>
  <si>
    <t>92/12,Gangai Amman Kovil Street, Egattur, OMR, Siruseri, Chennai, Tamilnadu - 600 130.</t>
  </si>
  <si>
    <t>M Vikasini</t>
  </si>
  <si>
    <t>8072020206</t>
  </si>
  <si>
    <t>9965570757</t>
  </si>
  <si>
    <t>MSR Luxury PG for Ladies (Branch III), S.No.92/12, Gangai Amman Kovil Street, Old Mahabalipuram Road, Egattur, Siruseri, Tamil Nadu 600130</t>
  </si>
  <si>
    <t>Nidharshnaa S T</t>
  </si>
  <si>
    <t>8072979661</t>
  </si>
  <si>
    <t>9944430536</t>
  </si>
  <si>
    <t xml:space="preserve">MSR Luxury PG for Ladies (Branch III), </t>
  </si>
  <si>
    <t xml:space="preserve"> S.No.92/12, Gangai Amman Kovil Street, Old Mahabalipuram Road, Egattur, Siruseri, Tamil Nadu 600130</t>
  </si>
  <si>
    <t>Delry Davis</t>
  </si>
  <si>
    <t>8848452442</t>
  </si>
  <si>
    <t>8281617066</t>
  </si>
  <si>
    <t>MSR Luxury PG for Ladies (Branch III),S.No.92/12</t>
  </si>
  <si>
    <t>MSR Luxury PG for Ladies (Branch III),S.No.92/12, Gangai Amman Kovil Street, Old Mahabalipuram Road, Egattur, Siruseri, Tamil Nadu 600130, India</t>
  </si>
  <si>
    <t>Mathumitha E</t>
  </si>
  <si>
    <t>7806832840</t>
  </si>
  <si>
    <t>9629598477</t>
  </si>
  <si>
    <t>MSR luxury pg for ladies 3 - Egattur, Siruseri</t>
  </si>
  <si>
    <t>MSR luxury pg for ladies 3,Gangai Amman kovil street, Egattur, Siruseri, Tamilnadu- 603103</t>
  </si>
  <si>
    <t>Sri Ramana Manjarry T</t>
  </si>
  <si>
    <t>6383669177</t>
  </si>
  <si>
    <t>7373529473</t>
  </si>
  <si>
    <t>MSR LUXURY PG FOR LADIES BRANCH - 2 , Egattur</t>
  </si>
  <si>
    <t>MSR LUXURY PG for ladies branch - 2 , A/31 , Pazhandi Amman Kovil Street ,Old Mahabalipuram Road,Siruseri , Egattur , Tamil Nadu - 600130</t>
  </si>
  <si>
    <t>Akshaya M S</t>
  </si>
  <si>
    <t>9965804233</t>
  </si>
  <si>
    <t>6379202071</t>
  </si>
  <si>
    <t>MSR Luxury PG for Ladies- Branch 1, Egattur</t>
  </si>
  <si>
    <t>MSR Luxury PG for Ladies, Branch 1 , Gangai Amman Kovil Street, Egattur, Siruseri, Tamil Nadu 603103</t>
  </si>
  <si>
    <t>MSR LUXURY PG FOR LADIES- Branch 1, Egattur</t>
  </si>
  <si>
    <t>MSR LUXURY PG FOR LADIES- Branch 1, 4/239, Gangai Amman Kovil Street, Egattur, Siruseri, Chennai – 603103, Tamil Nadu</t>
  </si>
  <si>
    <t>Thirandi Ramya</t>
  </si>
  <si>
    <t>6281868622</t>
  </si>
  <si>
    <t>9182806850</t>
  </si>
  <si>
    <t>MSR LUXURY PG for Ladies Branch- 2</t>
  </si>
  <si>
    <t>MSR Luxury PG for Ladies (Branch II), A/31, Pazhandi Amman Kovil Street, Old Mahabalipuram Road, Siruseri, Egattur, Tamil Nadu 600130</t>
  </si>
  <si>
    <t>Pranjal Ramesh Tanpure</t>
  </si>
  <si>
    <t>8767947185</t>
  </si>
  <si>
    <t>8208717867</t>
  </si>
  <si>
    <t>MSR Luxury PG for Ladies -Branch 2,Egattur</t>
  </si>
  <si>
    <t>MSR Luxury PG for Ladies, Branch 2, Pazhandi Amman Kovil Street, Egattur, Siruseri, Tamil Nadu - 6001030</t>
  </si>
  <si>
    <t>Shravani Vijay Dasari</t>
  </si>
  <si>
    <t>9309403260</t>
  </si>
  <si>
    <t>9765919598</t>
  </si>
  <si>
    <t>MSR Luxury PG for Ladies Branch II</t>
  </si>
  <si>
    <t>A/31, Pazhandi Amman kovil street, OMR, Siruseri, Egattur, Tamil Nadu 600130</t>
  </si>
  <si>
    <t>Divya Shree V</t>
  </si>
  <si>
    <t>9655668258</t>
  </si>
  <si>
    <t>9994842452</t>
  </si>
  <si>
    <t>MSR Luxury PG for Ladies -Branch III ,Egattur</t>
  </si>
  <si>
    <t>MSR Luxury PG for Ladies -Branch III , S.No . 92/12 ,Gangai Amman Kovil Street, Egattur,  OMR, Siruseri, Tamil Nadu-600130</t>
  </si>
  <si>
    <t>Lipishree H S</t>
  </si>
  <si>
    <t>9916876057</t>
  </si>
  <si>
    <t>9880955706</t>
  </si>
  <si>
    <t>MSR luxury pg for ladies, Branch 3, Egattur</t>
  </si>
  <si>
    <t>MSR luxury pg for ladies, Branch 3, Gangai Amman Kovil Street, Egattur, Siruseri, Tamil Nadu - 603103</t>
  </si>
  <si>
    <t>SHREAYAA</t>
  </si>
  <si>
    <t>7358480747</t>
  </si>
  <si>
    <t>9789669999</t>
  </si>
  <si>
    <t>MSR Luxury PG for Ladies, BRANCH 3, EGATTUR</t>
  </si>
  <si>
    <t>MSR Luxury PG for Ladies, Branch III: S.No.92/12, Gangai Amman Kovil Street, Egattur, OMR, Siruseri, Chennai, Tamil Nadu – 600130</t>
  </si>
  <si>
    <t>JALDU KAVYA SREE LAKSHMI</t>
  </si>
  <si>
    <t>9856777778</t>
  </si>
  <si>
    <t>9533179988</t>
  </si>
  <si>
    <t>MSR LUXURY PG FOR LADIES, BRANCH-3, AMMAN KOVLI STREET ,EGATTUR</t>
  </si>
  <si>
    <t>MSR LUXURY PG FOR LADIES, BRANCH-3, AMMAN KOVLI STREET, EGATTUR</t>
  </si>
  <si>
    <t>MSR Luxury PG for Ladies, Egattur</t>
  </si>
  <si>
    <t>MSR Luxury PG for Ladies, S.No.92/12,Gangai Amman Kovil Street, Egattur, OMR, Siruseri, Chennai, Tamilnadu - 600 130.</t>
  </si>
  <si>
    <t>Mude Varsha</t>
  </si>
  <si>
    <t>7981734440</t>
  </si>
  <si>
    <t>9866395095</t>
  </si>
  <si>
    <t xml:space="preserve">MSR Luxury PG for Ladies, SIPCOT IT Park, No: 4/239, Gangai Amman Kovil Street, Egattur, Near Marina Mall, Chennai, Tamil Nadu, 600130 </t>
  </si>
  <si>
    <t>Varsha Mude</t>
  </si>
  <si>
    <t>MSR Luxury PG for Ladies, SIPCOT IT Park, No:4/239, Gangai Amman Kovil Street, Egattur, Siruseri ,Chennai,600130</t>
  </si>
  <si>
    <t>Kurama Mohana Lakshmi</t>
  </si>
  <si>
    <t>9392575673</t>
  </si>
  <si>
    <t>8639702177</t>
  </si>
  <si>
    <t>MSR Luxury PG for Ladies-Branch 1, Egattur</t>
  </si>
  <si>
    <t>MSR Luxury PG for Ladies-Branch 1, Gangai Amman Kovil Street, Egattur, Siruseri, Tamil Nadu-600130</t>
  </si>
  <si>
    <t>Annapareddy Dwarakamai</t>
  </si>
  <si>
    <t>7013133213</t>
  </si>
  <si>
    <t>9963248012</t>
  </si>
  <si>
    <t>MSR Luxury PG for Ladies-Branch 2, Egattur</t>
  </si>
  <si>
    <t>MSR Luxury PG for Ladies, Branch 2, Pazhandi Amman kovil Street, Egattur, Siruseri, Tamil Nadu 600130</t>
  </si>
  <si>
    <t>Sudharsana Ramalingam</t>
  </si>
  <si>
    <t>7904501354</t>
  </si>
  <si>
    <t>9943155666</t>
  </si>
  <si>
    <t>MSR LUXURY PG FOR LADIES-BRANCH 3 , EGATTUR.</t>
  </si>
  <si>
    <t>MSR LUXURY PG FOR LADIES , BRANCH 3, GANGAI AMMAN KOVIL STREET, EGATTUR, SIRUSERI, TAMILNADU-603103</t>
  </si>
  <si>
    <t>Swathi Selvaraj</t>
  </si>
  <si>
    <t>7598981002</t>
  </si>
  <si>
    <t>9025316593</t>
  </si>
  <si>
    <t>MSR Luxury PG for Women</t>
  </si>
  <si>
    <t>MSR Luxury PG for women, Siruseri</t>
  </si>
  <si>
    <t>Guduri Pranathi</t>
  </si>
  <si>
    <t>6301389879</t>
  </si>
  <si>
    <t>8199981444</t>
  </si>
  <si>
    <t>MSR LUXURY PG FOR WOMEN - Branch 3, Egattur.</t>
  </si>
  <si>
    <t>MSR Luxury Pg for Women- Branch 3, S.No.92/12, Gangai Amman Kovil Street, Old Mahabalipuram Road, Egattur, Siruseri, Tamil Nadu 600130</t>
  </si>
  <si>
    <t>MSR LUXURY PG-BRANCH 3 SIRU SERI</t>
  </si>
  <si>
    <t>MSR LUXURY PG -BRANCH 3 ,SNO 92/12 GANGAI AMMAN KOVILSTREET,OLD MAHABALIPURAM ROAD,EGATTUR,TAMILNADU 600130</t>
  </si>
  <si>
    <t>Talachutla Satyavathi</t>
  </si>
  <si>
    <t>6300116448</t>
  </si>
  <si>
    <t>8464990707</t>
  </si>
  <si>
    <t>MSR PG -Branch 2,Egattur</t>
  </si>
  <si>
    <t>MSR PG -Branch 2,Gangai Amman Kovil Street, Egattur, Siruseri, Tamil Nadu - 603103</t>
  </si>
  <si>
    <t>Afeefa Begum M</t>
  </si>
  <si>
    <t>9344126818</t>
  </si>
  <si>
    <t>9787523495</t>
  </si>
  <si>
    <t>MSR-3 Branch</t>
  </si>
  <si>
    <t>Amman Kovil Street</t>
  </si>
  <si>
    <t>Matta Anand Krishna</t>
  </si>
  <si>
    <t>7032464145</t>
  </si>
  <si>
    <t>7989801695</t>
  </si>
  <si>
    <t>Murugan PG, Navalur Signal, Navalur</t>
  </si>
  <si>
    <t>Dinesh R</t>
  </si>
  <si>
    <t>9080721458</t>
  </si>
  <si>
    <t>9940822563</t>
  </si>
  <si>
    <t>14/2, Ranganathan 1st Street, Lakshmipuram, Chromepet</t>
  </si>
  <si>
    <t>Eshwar S</t>
  </si>
  <si>
    <t>9361236058</t>
  </si>
  <si>
    <t>9884598927</t>
  </si>
  <si>
    <t>1/224 mogappair west chennai -37</t>
  </si>
  <si>
    <t>Stefna</t>
  </si>
  <si>
    <t>6381925411</t>
  </si>
  <si>
    <t>9840522524</t>
  </si>
  <si>
    <t>No 138, 4th cross street, EVP Santhosh Nagar, Ramapuram</t>
  </si>
  <si>
    <t>Ramapuram</t>
  </si>
  <si>
    <t>Thiyagarajan C</t>
  </si>
  <si>
    <t>9080802643</t>
  </si>
  <si>
    <t>7338875154</t>
  </si>
  <si>
    <t>111/107, Othaivadai Street, Gangai Amman Colony, Kodambakkam, Chennai, Tamil Nadu - 600024</t>
  </si>
  <si>
    <t>PREETHI V R</t>
  </si>
  <si>
    <t>9840805965</t>
  </si>
  <si>
    <t>9710326285</t>
  </si>
  <si>
    <t>146/22 SRINIVASAPURAM PATTINAMPAKKAM CHENNAI-28</t>
  </si>
  <si>
    <t>SANTHOME</t>
  </si>
  <si>
    <t>PRIYADHARSHINI G K</t>
  </si>
  <si>
    <t>7603868468</t>
  </si>
  <si>
    <t>9500130933</t>
  </si>
  <si>
    <t>1/221 , Thiruvalluvar Street , santhoshapuram , chennai-73</t>
  </si>
  <si>
    <t>Ruchitha Nevas Pasupula</t>
  </si>
  <si>
    <t>9700726379</t>
  </si>
  <si>
    <t>7083023033</t>
  </si>
  <si>
    <t>6/152, Durga Nagar Main road, Nanmangalam, Chennai</t>
  </si>
  <si>
    <t>Kovilambakkam</t>
  </si>
  <si>
    <t>Eshwar s</t>
  </si>
  <si>
    <t>1/224 Mogappair West Chennai - 37</t>
  </si>
  <si>
    <t>Jeevanandham K</t>
  </si>
  <si>
    <t>9360376978</t>
  </si>
  <si>
    <t>9994783497</t>
  </si>
  <si>
    <t>1/133 ponniamman kovil street, Nanmangalam, Chennai, Tamil Nadu</t>
  </si>
  <si>
    <t>Nithyakalyani M</t>
  </si>
  <si>
    <t>9994753209</t>
  </si>
  <si>
    <t>9487471883</t>
  </si>
  <si>
    <t>2/10, 2nd Cross Street OMR, Renugambal Nagar, Kelambakkam Chennai - 603103 Near Saibaba temple</t>
  </si>
  <si>
    <t>1/221 , thiruvalluvar street , santhoshapuram , chennai -73</t>
  </si>
  <si>
    <t>Manasa D</t>
  </si>
  <si>
    <t>9342765472</t>
  </si>
  <si>
    <t>8940591663</t>
  </si>
  <si>
    <t>Nakshatra womens pg, Navalur.</t>
  </si>
  <si>
    <t>Nakshatra womens pg, 2/84, navalur complex, opposite to reliance digital, Navalur - 600130</t>
  </si>
  <si>
    <t>Mutheeswar Paramasivam</t>
  </si>
  <si>
    <t>7695889895</t>
  </si>
  <si>
    <t>6382395542</t>
  </si>
  <si>
    <t xml:space="preserve">Narayan gents pg </t>
  </si>
  <si>
    <t>17A, Srivijayaganapathy Nagar Mayana Salai, Navalur, Chennai, Tamil Nadu 600130</t>
  </si>
  <si>
    <t>Aman</t>
  </si>
  <si>
    <t>9306065541</t>
  </si>
  <si>
    <t>8818054788</t>
  </si>
  <si>
    <t>Narayan PG</t>
  </si>
  <si>
    <t>Narayan PG , phase 1 Hinjewadi Pune</t>
  </si>
  <si>
    <t>Hinjewadi Pune</t>
  </si>
  <si>
    <t>Nagaraj P</t>
  </si>
  <si>
    <t>8148187183</t>
  </si>
  <si>
    <t>9442525509</t>
  </si>
  <si>
    <t>Narayana gents pg</t>
  </si>
  <si>
    <t>17A Srivijayaganapathy nagar, mayana salai, Navallur</t>
  </si>
  <si>
    <t>Vasanth K V</t>
  </si>
  <si>
    <t>8778596652</t>
  </si>
  <si>
    <t>9942008420</t>
  </si>
  <si>
    <t>Narayana Gents PG</t>
  </si>
  <si>
    <t>Narayana Gents PG,Navalur - 600130</t>
  </si>
  <si>
    <t>HARI KRISHNAN M</t>
  </si>
  <si>
    <t>8946058697</t>
  </si>
  <si>
    <t>8012073462</t>
  </si>
  <si>
    <t>NARAYANA MENS PG, NAVALUR</t>
  </si>
  <si>
    <t>17A SRIVIJAYAGANAPATHI NAGAR, MAYANA SALAI, NAVALUR, CHENNAI - 600130</t>
  </si>
  <si>
    <t>Mohammad Imthiyaz Mohammad Rafeeq</t>
  </si>
  <si>
    <t>9751512727</t>
  </si>
  <si>
    <t>9894072954</t>
  </si>
  <si>
    <t>Narayanan Gents PG - Navalur</t>
  </si>
  <si>
    <t>17A,srivijayaganapathy Nagar Mayana Salai ,Navalur,Chennai,Tamil Nadu  - 600130</t>
  </si>
  <si>
    <t>Narayanan Gents PG 17A,Srivijaganapathy Nagar Mayana Salai,Navalur,Chennai,Tamil Nadu 600130</t>
  </si>
  <si>
    <t>J Riyas Ahamed</t>
  </si>
  <si>
    <t>7824982625</t>
  </si>
  <si>
    <t>9360412324</t>
  </si>
  <si>
    <t>Narayanan Gents PG,</t>
  </si>
  <si>
    <t>Narayanan Gents PG,17A sri vijayaganapathy nagar,mayana salai,Navalur,600130</t>
  </si>
  <si>
    <t>Vignesha Perumal R</t>
  </si>
  <si>
    <t>8148308497</t>
  </si>
  <si>
    <t>8220350497</t>
  </si>
  <si>
    <t>Narayanan Gents PG, Navalur</t>
  </si>
  <si>
    <t>Narayanan Gents PG, 17A Srivijayaganapathy Nagar, Mayana Salai, Navalur, Chennai, Tamil Nadu - 600130</t>
  </si>
  <si>
    <t>Narayanan Gents PG, 17A Srivijayaganapathy Nagar, Mayana Salai, Chennai, Tamil Nadu - 600130</t>
  </si>
  <si>
    <t>Hariprasath S</t>
  </si>
  <si>
    <t>9384339969</t>
  </si>
  <si>
    <t>9790294819</t>
  </si>
  <si>
    <t>Narayanan Gents Pg, Navalur, Chennai-600130, Tamil Nadu</t>
  </si>
  <si>
    <t>Karthikeyan R</t>
  </si>
  <si>
    <t>9787791289</t>
  </si>
  <si>
    <t>9865277791</t>
  </si>
  <si>
    <t>Narayanan PG</t>
  </si>
  <si>
    <t xml:space="preserve">17A, Srivijayaganapathy nagar, Navalur,Chennai, Tamilnadu </t>
  </si>
  <si>
    <t>Manimaran Ganeshkumar</t>
  </si>
  <si>
    <t>9790683861</t>
  </si>
  <si>
    <t>8190023311</t>
  </si>
  <si>
    <t>Neha Vidyashankar</t>
  </si>
  <si>
    <t>9042746924</t>
  </si>
  <si>
    <t>9840962613</t>
  </si>
  <si>
    <t>Navins Rajendra Gardens</t>
  </si>
  <si>
    <t>L6, 4th Floor, Navins Rajendra Gardens, Royapettah High Road, Chennai - 14</t>
  </si>
  <si>
    <t>Yazhvanan M A</t>
  </si>
  <si>
    <t>7639365370</t>
  </si>
  <si>
    <t>9345509389</t>
  </si>
  <si>
    <t>Neelkamal Apartments</t>
  </si>
  <si>
    <t>17A, 17th floor, Block 4, Neelkamal Apartments ,Kazhipattur Chennai.</t>
  </si>
  <si>
    <t>Itismita Pollai</t>
  </si>
  <si>
    <t>9337306629</t>
  </si>
  <si>
    <t>8884804356</t>
  </si>
  <si>
    <t>Nest BlueBell, F1 First Floor, Plot No-604, Semmanjeri</t>
  </si>
  <si>
    <t>Plot No-604, F1 First Floor Nest BlueBell, Ganapathy Nagar Colony, Near St. Paul School, Semmenjeri</t>
  </si>
  <si>
    <t xml:space="preserve">To inform to keep some back up plan like power back up for business continuity planning, </t>
  </si>
  <si>
    <t>SARANYA M P</t>
  </si>
  <si>
    <t>8660330522</t>
  </si>
  <si>
    <t>9845150345</t>
  </si>
  <si>
    <t xml:space="preserve">New Manigandan Ladies PG/hostel - 14th branch, Kalipattur </t>
  </si>
  <si>
    <t>New Manigandan Ladies PG/hostel - 14th branch, Kalipattur, Siruseri, TamilNadu - 603103</t>
  </si>
  <si>
    <t>Kirthika A</t>
  </si>
  <si>
    <t>6380639869</t>
  </si>
  <si>
    <t>9842205360</t>
  </si>
  <si>
    <t>New Manikandam Ladies hostel Branch 14</t>
  </si>
  <si>
    <t>New Manikandam Ladies hostel Branch 14, Kalipattur, Siruseri, Tamil Nadu - 603103</t>
  </si>
  <si>
    <t>Gayathri V</t>
  </si>
  <si>
    <t>6369094346</t>
  </si>
  <si>
    <t>9443303643</t>
  </si>
  <si>
    <t>New Manikandan   ladies hostel,   branch 14</t>
  </si>
  <si>
    <t>R6FM+795, Mettu Street, Kalipattur, Tamil Nadu 603103</t>
  </si>
  <si>
    <t>No additional concerns at this time. It would be beneficial to continue periodic awareness sessions, emergency drills, and timely communication of safety protocols to ensure associates remain well prepared for unexpected situations and business continuity requirements.</t>
  </si>
  <si>
    <t>R Kalaivani</t>
  </si>
  <si>
    <t>9342678769</t>
  </si>
  <si>
    <t>9025030465</t>
  </si>
  <si>
    <t xml:space="preserve">R6FM+795, Mettu Street, Kalipattur, Tamil Nadu 603103  </t>
  </si>
  <si>
    <t>Shanthini Shameer</t>
  </si>
  <si>
    <t>9952754693</t>
  </si>
  <si>
    <t>9843586460</t>
  </si>
  <si>
    <t>New Manikandan Hostel Ladies PG</t>
  </si>
  <si>
    <t>Mettu Street, Vaniyanchavadi, Kazhipattur, Chennai - 600130</t>
  </si>
  <si>
    <t>Ishwarya J R</t>
  </si>
  <si>
    <t>8668036478</t>
  </si>
  <si>
    <t>9788167133</t>
  </si>
  <si>
    <t>New Manikandan Ladies Hostel - Branch 1, kalipathur</t>
  </si>
  <si>
    <t>36, Mettu Street, Kazhipattur, Tamil Nadu-603103</t>
  </si>
  <si>
    <t>Kazhipattur</t>
  </si>
  <si>
    <t>G Nikila</t>
  </si>
  <si>
    <t>9618758895</t>
  </si>
  <si>
    <t>7981208799</t>
  </si>
  <si>
    <t>New Manikandan Ladies hostel - Branch 14</t>
  </si>
  <si>
    <t>New Manikandan Ladies hostel - Branch 14, Mettu street, paddur,siruseri</t>
  </si>
  <si>
    <t>Elakiya Panneerselvam</t>
  </si>
  <si>
    <t>7418831505</t>
  </si>
  <si>
    <t>8838204991</t>
  </si>
  <si>
    <t>New Manikandan Ladies Hostel - Branch 14</t>
  </si>
  <si>
    <t>New Manikandan Ladies Hostel - Branch 14, R6FM+795, Mettu Street, Kalipattur, Tamil Nadu 603103</t>
  </si>
  <si>
    <t>Dhivyasubashini K</t>
  </si>
  <si>
    <t>9994409425</t>
  </si>
  <si>
    <t>9865830320</t>
  </si>
  <si>
    <t>New Manikandan Ladies Hostel - Branch 14, Kalipattur</t>
  </si>
  <si>
    <t>New Manikandan Ladies Hostel - Branch 14, Mettu street, Kalipattur, Chennai, Tamil Nadu - 603103</t>
  </si>
  <si>
    <t>Vaniyanchavadi Padma Adarsh School, Kalipattur</t>
  </si>
  <si>
    <t>S A Sangavi</t>
  </si>
  <si>
    <t>8946098392</t>
  </si>
  <si>
    <t>9965615905</t>
  </si>
  <si>
    <t>New Manikandan Ladies Hostel - Branch 14, Kazhipattur</t>
  </si>
  <si>
    <t>New Manikandan Ladies Hostel, Branch 14, R6FM+795, Mettu Street, Kalipattur, Chennai, Tamil Nadu - 603103</t>
  </si>
  <si>
    <t>Geddamuri Purna Narayanamma</t>
  </si>
  <si>
    <t>8688313600</t>
  </si>
  <si>
    <t>7842538146</t>
  </si>
  <si>
    <t>New Manikandan Ladies Hostel - Branch 5,Egattur</t>
  </si>
  <si>
    <t>4/185, Dr. Ambedhkar Street , Egattur, Seruseri</t>
  </si>
  <si>
    <t>Sarva Chandrasekaran</t>
  </si>
  <si>
    <t>9965511849</t>
  </si>
  <si>
    <t>6382786761</t>
  </si>
  <si>
    <t>New Manikandan ladies hostel - branch 8, Egattur</t>
  </si>
  <si>
    <t>New Manikandan Ladies Hostel, Branch 8, 3/40, Dr. Ambedkar Street, Egattur, Siruseri, Chennai - 603103</t>
  </si>
  <si>
    <t>Elakkiya G</t>
  </si>
  <si>
    <t>7092136414</t>
  </si>
  <si>
    <t>9952883621</t>
  </si>
  <si>
    <t>New Manikandan ladies hostel ,branch 4</t>
  </si>
  <si>
    <t>Samathuva Nagar Rd, Kalipattur</t>
  </si>
  <si>
    <t>MONISHA M</t>
  </si>
  <si>
    <t>8825907585</t>
  </si>
  <si>
    <t>8526597679</t>
  </si>
  <si>
    <t>New Manikandan Ladies Hostel ,Branch 5,Egattur</t>
  </si>
  <si>
    <t>New Manikandan Ladies Hostel ,Branch 5,619A, Dr Ambedkar Street ,Egattur, Tamil Nadu - 600130</t>
  </si>
  <si>
    <t>Ajita</t>
  </si>
  <si>
    <t>6379631504</t>
  </si>
  <si>
    <t>9344471303</t>
  </si>
  <si>
    <t>New Manikandan Ladies Hostel Branch-14</t>
  </si>
  <si>
    <t>New Manikandan Ladies Hostel Branch-14, Kalipattur, Chennai, Tamil Nadu</t>
  </si>
  <si>
    <t>Sindhu Tumu</t>
  </si>
  <si>
    <t>9642439888</t>
  </si>
  <si>
    <t>8499880264</t>
  </si>
  <si>
    <t>New manikandan ladies hostel branch-14 ,egattur</t>
  </si>
  <si>
    <t>New Manikandan Ladies Hostel Branch-14, Kazhipatur.</t>
  </si>
  <si>
    <t>New Manikandan Ladies Hostel Branch-14, Kazhipatur. Chennai, Tamil Nadu</t>
  </si>
  <si>
    <t>New Manikandan Ladies Hostel branch-14,paddur</t>
  </si>
  <si>
    <t>New Manikandan Ladies Hostel branch-14, paddur, mettu street,siruseri</t>
  </si>
  <si>
    <t>Kanika S</t>
  </si>
  <si>
    <t>9003575306</t>
  </si>
  <si>
    <t>9943839405</t>
  </si>
  <si>
    <t>New manikandan Ladies hostel PG-Branch14,kalipattur</t>
  </si>
  <si>
    <t>New manikandan ladies hostel,branch14,Mettur Street,Kalipattur,Siruseri,Tamil Nadu-603103</t>
  </si>
  <si>
    <t>Shriya Ramachandran</t>
  </si>
  <si>
    <t>8668009225</t>
  </si>
  <si>
    <t>9543270722</t>
  </si>
  <si>
    <t>New Manikandan Ladies Hostel, 36, Mettur Street, Kazhipattur, Tamil Nadu 603103</t>
  </si>
  <si>
    <t>RAVEENA PM</t>
  </si>
  <si>
    <t>9751557113</t>
  </si>
  <si>
    <t>9786530716</t>
  </si>
  <si>
    <t>New Manikandan ladies hostel, branch 14</t>
  </si>
  <si>
    <t>Deepana D</t>
  </si>
  <si>
    <t>8122760811</t>
  </si>
  <si>
    <t>9750073327</t>
  </si>
  <si>
    <t>New Manikandan Ladies Hostel, Branch 14</t>
  </si>
  <si>
    <t>R6FM+795, Mettu Street, Kalipattur, Tamil Nadu 603103.</t>
  </si>
  <si>
    <t>Bhuvaneshwari V</t>
  </si>
  <si>
    <t>8807985227</t>
  </si>
  <si>
    <t>9940120952</t>
  </si>
  <si>
    <t>New Manikandan Ladies Hostel, Branch 14, Kazhipattur</t>
  </si>
  <si>
    <t>New Manikandan Ladies Hostel, Branch 14, Mettu Street, Vaniyanchavadi, Kazhipattur, Siruseri, Chennai-600130</t>
  </si>
  <si>
    <t>INDHUMATHI M</t>
  </si>
  <si>
    <t>8072380367</t>
  </si>
  <si>
    <t>9842005004</t>
  </si>
  <si>
    <t>NEW MANIKANDAN LADIES HOSTEL,BRANCH 14, KAZHIPATTUR</t>
  </si>
  <si>
    <t>NEW MANIKANDAN LADIES HOSTEL,BRANCH 14, METTU STREET, KAZHIPATTUR, VANIYAJAVADI,SIRUSERI,TAMILNADU - 603103</t>
  </si>
  <si>
    <t>Dharshini S S</t>
  </si>
  <si>
    <t>8148137738</t>
  </si>
  <si>
    <t>8883991218</t>
  </si>
  <si>
    <t>New Manikandan Ladies Hostel-Branch 14,Kalipattur</t>
  </si>
  <si>
    <t>New Manikandan Ladies Hostel ,Branch 14, Mettu Street, Kalipattur, Near Vaniyanchavadi, Tamil Nadu,603103</t>
  </si>
  <si>
    <t>Malavika Arumugam</t>
  </si>
  <si>
    <t>6383817781</t>
  </si>
  <si>
    <t>9677600551</t>
  </si>
  <si>
    <t>New Manikandan Ladies PG - Branch 14, Kalipattur.</t>
  </si>
  <si>
    <t>R6FM+795, Mettu Street, Kalipattur, Tamil Nadu - 603103</t>
  </si>
  <si>
    <t>S P Divyanka</t>
  </si>
  <si>
    <t>8610550750</t>
  </si>
  <si>
    <t>9080368410</t>
  </si>
  <si>
    <t>New Manikandan Ladies PG - Branch 14, Kazhipattur</t>
  </si>
  <si>
    <t>New Manikandan Ladies PG - Branch 14,Mettu street, Vaniyanchavadi, Kazhipattur,chennai-600130</t>
  </si>
  <si>
    <t>Pavithra Thangaraj</t>
  </si>
  <si>
    <t>8428903678</t>
  </si>
  <si>
    <t>9360389297</t>
  </si>
  <si>
    <t>New Manikandan Ladies PG (branch 8)</t>
  </si>
  <si>
    <t>3140, Dr. Ambedkar Street, Egattur, TamilNadu - 600130</t>
  </si>
  <si>
    <t>RAJESHWARI S</t>
  </si>
  <si>
    <t>9361096844</t>
  </si>
  <si>
    <t>9751880229</t>
  </si>
  <si>
    <t>New Manikandan Ladies PG branch-10,Navalur</t>
  </si>
  <si>
    <t>New Manikandan ladies PG branch-10,Sambalal St,Navalur,Chennai,Tamil Nadu,600130</t>
  </si>
  <si>
    <t>Kanimozhi P</t>
  </si>
  <si>
    <t>9688770277</t>
  </si>
  <si>
    <t>8838105648</t>
  </si>
  <si>
    <t>New Manikandan PG - Branch 14, Kazhipattur</t>
  </si>
  <si>
    <t>New Manikandan PG - Branch 14, Mettu Street, Vaniyanchavadi, Kazhipattur, Chennai - 600130</t>
  </si>
  <si>
    <t>Priya M M</t>
  </si>
  <si>
    <t>8296728657</t>
  </si>
  <si>
    <t>9845615314</t>
  </si>
  <si>
    <t>New Manikandan pg- Branch 14, Kalipattur</t>
  </si>
  <si>
    <t>New Manikandan pg- Branch 14, Mettu street, Kalipattur</t>
  </si>
  <si>
    <t>Tamanna Shamsing Solanki</t>
  </si>
  <si>
    <t>8983768605</t>
  </si>
  <si>
    <t>9359889851</t>
  </si>
  <si>
    <t>New Manikandan pg services, Branch 1, Mettu Street, Chennai, Tamil Nadu, India</t>
  </si>
  <si>
    <t>Very Good</t>
  </si>
  <si>
    <t>B Archana</t>
  </si>
  <si>
    <t>8220482754</t>
  </si>
  <si>
    <t>9444980344</t>
  </si>
  <si>
    <t>New Manikandan PG,kalipattur</t>
  </si>
  <si>
    <t>36,Mettu Street ,Kalipattur, Tamil Nadu</t>
  </si>
  <si>
    <t>Pooja D R</t>
  </si>
  <si>
    <t>9047376101</t>
  </si>
  <si>
    <t>6384424547</t>
  </si>
  <si>
    <t>New Manikandan PG-Branch 14,Kazhipattur</t>
  </si>
  <si>
    <t>New Manikandan PG, Branch 14, Mettu Street, Kazhipattur, Opp to Star briyani, Kanchipuram, Tamil Nadu-603103</t>
  </si>
  <si>
    <t>Asin Sahana Fathima T</t>
  </si>
  <si>
    <t>8489640941</t>
  </si>
  <si>
    <t>9994640941</t>
  </si>
  <si>
    <t>New Manikandans Ladies PG, Branch 10, sambalal street,Navallur,chennai.</t>
  </si>
  <si>
    <t>Manasa Divi</t>
  </si>
  <si>
    <t>7207811788</t>
  </si>
  <si>
    <t>9491155556</t>
  </si>
  <si>
    <t>New Manikandhan ladies hostel branch 2</t>
  </si>
  <si>
    <t xml:space="preserve">New manikandhan ladies hostel, branch 2, mettu street, eggatur, navalur, Tamil Nadu </t>
  </si>
  <si>
    <t>Balasri Swaroopa Saka</t>
  </si>
  <si>
    <t>9573572377</t>
  </si>
  <si>
    <t>9848280276</t>
  </si>
  <si>
    <t>New Manikandhan Ladies PG</t>
  </si>
  <si>
    <t xml:space="preserve">Mettu Street, Kalipattur, Tamilnadu </t>
  </si>
  <si>
    <t>Mettu Street ,Kalipattur</t>
  </si>
  <si>
    <t>Haritha S</t>
  </si>
  <si>
    <t>6380051485</t>
  </si>
  <si>
    <t>9751193030</t>
  </si>
  <si>
    <t>New Phoenix PG</t>
  </si>
  <si>
    <t>New Phoenix PG , Periyar street, Siruseri</t>
  </si>
  <si>
    <t>kabilan km</t>
  </si>
  <si>
    <t>9080563428</t>
  </si>
  <si>
    <t>8825757254</t>
  </si>
  <si>
    <t xml:space="preserve">nickis nest </t>
  </si>
  <si>
    <t>thiruvika nagar 3rd cross street thoriapakkam, chennai -97</t>
  </si>
  <si>
    <t>Sujitha S</t>
  </si>
  <si>
    <t>7418882261</t>
  </si>
  <si>
    <t>6381172568</t>
  </si>
  <si>
    <t>8/31 Ambal Nagar Main Road, Ekkattuthangal, Chennai - 600032</t>
  </si>
  <si>
    <t>Ekkattuthangal</t>
  </si>
  <si>
    <t>Rahul M</t>
  </si>
  <si>
    <t>8778029533</t>
  </si>
  <si>
    <t>9840436996</t>
  </si>
  <si>
    <t>Ruby Starcity, David Nagar, New perungalathur, Chennai</t>
  </si>
  <si>
    <t>SOBANAPRIYA S</t>
  </si>
  <si>
    <t>8608925639</t>
  </si>
  <si>
    <t>8838949009</t>
  </si>
  <si>
    <t>NO 04, VENKATESAN STREET, CHEPAUK, CHENNAI - 600005</t>
  </si>
  <si>
    <t>CHEPAUK</t>
  </si>
  <si>
    <t>Karthik Krishnan</t>
  </si>
  <si>
    <t>7358269065</t>
  </si>
  <si>
    <t>9444730380</t>
  </si>
  <si>
    <t>223, 4th street, Yeswanth Nagar, Madambakkam, Chennai</t>
  </si>
  <si>
    <t>223, 4th street, Yeshwanth Nagar, Madambakkam, Chennai</t>
  </si>
  <si>
    <t>Harsudan S</t>
  </si>
  <si>
    <t>9940033752</t>
  </si>
  <si>
    <t>9840130613</t>
  </si>
  <si>
    <t>nill</t>
  </si>
  <si>
    <t>NO  10/19 corporation colony 3 rd street ,T.Nagar chennai 17</t>
  </si>
  <si>
    <t>Nill</t>
  </si>
  <si>
    <t>VISHNU MAHENDRAN</t>
  </si>
  <si>
    <t>6383889873</t>
  </si>
  <si>
    <t>9940577581</t>
  </si>
  <si>
    <t>NKS MENS PG</t>
  </si>
  <si>
    <t>City park layout, 78A, third cross road, near siruseri it sipcot, egattur, Siruseri, Tamil Nadu - 603103</t>
  </si>
  <si>
    <t>A M Sai Suryaa Narayan</t>
  </si>
  <si>
    <t>8123866256</t>
  </si>
  <si>
    <t>9741191333</t>
  </si>
  <si>
    <t>NKS mens pg</t>
  </si>
  <si>
    <t>NKS mens pg, 3rd cross road, Sipcot it park, siruseri, chennai, tamil nadu - 603103</t>
  </si>
  <si>
    <t>Balaji K</t>
  </si>
  <si>
    <t>8610352428</t>
  </si>
  <si>
    <t>9360905743</t>
  </si>
  <si>
    <t>NKS Mens PG</t>
  </si>
  <si>
    <t>NKS Mens PG, city park layout, 78 A, Third Cross Road, near siruseri, IT sipcot, Egattur, Siruseri, Tamil Nadu 603103</t>
  </si>
  <si>
    <t>DAKSINA VEERA ROHIT MUTHUKUMAR</t>
  </si>
  <si>
    <t>8248379969</t>
  </si>
  <si>
    <t>9080251331</t>
  </si>
  <si>
    <t>NKS MENS PG SIRUSERI IT SIPCOT, CITY PARK LAYOUT, 78 A, THIRD CROSS ROAD, EGATTUR, SIRUSERI, TAMIL NADU 603103</t>
  </si>
  <si>
    <t>Abhijith Purathel Anilkumar</t>
  </si>
  <si>
    <t>9037235615</t>
  </si>
  <si>
    <t>944632448</t>
  </si>
  <si>
    <t>City Park layout, 78 A, Third Cross Road, near seruseri, IT Sipcot, Egattur, Seruseri, Tamil Nadu, 603103</t>
  </si>
  <si>
    <t xml:space="preserve">Sai Suryaa Narayan A M </t>
  </si>
  <si>
    <t>3rd cross road, egattur, sipcot it park, siruseri, chennai, tamil nadu - 603103</t>
  </si>
  <si>
    <t>Ankit Kumar Dwivedi</t>
  </si>
  <si>
    <t>6201255995</t>
  </si>
  <si>
    <t>7980100925</t>
  </si>
  <si>
    <t>NKS MENS PG, city park layout , 78A, Third cross road, near siruseri it sipcot, egattur, Tamil Nadu-603103</t>
  </si>
  <si>
    <t>Amarnadh Narne</t>
  </si>
  <si>
    <t>9032479349</t>
  </si>
  <si>
    <t>9177479247</t>
  </si>
  <si>
    <t xml:space="preserve">Nks Mens Pg </t>
  </si>
  <si>
    <t>Nks Mens Pg ,Eggatur,Siruseri,Tamilnadu - 603103</t>
  </si>
  <si>
    <t>Manoj Kumar G</t>
  </si>
  <si>
    <t>8951610908</t>
  </si>
  <si>
    <t>9972934248</t>
  </si>
  <si>
    <t xml:space="preserve">NKS MENS PG </t>
  </si>
  <si>
    <t>78 A, Third Cross Road, Siruseri, IT SIPCOT Egattur, Chennai-603103, Tamil Nadu</t>
  </si>
  <si>
    <t>Joe Maxwell Boniface D</t>
  </si>
  <si>
    <t>8778608762</t>
  </si>
  <si>
    <t>9443215761</t>
  </si>
  <si>
    <t>NKS Mens PG - Egattur</t>
  </si>
  <si>
    <t>NKS Mens PG, Egattur, Third Cross Road, Siruseri, Chennai-603103, Tamil Nadu</t>
  </si>
  <si>
    <t>NARAYAN NAYAK</t>
  </si>
  <si>
    <t>8160476541</t>
  </si>
  <si>
    <t>9979365938</t>
  </si>
  <si>
    <t>NKS MENS PG , CITY PARK LAYOUT , 78A, THIRD CROSS ROAD NEAR SIRUSERI IT SIPCOT , EGATTUR</t>
  </si>
  <si>
    <t>NKS MENS PG , CITY PARK LAYOUT , 78A, THIRD CROSS ROAD NEAR SIRUSERI IT SIPCOT , EGATTUR, SIRUSERI 603103</t>
  </si>
  <si>
    <t>NKS MENS PG SIRUSERI</t>
  </si>
  <si>
    <t>city park layout, 78 A, Third Cross Road, near siruseri, IT sipcot, Egattur, Siruseri, Tamil Nadu 603103</t>
  </si>
  <si>
    <t>Ankit Rai</t>
  </si>
  <si>
    <t>8052604038</t>
  </si>
  <si>
    <t>9415681457</t>
  </si>
  <si>
    <t xml:space="preserve">Nks mens pg siruseri </t>
  </si>
  <si>
    <t>Nks mens pg, city park layout, 78 A, Third Cross Road, near siruseri, IT sipcot, Egattur, Siruseri, Tamil Nadu 603103</t>
  </si>
  <si>
    <t>Nks Mens Pg Siruseri It Sipcot</t>
  </si>
  <si>
    <t>Nks Mens Pg Siruseri It Sipcot, Egattur, Third Cross Road, Siruseri, Chennai-603103, Tamil Nadu</t>
  </si>
  <si>
    <t>Shorya Garg</t>
  </si>
  <si>
    <t>9516673840</t>
  </si>
  <si>
    <t>9827863024</t>
  </si>
  <si>
    <t>NKS MENS PG, City Park Layout Egattur Village, Siruseri</t>
  </si>
  <si>
    <t>NKS MENS PG, 78A, City Park Layout, Third Cross Road, Egattur Village, Siruseri, Chennai - 603103</t>
  </si>
  <si>
    <t>Arjun Bathula</t>
  </si>
  <si>
    <t>9676043454</t>
  </si>
  <si>
    <t>9490367454</t>
  </si>
  <si>
    <t>NKS MENS PG, city park layout, 78 A, Third Cross Road, near siruseri, sipcot IT park, Egattur</t>
  </si>
  <si>
    <t>NKS MENS PG, city park layout, 78 A, Third Cross Road, near siruseri, sipcot IT park, Egattur, Siruseri, Tamil Nadu,603103</t>
  </si>
  <si>
    <t>Mohd Muzammil</t>
  </si>
  <si>
    <t>9912319861</t>
  </si>
  <si>
    <t>9866405960</t>
  </si>
  <si>
    <t>NKS MENS PG, CITY PARK LAYOUT, 78A, THIRD CROSS ROAD</t>
  </si>
  <si>
    <t>NKS MENS PG, CITY PARK LAYOUT, 78A, THIRD CROSS ROAD, NEAR SIRUSERI IT PARK</t>
  </si>
  <si>
    <t>O Sai Srujan</t>
  </si>
  <si>
    <t>9347342803</t>
  </si>
  <si>
    <t>9394811067</t>
  </si>
  <si>
    <t>NKS MENS PG, Egattur</t>
  </si>
  <si>
    <t>NKS MENS PG, city park layout, 78 A, Third Cross Road, near siruseri, IT sipcot, Egattur, Siruseri, Tamil Nadu 603103</t>
  </si>
  <si>
    <t>Rupesh Kailas Deshmukh</t>
  </si>
  <si>
    <t>9356182202</t>
  </si>
  <si>
    <t>7773935097</t>
  </si>
  <si>
    <t>NKS MENS PG, Siruseri, Near Sipcot IT Park, City Park Layout, 78A, Third Cross Road, Egattur, Siruseri, Tamilnadu 603103</t>
  </si>
  <si>
    <t>Sachin Narayanan S</t>
  </si>
  <si>
    <t>9791742377</t>
  </si>
  <si>
    <t>8667756762</t>
  </si>
  <si>
    <t>NKS mens PG, Egattur, Siruseri</t>
  </si>
  <si>
    <t>NKS men PG, 78A, Third Cross Road, IT sipcot, Egattur, Siruseri, Tamil Nadu - 603103</t>
  </si>
  <si>
    <t>ESHANK PAL</t>
  </si>
  <si>
    <t>6302227677</t>
  </si>
  <si>
    <t>9557322241</t>
  </si>
  <si>
    <t>NKS MENS PG, SIPCOT IT PARK, EGATTUR</t>
  </si>
  <si>
    <t>404, NKS MENS PG, SIPCOT IT PARK, EGATTUR, SIRUSERI, TAMIL NADU, 603103</t>
  </si>
  <si>
    <t>Nandhakumar J</t>
  </si>
  <si>
    <t>9080132361</t>
  </si>
  <si>
    <t>9894916618</t>
  </si>
  <si>
    <t>NKS Mens PG, Siruseri It Sipcot City park layout,78 A,Third Cross road,Egattur</t>
  </si>
  <si>
    <t>NKS Mens pg Siruseri It Sipcot city park layout,78 A, Third cross road,near siruseri,It Sipcot, Egattur,Siruseri, Tamil Nadu 603103</t>
  </si>
  <si>
    <t>Nks Mens PG,Egattur</t>
  </si>
  <si>
    <t>Nks Mens PG,Egattur,siruseri,603103</t>
  </si>
  <si>
    <t>Kirubaharan</t>
  </si>
  <si>
    <t>9080257155</t>
  </si>
  <si>
    <t>9976618944</t>
  </si>
  <si>
    <t>No 15 A1, SR Mens PG, Rajiv Gandhi Salai, Citypark Layout, Egattur, Chennai, Tamil Nadu</t>
  </si>
  <si>
    <t>Sruthi S</t>
  </si>
  <si>
    <t>9789958239</t>
  </si>
  <si>
    <t>7550211828</t>
  </si>
  <si>
    <t>No 223, 2nd Street, Gajalakshmi Nagar, Chinna Nolambur, Maduravoyal, Chennai 95</t>
  </si>
  <si>
    <t>Maduravoyal</t>
  </si>
  <si>
    <t>Aarthi S</t>
  </si>
  <si>
    <t>9342266429</t>
  </si>
  <si>
    <t>6381647371</t>
  </si>
  <si>
    <t>NO 52B karpoora chetty kulam street natham post chengalpattu 603002</t>
  </si>
  <si>
    <t>No52B karpoora Chetty Kulam street natham post chengalpattu 603002</t>
  </si>
  <si>
    <t>Thiruporur,Chengalpattu</t>
  </si>
  <si>
    <t>No 52B Karpoora chetty Kulam Street natham post chengalpattu 603002</t>
  </si>
  <si>
    <t>Pranav Balaji P A</t>
  </si>
  <si>
    <t>9940294610</t>
  </si>
  <si>
    <t>9003104086</t>
  </si>
  <si>
    <t>No 77/11G SANIMOORTHI KOVIL STREET, THIRUVOTTIYUR CHENNAI-600019.</t>
  </si>
  <si>
    <t>NO.</t>
  </si>
  <si>
    <t>MANISH SHRIKANT NUCCHE</t>
  </si>
  <si>
    <t>7558731118</t>
  </si>
  <si>
    <t>7558716118</t>
  </si>
  <si>
    <t>No 89C, city park layout, 3rd left street, Egattur, Siruseri, Chennai, Tamil Nadu 603103</t>
  </si>
  <si>
    <t>Dineshkumar R</t>
  </si>
  <si>
    <t>8925475819</t>
  </si>
  <si>
    <t>9841860707</t>
  </si>
  <si>
    <t>No 9 Vedagiri Street , Pasumponn nagar, Pammal, Chennai 600075</t>
  </si>
  <si>
    <t>No 95 A, S S Gents Pg, City Park Sipcot, Mamoothy Amman Kovil 3rd Street, Sirucheri, Chennai-603103, Tamil Nadu</t>
  </si>
  <si>
    <t>chakri- 7416276989 - friend</t>
  </si>
  <si>
    <t>Srilekha G</t>
  </si>
  <si>
    <t>9384638904</t>
  </si>
  <si>
    <t>9941410014</t>
  </si>
  <si>
    <t>No C6/3 todhunter nagar saidapet chennai-15</t>
  </si>
  <si>
    <t>no c6/3 todhunter nagar saidapet chennai-15</t>
  </si>
  <si>
    <t>saidapet</t>
  </si>
  <si>
    <t>Harini S</t>
  </si>
  <si>
    <t>8610079867</t>
  </si>
  <si>
    <t>9941126980</t>
  </si>
  <si>
    <t>No. 143, 1st street, eshwaran Nagar, Thiruverkadu-600077</t>
  </si>
  <si>
    <t>Thiruverkadu</t>
  </si>
  <si>
    <t>Nikhil Singh</t>
  </si>
  <si>
    <t>7079042292</t>
  </si>
  <si>
    <t>7492845653</t>
  </si>
  <si>
    <t>No. 37, Thiruvalluvar Salai, Vaniyanchavadi, Kazhipattur / Siruseri, Chennai - 603103, opposite to Padma Adharsh School</t>
  </si>
  <si>
    <t>Lokesh S</t>
  </si>
  <si>
    <t>8428174227</t>
  </si>
  <si>
    <t>7358741822</t>
  </si>
  <si>
    <t>No.1 Parry Colony Keelkattalai chennai 600117</t>
  </si>
  <si>
    <t>Gomathi G</t>
  </si>
  <si>
    <t>7092583004</t>
  </si>
  <si>
    <t>7200218950</t>
  </si>
  <si>
    <t>No.12 Sakthivel nagar, kolathur</t>
  </si>
  <si>
    <t>No. 12 Sakthivel nagar 2nd cross street, thirumalai nagar extn, kolathur Chennai 600099</t>
  </si>
  <si>
    <t>Rettery</t>
  </si>
  <si>
    <t>Dharshini R</t>
  </si>
  <si>
    <t>9025946432</t>
  </si>
  <si>
    <t>9080437277</t>
  </si>
  <si>
    <t>No.12,Gandhi Avenue 1st street,Thiruvottriyur</t>
  </si>
  <si>
    <t>No.12,Gandhi Avenue 1st street,Village street ,Thiruvottriyur,Chennai-600019</t>
  </si>
  <si>
    <t>Thiruvottriyur</t>
  </si>
  <si>
    <t>Monisha Kumaresan</t>
  </si>
  <si>
    <t>6369988276</t>
  </si>
  <si>
    <t>9626764114</t>
  </si>
  <si>
    <t>No.29, PTC Colony, 1st street, Thiruvanmiyur, Chennai-600041</t>
  </si>
  <si>
    <t>SRP Tools</t>
  </si>
  <si>
    <t>Madhangi</t>
  </si>
  <si>
    <t>7305418316</t>
  </si>
  <si>
    <t>9840367802</t>
  </si>
  <si>
    <t>No.3 Koil cross street, Gandhi Nagar, Ambattur</t>
  </si>
  <si>
    <t>No.3 Koil cross street, Gandhi Nagar, Oragadam, Ambattur, Chennai 600053</t>
  </si>
  <si>
    <t>Koyembedu</t>
  </si>
  <si>
    <t>Golla Yashoda Mahitha</t>
  </si>
  <si>
    <t>7670950128</t>
  </si>
  <si>
    <t>9966974584</t>
  </si>
  <si>
    <t>No.4/211, Dr. Ambethkar Street, Near Navalur, Sipcot Egattur, Egattur, Chennai-603103, Tamil Nadu</t>
  </si>
  <si>
    <t>Buriga Shakeena</t>
  </si>
  <si>
    <t>7386694537</t>
  </si>
  <si>
    <t>9573611217</t>
  </si>
  <si>
    <t>Madhumitha V</t>
  </si>
  <si>
    <t>8754496795</t>
  </si>
  <si>
    <t>9080044133</t>
  </si>
  <si>
    <t>NO.5, BALAKRISHNAN STREET, NEHRU NAGAR, ERUKANCHERRY, CHENNAI - 600118</t>
  </si>
  <si>
    <t>MADHAVARAM</t>
  </si>
  <si>
    <t>Jothilakshmi B</t>
  </si>
  <si>
    <t>8939323953</t>
  </si>
  <si>
    <t>9789857091</t>
  </si>
  <si>
    <t>NO:02 AA Block Visalatchi Garden Mylapore Chennai-04</t>
  </si>
  <si>
    <t>Mylapore</t>
  </si>
  <si>
    <t>Lourdhu Selvin Raj . X</t>
  </si>
  <si>
    <t>8675649662</t>
  </si>
  <si>
    <t>7200422746</t>
  </si>
  <si>
    <t>No:223</t>
  </si>
  <si>
    <t>No:223,Gandhi Street, Thiruporur, Chengalpattu</t>
  </si>
  <si>
    <t>Kasik Chakravarthi</t>
  </si>
  <si>
    <t>9840450739</t>
  </si>
  <si>
    <t>8754744977</t>
  </si>
  <si>
    <t>No:3/13, 1st main road, Sathya nagar, Ramapuram road, Manapakkam, Chennai-600125</t>
  </si>
  <si>
    <t>Monica M</t>
  </si>
  <si>
    <t>9363473093</t>
  </si>
  <si>
    <t>9841964760</t>
  </si>
  <si>
    <t>No-63/43, 1st street, Ramakrishna nagar, ennore, Chennai-57</t>
  </si>
  <si>
    <t>Thiruvottiyur</t>
  </si>
  <si>
    <t>No-63/43, 1st street, Ramakrishna Nagar, Ennore, Chennai-57</t>
  </si>
  <si>
    <t>Thomas Naveen J</t>
  </si>
  <si>
    <t>9092121803</t>
  </si>
  <si>
    <t>8681895075</t>
  </si>
  <si>
    <t>No-79, puliyur 2nd main road, trustpuram 10th cross street, kodambakkam - 600024</t>
  </si>
  <si>
    <t>Kodambakkam</t>
  </si>
  <si>
    <t>Ranjitha Padmanaban</t>
  </si>
  <si>
    <t>9345498138</t>
  </si>
  <si>
    <t>9840424355</t>
  </si>
  <si>
    <t>Not Applicable</t>
  </si>
  <si>
    <t>5/23 Muthumani St Varadarajapet Kodambakkam Chennai Tamil Nadu - 600024</t>
  </si>
  <si>
    <t>5/23 Muthumani St Varadarajapet Kodambakkam Chennai - 600024</t>
  </si>
  <si>
    <t>Abhinav P Menon</t>
  </si>
  <si>
    <t>6379959076</t>
  </si>
  <si>
    <t>9443057778</t>
  </si>
  <si>
    <t>NUS HOSTEL (PG FOR MEN) - Sholinganallur( Ponniyaamman kovil)</t>
  </si>
  <si>
    <t>NUS HOSTEL (PG FOR MEN) No 1, Yadaval Street , near TOPAZ Food street , Ponniyamman Kovil , Sholinganallur , Chennai- 600119</t>
  </si>
  <si>
    <t>Anitha.A</t>
  </si>
  <si>
    <t>9003660378</t>
  </si>
  <si>
    <t>9159007523</t>
  </si>
  <si>
    <t>Nwe phonix   girls hostel</t>
  </si>
  <si>
    <t>new phonix girls hostel,periyar street,siruseri.</t>
  </si>
  <si>
    <t>Kodam Adhvaith</t>
  </si>
  <si>
    <t>7075443448</t>
  </si>
  <si>
    <t>9490959428</t>
  </si>
  <si>
    <t xml:space="preserve">olampia opalane </t>
  </si>
  <si>
    <t>5A moonstone, olampia opalane, navalur</t>
  </si>
  <si>
    <t>Razeen Gani S</t>
  </si>
  <si>
    <t>8637442102</t>
  </si>
  <si>
    <t>9789058860</t>
  </si>
  <si>
    <t>Old Washermenpet</t>
  </si>
  <si>
    <t>No.10/20, NN Garden 4th lane, Old Washermenpet, Chennai - 600021.</t>
  </si>
  <si>
    <t>SRIMAN NARAYANA MANDALA</t>
  </si>
  <si>
    <t>7670934873</t>
  </si>
  <si>
    <t>9550555928</t>
  </si>
  <si>
    <t>Olympia opaline apartment , moonstone olympia opaline , navalur .</t>
  </si>
  <si>
    <t>5A , 5th floor , moonstone olympia opaline , navalur</t>
  </si>
  <si>
    <t>sankrishna kuchana</t>
  </si>
  <si>
    <t>6309571677</t>
  </si>
  <si>
    <t>9959411677</t>
  </si>
  <si>
    <t>olympia opaline moonstone</t>
  </si>
  <si>
    <t>Flat no:5a, Floor No:5th floor, Olympia opaline moonstone, navalur-600130</t>
  </si>
  <si>
    <t>Yash Deorao Barbate</t>
  </si>
  <si>
    <t>7218428453</t>
  </si>
  <si>
    <t>7030596481</t>
  </si>
  <si>
    <t>Olympia Opaline, OMR Road, Navalur</t>
  </si>
  <si>
    <t>18B Garnet, olympia opaline, OMR Road, Navalur, Chennai. 600130</t>
  </si>
  <si>
    <t>NANDHITHA B</t>
  </si>
  <si>
    <t>7550193544</t>
  </si>
  <si>
    <t>7550145609</t>
  </si>
  <si>
    <t>Own House</t>
  </si>
  <si>
    <t>No 1/177A, Eswaran Kovil Street, Padiyanallur, Redhills, Chennai - 600052</t>
  </si>
  <si>
    <t>own house</t>
  </si>
  <si>
    <t>8/31 Ambal Nagar main road, ekkattuthangal, chennai, tamil nadu - 600032</t>
  </si>
  <si>
    <t>ekkattuthangal</t>
  </si>
  <si>
    <t>Umar Ashif M</t>
  </si>
  <si>
    <t>9176954138</t>
  </si>
  <si>
    <t>9442322725</t>
  </si>
  <si>
    <t>Own house ,</t>
  </si>
  <si>
    <t>Own house,Perumbakkam.</t>
  </si>
  <si>
    <t>Mohammed Thanish K</t>
  </si>
  <si>
    <t>8015166500</t>
  </si>
  <si>
    <t>9003227860</t>
  </si>
  <si>
    <t>own house, Medavakkam.</t>
  </si>
  <si>
    <t>2/270 E6, Kalaignar nagar 1st Street, Medavakkam kootroad, Medavakkam, Chennai - 600100.</t>
  </si>
  <si>
    <t>Own house,Perumbakkam</t>
  </si>
  <si>
    <t>No.12/453B,Nethaji Nagar, Paathumuthamal cross street, KANCHEEPURAM, TAMIL NADU, 600119</t>
  </si>
  <si>
    <t>No.12/453B,nethaji Nagar, Paathumuthamal cross street, KANCHEEPURAM, TAMIL NADU, 600119</t>
  </si>
  <si>
    <t>Mayur Sanjay Lad</t>
  </si>
  <si>
    <t>8262816029</t>
  </si>
  <si>
    <t>9922284382</t>
  </si>
  <si>
    <t>Ozone Techno Park, 24, Rajiv Gandhi Salai, Navalur, Chennai, Tamil Nadu 600130</t>
  </si>
  <si>
    <t xml:space="preserve">HANI S </t>
  </si>
  <si>
    <t>9884841456</t>
  </si>
  <si>
    <t>9941283232</t>
  </si>
  <si>
    <t>PARIMALA ELLAM</t>
  </si>
  <si>
    <t>PARIMALA ELLAM, 82/52/1, PANCHALI AMMAN KOVIL STREET, ARUMBAKKAM, CHENNAI-600106</t>
  </si>
  <si>
    <t>koyambedu</t>
  </si>
  <si>
    <t>Sakshi Rahul Devsthali</t>
  </si>
  <si>
    <t>7276142835</t>
  </si>
  <si>
    <t>8624934652</t>
  </si>
  <si>
    <t>Parin ladies pg</t>
  </si>
  <si>
    <t>Amman Kovil Street, Egattur, Siruseri, Tamil Nadu - 603103</t>
  </si>
  <si>
    <t>shruti jagannath shinde</t>
  </si>
  <si>
    <t>9921824674</t>
  </si>
  <si>
    <t>9322712896</t>
  </si>
  <si>
    <t>Parin luxury ladies pg</t>
  </si>
  <si>
    <t>Parin luxury ladies pg, Palandi Amman Koil Street, Egattur, Chennai, Tamil Nadu 600130</t>
  </si>
  <si>
    <t>Janani N</t>
  </si>
  <si>
    <t>7812830757</t>
  </si>
  <si>
    <t>9894806516</t>
  </si>
  <si>
    <t>Parin Luxury Ladies Pg</t>
  </si>
  <si>
    <t xml:space="preserve">22D Periyar Street, Chennai, Tamil Nadu 600113 </t>
  </si>
  <si>
    <t>parin luxury ladies pg</t>
  </si>
  <si>
    <t>palandi amman koil st, Egattur, Chennai 600130</t>
  </si>
  <si>
    <t>Vadlakunta Veda</t>
  </si>
  <si>
    <t>7981395188</t>
  </si>
  <si>
    <t>7702695849</t>
  </si>
  <si>
    <t>Parin Luxury Ladies Pg, Pallandi AMman koli st, Egattur, Chennai</t>
  </si>
  <si>
    <t xml:space="preserve">Parin luxury ladies PG </t>
  </si>
  <si>
    <t>Parin luxury ladies PG, Palandi Amman Koil street, Egattur, Chennai, Tamil Nadu 600130</t>
  </si>
  <si>
    <t>P Divitha</t>
  </si>
  <si>
    <t>7993867192</t>
  </si>
  <si>
    <t>9182623111</t>
  </si>
  <si>
    <t xml:space="preserve">parin luxury ladies pg </t>
  </si>
  <si>
    <t>parin luxury ladies pg,palandi amman koil st,egattur,chennai,Tamilnadu 600130</t>
  </si>
  <si>
    <t>Tanzeela Naaz A I</t>
  </si>
  <si>
    <t>7010663895</t>
  </si>
  <si>
    <t>9442534671</t>
  </si>
  <si>
    <t>Parin Luxury Ladies pg Egattur</t>
  </si>
  <si>
    <t>Parin Luxury Ladies pg, Palandi amman koil st egattur, Chennai, 600130</t>
  </si>
  <si>
    <t>Anushka Shinde</t>
  </si>
  <si>
    <t>8999342170</t>
  </si>
  <si>
    <t>9970153209</t>
  </si>
  <si>
    <t>Parin Luxury Ladies PG, Palandi Amman Koil St, Egattur, Chennai, Tamil Nadu</t>
  </si>
  <si>
    <t>Deepa R</t>
  </si>
  <si>
    <t>8618108897</t>
  </si>
  <si>
    <t>9964658878</t>
  </si>
  <si>
    <t>Parin Luxury Ladies PG-Egattur Branch</t>
  </si>
  <si>
    <t>Parin Luxury Ladies PG-Egattur Branch, palandi amman koli st , egattur,tamil nadu  600130</t>
  </si>
  <si>
    <t xml:space="preserve">Rakshitha R </t>
  </si>
  <si>
    <t>9003779617</t>
  </si>
  <si>
    <t>9941573826</t>
  </si>
  <si>
    <t xml:space="preserve">Parins Luxury Ladies PG, Egattur </t>
  </si>
  <si>
    <t>Palandi Amman Koil St, Egattur, Chennai, Tamil Nadu 600130</t>
  </si>
  <si>
    <t>PRACHI SONI</t>
  </si>
  <si>
    <t>6202958280</t>
  </si>
  <si>
    <t>7050908386</t>
  </si>
  <si>
    <t>PARIYAR ST , EGATTUR , UTHANDI, EGATTUR ,TAMIL NADU , 600130</t>
  </si>
  <si>
    <t>1/115,PANZHADIAMMAN KOVIL STREET, EGATTUR CHENNAI ,TAMIL NADU 600130</t>
  </si>
  <si>
    <t>Rishi Prasad Sahani</t>
  </si>
  <si>
    <t>9652796474</t>
  </si>
  <si>
    <t>9959629124</t>
  </si>
  <si>
    <t>Pasanga Paradise PG - Branch 1, Egattur</t>
  </si>
  <si>
    <t>Shahrukh Ahmed</t>
  </si>
  <si>
    <t>9087531538</t>
  </si>
  <si>
    <t>8220035590</t>
  </si>
  <si>
    <t>PAVUL CHINNAPPAN D</t>
  </si>
  <si>
    <t>9345627431</t>
  </si>
  <si>
    <t>9688547989</t>
  </si>
  <si>
    <t>Manoj Priyan Jeyaraman</t>
  </si>
  <si>
    <t>9043470281</t>
  </si>
  <si>
    <t>9659655155</t>
  </si>
  <si>
    <t>Nikhilan A</t>
  </si>
  <si>
    <t>9486243829</t>
  </si>
  <si>
    <t>8825693314</t>
  </si>
  <si>
    <t xml:space="preserve"> Pasanga Paradise PG, Branch 1, Gangai Amman Kovil Street, Egattur, Siruseri, Tamil Nadu - 603103</t>
  </si>
  <si>
    <t>Arjun Dattatray Aware</t>
  </si>
  <si>
    <t>9529709942</t>
  </si>
  <si>
    <t>9960134507</t>
  </si>
  <si>
    <t>Anish laxury PG , Egattur, Siruseri, Tamil Nadu - 603103</t>
  </si>
  <si>
    <t>Deva M</t>
  </si>
  <si>
    <t>8939475772</t>
  </si>
  <si>
    <t>9942238668</t>
  </si>
  <si>
    <t>Sakthimurugan Palanisamy</t>
  </si>
  <si>
    <t>8838639075</t>
  </si>
  <si>
    <t>6384053573</t>
  </si>
  <si>
    <t>Jolly Jebastin J</t>
  </si>
  <si>
    <t>8015568749</t>
  </si>
  <si>
    <t>9976532985</t>
  </si>
  <si>
    <t>Pasanga Paradise PG - Branch 2, Egattur</t>
  </si>
  <si>
    <t>Pasanga Paradise PG, Branch 2, Gangai Amman Kovil Street, Egattur, Siruseri, Tamil Nadu - 603103</t>
  </si>
  <si>
    <t>Kishorekumar P</t>
  </si>
  <si>
    <t>7094341067</t>
  </si>
  <si>
    <t>8428617824</t>
  </si>
  <si>
    <t>Pasanga Paradise PG - Branch 2, Navalur</t>
  </si>
  <si>
    <t xml:space="preserve">Pasanga Paradise PG Navalur Gowri Thangaraj Street, Thiruporur, Tamil Nadu 600130 </t>
  </si>
  <si>
    <t>4</t>
  </si>
  <si>
    <t>LNU Srivarshan</t>
  </si>
  <si>
    <t>6381976411</t>
  </si>
  <si>
    <t>8610847933</t>
  </si>
  <si>
    <t>Permanent house</t>
  </si>
  <si>
    <t>No:187, kalaingar nagar, 3rd street, thiruvottriyur, Chennai 600019</t>
  </si>
  <si>
    <t>K V Sanjay Ragesh</t>
  </si>
  <si>
    <t>6383742900</t>
  </si>
  <si>
    <t>7395914501</t>
  </si>
  <si>
    <t>personal home</t>
  </si>
  <si>
    <t>NO 19/5, Rajaji Street, Ekkatuthangal, Chennai, Tamil Nadu, 600032</t>
  </si>
  <si>
    <t>Ekkatuthangal</t>
  </si>
  <si>
    <t>..</t>
  </si>
  <si>
    <t>Dhana Bala Murugan M</t>
  </si>
  <si>
    <t>8220147650</t>
  </si>
  <si>
    <t>9629679800</t>
  </si>
  <si>
    <t>Phoenix Mens Hostel</t>
  </si>
  <si>
    <t>Phoenix Mens Hostel, No 106, Palandiamman Kovil Street, Egattur, Chennai, Tamil Nadu, 600130.</t>
  </si>
  <si>
    <t>Phoenix Mens Hostel, Egatur.</t>
  </si>
  <si>
    <t>Venktesh B</t>
  </si>
  <si>
    <t>8072887382</t>
  </si>
  <si>
    <t>9003472526</t>
  </si>
  <si>
    <t>Phoenix Mens Pg Egattur</t>
  </si>
  <si>
    <t>Deephika R</t>
  </si>
  <si>
    <t>8754997306</t>
  </si>
  <si>
    <t>9884685890</t>
  </si>
  <si>
    <t>Plaza Verdant Phase 2, Perumbakkam</t>
  </si>
  <si>
    <t>B4F,Plaza Verdant Phase 2, Aransakalani, Perumbakkam,Chennai -600126</t>
  </si>
  <si>
    <t>Kompally Akhil</t>
  </si>
  <si>
    <t>8498072762</t>
  </si>
  <si>
    <t>9849038087</t>
  </si>
  <si>
    <t>Plot 48, TVH Terra Hub</t>
  </si>
  <si>
    <t>4th street, Siruseri, Egattur, Tamil Nadu 600130</t>
  </si>
  <si>
    <t>Kesara Tejaswini Reddy</t>
  </si>
  <si>
    <t>7382924489</t>
  </si>
  <si>
    <t>9492469737</t>
  </si>
  <si>
    <t>Plot No. 3/29, Svb Luxury Ladies Pg, Ibaco Back Side, Thiruvalluvar Street, Omr Main Road, Navalur, Chennai-600130, Tamil Nadu</t>
  </si>
  <si>
    <t>Nalinkumar L</t>
  </si>
  <si>
    <t>6374744572</t>
  </si>
  <si>
    <t>9176624044</t>
  </si>
  <si>
    <t>Plot no.143, Samayapuram 7th cross street, 5th main road, Irandamkattalai, Chennai - 600128</t>
  </si>
  <si>
    <t>Saran Veerabathiran</t>
  </si>
  <si>
    <t>6369411714</t>
  </si>
  <si>
    <t>9384687445</t>
  </si>
  <si>
    <t>Plot no:2, Peramanur Village, Maraimalai Nagar</t>
  </si>
  <si>
    <t>Plot no:2, srihari avenue, phase-VI, Peramanur Village, Maraimalai Nagar, Chengalpattu - 603209</t>
  </si>
  <si>
    <t>Maraimalai Nagar</t>
  </si>
  <si>
    <t>Yogashree P</t>
  </si>
  <si>
    <t>7305788858</t>
  </si>
  <si>
    <t>9840970158</t>
  </si>
  <si>
    <t>Plot.103, Korattur</t>
  </si>
  <si>
    <t>plot.103, Jemmy Avenue, Varashakthi Nagar, Mugambigai Nagar, Madhana Kuppam, Korattur , Chennai-600099.</t>
  </si>
  <si>
    <t>Anna Nagar</t>
  </si>
  <si>
    <t>plot.103, Korattur</t>
  </si>
  <si>
    <t>plot 103, Jemmy avenue, Varashakthi Nagar, Mugambigai Nagar, Madhana kuppam, Korattur, Chennai-600099.</t>
  </si>
  <si>
    <t xml:space="preserve">Vishwa Peniel J </t>
  </si>
  <si>
    <t>7708864818</t>
  </si>
  <si>
    <t>7200527473</t>
  </si>
  <si>
    <t>No.36 Ayyavu Nayakkar Street Alapakkam,Porur Chennai, Thiruvallur</t>
  </si>
  <si>
    <t>Tambaram,Porur</t>
  </si>
  <si>
    <t>S Poojitha</t>
  </si>
  <si>
    <t>8939224333</t>
  </si>
  <si>
    <t>9884646419</t>
  </si>
  <si>
    <t>Praneel Indra</t>
  </si>
  <si>
    <t>No.21, 1st street, Indra nagar, Menambedu, Ambattur, Chennai - 600 053.</t>
  </si>
  <si>
    <t>PS Builders, Thiruverkadu</t>
  </si>
  <si>
    <t xml:space="preserve">No. 143, eshwaran nagar, 1st street, thiruverkadu 600077 </t>
  </si>
  <si>
    <t>thiruverkadu</t>
  </si>
  <si>
    <t>Preeti Hombalmath</t>
  </si>
  <si>
    <t>9148316800</t>
  </si>
  <si>
    <t>9448308932</t>
  </si>
  <si>
    <t>Queen luxury PG - siruseri</t>
  </si>
  <si>
    <t>Queen luxury PG Gangai Amman Kovil Street, Egattur, Siruseri, Tamil Nadu - 603103</t>
  </si>
  <si>
    <t>Haripriya L Gudi</t>
  </si>
  <si>
    <t>8431601116</t>
  </si>
  <si>
    <t>9449768700</t>
  </si>
  <si>
    <t>Queens ladies luxury pg</t>
  </si>
  <si>
    <t>Muthu Rekha Building Gangai Amman Kovil Street, Egattur, Siruseri, Tamil Nadu - 603103</t>
  </si>
  <si>
    <t>Savitri Sadashiv Santi</t>
  </si>
  <si>
    <t>9741335359</t>
  </si>
  <si>
    <t>9611659697</t>
  </si>
  <si>
    <t>Queens laxury ladies pg, Siruseri</t>
  </si>
  <si>
    <t>Queens laxury ladies pg, Gangai Amman Kovil Street, Egattur, Siruseri, Tamil Nadu - 603103</t>
  </si>
  <si>
    <t>Nithya R</t>
  </si>
  <si>
    <t>9385411013</t>
  </si>
  <si>
    <t>6381142002</t>
  </si>
  <si>
    <t>Queens Luxury Ladies PG</t>
  </si>
  <si>
    <t>4/203, Muthu Rekha Building, Gangai Amman Kovil Street, Egattur, Siruseri, Chennai</t>
  </si>
  <si>
    <t>Aishwarya Jangampeta</t>
  </si>
  <si>
    <t>9032766321</t>
  </si>
  <si>
    <t>9010017621</t>
  </si>
  <si>
    <t>Queens luxury ladies PG, Periyar Street, Egattur, 603103</t>
  </si>
  <si>
    <t>Queens Luxury Ladies PG, Periyar Street, Egattur, 603103</t>
  </si>
  <si>
    <t>Gandikota Laxmi Praveena</t>
  </si>
  <si>
    <t>9000382454</t>
  </si>
  <si>
    <t>9542309016</t>
  </si>
  <si>
    <t>Queens Luxury Ladies PG, No-4/203, Muthu Rekha building Gangajamman Kovil Street, Egattur, Near Siruseri Chennai-603103</t>
  </si>
  <si>
    <t>Akhila Datrak</t>
  </si>
  <si>
    <t>7981000637</t>
  </si>
  <si>
    <t>9505434255</t>
  </si>
  <si>
    <t>Queens luxury ladies PG, No- 4/203, Muthu Rekha Building, Gangai Amman Kovil Street, Egattur, Near Siruseri, Chennai-603103</t>
  </si>
  <si>
    <t>Queens Luxury Ladies PG, No-4/204, Muthu Rekha building, Gangai Amman Kovil Street, Egattur, near Siruseri, Chennai- 603103</t>
  </si>
  <si>
    <t>Munagala Aishwarya Reddy</t>
  </si>
  <si>
    <t>9347726458</t>
  </si>
  <si>
    <t>9848396720</t>
  </si>
  <si>
    <t>Queens Luxury ladies PG</t>
  </si>
  <si>
    <t>4/203,Muthu Rekha buliding ,Gangai Amman kovil Street,Egattur,Siruseri,Chennai,Tamil Nadu</t>
  </si>
  <si>
    <t>Arsha Maria Joyson</t>
  </si>
  <si>
    <t>8281382099</t>
  </si>
  <si>
    <t>9741369480</t>
  </si>
  <si>
    <t xml:space="preserve">Queens Luxury Ladies PG </t>
  </si>
  <si>
    <t>4/203, Muthu Rekha Building,Gangai Amman Kovil Street,Egattur,Siruseri,Tamil Nadu-603103</t>
  </si>
  <si>
    <t>Meghana Bajjuri</t>
  </si>
  <si>
    <t>9959159003</t>
  </si>
  <si>
    <t>9949006013</t>
  </si>
  <si>
    <t>4/203, Muthu Rekha Building, Gangai Amman Kovil Street, Egattur, Siruseri, Chennai, 603103</t>
  </si>
  <si>
    <t>Thakkallapally Soumini</t>
  </si>
  <si>
    <t>8688243995</t>
  </si>
  <si>
    <t>9849762905</t>
  </si>
  <si>
    <t xml:space="preserve">QUEENS luxury ladies pg </t>
  </si>
  <si>
    <t>Gangai amman koil road, egttur</t>
  </si>
  <si>
    <t>Khushi Kumari</t>
  </si>
  <si>
    <t>9873477704</t>
  </si>
  <si>
    <t>9591999330</t>
  </si>
  <si>
    <t>Queens Luxury Ladies Pg - Egattur</t>
  </si>
  <si>
    <t>4/203, Muthu Rekha Building, Gangai Amman Kovil Street, Egattur, Siruseri, Chennai, Tamil Nadu, 603103</t>
  </si>
  <si>
    <t>Queens Luxury ladies pg , siruseri</t>
  </si>
  <si>
    <t>4/203, Muthu Rekha Building,Gangal Amman kovil street,Egattur,Landmark, Siruseri,Chennai,TamilNadu 603103</t>
  </si>
  <si>
    <t>Queen's Luxury ladies pg , siruseri</t>
  </si>
  <si>
    <t>Eamani Srilakshmi</t>
  </si>
  <si>
    <t>8247363762</t>
  </si>
  <si>
    <t>9959681826</t>
  </si>
  <si>
    <t>Queens Luxury Ladies PG,  Egattur</t>
  </si>
  <si>
    <t>Queens Luxury Ladies PG , No-4/203,Muthu Rekha building Gangajamman Kovil Street, Egattur, Near Siruseri Chennai-603103</t>
  </si>
  <si>
    <t>Sravani M</t>
  </si>
  <si>
    <t>8185869526</t>
  </si>
  <si>
    <t>9182136045</t>
  </si>
  <si>
    <t>Queens luxury ladies pg, Egatthur</t>
  </si>
  <si>
    <t>Queens luxury ladies pg, 4/203, Gangai Amman Kovel street, egattur, siruseri, chennai, Tamilnadu - 603103</t>
  </si>
  <si>
    <t>Ambati Nandini</t>
  </si>
  <si>
    <t>7093708050</t>
  </si>
  <si>
    <t>9849206310</t>
  </si>
  <si>
    <t>Queens luxury ladies pg, Egattur</t>
  </si>
  <si>
    <t>Queens luxury ladies PG, 4/203 , Muthu Rekha Building,Gangai Amman kovil street,Egattur, Landmark, Siruseri, Chennai, Tamil Nadu 603103.</t>
  </si>
  <si>
    <t>Varshitha Uppuleethi</t>
  </si>
  <si>
    <t>9573065815</t>
  </si>
  <si>
    <t>9642048887</t>
  </si>
  <si>
    <t>Queens Luxury Ladies PG, Egattur</t>
  </si>
  <si>
    <t>Queens Luxury ladies PG, 4/203, Muthu Rekha Building, Gangai Amman Kovil street, Egattur, Landmark Siruseri, Chennail, Tamilnadu -603103</t>
  </si>
  <si>
    <t>Varshini Pillala</t>
  </si>
  <si>
    <t>9398873343</t>
  </si>
  <si>
    <t>6281527116</t>
  </si>
  <si>
    <t>Queenss Luxury Ladies PG, Gangai Amman Kovil Street, Egattur, Siruseri, Tamil Nadu - 603103</t>
  </si>
  <si>
    <t>PRATHINA A</t>
  </si>
  <si>
    <t>6381517796</t>
  </si>
  <si>
    <t>9865812804</t>
  </si>
  <si>
    <t>QUEENS LUXURY LADIES PG, Egattur</t>
  </si>
  <si>
    <t xml:space="preserve"> 4/203 , Muthu Rekha Building,Gangai Amman kovil street,Egattur, Landmark, Siruseri, Chennai, Tamil Nadu 603103</t>
  </si>
  <si>
    <t>Ancilin P</t>
  </si>
  <si>
    <t>9445279657</t>
  </si>
  <si>
    <t>9442279657</t>
  </si>
  <si>
    <t>Queens luxury ladies PG, Egattur</t>
  </si>
  <si>
    <t>4/203, muthu rekha building, queens luxury ladies PG, Gangai amman kovil street, egattur, siruseri, chennai-603103</t>
  </si>
  <si>
    <t>Queen's luxury ladies PG, Egattur</t>
  </si>
  <si>
    <t>4/203, muthu rekha building, queen's luxury ladies PG, Gangai amman kovil street, egattur, siruseri, chennai-603103</t>
  </si>
  <si>
    <t>Queens Luxury Ladies PG, Egattur, Siruseri</t>
  </si>
  <si>
    <t>Queens Luxury Ladies PG, Gangai Amman Kovil Street, Egattur, Siruseri, Tamil Nadu, 603103</t>
  </si>
  <si>
    <t>samrudhee popat karkande</t>
  </si>
  <si>
    <t>8766092465</t>
  </si>
  <si>
    <t>9403553055</t>
  </si>
  <si>
    <t>queens luxury ladies pg,egattur</t>
  </si>
  <si>
    <t>queens luxury ladies pg,Gangai Amman Kovil Street, Egattur, Siruseri, Tamil Nadu - 603103</t>
  </si>
  <si>
    <t>Prajusha R</t>
  </si>
  <si>
    <t>9566434321</t>
  </si>
  <si>
    <t>9626979524</t>
  </si>
  <si>
    <t>Queens Luxury ladies pg,Egattur</t>
  </si>
  <si>
    <t>4/203 , Muthu Rekha Building,Gangai Amman kovil street,Egattur, Siruseri, Chennai, Tamil Nadu 603103</t>
  </si>
  <si>
    <t>Lekkala Samyuktha</t>
  </si>
  <si>
    <t>7815892066</t>
  </si>
  <si>
    <t>7893536760</t>
  </si>
  <si>
    <t>Queens Luxury PG</t>
  </si>
  <si>
    <t>4/203 , Muthu Rekha Building , Gangai Amman kovil street , Egattur , Landmark , Siruseri , Chennai , Tamilnadu - 603103</t>
  </si>
  <si>
    <t>Adithi Sreedhara</t>
  </si>
  <si>
    <t>9740774625</t>
  </si>
  <si>
    <t>9740022777</t>
  </si>
  <si>
    <t>Queens Luxury Pg</t>
  </si>
  <si>
    <t>A Sheetal</t>
  </si>
  <si>
    <t>6382878484</t>
  </si>
  <si>
    <t>9176034848</t>
  </si>
  <si>
    <t xml:space="preserve">queens luxury pg </t>
  </si>
  <si>
    <t>4/203 muthu rekha building gangai amman kovil street egattur siruseri chennai 603103</t>
  </si>
  <si>
    <t>Jyothirmai Tirumalasetti</t>
  </si>
  <si>
    <t>9502186321</t>
  </si>
  <si>
    <t>7989807218</t>
  </si>
  <si>
    <t>Queens Luxury PG, Egattur</t>
  </si>
  <si>
    <t>Queens luxury ladies pg, 4/203, Muthu Rekha Building, Gangai Amman kovil street, Egattur, landmark, siruseri, chennai, Tamilnadu 603103</t>
  </si>
  <si>
    <t>Korivi Venkata Siva Sai Sreeja</t>
  </si>
  <si>
    <t>6300480084</t>
  </si>
  <si>
    <t>9948594904</t>
  </si>
  <si>
    <t>Queens PG - Egattur</t>
  </si>
  <si>
    <t>Queens PG, Gangai Amman Kovil Street, Egattur, Siruseri, Tamil Nadu - 603103</t>
  </si>
  <si>
    <t>Queens PG - Egattur , Gangai Amman Kovil Street, Egattur, Siruseri, Tamil Nadu - 603103</t>
  </si>
  <si>
    <t>Anuja Abhimanyu Gore</t>
  </si>
  <si>
    <t>7821078850</t>
  </si>
  <si>
    <t>8275516407</t>
  </si>
  <si>
    <t>Queens PG, Egatur</t>
  </si>
  <si>
    <t>4/203 , Muthu Rekha Building, Gangai Amman kovil street, Egattur, Landmark, Siruseri, Chennai, Tamil Nadu 603103</t>
  </si>
  <si>
    <t>Aditi KR</t>
  </si>
  <si>
    <t>9739098450</t>
  </si>
  <si>
    <t>9739147906</t>
  </si>
  <si>
    <t>R &amp;  R ladies pg (L4 branch), egatur</t>
  </si>
  <si>
    <t>R &amp; R ladies pg, egatur, siruseri, Tamil nadu 603103</t>
  </si>
  <si>
    <t>Chandru Samuel A</t>
  </si>
  <si>
    <t>9994758708</t>
  </si>
  <si>
    <t>7010549078</t>
  </si>
  <si>
    <t>R &amp; R Gents PG - Branch 2, Egattur</t>
  </si>
  <si>
    <t>R &amp; R Gents PG - Branch 2, R6PG+8WF, Egattur,  Siruseri,Tamilnadu,600130</t>
  </si>
  <si>
    <t>Lakshmiprabha Kamaraj</t>
  </si>
  <si>
    <t>8248303740</t>
  </si>
  <si>
    <t>9655182167</t>
  </si>
  <si>
    <t>R &amp; R Ladies PG and Hostel (L1 Branch), Egattur</t>
  </si>
  <si>
    <t>R &amp; R Ladies PG and Hostel (L1 Branch) ,158A , Periyar St,Uthandi, Egattur,Tamil Nadu-600130</t>
  </si>
  <si>
    <t xml:space="preserve">Another emergency contact-8015802167(sibling) </t>
  </si>
  <si>
    <t>Kadavakollu Kiran Deepthi</t>
  </si>
  <si>
    <t>7815802277</t>
  </si>
  <si>
    <t>9346976905</t>
  </si>
  <si>
    <t>R &amp; R ladies PG and hostel,egattur</t>
  </si>
  <si>
    <t>R &amp; R ladies PG and hostel,egattur,chennai</t>
  </si>
  <si>
    <t>Sanepalli Bhargavi</t>
  </si>
  <si>
    <t>7989124598</t>
  </si>
  <si>
    <t>6305045953</t>
  </si>
  <si>
    <t>R &amp;R ladies PG and Hostel</t>
  </si>
  <si>
    <t>R&amp;R ladies PG and Hostel, L1 branch ,Periyar St Uthandi,Eggattur,Tamil Nadu 600130</t>
  </si>
  <si>
    <t>Rajasaravanan Sankaranarayanan</t>
  </si>
  <si>
    <t>7904912661</t>
  </si>
  <si>
    <t>9362136018</t>
  </si>
  <si>
    <t>R and R gents pg</t>
  </si>
  <si>
    <t>R and R gents pg, Egattur, Navalur, Chennai-600130, Tamil Nadu</t>
  </si>
  <si>
    <t>Prashant Ramesh Goti</t>
  </si>
  <si>
    <t>8970467013</t>
  </si>
  <si>
    <t>9902484443</t>
  </si>
  <si>
    <t xml:space="preserve">R and R Gents Pg G2 </t>
  </si>
  <si>
    <t>R and R Gents pg G2 R6PG+8WF, Egattur, Tamil Nadu 600130</t>
  </si>
  <si>
    <t>L Lynette Infancia</t>
  </si>
  <si>
    <t>7204218574</t>
  </si>
  <si>
    <t>9740773536</t>
  </si>
  <si>
    <t>R and R ladies PG</t>
  </si>
  <si>
    <t>R and R Ladies PG, branch 3, Egattur, Siruseri, Tamilnadu - 603103</t>
  </si>
  <si>
    <t xml:space="preserve">Shaik Kyrunbee </t>
  </si>
  <si>
    <t>7672063844</t>
  </si>
  <si>
    <t>6305710719</t>
  </si>
  <si>
    <t>R and R PG -L1 branch, Egattur</t>
  </si>
  <si>
    <t xml:space="preserve">R and R PG -L1 branch, Periyar Street, Egattur, Tamilnadu-600130 </t>
  </si>
  <si>
    <t>Harini G</t>
  </si>
  <si>
    <t>7200130583</t>
  </si>
  <si>
    <t>9551963885</t>
  </si>
  <si>
    <t>R R flats (Home), ayyappanthangal, chennai-56</t>
  </si>
  <si>
    <t>NNO 2/6, ONO 28/56, 1ST FLR, F3,GAJALAKSHMI NGR, SRINIVASAPURAM, AYYAPPANTHANGAL, CHENNAI-600056</t>
  </si>
  <si>
    <t>ayyapanthangal</t>
  </si>
  <si>
    <t>Rishabh Mishra</t>
  </si>
  <si>
    <t>9839097799</t>
  </si>
  <si>
    <t>9450527799</t>
  </si>
  <si>
    <t>R&amp;R Gents PG G1 Branch, Egattur, Chengalpattu District, TamilNadu</t>
  </si>
  <si>
    <t>I am from Varanasi</t>
  </si>
  <si>
    <t>R&amp;R Gents PG G2 Branch</t>
  </si>
  <si>
    <t>R&amp;R Gents PG G2 Branch R6PG+8WF, Egattur, Tamil Nadu 600130</t>
  </si>
  <si>
    <t>Machendra M</t>
  </si>
  <si>
    <t>6385825536</t>
  </si>
  <si>
    <t>9994724989</t>
  </si>
  <si>
    <t>R&amp;R gents pg,Egattur</t>
  </si>
  <si>
    <t>R&amp;R Gents PG,G1 branch,kamarajar street,Egatur,Chennai</t>
  </si>
  <si>
    <t>Harni J</t>
  </si>
  <si>
    <t>9342076787</t>
  </si>
  <si>
    <t>9976693960</t>
  </si>
  <si>
    <t>R&amp;R Ladies Hostel, L1 Branch, Periyar Street, Egattur, Siruseri, Tamil Nadu.</t>
  </si>
  <si>
    <t>nekkala uma</t>
  </si>
  <si>
    <t>7997808832</t>
  </si>
  <si>
    <t>8897898621</t>
  </si>
  <si>
    <t>R&amp;R ladies pg</t>
  </si>
  <si>
    <t>R&amp;R ladies pg - L4 Branch, egattur</t>
  </si>
  <si>
    <t>R&amp;R ladies pg, L4 branch, Dr, Ambedkar st, Egattur, Chennai, Tamil Nadu - 603103</t>
  </si>
  <si>
    <t>,.</t>
  </si>
  <si>
    <t>R&amp;R ladies pg (L3 branch)</t>
  </si>
  <si>
    <t>R&amp;R ladies pg (L3 branch), uthandi, egattur, 603103</t>
  </si>
  <si>
    <t>ADITI KR</t>
  </si>
  <si>
    <t>R&amp;R LADIES PG (L4 BRANCH)</t>
  </si>
  <si>
    <t>R&amp;R LADIES PG (L4 BRANCH), EGATTUR, SIRUSERI, TAMIL NADU - 603103</t>
  </si>
  <si>
    <t>Karukonala Venkata Deepthi</t>
  </si>
  <si>
    <t>9704874263</t>
  </si>
  <si>
    <t>6304657233</t>
  </si>
  <si>
    <t>R&amp;R Ladies PG and Hostel -L1 Branch, Egattur</t>
  </si>
  <si>
    <t>R&amp;R Ladies PG and Hostel -L1 Branch, Periyar Street, Uthandi, Egattur, Siruseri, Tamil Nadu-600130</t>
  </si>
  <si>
    <t>Aditi K R</t>
  </si>
  <si>
    <t>R&amp;R Ladies PG- Branch 4</t>
  </si>
  <si>
    <t>Palandi Amman Koil St Near toll plaza 4/48 PALANDIYAMMAN KOVIL STREETST, Egattur, Tamil Nadu 600130</t>
  </si>
  <si>
    <t>I have come from bangalore with my friend. And there are no any relatives.</t>
  </si>
  <si>
    <t>Harshitha Guguloth</t>
  </si>
  <si>
    <t>7013451739</t>
  </si>
  <si>
    <t>7095497120</t>
  </si>
  <si>
    <t>R&amp;R ladies PG -L1 Branch, Egattur</t>
  </si>
  <si>
    <t>R&amp;R PG, Branch L1, Periyar Street, Egattur, siruseri, Tamil Nadu-600130</t>
  </si>
  <si>
    <t>Kondapalli Sarvesa Vadana Sri</t>
  </si>
  <si>
    <t>8374776571</t>
  </si>
  <si>
    <t>9441276492</t>
  </si>
  <si>
    <t>R&amp;R ladies pg l4 branch</t>
  </si>
  <si>
    <t>R&amp;R ladies pg l4 branch, egattur</t>
  </si>
  <si>
    <t>Monika V</t>
  </si>
  <si>
    <t>9585396781</t>
  </si>
  <si>
    <t>9698538888</t>
  </si>
  <si>
    <t>Radiance Ivy Apartment, Egattur</t>
  </si>
  <si>
    <t>Radiance Ivy Apartment, Rajiv Gandhi Road, Egattur - 600130</t>
  </si>
  <si>
    <t>Aryan Jain</t>
  </si>
  <si>
    <t>9352817420</t>
  </si>
  <si>
    <t>9887795487</t>
  </si>
  <si>
    <t>Radiance Shine</t>
  </si>
  <si>
    <t xml:space="preserve">Radiance Shine,C-701, Rajiv Gandhi Salai, Kalipattur, Tamil Nadu 603103 </t>
  </si>
  <si>
    <t>Alok Agarwal</t>
  </si>
  <si>
    <t>8824088336</t>
  </si>
  <si>
    <t>6375920439</t>
  </si>
  <si>
    <t>Radiance Shine, OMR Rd, Kalipattur, Tamil Nadu 603103</t>
  </si>
  <si>
    <t>YUDHISTER SINGH</t>
  </si>
  <si>
    <t>6378033895</t>
  </si>
  <si>
    <t>7073465056</t>
  </si>
  <si>
    <t>Radiance shine , kalipattur</t>
  </si>
  <si>
    <t>c 1004 Radiance shine ,rajiv gandhi salai,kalipattur ,Tamil Nadu 603103</t>
  </si>
  <si>
    <t>C Saketh</t>
  </si>
  <si>
    <t>9740066362</t>
  </si>
  <si>
    <t>7337721461</t>
  </si>
  <si>
    <t>Radiance shine, Old Mahabalipuram Road, Kazhipattur, Chennai</t>
  </si>
  <si>
    <t>Siddhesh Prasad Chauk</t>
  </si>
  <si>
    <t>7666279214</t>
  </si>
  <si>
    <t>9284534830</t>
  </si>
  <si>
    <t>Ramaniyam Water Front</t>
  </si>
  <si>
    <t>Block 3 3D, Ramaniyam water front, Mettu Street, Kalipattur, Tamil Nadu 603103</t>
  </si>
  <si>
    <t>Kalipattur</t>
  </si>
  <si>
    <t>Aditya Prabhakar Nanaware</t>
  </si>
  <si>
    <t>8180950621</t>
  </si>
  <si>
    <t>9503150621</t>
  </si>
  <si>
    <t>Ramaniyam,yube1 Greenhouse,37,Mettu Street, kalipattur,Siruseri,TamilNadu-603103</t>
  </si>
  <si>
    <t>VISALI KUPPAN</t>
  </si>
  <si>
    <t>8925778891</t>
  </si>
  <si>
    <t>9840469596</t>
  </si>
  <si>
    <t>RAMAPURAM CHENNAI</t>
  </si>
  <si>
    <t>NEW NO 8 MAHENDRA VARMAN STREET RAJIV GANDHI NAGAR NESAPAKKAM CHENNAI</t>
  </si>
  <si>
    <t>NESAPAKKAM</t>
  </si>
  <si>
    <t>Arumithran</t>
  </si>
  <si>
    <t>9159184415</t>
  </si>
  <si>
    <t>9943722849</t>
  </si>
  <si>
    <t xml:space="preserve">Red Brick Mens PG </t>
  </si>
  <si>
    <t>129, city park, Egatoor, Siruseri, Tamil Nadu 603103</t>
  </si>
  <si>
    <t>Derangula Jeevan</t>
  </si>
  <si>
    <t>9652489115</t>
  </si>
  <si>
    <t>8186859232</t>
  </si>
  <si>
    <t xml:space="preserve">Red brick mens pg, siruseri, </t>
  </si>
  <si>
    <t>Red brick mens pg, siruseri, Tamilnadu</t>
  </si>
  <si>
    <t>Haritha P</t>
  </si>
  <si>
    <t>9943553331</t>
  </si>
  <si>
    <t>9940116767</t>
  </si>
  <si>
    <t>Rented House - Anna Nagar West</t>
  </si>
  <si>
    <t>2160, 8th street, Mullai nagar, Anna Nagar west</t>
  </si>
  <si>
    <t xml:space="preserve">Koyembedu </t>
  </si>
  <si>
    <t>Md Ishtiyaque</t>
  </si>
  <si>
    <t>8407866178</t>
  </si>
  <si>
    <t>7645050200</t>
  </si>
  <si>
    <t>Riverok omr navalur</t>
  </si>
  <si>
    <t>Riverok omr navalur chennai</t>
  </si>
  <si>
    <t>Pranav Nandkumar Khot</t>
  </si>
  <si>
    <t>9021339612</t>
  </si>
  <si>
    <t>8412976045</t>
  </si>
  <si>
    <t>Riverok villas</t>
  </si>
  <si>
    <t>Riverok villas omr Chennai navalur, Rajiv Gandhi Salai, Thiruporur, Tamil Nadu 600130</t>
  </si>
  <si>
    <t>Anand Sanjay Dhomase</t>
  </si>
  <si>
    <t>8767264593</t>
  </si>
  <si>
    <t>7620281080</t>
  </si>
  <si>
    <t>MD Ishtiyaque</t>
  </si>
  <si>
    <t>Riverok villas omr chennai</t>
  </si>
  <si>
    <t>Riverok villas Omr Chennai navalur</t>
  </si>
  <si>
    <t>Shubham Bhagwan Mukhekar</t>
  </si>
  <si>
    <t>7821043770</t>
  </si>
  <si>
    <t>7588027932</t>
  </si>
  <si>
    <t>Riverok villas omr Chennai navalur</t>
  </si>
  <si>
    <t>Riverok villas omr Chennai navalur, Rajiv Gandhi Salai, Navalur, Egattur, Tamil Nadu 600130</t>
  </si>
  <si>
    <t>Krish Dineshbhai Bhuva</t>
  </si>
  <si>
    <t>9316039623</t>
  </si>
  <si>
    <t>8999817934</t>
  </si>
  <si>
    <t xml:space="preserve">Room No.207, Siddu’s Premium Men’s PG, No 89C, city park layout, 3rd left street, Egattur, Siruseri IT Park, Chennai, Tamil Nadu 603103  </t>
  </si>
  <si>
    <t>Kakani Cherry Johnson</t>
  </si>
  <si>
    <t>8688703320</t>
  </si>
  <si>
    <t>9063349474</t>
  </si>
  <si>
    <t xml:space="preserve">Room No: 203, 1st floor, SPT PG for Gents, Egattur, Chennai  </t>
  </si>
  <si>
    <t>Room No: 203, 1st floor, SPT PG for Gents, Egattur, Chennai  - 603103</t>
  </si>
  <si>
    <t>Samiksha Nagaraju Thatipamula</t>
  </si>
  <si>
    <t>9529086195</t>
  </si>
  <si>
    <t>9967389364</t>
  </si>
  <si>
    <t>Room No: 414, Aura Nest PG for Ladies, #86, 3rd Cross Road, Muthamma Street, Near TCS New Building, City Park Layout, Siruseri, Chennai, 603103</t>
  </si>
  <si>
    <t>Vemulapalli Gnaneswari</t>
  </si>
  <si>
    <t>7396353566</t>
  </si>
  <si>
    <t>9885848579</t>
  </si>
  <si>
    <t>Room no:316, MSR LUXURY PG(BRANCH II), EGATTUR</t>
  </si>
  <si>
    <t>ADAWET RATH</t>
  </si>
  <si>
    <t>9905819526</t>
  </si>
  <si>
    <t>8986880220</t>
  </si>
  <si>
    <t>Room Number 402 Atrumah TVH Terrahub PG For Boys (5th street) no 57 Egattur village road Uthandi Navalur Egattur 600130</t>
  </si>
  <si>
    <t>Manik</t>
  </si>
  <si>
    <t>8899209512</t>
  </si>
  <si>
    <t>9697293968</t>
  </si>
  <si>
    <t>RR Gents Hostel Branch 2, Eggatur, Tamil Nadu</t>
  </si>
  <si>
    <t>Mallikarjun Channappa Hadapad</t>
  </si>
  <si>
    <t>8904696792</t>
  </si>
  <si>
    <t>RR pg boys G2,Egattur</t>
  </si>
  <si>
    <t xml:space="preserve">RR pg boys G2, embuliamman koil Street, Egattur, Uthandi, Chengalpattu, Chennai, Tamil Nadu, 600130, KANCHIPURAM, TAMIL NADU, India-600130  </t>
  </si>
  <si>
    <t>RR pg boys G2, embuliamman koil Street, Egattur, Uthandi, Chengalpattu, Chennai, Tamil Nadu, 600130, KANCHIPURAM, TAMIL NADU, India-600130</t>
  </si>
  <si>
    <t>Nithikaa S J</t>
  </si>
  <si>
    <t>7904962453</t>
  </si>
  <si>
    <t>9884251999</t>
  </si>
  <si>
    <t>S J Villa, Ambattur</t>
  </si>
  <si>
    <t>S J Villa, 14th street, Muthamil nagar, 2nd main road, Kallikuppam, Ambattur, Chennai-53</t>
  </si>
  <si>
    <t>Ambattur</t>
  </si>
  <si>
    <t>Felix Benedict Stalin</t>
  </si>
  <si>
    <t>9791345872</t>
  </si>
  <si>
    <t>9500030594</t>
  </si>
  <si>
    <t xml:space="preserve">S K Perumal Gents PG Hostel </t>
  </si>
  <si>
    <t>Door No 185, 1st &amp; 2nd floor, Rajiv Gandhi Salai, OMR, Sholinganallur, Chennai, Tamilnadu - 600019.</t>
  </si>
  <si>
    <t>Door No 185, 1st &amp; 2nd floor, Rajiv Gandhi Salai, OMR, Sholinganallur, Chennai, Tamil Nadu - 600019</t>
  </si>
  <si>
    <t>Amrutavarshan L</t>
  </si>
  <si>
    <t>7338841601</t>
  </si>
  <si>
    <t>9844211870</t>
  </si>
  <si>
    <t xml:space="preserve">S V Luxurious Gents Pg </t>
  </si>
  <si>
    <t>Dr .Ambedkarstreet, Periyar St, Navalur, Chennai-600130, Tamil Nadu</t>
  </si>
  <si>
    <t>Aniket Sanjivan Satale</t>
  </si>
  <si>
    <t>9307525885</t>
  </si>
  <si>
    <t>7620016028</t>
  </si>
  <si>
    <t>S V LUXURIOUS Gents PG Dr Ambedakar street periyar st,Navalur Chennai Tamilnadu 600130</t>
  </si>
  <si>
    <t>Mansi Balu Urshil</t>
  </si>
  <si>
    <t>7559425523</t>
  </si>
  <si>
    <t>8767613332</t>
  </si>
  <si>
    <t>S.No.92/12, Gangai Amman Kovil Street, Old Mahabalipuram Road, Egattur, Siruseri, Tamil Nadu 600130</t>
  </si>
  <si>
    <t>Yajuvendra Shah</t>
  </si>
  <si>
    <t>7895605220</t>
  </si>
  <si>
    <t>9536688395</t>
  </si>
  <si>
    <t>s4a, Zolo Mirage, Siruseri</t>
  </si>
  <si>
    <t>s4a, Zolo Mirage,13th street srinivasa nagar, sipcot, Siruseri, chennai -603103</t>
  </si>
  <si>
    <t>Sivaramalingam</t>
  </si>
  <si>
    <t>9159972218</t>
  </si>
  <si>
    <t>7538804449</t>
  </si>
  <si>
    <t>Sahas Gents PG, Egattur</t>
  </si>
  <si>
    <t>Sahas Gents PG, 4/33, Dr Ambedkar 1st Street, Egattur, Siruseri, Tamil Nadu</t>
  </si>
  <si>
    <t>Sriharan Karthikeyan</t>
  </si>
  <si>
    <t>9360550326</t>
  </si>
  <si>
    <t>7339039289</t>
  </si>
  <si>
    <t>Sahas PG,Egattur</t>
  </si>
  <si>
    <t>Sahas PG ,Dr. Ambedkar street,Egattur, Siruseri, Tamil Nadu - 603103</t>
  </si>
  <si>
    <t>.</t>
  </si>
  <si>
    <t>Byreddy Mokshith</t>
  </si>
  <si>
    <t>7893331178</t>
  </si>
  <si>
    <t>9989083473</t>
  </si>
  <si>
    <t>Sahasra Delux</t>
  </si>
  <si>
    <t xml:space="preserve">Green Park Lane, near Sipcot It Park , Egattur , Tamil Nadu , 603103 </t>
  </si>
  <si>
    <t>Kolluri Siri Pavan</t>
  </si>
  <si>
    <t>6281675310</t>
  </si>
  <si>
    <t>9121712913</t>
  </si>
  <si>
    <t>Green Park Lane,near Sipcot It park, Egattur , Tamil Nadu , 603103</t>
  </si>
  <si>
    <t>Abhinay Karthik Kaveti</t>
  </si>
  <si>
    <t>8309295130</t>
  </si>
  <si>
    <t>8331913478</t>
  </si>
  <si>
    <t>Sahasra delux mens pg,Egattur</t>
  </si>
  <si>
    <t>sahasra delux mens pg,green park lane,near sipcot it park,egattur ,tamil nadu 603103</t>
  </si>
  <si>
    <t>Gali Vignan Kiran</t>
  </si>
  <si>
    <t>9603625639</t>
  </si>
  <si>
    <t>8143661668</t>
  </si>
  <si>
    <t>Sahasra Deluxe Gents PG,Egattur</t>
  </si>
  <si>
    <t>Sahasra deluxe Gents Pg, Green line park, Egattur, Siruseri, Tamil Nadu - 603103</t>
  </si>
  <si>
    <t>BYARAM RAVINDHAR</t>
  </si>
  <si>
    <t>9392387943</t>
  </si>
  <si>
    <t>8179341654</t>
  </si>
  <si>
    <t>Sahasra Deluxe Mens PG</t>
  </si>
  <si>
    <t>Sahasra Deluxe PG for men,green park lane,near sipcot it park,egattur</t>
  </si>
  <si>
    <t>Adikesava Reddy Peddu</t>
  </si>
  <si>
    <t>8341716241</t>
  </si>
  <si>
    <t>9440325767</t>
  </si>
  <si>
    <t>Sahasra deluxe Men's PG</t>
  </si>
  <si>
    <t>Sahasra deluxe pg ,MV villa Green park lane, near Sipcot It Park, Egattur, Tamil Nadu 603103</t>
  </si>
  <si>
    <t>Cyrill Victor</t>
  </si>
  <si>
    <t>6383459209</t>
  </si>
  <si>
    <t>9345412120</t>
  </si>
  <si>
    <t>Sahasra Deluxe PG</t>
  </si>
  <si>
    <t>Sahasra Deluxe PG, Egattur , Siruseri, Tamil Nadu</t>
  </si>
  <si>
    <t xml:space="preserve">SILLA BHARATH KUMAR </t>
  </si>
  <si>
    <t>8019770329</t>
  </si>
  <si>
    <t>9390799471</t>
  </si>
  <si>
    <t>Sahasra Deluxe PG for me</t>
  </si>
  <si>
    <t>Sahasra Deluxe PG for men, Green park lane, near Sipcot It Park, Egattur, Tamil Nadu 603103</t>
  </si>
  <si>
    <t>Thandra Jaideep</t>
  </si>
  <si>
    <t>7680936729</t>
  </si>
  <si>
    <t>9948810822</t>
  </si>
  <si>
    <t>Sahasra Deluxe PG for Men</t>
  </si>
  <si>
    <t>Sahasra Deluxe PG for Men, Green Park Lane, Near SIPCOT IT Park, Egattur, Chennai, Tamil Nadu - 603103</t>
  </si>
  <si>
    <t>Kushal Sai Naga Chandan Mindi</t>
  </si>
  <si>
    <t>7901380326</t>
  </si>
  <si>
    <t>8340076345</t>
  </si>
  <si>
    <t>Sahasra Deluxe PG for Men, Green lane park street, Egattur, Chennai, Tamil Nadu - 603103</t>
  </si>
  <si>
    <t>Giduthuri Jathin</t>
  </si>
  <si>
    <t>9515858968</t>
  </si>
  <si>
    <t>9966171712</t>
  </si>
  <si>
    <t>Sahasra Deluxe PG for men</t>
  </si>
  <si>
    <t>Sahasra Deluxe PG for men,Green park lane, near Sipcot It Park, Egattur, Tamil Nadu 603103</t>
  </si>
  <si>
    <t>Palavalasa Kesavarao</t>
  </si>
  <si>
    <t>7995326756</t>
  </si>
  <si>
    <t>8011389235</t>
  </si>
  <si>
    <t>Vishal Prasad Sharma</t>
  </si>
  <si>
    <t>8837324457</t>
  </si>
  <si>
    <t>8974553859</t>
  </si>
  <si>
    <t>Sahasra Deluxe PG, Green Park lane, near SIPCOT IT Park, Egattur, Tamil Nadu 603103</t>
  </si>
  <si>
    <t>Mohammed Shazanulla</t>
  </si>
  <si>
    <t>9035630286</t>
  </si>
  <si>
    <t>6366376794</t>
  </si>
  <si>
    <t>Sahasra Deluxe PG for Men, Green Park Lane, Near Sipcot IT Park, Egattur, Tamil Nadu - 603103</t>
  </si>
  <si>
    <t>Kasukurti Sri Varshith</t>
  </si>
  <si>
    <t>7981959050</t>
  </si>
  <si>
    <t>7989147698</t>
  </si>
  <si>
    <t>Sahasra Deluxe PG for men, No 6, Green Park Lane, Egattur, Siruseri, TamilNadu - 603103</t>
  </si>
  <si>
    <t>Ritesh Kumar</t>
  </si>
  <si>
    <t>9005780653</t>
  </si>
  <si>
    <t>8931813167</t>
  </si>
  <si>
    <t>Sahasra Deluxe PG for men ,Green park lane, near Sipcot It Park, Egattur, Tamil Nadu 603103</t>
  </si>
  <si>
    <t>Mohammad Daanish</t>
  </si>
  <si>
    <t>7752929206</t>
  </si>
  <si>
    <t>8090384045</t>
  </si>
  <si>
    <t>Sahasra Deluxe PG for men, Green Park Lane, near SIPCOT IT Park, Egattur, Tamil Nadu 600130</t>
  </si>
  <si>
    <t>Thamizhselvan Senthilmurugan</t>
  </si>
  <si>
    <t>8610376515</t>
  </si>
  <si>
    <t>9443582514</t>
  </si>
  <si>
    <t>Sahasra Deluxe PG for men , Green park lane, near SIPCOT IT park, Egattur, Tamil Nadu-603103</t>
  </si>
  <si>
    <t>Uthaya Kumar T</t>
  </si>
  <si>
    <t>6369239747</t>
  </si>
  <si>
    <t>9443615421</t>
  </si>
  <si>
    <t>Sahasra Deluxe PG for Men, Green park lane, near sipcot IT Park, Egattur, Tamilnadu 603103</t>
  </si>
  <si>
    <t>Akhil R</t>
  </si>
  <si>
    <t>9043436969</t>
  </si>
  <si>
    <t>9843436969</t>
  </si>
  <si>
    <t>Sahasra deluxe pg for men</t>
  </si>
  <si>
    <t>sahasra deluxe pg for men, green park lane, near sipcot it park, egattur, tamil nadu 603103.</t>
  </si>
  <si>
    <t>Sohil Choudhary</t>
  </si>
  <si>
    <t>7225852119</t>
  </si>
  <si>
    <t>7566334583</t>
  </si>
  <si>
    <t>Sahasra Deluxe PG for men - Branch 1, Egattur</t>
  </si>
  <si>
    <t>Sahasra Deluxe PG for men - Branch 1, Egattur, Siruseri, Tamil Nadu 603103</t>
  </si>
  <si>
    <t>Chandu Tangella</t>
  </si>
  <si>
    <t>6303022677</t>
  </si>
  <si>
    <t>7036957797</t>
  </si>
  <si>
    <t>SAHASRA DELUXE PG FOR MEN (NEW BUILDING)</t>
  </si>
  <si>
    <t>GREEN LANE PARK , NEAR SIPCOT IT PARK, EGATTUR, CHENGALPATTU , TN</t>
  </si>
  <si>
    <t>Swayamvarapu Kumara Swamy</t>
  </si>
  <si>
    <t>6305221719</t>
  </si>
  <si>
    <t>6300247923</t>
  </si>
  <si>
    <t>Sahasra Deluxe PG for Men , Egattur</t>
  </si>
  <si>
    <t>Sahasra Deluxe PG for Men, Green Lane Park Street, Egattur, Chennai, Tamil Nadu - 603103</t>
  </si>
  <si>
    <t>Mohit Kumar</t>
  </si>
  <si>
    <t>8860500278</t>
  </si>
  <si>
    <t>9958046499</t>
  </si>
  <si>
    <t>Sahasra Deluxe PG For Men , Egattur</t>
  </si>
  <si>
    <t>Sahasra Deluxe PG For Men, Egattur</t>
  </si>
  <si>
    <t>Manish Kumar Kasaraboina</t>
  </si>
  <si>
    <t>8520916201</t>
  </si>
  <si>
    <t>9951744939</t>
  </si>
  <si>
    <t>sahasra Deluxe PG for men , Egattur</t>
  </si>
  <si>
    <t>green park lane,near sipcot IT park, Egattur, Tamil Nadu 603103</t>
  </si>
  <si>
    <t>PILLA PAVAN</t>
  </si>
  <si>
    <t>7569060670</t>
  </si>
  <si>
    <t>8897787523</t>
  </si>
  <si>
    <t>Sahasra Deluxe PG for men Green park lane, near Sipcot It Park, Egattur, Tamil Nadu 603103</t>
  </si>
  <si>
    <t>Hardik Shital Chougule</t>
  </si>
  <si>
    <t>9359246051</t>
  </si>
  <si>
    <t>9665221707</t>
  </si>
  <si>
    <t>Sahasra Deluxe PG for men, Egattur</t>
  </si>
  <si>
    <t>Sahasra Delux PG for men, Green lan park, Egattur, Tamil Nadu 603103</t>
  </si>
  <si>
    <t>Abhinav Anand</t>
  </si>
  <si>
    <t>6205535201</t>
  </si>
  <si>
    <t>943143402</t>
  </si>
  <si>
    <t>Sahasra Deluxe PG for Men, Egattur</t>
  </si>
  <si>
    <t>Sahasra Deluxe PG for Men, Egattur, Tamil Nadu, 600130</t>
  </si>
  <si>
    <t>Vimal Sridhar K</t>
  </si>
  <si>
    <t>6380644379</t>
  </si>
  <si>
    <t>9486080884</t>
  </si>
  <si>
    <t>Sahasra Deluxe Pg for Men ,Green park lane,Egattur, Siruseri,Chennai-603103</t>
  </si>
  <si>
    <t>Allanki Arun</t>
  </si>
  <si>
    <t>9704002577</t>
  </si>
  <si>
    <t>6300508141</t>
  </si>
  <si>
    <t>Sahasra Deluxe PG for men, Egattur.</t>
  </si>
  <si>
    <t>Sahasra Deluxe PG for men, Green park lane, near Sipcot It Park, Egattur, Tamil Nadu 603103.</t>
  </si>
  <si>
    <t>Mujahid Sarfaraz Khan</t>
  </si>
  <si>
    <t>9403390828</t>
  </si>
  <si>
    <t>7498113712</t>
  </si>
  <si>
    <t>Sahasra Deluxe PG for men, Green Park Lane, near Sipcot It Park, Egattur</t>
  </si>
  <si>
    <t>Sahasra Deluxe PG for men, Green Park Lane, near Sipcot It Park, Egattur, Tamil nadu 603103</t>
  </si>
  <si>
    <t>All the details are field, Thank you.</t>
  </si>
  <si>
    <t>Divakar A</t>
  </si>
  <si>
    <t>8300582283</t>
  </si>
  <si>
    <t>9514955637</t>
  </si>
  <si>
    <t>Sahasra Deluxe PG for Men,Egattur</t>
  </si>
  <si>
    <t>Sahasra Deluxe PG for Men, Green Park Lane, Egattur, Siruseri, Chennai-603103</t>
  </si>
  <si>
    <t>Majji Kamalakar</t>
  </si>
  <si>
    <t>6303776828</t>
  </si>
  <si>
    <t>6309816725</t>
  </si>
  <si>
    <t>Shaik Roshan Moulali</t>
  </si>
  <si>
    <t>6305799092</t>
  </si>
  <si>
    <t>8790397998</t>
  </si>
  <si>
    <t>Sahasra deluxe PG for Mens, Egattur</t>
  </si>
  <si>
    <t>Sahasra Deluxe PG for Men is D.NO-37, SENGENI, SHENGNI NAYAKAR ST, SHOLINGANALLUR, CHENNAI, TAMIL NADU 600119.</t>
  </si>
  <si>
    <t>Satvik Sundriyal</t>
  </si>
  <si>
    <t>8006005013</t>
  </si>
  <si>
    <t>7895489199</t>
  </si>
  <si>
    <t>Sahasra Deluxe PG Men, Egattur, Tamil Nadu 600130</t>
  </si>
  <si>
    <t>Danaboina Gopala Krishna</t>
  </si>
  <si>
    <t>8096833748</t>
  </si>
  <si>
    <t>8096433748</t>
  </si>
  <si>
    <t xml:space="preserve">Sahasra Men's pg, semmancheri, chennai, tamilnadu, 600119  </t>
  </si>
  <si>
    <t>Just contact to that Number</t>
  </si>
  <si>
    <t>P R Ajithkumar</t>
  </si>
  <si>
    <t>7904442406</t>
  </si>
  <si>
    <t>9976787131</t>
  </si>
  <si>
    <t>Sahasra Pg for Gents, Navalur</t>
  </si>
  <si>
    <t>Sahasra Pg for Gents, Origin Phase 1, 4th street, Rajiv Gandhi Salai (OMR), Semmancherry, Chennai-600119</t>
  </si>
  <si>
    <t>Sighakolli Venkata Ram Vijesh</t>
  </si>
  <si>
    <t>7013600078</t>
  </si>
  <si>
    <t>9247312521</t>
  </si>
  <si>
    <t>Sahasra PG, Egattur, Chennai</t>
  </si>
  <si>
    <t>Sahasra PG, Green Street Park, Egattur, Siruseri, Tamil Nadu</t>
  </si>
  <si>
    <t>Sahasra PG, Near Ozone Techno Park, 24, Rajiv Gandhi Salai, Navalur, Chennai, Tamil Nadu 600130</t>
  </si>
  <si>
    <t>YERRAVALLI SAI THARUN</t>
  </si>
  <si>
    <t>7207297531</t>
  </si>
  <si>
    <t>9666904079</t>
  </si>
  <si>
    <t>SAI DELUXE PG</t>
  </si>
  <si>
    <t>4/178 PERIYAR STREET ,OLD MAHABALIPURAM ROAD</t>
  </si>
  <si>
    <t>Vadde Vamshi</t>
  </si>
  <si>
    <t>8121162261</t>
  </si>
  <si>
    <t>7396739536</t>
  </si>
  <si>
    <t xml:space="preserve">Sai deluxe pg , navallur </t>
  </si>
  <si>
    <t>Sai deluxe pg, pilyaru kovalu street , navallur-600130</t>
  </si>
  <si>
    <t>Angel Sara Varghese</t>
  </si>
  <si>
    <t>6282728417</t>
  </si>
  <si>
    <t>7356054655</t>
  </si>
  <si>
    <t>Sai Grand - Ambedkar Street</t>
  </si>
  <si>
    <t>Sai Grand - Siruseri, Ambedkar Street</t>
  </si>
  <si>
    <t>Naga Neeraj Bolisetti</t>
  </si>
  <si>
    <t>9398488169</t>
  </si>
  <si>
    <t>9985668319</t>
  </si>
  <si>
    <t>Sai Grand Gens PG, Egattur</t>
  </si>
  <si>
    <t>Sai Grand Gens PG, Periyar Street, Egattur, Siruseri, Tamilnadu - 603103</t>
  </si>
  <si>
    <t>Prayatna Padmanav Sahu</t>
  </si>
  <si>
    <t>9078314220</t>
  </si>
  <si>
    <t>9776362496</t>
  </si>
  <si>
    <t>Sai Grand Gents Hostel</t>
  </si>
  <si>
    <t>Sai Grand Gents Hostel, 4/178- Periyar Street, Egattur, Tamil Nadu 603103</t>
  </si>
  <si>
    <t>Somnath Koley</t>
  </si>
  <si>
    <t>6372521008</t>
  </si>
  <si>
    <t>9337909383</t>
  </si>
  <si>
    <t>4/178,Periyar Street, Old Mahabalipuram road ,near sipcot IT park ,Opp to marina mall ,Egattur, chennai , Tamil Nadu 600130</t>
  </si>
  <si>
    <t>Arpit Kumar Chauhan</t>
  </si>
  <si>
    <t>6398101899</t>
  </si>
  <si>
    <t>9997074216</t>
  </si>
  <si>
    <t>Sai Grand Gents Hostel, 4/178, Periyar Street, OMR, near sipcot IT park, opp.to Marina Mall, Chennai, Tamil Nadu - 600130</t>
  </si>
  <si>
    <t>Avula Amarnath Reddy</t>
  </si>
  <si>
    <t>8106186204</t>
  </si>
  <si>
    <t>8106108447</t>
  </si>
  <si>
    <t>Sai Grand Gents Hostel, 4/178, Periyar Street, Old Mahabalipuram Road, near sipcot IT park, opp. to Marina Mall, Egattur, Chennai, Tamil Nadu 600130</t>
  </si>
  <si>
    <t>Manav Satish Pethe</t>
  </si>
  <si>
    <t>7350307671</t>
  </si>
  <si>
    <t>7821878571</t>
  </si>
  <si>
    <t>Sai Grand Gents Hostel, 4/178 Periyar Street, Thiruporur, Tamil Nadu 600130</t>
  </si>
  <si>
    <t>Sai Grand Gents Hostel, 4/178 Periyar Street, Thiruporur, Siruseri ,Tamil Nadu 600130</t>
  </si>
  <si>
    <t>Satish Ranjan Routray</t>
  </si>
  <si>
    <t>9348403384</t>
  </si>
  <si>
    <t>9937531606</t>
  </si>
  <si>
    <t>Sai Grand Gents Hostel, 4/178, Periyar Street, Egattur, Chennai</t>
  </si>
  <si>
    <t>4/178, Periyar Street, Old Mahabalipuram Road, near sipcot IT park, opp. to Marina Mall, Egattur, Chennai, Tamilnadu, 600130</t>
  </si>
  <si>
    <t>Vaibhav Navanath Gawali</t>
  </si>
  <si>
    <t>Sai Grand gents Hostel, Egattur</t>
  </si>
  <si>
    <t>K Hariharan</t>
  </si>
  <si>
    <t>9391973052</t>
  </si>
  <si>
    <t>9110819186</t>
  </si>
  <si>
    <t>Sai Grand Gents PG - Egattur</t>
  </si>
  <si>
    <t>4/178, Periyar Street, Egattur, Chennai,  OMR, Near sipcot IT park,  Opp. to marina mall,  Tamil Nadu - 603 103</t>
  </si>
  <si>
    <t>Myneni Aaswitha</t>
  </si>
  <si>
    <t>9121674546</t>
  </si>
  <si>
    <t>9398159621</t>
  </si>
  <si>
    <t>Sai Grand Ladies pg - Branch 2, Ambekar Street</t>
  </si>
  <si>
    <t>Sai Grand Ladies Pg, Behind Subway,  Ambedkar Street, Uthandi, Egattur, Chengalpattu, Tamil Nadu, 600130</t>
  </si>
  <si>
    <t xml:space="preserve">Mamidipally Keerthi Reddy </t>
  </si>
  <si>
    <t>6304259184</t>
  </si>
  <si>
    <t>9951202084</t>
  </si>
  <si>
    <t>Sai grand ladies pg -branch 3 ambedkar street,Egattur</t>
  </si>
  <si>
    <t xml:space="preserve">Sai grand ladies pg, Branch 3, Ambedkar Street, Egattur, Siruseri, Tamil Nadu </t>
  </si>
  <si>
    <t>Sakshi Suresh Jadhav</t>
  </si>
  <si>
    <t>9579083950</t>
  </si>
  <si>
    <t>8208112883</t>
  </si>
  <si>
    <t>Sai Grand Ladies PG, 4/187, Periyaar Street, Egattur</t>
  </si>
  <si>
    <t>Sai Grand Ladies PG, 4/187, Periyaar Street, Egattur, Chennai, Tamilnadu - 600130</t>
  </si>
  <si>
    <t>Sweta Kumari</t>
  </si>
  <si>
    <t>7999832461</t>
  </si>
  <si>
    <t>9771011374</t>
  </si>
  <si>
    <t xml:space="preserve">Sai grand ladies pg, periyar street, uthandi, egattur, chengalpattu, tamil nadu, 600130  </t>
  </si>
  <si>
    <t>Smitesh Santosh Panchal</t>
  </si>
  <si>
    <t>8999681984</t>
  </si>
  <si>
    <t>8655841680</t>
  </si>
  <si>
    <t xml:space="preserve">Sai Grand Men Pg </t>
  </si>
  <si>
    <t>Sai Grand Men PG, 4/178 periyar street, OMR road, opposite to Marina Mall, Egattur, Chennai TamilNadu  600130</t>
  </si>
  <si>
    <t>Golla Madhusudhan</t>
  </si>
  <si>
    <t>8074832214</t>
  </si>
  <si>
    <t>9959630636</t>
  </si>
  <si>
    <t>Sai Grand Mens PG</t>
  </si>
  <si>
    <t>D.no:4/178,Periyar street, Egattur near sipcot Siruseri 600130</t>
  </si>
  <si>
    <t>Vemaneni Bhanu Prakash</t>
  </si>
  <si>
    <t>9392331494</t>
  </si>
  <si>
    <t>9618769060</t>
  </si>
  <si>
    <t>Sai Grand Mens Pg, Egattur</t>
  </si>
  <si>
    <t>Sai Grand Mens Pg, Periyar Street, Egattur ,TamilNadu=603103</t>
  </si>
  <si>
    <t>Sahana N Puthran</t>
  </si>
  <si>
    <t>8147499149</t>
  </si>
  <si>
    <t>Sai Grand PG</t>
  </si>
  <si>
    <t>Sai Grand Womens Pg Hostel,Periyar Street,Old Mahabalipuram Road,Egattur,Chennai,TamilNadu,600130</t>
  </si>
  <si>
    <t>Tumati Akshita</t>
  </si>
  <si>
    <t>7416126127</t>
  </si>
  <si>
    <t>9908012752</t>
  </si>
  <si>
    <t>Sai grand pg, dr ambedkar street , road beside subway , egattur .</t>
  </si>
  <si>
    <t>Sai grand pg, dr ambedkar street , road beside subway , egattur , siruseri , Tamil Nadu - 603103</t>
  </si>
  <si>
    <t>SEEMAKURTI CHANDANA PRIYA</t>
  </si>
  <si>
    <t>7793947116</t>
  </si>
  <si>
    <t>7893306402</t>
  </si>
  <si>
    <t>Sai Grand Womans PG</t>
  </si>
  <si>
    <t xml:space="preserve">Sai Grand pg for ladies, Anbagam building behind GangaiAmman koil Street, opposite to A2B restaurant, Old Mahabalipuram road,egattur,chennai, Tamilnadu ,600130  </t>
  </si>
  <si>
    <t xml:space="preserve">Hithaishi Yenupuri </t>
  </si>
  <si>
    <t>8985227619</t>
  </si>
  <si>
    <t>9398324825</t>
  </si>
  <si>
    <t xml:space="preserve">Sai Grand Women pg - anbagam building, koil amman street, behind gangai amman temple, egattur </t>
  </si>
  <si>
    <t>Sai Grand Women pg - anbagam building, koil amman street, behind gangai amman temple, egattur - 600031</t>
  </si>
  <si>
    <t>Neeli Sai Bhavithaa Sree</t>
  </si>
  <si>
    <t>9100756225</t>
  </si>
  <si>
    <t>6301527232</t>
  </si>
  <si>
    <t>Sai Grand Women Pg, 106, Gangai Amman Kovil Street, Egattur, Siruseri, Tamil Nadu - 603103</t>
  </si>
  <si>
    <t>S Shobha</t>
  </si>
  <si>
    <t>9490330857</t>
  </si>
  <si>
    <t>9441864217</t>
  </si>
  <si>
    <t>Sai grand Womens  PG Hostel, branch 1</t>
  </si>
  <si>
    <t>Sai Grand womens PG Hostel, 4/187,periyar street,old mahabalipuram road, egattur, chennai, TN 600120</t>
  </si>
  <si>
    <t>Paruchuru Naga Venkata Trishala</t>
  </si>
  <si>
    <t>9866532405</t>
  </si>
  <si>
    <t>9848172868</t>
  </si>
  <si>
    <t>sai grand womens hostel</t>
  </si>
  <si>
    <t>Sai Grand Womens Hostel, Gangai Amman Kovil St, Old Mahabalipuram Road, Egattur, Chennai, Tamil Nadu, 600130</t>
  </si>
  <si>
    <t>Varzhene Nithiyananthan</t>
  </si>
  <si>
    <t>7010224451</t>
  </si>
  <si>
    <t>7010224450</t>
  </si>
  <si>
    <t>Sai Grand Womens Hostel</t>
  </si>
  <si>
    <t>Sai Grand Womens Hostel, Gangai Amman Kovil Street, OMR, Egattur, Siruseri, Chennai - 600130</t>
  </si>
  <si>
    <t>Vinothini S</t>
  </si>
  <si>
    <t>9345475350</t>
  </si>
  <si>
    <t>9150661039</t>
  </si>
  <si>
    <t>Sai Grand Womens Hostel, Gangai Amman Kovil St, Old Mahabalipuram Road, Egattur, Siruseri, Tamil Nadu - 600130</t>
  </si>
  <si>
    <t>Narla Hymavathi</t>
  </si>
  <si>
    <t>8074503373</t>
  </si>
  <si>
    <t>7032897166</t>
  </si>
  <si>
    <t>Sai Grand Womens Hostel- Periyayl Street, Egattur</t>
  </si>
  <si>
    <t>MUSKAAN FATIMA</t>
  </si>
  <si>
    <t>9000594123</t>
  </si>
  <si>
    <t>9121907789</t>
  </si>
  <si>
    <t>SAI GRAND WOMENS HOSTEL, EGATTUR</t>
  </si>
  <si>
    <t>SAI GRAND WOMENS HOSTEL, DR AMBEDKAR STREET, EGATTUR, SIRUSERI, CHENGALPATTU, CHENNAI, TAMIL NADU</t>
  </si>
  <si>
    <t>Sai Grand Womens Hostel, Egattur</t>
  </si>
  <si>
    <t>Sai Grand Womens Hostel, Gangai Amman Kovil St, Old Mahabalipuram Road, Egattur, Chennai, Tamil Nadu - 600130</t>
  </si>
  <si>
    <t>Hansika P S</t>
  </si>
  <si>
    <t>9150314149</t>
  </si>
  <si>
    <t>9443276622</t>
  </si>
  <si>
    <t>Sai Grand Womens PG</t>
  </si>
  <si>
    <t>Gangai amman kovil st, OMR, Egattur, Chennai, Tamil Nadu - 600130</t>
  </si>
  <si>
    <t>Varshni N</t>
  </si>
  <si>
    <t>9842917170</t>
  </si>
  <si>
    <t>9787458745</t>
  </si>
  <si>
    <t>Sai grand womens pg</t>
  </si>
  <si>
    <t>Sai Grand Womens PG, Ambedkar Street, Egattur, Chennai, Tamil nadu-603103</t>
  </si>
  <si>
    <t>KADIYALA MOUNIKA</t>
  </si>
  <si>
    <t>9573186237</t>
  </si>
  <si>
    <t>6309924619</t>
  </si>
  <si>
    <t>sai grand womens pg</t>
  </si>
  <si>
    <t>Sai Grand Womens PG Hostel, 4/187, Periyar Street, Old Mahabalipuram Road, Egattur, Chennai, Tamil Nadu 600130</t>
  </si>
  <si>
    <t>Shilpa Shree N</t>
  </si>
  <si>
    <t>8050948934</t>
  </si>
  <si>
    <t>8904922974</t>
  </si>
  <si>
    <t>Gangai Amman Kovil street ,old mahabalipuram road, egattur, chennai 600130</t>
  </si>
  <si>
    <t>Barathi M</t>
  </si>
  <si>
    <t>8056387</t>
  </si>
  <si>
    <t>8056387366</t>
  </si>
  <si>
    <t xml:space="preserve">Sai grand womens pg </t>
  </si>
  <si>
    <t>Rutuja Satish Kohale</t>
  </si>
  <si>
    <t>9699090977</t>
  </si>
  <si>
    <t>9890416905</t>
  </si>
  <si>
    <t xml:space="preserve">Sai Grand womens pg </t>
  </si>
  <si>
    <t>Sri sai grand women pg 4/187 , beside moksha hostel egattur chennai</t>
  </si>
  <si>
    <t>Samminga Poojitha</t>
  </si>
  <si>
    <t>9391607410</t>
  </si>
  <si>
    <t>6300225180</t>
  </si>
  <si>
    <t xml:space="preserve">Sai Grand Womens PG </t>
  </si>
  <si>
    <t>Sai Grand Womens PG , Gangai Amman Kovil St, Old Mahabalipuram Road, Egattur ,Chennai , Tamil Nadu 600130</t>
  </si>
  <si>
    <t>Yarramaddu Manasa</t>
  </si>
  <si>
    <t>8143347114</t>
  </si>
  <si>
    <t>8309627863</t>
  </si>
  <si>
    <t>sai grand womens pg  - Branch 2, Egattur</t>
  </si>
  <si>
    <t>Sai Grand womens PG Brach 3, Gangai Amman Kovil Street, Egattur, SiruSeri, Tamilnadu-603103</t>
  </si>
  <si>
    <t>Jayasri Dirisala</t>
  </si>
  <si>
    <t>9980754317</t>
  </si>
  <si>
    <t>9740594176</t>
  </si>
  <si>
    <t>Sai grand womens Pg  Ambedkar Street -Egattur Chennai</t>
  </si>
  <si>
    <t>Sai Grand Womens Pg  - Ambedkar Street , Egattur</t>
  </si>
  <si>
    <t>Hemnaveetha C E</t>
  </si>
  <si>
    <t>9442244588</t>
  </si>
  <si>
    <t>8248448327</t>
  </si>
  <si>
    <t>Sai Grand Womens PG - Ambedkar Street, Egattur</t>
  </si>
  <si>
    <t>Sai Grand Womens PG, Ambedkar Street, Egattur, Siruseri, Chennai, Tamil nadu-603103</t>
  </si>
  <si>
    <t>Swapna C Hegade</t>
  </si>
  <si>
    <t>8217243368</t>
  </si>
  <si>
    <t>9611582736</t>
  </si>
  <si>
    <t>Sai Grand Womens PG - Branch 2, Egattur</t>
  </si>
  <si>
    <t>Sai Grand Womens PG, Branch 2, Dr Ambedkar St, Egattur, Siruseri, Chennai, TamilNadu</t>
  </si>
  <si>
    <t>Sai Grand Womens PG - Branch 3, Egattur</t>
  </si>
  <si>
    <t>Sai Grand Womens PG, Brach 3, Gangai Amman Kovil Street, Egattur , Siruseri, Tamil Nadu -603103</t>
  </si>
  <si>
    <t>Vanshika Jain</t>
  </si>
  <si>
    <t>8660261581</t>
  </si>
  <si>
    <t>9844161314</t>
  </si>
  <si>
    <t>Sai Grand Womens PG - Dr Ambedkar Street , Egattur</t>
  </si>
  <si>
    <t>Sai Grand Womens PG - Dr Ambedkar Street , Egattur, Siruseri, Tamil Nadu - 603103</t>
  </si>
  <si>
    <t>Ahalya G</t>
  </si>
  <si>
    <t>7904318464</t>
  </si>
  <si>
    <t>7639054391</t>
  </si>
  <si>
    <t>Sai grand womens PG - Nest branch, near venkateshwar super market, Navalur.</t>
  </si>
  <si>
    <t>Sai grand womens PG, Nest branch, Near venkateshwar super market, Navalur, Tamilnadu - 600130</t>
  </si>
  <si>
    <t>Samantula Vasudha</t>
  </si>
  <si>
    <t>6305742451</t>
  </si>
  <si>
    <t>9441467778</t>
  </si>
  <si>
    <t>Sai Grand Womens PG (Ambedkar Street)</t>
  </si>
  <si>
    <t>Sai Grand Womens PG, Dr Ambedkar Street, Egattur, Siruseri, TamilNadu-603103</t>
  </si>
  <si>
    <t>Sravanthi Pasagadugula</t>
  </si>
  <si>
    <t>9014573349</t>
  </si>
  <si>
    <t>9949713238</t>
  </si>
  <si>
    <t>Sai Grand Womens PG (Ambedkar street), Dr Ambedkar St, Egattur</t>
  </si>
  <si>
    <t xml:space="preserve">Sai Grand Womens PG (Ambedkar street), Dr Ambedkar St, Egattur, Chennai, Tamil Nadu 603103  </t>
  </si>
  <si>
    <t>Killamsetty Reshma</t>
  </si>
  <si>
    <t>6300781696</t>
  </si>
  <si>
    <t>6304443778</t>
  </si>
  <si>
    <t>Sai Grand Womens PG (Ambedkar street), Dr Ambedkar St, Egattur, Chennai, Tamil Nadu 603103</t>
  </si>
  <si>
    <t>Sonia Mondal</t>
  </si>
  <si>
    <t>9123058584</t>
  </si>
  <si>
    <t>8420129720</t>
  </si>
  <si>
    <t>Sai Grand Womens PG (Ambedkar Street), Egatur.</t>
  </si>
  <si>
    <t>Sai Grand Womens PG (Ambedkar Street), Egatur, Siruseri,Tamil Nadu - 603103</t>
  </si>
  <si>
    <t>Neha Vyshnavi Satram</t>
  </si>
  <si>
    <t>9989609175</t>
  </si>
  <si>
    <t>9618104149</t>
  </si>
  <si>
    <t>Sai Grand Womens PG , Branch 3, Egattur</t>
  </si>
  <si>
    <t>Kandepalli Yogasri</t>
  </si>
  <si>
    <t>9381128459</t>
  </si>
  <si>
    <t>8465908809</t>
  </si>
  <si>
    <t>Sai Grand Womens PG Branch - 1</t>
  </si>
  <si>
    <t>Sai Grand Womens Hostel, Gangai Amman Kovil St, Old Mahabalipuram Road, Egattur, Chennai, Tamil Nadu 600130</t>
  </si>
  <si>
    <t>Kudiguntolu Bhavani</t>
  </si>
  <si>
    <t>8247464702</t>
  </si>
  <si>
    <t>9177628072</t>
  </si>
  <si>
    <t>Sai Grand Womens PG Hostel</t>
  </si>
  <si>
    <t>4/187, Periyar Street,Old Mahabalipuram Road, Egattur, Chennai, Tamilnadu, 603103</t>
  </si>
  <si>
    <t>Kanike Gowthami</t>
  </si>
  <si>
    <t>9390245679</t>
  </si>
  <si>
    <t>8341233999</t>
  </si>
  <si>
    <t>Pathma Shree S R</t>
  </si>
  <si>
    <t>7338773812</t>
  </si>
  <si>
    <t>8015438031</t>
  </si>
  <si>
    <t>Sai Grand Womens PG Hostel(Branch 1) -4/187, Periyar Street, OMR, Egattur, Chennai, Tamil Nadu 600130</t>
  </si>
  <si>
    <t>Balaka Malliswari</t>
  </si>
  <si>
    <t>9014794018</t>
  </si>
  <si>
    <t>8985186807</t>
  </si>
  <si>
    <t>Sai Grand womens PG Hostel, Egattur.</t>
  </si>
  <si>
    <t>Nishtha Gupta</t>
  </si>
  <si>
    <t>9936754959</t>
  </si>
  <si>
    <t>7652064404</t>
  </si>
  <si>
    <t>Sai Grand Womens pg hostel, Periyar Street, Old Mahabalipuram Road, Egattur, Chennai, Tamil Nadu.</t>
  </si>
  <si>
    <t>Sai Grand Womens pg hostel, Periyar Street, Old Mahabalipuram Road, Egattur, Chennai, Tamil Nadu-603103.</t>
  </si>
  <si>
    <t>Asma Mohammad</t>
  </si>
  <si>
    <t>8639837910</t>
  </si>
  <si>
    <t>9652028289</t>
  </si>
  <si>
    <t>Sai Grand Womens PG New branch(Ambedkar Street), Dr Ambedkar St, Egattur, Chennai, Tamil Nadu 603103</t>
  </si>
  <si>
    <t>Palak Jain</t>
  </si>
  <si>
    <t>8949764864</t>
  </si>
  <si>
    <t>7240203003</t>
  </si>
  <si>
    <t>Sai Grand Womens PG, Ambedkar Street</t>
  </si>
  <si>
    <t>Sai grand womens PG, Ambedkar street, Egattur, Chennai 601013</t>
  </si>
  <si>
    <t>Ananya Keshava</t>
  </si>
  <si>
    <t>8217272536</t>
  </si>
  <si>
    <t>9448762574</t>
  </si>
  <si>
    <t>Sai grand womens PG, Ambedkar street, Egattur</t>
  </si>
  <si>
    <t>Sai grand womens PG, Ambedkar street, Egattur, Siruseri, Chennai 601013</t>
  </si>
  <si>
    <t>Sai Grand Womens PG, Ambedkar Street, Egattur</t>
  </si>
  <si>
    <t>Sinchana D K</t>
  </si>
  <si>
    <t>7892880801</t>
  </si>
  <si>
    <t>9449646388</t>
  </si>
  <si>
    <t>Sai Grand Womens PG, Anbakam Building, Gangai Amman Kovil Street, Egattur, Siruseri, Chennai</t>
  </si>
  <si>
    <t>Aparna Sree Sowmya Dhulipala</t>
  </si>
  <si>
    <t>7995745007</t>
  </si>
  <si>
    <t>9000745007</t>
  </si>
  <si>
    <t>Sai Grand womens pg, beside subway Egattur.</t>
  </si>
  <si>
    <t>Sai Grand womens pg, beside subway, Ambedkar street, Egattur, 603103, chennai</t>
  </si>
  <si>
    <t>Sai Grand Womens PG, Branch 3, Egattur</t>
  </si>
  <si>
    <t>Sriya Amudalapalli</t>
  </si>
  <si>
    <t>8008768725</t>
  </si>
  <si>
    <t>9849444707</t>
  </si>
  <si>
    <t>Sai Grand Womens PG, Dr Ambedkar St, Egattur, Chennai, Tamil Nadu 603103</t>
  </si>
  <si>
    <t>Mandha Sahithi Reddy</t>
  </si>
  <si>
    <t>8919522051</t>
  </si>
  <si>
    <t>9177770131</t>
  </si>
  <si>
    <t>Sai Grand Womens PG, Egattur</t>
  </si>
  <si>
    <t>4/187, Ambedkar Street, Old Mahabalipuram Road, Egattur, Chennai, Tamil Nadu 600130</t>
  </si>
  <si>
    <t>Sanjana Kothari</t>
  </si>
  <si>
    <t>8447667735</t>
  </si>
  <si>
    <t>8587071052</t>
  </si>
  <si>
    <t>Sai Grand Womens PG, Dr Ambedkar Street, Egattur, Chennai, Tamil Nadu-603103</t>
  </si>
  <si>
    <t>P Dedeepya</t>
  </si>
  <si>
    <t>9392532216</t>
  </si>
  <si>
    <t>9441450251</t>
  </si>
  <si>
    <t>Sai Grand womens PG, siruseri</t>
  </si>
  <si>
    <t>Sai Grand PG for womens, Gangai Amman Kovil Street, Egattur, Siruseri, Tamil Nadu - 603103</t>
  </si>
  <si>
    <t>SANGHAMITRA DASH</t>
  </si>
  <si>
    <t>8144056279</t>
  </si>
  <si>
    <t>9668827610</t>
  </si>
  <si>
    <t>SAI GRAND WOMENS PG,4/187, PERIYAR STREET, NEAR SIRUSERI SIPCOT IT PARK, EGATTUR, CHENNAI,600130</t>
  </si>
  <si>
    <t>Sangati Harshitha</t>
  </si>
  <si>
    <t>Brother</t>
  </si>
  <si>
    <t>Office Transport</t>
  </si>
  <si>
    <t>Sai Grand Women's pg,Egattur</t>
  </si>
  <si>
    <t>Sai Grand Women's pg,Branch II- Gangai Amman Kovil Street, Egattur, Chennai - 603103</t>
  </si>
  <si>
    <t>Daggupati Nirali</t>
  </si>
  <si>
    <t>6301601512</t>
  </si>
  <si>
    <t>9440593071</t>
  </si>
  <si>
    <t>Sai Grand Womens Pg-3,Siruseri</t>
  </si>
  <si>
    <t>247, Dr Ambedkar Street, Siruseri,Tamil Nadu-603103</t>
  </si>
  <si>
    <t>Indu N</t>
  </si>
  <si>
    <t>8861230159</t>
  </si>
  <si>
    <t>6360005025</t>
  </si>
  <si>
    <t>Sai Grand womens PG-branch 1, Egattur</t>
  </si>
  <si>
    <t xml:space="preserve"> Sai Grand womens PG-branch-1, 4/187, Periyar Street, Old Mahabalipuram road, Egattur, Siruseri, Tamil Nadu - 6300130</t>
  </si>
  <si>
    <t>Sai Grand Womens PG-Branch 3, Egattur</t>
  </si>
  <si>
    <t>Sai Grand Womens PG, Branch 3, Gangai Amman Kovil Street, Egattur , SiruSeri,, Tamil Nadu -603103</t>
  </si>
  <si>
    <t>N Amzad Ali</t>
  </si>
  <si>
    <t>9030715582</t>
  </si>
  <si>
    <t>6309407543</t>
  </si>
  <si>
    <t>Sai Grands Mens PG ,Karapakam</t>
  </si>
  <si>
    <t>Sai Grands Mens PG ,  Karapakam</t>
  </si>
  <si>
    <t>Mugunthan Ravi</t>
  </si>
  <si>
    <t>9025634303</t>
  </si>
  <si>
    <t>8940018202</t>
  </si>
  <si>
    <t>Sai Grands Mens PG, Egattur</t>
  </si>
  <si>
    <t xml:space="preserve"> Sai Grands Mens PG, 4/178, Periyar Street, Egattur, Chennai, Tamil Nadu, 603103</t>
  </si>
  <si>
    <t>Vara Sivapavani</t>
  </si>
  <si>
    <t>9398263425</t>
  </si>
  <si>
    <t>7601006990</t>
  </si>
  <si>
    <t>Sai Grands Women PG, Siruseri</t>
  </si>
  <si>
    <t>Sai Grands Women PG, Anbagam Building, 206, Gangai Amman Kovil Street, Egattur, Siruseri, Chennai</t>
  </si>
  <si>
    <t>Nallanagula Divya Sri</t>
  </si>
  <si>
    <t>8019136348</t>
  </si>
  <si>
    <t>8099560874</t>
  </si>
  <si>
    <t>Sai Grands Women PG-Branch 2 ,Egattur</t>
  </si>
  <si>
    <t>Sai Grands Women PG-Branch 2, Dr Ambedkar St, Egattur, Chennai, Tamil Nadu 603103</t>
  </si>
  <si>
    <t>sai manisha veliginti</t>
  </si>
  <si>
    <t>7893735441</t>
  </si>
  <si>
    <t>9441047396</t>
  </si>
  <si>
    <t>sai grands womens hostel</t>
  </si>
  <si>
    <t>sai grands womens hostel, periyar street, tamil nadu</t>
  </si>
  <si>
    <t>sai grands women hostel, periyar street, egattur, tamil nadu</t>
  </si>
  <si>
    <t>Thummuri Bhagya Rajasri</t>
  </si>
  <si>
    <t>7981275123</t>
  </si>
  <si>
    <t>9492049843</t>
  </si>
  <si>
    <t>Sai Grands Womens PG Hostel-Branch 3, Egattur</t>
  </si>
  <si>
    <t>Sai Grands Womens PG Hostel, Branch 3, Ambakam Building, Periyar Street, Old Mahabalipuram Road, Egattur, Chennai, Tamil Nadu 600130</t>
  </si>
  <si>
    <t>Sai Grands womens PG, Egattur</t>
  </si>
  <si>
    <t>Sai Grands womens PG, Dr Ambedkar St, Egattur, Chennai, Tamil Nadu 603103</t>
  </si>
  <si>
    <t>Manonmani M</t>
  </si>
  <si>
    <t>9345265736</t>
  </si>
  <si>
    <t>8056949589</t>
  </si>
  <si>
    <t>Sai Kripa ladies Pg</t>
  </si>
  <si>
    <t>R6QH+42V Sai Kripa ladies pg, Dr Ambedkar St, near Zaitoon Restaurant, Egattur, chennai, Tamil Nadu -600130</t>
  </si>
  <si>
    <t>Bhakti Bhiwaji Suryawanshi</t>
  </si>
  <si>
    <t>8080980695</t>
  </si>
  <si>
    <t>9503923791</t>
  </si>
  <si>
    <t>Sai Kripa Pg Navalur</t>
  </si>
  <si>
    <t>Sai Kripa girls PG , ambedkar street Navalur</t>
  </si>
  <si>
    <t>9325496292</t>
  </si>
  <si>
    <t>Sai Krupa Accomundation Amberdkar Street</t>
  </si>
  <si>
    <t>Sai Krupa Accomundation Amberdkar Street navlur</t>
  </si>
  <si>
    <t>Chaithra M</t>
  </si>
  <si>
    <t>8870806019</t>
  </si>
  <si>
    <t>9384208231</t>
  </si>
  <si>
    <t>Sai Rama Sai Ladies PG Branch 1,Egattur</t>
  </si>
  <si>
    <t>Sai Rama Sai Ladies PG Branch 1, Gangai Amman Kovil Street, Egattur, Siruseri, Tamil Nadu - 603103</t>
  </si>
  <si>
    <t>Kartik Subhash Surwase</t>
  </si>
  <si>
    <t>9307728517</t>
  </si>
  <si>
    <t>7972891253</t>
  </si>
  <si>
    <t>Sai saravana gents hostel, egatur</t>
  </si>
  <si>
    <t>Sai saravana gents hostel, behind marina mall, egattur, chennai tamil nadu 600130</t>
  </si>
  <si>
    <t>sai saravana pg gents hostel, egatur</t>
  </si>
  <si>
    <t>sai saravana pg gents hostel, near marina mall, egattur chennai tamil nadu 600130</t>
  </si>
  <si>
    <t>Pratiksha Balbhim Bhosale</t>
  </si>
  <si>
    <t>8799515646</t>
  </si>
  <si>
    <t xml:space="preserve">Sai Teja </t>
  </si>
  <si>
    <t>Gangai Amman Kovil Street,Egattur,siruseri</t>
  </si>
  <si>
    <t>Vabilisetty Padmasri Sanjana</t>
  </si>
  <si>
    <t>9701468616</t>
  </si>
  <si>
    <t>9849858225</t>
  </si>
  <si>
    <t>Sai Teja Ladies Hostel</t>
  </si>
  <si>
    <t>4/201, Gangai Amman Kovil Street, Egattur, Siruseri, Tamil Nadu - 603103</t>
  </si>
  <si>
    <t>Chaitali Tatyasaheb Jadhav</t>
  </si>
  <si>
    <t>9325111865</t>
  </si>
  <si>
    <t>9529957490</t>
  </si>
  <si>
    <t>Sai Teja Ladies PG, Egattur</t>
  </si>
  <si>
    <t>Sai Teja Ladies PG, periyar street, uthandi, Egattur, Chennai, Tamilnadu</t>
  </si>
  <si>
    <t>Deeksha K</t>
  </si>
  <si>
    <t>9945479604</t>
  </si>
  <si>
    <t>9019945766</t>
  </si>
  <si>
    <t>Sai Teja Luxury Women Hostel</t>
  </si>
  <si>
    <t>4/201, Sai Teja Luxury Women Hostel, Gangai Amman Kovil St, Near Periyar St, Egattur, Navalur, Chengalpattu District, Tamil Nadu 600130</t>
  </si>
  <si>
    <t>Ashitha M</t>
  </si>
  <si>
    <t>8618177745</t>
  </si>
  <si>
    <t>9008033793</t>
  </si>
  <si>
    <t>Sai Teja Luxury Women Hostel, Periyar street, Egattur, Siruseri,  Chennai</t>
  </si>
  <si>
    <t>POOJA E</t>
  </si>
  <si>
    <t>9363090781</t>
  </si>
  <si>
    <t>9965115739</t>
  </si>
  <si>
    <t>Sai Teja luxury Womens hostel</t>
  </si>
  <si>
    <t>Egattur, chennai</t>
  </si>
  <si>
    <t>Asma S</t>
  </si>
  <si>
    <t>8072705897</t>
  </si>
  <si>
    <t>9789002917</t>
  </si>
  <si>
    <t>Sai Teja Luxury Womens Hostel</t>
  </si>
  <si>
    <t>4/201, MGR Street, Egattur, Chennai-600130</t>
  </si>
  <si>
    <t xml:space="preserve">Bhumika N </t>
  </si>
  <si>
    <t>9980680871</t>
  </si>
  <si>
    <t>8861287109</t>
  </si>
  <si>
    <t>Sai Teja Luxury Womens Hostel, Siruseri</t>
  </si>
  <si>
    <t>Sai Teja Luxury Womens Hostel, 2/401, Gangai Amman Kovil Street, Egattur, Siruseri, Tamil Nadu-603103</t>
  </si>
  <si>
    <t>Marachi Aishwarya</t>
  </si>
  <si>
    <t>8374450234</t>
  </si>
  <si>
    <t>9493360463</t>
  </si>
  <si>
    <t>Sai teja PG,Egattur</t>
  </si>
  <si>
    <t>Sai teja PG,Egattur,periyar street,siruseri,tamilnadu-603103</t>
  </si>
  <si>
    <t>MUKTHAPURAM VYSHNAVI</t>
  </si>
  <si>
    <t>8247705228</t>
  </si>
  <si>
    <t>9491017235</t>
  </si>
  <si>
    <t>Sai Theja Luxury Ladies PG, Eggatur</t>
  </si>
  <si>
    <t>Sai Theja Luxury Ladires PG , D.No 4/184- Dr. Ambedkar Street, Egattur</t>
  </si>
  <si>
    <t>V AMARMATH</t>
  </si>
  <si>
    <t>6300360662</t>
  </si>
  <si>
    <t>9652067105</t>
  </si>
  <si>
    <t>SAI VENKATA HAMUNA PG,PERIYAR STREET,EGATTUR</t>
  </si>
  <si>
    <t>SAI VENKATA HAMUNA PG,PERIYAR STREET, 4/191, Chennai, Egattur, Tamil Nadu 600130</t>
  </si>
  <si>
    <t>Aditya Dhiraj Powar</t>
  </si>
  <si>
    <t>9527827006</t>
  </si>
  <si>
    <t>9595531616</t>
  </si>
  <si>
    <t>Sai Venkata Hanuman Gents PG, Egattur</t>
  </si>
  <si>
    <t>Sai Venkata Hanuman Gents PG, Egattur, Siruseri, Tamil Nadu</t>
  </si>
  <si>
    <t>Vyshnavi Belide</t>
  </si>
  <si>
    <t>8074112145</t>
  </si>
  <si>
    <t>8309338375</t>
  </si>
  <si>
    <t>SaiGrand Womens PG -Branch new ,Egatur,Siruseri,Tamil Nadu - 603103</t>
  </si>
  <si>
    <t>JAMI SOWJANYA</t>
  </si>
  <si>
    <t>9182260796</t>
  </si>
  <si>
    <t>9390438471</t>
  </si>
  <si>
    <t>SAIRAM LADIES HOSTEL</t>
  </si>
  <si>
    <t>SAIRAM LADIES HOSTEL, Netaji St, Navalur, Tamil Nadu - 600130</t>
  </si>
  <si>
    <t>SAIRAM LADIES HOSTEL, near KFC, Netaji St, Navalur, Tamil Nadu - 600130</t>
  </si>
  <si>
    <t>Sarathi R M</t>
  </si>
  <si>
    <t>9442045578</t>
  </si>
  <si>
    <t>9751256578</t>
  </si>
  <si>
    <t>Sambaths home No.16 Taramani</t>
  </si>
  <si>
    <t>16, Ramasamy street, Taramani - 600113</t>
  </si>
  <si>
    <t>Taramani</t>
  </si>
  <si>
    <t>Hariharan Manikandan</t>
  </si>
  <si>
    <t>8825849588</t>
  </si>
  <si>
    <t>9865169327</t>
  </si>
  <si>
    <t>Sangara bhakathan street</t>
  </si>
  <si>
    <t>Sangara bhakthan st, nammazhvar pet, ayanavaram signal</t>
  </si>
  <si>
    <t>Ayanavaram</t>
  </si>
  <si>
    <t>Sangara bhakthan st</t>
  </si>
  <si>
    <t>Sangara bhakathan st, nammazhvar pet, ayanavaram signal 600023.</t>
  </si>
  <si>
    <t>GAYATHRI J</t>
  </si>
  <si>
    <t>7356232699</t>
  </si>
  <si>
    <t>9176067809</t>
  </si>
  <si>
    <t>SANTHA TOWERS PARUTHIPATTU AVADI</t>
  </si>
  <si>
    <t>401 L BOCK SANTHA TOWERS PARUTHIPATTU AVADI</t>
  </si>
  <si>
    <t>PORUR</t>
  </si>
  <si>
    <t>Dhivakar</t>
  </si>
  <si>
    <t>9943164398</t>
  </si>
  <si>
    <t>9095767119</t>
  </si>
  <si>
    <t>Saravan Mens PG, Egattur</t>
  </si>
  <si>
    <t>Saravana Mens PG, Next street to marina mall, Egattur</t>
  </si>
  <si>
    <t>taher samir kazi</t>
  </si>
  <si>
    <t>9960348635</t>
  </si>
  <si>
    <t>9822783900</t>
  </si>
  <si>
    <t>Saravana Gents Pg Egattur</t>
  </si>
  <si>
    <t xml:space="preserve">Sri Saravana Gents PG, Shirlley avenue, Egattur , Near Marina Mall Egattur Chennai 600130 </t>
  </si>
  <si>
    <t>Pratik Santosh Kulkarni</t>
  </si>
  <si>
    <t>8530705124</t>
  </si>
  <si>
    <t>9860052124</t>
  </si>
  <si>
    <t>Saravana PG mens, Egattur</t>
  </si>
  <si>
    <t>Saravana PG Mens, behind Marina mall, besides three points recedency, Egattur, Chennai, Tamilnadu 603103</t>
  </si>
  <si>
    <t>Sahil Gupta</t>
  </si>
  <si>
    <t>8340485478</t>
  </si>
  <si>
    <t>7262944525</t>
  </si>
  <si>
    <t>Sarvana Gents PG</t>
  </si>
  <si>
    <t>Sarvana Gents PG Egattur Siruseri Chennai Tamil Nadu - 603103</t>
  </si>
  <si>
    <t>Vaibhav Nivrutti Dhawale</t>
  </si>
  <si>
    <t>9529926601</t>
  </si>
  <si>
    <t xml:space="preserve">Sarvana Gents PG Egattur </t>
  </si>
  <si>
    <t>Sarvana Gents PG Near Marina Mall Egattur Siruseri Chennai Tamil Nadu - 603103</t>
  </si>
  <si>
    <t>Vishal Prajapat</t>
  </si>
  <si>
    <t>9826543414</t>
  </si>
  <si>
    <t>9713285868</t>
  </si>
  <si>
    <t>Sarvana mens Pg</t>
  </si>
  <si>
    <t>Sarvana Mens PG, Egattur, behind marina mall Siruseri, Tamil Nadu  603103</t>
  </si>
  <si>
    <t>on any emergency before calling to my relative parent better to call on my roommate number  - 8867151240 ( Varshit -s)</t>
  </si>
  <si>
    <t>Avishkar Sunil Anpat</t>
  </si>
  <si>
    <t>8767696255</t>
  </si>
  <si>
    <t>7058468193</t>
  </si>
  <si>
    <t>Seevram</t>
  </si>
  <si>
    <t>Jayshree ladies PG Thoriapkkam</t>
  </si>
  <si>
    <t>VAKA KALYANI</t>
  </si>
  <si>
    <t>6305246292</t>
  </si>
  <si>
    <t>7995242115</t>
  </si>
  <si>
    <t>Selvis Ladies Pg,Navalur</t>
  </si>
  <si>
    <t>Selvis Ladies pg,Navalur,chennai</t>
  </si>
  <si>
    <t>Ranjitha Rajagopalan</t>
  </si>
  <si>
    <t>9710797120</t>
  </si>
  <si>
    <t>9710255412</t>
  </si>
  <si>
    <t>Sembakkam, near Sri Om medicals</t>
  </si>
  <si>
    <t>Plot No 434A, Door No 33, 1st main road, Thirumalai nagar, Chitlapakkam, Sembakkam, Chennai- 64.</t>
  </si>
  <si>
    <t>Sembakkam</t>
  </si>
  <si>
    <t>Bachu Sai Smitha</t>
  </si>
  <si>
    <t>9652382118</t>
  </si>
  <si>
    <t>8247267051</t>
  </si>
  <si>
    <t>Shanmugas ladies PG, Egattur</t>
  </si>
  <si>
    <t>Shanmugas ladies PG, Vembuliamman Koil Street, Sipcot, Siruseri, Egattur, Tamil Nadu, 603103</t>
  </si>
  <si>
    <t>Riya Dubey</t>
  </si>
  <si>
    <t>7385215046</t>
  </si>
  <si>
    <t>9766950466</t>
  </si>
  <si>
    <t>Shanmugas Ladies PG,Egattur</t>
  </si>
  <si>
    <t>Shanmugas ladies PG, Natham link Road,Egattur,Siruseri,Tamil Nadu-603103</t>
  </si>
  <si>
    <t>Nope</t>
  </si>
  <si>
    <t>Bala S</t>
  </si>
  <si>
    <t>7010253537</t>
  </si>
  <si>
    <t>9095412682</t>
  </si>
  <si>
    <t>shasara PG</t>
  </si>
  <si>
    <t>Shasara pg, 312, adjacent technopark , opp to vivra mall , navalur ,chennai</t>
  </si>
  <si>
    <t>uday janardhan shaharwale</t>
  </si>
  <si>
    <t>7821893947</t>
  </si>
  <si>
    <t>9922353955</t>
  </si>
  <si>
    <t>Shiva Sai (SS) gents pg, 7th cross street, phase 3, Egatur, Siruseri, Tamil Nadu 603103</t>
  </si>
  <si>
    <t>Harsh Kumar</t>
  </si>
  <si>
    <t>8882003376</t>
  </si>
  <si>
    <t>8506882902</t>
  </si>
  <si>
    <t>Shiva Sai Gents PG</t>
  </si>
  <si>
    <t>Shiva Sai Gents PG, SIPCOT IT Park, Siruseri, Tamil Nadu - 603103</t>
  </si>
  <si>
    <t>Shiva Sai Gents PG, SIPCOT IT PARK, Siruseri, Tamil Nadu - 603103</t>
  </si>
  <si>
    <t>shiva sia SS gents pg, egattur , tamilnadu</t>
  </si>
  <si>
    <t>Shyam Sundhar S</t>
  </si>
  <si>
    <t>9384750414</t>
  </si>
  <si>
    <t>9894996103</t>
  </si>
  <si>
    <t>Shivam Living Grandeur</t>
  </si>
  <si>
    <t>4/150, Omr Main Road, Egattur, Siruseri, Tamil Nadu -603103</t>
  </si>
  <si>
    <t>Rakesh Kumar V S</t>
  </si>
  <si>
    <t>9360737077</t>
  </si>
  <si>
    <t>9842011252</t>
  </si>
  <si>
    <t>Shivam Living pg</t>
  </si>
  <si>
    <t>4/150a 34, Rajiv Gandhi Salai (OMR Road), Egattur, Chennai - 603103</t>
  </si>
  <si>
    <t>Giri Aswin R</t>
  </si>
  <si>
    <t>7339691814</t>
  </si>
  <si>
    <t>9976992001</t>
  </si>
  <si>
    <t>Shivam Living, Egattur</t>
  </si>
  <si>
    <t>Shivam Living, Branch I, Rajiv Gandhi Salai, Egattur, Siruseri, Tamil Nadu</t>
  </si>
  <si>
    <t>Malla babi durga jogiraju</t>
  </si>
  <si>
    <t>6304018618</t>
  </si>
  <si>
    <t>9014966797</t>
  </si>
  <si>
    <t>Sholingnallur,Gardencity.Dlf Towers</t>
  </si>
  <si>
    <t>Sholingnallor,Garden city,Dlf Towers 630001</t>
  </si>
  <si>
    <t>Vadde Indusree</t>
  </si>
  <si>
    <t>9392353463</t>
  </si>
  <si>
    <t>9392586709</t>
  </si>
  <si>
    <t>Shree Lakshmi venkateshwara Ladies PG, Egattur</t>
  </si>
  <si>
    <t>Shree Lakshmi venkateshwara Ladies PG, Gangai Amman koil street, Egattur 600130</t>
  </si>
  <si>
    <t>Sana Ahmmed Shaik</t>
  </si>
  <si>
    <t>7793902488</t>
  </si>
  <si>
    <t>9959903801</t>
  </si>
  <si>
    <t>shree pg navalur</t>
  </si>
  <si>
    <t>Shaik Mohammed Arif</t>
  </si>
  <si>
    <t>9440777014</t>
  </si>
  <si>
    <t>Shree PG, Mayana Salai street, Navalur.</t>
  </si>
  <si>
    <t>Shree PG, Mayana Salai street, Navalur, Tamil Nadu - 600130.</t>
  </si>
  <si>
    <t>Saurabh Sanjay Jaiswal</t>
  </si>
  <si>
    <t>7057484824</t>
  </si>
  <si>
    <t>7057150100</t>
  </si>
  <si>
    <t>shree venakanteshwara luxury pg for gents, Navalur</t>
  </si>
  <si>
    <t>shree venakanteshwara luxury pg for gents, sambalal st,behind vegetable market ,navalur, tamil nadu 600130</t>
  </si>
  <si>
    <t>Vishal Balappa Morakar</t>
  </si>
  <si>
    <t>8050462944</t>
  </si>
  <si>
    <t>8951353766</t>
  </si>
  <si>
    <t>Shree Venkat ganesh Mens PG Egattur.</t>
  </si>
  <si>
    <t>St Thomas Road Egattur  600130</t>
  </si>
  <si>
    <t>Shree Venkat Ganesh Mens PG Egattur.</t>
  </si>
  <si>
    <t>St Thomas, Street Egattur 600130</t>
  </si>
  <si>
    <t>St Thomas, Street Egattur 600130.</t>
  </si>
  <si>
    <t>Rushikesh Vitthal Divate</t>
  </si>
  <si>
    <t>8379952279</t>
  </si>
  <si>
    <t>7719842224</t>
  </si>
  <si>
    <t>Shree Venkateshwar Luxury PG - Branch 1, Navallur</t>
  </si>
  <si>
    <t xml:space="preserve">Shree Venkateshwar Luxury PG, Street Navallur , Tamil Nadu 600130 </t>
  </si>
  <si>
    <t>Amar Amol Garad</t>
  </si>
  <si>
    <t>7822856753</t>
  </si>
  <si>
    <t>9604719601</t>
  </si>
  <si>
    <t>shree venkateshwar luxury pg for gents</t>
  </si>
  <si>
    <t>venkateshwar pg sambalal st,behind vegitable market,navallur,tamil nadu,600130</t>
  </si>
  <si>
    <t xml:space="preserve">Abhishek Appasaheb Salunke </t>
  </si>
  <si>
    <t>8767959290</t>
  </si>
  <si>
    <t>7387739924</t>
  </si>
  <si>
    <t>Shree Venkateshwara luxury pg for gents</t>
  </si>
  <si>
    <t>D-1/334, Sambalal St, Behind Vegetable Market, Navalur, Chennai, Tamil Nadu-600130, India</t>
  </si>
  <si>
    <t>Sumit Yogesh Sinare</t>
  </si>
  <si>
    <t>8261828235</t>
  </si>
  <si>
    <t>7299920503</t>
  </si>
  <si>
    <t>Shree Venkateshwara Luxury PG for gents</t>
  </si>
  <si>
    <t>D-1/334, Sambalal St, behind vegetable Market, Navalur, Tamil Nadu-600130</t>
  </si>
  <si>
    <t>Tejas Chandrakant Kadam</t>
  </si>
  <si>
    <t>8007060351</t>
  </si>
  <si>
    <t>9730943722</t>
  </si>
  <si>
    <t>SHREE VENKATESHWARA LUXURY PG FOR GENTS, Sambalal Street, Behind Vegetable Market, Navlur, Tamil Nadu.</t>
  </si>
  <si>
    <t>Anwer Shamim</t>
  </si>
  <si>
    <t>7903733771</t>
  </si>
  <si>
    <t>9031743429</t>
  </si>
  <si>
    <t>Shree,navalur</t>
  </si>
  <si>
    <t>h.no2/305 indira gandhi street,vijaya ganpathi nagar sardar patel road,sh 49A,navalur,chennai,tamil nadu600130</t>
  </si>
  <si>
    <t>Sathyam Kumar</t>
  </si>
  <si>
    <t>8778184076</t>
  </si>
  <si>
    <t>7092100036</t>
  </si>
  <si>
    <t>Shri Lakshmi PG for Gents - H, 1/128, Sardar Patel St, Navalur, Chennai, Tamil Nadu 600130</t>
  </si>
  <si>
    <t>Saurabh Yograj Vaidya</t>
  </si>
  <si>
    <t>9373721156</t>
  </si>
  <si>
    <t>9673139608</t>
  </si>
  <si>
    <t xml:space="preserve">Shri Lakshmi Venkateshwara Gents PG </t>
  </si>
  <si>
    <t>Shri Lakshmi Venkateshwara Gents PG, Gangai Amman Kovil Street, Egattur, Siruseri, Tamil Nadu - 603103</t>
  </si>
  <si>
    <t>Prajwal Digambar K</t>
  </si>
  <si>
    <t>7774021847</t>
  </si>
  <si>
    <t>8698098315</t>
  </si>
  <si>
    <t>Shri Lakshmi Venkateshwara Gents PG ,Gangai Amman Kovil Street, Egattur, Siruseri, Tamil Nadu - 603103  near Pasanga Paradise gents PG</t>
  </si>
  <si>
    <t>Aakash Raj</t>
  </si>
  <si>
    <t>6206871188</t>
  </si>
  <si>
    <t>7992325475</t>
  </si>
  <si>
    <t>Shri Laxami Narayan Gents Pg Sambhal Street Navalur Bus Stand</t>
  </si>
  <si>
    <t>Shri Laxami Narayan Gents Pg Sambhal Street Navalur Bus Stand 600130</t>
  </si>
  <si>
    <t>Aditya Kumar Sahu</t>
  </si>
  <si>
    <t>9348938307</t>
  </si>
  <si>
    <t>7008682332</t>
  </si>
  <si>
    <t>Shri Laxmi Venkateswar Mens Pg, Navallur</t>
  </si>
  <si>
    <t>SRI LAKSHMI VENKATESWARA GENTS PG, Thalambur Road , Navlur, Navalur, Tamil Nadu 600130</t>
  </si>
  <si>
    <t>Soniya Satish Mate</t>
  </si>
  <si>
    <t>9322476553</t>
  </si>
  <si>
    <t>9011543918</t>
  </si>
  <si>
    <t xml:space="preserve">Shri sai unique pg </t>
  </si>
  <si>
    <t>Shri sai unique ladies pf near MSR pd ,Egattur, Siruseri, Tamil Nadu - 603103</t>
  </si>
  <si>
    <t xml:space="preserve">Mukund Ramesh Tambe </t>
  </si>
  <si>
    <t>8275954307</t>
  </si>
  <si>
    <t>8668956542</t>
  </si>
  <si>
    <t>Shri Saravana Pg Egattur</t>
  </si>
  <si>
    <t>Shri Saravana Pg Egattur 603103</t>
  </si>
  <si>
    <t>Mukund Ramesh Tambe</t>
  </si>
  <si>
    <t>Shri Sarvana Mens PG</t>
  </si>
  <si>
    <t>Shri Sarvana Mens PG Near marina mall Egattur tamil nadu</t>
  </si>
  <si>
    <t>Near Marina Mall</t>
  </si>
  <si>
    <t>Grace Esther S</t>
  </si>
  <si>
    <t>8870466782</t>
  </si>
  <si>
    <t>9445173713</t>
  </si>
  <si>
    <t>Shri Shiv Shiva Abode ,Kazhipattur</t>
  </si>
  <si>
    <t>T3,Shri Shiv Shiva Abode,Kazhipattur Joint Road,Kazhipattur ,Chennai -603103</t>
  </si>
  <si>
    <t>Sahil Sandeep Balfe</t>
  </si>
  <si>
    <t>8459966751</t>
  </si>
  <si>
    <t>9022453449</t>
  </si>
  <si>
    <t>Shri Venka Sai Hanuman Gents PG</t>
  </si>
  <si>
    <t>4/162, new, near Hotel Ya Rahman, Chennai, Egattur, Tamil Nadu 600130</t>
  </si>
  <si>
    <t>Shivani Singh</t>
  </si>
  <si>
    <t>6204709004</t>
  </si>
  <si>
    <t>8210686843</t>
  </si>
  <si>
    <t>Shri Venkata Hanuman Ladies Pg</t>
  </si>
  <si>
    <t>Shri Venkata Hanuman Ladies Pg, 4/242, Chennai, Egattur, Tamil Nadu - 600130</t>
  </si>
  <si>
    <t>Ashutosh Sharad Deshmukh</t>
  </si>
  <si>
    <t>9011533583</t>
  </si>
  <si>
    <t>9503713753</t>
  </si>
  <si>
    <t>Shri venkata sai hanuman gents pg br-2</t>
  </si>
  <si>
    <t>4/162A Anna Street near government school siruseri chennai 603103</t>
  </si>
  <si>
    <t>K M Channabasava</t>
  </si>
  <si>
    <t>8050027845</t>
  </si>
  <si>
    <t>6360474304</t>
  </si>
  <si>
    <t>Shri Venkateshwara Deluxe PG, siruseri</t>
  </si>
  <si>
    <t>Amit Kumar</t>
  </si>
  <si>
    <t>7340185469</t>
  </si>
  <si>
    <t>7375982805</t>
  </si>
  <si>
    <t>Shri Venkateshwara luxury pg, navalur</t>
  </si>
  <si>
    <t>D-1/334, Sambalal St, behind vegetable Market, Navalur, Tamil Nadu 600130</t>
  </si>
  <si>
    <t>Naveen Kumar Nimmakayala</t>
  </si>
  <si>
    <t>6281909239</t>
  </si>
  <si>
    <t>9989880082</t>
  </si>
  <si>
    <t>sibi home,Rajan Nagar,kelambakkam</t>
  </si>
  <si>
    <t xml:space="preserve"> sibi home, Rajan nagar, Kelambakkam, Tamil Nadu - 603103</t>
  </si>
  <si>
    <t>Terli Nithin</t>
  </si>
  <si>
    <t>6303618558</t>
  </si>
  <si>
    <t>7995171005</t>
  </si>
  <si>
    <t>Siddhus men premium pg, siru seri</t>
  </si>
  <si>
    <t>Siddhus men premium pg, siru seri, sipcoit it park, Tamil Nadu - 603103</t>
  </si>
  <si>
    <t>Mohamed Ibrahim R</t>
  </si>
  <si>
    <t>7305379447</t>
  </si>
  <si>
    <t>9677897238</t>
  </si>
  <si>
    <t>Siddhus mens Premium PG- No 89c, city park layout, Siruseri, Egattur, Chennai, Tamilnadu 603103</t>
  </si>
  <si>
    <t>BORRA CHARAN VAMSI</t>
  </si>
  <si>
    <t>8688613132</t>
  </si>
  <si>
    <t>9948902771</t>
  </si>
  <si>
    <t>siddhus perimum pg,sipcot</t>
  </si>
  <si>
    <t>siddhus perimum pg,sipcot No 89C, city park layout, 3rd left street, Egattur, Siruseri, Chennai, Tamil Nadu 603103</t>
  </si>
  <si>
    <t>siddhus premium gents pg</t>
  </si>
  <si>
    <t>siddhus premium gents pg, No 89c, city park layout, 3rd left street, Eggatur, Siruseri, Chennai, Tamil Nadu, 603103</t>
  </si>
  <si>
    <t>Gokul T M</t>
  </si>
  <si>
    <t>6382465386</t>
  </si>
  <si>
    <t>9500452156</t>
  </si>
  <si>
    <t>Siddu mens pg</t>
  </si>
  <si>
    <t>Siddu mens pg, No 89C, city park layout, 3rd left street, Egattur, Siruseri, Chennai, Tamil Nadu 603103</t>
  </si>
  <si>
    <t>SHWON GHOSH</t>
  </si>
  <si>
    <t>9564729926</t>
  </si>
  <si>
    <t>7797106396</t>
  </si>
  <si>
    <t>Siddu Mens Pg,Egatur</t>
  </si>
  <si>
    <t xml:space="preserve">3rd A Cross Road, Bengaluru South, Karnataka 560076 </t>
  </si>
  <si>
    <t>Prakash Kumar</t>
  </si>
  <si>
    <t>6206697034</t>
  </si>
  <si>
    <t>9934208630</t>
  </si>
  <si>
    <t>Siddu mens premium pg</t>
  </si>
  <si>
    <t>Neekunj Chaturvedi</t>
  </si>
  <si>
    <t>6302445751</t>
  </si>
  <si>
    <t>9985881000</t>
  </si>
  <si>
    <t>Siddu premium mens PG</t>
  </si>
  <si>
    <t>3rd street, Sipcot, Siruseri, Tamil nadu</t>
  </si>
  <si>
    <t>Sanampudi Nagasai Akash</t>
  </si>
  <si>
    <t>7569957013</t>
  </si>
  <si>
    <t>8897125534</t>
  </si>
  <si>
    <t>SIDDU PREMIUM PG - A BLOCK,EGATTUR</t>
  </si>
  <si>
    <t>SIDDUS PREMIUM PG,A BOCK,NEAR TCS NTP,EGGATUR,SIRUSERI,CHENNAI</t>
  </si>
  <si>
    <t>Macharla Goutham Manikantha</t>
  </si>
  <si>
    <t>9966164332</t>
  </si>
  <si>
    <t>8309619511</t>
  </si>
  <si>
    <t>siddu`s premium mens pg</t>
  </si>
  <si>
    <t xml:space="preserve">siddus premium mens PG , block B - no 89C, city park layout , 3rd left street , Egattur , Siruseri ,chennai , Tamil Nadu 603103 </t>
  </si>
  <si>
    <t>Bondugulapati Srihari Rao</t>
  </si>
  <si>
    <t>9346614507</t>
  </si>
  <si>
    <t>9550215386</t>
  </si>
  <si>
    <t>Siddu’s Premium Men’s PG</t>
  </si>
  <si>
    <t>Manav Kumar</t>
  </si>
  <si>
    <t>9334653227</t>
  </si>
  <si>
    <t>9470563065</t>
  </si>
  <si>
    <t xml:space="preserve">Atmakuri Guru S S V S Murali Krishna </t>
  </si>
  <si>
    <t>8555960147</t>
  </si>
  <si>
    <t>8639424334</t>
  </si>
  <si>
    <t>Shubham Kumar Mahtha</t>
  </si>
  <si>
    <t>9113391186</t>
  </si>
  <si>
    <t>7061707789</t>
  </si>
  <si>
    <t>Siddu’s Premium Men’s PG SIRUSERI</t>
  </si>
  <si>
    <t>Mannem Manobharath</t>
  </si>
  <si>
    <t>7382086509</t>
  </si>
  <si>
    <t>9390383921</t>
  </si>
  <si>
    <t>Siddu’s Premium Men’s PG SIRUSERI SIPCOT IT</t>
  </si>
  <si>
    <t>Venkata Krishna Sai Akula</t>
  </si>
  <si>
    <t>6304939779</t>
  </si>
  <si>
    <t>9849877252</t>
  </si>
  <si>
    <t>No 89C, city park layout, 3rd left street, Egattur, Siruseri, Chennai, Tamil Nadu - 603103</t>
  </si>
  <si>
    <t>Lakshay Gupta</t>
  </si>
  <si>
    <t>8923200478</t>
  </si>
  <si>
    <t>8077784055</t>
  </si>
  <si>
    <t>Siddu’s Premium Men’s PG SIRUSERI SIPCOT IT, No 89C, city park layout, 3rd left street, Egattur, Siruseri, Chennai, Tamil Nadu 603103</t>
  </si>
  <si>
    <t>Lohith Harshadithya Yaragarla</t>
  </si>
  <si>
    <t>9515213499</t>
  </si>
  <si>
    <t>8125782699</t>
  </si>
  <si>
    <t>Samardeep Singh</t>
  </si>
  <si>
    <t>8700733196</t>
  </si>
  <si>
    <t>Siddu’s Premium Men’s PG SIRUSERI SIPCOT IT PARK</t>
  </si>
  <si>
    <t xml:space="preserve">Siddu’s Premium Men’s PG SIRUSERI SIPCOT IT, No 89C, city park layout, 3rd left street, Egattur, Siruseri, Chennai, Tamil Nadu 603103    </t>
  </si>
  <si>
    <t>Prasanth</t>
  </si>
  <si>
    <t>9787366504</t>
  </si>
  <si>
    <t>9245412772</t>
  </si>
  <si>
    <t>Siddu’s Premium Men’s PG,Egattur</t>
  </si>
  <si>
    <t>Siddu’s Premium Men’s PG,No 89C, city park layout, 3rd left street, Egattur, Siruseri, Chennai, Tamil Nadu 603103</t>
  </si>
  <si>
    <t>YERRAGUNDU JAGADEESWAR REDDY</t>
  </si>
  <si>
    <t>8019917848</t>
  </si>
  <si>
    <t>8179917848</t>
  </si>
  <si>
    <t>Siddus mens pg</t>
  </si>
  <si>
    <t>no 89c ,city park layout, 3rd left street,egattur,siruseri,chennai,tamilnadu-630103</t>
  </si>
  <si>
    <t>Aryan Pandharinath Dhumal</t>
  </si>
  <si>
    <t>8530142220</t>
  </si>
  <si>
    <t>9850139386</t>
  </si>
  <si>
    <t>Siddus Mens PG</t>
  </si>
  <si>
    <t>Siddus Mens PG, 89 C, City Park Layout, Sipcot IT park, Egattur, Siruseri, Tamil Nadu - 603103</t>
  </si>
  <si>
    <t>Ayush Swapnil Shah</t>
  </si>
  <si>
    <t>7720092996</t>
  </si>
  <si>
    <t>9503392996</t>
  </si>
  <si>
    <t xml:space="preserve">Siddus Mens PG </t>
  </si>
  <si>
    <t>Siddus Mens PG, 89C , 3rd Left Street, City Park Layout , SIPCOT IT Park, Egattur, Siruseri , Tamil Nadu - 603103</t>
  </si>
  <si>
    <t>MITHUN KANNAN</t>
  </si>
  <si>
    <t>7418281816</t>
  </si>
  <si>
    <t>9566782529</t>
  </si>
  <si>
    <t>SIDDUS MENS PG - EGATTUR</t>
  </si>
  <si>
    <t>SIDDUSS , 3rd Street , City Park Layout , Egattur-603103</t>
  </si>
  <si>
    <t>HARSHIT PANDEY</t>
  </si>
  <si>
    <t>7905097627</t>
  </si>
  <si>
    <t>8858141581</t>
  </si>
  <si>
    <t>SIDDUS MENS PG , SIRESURI</t>
  </si>
  <si>
    <t>SIDDUS MENS PG, 1 FLOOR, R.NO.104, SIRUSERI</t>
  </si>
  <si>
    <t>Vishva P</t>
  </si>
  <si>
    <t>8610492277</t>
  </si>
  <si>
    <t>9787367480</t>
  </si>
  <si>
    <t>Siddus Mens PG ,SIRUSERI-SIPCOT</t>
  </si>
  <si>
    <t>Siddus Mens PG,NO 89C,City Park Layout,3rd Left Street,Egattur,Siruseri,Tamil Nadu-603103</t>
  </si>
  <si>
    <t>Nihall A</t>
  </si>
  <si>
    <t>9360527528</t>
  </si>
  <si>
    <t>9943078982</t>
  </si>
  <si>
    <t>Siddus Mens PG, Egattur</t>
  </si>
  <si>
    <t>Siddus Mens PG, No 89C, city park layout, 3rd left street, Egattur, Siruseri, Chennai, Tamil Nadu 603103</t>
  </si>
  <si>
    <t>Palanaguppam Ramana Sai Reddy</t>
  </si>
  <si>
    <t>9182040248</t>
  </si>
  <si>
    <t>939111531</t>
  </si>
  <si>
    <t>Siddus Mens PG, SIPCOT, Siruseri.</t>
  </si>
  <si>
    <t>Siddus Mens PG, SIPCOT, Siruseri, Tamil Nadu - 603103.</t>
  </si>
  <si>
    <t>Siddu's Men's PG, SIPCOT, Siruseri.</t>
  </si>
  <si>
    <t>Siddu's Men's PG, SIPCOT, Siruseri, Tamil Nadu - 603103.</t>
  </si>
  <si>
    <t>HARII KUMARAN V</t>
  </si>
  <si>
    <t>9442262215</t>
  </si>
  <si>
    <t>9965875669</t>
  </si>
  <si>
    <t>Siddus Mens PG, Siruseri</t>
  </si>
  <si>
    <t>Siddus Mens PG, No 89C, City Park Layout, 3rd Left Street, Egattur, Siruseri, TamilNadu-603103</t>
  </si>
  <si>
    <t>Atukuri Sri Mahananda Dinakar</t>
  </si>
  <si>
    <t>8688869328</t>
  </si>
  <si>
    <t>9399943343</t>
  </si>
  <si>
    <t>Siddus Mens Premium PG</t>
  </si>
  <si>
    <t xml:space="preserve">Siddus Premium Mens PG,No 89C, city park layout, 3rd left street, Egattur, Siruseri, Chennai, Tamil Nadu 603103  </t>
  </si>
  <si>
    <t>Siddus Premium Mens PG,No 89C, city park layout, 3rd left street, Egattur, Siruseri, Chennai, Tamil Nadu 603103</t>
  </si>
  <si>
    <t>Salam Sandeep</t>
  </si>
  <si>
    <t>7995505610</t>
  </si>
  <si>
    <t>8686867079</t>
  </si>
  <si>
    <t>SIDDUS mens premium pg</t>
  </si>
  <si>
    <t>siddus men pg, sipcot, siruseri</t>
  </si>
  <si>
    <t>Marra Sai Ganesh</t>
  </si>
  <si>
    <t>8074111377</t>
  </si>
  <si>
    <t>9492160167</t>
  </si>
  <si>
    <t>Siddus mens premium pg</t>
  </si>
  <si>
    <t>IT park, Sipcot, Siruseri, 603103</t>
  </si>
  <si>
    <t>Sai Sushanth Rajamahendravarapu</t>
  </si>
  <si>
    <t>9490151224</t>
  </si>
  <si>
    <t>9490741224</t>
  </si>
  <si>
    <t>Siddus Mens Premium PG, Near Tcs , SIPCOT,</t>
  </si>
  <si>
    <t>Siddus Mens Premium PG, Near Tcs , SIPCOT</t>
  </si>
  <si>
    <t>Eedara Rohith</t>
  </si>
  <si>
    <t>8096361038</t>
  </si>
  <si>
    <t>9346367156</t>
  </si>
  <si>
    <t>Siddus Mens Premium PG,SIPCOT</t>
  </si>
  <si>
    <t>KOMALI RAVITEJA</t>
  </si>
  <si>
    <t>6301282693</t>
  </si>
  <si>
    <t>9848118138</t>
  </si>
  <si>
    <t xml:space="preserve">SIDDUS MENS PRIMIUM PG , NO.89C , CITY PARK LAYOUT , SIRUSERI , EGATTUR </t>
  </si>
  <si>
    <t xml:space="preserve">SIDDUS MENS PRIMIUM PG , NO.89C , CITY PARK LAYOUT , SIRUSERI , EGATTUR , CHENNAI , TAMIL NADU, 603103 </t>
  </si>
  <si>
    <t>Vignesh Muniyandi</t>
  </si>
  <si>
    <t>8124994859</t>
  </si>
  <si>
    <t>9092713844</t>
  </si>
  <si>
    <t>Siddus Permium Mens PG, Egattur</t>
  </si>
  <si>
    <t>Siddus Permium Mens PG, Mamoothiamman Street, Egattur, Siruseri, Tamil Nadu - 603103</t>
  </si>
  <si>
    <t>Patlolla Sangameshwar Reddy</t>
  </si>
  <si>
    <t>7569755197</t>
  </si>
  <si>
    <t>8919575061</t>
  </si>
  <si>
    <t>siddus pg</t>
  </si>
  <si>
    <t>sipcot  Egattur, Siruseri, Tamil Nadu - 603103</t>
  </si>
  <si>
    <t>9391115321</t>
  </si>
  <si>
    <t>Siddus PG, SIPCOT, Siruseri.</t>
  </si>
  <si>
    <t>Siddus PG, SIPCOT, Siruseri, Tamil Nadu - 603103</t>
  </si>
  <si>
    <t>Punith Choudhary</t>
  </si>
  <si>
    <t>8660071708</t>
  </si>
  <si>
    <t>7259209150</t>
  </si>
  <si>
    <t>Siddus Premium Men PG</t>
  </si>
  <si>
    <t>Siddus Premium Men PG, No.89C, City Park Layout,3rd Left Street, Egattur, Siruseri, Chennai, Tamil Nadu 603103.</t>
  </si>
  <si>
    <t xml:space="preserve">Siddus premium men PG </t>
  </si>
  <si>
    <t>Siddus premium men PG , B Block , No 89C ,city park layout , 3rd left street , Egattur , Siruseri , Chennai , Tamil Nadu - 603103</t>
  </si>
  <si>
    <t>Divakar S</t>
  </si>
  <si>
    <t>9597586258</t>
  </si>
  <si>
    <t>6380769202</t>
  </si>
  <si>
    <t>Siddus premium men’s pg - siruseri</t>
  </si>
  <si>
    <t>Siddus premium men’s pg , No 89c, city park layout, 3rd left street,Egattur,Siruseri,Chennai, tamilnadu-603103</t>
  </si>
  <si>
    <t>Abhijit Srinivas Pidugu</t>
  </si>
  <si>
    <t>9014367015</t>
  </si>
  <si>
    <t>9550343945</t>
  </si>
  <si>
    <t>Siddus Premium Mens Pg</t>
  </si>
  <si>
    <t>no 89c, city park layout,3rd left street,egattur,siruseri,chennai,TamilNadu</t>
  </si>
  <si>
    <t>Vamsi charan s p</t>
  </si>
  <si>
    <t>9361532460</t>
  </si>
  <si>
    <t>9843648135</t>
  </si>
  <si>
    <t>Siddus premium mens pg</t>
  </si>
  <si>
    <t xml:space="preserve">Omkar Navnath Bhagat </t>
  </si>
  <si>
    <t>8261995902</t>
  </si>
  <si>
    <t>8626030527</t>
  </si>
  <si>
    <t>Ashish Chaudhary</t>
  </si>
  <si>
    <t>7668206946</t>
  </si>
  <si>
    <t>9368156546</t>
  </si>
  <si>
    <t>Siddus Premium Mens PG</t>
  </si>
  <si>
    <t>Siddus Premium Mens PG ,No 89C, city park layout, 3rd left street, Egattur, Siruseri, Chennai, Tamil Nadu 603103</t>
  </si>
  <si>
    <t>Mahesh Ravindra Gaikwad</t>
  </si>
  <si>
    <t>7796021067</t>
  </si>
  <si>
    <t>9850550413</t>
  </si>
  <si>
    <t>No 89C , City Park Layout , 3rd Left Street , Egattur , Siruseri , Chennai ,Tamil Nadu - 603103</t>
  </si>
  <si>
    <t>Krishna Mahendra Baviskar</t>
  </si>
  <si>
    <t>9579428740</t>
  </si>
  <si>
    <t>9850349727</t>
  </si>
  <si>
    <t>Siddus Premium Mens PG, Siruseri, Chennai, 603103</t>
  </si>
  <si>
    <t xml:space="preserve">Parvez ibrar ahmed khan </t>
  </si>
  <si>
    <t>9892975456</t>
  </si>
  <si>
    <t>9820739628</t>
  </si>
  <si>
    <t xml:space="preserve">Siddus Premium Mens PG SIRUSERI IT PARK 89 C CITY PARK LAYOUT 3RD LEFT STREET </t>
  </si>
  <si>
    <t>ABIR SINHA</t>
  </si>
  <si>
    <t>7908577265</t>
  </si>
  <si>
    <t>9434169973</t>
  </si>
  <si>
    <t>SIDDUS PREMIUM MENS PG</t>
  </si>
  <si>
    <t>SIDDUS PREMIUM MENS PG, MUTHAMMA STREET,THIRD CROSS ROAD,SIRUSERI,CHENNAI,TAMIL NADU 603103.</t>
  </si>
  <si>
    <t>ASHISH SARKI</t>
  </si>
  <si>
    <t>7483479505</t>
  </si>
  <si>
    <t>8147114839</t>
  </si>
  <si>
    <t>SIDDUS PREMIUIM MENS PG ,SIPCOT ,SIRUSERI</t>
  </si>
  <si>
    <t>Chinmay M Kumbar</t>
  </si>
  <si>
    <t>6360209587</t>
  </si>
  <si>
    <t>9900553279</t>
  </si>
  <si>
    <t>Siddus Premium Mens PG SIRUSERI SIPCOT IT,No 89C,city park layout,3rd left street,Egattur,Siruseri,Chennai,Tamil Nadu 603103</t>
  </si>
  <si>
    <t>SIDDUS PREMIUM MENS PG, MUTHAMMA STREET,THIRD CROSS ROAD,SIRUSERI,CHENGALPATTU.</t>
  </si>
  <si>
    <t>Thotamsetty Lalith Srinivas</t>
  </si>
  <si>
    <t>8978665141</t>
  </si>
  <si>
    <t>9849536087</t>
  </si>
  <si>
    <t>Sanket Mahesh Shewalkar</t>
  </si>
  <si>
    <t>9067313975</t>
  </si>
  <si>
    <t>9881251509</t>
  </si>
  <si>
    <t>Siddus Premium mens pg</t>
  </si>
  <si>
    <t>Siddus Premium mens pg,No 89C, City Park Layout, 3rd Left Street,Egattur,Siruseri,Chennai,Tamil Nadu 603103</t>
  </si>
  <si>
    <t>Sahil Ganesh Mali</t>
  </si>
  <si>
    <t>8432394345</t>
  </si>
  <si>
    <t>9850346178</t>
  </si>
  <si>
    <t>Siddus Premium Mens PG, 89C, city park layout, 3rd left street, Egattur, Siruseri, Chennai, Tamil Nadu - 603103</t>
  </si>
  <si>
    <t>Sai Naga Veera V S V B S</t>
  </si>
  <si>
    <t>6305390112</t>
  </si>
  <si>
    <t>7981868707</t>
  </si>
  <si>
    <t>Siddus Premium Mens PG - Egattur</t>
  </si>
  <si>
    <t>Siddus Premium Mens PG - Egattur, Siruseri, Tamil Nadu - 603103</t>
  </si>
  <si>
    <t>Pavan Venkata Satya Sai Ajay Talla</t>
  </si>
  <si>
    <t>9346775151</t>
  </si>
  <si>
    <t>9959763547</t>
  </si>
  <si>
    <t>siddus premium mens PG - siruseri</t>
  </si>
  <si>
    <t>siddus premium mens PG siruseri sipcot IT</t>
  </si>
  <si>
    <t>Prathmesh Subhash Khandare</t>
  </si>
  <si>
    <t>8637726193</t>
  </si>
  <si>
    <t>9960489795</t>
  </si>
  <si>
    <t>Siddus premium mens pg , Siruseri</t>
  </si>
  <si>
    <t>Siddus Premium pg , City Park Layout, Sipcot, Siruseri, Near Sipcot It Park, Siruseri, Chennai-603103, Tamil Nadu</t>
  </si>
  <si>
    <t>Sanigala Bharath</t>
  </si>
  <si>
    <t>9032203541</t>
  </si>
  <si>
    <t>8008937619</t>
  </si>
  <si>
    <t xml:space="preserve">siddus premium mens PG , siruseri </t>
  </si>
  <si>
    <t xml:space="preserve">siddus premium menss PG , siruseri , SIPCOT IT Park </t>
  </si>
  <si>
    <t>Y Manoj</t>
  </si>
  <si>
    <t>9121633548</t>
  </si>
  <si>
    <t>6281870165</t>
  </si>
  <si>
    <t xml:space="preserve">siddus premium mens pg ,siruseri </t>
  </si>
  <si>
    <t>No 89c,city park layout,3rd left street,Egattur,siruseri,Chennai,Tamil Nadu-603103</t>
  </si>
  <si>
    <t>Shamshuddeen Nadaf</t>
  </si>
  <si>
    <t>9901433348</t>
  </si>
  <si>
    <t>9008613031</t>
  </si>
  <si>
    <t xml:space="preserve">Siddus Premium Mens PG A building </t>
  </si>
  <si>
    <t>Siddus Premium Mens PG A building No 89C, city park layout, 3rd left street, Egattur, Siruseri, Chennai, Tamil Nadu 603103</t>
  </si>
  <si>
    <t>Sachin S S</t>
  </si>
  <si>
    <t>9629897935</t>
  </si>
  <si>
    <t>9080133733</t>
  </si>
  <si>
    <t>Siddus Premium Mens PG SIRUSERI SIPCOT IT</t>
  </si>
  <si>
    <t>Siddus Premium Mens PG SIRUSERI SIPCOT IT, No 89C, city park layout, 3rd left street, Egattur, Siruseri, Chennai, Tamil Nadu 603103</t>
  </si>
  <si>
    <t>N D Adithya</t>
  </si>
  <si>
    <t>8074036329</t>
  </si>
  <si>
    <t>7901299679</t>
  </si>
  <si>
    <t xml:space="preserve">Siddus Premium Mens PG, No 89C, city park layout, 3rd left Street, Egattur, Siruseri, Chennai, Tamil Nadu - 603103 </t>
  </si>
  <si>
    <t>Girappagari Hemanandan Reddy</t>
  </si>
  <si>
    <t>6281366595</t>
  </si>
  <si>
    <t>9346845512</t>
  </si>
  <si>
    <t>Siddus Premium Mens PG Siruseri SIPCOT IT</t>
  </si>
  <si>
    <t>Siddus Premium Mens PG Siruseri SIPCOT IT, Egattur, Siruseri, Tamil Nadu</t>
  </si>
  <si>
    <t>Padala Raghavendra Reddy</t>
  </si>
  <si>
    <t>9032323095</t>
  </si>
  <si>
    <t>9705649339</t>
  </si>
  <si>
    <t>Siddus Premium mens PG siruseri Sipcot IT, Egattur</t>
  </si>
  <si>
    <t>No 89C, City Park layout, 3rd left street, Egattur, Siruseri, Chennai, Tamil Nadu 603103</t>
  </si>
  <si>
    <t>Nothing much</t>
  </si>
  <si>
    <t>Sekharapalli Vishnu Vardhan</t>
  </si>
  <si>
    <t>6301097360</t>
  </si>
  <si>
    <t>8978390259</t>
  </si>
  <si>
    <t>Siddus premium mens pg, B block</t>
  </si>
  <si>
    <t>NO89c, city park layout, 3rd left street, Egattur, Siruseri, Chennai, Tamil Nadu 603103</t>
  </si>
  <si>
    <t>Kethan H S</t>
  </si>
  <si>
    <t>9741019612</t>
  </si>
  <si>
    <t>9448721642</t>
  </si>
  <si>
    <t>Siddus Premium Mens PG, Branch 1, SIPCOT Siruseri</t>
  </si>
  <si>
    <t>Siddus Premium Mens PG, Branch 1,  No. 89C, City Park Layout, 3rd Left Street, Egattur, Siruseri, Chennai, Tamil Nadu 603103</t>
  </si>
  <si>
    <t>Siddus Premium Mens PG, No. 89C, City Park Layout, 3rd Left Street, Egattur, Siruseri, Chennai, Tamil Nadu 603103</t>
  </si>
  <si>
    <t>Siddus Premium Mens PG, Branch 1, No. 89C, City Park Layout, 3rd Left Street, Egattur, Siruseri, Chennai, Tamil Nadu 603103</t>
  </si>
  <si>
    <t>Ajay Singh</t>
  </si>
  <si>
    <t>8273668495</t>
  </si>
  <si>
    <t>8859185316</t>
  </si>
  <si>
    <t>Siddus Premium Mens PG, Egattur</t>
  </si>
  <si>
    <t>Siddus Premium Mens PG, No 89C, city park layout, 3rd left street, Egattur, Siruseri, Chennai, Tamil Nadu 603103</t>
  </si>
  <si>
    <t>Swaroop Kumar Naidu Marrapu</t>
  </si>
  <si>
    <t>7780759175</t>
  </si>
  <si>
    <t>9959689892</t>
  </si>
  <si>
    <t>Siddus Premium mens PG, city park layout, 3rd left street, Egattur, Siruseri, Chennai,Tamil Nadu-603103</t>
  </si>
  <si>
    <t>Siddus Premium Mens PG, Mamoothiamman Street, Egattur, Siruseri, Tamil Nadu - 603103</t>
  </si>
  <si>
    <t>Beeram Pavan Kalyan Reddy</t>
  </si>
  <si>
    <t>9398876551</t>
  </si>
  <si>
    <t>9949789357</t>
  </si>
  <si>
    <t>Siddus Premium Mens PG, No 89C,Egattur</t>
  </si>
  <si>
    <t>Siddus Premium Mens PG, No 89C,city park layout, 3rd left street, Egattur, Siruseri, Chennai, Tamil Nadu - 603103</t>
  </si>
  <si>
    <t>Madhur kumar upadhyay</t>
  </si>
  <si>
    <t>8217512771</t>
  </si>
  <si>
    <t>9035629120</t>
  </si>
  <si>
    <t>Siddus premium mens pg, SIPCOT IT PARK</t>
  </si>
  <si>
    <t>Siddus premium mens pg, SIPCOT IT PARK,  egattur, siruseri, Tamil Nadu - 603103</t>
  </si>
  <si>
    <t>Rupant Kumar Rai</t>
  </si>
  <si>
    <t>9807748008</t>
  </si>
  <si>
    <t>9120868397</t>
  </si>
  <si>
    <t>Siddus Premium Mens PG, sipcot it park.</t>
  </si>
  <si>
    <t>Siddus Premium Mens PG, Plot 89C, city park layout, 3rd left Street, Egattur, Seruseri, Chennai, 603103</t>
  </si>
  <si>
    <t>Arya Tejas Patel</t>
  </si>
  <si>
    <t>9405111072</t>
  </si>
  <si>
    <t>9405111065</t>
  </si>
  <si>
    <t>Siddus Premium mens PG, Siruseri</t>
  </si>
  <si>
    <t>Siddus Premium mens PG, third street road, siruseri, Tamil Nadu</t>
  </si>
  <si>
    <t>Majjiga Charan Yadav</t>
  </si>
  <si>
    <t>6301573380</t>
  </si>
  <si>
    <t>9849894055</t>
  </si>
  <si>
    <t xml:space="preserve">Siddus Premium Mens PG, SIRUSERI IT PARK, </t>
  </si>
  <si>
    <t>Siddus Premium Mens PG, SIRUSERI IT PARK, Egatur, Siruseri, Tamil Nadu 603103</t>
  </si>
  <si>
    <t>Siddus Premium Mens PG,No 89C, Egattur</t>
  </si>
  <si>
    <t>Subhash Gowthamveer</t>
  </si>
  <si>
    <t>8639772965</t>
  </si>
  <si>
    <t>7799278225</t>
  </si>
  <si>
    <t>Siddus premium mens PG,No 89C,city park layout,3rd left street,Egattur,Siruseri,Chennai</t>
  </si>
  <si>
    <t>Deepak Mer</t>
  </si>
  <si>
    <t>9548287109</t>
  </si>
  <si>
    <t>8433003025</t>
  </si>
  <si>
    <t>Siddus Premium mens pg,Sipcot IT,Egattur</t>
  </si>
  <si>
    <t>Siddus Premium mens pg,Egattur, Third Cross Road, Siruseri, Chennai-603103, Tamil Nadu</t>
  </si>
  <si>
    <t>Siddus Premium Menss PG</t>
  </si>
  <si>
    <t>Siddus Premium Mens PG Siruseri Sipcot IT</t>
  </si>
  <si>
    <t>Shaik Imran</t>
  </si>
  <si>
    <t>9390771396</t>
  </si>
  <si>
    <t>9515590180</t>
  </si>
  <si>
    <t>Siddus Premium mes PG, Siruseri IT park</t>
  </si>
  <si>
    <t>Siddus Premium mes PG, Siruseri IT park, Siruseri Tamil Nadu</t>
  </si>
  <si>
    <t>Goli Siva Sankar</t>
  </si>
  <si>
    <t>7981787807</t>
  </si>
  <si>
    <t>9059562006</t>
  </si>
  <si>
    <t>Siddus Premium PG</t>
  </si>
  <si>
    <t>No 89C,City Park layout,3rd Left Street,Eggatur,Suruseri,Chennai,Tamil Nadu</t>
  </si>
  <si>
    <t>Goli Siva sankar</t>
  </si>
  <si>
    <t>No 89C,City Park Layout,3rd Left Street,Eggatur,SiruSeri,Chennai,Tamil Nadu</t>
  </si>
  <si>
    <t>Vishal Ganagadhar Darkunde</t>
  </si>
  <si>
    <t>8766611302</t>
  </si>
  <si>
    <t>9272596449</t>
  </si>
  <si>
    <t>siddus premium mens pg siruseri</t>
  </si>
  <si>
    <t>Bandigari Bayapa Reddy</t>
  </si>
  <si>
    <t>7993344058</t>
  </si>
  <si>
    <t>9392991070</t>
  </si>
  <si>
    <t>Siddus Premium PG, Egattur</t>
  </si>
  <si>
    <t>Siddus Premium PG, No 89c, City park layout, 3rd left street, Egattur, Siruseri, Chennai, Tamil Nadu - 603103</t>
  </si>
  <si>
    <t>Siddus Premium PG, No 89C, City park layout, 3rd left street, Egattur, siruseri, Chennai, Tamil Nadu - 603103</t>
  </si>
  <si>
    <t>Yelugoti Dinesh Reddy</t>
  </si>
  <si>
    <t>8328227083</t>
  </si>
  <si>
    <t>9440330800</t>
  </si>
  <si>
    <t>Siddus premium pG, Egatur</t>
  </si>
  <si>
    <t>Siddus Premium PG, Sipcot IT Park, 3rd Left Street, Egattur, Siruseri, Tamil Nadu - 603103</t>
  </si>
  <si>
    <t>Bhusarapu Srivarsha</t>
  </si>
  <si>
    <t>6304100751</t>
  </si>
  <si>
    <t>8008575716</t>
  </si>
  <si>
    <t>Silver Star Ellite stay luxury girls pg,Egattur</t>
  </si>
  <si>
    <t>Silver Star Ellite Stay LuxuryGirls PG ,gangiyammankovilstreet,Buddhar St,Chennai,Egattur,Tamilnadu 600130</t>
  </si>
  <si>
    <t>Sampath Ruttala</t>
  </si>
  <si>
    <t>9542854861</t>
  </si>
  <si>
    <t>6281469382</t>
  </si>
  <si>
    <t>Silver Star Ladies PG, Egattur</t>
  </si>
  <si>
    <t>Silver Star Ladies PG, Gangai Amman Kovil Street, Egattur, Siruseri, Tamil Nadu - 603103</t>
  </si>
  <si>
    <t>A Madhuri</t>
  </si>
  <si>
    <t>9392436645</t>
  </si>
  <si>
    <t>9908325910</t>
  </si>
  <si>
    <t>Silver Star Ladies PG, Egattur.</t>
  </si>
  <si>
    <t>Silver Star Ladies PG,Egattur.</t>
  </si>
  <si>
    <t>Chalamala Manjula Devi</t>
  </si>
  <si>
    <t>9347549912</t>
  </si>
  <si>
    <t>7569689597</t>
  </si>
  <si>
    <t>Silver star luxurious ladies pg</t>
  </si>
  <si>
    <t>Silver star luxurious ladies pg ,Gangai Amman Kovil Street, Egattur, Siruseri, Tamil Nadu - 603103</t>
  </si>
  <si>
    <t>Tejaswini B R</t>
  </si>
  <si>
    <t>7892138477</t>
  </si>
  <si>
    <t>8970394481</t>
  </si>
  <si>
    <t>Silver Star Luxury ladies hostal PG</t>
  </si>
  <si>
    <t>Silver Star Luxury ladies hostal PG,R6MG+MRX, gangiyamman kovil street,Buddhar St, Chennai,Egattur, Tamil Nadu 600130</t>
  </si>
  <si>
    <t>Challa Uma</t>
  </si>
  <si>
    <t>9502289598</t>
  </si>
  <si>
    <t>9502770955</t>
  </si>
  <si>
    <t>Silver Star Stay ladies PG, Egattur</t>
  </si>
  <si>
    <t>R6MG+MRX, gangiyamman kovil street, Buddhar St, Chennai, Egattur, Tamil Nadu 600130</t>
  </si>
  <si>
    <t>Nivetha T</t>
  </si>
  <si>
    <t>6382108714</t>
  </si>
  <si>
    <t>9943111510</t>
  </si>
  <si>
    <t xml:space="preserve">Silver Star Stay Ladies PG, Egattur </t>
  </si>
  <si>
    <t>Silver Star Stay Ladies PG, Gangai Amman Kovil Street, Egattur, Siruseri, Tamil Nadu - 603103</t>
  </si>
  <si>
    <t>Usha Nandhini G</t>
  </si>
  <si>
    <t>7558101357</t>
  </si>
  <si>
    <t>9629500796</t>
  </si>
  <si>
    <t>Silver star stay luxury womens PG</t>
  </si>
  <si>
    <t>Gangai Amman Kovil Street, Egattur</t>
  </si>
  <si>
    <t>Silver star stay luxury womens PG,Egattur</t>
  </si>
  <si>
    <t>POSA VENKATESH</t>
  </si>
  <si>
    <t>6281950519</t>
  </si>
  <si>
    <t>8019888064</t>
  </si>
  <si>
    <t xml:space="preserve">SIPCOT  NEAR SS SHIVA SAI GENTS PG </t>
  </si>
  <si>
    <t>SIPCOT  NEAR SS SHIVA SAI GENTS PG , SIRUSERI, TAMILNADU CHENNAI ,603103</t>
  </si>
  <si>
    <t>Bharath Kallimani</t>
  </si>
  <si>
    <t>8296929857</t>
  </si>
  <si>
    <t>9380213714</t>
  </si>
  <si>
    <t>Sipcot IT Park Siruseri, Chennai</t>
  </si>
  <si>
    <t>Vishnu Gents PG 4/49, Dr Ambedkar St, Egattur, Chennai, Tamil Nadu 600130</t>
  </si>
  <si>
    <t>Shashank S</t>
  </si>
  <si>
    <t>9361395826</t>
  </si>
  <si>
    <t>8056165533</t>
  </si>
  <si>
    <t>SIPCOT IT Park, 114 Razia House, City Park Layout Siruseri, Sipcot, Kalipattur, Egattur, Tamil Nadu 603103</t>
  </si>
  <si>
    <t>Beeraka Sanjana</t>
  </si>
  <si>
    <t>7095384726</t>
  </si>
  <si>
    <t>6304053201</t>
  </si>
  <si>
    <t>Siri Ladies PG, Sholinganallur</t>
  </si>
  <si>
    <t>Siri Ladies PG, new Branch, Ezhil Nagar, Sholinganallur, Chennai, Tamil Nadu - 600119</t>
  </si>
  <si>
    <t>Paramanand V Byakod</t>
  </si>
  <si>
    <t>8197953381</t>
  </si>
  <si>
    <t>6364208951</t>
  </si>
  <si>
    <t>City Park Layout, 116 A2, 2nd Cross Street, Kazhipattur, Siruseri, Chennai Tamilnadu - 603103</t>
  </si>
  <si>
    <t>Mylavarapu Chaitanya Sandeep</t>
  </si>
  <si>
    <t>7780550112</t>
  </si>
  <si>
    <t>7382913196</t>
  </si>
  <si>
    <t xml:space="preserve">siruseri </t>
  </si>
  <si>
    <t xml:space="preserve"> Egattur, Siruseri, Tamil Nadu - 603103</t>
  </si>
  <si>
    <t>Shreyas Vardhaman Chougule</t>
  </si>
  <si>
    <t>9322798021</t>
  </si>
  <si>
    <t>7498993722</t>
  </si>
  <si>
    <t>Siva Sai gents PG</t>
  </si>
  <si>
    <t>Siva Sai Gents PG, city park, plot#95A, Mamoothiamman, 3rd St, Sipcot, Siruseri, Chennnai, Tamil Nadu 603103</t>
  </si>
  <si>
    <t>Shanmukha Reddy Mettu</t>
  </si>
  <si>
    <t>9618667784</t>
  </si>
  <si>
    <t>8977513108</t>
  </si>
  <si>
    <t>Siva Sai Gents PG</t>
  </si>
  <si>
    <t>Saradhi Dellesh Karthik</t>
  </si>
  <si>
    <t>7095778481</t>
  </si>
  <si>
    <t>7382461408</t>
  </si>
  <si>
    <t>Siva sai gents pg</t>
  </si>
  <si>
    <t>Siva sai gents pg , City park, Plot#95A, Mamoothiamman, 3rd St, Sipcot, Siruseri, Chennai, Tamil Nadu 603103</t>
  </si>
  <si>
    <t>Thumuluri Harsha Sri Karthikeya</t>
  </si>
  <si>
    <t>6302313370</t>
  </si>
  <si>
    <t>9704308917</t>
  </si>
  <si>
    <t>Siva sai gents pg,Plot No.95A,Mamoothyamman 3rd Street,City Park ,Sipcot Siruseri, Chennai -603103</t>
  </si>
  <si>
    <t>Ungarala Jaswik Kumar</t>
  </si>
  <si>
    <t>8639772009</t>
  </si>
  <si>
    <t>8008834905</t>
  </si>
  <si>
    <t>siva sai gents pg</t>
  </si>
  <si>
    <t>KANDABHATTU S S V K SATISH RAJU</t>
  </si>
  <si>
    <t>8985962899</t>
  </si>
  <si>
    <t>9491023548</t>
  </si>
  <si>
    <t>Siva Sai GENTS PG</t>
  </si>
  <si>
    <t>SS Gents pg, Egattur, Siruseri</t>
  </si>
  <si>
    <t>No I dont have any Comments</t>
  </si>
  <si>
    <t>Polisetti Durga Varaprasad</t>
  </si>
  <si>
    <t>9542101619</t>
  </si>
  <si>
    <t>8639624332</t>
  </si>
  <si>
    <t>Siva Sai Gents PG, City park, Plot#95A, Mamoothiamman, 3rd street, Sipcot, Siruseri, Chennai, Tamil Nadu -603103</t>
  </si>
  <si>
    <t>Shreenidhi H</t>
  </si>
  <si>
    <t>9731764659</t>
  </si>
  <si>
    <t>9844090139</t>
  </si>
  <si>
    <t xml:space="preserve">Siva Sai Gents PG </t>
  </si>
  <si>
    <t>Kunchanapalli Arjun Kumar</t>
  </si>
  <si>
    <t>9640716242</t>
  </si>
  <si>
    <t>9182021323</t>
  </si>
  <si>
    <t xml:space="preserve">Siva Sai gents PG </t>
  </si>
  <si>
    <t>City Park, Plot No. 95A, Mamoothiamman Kovil 3rd Street, SIPCOT IT Park, Siruseri, Chennai - 603103</t>
  </si>
  <si>
    <t>Erukala Dinesh Karthik</t>
  </si>
  <si>
    <t>9110730213</t>
  </si>
  <si>
    <t>9010590647</t>
  </si>
  <si>
    <t>Siva Sai Gents PG - SIPCOT</t>
  </si>
  <si>
    <t>Siva Sai Gents PG, City Park, Plot No.95A, Mamoothiamman 3rd Street, SIPCOT, Siruseri, Chennai, Tamil Nadu - 603103</t>
  </si>
  <si>
    <t>NO Comments</t>
  </si>
  <si>
    <t>Talluri Ajay kumar</t>
  </si>
  <si>
    <t>7569133459</t>
  </si>
  <si>
    <t>6302889968</t>
  </si>
  <si>
    <t>Siva Sai Gents Pg , Sipcot</t>
  </si>
  <si>
    <t>Siva Sai Gents PG , City park, Plot-95A, Mamoothiamman, 3rd St, Sipcot , Siruseri,Chennai, Tamil Nadu 603103</t>
  </si>
  <si>
    <t xml:space="preserve">Akash S Patil </t>
  </si>
  <si>
    <t>9663672816</t>
  </si>
  <si>
    <t>9740793369</t>
  </si>
  <si>
    <t>Siva sai gents pg , sipcot</t>
  </si>
  <si>
    <t>Siva sai gents pg, City park, Plot#95A, Mamoothiamman, 3rd St, Sipcot, Siruseri, Chennai, Tamil Nadu 603103</t>
  </si>
  <si>
    <t>Shamlik Sarfaraz</t>
  </si>
  <si>
    <t>9391530449</t>
  </si>
  <si>
    <t>9966322009</t>
  </si>
  <si>
    <t>Siva Sai Gents PG ,Egattur</t>
  </si>
  <si>
    <t xml:space="preserve">Siva sai Gents PG, JMamoothiamman,3rd st, sipcot, siruseri, Chennai , 603103 </t>
  </si>
  <si>
    <t>HARSHAVARDHAN MURALA</t>
  </si>
  <si>
    <t>7893944059</t>
  </si>
  <si>
    <t>9866272850</t>
  </si>
  <si>
    <t>SIVA SAI GENTS PG- EGATTUR</t>
  </si>
  <si>
    <t>Siva Sai Gents PG ,City park, Plot#95A, Mamoothiamman, 3rd St, Sipcot, Siruseri, Chennai, Tamil Nadu 603103</t>
  </si>
  <si>
    <t>Gogineni Charan Sai</t>
  </si>
  <si>
    <t>6303857349</t>
  </si>
  <si>
    <t>9392852179</t>
  </si>
  <si>
    <t>siva sai gents pg -eggattur</t>
  </si>
  <si>
    <t>siva sai gents pg,city park,mamoothaiamman,3rd street,sipcot,siruseri,chennai,tamil nadu-603103</t>
  </si>
  <si>
    <t>SANIKOMMU AKSHITH REDDY</t>
  </si>
  <si>
    <t>8919362385</t>
  </si>
  <si>
    <t>9948767233</t>
  </si>
  <si>
    <t>Siva Sai gents pg hostel, Siruseri</t>
  </si>
  <si>
    <t>City Park, Plot395A, Mamoothiamman,3rdst Sipcot , Siruseri, Chennai, Tamil Nadu</t>
  </si>
  <si>
    <t>Khasim Basha Shaik</t>
  </si>
  <si>
    <t>7799164807</t>
  </si>
  <si>
    <t>8297093817</t>
  </si>
  <si>
    <t>Siva Sai Gents PG, Egattur</t>
  </si>
  <si>
    <t>Maddukuri K B M Sivakumar</t>
  </si>
  <si>
    <t>6301943548</t>
  </si>
  <si>
    <t>9502467618</t>
  </si>
  <si>
    <t>Siva Sai Gents Pg, Plot No.95A,Mamoothiamman, 3rd st, Sipcot, Siruseri, Chennai, Tamil Nadu 603103</t>
  </si>
  <si>
    <t>Mahendar Babu Aluwala</t>
  </si>
  <si>
    <t>9960259300</t>
  </si>
  <si>
    <t>9421208049</t>
  </si>
  <si>
    <t>Siva Sai Gents PG, Sipcot</t>
  </si>
  <si>
    <t>Siva Sai Gents PG, city park, Plot#95A, Mamoothiamman, 3rd St, Sipcot, Siruseri, Chennai, 603103</t>
  </si>
  <si>
    <t>Siva Sai Gents Pg, Sipcot, Siruseri</t>
  </si>
  <si>
    <t>Siva Sai Gents Pg, Plot No.95A, Mamoothiamman, 3rd st, Sipcot, Siruseri, Chennai, Tamil Nadu 603103</t>
  </si>
  <si>
    <t>Chiruguri Purna Prasanth</t>
  </si>
  <si>
    <t>9581890220</t>
  </si>
  <si>
    <t>9908663276</t>
  </si>
  <si>
    <t>Siva Sai Gents PG, Siruseri</t>
  </si>
  <si>
    <t>Siva Sai Gents PG, City Park, Plot #95A, Mamoothiamman, 3rd St, SIPCOT, Siruseri, Chennai, Tamil Nadu-603103</t>
  </si>
  <si>
    <t>Adithya N</t>
  </si>
  <si>
    <t>8867095069</t>
  </si>
  <si>
    <t>9845906372</t>
  </si>
  <si>
    <t>siva sai gents pg, siruseri</t>
  </si>
  <si>
    <t>SS (Siva Sai) Gents PG, 3rd Street, Chennai, Tamil Nadu 600069</t>
  </si>
  <si>
    <t>Avinash kumar Verma</t>
  </si>
  <si>
    <t>9006384254</t>
  </si>
  <si>
    <t>9000995262</t>
  </si>
  <si>
    <t xml:space="preserve">Siva Sai Gents PG, siruseri </t>
  </si>
  <si>
    <t>Siva Sai Gents PG, City park, Plot#95A, Mamoothiamman 3rd st, Sipot, Siruseri, Chennai, Tamil Nadu 603103</t>
  </si>
  <si>
    <t>Bharatala Lokesh</t>
  </si>
  <si>
    <t>8639644472</t>
  </si>
  <si>
    <t>9848261459</t>
  </si>
  <si>
    <t>Siva Sai Gents pg,Siruseri.</t>
  </si>
  <si>
    <t>City park,Plot#95A,Mamoothiamman,3rd St,Sipcot,Siruseri,Chennai,Tamilnadu,603103.</t>
  </si>
  <si>
    <t>VUJIRI SANDEEP</t>
  </si>
  <si>
    <t>8309950295</t>
  </si>
  <si>
    <t>9494593565</t>
  </si>
  <si>
    <t>SIVA SAI MENS PG</t>
  </si>
  <si>
    <t>SIVA SAI MENS PG, SIPCOT IT PARK, SIRUSERI-603103</t>
  </si>
  <si>
    <t>NOTHING</t>
  </si>
  <si>
    <t>SIVA SAI MENS PG,SIPCOT IT PARK, SIRUSERI-603103</t>
  </si>
  <si>
    <t>Tanishq Yadav</t>
  </si>
  <si>
    <t>9997031466</t>
  </si>
  <si>
    <t>8433093416</t>
  </si>
  <si>
    <t xml:space="preserve">Siva Sai PG , Sipcot , Siruseri , Chennai </t>
  </si>
  <si>
    <t>Mohammad Muzammil</t>
  </si>
  <si>
    <t>7993997329</t>
  </si>
  <si>
    <t>6309342643</t>
  </si>
  <si>
    <t>Siva Sai PG SIPCOT IT  park</t>
  </si>
  <si>
    <t>City park, plot 95A, Mamoothiamman, 3rd st, SIPCOT, Siruseri</t>
  </si>
  <si>
    <t>Harshanandhini Thangavel</t>
  </si>
  <si>
    <t>8754850341</t>
  </si>
  <si>
    <t>9894095354</t>
  </si>
  <si>
    <t>SK ladies PG, Navalur</t>
  </si>
  <si>
    <t>20/254, Ma Po Si street, Navalur, Tamil Nadu, 600130</t>
  </si>
  <si>
    <t>Manoj S</t>
  </si>
  <si>
    <t>9483740816</t>
  </si>
  <si>
    <t>7892821962</t>
  </si>
  <si>
    <t>Sky Garden villa Srinivasa Nagar</t>
  </si>
  <si>
    <t>Sky Garden villa Srinivasa Nagar 7th Street Kazhipattur  603103</t>
  </si>
  <si>
    <t xml:space="preserve">Chakala Sai Sindhu </t>
  </si>
  <si>
    <t>9866839147</t>
  </si>
  <si>
    <t>9440999025</t>
  </si>
  <si>
    <t>SLR ladies hostel, Egattur</t>
  </si>
  <si>
    <t>SLR ladies hostel, Kamarajar street, Egattur.</t>
  </si>
  <si>
    <t>Chevuru Lasya</t>
  </si>
  <si>
    <t>8688114767</t>
  </si>
  <si>
    <t>9392110743</t>
  </si>
  <si>
    <t>Slr Ladies hostel, egattur</t>
  </si>
  <si>
    <t>4/115, Kamaraja Street, Egattur, Chennai, Tamil Nadu 600130</t>
  </si>
  <si>
    <t>B AKSHITHA</t>
  </si>
  <si>
    <t>7013284101</t>
  </si>
  <si>
    <t>9441616070</t>
  </si>
  <si>
    <t>SLR LADIES PG ,EGATTUR</t>
  </si>
  <si>
    <t>SLR LADIES PG, KAMARAJA STREET, EGATTUR, CHENNAI, TAMILNADU, -600130</t>
  </si>
  <si>
    <t>Surabhi Bandari</t>
  </si>
  <si>
    <t>7660054218</t>
  </si>
  <si>
    <t>9848624218</t>
  </si>
  <si>
    <t>Smile Inn Ladies pg</t>
  </si>
  <si>
    <t>Near Sipcot It Park, Omr, Landmark, Opposite to Marina Mall, Behind Tongue Multi Cuisine Restaurant, Rajiv Gandhi Salai, Navalur, Chennai-600130, Tamil Nadu</t>
  </si>
  <si>
    <t>Shweta Shankar Verma</t>
  </si>
  <si>
    <t>8483046150</t>
  </si>
  <si>
    <t>9373261638</t>
  </si>
  <si>
    <t>Smile Inn ladies PG branch 2 ,Egattur</t>
  </si>
  <si>
    <t>Smiles Inn Ladies PG 2 Branch besides TVS service center,Palandi Amman Koil Street,Egattur, Navalur ,Chengalpattu - 600130,IN - TN</t>
  </si>
  <si>
    <t>SHWETA SHANKAR VERMA</t>
  </si>
  <si>
    <t>Smile Inn PG branch 2 ,Egattur</t>
  </si>
  <si>
    <t>Smiles Inn Ladies pd 2 branch besides TVS service center,Palandi Amman KOil Street,Egattur,Navalur,Chengalpattur - 600130</t>
  </si>
  <si>
    <t>Ashiya begam S</t>
  </si>
  <si>
    <t>7339525963</t>
  </si>
  <si>
    <t>8438571527</t>
  </si>
  <si>
    <t>Smiles In pg for women, Egattur</t>
  </si>
  <si>
    <t>Smiles In pg,Besides hameed Fathima jumma Masjid, Opp to thalasery Restaurant, 2nd street, Egattur, Chennai - 603103</t>
  </si>
  <si>
    <t>Cherala Harini</t>
  </si>
  <si>
    <t>6302720457</t>
  </si>
  <si>
    <t>9700698601</t>
  </si>
  <si>
    <t xml:space="preserve">Smiles In Pg services for ladies </t>
  </si>
  <si>
    <t>Smiles In Pg services for ladies , JJ Nagar , 603103, Egattur</t>
  </si>
  <si>
    <t>Badam Navya Sri Bala</t>
  </si>
  <si>
    <t>9347535554</t>
  </si>
  <si>
    <t>9553700800</t>
  </si>
  <si>
    <t>Smiles Inn Branch 3</t>
  </si>
  <si>
    <t>186/2A, Pazhandiyamman Koil Street, Navalur, Chengalpattu, 600310</t>
  </si>
  <si>
    <t>Sakthi sri devi G</t>
  </si>
  <si>
    <t>9150165719</t>
  </si>
  <si>
    <t>9790893339</t>
  </si>
  <si>
    <t>Smiles inn Ladies PG</t>
  </si>
  <si>
    <t>Smiles inn PG, OMR, Rajiv Gandhi salai, Opposite to marina mall, Navalur, Tamilnadi-600130</t>
  </si>
  <si>
    <t>Karishma Banu Shaik</t>
  </si>
  <si>
    <t>9963166169</t>
  </si>
  <si>
    <t>7032698327</t>
  </si>
  <si>
    <t>Smiles Inn Ladies Pg  - Branch 1, Egattur</t>
  </si>
  <si>
    <t xml:space="preserve">smiles Inn pg 2 186/2A, Pazhandiyamman Koil Street, Navalur, Chengalpattu, 600130, Tamil Nadu, Chennai </t>
  </si>
  <si>
    <t>PASUPULETI VIJAYALAKSHMI</t>
  </si>
  <si>
    <t>8688703553</t>
  </si>
  <si>
    <t>7036393093</t>
  </si>
  <si>
    <t>SMILES INN LADIES PG-  BRANCH 2,EGATTUR</t>
  </si>
  <si>
    <t>SMILES INN LADIES PG,BRANCH 2,JJ NAGAR,EGATTUR, TAMIL NADU-603103</t>
  </si>
  <si>
    <t>srirangam baby iswarya</t>
  </si>
  <si>
    <t>6301513822</t>
  </si>
  <si>
    <t>7731023857</t>
  </si>
  <si>
    <t>Smiles inn ladies pg, - branch 2,egattur</t>
  </si>
  <si>
    <t>Smiles inn ladies pg, Besides Hameed Fathima Jumma Masjid,Opposite to Thalassery Restaurant, 2nd St, near SIPCOT IT Park, JJ Nagar, Egattur, Chennai, Tamil Nadu, Kelambakkam, 603103</t>
  </si>
  <si>
    <t>Varshaa S</t>
  </si>
  <si>
    <t>9952048318</t>
  </si>
  <si>
    <t>6380042460</t>
  </si>
  <si>
    <t>Smiles Inn Ladies Pg, Near TVS Service, Egattur</t>
  </si>
  <si>
    <t>Smiles Inn Ladies PG, Vembuli Amman Street, Egattur, Siruseri, Tamil Nadu-600130</t>
  </si>
  <si>
    <t>KAVYA NAGULAPALLI</t>
  </si>
  <si>
    <t>9949538268</t>
  </si>
  <si>
    <t>9573022815</t>
  </si>
  <si>
    <t>SMILES INN PG</t>
  </si>
  <si>
    <t>Besides Hameed Fathima Jumma Masjid, Land Mark:Opposite to Thalassery Restaurant, 2nd St, near SIPCOT IT Park, JJ Nagar, Egattur, Chennai, Tamil Nadu 603103</t>
  </si>
  <si>
    <t>IKKURTHI MAHITHA</t>
  </si>
  <si>
    <t>8309714701</t>
  </si>
  <si>
    <t>9985777647</t>
  </si>
  <si>
    <t xml:space="preserve">SMILES INN PG </t>
  </si>
  <si>
    <t>THALASSERY RESTAURANT,2ND STREET,JJ NAGAR BESIDES HAMEED FATHIMA JUMMA MASJID</t>
  </si>
  <si>
    <t>Alluri Pooja</t>
  </si>
  <si>
    <t>9948373355</t>
  </si>
  <si>
    <t>9948473355</t>
  </si>
  <si>
    <t>Smiles Inn PG - Branch 1, Egatoor</t>
  </si>
  <si>
    <t>Smiles Inn PG - Branch 1, beside Hameeda Fathima masjid, opposite to Thalassery restaurant , 2nd st, near Sipcot it park, JJ nagar,egattur,Chennai, Tamil Nadu, 603103</t>
  </si>
  <si>
    <t>Brinda A</t>
  </si>
  <si>
    <t>7397390008</t>
  </si>
  <si>
    <t>6374511413</t>
  </si>
  <si>
    <t>Smiles Inn Pg , Egatur</t>
  </si>
  <si>
    <t>Smiles Inn Ladies PG besides TVS service center, Palandi Amman Kovil Street, Egattur, Navalur, Chengalpattu - 600130</t>
  </si>
  <si>
    <t>Vindhyashree Kanyadi Shridhar</t>
  </si>
  <si>
    <t>7795059479</t>
  </si>
  <si>
    <t>9886711523</t>
  </si>
  <si>
    <t>smiles inn pg -branch  2, egattur</t>
  </si>
  <si>
    <t>smiles inn pg, branch 2,vempuli amman kovil street, egattur, siruseri, Tamil Nadu 603103</t>
  </si>
  <si>
    <t>Ramya V</t>
  </si>
  <si>
    <t>9150243517</t>
  </si>
  <si>
    <t>9880547253</t>
  </si>
  <si>
    <t>Smiles inn PG BRANCH 3 EGATTUR</t>
  </si>
  <si>
    <t xml:space="preserve">SMILES INN PG, BRANCH 3, EGATTUR </t>
  </si>
  <si>
    <t>Rakshita Ramesh Danagoud</t>
  </si>
  <si>
    <t>9380786346</t>
  </si>
  <si>
    <t>99451572318</t>
  </si>
  <si>
    <t>Smiles Inn pg for girls JJ nagar, Egattur</t>
  </si>
  <si>
    <t>Smiles Inn pg for girls JJ nagar, Egattur near Masjid</t>
  </si>
  <si>
    <t>Anjana K</t>
  </si>
  <si>
    <t>9496055015</t>
  </si>
  <si>
    <t>9447395015</t>
  </si>
  <si>
    <t>Smiles Inn PG for ladies</t>
  </si>
  <si>
    <t>Smiles Inn PG for ladies, Near Hameed Fathima Masjid, Egattur, Uthandi, Chengalpattu, 603103</t>
  </si>
  <si>
    <t>Ananya Praseed Kumar</t>
  </si>
  <si>
    <t>9400624824</t>
  </si>
  <si>
    <t>9495917500</t>
  </si>
  <si>
    <t>Smiles Inn PG for Ladies</t>
  </si>
  <si>
    <t>Smiles Inn PG for Ladies, Near Hameed Fatima Masjid, Egattur, Uthandi, Chengalpattu, 603103</t>
  </si>
  <si>
    <t>Pratheeksha H S</t>
  </si>
  <si>
    <t>8762521935</t>
  </si>
  <si>
    <t>9902569845</t>
  </si>
  <si>
    <t>Smiles inn PG for Ladies</t>
  </si>
  <si>
    <t>Besides Hamees Fathima Jumma Masjid, opposite to Thalassery Restaurant, 2nd St, near SIPOCT IT park, JJ Nagar, Egattur, Chennai</t>
  </si>
  <si>
    <t>Chaithanya Shaji</t>
  </si>
  <si>
    <t>9995047012</t>
  </si>
  <si>
    <t>9048915243</t>
  </si>
  <si>
    <t>Smiles Inn Pg for Ladies - Near Hameed Fathima Jumma Masjid, Egattur</t>
  </si>
  <si>
    <t>Smiles Inn Pg for Ladies, Near Hameed Fathima Jumma Masjid, 2nd Street, JJ Nagar, Egattur, Chennai, Tamil Nadu 603103</t>
  </si>
  <si>
    <t>Arli Aswini Srija</t>
  </si>
  <si>
    <t>8374374936</t>
  </si>
  <si>
    <t>9553948660</t>
  </si>
  <si>
    <t>Smiles Inn Pg for Ladies ,Branch-3</t>
  </si>
  <si>
    <t>Near tvs service center ,omr, navallur</t>
  </si>
  <si>
    <t>Ramya Varshini GH</t>
  </si>
  <si>
    <t>6383069044</t>
  </si>
  <si>
    <t>9443472644</t>
  </si>
  <si>
    <t>Smiles Inn PG for Womens, Egattur</t>
  </si>
  <si>
    <t>Opposite to thalassery Restaurant, 2nd St, near SIPCOT IT Park, JJ Nagar, Egattur, Chennai, Tamil Nadu 603103</t>
  </si>
  <si>
    <t>Sahana V Iyer</t>
  </si>
  <si>
    <t>9916967129</t>
  </si>
  <si>
    <t>9686727969</t>
  </si>
  <si>
    <t>Smiles Inn PG Services for ladies</t>
  </si>
  <si>
    <t>Besides Hameed fathima jumma masjid, opposite to thalassery restaurant, 2nd st, near sipcot IT park, jj nagar, Egattur, chennai, tamil nadu 603103</t>
  </si>
  <si>
    <t>AMISHA NATH</t>
  </si>
  <si>
    <t>6202623741</t>
  </si>
  <si>
    <t>9525283164</t>
  </si>
  <si>
    <t>smiles inn pg services for ladies</t>
  </si>
  <si>
    <t>smiles inn pg services for ladies, Besides Hameed Fathima Jumma Masjid, Land Mark:Opposite to Thalassery Restaurant, 2nd St, near SIPCOT IT Park, JJ Nagar, Egattur, Chennai, Tamil Nadu 603103, India</t>
  </si>
  <si>
    <t>Mohanavalli T</t>
  </si>
  <si>
    <t>9080225039</t>
  </si>
  <si>
    <t>8610496565</t>
  </si>
  <si>
    <t>Smiles Inn PG Services For Ladies</t>
  </si>
  <si>
    <t>Smiles Inn PG Services For Ladies,Besides Hameed Fathima Jumma Masjid, Land Mark:Opposite to Thalassery Restaurant, 2nd St, near SIPCOT IT Park, JJ Nagar, Egattur, Chennai, Tamil Nadu 603103</t>
  </si>
  <si>
    <t xml:space="preserve">Bandi Varshitha </t>
  </si>
  <si>
    <t>7093327926</t>
  </si>
  <si>
    <t>9866932304</t>
  </si>
  <si>
    <t>Smiles Inn PG Services For Ladies, Besides Hameed Fathima Jumma Masjid, Land Mark:Opposite to Thalassery Restaurant, 2nd St, near SIPCOT IT Park, JJ Nagar, Egattur, Chennai, Tamil Nadu 603103</t>
  </si>
  <si>
    <t>Logapriya R</t>
  </si>
  <si>
    <t>9952664353</t>
  </si>
  <si>
    <t>7339475779</t>
  </si>
  <si>
    <t>Smiles Inn pg services for ladies</t>
  </si>
  <si>
    <t>Near SIPCOT IT Park, OMR, Rajiv Gandhi Salai, Opposite to Marina Mall, Navalur, Landmark:-Behind Tongue Multi Cuisine Restaurant, Egattur, Chennai, Tamil Nadu 600130</t>
  </si>
  <si>
    <t>Vyakaranam Sirisha Lahari</t>
  </si>
  <si>
    <t>9492811138</t>
  </si>
  <si>
    <t>8523812946</t>
  </si>
  <si>
    <t xml:space="preserve">Smiles Inn Pg services for ladies </t>
  </si>
  <si>
    <t>Smiles Inn pg 2 186/2A, Pazhandiyamman Koli Street , Navalur, Chengalpattu, 600130, TamilNadu.</t>
  </si>
  <si>
    <t>Gujjula Lakshmi Aishwarya</t>
  </si>
  <si>
    <t>7981464546</t>
  </si>
  <si>
    <t>6304828370</t>
  </si>
  <si>
    <t xml:space="preserve">Smiles Inn PG services for ladies </t>
  </si>
  <si>
    <t>Besides Hameed Fathima Jumma Masjid, Land Mark: Opposite to Thalassery Restaurant, 2nd St, near SIPCOT IT Park, JJ Nagar, Egattur</t>
  </si>
  <si>
    <t>Shanmathi A</t>
  </si>
  <si>
    <t>8807143269</t>
  </si>
  <si>
    <t>8883295259</t>
  </si>
  <si>
    <t xml:space="preserve">Smiles Inn PG services for Ladies </t>
  </si>
  <si>
    <t xml:space="preserve">Beside hameed fathima jumma masjid, Opposite to Thalassery Restaurant, 2nd street, near SIPCOT IT park, JJ nagar, Egattur, Chennai, Tamil nadu - 603103 </t>
  </si>
  <si>
    <t>Bandi Varshitha</t>
  </si>
  <si>
    <t xml:space="preserve">Smiles Inn PG Services For Ladies </t>
  </si>
  <si>
    <t>Rithika L</t>
  </si>
  <si>
    <t>8098202872</t>
  </si>
  <si>
    <t>9944223322</t>
  </si>
  <si>
    <t>Smiles Inn PG Services For Ladies (Egattur)</t>
  </si>
  <si>
    <t>Besides Hameed Fathima Jumma Masjid, Land Mark: Opposite to Thalassery Restaurant, 2nd St, near SIPCOT IT Park, JJ Nagar, Egattur, Chennai, Tamil Nadu 603103</t>
  </si>
  <si>
    <t>Rapeti Nandini</t>
  </si>
  <si>
    <t>9392281765</t>
  </si>
  <si>
    <t>7569258898</t>
  </si>
  <si>
    <t>Smiles Inn pg services for ladies Branch 2,Egattur</t>
  </si>
  <si>
    <t>Smiles Inn pg services for ladies Branch 2, Beside jamma masjid, Egattur,Siruseri, Tamilnadu-603103</t>
  </si>
  <si>
    <t>Divya S</t>
  </si>
  <si>
    <t>6385691162</t>
  </si>
  <si>
    <t>9787345607</t>
  </si>
  <si>
    <t>Gunithi Sowmya</t>
  </si>
  <si>
    <t>8121537503</t>
  </si>
  <si>
    <t>9133219447</t>
  </si>
  <si>
    <t>Smiles Inn PG Services For Ladies, Egattur</t>
  </si>
  <si>
    <t>Smiles Inn PG Services For Ladies, Besides Hameed Fathima Jumma Masjid, JJ Nagar, Egattur, Siruseri, TamilNadu - 603103</t>
  </si>
  <si>
    <t>Niranjana Priya Selvakumar</t>
  </si>
  <si>
    <t>9361740028</t>
  </si>
  <si>
    <t>8903152619</t>
  </si>
  <si>
    <t>Smiles Inn PG services for ladies, Egattur</t>
  </si>
  <si>
    <t>Smiles Inn PG Services for ladies, OMR, Rajiv Gandhi Salai, Opposite to Marina Mall, Egattur, Chennai-600130.</t>
  </si>
  <si>
    <t>Guduvanchery</t>
  </si>
  <si>
    <t>Shobika G</t>
  </si>
  <si>
    <t>8500178521</t>
  </si>
  <si>
    <t>9843178521</t>
  </si>
  <si>
    <t>Challa Akshitha</t>
  </si>
  <si>
    <t>9381645156</t>
  </si>
  <si>
    <t>9948344729</t>
  </si>
  <si>
    <t>Smiles inn PG services for Ladies, Egattur,Siruseri</t>
  </si>
  <si>
    <t>Smiles inn PG services for ladies, Opp to Thalassery Restaurant, 2nd street, JJ Nagar, Egattur, Siruseri, Chennai - 603103</t>
  </si>
  <si>
    <t>Lanka Ramya Sree</t>
  </si>
  <si>
    <t>6281479856</t>
  </si>
  <si>
    <t>9951053442</t>
  </si>
  <si>
    <t>Smiles Inn PG,Egattur</t>
  </si>
  <si>
    <t>SMILES INN SERVICE PG FOR LADIES</t>
  </si>
  <si>
    <t>SMILES INN SERVICE PG FOR LADIES, Besides Hameed Fathima Jumma Masjid, Land Mark:Opposite to Thalassery Restaurant, 2nd St, near SIPCOT IT Park, JJ Nagar, Egattur, Chennai, Tamil Nadu 603103, India</t>
  </si>
  <si>
    <t>Sakshi Rajendra Chavan</t>
  </si>
  <si>
    <t>7249801021</t>
  </si>
  <si>
    <t>9545155070</t>
  </si>
  <si>
    <t>Smiles PG - Branch 2, Egattur</t>
  </si>
  <si>
    <t>Smiles PG, Branch 2, Egattur, Navalur, Tamil Nadu - 603103</t>
  </si>
  <si>
    <t>BOBBILI ARSHA TANUJA SRI</t>
  </si>
  <si>
    <t>9032259998</t>
  </si>
  <si>
    <t>8464065256</t>
  </si>
  <si>
    <t>Smiles PG, Besides Hameed Fathima Jumma Masjid, landmark: Opposite to Thalassery Restaurent, 2nd Street, near Sipcot IT park,jj nagar</t>
  </si>
  <si>
    <t xml:space="preserve">Smiles PG, Besides Hameed Fathima Jumma Masjid, landmark: Opposite to Thalassery Restaurent, 2nd Street, near Sipcot IT park,jj nagar, Tamilnadu </t>
  </si>
  <si>
    <t>SMILES WOMENS PG</t>
  </si>
  <si>
    <t>SMILES WOMENS PG, BESIDE HAMEED FATHIMA JUMMA MASJID, OPPOSITE TO THALASSERY RESTAURENT, 2ND STREET NEAR SIPCOT IT PARK, JJ NAGAR, EGATTUR CHENNAI TAMILNADU 603103</t>
  </si>
  <si>
    <t>Adari Jhansi Manasa</t>
  </si>
  <si>
    <t>9949633351</t>
  </si>
  <si>
    <t>9573178441</t>
  </si>
  <si>
    <t>smily inn pg,block 3,Navalur</t>
  </si>
  <si>
    <t>SMILY INN PG,Block 3,OMR,Beside tvs service center,Navalur,Siruseri.</t>
  </si>
  <si>
    <t>Aysha Idris M</t>
  </si>
  <si>
    <t>8124442048</t>
  </si>
  <si>
    <t>9092860884</t>
  </si>
  <si>
    <t>SN Guru Flats, Virugambakkam</t>
  </si>
  <si>
    <t>No.164, SN Guru Flats, Kaliamman Koil Street, Virugambakkam, Chennai, Tamil nadu - 600092</t>
  </si>
  <si>
    <t>Rohin S</t>
  </si>
  <si>
    <t>8110926181</t>
  </si>
  <si>
    <t>sng pg</t>
  </si>
  <si>
    <t>,near sipcot IT park,siruseri,egattur,chennai,Tamilnadu-603103</t>
  </si>
  <si>
    <t xml:space="preserve">Sagar Chandrashekhar Saner </t>
  </si>
  <si>
    <t>9518734389</t>
  </si>
  <si>
    <t>8983105777</t>
  </si>
  <si>
    <t>SNG PG Siruseri</t>
  </si>
  <si>
    <t>Sng PG City Park Layout, Egattur, Tamil Nadu 603103</t>
  </si>
  <si>
    <t>SNG PG City Park Layout, Egattur, Tamil Nadu 603103.</t>
  </si>
  <si>
    <t>Mauliza Nayak</t>
  </si>
  <si>
    <t>7735844693</t>
  </si>
  <si>
    <t>8840868484</t>
  </si>
  <si>
    <t>SNS Ladies pg</t>
  </si>
  <si>
    <t xml:space="preserve">SNS PG FOR LADIES, 1/115, PANZHADIAMMAN KOVIL STREET, Egattur, Chennai, Tamil Nadu 600130  </t>
  </si>
  <si>
    <t>Donthi Samanvitha Reddy</t>
  </si>
  <si>
    <t>9440083302</t>
  </si>
  <si>
    <t>9989636910</t>
  </si>
  <si>
    <t>SNS Ladies PG, Egattur</t>
  </si>
  <si>
    <t>1/115 ,panzhadiamman kovil street,Egattur, Chennai,TamilNadu 600130</t>
  </si>
  <si>
    <t>Gouri Shankar Mahendrakar</t>
  </si>
  <si>
    <t>7676949017</t>
  </si>
  <si>
    <t>9900681168</t>
  </si>
  <si>
    <t>SNS PG for Ladies</t>
  </si>
  <si>
    <t>1/115, PANZHADIAMMAN KOVIL STREET, Natham Link Road Egattur, Chennai, Tamil Nadu, 603103</t>
  </si>
  <si>
    <t>IMPANA.N</t>
  </si>
  <si>
    <t>9019162292</t>
  </si>
  <si>
    <t>8050669361</t>
  </si>
  <si>
    <t>SNS PG FOR LADIES</t>
  </si>
  <si>
    <t>1/115 , PANZHADIAMMAN KOVIL STREET, EGATTUR, CHENNAI,TAMIL NADU</t>
  </si>
  <si>
    <t>Shivam Chaudhary</t>
  </si>
  <si>
    <t>8171175654</t>
  </si>
  <si>
    <t>9862357104</t>
  </si>
  <si>
    <t>Soma Men Stays</t>
  </si>
  <si>
    <t xml:space="preserve">Soma Men Stays, </t>
  </si>
  <si>
    <t>SARVA SIVA SAI BHASKAR</t>
  </si>
  <si>
    <t>9110598518</t>
  </si>
  <si>
    <t>9989693750</t>
  </si>
  <si>
    <t>SOMA MENS PG</t>
  </si>
  <si>
    <t>SOMA MENS STAY, CITY PARK LAYOUT, SIPCOT SIRUSERI, EGATUR, CHENNAI</t>
  </si>
  <si>
    <t>Damisetty Lohith</t>
  </si>
  <si>
    <t>7396433330</t>
  </si>
  <si>
    <t>9059235353</t>
  </si>
  <si>
    <t>Soma Mens Pg</t>
  </si>
  <si>
    <t>Soma Mens Pg ,1st floor room no 102.</t>
  </si>
  <si>
    <t>Kiran D R</t>
  </si>
  <si>
    <t>8792055287</t>
  </si>
  <si>
    <t>8310047051</t>
  </si>
  <si>
    <t xml:space="preserve">Soma mens pg </t>
  </si>
  <si>
    <t>siruseri , Sipcot</t>
  </si>
  <si>
    <t>Reddy Jagadeesh Babu</t>
  </si>
  <si>
    <t>9390119884</t>
  </si>
  <si>
    <t>9966776194</t>
  </si>
  <si>
    <t>Soma mens PG hostel, siruseri, Tamil Nadu - 603103</t>
  </si>
  <si>
    <t>Neelisetti N N V K Durga Manikanta</t>
  </si>
  <si>
    <t>9989370326</t>
  </si>
  <si>
    <t>8333877336</t>
  </si>
  <si>
    <t>Soma Mens PG, Egattur</t>
  </si>
  <si>
    <t>Soma Mens PG, Egattur, Siruseri, Tamil Nadu - 603103</t>
  </si>
  <si>
    <t>Soma Mens PG,  Egattur, Siruseri, Tamil Nadu - 603103</t>
  </si>
  <si>
    <t>SOMA MENS STAY</t>
  </si>
  <si>
    <t>SOMA MENS STAY, CITY PARK LAYOUT, SIRUSERI SIPCOT, EGATUR, CHENNAI</t>
  </si>
  <si>
    <t>Piyush Dnyaneshwar Ghanghav</t>
  </si>
  <si>
    <t>9604177859</t>
  </si>
  <si>
    <t>9172956211</t>
  </si>
  <si>
    <t>Soma Mens Stay</t>
  </si>
  <si>
    <t>Soma Mens Stay, Mammothiamman Street, opposite to Chennai, Egattur, Tamil Nadu 603103</t>
  </si>
  <si>
    <t>Gowtham H M</t>
  </si>
  <si>
    <t>8088546936</t>
  </si>
  <si>
    <t>9480039020</t>
  </si>
  <si>
    <t>Soma Mens Stay(PG Hostel) Plot No. 15,B6,City Park Layout, SIPCOT, Siruseri, Chennai, Tamil Nadu - 603103</t>
  </si>
  <si>
    <t>Mohammed Misba</t>
  </si>
  <si>
    <t>8296250057</t>
  </si>
  <si>
    <t>9535696753</t>
  </si>
  <si>
    <t>Soma mens stay</t>
  </si>
  <si>
    <t>Soma Mens Stay is a men’s paying guest accommodation located at Plot No.15 B6, Sipcot IT Park, City Park Layout, Siruseri, Chennai‑603103, Tamil Nadu</t>
  </si>
  <si>
    <t>Harshal Sambhaji Gade</t>
  </si>
  <si>
    <t>9096742048</t>
  </si>
  <si>
    <t>9423222149</t>
  </si>
  <si>
    <t>soma mens stay</t>
  </si>
  <si>
    <t>PLOT NO.15 B6, Soma Mens Stay, Sipcot IT Park, City Park Layout, 2nd Lane, Mamoothiamman St, Siruseri, Chennai-603103, Tamil Nadu</t>
  </si>
  <si>
    <t>Sumit Pathak</t>
  </si>
  <si>
    <t>8923224793</t>
  </si>
  <si>
    <t>9897862218</t>
  </si>
  <si>
    <t>Venkatesh Chadaram</t>
  </si>
  <si>
    <t>6301496316</t>
  </si>
  <si>
    <t>8125948699</t>
  </si>
  <si>
    <t>plot no. 15, B6, City park layout, sipcot, siruseri, Chennai - 603103</t>
  </si>
  <si>
    <t>Sarvesh Sharad Gurav</t>
  </si>
  <si>
    <t>8767000248</t>
  </si>
  <si>
    <t>8767772114</t>
  </si>
  <si>
    <t>Plot no.15 B6, soma mens stay, Sipcot IT Park, city park Layout , Mamoothiamman St, Siruseri, Chennai- 603103, Tamil Nadu</t>
  </si>
  <si>
    <t>Pranav Ganesh Shahakar</t>
  </si>
  <si>
    <t>7775038456</t>
  </si>
  <si>
    <t>8390727086</t>
  </si>
  <si>
    <t>Plot No. 15, B6, City Park Layout, Sipcot, Siruseri, Chennai-603103</t>
  </si>
  <si>
    <t>plot no. 15, B6, City Layout, Sipcot, Siruseri, Chennai - 603103</t>
  </si>
  <si>
    <t>Somnath Umakant Swami</t>
  </si>
  <si>
    <t>9112692792</t>
  </si>
  <si>
    <t>9112680647</t>
  </si>
  <si>
    <t xml:space="preserve">Soma mens Stay </t>
  </si>
  <si>
    <t xml:space="preserve"> Soma Mens Stay PG, Mammothiamman Street, opposite to Chennai, Egattur, Tamil Nadu 603103  </t>
  </si>
  <si>
    <t>Devesh Bharat Deore</t>
  </si>
  <si>
    <t>8308019106</t>
  </si>
  <si>
    <t xml:space="preserve">Soma Mens Stay </t>
  </si>
  <si>
    <t>Soma Mens Stay, R6HG+V3H, Mammothiamman Street, opposite to Chennai, Egattur, Tamil Nadu 603103</t>
  </si>
  <si>
    <t>Nani Mekala</t>
  </si>
  <si>
    <t>8309174388</t>
  </si>
  <si>
    <t>9550658771</t>
  </si>
  <si>
    <t xml:space="preserve">Soma Mens Stay  </t>
  </si>
  <si>
    <t>Soma Mens Stay (PG hostel), Mammothiamman street, opposite to Chennai, Egattur, Tamilnadu 6031013</t>
  </si>
  <si>
    <t>Tejas Santosh Wanare</t>
  </si>
  <si>
    <t>8080418784</t>
  </si>
  <si>
    <t>9049979371</t>
  </si>
  <si>
    <t>Soma Mens Stay - Sipcot, Siruseri</t>
  </si>
  <si>
    <t>Soma Mens Stay, Plot no.15, B6, City Park Layout, Sipcot, Siruseri, Chennai - 603103</t>
  </si>
  <si>
    <t>Prathmesh Laxmanappa Bhise</t>
  </si>
  <si>
    <t>8600367686</t>
  </si>
  <si>
    <t>8408815909</t>
  </si>
  <si>
    <t>Soma Mens Stay (PG Hostel)</t>
  </si>
  <si>
    <t>Soma Mens Stay (PG Hostel), R6HG+V3H, Mammothiamman Street, opposite to Chennai, Egattur, Tamil Nadu 603103</t>
  </si>
  <si>
    <t>Shubham Rajendra Mahind</t>
  </si>
  <si>
    <t>8329994773</t>
  </si>
  <si>
    <t>7738503888</t>
  </si>
  <si>
    <t>Soma Mens Stay, Plot No. 15, B6, City Park Layout, 2nd Lane, Mamoothiamman Street, Siruseri, Chennai - 603103, Tamil Nadu.</t>
  </si>
  <si>
    <t>Kashinath Rajesh</t>
  </si>
  <si>
    <t>9746376243</t>
  </si>
  <si>
    <t>9496650309</t>
  </si>
  <si>
    <t>Soma Mens Stay (PG Hostel), Plot No. 15 B6, City Park Layout, 2nd Lane, Mamoothiamman St, Siruseri, Chennai - 603103 (Near SIPCOT IT Park)</t>
  </si>
  <si>
    <t>Rohit Dadasaheb Dhage</t>
  </si>
  <si>
    <t>9422089116</t>
  </si>
  <si>
    <t>8668681001</t>
  </si>
  <si>
    <t>R6HG+V3H, Mammothiamman Street, opposite to Chennai, Egattur, Tamil Nadu 603103</t>
  </si>
  <si>
    <t>Hemanth Sri Venkatesh Nadimpalli</t>
  </si>
  <si>
    <t>7032867107</t>
  </si>
  <si>
    <t>9063296967</t>
  </si>
  <si>
    <t>soma mens stay (pg hostel) ,egattur</t>
  </si>
  <si>
    <t>soma mens stay (pg hostel) Mammothiamman street , egattur, chennai tamilnadu 603103</t>
  </si>
  <si>
    <t>soma mens stay (pg hostel) ,egattur.</t>
  </si>
  <si>
    <t>soma mens stay (pg hostel), mammothiamman street , egattur ,chennai ,tamilnadu , 603103</t>
  </si>
  <si>
    <t>Ketha Siva Kishore</t>
  </si>
  <si>
    <t>7993599784</t>
  </si>
  <si>
    <t>8639601104</t>
  </si>
  <si>
    <t>Soma Mens Stay (pg hostel) Mammothiamman Street, opposite to chennai, Egattur, Tamil Nadu 603103</t>
  </si>
  <si>
    <t>Pranav Pravin Bargir</t>
  </si>
  <si>
    <t>8788933359</t>
  </si>
  <si>
    <t>8830817359</t>
  </si>
  <si>
    <t>Soma Mens Stay (PG Hostel), Egattur</t>
  </si>
  <si>
    <t>Soma Mens Stay (PG Hostel), Mammothiamman Street, opposite to Chennai, Egattur, Tamil Nadu-603103</t>
  </si>
  <si>
    <t>I live in Chennai not opposite to Chennai, but the Google Maps have this location.</t>
  </si>
  <si>
    <t>Vybogula Bhavani Shankar Kamaraju</t>
  </si>
  <si>
    <t>8790187768</t>
  </si>
  <si>
    <t>9948187768</t>
  </si>
  <si>
    <t>Soma Mens Stay (PG Hostel), Mammthiamman Street, Opposite to Chennai, Egattur, Tamil Nadu 603103</t>
  </si>
  <si>
    <t>Aditya Narayan Ghatol</t>
  </si>
  <si>
    <t>9307359910</t>
  </si>
  <si>
    <t>9561339162</t>
  </si>
  <si>
    <t>Soma Mens Stay Branch 1, Sipcot IT Park</t>
  </si>
  <si>
    <t>Soma Mens Stay, PLOT NO.15 B6,  Sipcot IT Park, City Park Layout, 2nd Lane, Mamoothiamman St, Siruseri, Chennai-603103, Tamil Nadu</t>
  </si>
  <si>
    <t>9356407740</t>
  </si>
  <si>
    <t>Soma Mens Stay PG</t>
  </si>
  <si>
    <t xml:space="preserve"> Soma Mens Stay PG, Mammoth Amman Street, opposite to Chennai, Egattur, Tamil Nadu 603103</t>
  </si>
  <si>
    <t>Vivek Uttreshwar Giram</t>
  </si>
  <si>
    <t>8010296340</t>
  </si>
  <si>
    <t>9850312226</t>
  </si>
  <si>
    <t xml:space="preserve">Soma Mens Stay PG, near TCS Company, Egattur, Siruseri </t>
  </si>
  <si>
    <t>Rishad V N</t>
  </si>
  <si>
    <t>9048405721</t>
  </si>
  <si>
    <t>7592924222</t>
  </si>
  <si>
    <t>Mammothiamman Street, Egattur, Tamil Nadu, 603103</t>
  </si>
  <si>
    <t>Suryabhansing Narayansing Girase</t>
  </si>
  <si>
    <t>9529672064</t>
  </si>
  <si>
    <t>8080690832</t>
  </si>
  <si>
    <t>Soma Mens Stay PG  Branch 1, Egatur</t>
  </si>
  <si>
    <t>Soma Mens Stay PG, Branch 1  Mammothiamman Street, opposite to Chennai, Egattur, Siruseri,Tamil Nadu 603103</t>
  </si>
  <si>
    <t>Jagtap Omkar Malhari</t>
  </si>
  <si>
    <t>Soma Mens Stay PG, Egattur</t>
  </si>
  <si>
    <t xml:space="preserve"> Soma Mens Stay PG, Mammothiamman Street, opposite to Chennai, Egattur, Tamil Nadu 603103</t>
  </si>
  <si>
    <t>Tanmay Kumar Singatkar</t>
  </si>
  <si>
    <t>9323498704</t>
  </si>
  <si>
    <t>9920587705</t>
  </si>
  <si>
    <t>Soma Mens Stay(Hostel PG)</t>
  </si>
  <si>
    <t>Room.No.301,Soma Mens PG Hostel, Plot. No. 15,B6, City Park Layout, Spicot,Siruseri,Kelambakkam,Chennai,Tamil Nadu-603103</t>
  </si>
  <si>
    <t>Thankyou</t>
  </si>
  <si>
    <t>Ashutosh Premsing Rathod</t>
  </si>
  <si>
    <t>9923346512</t>
  </si>
  <si>
    <t>9011307084</t>
  </si>
  <si>
    <t>Soma Mens stay, sipcot</t>
  </si>
  <si>
    <t>Plot no. 15, B6, City park layout, sipcot, siruseri, chennai 603103</t>
  </si>
  <si>
    <t>Bagul Tejas Sanjay</t>
  </si>
  <si>
    <t>8767461390</t>
  </si>
  <si>
    <t>9272344879</t>
  </si>
  <si>
    <t>Soma Mens Stay, Sipcot, Siruseri, Chennai</t>
  </si>
  <si>
    <t>Soma Mens Stay, Plot No. 15, B6, City Park Layout, Sipcot, Siruseri, Chennai - 603103</t>
  </si>
  <si>
    <t>Soma Mens Stay, Siruseri</t>
  </si>
  <si>
    <t xml:space="preserve">SUBRAMANYA </t>
  </si>
  <si>
    <t>8618314028</t>
  </si>
  <si>
    <t>9743962527</t>
  </si>
  <si>
    <t>Soma Mens StayPlot No. 15 B6, City Park Layout, 2nd LaneMammothiamman Street, EgatturSiruseri, ChennaiTamil Nadu – 603103</t>
  </si>
  <si>
    <t>Nikhil Babulal Santre</t>
  </si>
  <si>
    <t>Soma pg</t>
  </si>
  <si>
    <t>Soma Pg, R6HG+V3H, Mammothiamman Street, opposite to Chennai, Egattur, Tamil Nadu 603103</t>
  </si>
  <si>
    <t>Nihal C Anil</t>
  </si>
  <si>
    <t>9447113945</t>
  </si>
  <si>
    <t>9447384067</t>
  </si>
  <si>
    <t>Soma PG for boys Siruseri</t>
  </si>
  <si>
    <t>Soma PG for Boys siruseri ,Tamil Nadu 603103</t>
  </si>
  <si>
    <t>Makarand Rameshwar Hawale</t>
  </si>
  <si>
    <t>87677721114</t>
  </si>
  <si>
    <t>7020116062</t>
  </si>
  <si>
    <t>Soma PG Siruseri</t>
  </si>
  <si>
    <t>Soma PG ,Egatur,Siruseri,Tamil Nadu -603103</t>
  </si>
  <si>
    <t>Pravin Kumar S</t>
  </si>
  <si>
    <t>8883997979</t>
  </si>
  <si>
    <t>9715017064</t>
  </si>
  <si>
    <t>Soma Pg stays - egattur</t>
  </si>
  <si>
    <t>Soma pg Stays, Mammothiamman street, Egattur, Tamil Nadu ,603103</t>
  </si>
  <si>
    <t>PRAVIN KUMAR SRINIVASAN</t>
  </si>
  <si>
    <t>SOMA PG STAYS , EGATUR</t>
  </si>
  <si>
    <t>Soma Pg Stays - Mamothiamman Street, Egatur, Tamil Nadu , 603103</t>
  </si>
  <si>
    <t>Abhay Ram J</t>
  </si>
  <si>
    <t>9353492824</t>
  </si>
  <si>
    <t>9380085050</t>
  </si>
  <si>
    <t>Soma Pg,Siruseri</t>
  </si>
  <si>
    <t>Soma PG,Siruseri</t>
  </si>
  <si>
    <t>Manikanta Singh M G</t>
  </si>
  <si>
    <t>7899098916</t>
  </si>
  <si>
    <t>7619515916</t>
  </si>
  <si>
    <t xml:space="preserve">Somas Mens Stay </t>
  </si>
  <si>
    <t>Soma Mens Stay (PG Hostel), Mammothiamman Street, Opposite to Chennai, Egattur,Tamilnadu 603103.</t>
  </si>
  <si>
    <t xml:space="preserve">Sreenand N </t>
  </si>
  <si>
    <t>6238251059</t>
  </si>
  <si>
    <t>9947169201</t>
  </si>
  <si>
    <t>Some Mens Stay (Gents PG)</t>
  </si>
  <si>
    <t xml:space="preserve"> Some Mens Stay (Gents PG). Plot No.15 B6, Sipcot IT Park, City Park Layout, Siruseri, Chennai‑603103, Tamil Nadu</t>
  </si>
  <si>
    <t>Animireddy Sai Gowtham</t>
  </si>
  <si>
    <t>7013755574</t>
  </si>
  <si>
    <t>7075296452</t>
  </si>
  <si>
    <t>SP MENS PG</t>
  </si>
  <si>
    <t>City Park Layout, 118B, 2nd Cross St, Siruseri, Egattur, Chennai, Tamil Nadu 603103</t>
  </si>
  <si>
    <t>KALLA RAMA SRI SAI SANDEEP</t>
  </si>
  <si>
    <t>9951334833</t>
  </si>
  <si>
    <t>9951499055</t>
  </si>
  <si>
    <t>SP MENS PG City Park Layout, 118B, 2nd Cross St, Siruseri, Egattur, Chennai, Tamil Nadu 603103</t>
  </si>
  <si>
    <t>VATHUMILLI</t>
  </si>
  <si>
    <t>8008149866</t>
  </si>
  <si>
    <t>8341714161</t>
  </si>
  <si>
    <t>SP Mens PG - Egattur</t>
  </si>
  <si>
    <t>SP Mens PG, City Park Layout, 118-B, 2nd Cross St, Siruseri, Egattur, Chennai, Tamil Nadu - 603103</t>
  </si>
  <si>
    <t>Chandra Naga Mouli Matta</t>
  </si>
  <si>
    <t>7032477395</t>
  </si>
  <si>
    <t>9701820238</t>
  </si>
  <si>
    <t>SP MENS PG, Egattur</t>
  </si>
  <si>
    <t>SP MENS PG, City Park Layout, 118B, 2nd Cross St, Siruseri, Egattur, Chennai, Tamil Nadu 603103</t>
  </si>
  <si>
    <t>ILLAPU MEHAR ARUN TEJA</t>
  </si>
  <si>
    <t>8522830877</t>
  </si>
  <si>
    <t>9849294358</t>
  </si>
  <si>
    <t>SP Mens PG,118b, Egattur</t>
  </si>
  <si>
    <t>SP Mens PG,City Park, Layout, 118b, 2nd Cross St, Egattur, Siruseri, Chennai-603103, Tamil Nadu</t>
  </si>
  <si>
    <t>Ungarala Leela Krishna Manikanta</t>
  </si>
  <si>
    <t>8074322939</t>
  </si>
  <si>
    <t>9491352207</t>
  </si>
  <si>
    <t>SP Mens PG,Egattur</t>
  </si>
  <si>
    <t>Kartikey Agarwal</t>
  </si>
  <si>
    <t>8077937203</t>
  </si>
  <si>
    <t>9411007187</t>
  </si>
  <si>
    <t xml:space="preserve">SP Menz PG </t>
  </si>
  <si>
    <t>City Park Layout, 118B, 2nd Cross St, Siruseri, Egattur, Tamil Nadu, 603103</t>
  </si>
  <si>
    <t>Amol Bhujangrao Avlod</t>
  </si>
  <si>
    <t>7058699058</t>
  </si>
  <si>
    <t>9561694450</t>
  </si>
  <si>
    <t>SPT Gents hostel, Egattur</t>
  </si>
  <si>
    <t>SPT Gents hostel, Egattur, Siruseri, Tamil Nadu-603103</t>
  </si>
  <si>
    <t>D Venkat Hemanth Kumar</t>
  </si>
  <si>
    <t>9959149485</t>
  </si>
  <si>
    <t>9985372929</t>
  </si>
  <si>
    <t>SPT Gents PG</t>
  </si>
  <si>
    <t>SPT Gents PG, Egattur, Siruseri, Chennai</t>
  </si>
  <si>
    <t>JYOTHI SWAROOP J</t>
  </si>
  <si>
    <t>8886277739</t>
  </si>
  <si>
    <t>8125397739</t>
  </si>
  <si>
    <t xml:space="preserve">SPT GENTS PG </t>
  </si>
  <si>
    <t>SPT PG, EGATTUR, SIRUSERI, TAMIL NADU - 600130</t>
  </si>
  <si>
    <t xml:space="preserve">EVERYTHING IS FINE </t>
  </si>
  <si>
    <t>Anuroop</t>
  </si>
  <si>
    <t>7483772801</t>
  </si>
  <si>
    <t>9591267223</t>
  </si>
  <si>
    <t xml:space="preserve">SPT GENTS PG EGATTUR </t>
  </si>
  <si>
    <t>SPT GENTS PG NEAR SAHASRA PG EGATTUR</t>
  </si>
  <si>
    <t>Gopaldasu Suresh</t>
  </si>
  <si>
    <t>9390400311</t>
  </si>
  <si>
    <t>9666254090</t>
  </si>
  <si>
    <t>SPT Gents PG Egattur Near Sahasra PG</t>
  </si>
  <si>
    <t>SPT Gents PG, Egattur Near Sahasra PG ,Tamil nadu</t>
  </si>
  <si>
    <t>Lakshmi Sriram Emani</t>
  </si>
  <si>
    <t>9618721095</t>
  </si>
  <si>
    <t>85519788855</t>
  </si>
  <si>
    <t xml:space="preserve">SPT Gents PG for men </t>
  </si>
  <si>
    <t xml:space="preserve">SPT Gents PG for men , Egattur , 600130,TamilNadu  </t>
  </si>
  <si>
    <t>Sriram Vijaykumar</t>
  </si>
  <si>
    <t>7842730970</t>
  </si>
  <si>
    <t>9502071154</t>
  </si>
  <si>
    <t>SPT Gents PG for men, Egattur</t>
  </si>
  <si>
    <t>SPT Gents PG for men , Egattur , 600130,TamilNadu</t>
  </si>
  <si>
    <t>Jupelli Shiva Shankara Vara Prasad</t>
  </si>
  <si>
    <t>6302102430</t>
  </si>
  <si>
    <t>7670882451</t>
  </si>
  <si>
    <t>SPT Mens PG Hostel, Room Number:G6, Egattur.</t>
  </si>
  <si>
    <t>SPT Mens PG Hostel, Room Number:G6, Green Park, Egattur, Siruseri, Tamil Nadu - 603103</t>
  </si>
  <si>
    <t>Kadagala Satish</t>
  </si>
  <si>
    <t>8886667626</t>
  </si>
  <si>
    <t>8886662858</t>
  </si>
  <si>
    <t>SPT Mens PG,Egattur,600130</t>
  </si>
  <si>
    <t>KURUBA SIDDARTHA</t>
  </si>
  <si>
    <t>6300559120</t>
  </si>
  <si>
    <t>9100297685</t>
  </si>
  <si>
    <t>SPT PG - Egatur</t>
  </si>
  <si>
    <t>SPT PG gets, Egatur</t>
  </si>
  <si>
    <t>Banne Venkat Pavan</t>
  </si>
  <si>
    <t>6300629909</t>
  </si>
  <si>
    <t>9553396544</t>
  </si>
  <si>
    <t>SPT PG for gents</t>
  </si>
  <si>
    <t>SPT PG for gents, Green Park,  Egattur, Siruseri, Tamil Nadu - 603103</t>
  </si>
  <si>
    <t>Narala Sai Simha Reddy</t>
  </si>
  <si>
    <t>9390967768</t>
  </si>
  <si>
    <t>8309800097</t>
  </si>
  <si>
    <t xml:space="preserve">SPT PG FOR GENTS </t>
  </si>
  <si>
    <t>SPT PG FOR GENTS , Egattur , 600130</t>
  </si>
  <si>
    <t>POLICE NIRANJAN REDDY</t>
  </si>
  <si>
    <t>9849090640</t>
  </si>
  <si>
    <t>8341150695</t>
  </si>
  <si>
    <t>SPT PG for gents, Beside Sahasra PG for mens,Eggatur</t>
  </si>
  <si>
    <t>Gajjala Shashidhar Reddy</t>
  </si>
  <si>
    <t>9392367507</t>
  </si>
  <si>
    <t>8688817993</t>
  </si>
  <si>
    <t>SPT PG for Gents, Egattur</t>
  </si>
  <si>
    <t>SPT PG for Gents, Plot No: 9, Green Park Street, Egattur, Siruseri, Tamil Nadu-600130</t>
  </si>
  <si>
    <t>Gowtham Tirumalakonda</t>
  </si>
  <si>
    <t>9963340030</t>
  </si>
  <si>
    <t>9701739296</t>
  </si>
  <si>
    <t>SPT PG FOR GENTS, Egattur</t>
  </si>
  <si>
    <t>SPT PG FOR GENTS, Egattur, Tamil Nadu - 600130</t>
  </si>
  <si>
    <t>Mogalapalli Aravind Reddy</t>
  </si>
  <si>
    <t>6304601129</t>
  </si>
  <si>
    <t>8374572404</t>
  </si>
  <si>
    <t>SPT Pg for Gents, Egattur</t>
  </si>
  <si>
    <t>SPT Pg for Gents, Egattur, Siruseri, TamilNadu - 603103</t>
  </si>
  <si>
    <t>Shaik Abdul Mueen</t>
  </si>
  <si>
    <t>8019394024</t>
  </si>
  <si>
    <t>7660882471</t>
  </si>
  <si>
    <t>SPT PG FOR GENTS, Egattur, Siruseri, Tamil Nadu - 603103</t>
  </si>
  <si>
    <t>kolluru Vikki</t>
  </si>
  <si>
    <t>8340934737</t>
  </si>
  <si>
    <t>9490507765</t>
  </si>
  <si>
    <t xml:space="preserve">R6PF+JVF, Egattur, Tamil Nadu 600130 </t>
  </si>
  <si>
    <t>BOTTA VENU</t>
  </si>
  <si>
    <t>8501853894</t>
  </si>
  <si>
    <t>9666107095</t>
  </si>
  <si>
    <t>SPT PG FOR GENTS, Green Park Street, Egattur, Chennai, Tamil Naidu - 600130</t>
  </si>
  <si>
    <t>Aluru Vasu</t>
  </si>
  <si>
    <t>9642956771</t>
  </si>
  <si>
    <t>9951525486</t>
  </si>
  <si>
    <t>SPT PG FOR GENTS, Egattur, Siruseri, Tamil Nadu - 600130</t>
  </si>
  <si>
    <t>Praneeth Reddy Ambati</t>
  </si>
  <si>
    <t>8919484543</t>
  </si>
  <si>
    <t>9490407123</t>
  </si>
  <si>
    <t>SPT pg for gents, egattur, chennai Tamilnadu</t>
  </si>
  <si>
    <t>SPT pg for gents, egattur, chennai, Tamilnadu</t>
  </si>
  <si>
    <t>SPT pg for gents, Egattur, Chennai, Tamilnadu</t>
  </si>
  <si>
    <t xml:space="preserve">Mittapally Adithya </t>
  </si>
  <si>
    <t>6302916138</t>
  </si>
  <si>
    <t>9293101223</t>
  </si>
  <si>
    <t>SPT PG FOR GENTS, Egattur, Chennai, Tamilnadu - 600130</t>
  </si>
  <si>
    <t>Kalapati Dinesh</t>
  </si>
  <si>
    <t>9398961435</t>
  </si>
  <si>
    <t>9542265350</t>
  </si>
  <si>
    <t>SPT PG FOR GENTS, Egattur, Near SIPCOT, Chennai, Tamil Nadu 600130</t>
  </si>
  <si>
    <t>DHRUV JAGTAP</t>
  </si>
  <si>
    <t>8817250483</t>
  </si>
  <si>
    <t>9425195079</t>
  </si>
  <si>
    <t>SPT pg for gents, egattur.</t>
  </si>
  <si>
    <t>SPT pg for gents, egattur, siruseri, Tamil Nade - 603103.</t>
  </si>
  <si>
    <t>SAMINENI HARISH KUMAR</t>
  </si>
  <si>
    <t>9381912570</t>
  </si>
  <si>
    <t>7013631541</t>
  </si>
  <si>
    <t>SPT pg for gents, near Sahasra pg, Egattur, Chennai.</t>
  </si>
  <si>
    <t>SPT pg for gents, near Sahasra pg, near Sipcot area, Egattur, Chennai, 600130.</t>
  </si>
  <si>
    <t>Harshraj Sharma</t>
  </si>
  <si>
    <t>8319051530</t>
  </si>
  <si>
    <t>9993954810</t>
  </si>
  <si>
    <t>SPT PG FOR GENTS, Siruseri</t>
  </si>
  <si>
    <t>SPT PG FOR GENTS, Room No. 506, Plot No. 09, Green Park Street, Siruseri, Chennai - 600130</t>
  </si>
  <si>
    <t>Gunthakanti Venkata Narayana</t>
  </si>
  <si>
    <t>7989161379</t>
  </si>
  <si>
    <t>8790568836</t>
  </si>
  <si>
    <t>SPT PG for Gents,Egattur</t>
  </si>
  <si>
    <t>SPT PG for Gents, Egattur, Siruseri, Tamil Nadu - 603103</t>
  </si>
  <si>
    <t>Shubham Kumar</t>
  </si>
  <si>
    <t>7561930107</t>
  </si>
  <si>
    <t>9939443841</t>
  </si>
  <si>
    <t>SPT PG FOR GENTS,Egattur</t>
  </si>
  <si>
    <t>Near egattur , SIPCOT, naguluru</t>
  </si>
  <si>
    <t>Vidupulapati Udaysrinivas</t>
  </si>
  <si>
    <t>8309174345</t>
  </si>
  <si>
    <t>9014253063</t>
  </si>
  <si>
    <t>SPT pg for gents,egattur</t>
  </si>
  <si>
    <t>SPT pg for gents,egattur,siruseri, TamilNadu - 600130</t>
  </si>
  <si>
    <t xml:space="preserve">SPT PG FOR MENS </t>
  </si>
  <si>
    <t>SPT PG FOR MENS , Egattur , 600130</t>
  </si>
  <si>
    <t>Abhishek Srivastav</t>
  </si>
  <si>
    <t>9560147705</t>
  </si>
  <si>
    <t>8860801632</t>
  </si>
  <si>
    <t>SR guest house</t>
  </si>
  <si>
    <t>Sr guest house No. 15 A1, Rajiv Gandhi Salai, Citypark Layout, Egattur, Chennai, Tamil Nadu 603103</t>
  </si>
  <si>
    <t>Avudai Nayagam</t>
  </si>
  <si>
    <t>6369042563</t>
  </si>
  <si>
    <t>9443971176</t>
  </si>
  <si>
    <t>SR Guest House</t>
  </si>
  <si>
    <t>No 15,Rajiv Gandhi Salai, CityPark Layout, Egattur</t>
  </si>
  <si>
    <t>Omkar Ravindra Matsagar</t>
  </si>
  <si>
    <t>9403968103</t>
  </si>
  <si>
    <t>8977945198</t>
  </si>
  <si>
    <t>SR Guest House, Siruseri, Chennai, 603103</t>
  </si>
  <si>
    <t>MOHAMMED SHANID SULTHAN</t>
  </si>
  <si>
    <t>9544790012</t>
  </si>
  <si>
    <t>8547237314</t>
  </si>
  <si>
    <t>SR GUEST HOUSE</t>
  </si>
  <si>
    <t>NO 15 A1,Rajiv Gandhi Salai,CityPark Layout,Egattur,Chennai</t>
  </si>
  <si>
    <t>Vikash L</t>
  </si>
  <si>
    <t>7305192315</t>
  </si>
  <si>
    <t>8987507561</t>
  </si>
  <si>
    <t xml:space="preserve">Sr guest house </t>
  </si>
  <si>
    <t>Sr guest house no. 15 A1, Rajiv gandhi salai, citypark layout, egattur, chennai pudupakkam, tamil nadu 603103</t>
  </si>
  <si>
    <t>SR Guest House PG</t>
  </si>
  <si>
    <t>SR GUEST HOUSE PG,No 15,Rajiv Gandhi Salai, Citypark Layout, Siruseri, Chennai</t>
  </si>
  <si>
    <t>Thiru Mugilan C</t>
  </si>
  <si>
    <t>9976755984</t>
  </si>
  <si>
    <t>7448700792</t>
  </si>
  <si>
    <t>SR Guest house, Egattur</t>
  </si>
  <si>
    <t>No, 15 A1, Rajiv Gandhi Salai, Citypark Layout, Egattur, Chennai, Tamilnadu-603103</t>
  </si>
  <si>
    <t>Summit Baruah</t>
  </si>
  <si>
    <t>9101797372</t>
  </si>
  <si>
    <t>7086844174</t>
  </si>
  <si>
    <t>SR Guest House, Egattur</t>
  </si>
  <si>
    <t>SR Guest House PG, No. 15 A1, Rajiv Gandhi Salai, Citypark Layout, Egattur, Chennai, Tamil Nadu, 603103</t>
  </si>
  <si>
    <t>Jyoti Dundappa Dundagi</t>
  </si>
  <si>
    <t>8792738518</t>
  </si>
  <si>
    <t>8747835518</t>
  </si>
  <si>
    <t>SREE VENKATESHWARA LUXURY PG FOR GENTS</t>
  </si>
  <si>
    <t>SREE VENKATESHWARA LUXURY PG FOR GENTS, D-1/334, Sambalal St, behind vegetable Market, Navalur, Tamil Nadu 600130</t>
  </si>
  <si>
    <t>Prashant Sanjiv Savle</t>
  </si>
  <si>
    <t>9022693749</t>
  </si>
  <si>
    <t>9322646925</t>
  </si>
  <si>
    <t>Gonehal matada akash raj</t>
  </si>
  <si>
    <t>8919614913</t>
  </si>
  <si>
    <t>9703564611</t>
  </si>
  <si>
    <t xml:space="preserve">Sree Venkateshwara luxury pg for gents </t>
  </si>
  <si>
    <t>Sree lakshmi Venkateshwara luxury pg for gents,navalur</t>
  </si>
  <si>
    <t>Rhaveen senthil</t>
  </si>
  <si>
    <t>6379457076</t>
  </si>
  <si>
    <t>9626746461</t>
  </si>
  <si>
    <t>sree venkateshwara luxury pg for men</t>
  </si>
  <si>
    <t>D-1/334,Sambalai street,behind vegetable market,Navalur</t>
  </si>
  <si>
    <t xml:space="preserve">Manu T V </t>
  </si>
  <si>
    <t>8105300711</t>
  </si>
  <si>
    <t>8197777517</t>
  </si>
  <si>
    <t xml:space="preserve">Sree Venkateshwara luxury PG for Men </t>
  </si>
  <si>
    <t>Navalur,samabalal street 603103</t>
  </si>
  <si>
    <t>Ashwin BS</t>
  </si>
  <si>
    <t>7483198160</t>
  </si>
  <si>
    <t>9844937066</t>
  </si>
  <si>
    <t>SREE VENKATESWARA LUXURY GENTS PG, NAVALUR, CHENNAI</t>
  </si>
  <si>
    <t>SREE VENKATESWARA LUXURY GENTS PG, NAVALUR, SIRUSERI, TAMIL NADU - 603103</t>
  </si>
  <si>
    <t>Murulidhara J</t>
  </si>
  <si>
    <t>7795150755</t>
  </si>
  <si>
    <t>8971525520</t>
  </si>
  <si>
    <t>sree venkateswara luxury pg for gents</t>
  </si>
  <si>
    <t>sree venkateswara luxury pg for gents, Navalur,chennai -603103</t>
  </si>
  <si>
    <t>Weather and lifestyle adjustment in chennai is very difficult for me and am getting skin problems .</t>
  </si>
  <si>
    <t>SREE VENKATESWARA LUXURY PG FOR GENTS , NAVALUR.</t>
  </si>
  <si>
    <t>sree venkateshwara luxury pg for gents, Sambalal St, behind vegetable market, Navalur ,Tamil Nadu- 603103</t>
  </si>
  <si>
    <t>Pavan Kumar Mahto</t>
  </si>
  <si>
    <t>8688129582</t>
  </si>
  <si>
    <t>7416318672</t>
  </si>
  <si>
    <t>SREE VENKATSHWARA MENS PG-NAVALUR</t>
  </si>
  <si>
    <t>SREE VENKATESHWARA PG ,SAMBALA STREET,NAVALUR, TAMILNADU -600130</t>
  </si>
  <si>
    <t>Abhishek Nivaratti Shinde</t>
  </si>
  <si>
    <t>7757983085</t>
  </si>
  <si>
    <t>9146826456</t>
  </si>
  <si>
    <t>SREE VENKTESHWARA LUXURY PG FOR GENTS ONLY</t>
  </si>
  <si>
    <t>Sambalal Street , Behind Vegetable market, Navalur</t>
  </si>
  <si>
    <t>Tamilvanan k</t>
  </si>
  <si>
    <t>9791914867</t>
  </si>
  <si>
    <t>9942820234</t>
  </si>
  <si>
    <t xml:space="preserve">SRI GANGA MENS PG </t>
  </si>
  <si>
    <t>SRI GANGA MENS PG,periyar street, egatur, siruseri, Tamilnadu -600130</t>
  </si>
  <si>
    <t>Helan U</t>
  </si>
  <si>
    <t>9344274487</t>
  </si>
  <si>
    <t>9840255496</t>
  </si>
  <si>
    <t>Sri Krishna Nivas ,Egattur</t>
  </si>
  <si>
    <t>Sri Krishna Nivas , No : 1 , Seahadri Avenue , Rajiv Gandhi Salai , Egattur-600130</t>
  </si>
  <si>
    <t>Jezneel Chryso Paulin John Christopher</t>
  </si>
  <si>
    <t>9150873557</t>
  </si>
  <si>
    <t>9840867399</t>
  </si>
  <si>
    <t xml:space="preserve">Sri Krishna Nivas PG - Egattur </t>
  </si>
  <si>
    <t>Krishna Nivas ladies Pg plot no 234 Seshadri avenue Egattur, Chennai 600130</t>
  </si>
  <si>
    <t>Balwant Singh Fikal</t>
  </si>
  <si>
    <t>9997930455</t>
  </si>
  <si>
    <t>7055581070</t>
  </si>
  <si>
    <t>Sri Lakshami Narayana Gents PG, Navalur</t>
  </si>
  <si>
    <t>Sri Lakshami Narayana Gents PG Sambalal Street , Navalur</t>
  </si>
  <si>
    <t>Vitta Bhavya Sree</t>
  </si>
  <si>
    <t>9392321275</t>
  </si>
  <si>
    <t>9866417995</t>
  </si>
  <si>
    <t>Sri Lakshimi Ladies Luxury pg</t>
  </si>
  <si>
    <t xml:space="preserve">no 7/27, Thiruvalluvar Street, Egattur, Chennai, Tamil Nadu 600130  </t>
  </si>
  <si>
    <t>Seelam Joshnavi Supriya Sri</t>
  </si>
  <si>
    <t>8639869770</t>
  </si>
  <si>
    <t>9705677502</t>
  </si>
  <si>
    <t>Sri lakshmi ladies luxury PG</t>
  </si>
  <si>
    <t>no 7/27, Thiruvalluvar Street, Egattur, Chennai, Tamil Nadu 600130</t>
  </si>
  <si>
    <t>VELURI UMA BHARATHI</t>
  </si>
  <si>
    <t>8639167467</t>
  </si>
  <si>
    <t>9177761667</t>
  </si>
  <si>
    <t>SRI LAKSHMI LADIES LUXURY PG</t>
  </si>
  <si>
    <t>Sri Lakshmi ladies luxury pg</t>
  </si>
  <si>
    <t>Marakattu Sumalatha</t>
  </si>
  <si>
    <t>8247821075</t>
  </si>
  <si>
    <t>8179072811</t>
  </si>
  <si>
    <t>Sri Lakshmi Luxury Ladies pg,Egattur</t>
  </si>
  <si>
    <t>Sri Lakshmi Luxury Ladies pg,Egattur, no: 7/27</t>
  </si>
  <si>
    <t>Sri Lakshmi Luxury Pg</t>
  </si>
  <si>
    <t>Somprakash Das</t>
  </si>
  <si>
    <t>8159001588</t>
  </si>
  <si>
    <t>8942090152</t>
  </si>
  <si>
    <t>Sri Lakshmi narayana Gents Pg Accommodation, 86, Sambalal St, Navalur</t>
  </si>
  <si>
    <t>Sri Lakshmi narayana Gents Pg Accommodation, 86, Sambalal St, Navalur, Tamil Nadu - 600130</t>
  </si>
  <si>
    <t>Sri Lakshmi Narayana Gents PG, 86, Sambalal St, Navalur, Tamil Nadu- 600130</t>
  </si>
  <si>
    <t>Sri Lakshmi Narayana Gents PG, 86, Sambalal St, Navalur, Tamil Nadu-600130</t>
  </si>
  <si>
    <t>YUVA NAVEEN SAI RATNAKAR VEERAMALLA</t>
  </si>
  <si>
    <t>9014266955</t>
  </si>
  <si>
    <t>9989740005</t>
  </si>
  <si>
    <t>SRI LAKSHMI NARAYANA GENTS PG, NAVALUR</t>
  </si>
  <si>
    <t xml:space="preserve">SRI LAKSHMI NARAYANA GENTS PG, Sambala street, near navalur bus stand, navalur, chennai </t>
  </si>
  <si>
    <t>Ebenezer Josephraj</t>
  </si>
  <si>
    <t>6369872238</t>
  </si>
  <si>
    <t>7010611965</t>
  </si>
  <si>
    <t>Sri Lakshmi Narayana Gents PG, Navalur</t>
  </si>
  <si>
    <t>Sri Lakshmi Narayana Gents PG, No.6/81, 6/99, 10, Sambalal Street, Navalur, Behind Navalur Bus Stop, Chennai - 600 130</t>
  </si>
  <si>
    <t>Vijay K</t>
  </si>
  <si>
    <t>7558127350</t>
  </si>
  <si>
    <t>9952762025</t>
  </si>
  <si>
    <t>Sri Lakshmi PG - Navallur</t>
  </si>
  <si>
    <t>Sri Lakshmi PG, Pillariyar Kovil Street, Thazambur Road, Navallur, Chennai, Tamil Nadu - 600130</t>
  </si>
  <si>
    <t>Keesara Sreya</t>
  </si>
  <si>
    <t>7670835119</t>
  </si>
  <si>
    <t>7036455762</t>
  </si>
  <si>
    <t>Sri Lakshmi Srinivasa Ladies PG</t>
  </si>
  <si>
    <t>Sri Lakshmi Srinivasa Ladies PG, Periyar Street in Egattur, near Siruseri, Chennai</t>
  </si>
  <si>
    <t>SUNDURU JAHNAVI</t>
  </si>
  <si>
    <t>8838894937</t>
  </si>
  <si>
    <t>9573770393</t>
  </si>
  <si>
    <t>SRI LAKSHMI SRINIVASA LADIES PG</t>
  </si>
  <si>
    <t>4/182, Sri lakshmi srinivasa ladies pg, periyar st, ettagur, Siriseri</t>
  </si>
  <si>
    <t>DORADLA SHYAMA JYOTHI</t>
  </si>
  <si>
    <t>9550859024</t>
  </si>
  <si>
    <t>9246204888</t>
  </si>
  <si>
    <t>4/182, PERIYAR ST, SIRUSERI, EGATTUR, CHENNAI, TAMIL NADU 600130</t>
  </si>
  <si>
    <t>Yarragudi Vijaya Kumari</t>
  </si>
  <si>
    <t>9121184528</t>
  </si>
  <si>
    <t>9676805893</t>
  </si>
  <si>
    <t>Sri Lakshmi Srinivasa Ladies Pg</t>
  </si>
  <si>
    <t xml:space="preserve">Sri Lakshmi Srinivasa Ladies Pg , 4/182 , Periyar Street, Thiruporur, Tamil Nadu 600130 </t>
  </si>
  <si>
    <t>Baby Sree B</t>
  </si>
  <si>
    <t>8639084647</t>
  </si>
  <si>
    <t>9866343426</t>
  </si>
  <si>
    <t>Sri Lakshmi Srinivasa Ladies PG, Periyar street, Egattur, Siruseri, Tamil Nadu - 603103</t>
  </si>
  <si>
    <t>Vishnu Priya Chadulla</t>
  </si>
  <si>
    <t>8639450718</t>
  </si>
  <si>
    <t>8688297671</t>
  </si>
  <si>
    <t>Sri Lakshmi Srinivasa Ladies Pg - Egattur</t>
  </si>
  <si>
    <t>Sri Lakshmi Srinivasa Ladies Pg, Periyar St , Siruseri , Egattur, Chennai ,Tamil Nadu -600130</t>
  </si>
  <si>
    <t>Nalluri Anusha</t>
  </si>
  <si>
    <t>7396464003</t>
  </si>
  <si>
    <t>8762687221</t>
  </si>
  <si>
    <t>Sri Lakshmi Srinivasa Ladies PG ,  Periyar St, Siruseri, Egattur</t>
  </si>
  <si>
    <t>Sri Lakshmi Srinivasa Ladies PG , 4/182,  Periyar St, Siruseri, Egattur, Chennai, TamilNadu 600130</t>
  </si>
  <si>
    <t xml:space="preserve">Thotakura Navya Annapurna </t>
  </si>
  <si>
    <t>8121893064</t>
  </si>
  <si>
    <t>6281736509</t>
  </si>
  <si>
    <t>Sri Lakshmi Srinivasa Ladies PG, Egattur</t>
  </si>
  <si>
    <t>4/182, Periyar St, Siruseri, Egattur, Chennai, Tamil Nadu 600130</t>
  </si>
  <si>
    <t>Pallala Manasa</t>
  </si>
  <si>
    <t>9030282067</t>
  </si>
  <si>
    <t>9912797830</t>
  </si>
  <si>
    <t>sri lakshmi srinivasa ladies pg, Eggattur</t>
  </si>
  <si>
    <t>4/182, sri lakshmi srinivasa ladies pg</t>
  </si>
  <si>
    <t>Jyesta Sai Manogna</t>
  </si>
  <si>
    <t>6302424696</t>
  </si>
  <si>
    <t>9848886419</t>
  </si>
  <si>
    <t>Sri Lakshmi Srinivasa Ladies Pg,Egattur</t>
  </si>
  <si>
    <t>Sri Lakshmi Srinivasa Ladies Pg,4/182, Periyar St, Siruseri, Egattur, Chennai, Tamil Nadu,600130</t>
  </si>
  <si>
    <t>Tunuguntla Tanuja</t>
  </si>
  <si>
    <t>9908277475</t>
  </si>
  <si>
    <t>9849674759</t>
  </si>
  <si>
    <t>Sri Lakshmi Srinivasa Ladies Pg,Siruseri</t>
  </si>
  <si>
    <t>Sri Lakshmi Srinivasa Ladies Pg 4/182 Periyar Street, Thiruporur, Tamil Nadu 600130</t>
  </si>
  <si>
    <t>Pasupuleti Kundana</t>
  </si>
  <si>
    <t>9248463119</t>
  </si>
  <si>
    <t>9347420789</t>
  </si>
  <si>
    <t>Sri Lakshmi Srinivasa Ladies pg,Siruseri,Periyar Street,Chennai</t>
  </si>
  <si>
    <t>kadavakallu srivani</t>
  </si>
  <si>
    <t>8688442970</t>
  </si>
  <si>
    <t>9113845081</t>
  </si>
  <si>
    <t>sri lakshmi srinuvasa ladies pg</t>
  </si>
  <si>
    <t>periyar street, siruseri, egattur, chennai, tamilnadu 603103</t>
  </si>
  <si>
    <t>periyar street, siruseri, egattur, chennai, tamil nadu 603103</t>
  </si>
  <si>
    <t>Terli Roja</t>
  </si>
  <si>
    <t>9704590565</t>
  </si>
  <si>
    <t>8978922805</t>
  </si>
  <si>
    <t>sri lakshmi srinuvasa pg,egattur</t>
  </si>
  <si>
    <t>sri lakshmi srinuvasa pg,periyar street,siruseri,egattur,egattur,chennai,tamil nadu 603103</t>
  </si>
  <si>
    <t>sri Lakshmi srinuvasa pg,egatur</t>
  </si>
  <si>
    <t>sri lakshmi srinuvasa pg,periyar street,siruseri,egattur,chennai,tamil nadu 603103gr</t>
  </si>
  <si>
    <t>Adithya Salagram</t>
  </si>
  <si>
    <t>9381697681</t>
  </si>
  <si>
    <t>8008625353</t>
  </si>
  <si>
    <t>Sri Lakshmi Venkateshwara Mens PG</t>
  </si>
  <si>
    <t>Sri Lakshmi Venkateshwara Mens PG, Gangai Amman Kovil Street, Egatur, Siruseri, Tamil Nadu,603103</t>
  </si>
  <si>
    <t>Vavilapalli Siva Kumar</t>
  </si>
  <si>
    <t>9550091525</t>
  </si>
  <si>
    <t>7842704617</t>
  </si>
  <si>
    <t>Sri Lakshmi Venkateshwara PG For Gents</t>
  </si>
  <si>
    <t>Sri Lakshmi Venkateshwara PG For Gents, Gangai Amman Kovil Street, Egattur, Siruseri, Tamil Nadu - 603103</t>
  </si>
  <si>
    <t>No Comments</t>
  </si>
  <si>
    <t>Sri Lakshmi Venkateshwara Pg,Egattur</t>
  </si>
  <si>
    <t>Sri Lakshmi Venkateshwara Pg , Egattur , Gangai Amman Kovil Street, Egattur, Siruseri, Tamil Nadu - 603103</t>
  </si>
  <si>
    <t>Nalajala Gayathri</t>
  </si>
  <si>
    <t>9704332730</t>
  </si>
  <si>
    <t>9390656056</t>
  </si>
  <si>
    <t>Sri Lakshmi Venkateswara</t>
  </si>
  <si>
    <t>6/48, Gangai Amman Kovil Street, Egattur, Siruseri, Tamil Nadu-603103</t>
  </si>
  <si>
    <t>Manoj mukhiya</t>
  </si>
  <si>
    <t>9361275335</t>
  </si>
  <si>
    <t>8709283522</t>
  </si>
  <si>
    <t>SRI LAKSHMI VENKATESWARA GENTS PG</t>
  </si>
  <si>
    <t>SRI LAKSHMI VENKATESWARA GENTS PG , NAVALUR , CHENNAI -600130</t>
  </si>
  <si>
    <t>Fiyanshu Singh</t>
  </si>
  <si>
    <t>Sri Lakshmi Venkateswara Gents Pg Chennai, Navalur, Tamil Nadu</t>
  </si>
  <si>
    <t>Sri Lakshmi Venkateswara Gents Pg Chennai, Navalur, Tamil Nadu, 600130</t>
  </si>
  <si>
    <t>Sai Chandu Kothapalli</t>
  </si>
  <si>
    <t>8639978221</t>
  </si>
  <si>
    <t>9666504097</t>
  </si>
  <si>
    <t>Sri Lakshmi Venkateswara Gents PG, Egattur</t>
  </si>
  <si>
    <t>Sri Lakshmi Venkateswara Gents PG, Gangai Amman Kovil Street, Egattur, Siruseri, Tamil Nadu - 603103</t>
  </si>
  <si>
    <t>Aditya Umesh Patil</t>
  </si>
  <si>
    <t>9353328599</t>
  </si>
  <si>
    <t>8722416447</t>
  </si>
  <si>
    <t>SRI LAKSHMI VENKATESWARA GENTS PG, Navalur.</t>
  </si>
  <si>
    <t>Sahana Katral</t>
  </si>
  <si>
    <t>8147042430</t>
  </si>
  <si>
    <t>9110679439</t>
  </si>
  <si>
    <t>Sri Lakshmi Venkateswara ladies Pg</t>
  </si>
  <si>
    <t>Gangai Amman Kovil Street, Egatur, Siruseri, Tamil Nadu - 603103</t>
  </si>
  <si>
    <t>Gunnam Srihitha</t>
  </si>
  <si>
    <t>9133294455</t>
  </si>
  <si>
    <t>9490188794</t>
  </si>
  <si>
    <t>Sri Lakshmi Venkateswara Ladies Pg</t>
  </si>
  <si>
    <t>Sri Lakshmi Venkateswara Ladies Pg, Gangai Amman Kovil Street, Egattur, Siruseri, Tamil Nadu - 603103</t>
  </si>
  <si>
    <t>Amireddy Poojitha</t>
  </si>
  <si>
    <t>9618561405</t>
  </si>
  <si>
    <t>9010893907</t>
  </si>
  <si>
    <t>Sri lakshmi Venkateswara ladies pg</t>
  </si>
  <si>
    <t>Sri lakshmi Venkateswara ladies pg, Gangai Amman Kovil Street, Egattur,Tamil Nadu - 600130</t>
  </si>
  <si>
    <t xml:space="preserve"> Sri Lakshmi Venkateswara Ladies Pg ,Gangai Amman Kovil Street, Egattur, Siruseri, Tamil Nadu - 603103</t>
  </si>
  <si>
    <t>Sai Sirisha Lakshmi Gudhe</t>
  </si>
  <si>
    <t>9100744953</t>
  </si>
  <si>
    <t>9000342002</t>
  </si>
  <si>
    <t>sri lakshmi venkateswara ladies pg, egattur</t>
  </si>
  <si>
    <t>sri lakshmi venkateswara ladies pg, egattur, Siruseri, Tamil Nadu - 600130</t>
  </si>
  <si>
    <t>Kancharla Priyanka</t>
  </si>
  <si>
    <t>7780517165</t>
  </si>
  <si>
    <t>9542993436</t>
  </si>
  <si>
    <t>Sri Lakshmi Venkateswara PG For Ladies</t>
  </si>
  <si>
    <t>Sri Lakshmi Venkateswara PG For Ladies,R6MG+FWW, Gangai Amman Kovil St, Uthandi, Egattur, Tamil Nadu 600130</t>
  </si>
  <si>
    <t>Pradeepthi Beesetti</t>
  </si>
  <si>
    <t>9290541535</t>
  </si>
  <si>
    <t>8978544799</t>
  </si>
  <si>
    <t>Sri Lakshmi Venkateswara PG for Ladies</t>
  </si>
  <si>
    <t>Sri Lakshmi Venkateswara PG for Ladies, Gangai Amman Kovil Street, Egattur, Siruseri, Tamil Nadu- 603103</t>
  </si>
  <si>
    <t>Beella Rupadevi</t>
  </si>
  <si>
    <t>7672009595</t>
  </si>
  <si>
    <t>9866350860</t>
  </si>
  <si>
    <t>Sri Lakshmi Venkateswara PG For Ladies, R6MG+FWW, Gangai Amman Kovil St, Uthandi, Egattur, Tamil Nadu 600130</t>
  </si>
  <si>
    <t>Ishan Bahuguna</t>
  </si>
  <si>
    <t>8445896966</t>
  </si>
  <si>
    <t>9759121915</t>
  </si>
  <si>
    <t>Sri laxmi Narayan Gents PG - Navalur</t>
  </si>
  <si>
    <t>Sri Lakshmi narayana Gents Pg Accommodation, 86, Sambalal St, Navalur, Tamil Nadu 600130</t>
  </si>
  <si>
    <t>Sri Laxmi Narayan Gents PG - Navalur</t>
  </si>
  <si>
    <t xml:space="preserve">Sushant Arora </t>
  </si>
  <si>
    <t>9358601222</t>
  </si>
  <si>
    <t>7017839141</t>
  </si>
  <si>
    <t xml:space="preserve">Sri Laxmi srinivasan boys hostel </t>
  </si>
  <si>
    <t>Laxmi srinivasan boys hostel, Palani Amman koil street, Egattur, Siruseri location, near TVH Apartment, opposite lane Marina Mall, Egattur, Chengalpattu district Chennai - 600130</t>
  </si>
  <si>
    <t>Sei Laxmi srinivasan boys hostel, Palandi Amman koil Street, infront of TVH Apartments, Egattur, Siruseri location, behind Balamurugans hospital, Chengalpattu district Chennai - 600130</t>
  </si>
  <si>
    <t>Sei Laxmi srinivasan boys hostel, Palandi Amman koil Street, infront of TVH Apartments, Egattur, Siruseri location, behind Balamurugan's hospital, Chengalpattu district Chennai - 600130</t>
  </si>
  <si>
    <t>Swetha M</t>
  </si>
  <si>
    <t>6374386020</t>
  </si>
  <si>
    <t>6381763561</t>
  </si>
  <si>
    <t>Sri Narayana Swamy PG - Branch 2, Navalur</t>
  </si>
  <si>
    <t>Sri Narayana Swamy PG, Branch 2, Netaji Street, Navalur, Tamil Nadu - 600130</t>
  </si>
  <si>
    <t>Sri Narayana Swamy PG, Branch 2, Netaji street, Navalur, Tamil Nadu - 600130</t>
  </si>
  <si>
    <t>Indhu Varshni M S</t>
  </si>
  <si>
    <t>6383904424</t>
  </si>
  <si>
    <t>9524802005</t>
  </si>
  <si>
    <t>Sri Narayanaswami Ladies PG Branch-2, Nethaiji Street, Navalur</t>
  </si>
  <si>
    <t>Sri Narayanaswami Ladies PG Branch-2, Nethaiji Street, Navalur, Chennai, Tamil Nadu- 603103</t>
  </si>
  <si>
    <t>Sri Narayanaswami PG Branch 2, Nethaji street, Navalur, Tamil Nadu, 603103</t>
  </si>
  <si>
    <t>Sri Narayanaswami PG Branch 2,Nethaji Street, Navalur, Tamil Nadu, 603103</t>
  </si>
  <si>
    <t>Chandaluru Kailashnath Achari</t>
  </si>
  <si>
    <t>9505960410</t>
  </si>
  <si>
    <t>9951637241</t>
  </si>
  <si>
    <t>Sri Nilayam Gents Pag , Navalur</t>
  </si>
  <si>
    <t>Sri Nilayam Gents Pg , Indra Gandhi street, Navalur, Tamilnadu - 100130</t>
  </si>
  <si>
    <t>Sravanth Pulicheri</t>
  </si>
  <si>
    <t>7207558928</t>
  </si>
  <si>
    <t>9100851587</t>
  </si>
  <si>
    <t>Sri Nilayam Gents Pg - Navallur</t>
  </si>
  <si>
    <t xml:space="preserve">Sri Nilayam Gents Pg - Navalur </t>
  </si>
  <si>
    <t>Sri Nilayam Gents Pg, Indra Gandhi  street , Navalur , Tamil Nadu -600130</t>
  </si>
  <si>
    <t>GANDHAM SRUJAN</t>
  </si>
  <si>
    <t>9346766619</t>
  </si>
  <si>
    <t>9966470114</t>
  </si>
  <si>
    <t>SRI NILAYAM GENTS PG NAVALUR OMR CHENNAI</t>
  </si>
  <si>
    <t>SRI NILAYAM GENTS PG 1ST FLOOR A3 ROOM NAVALUR OMR CHENNAI</t>
  </si>
  <si>
    <t xml:space="preserve">SRI NILAYAM MENS PG 1 ST FLOOR A3 ROOM NEAR ANBU BAKERY NAVALUR OMR </t>
  </si>
  <si>
    <t>Arthi S</t>
  </si>
  <si>
    <t>8825736636</t>
  </si>
  <si>
    <t>9444842816</t>
  </si>
  <si>
    <t>Sri Ram Sai (SRS) Ladies PG -  Branch 2, Egattur</t>
  </si>
  <si>
    <t>Sri Ram Sai (SRS) Ladies PG, Branch 2, 1/210a , Dr. Ambedkar Street, Egattur, Chennai, 600130</t>
  </si>
  <si>
    <t>Sri Ram Sai (SRS) PG - Branch 2, Egattur</t>
  </si>
  <si>
    <t>Sri Ram Sai (SRS) PG - Branch 2, 1/210a, Dr. Ambedkar Street, Egattur, Chennai, Tamil Nadu 600130</t>
  </si>
  <si>
    <t>Goli Sai Lohithya</t>
  </si>
  <si>
    <t>7386201167</t>
  </si>
  <si>
    <t>8688868222</t>
  </si>
  <si>
    <t>Sri Rama Sai hostel</t>
  </si>
  <si>
    <t>opposite srs girls pg branch 1, gangai Amman Kovil Street, Egatur, Siruseri, Egatoor, Chennai</t>
  </si>
  <si>
    <t>Kashish Kumari</t>
  </si>
  <si>
    <t>9341606515</t>
  </si>
  <si>
    <t>8540914756</t>
  </si>
  <si>
    <t>Sri Rama Sai Ladies Hostel-Branch 2, Egattur</t>
  </si>
  <si>
    <t>Gayathri M</t>
  </si>
  <si>
    <t>9080663405</t>
  </si>
  <si>
    <t>9443270776</t>
  </si>
  <si>
    <t>Sri Rama Sai Ladies PG - Branch 2, Egattur</t>
  </si>
  <si>
    <t>Sri Rama Sai Ladies PG, Dr. Ambedkar Street, behind naturals saloon, Egattur, Siruseri, Chennai</t>
  </si>
  <si>
    <t>Anthakapalli Lahari</t>
  </si>
  <si>
    <t>8790046329</t>
  </si>
  <si>
    <t>9573507769</t>
  </si>
  <si>
    <t xml:space="preserve">Sri Rama Sai Ladies PG , Egattur </t>
  </si>
  <si>
    <t xml:space="preserve">Ambedkar street, 600130, </t>
  </si>
  <si>
    <t>Navaneetha Kompally</t>
  </si>
  <si>
    <t>7893057437</t>
  </si>
  <si>
    <t>9949457437</t>
  </si>
  <si>
    <t>Sri Rama Sai luxury ladies pg - branch 2 , Egattur</t>
  </si>
  <si>
    <t>Sri Rama Sai luxury ladies pg , branch 2 , ambedkar street, Egattur, Siruseri, Tamil Nadu</t>
  </si>
  <si>
    <t>Suja S</t>
  </si>
  <si>
    <t>9442028887</t>
  </si>
  <si>
    <t>9003988822</t>
  </si>
  <si>
    <t>Sri Rama Sai Luxury PG for Women (ladies hostel) - Branch 2, HP Petrol pump, Vembuliamman Kovil street, behind navalur, Egattur</t>
  </si>
  <si>
    <t>Jeba Nasrath Shaik</t>
  </si>
  <si>
    <t>9618200328</t>
  </si>
  <si>
    <t>6363562377</t>
  </si>
  <si>
    <t xml:space="preserve">Sri Rama Sai PG for women branch 1 , Ambedkar street , Egattur </t>
  </si>
  <si>
    <t>Sri Rama Sai PG for women ,branch 1, Ambedkar street, Egattur,chennai ,Tamil Nadu -600130</t>
  </si>
  <si>
    <t xml:space="preserve">Kottamasu Sai Lakshmi Gowthami </t>
  </si>
  <si>
    <t>7815841113</t>
  </si>
  <si>
    <t>9533091243</t>
  </si>
  <si>
    <t>Sri sai balaji ladies pg</t>
  </si>
  <si>
    <t xml:space="preserve">Sri Sai Balaji Ladies PG , Tiruvallur street , navalur </t>
  </si>
  <si>
    <t>Navya Sree Madineni</t>
  </si>
  <si>
    <t>8341283734</t>
  </si>
  <si>
    <t>7013283734</t>
  </si>
  <si>
    <t>Sri Sai Balaji Ladies PG</t>
  </si>
  <si>
    <t>Thiruvallur street, Navalur, Chennai, Tamil Nadu 600130, Navalur, Chennai</t>
  </si>
  <si>
    <t>Maktumsabgari Juha Fathima</t>
  </si>
  <si>
    <t>7331145475</t>
  </si>
  <si>
    <t>9885965475</t>
  </si>
  <si>
    <t>Sri Sai Balaji PG, Thiruvallur street, Navalur, Chennai, Tamil Nadu 600130, Navalur, Chennai</t>
  </si>
  <si>
    <t>A VISHNU PRAKASH REDDY</t>
  </si>
  <si>
    <t>6300230070</t>
  </si>
  <si>
    <t>6305887353</t>
  </si>
  <si>
    <t>Sri Sai gents Deluxe PG , periyar street ,uthandi,siruseri</t>
  </si>
  <si>
    <t>Sri Sai gents Deluxe PG , periyar street ,uthandi,siruseri, chennai,tamilnadu</t>
  </si>
  <si>
    <t>Potharla Joshna</t>
  </si>
  <si>
    <t>6300627965</t>
  </si>
  <si>
    <t>8309154396</t>
  </si>
  <si>
    <t>Sri sai uniq ladies hostel, Egattur, chennai</t>
  </si>
  <si>
    <t>Sri sai uniq ladies hostel, gandhiji street beside msr ladies hostel branch2, Egattur, chennai</t>
  </si>
  <si>
    <t>Sadiya Khamar Patel</t>
  </si>
  <si>
    <t>8080796455</t>
  </si>
  <si>
    <t>9423339846</t>
  </si>
  <si>
    <t>Sri Sai Uniq Ladies PG, Egattur</t>
  </si>
  <si>
    <t>Sri Sai Uniq Ladies PG, Gangai Amman Kovil Street, Egatur, Siruseri, Tamil Nadu - 600130</t>
  </si>
  <si>
    <t>Akanksha Sunil Athawale</t>
  </si>
  <si>
    <t>9226799882</t>
  </si>
  <si>
    <t>9881463984</t>
  </si>
  <si>
    <t xml:space="preserve">Sri Sai Uniq Ladies PG, AA Kakkan, R6MG+GVP, Gangai Amman Kovil St, Uthandi Egattur Tamil Nadu 600130 Kanchipuram </t>
  </si>
  <si>
    <t>Kasturi Harini</t>
  </si>
  <si>
    <t>8328436801</t>
  </si>
  <si>
    <t>7416867045</t>
  </si>
  <si>
    <t>Sri sai uniq ladies pg, egattur</t>
  </si>
  <si>
    <t>sri sai uniq ladies pg, gangai amman kovali street, egattur , siruseri,  tamilnadu-603103</t>
  </si>
  <si>
    <t>Bhoomika Sree Gunda</t>
  </si>
  <si>
    <t>9281135346</t>
  </si>
  <si>
    <t>9281146595</t>
  </si>
  <si>
    <t>Sri Sai UniQ ladies PG, Egattur</t>
  </si>
  <si>
    <t>Sri Sai UniQ ladies PG,Gangai Amman Kovil Street, Egattur, Siruseri, Tamil Nadu - 603103</t>
  </si>
  <si>
    <t>Yogeswari S</t>
  </si>
  <si>
    <t>8668042023</t>
  </si>
  <si>
    <t>9698252020</t>
  </si>
  <si>
    <t>Sri Sai Uniq stays for ladies,Pazhandi Amman Kovil Street ,Egattur,Siruseri,Chennai-600130</t>
  </si>
  <si>
    <t>Akshaya Murugeson</t>
  </si>
  <si>
    <t>8903775797</t>
  </si>
  <si>
    <t>9489822967</t>
  </si>
  <si>
    <t>Sri Sai Uniqs (Ladies), Egattur</t>
  </si>
  <si>
    <t>Sri Sai Uniqs Ladies PG, Pazhandi Amman Kovil Street, Egattur, Siruseri-600130</t>
  </si>
  <si>
    <t>Sri Sai Uniqs Ladies PG- Egattur</t>
  </si>
  <si>
    <t>Sri Sai Uniqs Ladies PG, Pazhandi Amman Kovil Street, Egattur, Siruseri, Tamil Nadu - 600130</t>
  </si>
  <si>
    <t>Pothuganti Sushmitha</t>
  </si>
  <si>
    <t>8328661610</t>
  </si>
  <si>
    <t>9704114977</t>
  </si>
  <si>
    <t>Sri Sai UniQs PG Ladies Hostel</t>
  </si>
  <si>
    <t>Sri Sai UniQs Ladies PG  Hostel,Gangai Amman kovil St, Uthandi, Egattur, Tamil Nadu 600130</t>
  </si>
  <si>
    <t>Non</t>
  </si>
  <si>
    <t>Sri Sai Uniqs PG, Egattur</t>
  </si>
  <si>
    <t>Sri Sai Uniqs PG, Pazhandi Amman Kovil Street, Egattur, Siruseri-600130</t>
  </si>
  <si>
    <t>J Swetha</t>
  </si>
  <si>
    <t>9360709821</t>
  </si>
  <si>
    <t>9047887622</t>
  </si>
  <si>
    <t>Sri Sai Uniqs stays for ladies</t>
  </si>
  <si>
    <t>Sri Sai Uniqs stays for ladies, Pazhandi Amman Kovil Street, Egattur, Siruseri, Chennai-600130</t>
  </si>
  <si>
    <t>Sri Sai Uniqs stays for Ladies PG</t>
  </si>
  <si>
    <t>Sri Sai Uniqs stays for Ladies PG, Pazhandi Amman Kovil Street, Egattur, Siruseri, Chennai-600130</t>
  </si>
  <si>
    <t>KEERTHANA SHREE M U</t>
  </si>
  <si>
    <t>8248744550</t>
  </si>
  <si>
    <t>8610334076</t>
  </si>
  <si>
    <t>SRI SAI UNIQS STAYS FOR LADIES,PAZHANDI AMMAN KOVIL STREET,EGATTUR,SIRUSERI,CHENNAI-600130</t>
  </si>
  <si>
    <t>SRI SAI UNIQS STAYS FOR LADIES , PAZHANDI AMMAN KOVIL STREET , EGATTUR , SIRUSERI , CHENNAI-600130</t>
  </si>
  <si>
    <t>Thalluri L9949070056ahari</t>
  </si>
  <si>
    <t>9949070056</t>
  </si>
  <si>
    <t>9550913428</t>
  </si>
  <si>
    <t>Sri Sai Unique Ladies PG</t>
  </si>
  <si>
    <t>Sri Sai Unique Ladies PG, Gangaimmah Kovil Street, Egattur, Chennai.</t>
  </si>
  <si>
    <t>Meghna Beeram</t>
  </si>
  <si>
    <t>9949762936</t>
  </si>
  <si>
    <t>9030358359</t>
  </si>
  <si>
    <t>Sri sai unique ladies pg</t>
  </si>
  <si>
    <t>Sri Sai Unique Ladies Pg, Gangai Amman Kovil St, Uthandi, Egattur, Tamil Nadu, 600130</t>
  </si>
  <si>
    <t>Manya Saraswat</t>
  </si>
  <si>
    <t>7648858702</t>
  </si>
  <si>
    <t>9755406114</t>
  </si>
  <si>
    <t>Sri Sai Unique Ladies PG Gangai Amman Kovil St, Uthandi, Egattur, Tamil Nadu 600130</t>
  </si>
  <si>
    <t>Pranjal Bhausaheb Purkar</t>
  </si>
  <si>
    <t>9579302398</t>
  </si>
  <si>
    <t>7391803209</t>
  </si>
  <si>
    <t>Sri Sai unique ladies PG</t>
  </si>
  <si>
    <t>Sri Sai unique ladies PG ,Gangai Amman Kovil Street, Egattur, Siruseri, Tamil Nadu - 603103</t>
  </si>
  <si>
    <t>Vundemodalu Divija</t>
  </si>
  <si>
    <t>8309986248</t>
  </si>
  <si>
    <t>9912618812</t>
  </si>
  <si>
    <t>Sri sai unique ladies pg,Gangai Amman Kovil Street, Egattur, Siruseri, Tamil Nadu - 600130</t>
  </si>
  <si>
    <t>Maddimanu Deepthi</t>
  </si>
  <si>
    <t>9581395429</t>
  </si>
  <si>
    <t>9441985168</t>
  </si>
  <si>
    <t>Sri Sai Unique Ladies PG, Gangai Amman Kovil Street, Egattur, Siruseri, Tamil Nadu - 610103</t>
  </si>
  <si>
    <t>Muktanjali Bhagwat Ghangale</t>
  </si>
  <si>
    <t>9011533192</t>
  </si>
  <si>
    <t>9766860894</t>
  </si>
  <si>
    <t xml:space="preserve">Sri Sai Unique Ladies pg </t>
  </si>
  <si>
    <t>Near SIPCOT IT Park, No. 6/49, Gangaiamman Kovil Street,Siruseri, Chennai, Tamil Nadu - 603103.</t>
  </si>
  <si>
    <t>Thati Sree Varsha</t>
  </si>
  <si>
    <t>6305464979</t>
  </si>
  <si>
    <t>9848004108</t>
  </si>
  <si>
    <t>Sri Sai Unique Ladies PG , Gangaiamman Kovil Street, Egattur, Siruseri, Chennai - 603103, Tamil Nadu</t>
  </si>
  <si>
    <t>Rohini Nakka</t>
  </si>
  <si>
    <t>7386948515</t>
  </si>
  <si>
    <t>6281426304</t>
  </si>
  <si>
    <t xml:space="preserve">Sri Sai Unique Ladies PG , Gangaiamman Kovil Street, Egattur, Siruseri, Chennai - 603103, Tamil Nadu    </t>
  </si>
  <si>
    <t xml:space="preserve">Sri Sai Unique Ladies, Gangaiamman Kovil Street, Egattur, Siruseri, Chennai - 603103, Tamil Nadu    </t>
  </si>
  <si>
    <t>Goriparthi Krishna Swapnika</t>
  </si>
  <si>
    <t>9059874959</t>
  </si>
  <si>
    <t>9291623193</t>
  </si>
  <si>
    <t>Sri Sai Unique Ladies PG, Egattur</t>
  </si>
  <si>
    <t>Sri Sai Unique Ladies PG, Egattur, Siruseri, Tamil Nadu - 631203</t>
  </si>
  <si>
    <t>Vishnupriya Nuvvula</t>
  </si>
  <si>
    <t>9347371081</t>
  </si>
  <si>
    <t>9491178886</t>
  </si>
  <si>
    <t>Sri sai unique ladies pg, Egattur</t>
  </si>
  <si>
    <t>Sri sai unique ladies pg, Gangai Amman Kovil Street, Uthandi, Egattur, Siruseri, Tamil Nadu - 603103</t>
  </si>
  <si>
    <t>nusum srilakshmi lavanya</t>
  </si>
  <si>
    <t>9705454385</t>
  </si>
  <si>
    <t>9177585411</t>
  </si>
  <si>
    <t>sri sai unique ladies pg, egattur</t>
  </si>
  <si>
    <t>Sri sai unique ladies pg,gangai amman kovil,egattur, siruseri,tamilnadu-630103</t>
  </si>
  <si>
    <t>Sri sai unique ladies pg,Egatur</t>
  </si>
  <si>
    <t>Sri sai unique ladies pg,Gangai Amman Kovil Street, Egatur, Siruseri, Tamil Nadu - 600130</t>
  </si>
  <si>
    <t>VALLEM VENKATA VAISHNAVI</t>
  </si>
  <si>
    <t>8519963209</t>
  </si>
  <si>
    <t>9494963209</t>
  </si>
  <si>
    <t>Sri Sai unique ladies pg,gangai amman Kovil, Egattur, sirusei, tamilnadu, 603103.</t>
  </si>
  <si>
    <t>Sri Sai unique ladies pg, gangai amman Kovil Street, Egattur, siruseri, tamil nadu - 603103</t>
  </si>
  <si>
    <t>Vagdevi Kilaru</t>
  </si>
  <si>
    <t>8341275484</t>
  </si>
  <si>
    <t>8143723512</t>
  </si>
  <si>
    <t>Sri Sai Unique Ladies PGm</t>
  </si>
  <si>
    <t>Gangai Amman Kovil St, Uthandi, Egattur, Tamil Nadu 600130</t>
  </si>
  <si>
    <t>Katlagal Bathul Sultana</t>
  </si>
  <si>
    <t>7207528462</t>
  </si>
  <si>
    <t>9493362446</t>
  </si>
  <si>
    <t>Sri Sai Unique PG</t>
  </si>
  <si>
    <t>Sri Sai Unique PG, Gangai Amman KOvil St, Uthandi, Egattur, Tamil Nadu, 600130</t>
  </si>
  <si>
    <t>MALLA MOUNIKA KRISHNA</t>
  </si>
  <si>
    <t>9381735964</t>
  </si>
  <si>
    <t>9381501565</t>
  </si>
  <si>
    <t>SRI SAI UNIQUE PG LADIES HOSTEL, GANGAMMA AMMAN KOVALI STREET,EGATTUR, CHENNAI</t>
  </si>
  <si>
    <t>Navyashree K S</t>
  </si>
  <si>
    <t>8310509733</t>
  </si>
  <si>
    <t>7760043304</t>
  </si>
  <si>
    <t>Sri Sai unique stay for ladies,egattur</t>
  </si>
  <si>
    <t>A/31, Sri Sai Unique Ladies Pg, MSR Luxury Pg For Ladies, Branch 2 , Pazhandi Ammaan Kovil Street, Old Mahabalipuram Road, Siruseri, Egattur, Tamilnadu, Egattur, Tamil Nadu, India</t>
  </si>
  <si>
    <t>Pooja Shree P</t>
  </si>
  <si>
    <t>9742922272</t>
  </si>
  <si>
    <t>6260602884</t>
  </si>
  <si>
    <t>Sri Sai Unique Stays For Ladies</t>
  </si>
  <si>
    <t>Sri Sai Unique Stays For Ladies, Near MSR ladies PG branch-II, Opposite to Marina Mall, Palandiyamman Kovil Street, Egattur, Siruseri, Tamil Nadu-603103</t>
  </si>
  <si>
    <t>Chaitanya Prabhu</t>
  </si>
  <si>
    <t>6203343779</t>
  </si>
  <si>
    <t>8789901299</t>
  </si>
  <si>
    <t>Sri sai venkata hanuman mens pg  New Branch , Egattur</t>
  </si>
  <si>
    <t>Sri sai venkata hanuman mens pg  New Branch , Egattur ,Siruseri,Tamil Nadu -603103</t>
  </si>
  <si>
    <t>Arun Rachuri</t>
  </si>
  <si>
    <t>8074027343</t>
  </si>
  <si>
    <t>9705552571</t>
  </si>
  <si>
    <t>sri sai venkateswara pg, Egattur</t>
  </si>
  <si>
    <t>2/2, Saint Thomas Street, Thiruporur, TN</t>
  </si>
  <si>
    <t>Jayani Nirupa V</t>
  </si>
  <si>
    <t>8056004385</t>
  </si>
  <si>
    <t>9940225279</t>
  </si>
  <si>
    <t>Sri Sai Villa</t>
  </si>
  <si>
    <t>Plot No. 100, Ground Floor, 5th Cross Street, Kumaran Kudil, Thoraipakkam, Chennai 600097</t>
  </si>
  <si>
    <t>Ritvik Raj</t>
  </si>
  <si>
    <t>7633040895</t>
  </si>
  <si>
    <t>7367990109</t>
  </si>
  <si>
    <t>Sri Saravana Mens Hostel</t>
  </si>
  <si>
    <t>Sri Saravana Mens Hostel, Egattur, Siruseri, Tamil Nadu - 603103</t>
  </si>
  <si>
    <t>Samarth Somnath Unde</t>
  </si>
  <si>
    <t>9623811088</t>
  </si>
  <si>
    <t>8830403364</t>
  </si>
  <si>
    <t>Sri Saravana Mens Hostel | Mens Pg in Egattur | Mens Pg Accommodation in Egattur | Mens Hostel in Egattur</t>
  </si>
  <si>
    <t>Sri Saravana Mens Hostel | Mens Pg in Egattur | Mens Pg Accommodation in Egattur | Mens Hostel in Egattur, Tamil Nadu - 603103</t>
  </si>
  <si>
    <t>Aamol Ashok Mamidwar</t>
  </si>
  <si>
    <t>9356851778</t>
  </si>
  <si>
    <t>9767402289</t>
  </si>
  <si>
    <t>Sri Saravana Mens Hostel Back Side Marina Mall Egattur</t>
  </si>
  <si>
    <t xml:space="preserve">Kartik Arun Wagh </t>
  </si>
  <si>
    <t>8767728610</t>
  </si>
  <si>
    <t>7709541240</t>
  </si>
  <si>
    <t>Sri Saravanan Mens Hostel</t>
  </si>
  <si>
    <t>Sri Saravanan Mens Hostel,Near  Marina mall, Egattur, Chennai, Tamil Nadu 603103</t>
  </si>
  <si>
    <t>Nikhil Subhash Kachole</t>
  </si>
  <si>
    <t>Sri Sarvana Mens Hostel</t>
  </si>
  <si>
    <t>Sri Sarvana Mens Hostel near Swiggy instamart Egattur chennai tamilnadu 603103</t>
  </si>
  <si>
    <t>Pratik Satish Warad</t>
  </si>
  <si>
    <t>8805690937</t>
  </si>
  <si>
    <t>8668909277</t>
  </si>
  <si>
    <t xml:space="preserve">Sri Sarvana Mens Hostel , Mens Pg in Egattur </t>
  </si>
  <si>
    <t xml:space="preserve">Sri sarvana mens hostel side of marina mall , egattur </t>
  </si>
  <si>
    <t>Pravin Dattatray Shinde</t>
  </si>
  <si>
    <t>9503247614</t>
  </si>
  <si>
    <t>9922077614</t>
  </si>
  <si>
    <t>Sri Sarvana Mens Hostel ,Egattur</t>
  </si>
  <si>
    <t>Sri Sarvana Mens Hostel near Swiggy insta-mart Egattur chennai tamilnadu 603103</t>
  </si>
  <si>
    <t>Sri Sarvana Mens Hostel Egattur</t>
  </si>
  <si>
    <t>Varshith S</t>
  </si>
  <si>
    <t>8867151240</t>
  </si>
  <si>
    <t>9902950174</t>
  </si>
  <si>
    <t>Sri Sarvana PG</t>
  </si>
  <si>
    <t>Sri Sarvana PG, Egattur,Chennai 603103</t>
  </si>
  <si>
    <t>Sumit Gajendra Panchal</t>
  </si>
  <si>
    <t>8766407688</t>
  </si>
  <si>
    <t>7972712859</t>
  </si>
  <si>
    <t>Sri sarvanan mens pg, Egattur</t>
  </si>
  <si>
    <t>Room no 113,  Marina mall, Egattur, Sri Saravana Mens Hostel, Chennai, Tamil Nadu 603103</t>
  </si>
  <si>
    <t>Priya LNU</t>
  </si>
  <si>
    <t>7903861381</t>
  </si>
  <si>
    <t>Sri Srinivasa Ladies PG</t>
  </si>
  <si>
    <t>309 ,3rd Floor, Sri Srinivasa Ladies PG, Egattur, Siruseri, Tamil Nadu-600130</t>
  </si>
  <si>
    <t>vanapalli parmila</t>
  </si>
  <si>
    <t>9121340535</t>
  </si>
  <si>
    <t>8639067267</t>
  </si>
  <si>
    <t xml:space="preserve">Sri srinivasa ladies pg </t>
  </si>
  <si>
    <t>sri  srinivasa ladies pg, periyar street, egattur, siruseri, tamilnadu - 600130</t>
  </si>
  <si>
    <t xml:space="preserve">Vaishnavi Rajendra Suryawanshi </t>
  </si>
  <si>
    <t>9579565775</t>
  </si>
  <si>
    <t>9552989380</t>
  </si>
  <si>
    <t xml:space="preserve">Sri Srinivasa ladies pg </t>
  </si>
  <si>
    <t>Sri Srinivasa ladies pg, Periyar St, Egattur, Siruseri, Tamilnadu - 603103</t>
  </si>
  <si>
    <t>Mangiri Devika</t>
  </si>
  <si>
    <t>8096818887</t>
  </si>
  <si>
    <t>9948724646</t>
  </si>
  <si>
    <t>Sri Srinivasa Ladies PG, Periyar st, Egattur, Tamil Nadu,600130</t>
  </si>
  <si>
    <t>Yamini Rongala</t>
  </si>
  <si>
    <t>9392651233</t>
  </si>
  <si>
    <t>9640348197</t>
  </si>
  <si>
    <t>Sri Srinivasa ladies Pg, Periyar street, Egattur</t>
  </si>
  <si>
    <t>Sri Srinivasa ladies Pg, Periyar street, Egattur, Siruseri, Chennai, TamilNadu - 600130</t>
  </si>
  <si>
    <t>Harshith Kumar P</t>
  </si>
  <si>
    <t>8792856126</t>
  </si>
  <si>
    <t>8762211125</t>
  </si>
  <si>
    <t>Sri srinivasa mens pg</t>
  </si>
  <si>
    <t>Sri srinivasa mens pg, 4/49, Periyar St, Navalur, Tamil Nadu - 600130</t>
  </si>
  <si>
    <t>Ritik katiyar</t>
  </si>
  <si>
    <t>7817911586</t>
  </si>
  <si>
    <t>8840827379</t>
  </si>
  <si>
    <t xml:space="preserve">Sri Srinivasa mens PG </t>
  </si>
  <si>
    <t>Anurag Kushwaha</t>
  </si>
  <si>
    <t>8368191673</t>
  </si>
  <si>
    <t>9569332262</t>
  </si>
  <si>
    <t>Sri Srinivasa mens PG, Navallur</t>
  </si>
  <si>
    <t>Sri Srinivasa mens PG, 4/49, periyar street, Navallur, Chennai, 600130</t>
  </si>
  <si>
    <t>Shravan V</t>
  </si>
  <si>
    <t>6363747320</t>
  </si>
  <si>
    <t>9900653363</t>
  </si>
  <si>
    <t>Sri Srinivasa Mens PG, Navalur</t>
  </si>
  <si>
    <t>Sri Srinivasa Mens PG, Navalur,4/49, Periyar St, Navalur, Tamil Nadu,600130</t>
  </si>
  <si>
    <t>Syed Simran</t>
  </si>
  <si>
    <t>9515691825</t>
  </si>
  <si>
    <t>720141325</t>
  </si>
  <si>
    <t>sri sudiksha ladies PG , karapakkam</t>
  </si>
  <si>
    <t>MGR SREET sholinganallur</t>
  </si>
  <si>
    <t>I currently reside in Karapakkam, Chennai, and my training/work location is Siruseri SIPCOT. In case of any emergency, transportation disruptions, heavy rainfall, flooding, or other unforeseen situations that may affect travel between Karapakkam and Siruseri, I may require support related to commute arrangements, alternate work options, or emergency communication. I have access to a mobile phone and can be contacted at any time for business continuity or safety-related communication.</t>
  </si>
  <si>
    <t>Charumathi P</t>
  </si>
  <si>
    <t>8807597429</t>
  </si>
  <si>
    <t>8110089183</t>
  </si>
  <si>
    <t>Sri Svs Grand Stay, Sholinganallur</t>
  </si>
  <si>
    <t>No:53-A, Rajiv Gandhi Salai near KVB, Sholinganallur</t>
  </si>
  <si>
    <t>MADHYANAPU ANAND SRI SATYA SAI</t>
  </si>
  <si>
    <t>9391965850</t>
  </si>
  <si>
    <t>7780282659</t>
  </si>
  <si>
    <t>SRI THARUN PG FOR GENTS, NAVALUR</t>
  </si>
  <si>
    <t>SRI THARUN PG FOR GENTS, NAVALUR, 248/2A, INDHIRA GANDHI STREET,NAVALUR, TAMILNADU 600130</t>
  </si>
  <si>
    <t>Siddu Vishnu priya</t>
  </si>
  <si>
    <t>9346348839</t>
  </si>
  <si>
    <t>9705360204</t>
  </si>
  <si>
    <t>Sri Vaishnavi PG, Siruseri</t>
  </si>
  <si>
    <t>Sri Vaishnavi PG, Dr.Ambedkar Street, Near Siruseri Bustop, Siruseri, Chennai, Tamil Nadu</t>
  </si>
  <si>
    <t>G Yaswanth</t>
  </si>
  <si>
    <t>7842517530</t>
  </si>
  <si>
    <t>9989237285</t>
  </si>
  <si>
    <t xml:space="preserve">Sri venkat luxury gents pg </t>
  </si>
  <si>
    <t>39,govindasamy nayakkar st, Sholinganallur, Chennai, Tamil Nadu-600119</t>
  </si>
  <si>
    <t>udagundla bala ranganath</t>
  </si>
  <si>
    <t>7013941296</t>
  </si>
  <si>
    <t>9573178095</t>
  </si>
  <si>
    <t>sri venkata hanuman gents pg branch-1,Egattur</t>
  </si>
  <si>
    <t>sri venkata hanuman gents pg ,anna street ,egattur,siruseri,tamilnadu-603103</t>
  </si>
  <si>
    <t>Evelyn Devapriya</t>
  </si>
  <si>
    <t>8300774896</t>
  </si>
  <si>
    <t>9952467896</t>
  </si>
  <si>
    <t>Sri Venkata Hanuman Sai Ladies PG, Egattur</t>
  </si>
  <si>
    <t>Sri Venkata Hanuman Sai Ladies PG, 168, Rajiv Gandhi Salai, OMR, Chennai, Egattur, Tamil Nadu 600130.</t>
  </si>
  <si>
    <t>KODURI SAI MANAS HARSHA VARDHAN</t>
  </si>
  <si>
    <t>9640285345</t>
  </si>
  <si>
    <t>9290266383</t>
  </si>
  <si>
    <t>Sri Venkata Rajendra Delux gents pg</t>
  </si>
  <si>
    <t>Room no:203,1st floor,Sri venkata Rajendra Delux gents pg, No 137,Rajiv Gandhi Salai, opp Aavin,Shollinganallur</t>
  </si>
  <si>
    <t>Vangala Siva Mohan Yadav</t>
  </si>
  <si>
    <t>9160171235</t>
  </si>
  <si>
    <t>9948674875</t>
  </si>
  <si>
    <t>Sri Venkata Sai Hanuman Gents PG</t>
  </si>
  <si>
    <t>Sri Venkata Sai Hanuman Gents PG, Gangai Amman Kovil Street, Egattur, Siruseri, Tamil Nadu - 603103</t>
  </si>
  <si>
    <t>BUDIGEM DHASHVANTH</t>
  </si>
  <si>
    <t>7036938623</t>
  </si>
  <si>
    <t>9676585696</t>
  </si>
  <si>
    <t>sri venkata sai hanuman gents pg  - Branch 2</t>
  </si>
  <si>
    <t xml:space="preserve">sri venkata sai hanuman gents pg - Branch 2,  4/162, new, near Hotel Ya Rahman, Chennai, Egattur, Tamil Nadu 600130  </t>
  </si>
  <si>
    <t>Aditya Mohan Mane</t>
  </si>
  <si>
    <t>8788370680</t>
  </si>
  <si>
    <t>9421125758</t>
  </si>
  <si>
    <t>Sri Venkata Sai Hanuman Gents PG - Branch 2, Siruseri</t>
  </si>
  <si>
    <t>Sri Venkata Sai Hanuman Gents PG - Branch 2, Anna Street, Egattur, Siruseri, Chennai, Tamil Nadu - 603103</t>
  </si>
  <si>
    <t>Aditya Gokarn</t>
  </si>
  <si>
    <t>6207710266</t>
  </si>
  <si>
    <t>9749019513</t>
  </si>
  <si>
    <t>SRI VENKATA SAI HANUMAN GENTS PG (Branch - 2)</t>
  </si>
  <si>
    <t>4/162A, Anna Street, Siruseri, Chennai, Tamil Nadu - 603103</t>
  </si>
  <si>
    <t>Mukesh Patel</t>
  </si>
  <si>
    <t>7764836684</t>
  </si>
  <si>
    <t>8084667340</t>
  </si>
  <si>
    <t>SRI VENKATA SAI HANUMAN GENTS PG (BRANCH-2)</t>
  </si>
  <si>
    <t>SRI VENKATA SAI HANUMAN GENTS PG (BRANCH-2), 4/162A, Anna Street, Siruseri, Chennai, Tamil Nadu - 603103</t>
  </si>
  <si>
    <t>G Karthik</t>
  </si>
  <si>
    <t>9381646235</t>
  </si>
  <si>
    <t>8500792496</t>
  </si>
  <si>
    <t>SRI VENKATA SAI HANUMAN GENTS PG (Branch-2)</t>
  </si>
  <si>
    <t>4/162A, Anna Street, Siruseri, Chennai, Tamil Nadu 603103</t>
  </si>
  <si>
    <t>Neeraj Sanjay Bhandarwar</t>
  </si>
  <si>
    <t>7397923724</t>
  </si>
  <si>
    <t>7798630019</t>
  </si>
  <si>
    <t>SRI VENKATA SAI HANUMAN GENTS PG (Branch-2), 4/162A, Anna Street, Siruseri, Chennai, Tamil Nadu 603103</t>
  </si>
  <si>
    <t>Shayan Aslam Shaikh</t>
  </si>
  <si>
    <t>9322985932</t>
  </si>
  <si>
    <t>9850132920</t>
  </si>
  <si>
    <t>Subhrajit Chakrabarti</t>
  </si>
  <si>
    <t>9321934166</t>
  </si>
  <si>
    <t>7977486004</t>
  </si>
  <si>
    <t>SRI VENKATA SAI HANUMAN GENTS PG (BRANCH-2), EGATTUR</t>
  </si>
  <si>
    <t>SRI VENKATA SAI HANUMAN GENTS PG (BRANCH-2), Egattur, Siruseri, Tamil Nadu - 603103</t>
  </si>
  <si>
    <t>AJAY SHARMA S</t>
  </si>
  <si>
    <t>7094787794</t>
  </si>
  <si>
    <t>9786362213</t>
  </si>
  <si>
    <t>Sri Venkata Sai hanuman gents PG branch 2</t>
  </si>
  <si>
    <t>4/162A,Anna Street, Siruseri,Chennai,TamilNadu 603103</t>
  </si>
  <si>
    <t>chaganti chaithanya</t>
  </si>
  <si>
    <t>6304143406</t>
  </si>
  <si>
    <t>9951123777</t>
  </si>
  <si>
    <t>sri venkata sai hanuman gents pg branch -2 ,4/162A, Anna Street,Siruseri</t>
  </si>
  <si>
    <t>Sri Venkata Sai hanuman gents pg branch -2 ,4/162A, Anna Street,Siruseri</t>
  </si>
  <si>
    <t>Parigi Rajshekar</t>
  </si>
  <si>
    <t>9381272431</t>
  </si>
  <si>
    <t>9963884633</t>
  </si>
  <si>
    <t>Sri venkata sai hanuman gents pg -Branch-2,Egattur</t>
  </si>
  <si>
    <t>Sri venkata sai hanuman gents pg,Branch-2,4/162,Anna street,siruseri,chennai,Tamilnadu 603103</t>
  </si>
  <si>
    <t>Aditya Sachin Thete</t>
  </si>
  <si>
    <t>9356909517</t>
  </si>
  <si>
    <t>7588129607</t>
  </si>
  <si>
    <t>Sri venkata sai hanuman gents pg(branch-2) siruseri chennai</t>
  </si>
  <si>
    <t>Sri venkata sai hanuman gents pg(branch-2) 4/162A Anna street siruseri chennai</t>
  </si>
  <si>
    <t>Krishna Vamsi Veera Venkata Gavara</t>
  </si>
  <si>
    <t>6309823231</t>
  </si>
  <si>
    <t>8096413211</t>
  </si>
  <si>
    <t>Sri Venkata Sai Hanuman Gents PG, Anna Street, Egattur</t>
  </si>
  <si>
    <t>Sri Venkata Sai Hanuman Gents PG, Anna Street, Egattur, Chennai, Tamil Nadu - 600130</t>
  </si>
  <si>
    <t>Sri Venkata Sai Hanuman Gents PG, Anna Street, Egattur, Chennai, Tamil Nadu, 600130</t>
  </si>
  <si>
    <t>Harshith Raparthi</t>
  </si>
  <si>
    <t>8688758778</t>
  </si>
  <si>
    <t>9908710507</t>
  </si>
  <si>
    <t>Sri venkata sai hanuman mens PG - Branch 2, Egattur</t>
  </si>
  <si>
    <t>Sri venkata sai hanuman mens PG - Branch 2, Egattur, Siruseri, Tamil Nadu - 603103</t>
  </si>
  <si>
    <t>Arin Jiji George</t>
  </si>
  <si>
    <t>8590521964</t>
  </si>
  <si>
    <t>9745262584</t>
  </si>
  <si>
    <t>Sri venkata Sai Hanuman mens pg, egattur, siruseri</t>
  </si>
  <si>
    <t>Sri venkata Sai Hanuman mens pg, egattur, siruseri, chennai</t>
  </si>
  <si>
    <t xml:space="preserve">Bijja Arun Teja </t>
  </si>
  <si>
    <t>6305082623</t>
  </si>
  <si>
    <t>9985745050</t>
  </si>
  <si>
    <t>Sri venkata Sai hanuman pg for gents, Anna street, Egattur</t>
  </si>
  <si>
    <t>Sri venkaata sai hanuman pg for gents, Anna street, Egattur, Siruseri, tamil nadu 603183</t>
  </si>
  <si>
    <t>SRI VENKATA SAI HANUMN GENTS PG (Branch-2)</t>
  </si>
  <si>
    <t>Naresh Kumaran S</t>
  </si>
  <si>
    <t>7824042168</t>
  </si>
  <si>
    <t>8939375002</t>
  </si>
  <si>
    <t>Sri venkata sai hunuman gents PG - Branck 2, siruseri</t>
  </si>
  <si>
    <t>Sri venkata sai hunuman Gents PG - Branck 2, anna Street, Siruseri, chennai, Tamil Nadu 600062</t>
  </si>
  <si>
    <t xml:space="preserve">I may change my PG to rented apartment or planning to stay in my relatives house. </t>
  </si>
  <si>
    <t>Ujjwal mishra</t>
  </si>
  <si>
    <t>9415477791</t>
  </si>
  <si>
    <t>8115429189</t>
  </si>
  <si>
    <t>sri venkatasa sai hanuman mens pg</t>
  </si>
  <si>
    <t>4/162, sri venkatasa sai hanuman mens pg, egattur, siruseri chennai</t>
  </si>
  <si>
    <t>Hemanth Naga Sai Ganesuni</t>
  </si>
  <si>
    <t>7799637648</t>
  </si>
  <si>
    <t>9966223843</t>
  </si>
  <si>
    <t>sri venkateshara delux mens PG, Egattur</t>
  </si>
  <si>
    <t>Sri Venkateshwara Delux mens PG , Egattur, Siruseri , Tamil Nadu-603103</t>
  </si>
  <si>
    <t>Rahul Dilip Patil</t>
  </si>
  <si>
    <t>9209283332</t>
  </si>
  <si>
    <t xml:space="preserve">Sri Venkateshwara deluxe gents pg  </t>
  </si>
  <si>
    <t xml:space="preserve">Sri Venkateshwara deluxe gents pg  -city park layout, near SIPCOT IT Park, sipcot, Egattur, Siruseri, Tamil Nadu 603103  </t>
  </si>
  <si>
    <t>Indra H R</t>
  </si>
  <si>
    <t>9381288558</t>
  </si>
  <si>
    <t>9398653681</t>
  </si>
  <si>
    <t>Sri Venkateshwara deluxe pg, siruseri , Egattur</t>
  </si>
  <si>
    <t>Sri Venkateshwara deluxe pg, 33, first cross road,siruseri ,Egattur</t>
  </si>
  <si>
    <t>Yuvaraj</t>
  </si>
  <si>
    <t>6380728464</t>
  </si>
  <si>
    <t>8056132630</t>
  </si>
  <si>
    <t>Sri Venkateshwara hanuman Pg ,Navalur</t>
  </si>
  <si>
    <t>Sri Venkateshwara Hanuman PG- Egattur</t>
  </si>
  <si>
    <t>Sri Venkateshwara Hanuman PG-Egattur, Siruseri, Tamil Nadu - 603103</t>
  </si>
  <si>
    <t>Everything is fine</t>
  </si>
  <si>
    <t>MEHRAN KHAN</t>
  </si>
  <si>
    <t>8800641522</t>
  </si>
  <si>
    <t>9953595375</t>
  </si>
  <si>
    <t>SRI VENKATESHWARA LUXURY PG FOR GENTS</t>
  </si>
  <si>
    <t>SRI VENKATESHWARA LUXURY PG FOR GENTS 6/48, SAMBALAL STREET NAVALUR</t>
  </si>
  <si>
    <t>Sri Venkateshwara PG Men, Navalur</t>
  </si>
  <si>
    <t>Prabhakaran Sankar</t>
  </si>
  <si>
    <t>7603827375</t>
  </si>
  <si>
    <t>9842545855</t>
  </si>
  <si>
    <t>Sri Venkateshwara PG, Navalur.</t>
  </si>
  <si>
    <t>Sri Venkateshwara PG, Navalur, Chennai, Tamil Nadu - 600130</t>
  </si>
  <si>
    <t xml:space="preserve">Anirudh Gopal, Magnur </t>
  </si>
  <si>
    <t>9975260946</t>
  </si>
  <si>
    <t>9970788542</t>
  </si>
  <si>
    <t>Sri Venkateswara Deluxe Gents PG</t>
  </si>
  <si>
    <t xml:space="preserve">Sri Venkateswara Deluxe GENTS PG, city park layout, near SIPCOT IT Park, sipcot, Egattur, Siruseri, Tamil Nadu 603103 </t>
  </si>
  <si>
    <t>Ayush Kushwaha</t>
  </si>
  <si>
    <t>8375989606</t>
  </si>
  <si>
    <t>7982516393</t>
  </si>
  <si>
    <t>SRI venkateswara deluxe gents pg</t>
  </si>
  <si>
    <t>SVD PG, Mammothiamman street, CITY PARK LAYOUT, THIRD CROSS ROAD, NEAR SIRUSERI, IT Sipcot, Egattur, Siruseri, Tamil Nadu 603103</t>
  </si>
  <si>
    <t>Narendra Talari</t>
  </si>
  <si>
    <t>8790034033</t>
  </si>
  <si>
    <t>9000594330</t>
  </si>
  <si>
    <t>sri venkateswara deluxe,Egattur</t>
  </si>
  <si>
    <t>sri venkateswara deluxe ,mamoothiamman street,egattur,siruseri,tamil nadu-603103</t>
  </si>
  <si>
    <t>Sanjeev pal</t>
  </si>
  <si>
    <t>9667701071</t>
  </si>
  <si>
    <t>9968527880</t>
  </si>
  <si>
    <t>Sri Venkateswara Luxury for gents , Navalur</t>
  </si>
  <si>
    <t>Sri Venkateswara luxury pg , 6/48 ,Samblal street ,navalur ,chennai , tamil nadu 600130</t>
  </si>
  <si>
    <t>Sri venkateswara luxury pg for gents,6/48,navalur</t>
  </si>
  <si>
    <t>Sri venkateswara luxury pg , 6/48 sambalal street , navalur , siruseri tamilnadu 600130</t>
  </si>
  <si>
    <t>Shubham Santosh Gadhave</t>
  </si>
  <si>
    <t>9309426783</t>
  </si>
  <si>
    <t>9527367108</t>
  </si>
  <si>
    <t>Sri vyankata sai hanuman Gents PG - Branch 2, Egattur</t>
  </si>
  <si>
    <t>Sri vyankata sai hanuman Gents PG - Branch 2, Anna Street, Siruseri, Tamil nadu - 603103</t>
  </si>
  <si>
    <t>Sri vyankata sai hanuman Gents PG - Branch 2, Anna street, siruseri, Tamil nadu 603103</t>
  </si>
  <si>
    <t>KARTHIKEYAN R</t>
  </si>
  <si>
    <t>9345889967</t>
  </si>
  <si>
    <t>9498310890</t>
  </si>
  <si>
    <t>Srinivasan Illam</t>
  </si>
  <si>
    <t xml:space="preserve">LAKSHMI NAGAR 2ND CROSS STREET ADAMBAKKAM NEAR TO WAF BITES </t>
  </si>
  <si>
    <t xml:space="preserve">Velachery </t>
  </si>
  <si>
    <t>SRIUNIQS STAYS FOR LADIES,PAZHANDI AMMAN KOVIL STREET,EGATTUR,SIRUSERI,CHENNAI-600130</t>
  </si>
  <si>
    <t>MANOJ CHITTIRI</t>
  </si>
  <si>
    <t>7981294864</t>
  </si>
  <si>
    <t>9494666945</t>
  </si>
  <si>
    <t>SRNIVAS LAKSHIMI ELITE MENS PG , Egattur</t>
  </si>
  <si>
    <t>7/44,Palandi Amman kovil street, Near Navallur tollll gate, Egattur 600130</t>
  </si>
  <si>
    <t>NARAHARIPETA REDDY MONISHA</t>
  </si>
  <si>
    <t>6301246743</t>
  </si>
  <si>
    <t>9490505931</t>
  </si>
  <si>
    <t>SRS BRANCH - 6 ,  Thendral street, TVH Taus, Navalur, OMR, Chennai, 600130</t>
  </si>
  <si>
    <t>SRS BRANCH 6, HP Petrol Pump, Thendral street, TVH Taus, Navallur, Chennai , 600130</t>
  </si>
  <si>
    <t>Keerthi Mekala</t>
  </si>
  <si>
    <t>7815852209</t>
  </si>
  <si>
    <t>SRS Branch I,Gangai Ammai Kovili Street , Egattur .</t>
  </si>
  <si>
    <t>SRS Branch I,Gangai Ammai Kovili Street , Egattur , Chennai , Tamil Nadu-603103</t>
  </si>
  <si>
    <t>Nusum Mounika</t>
  </si>
  <si>
    <t>9347854507</t>
  </si>
  <si>
    <t>7330921669</t>
  </si>
  <si>
    <t>SRS branch-6, Navalur.</t>
  </si>
  <si>
    <t xml:space="preserve">SRS branch 6 girls pg, 18 Thendral street, TVH Taus, Navalur, Chennai, 600130 </t>
  </si>
  <si>
    <t>Patil Prerana Vishwas</t>
  </si>
  <si>
    <t>SRS Girls PG, Ambedkar Street, Egattur</t>
  </si>
  <si>
    <t xml:space="preserve">Nanditha Yenugadhati </t>
  </si>
  <si>
    <t>7386848856</t>
  </si>
  <si>
    <t>9908338856</t>
  </si>
  <si>
    <t xml:space="preserve">SRS girls pg, ambedkar street, egattur </t>
  </si>
  <si>
    <t xml:space="preserve">SRS girls pg, ambedkar street, egattur, siruseri, tamilnadu </t>
  </si>
  <si>
    <t>Vantakula Yamini</t>
  </si>
  <si>
    <t>8977770445</t>
  </si>
  <si>
    <t>8555962574</t>
  </si>
  <si>
    <t>SRS Girls PG-Branch 6, Navalur</t>
  </si>
  <si>
    <t>SRS luxury Hostel(Branch 6) Thandral Street,Olympia Panache Chennai 600130 Tamilnadu</t>
  </si>
  <si>
    <t>Sneha Bose</t>
  </si>
  <si>
    <t>6372798743</t>
  </si>
  <si>
    <t>9051444149</t>
  </si>
  <si>
    <t>SRS Ladies Hostel</t>
  </si>
  <si>
    <t>SRS Luxury PG for ladies, opp. Marina Mall, Main, Egattur, Tamil Nadu 600130</t>
  </si>
  <si>
    <t>Nagalakshmi Sahithi Priya Gorthi</t>
  </si>
  <si>
    <t>7382795699</t>
  </si>
  <si>
    <t>9490145654</t>
  </si>
  <si>
    <t>SRS Ladies Hostel - Branch 3, opp. Marina Mall, Egattur</t>
  </si>
  <si>
    <t>SRS Ladies Hostel SRS Luxury PG for ladies, opp. Marina Mall, Main, Egattur, Tamil Nadu, 600130</t>
  </si>
  <si>
    <t>Harini prakash</t>
  </si>
  <si>
    <t>6385495984</t>
  </si>
  <si>
    <t>9677438231</t>
  </si>
  <si>
    <t>srs ladies hostel -Branch -1,Siruseri</t>
  </si>
  <si>
    <t>Nayana K M</t>
  </si>
  <si>
    <t>9035930027</t>
  </si>
  <si>
    <t>9964300027</t>
  </si>
  <si>
    <t xml:space="preserve">SRS Ladies P G  branch 1 Egattur </t>
  </si>
  <si>
    <t>ANET ROSE SHAJU</t>
  </si>
  <si>
    <t>7708174897</t>
  </si>
  <si>
    <t>9894368639</t>
  </si>
  <si>
    <t>SRS Ladies PG</t>
  </si>
  <si>
    <t>SRS Ladies PG, 1/210a, Dr Ambedkar St, Egattur, Chennai, Tamil Nadu 600130</t>
  </si>
  <si>
    <t xml:space="preserve">Vedika Pankaj Toke </t>
  </si>
  <si>
    <t>8080091904</t>
  </si>
  <si>
    <t>9518364015</t>
  </si>
  <si>
    <t>SRS ladies Pg</t>
  </si>
  <si>
    <t>SRS Luxury pg for ladies  Opposite Marina Mall, Egattur, Rajiv Gandhi expressway,Chennai, Tamil Nadu 600130</t>
  </si>
  <si>
    <t>Divya Dhanapal</t>
  </si>
  <si>
    <t>7010565513</t>
  </si>
  <si>
    <t>9095228557</t>
  </si>
  <si>
    <t>SRS Ladies PG - Branch - 2, Egattur</t>
  </si>
  <si>
    <t>Branch-2 , SRS luxury PG for Womens , Gangai Amman street, opposite Marimal Mall, Egattur.</t>
  </si>
  <si>
    <t>Vanimireddy Himaja</t>
  </si>
  <si>
    <t>9963648787</t>
  </si>
  <si>
    <t>6309321875</t>
  </si>
  <si>
    <t>SRS Ladies PG - Branch 5 , Egattur</t>
  </si>
  <si>
    <t>SRS Ladies PG , Branch-5 , Backside of HP Petrol Bunk , Vembuliamman Koil Street , Egattur, Tamil Nadu--600130</t>
  </si>
  <si>
    <t>Padmaja katuri</t>
  </si>
  <si>
    <t>9618117114</t>
  </si>
  <si>
    <t>9908555602</t>
  </si>
  <si>
    <t>SRS ladies PG - Branch 6, Egattur</t>
  </si>
  <si>
    <t>SRS Ladies PG, Branch 6, Thendral 1st Street, Egattur, Tamil Nadu - 600130</t>
  </si>
  <si>
    <t>Here is our PG number 9506695090 to contact in any emergency Situation</t>
  </si>
  <si>
    <t>Rakshitha H R</t>
  </si>
  <si>
    <t>8951847699</t>
  </si>
  <si>
    <t>9632176258</t>
  </si>
  <si>
    <t>SRS ladies pg - branch-2 , Navalur</t>
  </si>
  <si>
    <t xml:space="preserve"> SRS Branch 2 Ladies PG is: BRANCH-2, HP PETROL PUMP, SRS LUXURY PG FOR WOMAN (LADIES HOSTEL, VEMBULIAMMAN KOIL ST, BEHIND NAVALUR, Chennai, Tamil Nadu.</t>
  </si>
  <si>
    <t>Sindhu D B</t>
  </si>
  <si>
    <t>6363130698</t>
  </si>
  <si>
    <t>702264291</t>
  </si>
  <si>
    <t>SRS LADIES PG Branch 5, Egattur</t>
  </si>
  <si>
    <t>SRS LADIES PG Branch 5, tendral street, Egattur Siruseri, Tamilnadu 600130</t>
  </si>
  <si>
    <t>PARUPALLI LAVANYA</t>
  </si>
  <si>
    <t>9390596474</t>
  </si>
  <si>
    <t>9949282430</t>
  </si>
  <si>
    <t>SRS LADIES PG EGATTUR</t>
  </si>
  <si>
    <t>SRS LADIES PG AMBEDKAR STREET, EGATTUR, SIRUSERI</t>
  </si>
  <si>
    <t>Tummala Lakshmi Narasamma</t>
  </si>
  <si>
    <t>7780109395</t>
  </si>
  <si>
    <t>8688176093</t>
  </si>
  <si>
    <t>SRS Ladies PG-Branch 1 Egattur</t>
  </si>
  <si>
    <t>SRS Ladies PG, Branch 1, Gangai Amman Kovil Street, Egattur, Siruseri, Tamil Nadu - 603103</t>
  </si>
  <si>
    <t>Akshatha</t>
  </si>
  <si>
    <t>7676087197</t>
  </si>
  <si>
    <t>9986352512</t>
  </si>
  <si>
    <t>SRS Luxury  ladies PG ,Doctor Ambedkar Street ,Sipcot,Egattur</t>
  </si>
  <si>
    <t>SRS Luxury  ladies PG ,Doctor Ambedkar Street ,Sipcot,Egattur Tamil Nadu</t>
  </si>
  <si>
    <t>Battu Sisira Neha</t>
  </si>
  <si>
    <t>6303078775</t>
  </si>
  <si>
    <t>7989189910</t>
  </si>
  <si>
    <t>SRS Luxury Ladies Hostel, Branch-1, Egattur</t>
  </si>
  <si>
    <t>SRS Luxury Ladies Hostel, Branch 1, Gangai Amman Kovil Street, Egattur, Siruseri, Tamil Nadu-603103</t>
  </si>
  <si>
    <t>Katreddy Durga Naga Deepika</t>
  </si>
  <si>
    <t>8247378920</t>
  </si>
  <si>
    <t>9603736772</t>
  </si>
  <si>
    <t>SRS LUXURY LADIES HOSTEL, BRANCH1, NAVALUR</t>
  </si>
  <si>
    <t>SRS LUXURY LADIES HOSTEL, Branch 1, Gangai Amman Kovil Street, Egattur, Siruseri, Tamil Nadu - 603103</t>
  </si>
  <si>
    <t>Priyadharshini D</t>
  </si>
  <si>
    <t>7826976207</t>
  </si>
  <si>
    <t>9840206131</t>
  </si>
  <si>
    <t>SRS Luxury ladies PG - Branch 1, Egattur</t>
  </si>
  <si>
    <t>SRS Luxury ladies PG - Branch 1,Gangai Amman Kovil Street, Egattur, Siruseri, Tamil Nadu - 603103</t>
  </si>
  <si>
    <t>Lavanya Panchakshari Tumminakatte</t>
  </si>
  <si>
    <t>6361737069</t>
  </si>
  <si>
    <t>9353545860</t>
  </si>
  <si>
    <t>SRS Luxury Ladies PG - Branch 5 , Navalur</t>
  </si>
  <si>
    <t>SRS Luxury Ladies PG,Branch 5,Thendral street, Egattur, Navalur, Chennai, Tamil Nadu 603103</t>
  </si>
  <si>
    <t>Suchithra M M</t>
  </si>
  <si>
    <t>7619617258</t>
  </si>
  <si>
    <t>9980119401</t>
  </si>
  <si>
    <t>SRS Luxury Ladies PG - Branch 5, Egattur</t>
  </si>
  <si>
    <t>SRS Luxury Ladies PG , Branch 5, Thendral Street, Egattur, Siruseri, Tamil Nadu-603103</t>
  </si>
  <si>
    <t>Farhana Mohamed Abdul Wahab</t>
  </si>
  <si>
    <t>9994711921</t>
  </si>
  <si>
    <t>9629800921</t>
  </si>
  <si>
    <t>SRS luxury ladies PG - Branch 6, Egattur</t>
  </si>
  <si>
    <t>SRS luxury ladies PG - Branch 6, Thendral nagar street, Egattur</t>
  </si>
  <si>
    <t>Gomathi A</t>
  </si>
  <si>
    <t>8248237140</t>
  </si>
  <si>
    <t>9750159488</t>
  </si>
  <si>
    <t>SRS Luxury Ladies PG -2,Egattur</t>
  </si>
  <si>
    <t>SRS Luxury Ladies PG-2, Ambedkar Street,Egattur,Siruseri,Tamil Nadu -600130</t>
  </si>
  <si>
    <t>Shanmugapriya P</t>
  </si>
  <si>
    <t>9361320220</t>
  </si>
  <si>
    <t>8838607078</t>
  </si>
  <si>
    <t>SRS luxury ladies pg branch 5 Thendral street Egattur</t>
  </si>
  <si>
    <t>SRS luxury ladies pg branch 5 Thendral street Egattur 600130</t>
  </si>
  <si>
    <t>Ammannagari Manoja</t>
  </si>
  <si>
    <t>8466949858</t>
  </si>
  <si>
    <t>9866073318</t>
  </si>
  <si>
    <t>SRS Luxury Ladies PG branch II -Egattur</t>
  </si>
  <si>
    <t>SRS Luxury Ladies PGbranch II -Egattur tamilnadu</t>
  </si>
  <si>
    <t>Megha Krishnaji S</t>
  </si>
  <si>
    <t>7019592737</t>
  </si>
  <si>
    <t>7204170358</t>
  </si>
  <si>
    <t>SRS Luxury ladies PG, Branch 5, Egattur, Navalur.</t>
  </si>
  <si>
    <t>SRS Luxury ladies PG, Branch 5, Thendral street, Egattur, Tamil Nadu-  603103</t>
  </si>
  <si>
    <t>SHAIK SHAHINA</t>
  </si>
  <si>
    <t>7842250710</t>
  </si>
  <si>
    <t>9985184217</t>
  </si>
  <si>
    <t>SRS Luxury ladies pg, branch-1, Egattur</t>
  </si>
  <si>
    <t>SRS Luxury ladies pg, branch-1, Gangai Amman Kovil Street, Egattur, Siruseri, Tamil Nadu - 603103</t>
  </si>
  <si>
    <t>simma jyotsna</t>
  </si>
  <si>
    <t>7842153056</t>
  </si>
  <si>
    <t>7801073877</t>
  </si>
  <si>
    <t>SRS luxury ladies PG, Egattur</t>
  </si>
  <si>
    <t>SRS luxury ladies PG-branch 6,egattur,thedral street,navalur road</t>
  </si>
  <si>
    <t>Suhasini chavan</t>
  </si>
  <si>
    <t>6361096890</t>
  </si>
  <si>
    <t>9591065313</t>
  </si>
  <si>
    <t>SRS Luxury Ladies PG-branch 5,Egattur</t>
  </si>
  <si>
    <t>SRS Luxury Ladies PG-branch 5,Egattur,Siruseri,Tamil Nadu 603103</t>
  </si>
  <si>
    <t>Sri Gayathri K</t>
  </si>
  <si>
    <t>9042030063</t>
  </si>
  <si>
    <t>9442057216</t>
  </si>
  <si>
    <t>SRS Luxury Ladies stays Pg -II, Egattur</t>
  </si>
  <si>
    <t>SRS Luxury Ladies stays Pg -II, Dr. Ambedkar street,Egattur,Siruseri, Tamil Nadu 600130</t>
  </si>
  <si>
    <t>Sayli Mukund Alaspure</t>
  </si>
  <si>
    <t>8010245947</t>
  </si>
  <si>
    <t>9359007698</t>
  </si>
  <si>
    <t>SRS luxury pg - branch 3opposite to marina mall egattur</t>
  </si>
  <si>
    <t>SRS pg branch 3, opposite to marina mall,egattur,navalur,chennai, tamilnadu 600130</t>
  </si>
  <si>
    <t>Hrutuja Umakant Aher</t>
  </si>
  <si>
    <t>9699407422</t>
  </si>
  <si>
    <t>SRS Luxury PG- Branch 1,Egattur</t>
  </si>
  <si>
    <t>SRS Luxury PG ,Bracnch 1,Siruseri,SRS Luxury PG,Gangai Amman kovil,near marina mall,opposite to a2b,egattur,chennai,tamilnadu 600130</t>
  </si>
  <si>
    <t>Bonam Deborah Margaret</t>
  </si>
  <si>
    <t>6301095406</t>
  </si>
  <si>
    <t>9652392248</t>
  </si>
  <si>
    <t>SRS LUXURY PG BRANCH 1,SIRUSERI</t>
  </si>
  <si>
    <t>SRS LUXURY PG, BRANCH-1, GANGAI AMMAN KOVIL STREET, EGATTUR, SIRUSERI, TAMIL NADU-603103</t>
  </si>
  <si>
    <t>Koduri Joshna pallavi</t>
  </si>
  <si>
    <t>9121570548</t>
  </si>
  <si>
    <t>9704570548</t>
  </si>
  <si>
    <t>SRS Luxury PG Branch-1,Egattur</t>
  </si>
  <si>
    <t>SRS Luxury PG,Branch 1, Gangai Amman Kovil Street, Egattur, Siruseri, Tamil Nadu - 603103</t>
  </si>
  <si>
    <t>Surabhi Subrota Ghosh</t>
  </si>
  <si>
    <t>8329146976</t>
  </si>
  <si>
    <t>9503768422</t>
  </si>
  <si>
    <t>SRS Luxury PG for ladies</t>
  </si>
  <si>
    <t>SRS Luxury PG for ladies, opposite Marina mall, Main, Egattur, Tamil Nadu- 600130</t>
  </si>
  <si>
    <t>Mahavidhya Mohankumar</t>
  </si>
  <si>
    <t>9360507214</t>
  </si>
  <si>
    <t>7708092874</t>
  </si>
  <si>
    <t>SRS luxury PG for ladies</t>
  </si>
  <si>
    <t>SRS luxury PG for ladies, opposite to marina mall, main, Egattur, Tamil Nadu 600130</t>
  </si>
  <si>
    <t>Jameela safrin</t>
  </si>
  <si>
    <t>7373343786</t>
  </si>
  <si>
    <t>9894280464</t>
  </si>
  <si>
    <t xml:space="preserve">SRS luxury pg for ladies </t>
  </si>
  <si>
    <t>SRS luxury pg for ladies,opposite to marina mall,main, Egattur, Tamilnadu-600130</t>
  </si>
  <si>
    <t>Nalumachu Vaishnavi</t>
  </si>
  <si>
    <t>7671891239</t>
  </si>
  <si>
    <t>8074449756</t>
  </si>
  <si>
    <t>SRS Luxury PG for ladies - Branch 3, Egattur</t>
  </si>
  <si>
    <t>SRS Luxury PG for ladies, Branch 3, opp. Marina Mall, Main, Egattur, Tamil Nadu 600130</t>
  </si>
  <si>
    <t>Huma Faruqi</t>
  </si>
  <si>
    <t>9345526056</t>
  </si>
  <si>
    <t>8825528916</t>
  </si>
  <si>
    <t>SRS Luxury PG for Ladies - Branch 3, opp. Marina Mall, Main, Egattur, Tamil Nadu 600130</t>
  </si>
  <si>
    <t>Fazeen Alimurtuza Patel</t>
  </si>
  <si>
    <t>8010588876</t>
  </si>
  <si>
    <t>9284580789</t>
  </si>
  <si>
    <t>SRS Luxury PG for Ladies - Branch 6, Egattur</t>
  </si>
  <si>
    <t>SRS Luxury PG for Ladies, Branch 6, HP Petrol Pump, Vembuliamman Koli St, Behind Navalur, Egattur, Tamil Nadu - 600130</t>
  </si>
  <si>
    <t>8610530564</t>
  </si>
  <si>
    <t>9843967342</t>
  </si>
  <si>
    <t>SRS Luxury Pg for Ladies, Branch 6, HP Petrol pump, Thendral street, behind navalur, Egattur, Chennai, Tamilnadu-600130</t>
  </si>
  <si>
    <t>Neha Hanmant Tadalapure</t>
  </si>
  <si>
    <t>9370438864</t>
  </si>
  <si>
    <t>7028389082</t>
  </si>
  <si>
    <t>SRS Luxury PG for ladies Branch III, Egattur</t>
  </si>
  <si>
    <t>SRS Luxury PG for ladies Branch III, Opp. Marina Mall, Main, Egattur, Tamil Nadu, 600130</t>
  </si>
  <si>
    <t>AMRUTHA N</t>
  </si>
  <si>
    <t>9353380462</t>
  </si>
  <si>
    <t>9743606911</t>
  </si>
  <si>
    <t>SRS Luxury PG For Ladies SIPCOT- SIRUSERI</t>
  </si>
  <si>
    <t>Pinninti Swetha</t>
  </si>
  <si>
    <t>7799394944</t>
  </si>
  <si>
    <t>9492277481</t>
  </si>
  <si>
    <t>Vedashree MJ</t>
  </si>
  <si>
    <t>9844539327</t>
  </si>
  <si>
    <t>7019809707</t>
  </si>
  <si>
    <t>Kodam Sowjanya</t>
  </si>
  <si>
    <t>9398858714</t>
  </si>
  <si>
    <t>8919678365</t>
  </si>
  <si>
    <t>SRS Luxury PG for ladies, Branch 3, Egattur</t>
  </si>
  <si>
    <t>SRS Luxury PG for ladies, Branch 3, oppo. Marina Mall, Eggatur, Tamilnadu 600130</t>
  </si>
  <si>
    <t>Shreya Naresh Panat</t>
  </si>
  <si>
    <t>7972637712</t>
  </si>
  <si>
    <t>9763143692</t>
  </si>
  <si>
    <t>SRS Luxury PG For Ladies, Egattur</t>
  </si>
  <si>
    <t>SRS Luxury PG For Ladies, 1/210a, Dr Ambedkar Street, Egattur, Chennai, Tamil Nadu 600130</t>
  </si>
  <si>
    <t>Visakoti Komali</t>
  </si>
  <si>
    <t>8019254936</t>
  </si>
  <si>
    <t>9966599936</t>
  </si>
  <si>
    <t xml:space="preserve">SRS Luxury PG for Ladies, Egattur </t>
  </si>
  <si>
    <t>SRS Luxury PG for ladies, Doctor Ambedhkar Street, Egattur, Siruseri, Tamil Nadu - 603103</t>
  </si>
  <si>
    <t>IRFANA ATHIBA M</t>
  </si>
  <si>
    <t>9360787456</t>
  </si>
  <si>
    <t>9487168776</t>
  </si>
  <si>
    <t>SRS LUXURY PG FOR LADIES-BRANCH 6,EGATTUR</t>
  </si>
  <si>
    <t>SRS LUXURY PG FOR LADIES-BRANCH 6,THENDRAL STREET,EGATTUR,SIRUSERI,TAMIL NADU-600130</t>
  </si>
  <si>
    <t>Pujitha Ramya Thotakura</t>
  </si>
  <si>
    <t>9390681353</t>
  </si>
  <si>
    <t>9951819002</t>
  </si>
  <si>
    <t>SRS LUXURY PG FOR WOMAN</t>
  </si>
  <si>
    <t xml:space="preserve"> SRS LUXURY PG FOR WOMAN SIPCOT SIRUSERI  No. 10, Near Marina Mall, Gangai Amman Kovil Street, Egattur, Chennai-603103, Tamil Nadu  </t>
  </si>
  <si>
    <t>Harini Gunasekaran</t>
  </si>
  <si>
    <t>7200955765</t>
  </si>
  <si>
    <t>7550251239</t>
  </si>
  <si>
    <t>SRS Luxury PG for Woman - Branch 1, Egattur</t>
  </si>
  <si>
    <t>SRS Luxury PG for Woman - Branch 1, Gangai Amman Kovil Street, Egattur, Siruseri, Tamil Nadu - 603103</t>
  </si>
  <si>
    <t>SRS LUXURY PG FOR WOMAN -Branch 1,Siruseri</t>
  </si>
  <si>
    <t xml:space="preserve"> SRS LUXURY PG FOR WOMAN SIPCOT SIRUSERI  No. 10, Near Marina Mall, Gangai Amman Kovil Street, Egattur, Chennai-603103, Tamil Nadu</t>
  </si>
  <si>
    <t>Syeda Sidra Quadri</t>
  </si>
  <si>
    <t>9538283450</t>
  </si>
  <si>
    <t>9902905510</t>
  </si>
  <si>
    <t>SRS Luxury PG For Woman Hostel - Branch 6, NAVALUR</t>
  </si>
  <si>
    <t>SRS Luxury PG For Woman Hostel HP petrol pump, Vembuliamman Koil Street, behind navalur, Egattur, Tamil Nadu, India</t>
  </si>
  <si>
    <t>Suneela R</t>
  </si>
  <si>
    <t>7892169682</t>
  </si>
  <si>
    <t>9945600397</t>
  </si>
  <si>
    <t>SRS Luxury PG For Woman Hostel - NAVALUR Branch 6</t>
  </si>
  <si>
    <t>HP petrol pump, Vembuliamman Koil Street, behind navalur, Egattur, Tamil Nadu, India</t>
  </si>
  <si>
    <t>Venturi Satya Sri Devi</t>
  </si>
  <si>
    <t>7981677646</t>
  </si>
  <si>
    <t>9390491828</t>
  </si>
  <si>
    <t>SRS Luxury PG For Woman, Branch 6, Navallur.</t>
  </si>
  <si>
    <t>Thendral 1st Street, Near Navallur , Egattur, Tamil Nadu - 600130.</t>
  </si>
  <si>
    <t>SRS LUXURY PG FOR WOMAN-Branch 1, Egattur</t>
  </si>
  <si>
    <t>KINTADA PRAVALLIKA</t>
  </si>
  <si>
    <t>9346669717</t>
  </si>
  <si>
    <t>9502730759</t>
  </si>
  <si>
    <t>SRS LUXURY PG FOR WOMEN</t>
  </si>
  <si>
    <t>BRANCH-6, SRS LUXURY PG FOR WOMEN, NEAR HP PETROL PUMP, VEMBULIAMMAN KOLI ST, BEHIND NAVALUR,EGATTUR,TAMILNADU-600130</t>
  </si>
  <si>
    <t>Srivarshini G</t>
  </si>
  <si>
    <t>9442215598</t>
  </si>
  <si>
    <t>9655994675</t>
  </si>
  <si>
    <t xml:space="preserve">SRS Luxury PG for Women Branch 1 </t>
  </si>
  <si>
    <t>SRS Luxury PG for Women Branch 1, Gangai Amman Kovil Street, Egattur, Siruseri, Tamil Nadu - 600130</t>
  </si>
  <si>
    <t>Bhumika B</t>
  </si>
  <si>
    <t>6363943120</t>
  </si>
  <si>
    <t>9448424900</t>
  </si>
  <si>
    <t>SRS LUXURY PG FOR WOMEN, BRANCH-1, EGATTUR</t>
  </si>
  <si>
    <t>SRS LUXURY PG FOR WOMEN, BRANCH-1, GANGAI AMMAN KOVIL STREET, NEAR MARINA MALL, OPPOSITE TO A2B,EGATTUR, CHENNAI, TAMIL NADU-600130</t>
  </si>
  <si>
    <t>SHREYA SARVAN MASANAM</t>
  </si>
  <si>
    <t>9849801075</t>
  </si>
  <si>
    <t>9248329399</t>
  </si>
  <si>
    <t>SRS luxury Pg ladies - Branch 1, Egattur</t>
  </si>
  <si>
    <t>SRS luxury Pg ladies, Branch 1,Gangai Amman Kovil Street, Egattur, Siruseri, Tamil Nadu - 603103</t>
  </si>
  <si>
    <t>Prerana Vishwas Patil</t>
  </si>
  <si>
    <t>SRS Luxury PG(Ambedkar street).,Egattur</t>
  </si>
  <si>
    <t>Harshitha Yarra</t>
  </si>
  <si>
    <t>7702098457</t>
  </si>
  <si>
    <t>9951467054</t>
  </si>
  <si>
    <t>SRS Luxury pg, branch 1, Egattur</t>
  </si>
  <si>
    <t>SRS Luxury pg, branch 1, Gangan Ammai Kovil Street, opposite to A2B, Egattur, Chennai 600130</t>
  </si>
  <si>
    <t>Tanushree CM</t>
  </si>
  <si>
    <t>9113613271</t>
  </si>
  <si>
    <t>8197606556</t>
  </si>
  <si>
    <t>SRS luxury PG, Branch 6, Egattur</t>
  </si>
  <si>
    <t>SRS luxury PG, Branch 6 , Thendral Street,Tiruporur, Egattur,Chengalpattu District,Chennai,TamilNadu-603103</t>
  </si>
  <si>
    <t>Koudigayala Rachana</t>
  </si>
  <si>
    <t>6301695380</t>
  </si>
  <si>
    <t>9347048685</t>
  </si>
  <si>
    <t>SRS Luxury stays for women-Branch 2, Egattur</t>
  </si>
  <si>
    <t>249, SRS Luxury PG For Ladies,  Dr Ambedkar Street Egattur .Siruseri Tamil Nadu</t>
  </si>
  <si>
    <t>Sakshi Ramdas Salunkhe</t>
  </si>
  <si>
    <t>8767542119</t>
  </si>
  <si>
    <t>SRS Luxury Stays Womens PG, Branch 6, Navalur</t>
  </si>
  <si>
    <t>SRS Luxury Stays, Branch No. 06, 4/20, Thendral 1st Street, Thazhapur Post, OMR Road, Near Navalur toll gate, Navalur, Chennai, Tamil Nadu - 600130</t>
  </si>
  <si>
    <t>Pragna A S</t>
  </si>
  <si>
    <t>8217895478</t>
  </si>
  <si>
    <t>9008657673</t>
  </si>
  <si>
    <t>SRS Luxury Women PG-Branch 5, Egattur</t>
  </si>
  <si>
    <t>SRS Luxury Women PG, Branch 5, Thendral Street, Egattur, Siruseri, TamilNadu-600130</t>
  </si>
  <si>
    <t>Pandiyarajan M</t>
  </si>
  <si>
    <t>9360258604</t>
  </si>
  <si>
    <t>9003612115</t>
  </si>
  <si>
    <t>SRS Mens PG - Sholinganallur</t>
  </si>
  <si>
    <t>SRS Mens PG - Village High Rd, Sholinganallur, Chennai, Tamil Nadu 600119</t>
  </si>
  <si>
    <t>Amanitha K S</t>
  </si>
  <si>
    <t>8105046423</t>
  </si>
  <si>
    <t>SRS PG</t>
  </si>
  <si>
    <t xml:space="preserve">1/210a, Dr Ambedkar St, Egattur, Chennai, Tamil Nadu 600130  </t>
  </si>
  <si>
    <t xml:space="preserve">A. Shaniga </t>
  </si>
  <si>
    <t>7373899999</t>
  </si>
  <si>
    <t>9842225000</t>
  </si>
  <si>
    <t>Srs PG Brach 3</t>
  </si>
  <si>
    <t xml:space="preserve">Srs PG Brach 3 Opposite to Marina Mall Navalar </t>
  </si>
  <si>
    <t xml:space="preserve">Opposite  to marina Mall near Aditi women Pg </t>
  </si>
  <si>
    <t>Ambati Bhavya Sri</t>
  </si>
  <si>
    <t>7416495614</t>
  </si>
  <si>
    <t>8897398597</t>
  </si>
  <si>
    <t>SRS PG for Ladies Branch 3</t>
  </si>
  <si>
    <t>SRS Branch 3 PG for Ladies opposite marina mall, Egattur</t>
  </si>
  <si>
    <t>SRS PG for ladies Branch -3, Egattur</t>
  </si>
  <si>
    <t>SRS Branch 3 PG , Opposite marina mall, Egattur</t>
  </si>
  <si>
    <t>SRS PG, Egattur</t>
  </si>
  <si>
    <t>Pooja N Patil</t>
  </si>
  <si>
    <t>9019717665</t>
  </si>
  <si>
    <t>90080717665</t>
  </si>
  <si>
    <t>SRS womens luxury PG branch-5,Egattur</t>
  </si>
  <si>
    <t>SRS womens luxury PG branch-5 ,Thendral street , Egattur , Siruseri , Tamilnadu -603103</t>
  </si>
  <si>
    <t>MOHAMMED SHABRIN</t>
  </si>
  <si>
    <t>9059072334</t>
  </si>
  <si>
    <t>9949739776</t>
  </si>
  <si>
    <t>SRS WOMENS PG - BRANCH 1,EGATTUR</t>
  </si>
  <si>
    <t>SRS WOMENS BRANCH-1 PG, Branch 1, Gangai Amman Kovil Street, Egattur, Siruseri</t>
  </si>
  <si>
    <t>Jeenathul Aafrin Syed Ibramsha</t>
  </si>
  <si>
    <t>8072540390</t>
  </si>
  <si>
    <t>6379103025</t>
  </si>
  <si>
    <t>SRS Womens PG hostel, Branch - 6</t>
  </si>
  <si>
    <t>SRS Womens PG hostel, Branch - 6, Thendral Street , behind navalur, Egattur, Chennai- Tamilnadu-600130</t>
  </si>
  <si>
    <t xml:space="preserve">Pranav Sunil Sabale </t>
  </si>
  <si>
    <t>8788400806</t>
  </si>
  <si>
    <t>7020768080</t>
  </si>
  <si>
    <t>SS ( Siva Sai ) Gents PG</t>
  </si>
  <si>
    <t>Abhijeet Shrihari Yenkar</t>
  </si>
  <si>
    <t>7083222605</t>
  </si>
  <si>
    <t>9309990654</t>
  </si>
  <si>
    <t>SS ( siva sai ) Gents PG Sirsuri IT Park</t>
  </si>
  <si>
    <t>SS ( siva sai ) Gents PG Sirsuri IT Park , Egattur , Chennai, Tamil Nadu</t>
  </si>
  <si>
    <t>Rithwik V</t>
  </si>
  <si>
    <t>8886773324</t>
  </si>
  <si>
    <t>8919608409</t>
  </si>
  <si>
    <t>SS (Siva Sai ) pg, Egattur</t>
  </si>
  <si>
    <t>SS (Siva Sai) Gents PG, City park, Plot#95A, Mamoothiamman,3rd St, Sipcot, Siruseri, Chennai, Tamil Nadu 603103</t>
  </si>
  <si>
    <t>Kotipalli Siva Naga Pavan</t>
  </si>
  <si>
    <t>9110388011</t>
  </si>
  <si>
    <t>8125556665</t>
  </si>
  <si>
    <t>SS (Siva Sai Mens) PG - Siruseri</t>
  </si>
  <si>
    <t>SS (Siva Sai Mens) PG, City park, Plot#95A, Mamoothiamman, 3rd St, Sipcot, Siruseri, Chennai, Tamil Nadu 603103</t>
  </si>
  <si>
    <t>Santhosh B</t>
  </si>
  <si>
    <t>7358913110</t>
  </si>
  <si>
    <t>9367731551</t>
  </si>
  <si>
    <t>SS (Siva Sai) Gents PG</t>
  </si>
  <si>
    <t>Rohan Lohani</t>
  </si>
  <si>
    <t>6206815192</t>
  </si>
  <si>
    <t>8541977406</t>
  </si>
  <si>
    <t xml:space="preserve"> SS (Siva Sai) Gents PG, Plot#95A, Mamoothiamman, 3rd St, Sipcot, Siruseri, Chennai, Tamil Nadu 603103</t>
  </si>
  <si>
    <t>SS (Siva Sai ) Gents PG ,City park, Plot#95A, Mamoothiamman, 3rd St, Sipcot, Siruseri, Chennai, Tamil Nadu 603103</t>
  </si>
  <si>
    <t>Varshanth Gowda M L</t>
  </si>
  <si>
    <t>6362788785</t>
  </si>
  <si>
    <t>9916216917</t>
  </si>
  <si>
    <t>Tharun V</t>
  </si>
  <si>
    <t>9632031949</t>
  </si>
  <si>
    <t>9845695540</t>
  </si>
  <si>
    <t>SS (Siva Sai) Gents PG, City park, Plot#95A, Mamoothiamman, 3rd St, Sipcot, Siruseri, Chennai, Tamil Nadu 603103</t>
  </si>
  <si>
    <t>SHAIK IMRAN</t>
  </si>
  <si>
    <t>8978679644</t>
  </si>
  <si>
    <t>9951797244</t>
  </si>
  <si>
    <t>SS (Siva Sai) Gents PG City Park, Mamoothiamman, 3rd St, Sipcot, Siruseri, Chennai, Tamil Nadu 603103</t>
  </si>
  <si>
    <t>SS (Siva Sai) Gents PG, City Park, Mamoothiamman, 3rd St, Sipcot, Siruseri, Chennai, Tamil Nadu 603103</t>
  </si>
  <si>
    <t>Malladi Siva Rama Krishna</t>
  </si>
  <si>
    <t>8309720591</t>
  </si>
  <si>
    <t>9912766132</t>
  </si>
  <si>
    <t>SS (Siva Sai) Gents PG, No. 95A, City Park, Mamoothiamman Kovil 3rd Street, SIPCOT, Siruseri, Chennai - 603103.</t>
  </si>
  <si>
    <t>SS (Siva Sai) Gents PG, No. 95A, City Park SIPCOT, Mamoothy Amman Kovil 3rd Street, Siruseri, Chennai - 603103.</t>
  </si>
  <si>
    <t>Nagesh Shantappa Kumbar</t>
  </si>
  <si>
    <t>6360860539</t>
  </si>
  <si>
    <t>8277246556</t>
  </si>
  <si>
    <t>SS (Siva Sai) Gents PG - SIPCOT, Siruseri</t>
  </si>
  <si>
    <t>SS (Siva Sai) Gents pg, City Park, Plot#95A, Mamoothiamman, 3rd St, Sipcot, Siruseri, Chennai, Tamil Nadu 603103</t>
  </si>
  <si>
    <t>Shreyas Shidgonda Patil</t>
  </si>
  <si>
    <t>9423809179</t>
  </si>
  <si>
    <t>9890194235</t>
  </si>
  <si>
    <t xml:space="preserve">SS (Siva Sai) gents PG, Egattur, </t>
  </si>
  <si>
    <t xml:space="preserve">SS (Siva Sai) Gents PG, City Park, Plot#95A, Mammothiamman, 3rd St, Sipcot, Siruseri, Chennai, Tamilnadu 603103 </t>
  </si>
  <si>
    <t>Abhinav K G</t>
  </si>
  <si>
    <t>9380263659</t>
  </si>
  <si>
    <t>9886288940</t>
  </si>
  <si>
    <t>SS (Siva Sai) Gents PG, Siruseri</t>
  </si>
  <si>
    <t>Rohan Arun Bhavare</t>
  </si>
  <si>
    <t>8007261033</t>
  </si>
  <si>
    <t>9823353873</t>
  </si>
  <si>
    <t>SS (Siva Sai) Gents PG,City park, Plot#95A, Mamoothiamman, 3rd St, Sipcot, Siruseri, Chennai, Tamil Nadu 603103</t>
  </si>
  <si>
    <t>Jaichand.N</t>
  </si>
  <si>
    <t>7095825033</t>
  </si>
  <si>
    <t>8555842500</t>
  </si>
  <si>
    <t>SS (Siva sai) PG</t>
  </si>
  <si>
    <t xml:space="preserve">Prahana GV </t>
  </si>
  <si>
    <t>9345837070</t>
  </si>
  <si>
    <t>8637640204</t>
  </si>
  <si>
    <t xml:space="preserve">SS Bharath stay </t>
  </si>
  <si>
    <t>plot-1 , sardar patel road , semmencheri , chennai , 600911</t>
  </si>
  <si>
    <t>Thatavarthi Parikshit</t>
  </si>
  <si>
    <t>8978926342</t>
  </si>
  <si>
    <t>9030326342</t>
  </si>
  <si>
    <t>SS Gents PG</t>
  </si>
  <si>
    <t>Prince Mishra</t>
  </si>
  <si>
    <t>8341401852</t>
  </si>
  <si>
    <t>7674830508</t>
  </si>
  <si>
    <t>SS Gents PG, SIPCOT IT Park, Siruseri, Chennai, Tamil Nadu.</t>
  </si>
  <si>
    <t>A N DHANUSH KUMAR</t>
  </si>
  <si>
    <t>7892238736</t>
  </si>
  <si>
    <t>9113681129</t>
  </si>
  <si>
    <t>SS GENTS PG , Egattur</t>
  </si>
  <si>
    <t>SS Gents PG, 1st Cross, Egattur, Siruseri, Tamil Nadu - 603103</t>
  </si>
  <si>
    <t>SS Gents PG, SIPCOT IT Park</t>
  </si>
  <si>
    <t>SS Gents PG, SIPCOT IT Park, Siruseri, Tamil Nadu</t>
  </si>
  <si>
    <t>Boyapati Bhanu Siva Prakash</t>
  </si>
  <si>
    <t>8465876678</t>
  </si>
  <si>
    <t>8143737667</t>
  </si>
  <si>
    <t>SS gents pg, Sipcot, Siruseri, Chennai</t>
  </si>
  <si>
    <t>Shaik Fakruddin</t>
  </si>
  <si>
    <t>7013357181</t>
  </si>
  <si>
    <t>9666705751</t>
  </si>
  <si>
    <t>SS gents pg,egattur</t>
  </si>
  <si>
    <t>SS gents pg,No 95 A, S S Gents Pg, City Park Sipcot, Mamoothy Amman Kovil 3rd Street, Sirucheri, Chennai-603103, Tamil Nadu</t>
  </si>
  <si>
    <t>Swapnil Pandurang Ranawade</t>
  </si>
  <si>
    <t>8999366135</t>
  </si>
  <si>
    <t>8208900826</t>
  </si>
  <si>
    <t>SS PG ,Egattur</t>
  </si>
  <si>
    <t>Pankaj Digambar Narwade</t>
  </si>
  <si>
    <t>8329965792</t>
  </si>
  <si>
    <t>9689728219</t>
  </si>
  <si>
    <t>SS PG Room No 404 , 7th Cross Street , Phase 3, OMRONE , Egattur , Chennai , Chengalpattu, Tamil Nadu, 603103</t>
  </si>
  <si>
    <t>Arun Kumar T</t>
  </si>
  <si>
    <t>7204788106</t>
  </si>
  <si>
    <t>9739281066</t>
  </si>
  <si>
    <t>SS Siva Sai Gents PG</t>
  </si>
  <si>
    <t>Kommalapati Sri Chandra</t>
  </si>
  <si>
    <t>8143143841</t>
  </si>
  <si>
    <t>9347580367</t>
  </si>
  <si>
    <t>SS SIVA SAI GENTS PG</t>
  </si>
  <si>
    <t>Tushar Mukund Salunke</t>
  </si>
  <si>
    <t>9205756987</t>
  </si>
  <si>
    <t>9821453482</t>
  </si>
  <si>
    <t>SS Siva Sai Gents Pg Siruseri Egator</t>
  </si>
  <si>
    <t>SS Siva Sai Gents Pg Siruseri,  Egator, Tamil Nadu - 6030103</t>
  </si>
  <si>
    <t>SS siva sai gents pg,Sipcot</t>
  </si>
  <si>
    <t>Mohammad Kais</t>
  </si>
  <si>
    <t>9480335231</t>
  </si>
  <si>
    <t>9901226231</t>
  </si>
  <si>
    <t>SS Siva Sai PG - sipcot</t>
  </si>
  <si>
    <t>SS Siva Sai PG , plot#95A mamoothiamam , egathur, sipcot,siruseri, 603103</t>
  </si>
  <si>
    <t>SS Siva Sai pg., mammothiaman, egattur, plot#95A, sipcot , siruseri,603103</t>
  </si>
  <si>
    <t xml:space="preserve"> Veera Sai Sandeep</t>
  </si>
  <si>
    <t>9121402656</t>
  </si>
  <si>
    <t>8978093003</t>
  </si>
  <si>
    <t>SS(Shiva Sai ) gents PG, siruseri</t>
  </si>
  <si>
    <t>City park, Plot#95A, Mamoothiamman, 3rd street, SIPCOT, siruseri, Chennai, 603103</t>
  </si>
  <si>
    <t>Saurav Shrikrishna Adhao</t>
  </si>
  <si>
    <t>9325197281</t>
  </si>
  <si>
    <t>70383136367</t>
  </si>
  <si>
    <t>SS(Shiva Sai) Gents PG</t>
  </si>
  <si>
    <t>Geerla Achyutha</t>
  </si>
  <si>
    <t>9390407891</t>
  </si>
  <si>
    <t>6303292319</t>
  </si>
  <si>
    <t>SS(Shiva Sai) gents pg, Mamoothiamman,3rd st, Sipcot, Siruseri, Chennai, Tamilnadu, 603103</t>
  </si>
  <si>
    <t>SS(Shiva Sai) Gents pg Mamoothiamman,3rd st, Sipcot, Siruseri, Chennai, Tamilnadu, 603103</t>
  </si>
  <si>
    <t>SS(Shiva Sai) Gents pg, Mamoothiamman,3rd st, Sipcot, Siruseri, Chennai, Tamilnadu, 603103</t>
  </si>
  <si>
    <t>BOLLA PAVAN KALYAN</t>
  </si>
  <si>
    <t>6301204303</t>
  </si>
  <si>
    <t>9985447303</t>
  </si>
  <si>
    <t>SS(Siva Sai) Gents pg</t>
  </si>
  <si>
    <t>Narla Nithin Kumar</t>
  </si>
  <si>
    <t>9542129299</t>
  </si>
  <si>
    <t>9441795964</t>
  </si>
  <si>
    <t>SS(Siva Sai) Gents PG</t>
  </si>
  <si>
    <t>There were so many employees who are staying inside siruseri beside tcs office pgs where our company last shuttle point drop is near new tcs building , here when there are heavy rains we are unable to go inside and the roads are even filled with water pls try to increase shuttle service some more front so that it would be easy for so many employees</t>
  </si>
  <si>
    <t>Indrajit Acharjya</t>
  </si>
  <si>
    <t>7908426553</t>
  </si>
  <si>
    <t>9851726606</t>
  </si>
  <si>
    <t>Mohammad Abdul Khaliq</t>
  </si>
  <si>
    <t>6304046035</t>
  </si>
  <si>
    <t>8978320674</t>
  </si>
  <si>
    <t>SS(Siva Sai) Gents PG, City park, plot#95A, Mamoothiamman, 3rd St, Sipcot, Siruseri, Chennai, Tamil Nadu - 603130</t>
  </si>
  <si>
    <t>SS(Siva Sai) Gents PG, City park, plot#95A, Mamoothiamman, 3rd St, Sipcot, Siruseri, Chennai, Tamil Nadu- 603130</t>
  </si>
  <si>
    <t>Gangapatruni Sri Venkata Avinash</t>
  </si>
  <si>
    <t>7989574888</t>
  </si>
  <si>
    <t>6301419518</t>
  </si>
  <si>
    <t>SS(Siva Sai) PG for gents</t>
  </si>
  <si>
    <t>Praveen Kumar Viswanadhapalli</t>
  </si>
  <si>
    <t>7996738177</t>
  </si>
  <si>
    <t>9505322877</t>
  </si>
  <si>
    <t>SS(Siva Sai) pg for gents</t>
  </si>
  <si>
    <t>SS(Siva Sai) PG- Sipcot,Siruseri</t>
  </si>
  <si>
    <t>SS(Siva Sai) Gents PG, City Park, Plot #95A, Mamoothiamman, 3rd St, Sipcot, Siruseri, Chennai, Tamil Nadu - 603103</t>
  </si>
  <si>
    <t>Grandhi Abhiram Vinayak</t>
  </si>
  <si>
    <t>6305788909</t>
  </si>
  <si>
    <t>8106099344</t>
  </si>
  <si>
    <t>SS(Siva sai)gents pg</t>
  </si>
  <si>
    <t>Repaka V D S Subha P</t>
  </si>
  <si>
    <t>8341260488</t>
  </si>
  <si>
    <t>9010260488</t>
  </si>
  <si>
    <t>SS[Siva Sai] Gents PG</t>
  </si>
  <si>
    <t>SS[Siva Sai] Gents PG, City Park, Plot #95A, Mamoothiamman, 3rd St, Sipcot, Siruseri, Chennai, Tamil Nadu - 603103</t>
  </si>
  <si>
    <t>Suraj Kumar yadav</t>
  </si>
  <si>
    <t>9060214911</t>
  </si>
  <si>
    <t>9007917963</t>
  </si>
  <si>
    <t>Ssgents pg Egattur</t>
  </si>
  <si>
    <t>Ssgents pg Egattur inside sipcot entrance 603103</t>
  </si>
  <si>
    <t>Sangeeth James</t>
  </si>
  <si>
    <t>9605625684</t>
  </si>
  <si>
    <t>9497474549</t>
  </si>
  <si>
    <t>SSS Gents PG, Sholinganallur</t>
  </si>
  <si>
    <t>Supreeth A S</t>
  </si>
  <si>
    <t>8088783367</t>
  </si>
  <si>
    <t>9964415587</t>
  </si>
  <si>
    <t>Stanza Co-living PG -conway House,Navalur</t>
  </si>
  <si>
    <t>Stanza Living conway House  Co-living PG 1/299 ,Thalambur road,Navalur,Tamil nadu 600130</t>
  </si>
  <si>
    <t>Kishore R J</t>
  </si>
  <si>
    <t>9566835659</t>
  </si>
  <si>
    <t>9942844199</t>
  </si>
  <si>
    <t>Stanza living conway navalur</t>
  </si>
  <si>
    <t>stanza living conway, thalambur road, navalur</t>
  </si>
  <si>
    <t>RIDDHI RAJESH HARNE</t>
  </si>
  <si>
    <t>8766508018</t>
  </si>
  <si>
    <t>9762444153</t>
  </si>
  <si>
    <t>Stanza living,Navlur</t>
  </si>
  <si>
    <t>Navlur</t>
  </si>
  <si>
    <t>...</t>
  </si>
  <si>
    <t>Aditya Sah</t>
  </si>
  <si>
    <t>7543963526</t>
  </si>
  <si>
    <t>7461077361</t>
  </si>
  <si>
    <t>Stay @ease Siruseri sipcot</t>
  </si>
  <si>
    <t>Stay @ease PG, inside sipcot, Egattur, Siruseri Tamilnadu 603103</t>
  </si>
  <si>
    <t>Saragadam Greeshmanth</t>
  </si>
  <si>
    <t>9703281234</t>
  </si>
  <si>
    <t>9346299761</t>
  </si>
  <si>
    <t>stay@ease</t>
  </si>
  <si>
    <t>stay@Ease SIPCOT IT PARK,114 RAZIA House,city park Layout siruseri,sipcot,kalipattur,egattur,TN,603103</t>
  </si>
  <si>
    <t>Sayooj C S</t>
  </si>
  <si>
    <t>9778362446</t>
  </si>
  <si>
    <t>9539285497</t>
  </si>
  <si>
    <t>Stay@Ease Corporate Living Solution</t>
  </si>
  <si>
    <t>Stay@Ease Corporate Living Solution ,SIPCOT IT Park, 114 Razia House, City Park Layout Siruseri, Sipcot, Kalipattur, Egattur, Tamil Nadu 603103</t>
  </si>
  <si>
    <t>Nataraja K N</t>
  </si>
  <si>
    <t>8660893590</t>
  </si>
  <si>
    <t>9964738373</t>
  </si>
  <si>
    <t>SIPCOT IT Park, 114 Razia House, City Park Layout Siruseri, Sipcot, Kalipattur, Egattur, Tamil Nadu - 603103</t>
  </si>
  <si>
    <t>S Adarsh</t>
  </si>
  <si>
    <t>8946044030</t>
  </si>
  <si>
    <t>9543534292</t>
  </si>
  <si>
    <t>Stay@Ease Corporate Living Solution SIPCOT IT Park, 114 Razia House, City Park Layout Siruseri, Sipcot, Kalipattur, Egattur, Tamil Nadu 603103</t>
  </si>
  <si>
    <t>Manikandan S J</t>
  </si>
  <si>
    <t>8778289628</t>
  </si>
  <si>
    <t>9655741232</t>
  </si>
  <si>
    <t>Stay@Ease Corporate Living Solution - Mens PG Egattur</t>
  </si>
  <si>
    <t>Stay@Ease Corporate Living Solution - Mens PG , SIPCOT IT Park , 114 Razia House, City Park Layout Siruseri, SIPCOT , Kalipattur , Egattur , Tamilnadu - 603103</t>
  </si>
  <si>
    <t>Kollapaneni Pranadeep</t>
  </si>
  <si>
    <t>9100292258</t>
  </si>
  <si>
    <t>7981359028</t>
  </si>
  <si>
    <t>Stay@Ease Corporate Living Solution - Siruseri</t>
  </si>
  <si>
    <t>Stay@Ease Corporate Living Solution, SIPCOT IT Park, 114 Razia House, City Park Layout Siruseri, Sipcot, Kalipattur, Egattur, Tamil Nadu, 603103</t>
  </si>
  <si>
    <t>SIPCOT IT PARK, 114 Razia House, City Park Layout Siruseri, Sipcot, Kalipattur, Egattur, Tamil Nadu 603103</t>
  </si>
  <si>
    <t>Avinash Tg</t>
  </si>
  <si>
    <t>6369174776</t>
  </si>
  <si>
    <t>9150536330</t>
  </si>
  <si>
    <t>Stay@Ease Corporate Living Solution (Boys Hostel)</t>
  </si>
  <si>
    <t>Stay@Ease Corporate Living Solution (Boys Hostel), 114 Razia House, City Park Layout, Sipcot Siruseri.</t>
  </si>
  <si>
    <t>Syed Mohammed Nayyar</t>
  </si>
  <si>
    <t>9980167658</t>
  </si>
  <si>
    <t>9632110408</t>
  </si>
  <si>
    <t>Stay@Ease Corporate Living Solution Gents PG, Egattur</t>
  </si>
  <si>
    <t>Stay@Ease Corporate Living Solution Gents PG, SIPCOIT IT Park, 114 Razia House, City Park Layout Siruseri, Sipcot, Kalipattur, Egattur, Tamil Nadu</t>
  </si>
  <si>
    <t>Stay@Ease Corporate Living Solution Gents PG, Egattur,</t>
  </si>
  <si>
    <t>Damarla Bala Yaswanth</t>
  </si>
  <si>
    <t>9550210433</t>
  </si>
  <si>
    <t>9030670438</t>
  </si>
  <si>
    <t>Stay@Ease Corporate Living Solution Mens PG,SIPCOT IT Park, 114 Razia House, City Park Layout Siruseri, Sipcot, Kalipattur, Egattur, Tamil Nadu 603103</t>
  </si>
  <si>
    <t>Stay@Ease Corporate Living Solution, SIPCOT IT Park</t>
  </si>
  <si>
    <t>Stay@Ease Corporate Living Solution, SIPCOT IT Park, 114 Razia House, City Park Layout Siruseri, Sipcot, Kalipattur, Egattur, Tamil Nadu 603103</t>
  </si>
  <si>
    <t>Stay@Ease Corporate Living Solution,SIPCOT IT Park, 114 Razia House, City Park Layout Siruseri, Sipcot, Kalipattur, Egattur, Tamil Nadu 603103</t>
  </si>
  <si>
    <t>Naveen N</t>
  </si>
  <si>
    <t>8089519543</t>
  </si>
  <si>
    <t>9447532485</t>
  </si>
  <si>
    <t xml:space="preserve">Stay@Ease Corporate Living Solutions </t>
  </si>
  <si>
    <t>Om Arun Mali</t>
  </si>
  <si>
    <t>7820984922</t>
  </si>
  <si>
    <t>9730202672</t>
  </si>
  <si>
    <t>Stay@Ease corporate living solutions , Egattur</t>
  </si>
  <si>
    <t>Stay@Ease Corporate living solutions,Sipcot it park,city park layout, Egattur,Seruseri ,Tamil Nadu 603103</t>
  </si>
  <si>
    <t xml:space="preserve">Stay@Ease Corporation Living Solution </t>
  </si>
  <si>
    <t>Hemanth Sundhar P S</t>
  </si>
  <si>
    <t>9025005665</t>
  </si>
  <si>
    <t>8110003301</t>
  </si>
  <si>
    <t>Stay@Ease Mens PG</t>
  </si>
  <si>
    <t>Novotel, 114 Razia House, City Park Layout, Sipcot Siruseri IT Park, Kazhipattur, Siruseri, Tamil Nadu 603103</t>
  </si>
  <si>
    <t>DANNANI BHAVANI PRASANTH</t>
  </si>
  <si>
    <t>9581141680</t>
  </si>
  <si>
    <t>9030722750</t>
  </si>
  <si>
    <t>STAY@EASE MENS PG , SIRUSERI SIPCOT , EGATUR</t>
  </si>
  <si>
    <t>STAY@EASE MENS PG, SIRUSERI, SIPCOT IT PARK, EGATUR, CHENNAI</t>
  </si>
  <si>
    <t>STAY@EASE MENS PG, SIRUSERI, EGATTUR</t>
  </si>
  <si>
    <t>STAY@EASE MENS PG, NO.114 RAZIA HOUSE, CITY PARK LAYOUT, SIPCOT SIRUSERI IT PARK, CHENNAI - 603103</t>
  </si>
  <si>
    <t>Valireddi Priyanka</t>
  </si>
  <si>
    <t>6304118890</t>
  </si>
  <si>
    <t>9701262919</t>
  </si>
  <si>
    <t>SVB LUXURY Ladies PG - Navalur</t>
  </si>
  <si>
    <t>SVB LUXURY Ladies PG 3/45,Thiruvallur street,3/29 OMR Main Road,Navalur,Chennai - 603103</t>
  </si>
  <si>
    <t>Nagireddy Navya</t>
  </si>
  <si>
    <t>9398296939</t>
  </si>
  <si>
    <t>9441957504</t>
  </si>
  <si>
    <t>SVB Luxury Ladies PG, Navalur</t>
  </si>
  <si>
    <t>SVB Luxury Ladies PG, Thiruvalluvar Street, OMR Main Road, Navalur, Chennai, Tamil Nadu - 603103</t>
  </si>
  <si>
    <t>Ajithkumar G</t>
  </si>
  <si>
    <t>8220195534</t>
  </si>
  <si>
    <t>8489646946</t>
  </si>
  <si>
    <t>SVD Gents Hostel,</t>
  </si>
  <si>
    <t>Sipcot IT Park, Egattur, Siruseri, Tamilnadu-603103</t>
  </si>
  <si>
    <t>Siddesh M Lambi</t>
  </si>
  <si>
    <t>9606865842</t>
  </si>
  <si>
    <t>9741710305</t>
  </si>
  <si>
    <t>SVD Gents PG</t>
  </si>
  <si>
    <t>SVD gents pg, city park layout, near SIPCOT IT Park, sipcot, Egattur, Siruseri, Tamil Nadu 603103</t>
  </si>
  <si>
    <t>Ranjith CM</t>
  </si>
  <si>
    <t>6361804007</t>
  </si>
  <si>
    <t>9164086237</t>
  </si>
  <si>
    <t>SVD Gents Pg</t>
  </si>
  <si>
    <t>SVD Gents pg ,city park layout, near sipcot IT park, Sipcot, egattur siruseri</t>
  </si>
  <si>
    <t>Tushar Marigondanahalli</t>
  </si>
  <si>
    <t>8546943733</t>
  </si>
  <si>
    <t>9008871938</t>
  </si>
  <si>
    <t>SVD Gents PG City Park Layout Near Sipcot IT Park, Sipcot, Egattur, Siruseri 603103</t>
  </si>
  <si>
    <t>sadanand kumbar</t>
  </si>
  <si>
    <t>7483427146</t>
  </si>
  <si>
    <t>8494951728</t>
  </si>
  <si>
    <t>SVD gents pg</t>
  </si>
  <si>
    <t>SVD gents pg sipcot layout 3rd cross siruseri</t>
  </si>
  <si>
    <t>Vikas Gowda S</t>
  </si>
  <si>
    <t>8217669393</t>
  </si>
  <si>
    <t>9945203042</t>
  </si>
  <si>
    <t>SVD GENTS PG</t>
  </si>
  <si>
    <t>city park layout, near SIPCOT IT Park, sipcot, Egattur, Siruseri, Tamil Nadu 603103</t>
  </si>
  <si>
    <t>Abhishek Kumar</t>
  </si>
  <si>
    <t>7411048614</t>
  </si>
  <si>
    <t>7348861429</t>
  </si>
  <si>
    <t>SVD Gents PG, First Cross Road , Egattur , Chengalapttu 603103</t>
  </si>
  <si>
    <t>SVD Gents PG , First Cross Road , Egattur , Chengalpattu 603103</t>
  </si>
  <si>
    <t>Srijan Sasmal</t>
  </si>
  <si>
    <t>6296871925</t>
  </si>
  <si>
    <t>9903698699</t>
  </si>
  <si>
    <t xml:space="preserve">Dameswara Rao Kosireddy </t>
  </si>
  <si>
    <t>7569734860</t>
  </si>
  <si>
    <t>9963399778</t>
  </si>
  <si>
    <t>SVD GENTS PG, city park layout, near SIPCOT IT Park, sipcot, Egattur, Siruseri, Tamil Nadu 603103</t>
  </si>
  <si>
    <t>dameswara rao kosireddy</t>
  </si>
  <si>
    <t>Nidamanuri Sohith Kumar</t>
  </si>
  <si>
    <t>9959851898</t>
  </si>
  <si>
    <t>9963099639</t>
  </si>
  <si>
    <t>VD GENTS PG, city park layout, near SIPCOT IT Park, sipcot, Egattur, Siruseri, Tamil Nadu 603103</t>
  </si>
  <si>
    <t>Sai Charan Devana</t>
  </si>
  <si>
    <t>9550685616</t>
  </si>
  <si>
    <t>7989811580</t>
  </si>
  <si>
    <t>SVD GENTS PG , city park layout, near SIPCOT IT Park, sipcot, Egattur, Siruseri, Tamil Nadu 603103</t>
  </si>
  <si>
    <t>Sai Viswanadh Vanapalli</t>
  </si>
  <si>
    <t>9849738242</t>
  </si>
  <si>
    <t>8977668242</t>
  </si>
  <si>
    <t xml:space="preserve">SVD GENTS PG, city park layout, near SIPCOT IT Park, sipcot, Egattur, Siruseri, Tamil Nadu 603103  </t>
  </si>
  <si>
    <t>kollati suryanarayana murthy</t>
  </si>
  <si>
    <t>9676973693</t>
  </si>
  <si>
    <t>9963597901</t>
  </si>
  <si>
    <t>SVD gents PG, Egattur</t>
  </si>
  <si>
    <t>SVD gents PG, phase 3, OMRONE, Egattur, Siruseri, Tamil Nadu - 603103</t>
  </si>
  <si>
    <t>Dakala Reddy Harsha Yadhav</t>
  </si>
  <si>
    <t>7842720217</t>
  </si>
  <si>
    <t>9642578019</t>
  </si>
  <si>
    <t>SVD Gents PG, Egattur</t>
  </si>
  <si>
    <t>SVD Gents PG, 33 First Cross Road, Egattur, Siruseri, Tamil Nadu - 603103</t>
  </si>
  <si>
    <t>SVD gents pg, Egittur</t>
  </si>
  <si>
    <t>SVD gents pg,7th cross street, OMRONE, Egattur, Chennai, Tamil Nadu 603103, India</t>
  </si>
  <si>
    <t>Sijal Satyamev</t>
  </si>
  <si>
    <t>9508509199</t>
  </si>
  <si>
    <t>7004788022</t>
  </si>
  <si>
    <t>SVD gents PG, SIPCOT IT Park, Egattur</t>
  </si>
  <si>
    <t>SVD gents PG, SIPCOT IT Park, Egattur, Siruseri, Tamil Nadu, 603103</t>
  </si>
  <si>
    <t>No.</t>
  </si>
  <si>
    <t>SVD Gents PG, SIPCOT IT Park, Egattur</t>
  </si>
  <si>
    <t>SVD Gents PG, SIPCOT IT Park, Egattur, Siruseri, Tamil Nadu - 603103</t>
  </si>
  <si>
    <t>MD TABREZ SHAMIM</t>
  </si>
  <si>
    <t>9142993340</t>
  </si>
  <si>
    <t>7858906451</t>
  </si>
  <si>
    <t>SVD Gents PG, Sipcot, Siruseri</t>
  </si>
  <si>
    <t>SVD Gents PG, City Park Layout, near Sipcot IT Park, Sipcot, Egattur, Siruseri, Tamil Nadu - 603103</t>
  </si>
  <si>
    <t>Rakesh N V</t>
  </si>
  <si>
    <t>6361864937</t>
  </si>
  <si>
    <t>7676653153</t>
  </si>
  <si>
    <t>SVD Mens PG</t>
  </si>
  <si>
    <t>SVD Mens PG Egattur, Siruseri, Tamil Nadu - 603103</t>
  </si>
  <si>
    <t>SVD MENS PG</t>
  </si>
  <si>
    <t>SVD MENS PG  Egattur, Siruseri, Tamil Nadu - 603103</t>
  </si>
  <si>
    <t>SVD MENS PG Egattur, Siruseri, Tamil Nadu - 603103</t>
  </si>
  <si>
    <t>Mrityunjay Aditya</t>
  </si>
  <si>
    <t>7645097092</t>
  </si>
  <si>
    <t>9334147028</t>
  </si>
  <si>
    <t>City Park Layout, SIPCOT, near SIPCOT IT Park, Siruseri, Chennai, 603103, Tamil Nadu</t>
  </si>
  <si>
    <t>Harshwardhan Rajendra Pachpute</t>
  </si>
  <si>
    <t>7820974242</t>
  </si>
  <si>
    <t>9595951357</t>
  </si>
  <si>
    <t>SVD PG, SIPCOT</t>
  </si>
  <si>
    <t>SVD PG, SIPCOT, Egattur, Chennai</t>
  </si>
  <si>
    <t>SVD PG, SIPCOT, Egattur, Siruseri, 603103</t>
  </si>
  <si>
    <t>Karthick Varadharaj</t>
  </si>
  <si>
    <t>9600295207</t>
  </si>
  <si>
    <t>9486333324</t>
  </si>
  <si>
    <t>SVR Gents Hostel, Egattur</t>
  </si>
  <si>
    <t>SVR Gents Hostel, 1/109 Palandi Amman St, Egattur, Tamil Nadu 600130</t>
  </si>
  <si>
    <t>TUHIN SAHA</t>
  </si>
  <si>
    <t>7439300052</t>
  </si>
  <si>
    <t>8272926503</t>
  </si>
  <si>
    <t>SVR Gents Hostel/PG - Egattur</t>
  </si>
  <si>
    <t>4/109, Palandi Amman St, Egattur, Chennai-603103, Tamil Nadu</t>
  </si>
  <si>
    <t>Sam Smith Lordson R</t>
  </si>
  <si>
    <t>9043386229</t>
  </si>
  <si>
    <t>9042005549</t>
  </si>
  <si>
    <t>SVRR Deluxe Gents PG</t>
  </si>
  <si>
    <t>SVRR Deluxe Gents PG, Mayana Salai, Navalur, Chengalpattu District - 600130</t>
  </si>
  <si>
    <t>Gunala Lakshmi Narayana Reddy</t>
  </si>
  <si>
    <t>9640727685</t>
  </si>
  <si>
    <t>9491766223</t>
  </si>
  <si>
    <t>SVS Gents Pg - Navalur</t>
  </si>
  <si>
    <t>SVS Gents Pg, Thalamburu road , Navalur , Chennai , Tamilnadu - 600130</t>
  </si>
  <si>
    <t>SVS Gents Pg , Navalur</t>
  </si>
  <si>
    <t>SVS Gents Pg , Navalur, Chennai , Tamilnadu 600130</t>
  </si>
  <si>
    <t>Karthik P S</t>
  </si>
  <si>
    <t>9360853573</t>
  </si>
  <si>
    <t>8608535732</t>
  </si>
  <si>
    <t>Swad PG for Boys, Karapakkam</t>
  </si>
  <si>
    <t>River View Road, Chennai, Tamil Nadu, 600125</t>
  </si>
  <si>
    <t>SUDHARSANAN V</t>
  </si>
  <si>
    <t>8220695921</t>
  </si>
  <si>
    <t>9597313963</t>
  </si>
  <si>
    <t>The Chennais Nest Elite Mens Pg</t>
  </si>
  <si>
    <t>3/53, Mettu Street, Kalipattur, Tamil Nadu 603103</t>
  </si>
  <si>
    <t>Sharan Balamurugan</t>
  </si>
  <si>
    <t>9600324626</t>
  </si>
  <si>
    <t>9843648463</t>
  </si>
  <si>
    <t>The chennais nest elite mens Pg</t>
  </si>
  <si>
    <t>3/53,mettu street, kalipattur, chennai -603103</t>
  </si>
  <si>
    <t>Priyanka</t>
  </si>
  <si>
    <t>9629045927</t>
  </si>
  <si>
    <t>9994893921</t>
  </si>
  <si>
    <t>The New Manikandan Ladies Pg Branch 4, Kazhipattur</t>
  </si>
  <si>
    <t>The New Manikandan Ladies Pg Branch 4, Samathuva Nagar, Kazhipattur,Siruseri,Tamil Nadu - 603103</t>
  </si>
  <si>
    <t>Balla Hemanth Srinivas</t>
  </si>
  <si>
    <t>6309244526</t>
  </si>
  <si>
    <t>9182392639</t>
  </si>
  <si>
    <t>The Shivam Living Grandeur, Egattur</t>
  </si>
  <si>
    <t>The Shivam Living Grandeur, Opposite to Marina mall, Behind the bus stop road, Egattur, Siruseri, Tamilnadu - 603103</t>
  </si>
  <si>
    <t>Sahil Ashok Thorat</t>
  </si>
  <si>
    <t>8999591843</t>
  </si>
  <si>
    <t>9511662871</t>
  </si>
  <si>
    <t>The Shivam living PG</t>
  </si>
  <si>
    <t xml:space="preserve">The Shivam living PG, No.4/150A, OMR Main Road, 34 Egattur Opposite The Marina Mall, Chennai 603103  </t>
  </si>
  <si>
    <t>Jeet Saha</t>
  </si>
  <si>
    <t>9073766224</t>
  </si>
  <si>
    <t>9874399513</t>
  </si>
  <si>
    <t>The Shivam Living PG for MENs</t>
  </si>
  <si>
    <t>No 4/150a 34, Rajiv Gandhi Salai, Egattur, TamilNadu 600130</t>
  </si>
  <si>
    <t>S Kavin</t>
  </si>
  <si>
    <t>6369830749</t>
  </si>
  <si>
    <t>9965033645</t>
  </si>
  <si>
    <t>Thirumala mens pg,  Navalur</t>
  </si>
  <si>
    <t>Tirumala mens pg,  Thalambur road, navalur,chennai-600037</t>
  </si>
  <si>
    <t>Utkarsh Nandkumar Koshti</t>
  </si>
  <si>
    <t>8605090693</t>
  </si>
  <si>
    <t>Three point residency, Sai sarvana gents pg, Parking-1, HIRANANDANI BRIDGEWOOD, Egattur, Tamil Nadu 600130, India</t>
  </si>
  <si>
    <t>Pratheepraj Premkumar</t>
  </si>
  <si>
    <t>9345568119</t>
  </si>
  <si>
    <t>9790799998</t>
  </si>
  <si>
    <t>Tru liv sofia pg siruseri</t>
  </si>
  <si>
    <t>tru liv sofia pg 275 &amp; 276 srinivasa nagar, kazhipattur, siruseri 603103</t>
  </si>
  <si>
    <t>Jasfer Anton S</t>
  </si>
  <si>
    <t>8608266531</t>
  </si>
  <si>
    <t>9486179217</t>
  </si>
  <si>
    <t>Truliv Hercules</t>
  </si>
  <si>
    <t>Truliv Hercules,2/409, Thalambur Main Road, Thiruporur, TamilNadu</t>
  </si>
  <si>
    <t>Mayank Siwach</t>
  </si>
  <si>
    <t>9716617720</t>
  </si>
  <si>
    <t>9718803560</t>
  </si>
  <si>
    <t>Truliv Hercules - Co-living &amp; PG in Navalur</t>
  </si>
  <si>
    <t>Priyadharshini K</t>
  </si>
  <si>
    <t>9965866358</t>
  </si>
  <si>
    <t>9524190909</t>
  </si>
  <si>
    <t>Truliv Sofia</t>
  </si>
  <si>
    <t xml:space="preserve"> Plot No. 275 &amp; 276, 10th Street, Srinivasa Nagar, Kazhipattur, Siruseri, Chennai, Tamil Nadu, 603103</t>
  </si>
  <si>
    <t>Manish Kumar Shukla</t>
  </si>
  <si>
    <t>8930930583</t>
  </si>
  <si>
    <t>9996116857</t>
  </si>
  <si>
    <t>311 - Truliv sofia, Siruseri</t>
  </si>
  <si>
    <t>Sumit Dubey</t>
  </si>
  <si>
    <t>8878476126</t>
  </si>
  <si>
    <t>7869569524</t>
  </si>
  <si>
    <t>Plot No. 275 &amp; 276, 10th Street, Srinivasa Nagar, Kazhipattur, Siruseri, Chennai, Tamil Nadu 603103</t>
  </si>
  <si>
    <t>Paul John Thaliyath</t>
  </si>
  <si>
    <t>7349595769</t>
  </si>
  <si>
    <t>9845998110</t>
  </si>
  <si>
    <t>Truliv Sofia, Plot No. 275 &amp; 276, 10th Street, Srinivasa Nagar, Kazhipattur, Siruseri, Chennai, Tamil Nadu 603103</t>
  </si>
  <si>
    <t>Berbin M S</t>
  </si>
  <si>
    <t>6383391685</t>
  </si>
  <si>
    <t>9943629387</t>
  </si>
  <si>
    <t xml:space="preserve"> Plot No. 275 &amp; 276, 10th Street, Srinivasa Nagar, Kazhipattur, Siruseri, Chennai, Tamil Nadu 603103</t>
  </si>
  <si>
    <t>HIMANSHU SINGH SENGAR</t>
  </si>
  <si>
    <t>8127498024</t>
  </si>
  <si>
    <t>8726811245</t>
  </si>
  <si>
    <t>Truliv Sofia - Co-living &amp; PG in Siruseri</t>
  </si>
  <si>
    <t>Plot No. 275 &amp; 276, 10th Street, Srinivasa Nagar, Kazhipattur, Siruseri, Chennai, Tamil Nadu 603103 Phone: 090432 21620</t>
  </si>
  <si>
    <t>Khushi Agrawal</t>
  </si>
  <si>
    <t>8871097590</t>
  </si>
  <si>
    <t>7987185334</t>
  </si>
  <si>
    <t>Truliv Sofia - PG in Seruseri</t>
  </si>
  <si>
    <t>Truliv Sofia - PG in Seruseri, Plot No. 275 &amp; 276, 10th Street, Srinivasa Nagar, Kazhipattur, Siruseri, Chennai, Tamil Nadu 603103</t>
  </si>
  <si>
    <t>Truliv Sofia - PG in Siruseri</t>
  </si>
  <si>
    <t>Truliv Sofia - PG in Siruseri Plot No. 275 &amp; 276, 10th Street, Srinivasa Nagar, Kazhipattur, Siruseri, Chennai, Tamil Nadu 603103</t>
  </si>
  <si>
    <t>Shruthi K</t>
  </si>
  <si>
    <t>9110233070</t>
  </si>
  <si>
    <t>9686195842</t>
  </si>
  <si>
    <t>Truliv Sofia - Siruseri</t>
  </si>
  <si>
    <t>Vinod Kumar Bishnoi</t>
  </si>
  <si>
    <t>9019827450</t>
  </si>
  <si>
    <t>9739713617</t>
  </si>
  <si>
    <t>Truliv Sofia Co-living &amp; pg</t>
  </si>
  <si>
    <t>Truliv sofia co-living &amp; pg ,plot No. 275 &amp; 276, 10th street, Srinivasa Nagar, Kazhipattur, Siruseri, Chennai, Tamil Nadu 603103</t>
  </si>
  <si>
    <t>Ayush Gupta</t>
  </si>
  <si>
    <t>9651192138</t>
  </si>
  <si>
    <t>9455178011</t>
  </si>
  <si>
    <t>Truliv Sofia Coliving and PG</t>
  </si>
  <si>
    <t>Truliv Sofia Coliving and PG, Plot No. 275 &amp; 276, 10th Street, Srinivasa Nagar, Kazhipattur, Siruseri, Chennai, Tamil Nadu, 603103</t>
  </si>
  <si>
    <t>Shreesh Prateek Pathak</t>
  </si>
  <si>
    <t>7999646797</t>
  </si>
  <si>
    <t>9826175996</t>
  </si>
  <si>
    <t>Truliv Sofia PG Siruseri</t>
  </si>
  <si>
    <t>Plot no. 275&amp;276, 10th Street, Srinivasa Nagar, Kazhipattur, Siruseri, Chennai, Tamil Nadu</t>
  </si>
  <si>
    <t>Suraj Panayanchira Sunilkumar</t>
  </si>
  <si>
    <t>9037038407</t>
  </si>
  <si>
    <t>9497008407</t>
  </si>
  <si>
    <t xml:space="preserve">Truliv Sofia, Kazhipattur, Siruseri, Chennai, Tamil Nadu </t>
  </si>
  <si>
    <t>Rasagya Sharma</t>
  </si>
  <si>
    <t>9541376520</t>
  </si>
  <si>
    <t>9419192046</t>
  </si>
  <si>
    <t>Truliv Sofia, plot-276 10th street, Srinivasan Nagar, Siruseri</t>
  </si>
  <si>
    <t>Truliv Sofia, plot-276 10th street, Srinivasan Nagar, Siruseri, Tamil Nadu</t>
  </si>
  <si>
    <t>9497088407</t>
  </si>
  <si>
    <t>Truliv Sofia, Siruseri</t>
  </si>
  <si>
    <t>Truliv Sofia, Plot No. 275 &amp; 276, 10th Street, Srinivasa Nagar, Kazhipattur, Siruseri, Chennai, Tamil Nadu, 603103</t>
  </si>
  <si>
    <t>K S Subramanya Char</t>
  </si>
  <si>
    <t>8660090244</t>
  </si>
  <si>
    <t>9380703639</t>
  </si>
  <si>
    <t>Hello World</t>
  </si>
  <si>
    <t>Sidharth K</t>
  </si>
  <si>
    <t>9895434685</t>
  </si>
  <si>
    <t>9446935899</t>
  </si>
  <si>
    <t>Truliv Sofia, Srinivasa Nagar</t>
  </si>
  <si>
    <t>Truliv Sofia, Plot No. 275 &amp; 276, 10th Street, Srinivasa Nagar, Kazhipattur, Siruseri, Chennai, Tamil Nadu,Siruseri,chennai,603103</t>
  </si>
  <si>
    <t>Pratiksha Anil Shinde</t>
  </si>
  <si>
    <t>8180994371</t>
  </si>
  <si>
    <t>9623010170</t>
  </si>
  <si>
    <t xml:space="preserve">Trulive hercules navalur </t>
  </si>
  <si>
    <t>Trulive hercules navalur</t>
  </si>
  <si>
    <t>Manisha Bishnoi</t>
  </si>
  <si>
    <t>8431269024</t>
  </si>
  <si>
    <t>truliv-sofia-co-living</t>
  </si>
  <si>
    <t>Truliv Sofia Co-Living, plot no 275 &amp; 276, 10th street, Srinivasa Nagar, Kazhipattur, Siruseri, Chennai, Tamil Nadu 603103</t>
  </si>
  <si>
    <t>Uthandi</t>
  </si>
  <si>
    <t xml:space="preserve">Manisha Bishnoi </t>
  </si>
  <si>
    <t>Truliv-sofia-co-living</t>
  </si>
  <si>
    <t>Rajnish Kumar</t>
  </si>
  <si>
    <t>9661158554</t>
  </si>
  <si>
    <t>6204550551</t>
  </si>
  <si>
    <t>Trulliv sofia PG , Siruseri IT park 10th cross street</t>
  </si>
  <si>
    <t>Truliv Sofia PG, 10th cross street , Siruseri IT park , Sipcot , Tamil Nadu - 603103</t>
  </si>
  <si>
    <t>Pragati Gupta</t>
  </si>
  <si>
    <t>7392831214</t>
  </si>
  <si>
    <t>9450937010</t>
  </si>
  <si>
    <t>TVH  Ouranya Bay Padur</t>
  </si>
  <si>
    <t>TVH Ouranya Bay Rajiv Gandhi Salai (OMR), Near Siruseri IT Park, Padur, Tamil Nadu- 603103</t>
  </si>
  <si>
    <t>Pallavi S</t>
  </si>
  <si>
    <t>6366245459</t>
  </si>
  <si>
    <t>9880879367</t>
  </si>
  <si>
    <t>TVH OURANYA BAY</t>
  </si>
  <si>
    <t>TVH Ouranya Bay, Rajiv Gandhi Salai, near Siruseri, IT Park, Padur, Kalipattur, Tamil Nadu 603103</t>
  </si>
  <si>
    <t>Aryan Maheshwari</t>
  </si>
  <si>
    <t>8762404250</t>
  </si>
  <si>
    <t>9036530999</t>
  </si>
  <si>
    <t>TVH Ouranya Bay, Padur</t>
  </si>
  <si>
    <t>Dipanwita Paul</t>
  </si>
  <si>
    <t>8473907461</t>
  </si>
  <si>
    <t>9401533064</t>
  </si>
  <si>
    <t>TVH Ouranya Bay, Rajiv Gandhi Salai, near Siruseri, IT Park, Padur, Kalipattur, Tamil Nadu - 603103</t>
  </si>
  <si>
    <t xml:space="preserve">Mani Shankar Swaraj </t>
  </si>
  <si>
    <t>8299477337</t>
  </si>
  <si>
    <t>9125890980</t>
  </si>
  <si>
    <t xml:space="preserve">TVH Ouranyabay </t>
  </si>
  <si>
    <t>TVH Apartment Ouranyabay, Padur , Chennai , Tamil Nadu 603103</t>
  </si>
  <si>
    <t>Aryan</t>
  </si>
  <si>
    <t>8804050193</t>
  </si>
  <si>
    <t>9386136970</t>
  </si>
  <si>
    <t>TVH Taus</t>
  </si>
  <si>
    <t>Flat No 7701, Block 7, Wing 1, TVH Taus, Egattur, Near Marina Mall</t>
  </si>
  <si>
    <t>Chavi Maru</t>
  </si>
  <si>
    <t>7851096812</t>
  </si>
  <si>
    <t>9701-E, TVH Taus, Egatoor Natham Link Road, Navallur, Chennai, Tamil Nadu, 603103</t>
  </si>
  <si>
    <t>Abhay Gupta</t>
  </si>
  <si>
    <t>9330334123</t>
  </si>
  <si>
    <t>TVH Taus, Egattur</t>
  </si>
  <si>
    <t>TVH Taus, Block 7, Flat 7701, Wing 1, Toll Gate, Natham Link Rd, near Navalur, Egattur, Navalur, Tamil Nadu 600130</t>
  </si>
  <si>
    <t>Avinash Anand</t>
  </si>
  <si>
    <t>9934778168</t>
  </si>
  <si>
    <t>Flat - 7701, 7th block, wing 1, Egattur, Chennai-603103</t>
  </si>
  <si>
    <t>PADMAPRIYA R</t>
  </si>
  <si>
    <t>9361929266</t>
  </si>
  <si>
    <t>9944660067</t>
  </si>
  <si>
    <t>TVH Taus, Navalur</t>
  </si>
  <si>
    <t>TVH Taus, Block 9 wing 1, Navalur - 600130</t>
  </si>
  <si>
    <t>Allu Yeswanth Kumar</t>
  </si>
  <si>
    <t>7205636613</t>
  </si>
  <si>
    <t>7684028093</t>
  </si>
  <si>
    <t>Tvh Taus,Flatno-7701,WING 1,Block 7,Egattur</t>
  </si>
  <si>
    <t>Tvh Taus,Flatno-7701,WING 1,Block 7,Toll Gate,Natham Link Rd,near Navalur,Egattur,siruseri, Tamil Nadu 600130</t>
  </si>
  <si>
    <t>Gokul S</t>
  </si>
  <si>
    <t>8608208397</t>
  </si>
  <si>
    <t>9962807768</t>
  </si>
  <si>
    <t>Udaya phase 1</t>
  </si>
  <si>
    <t>Udaya phase 1,Vengaivasal, Medavakkam</t>
  </si>
  <si>
    <t xml:space="preserve">Bellamkonda Srilatha </t>
  </si>
  <si>
    <t>9347588505</t>
  </si>
  <si>
    <t>8309157653</t>
  </si>
  <si>
    <t>Uniq Ladies pg</t>
  </si>
  <si>
    <t xml:space="preserve">Uniq Ladies pg, Siruseri, Tamil Nadu </t>
  </si>
  <si>
    <t>Chetan Shivayogi Puranikmath</t>
  </si>
  <si>
    <t>8792695267</t>
  </si>
  <si>
    <t>8088701166</t>
  </si>
  <si>
    <t>Uniq Mens PG Navalur</t>
  </si>
  <si>
    <t>Uniq Mens PG Sardar Patel Street Navalur</t>
  </si>
  <si>
    <t>Aditya Kshirasagar</t>
  </si>
  <si>
    <t>8073438309</t>
  </si>
  <si>
    <t>9972898524</t>
  </si>
  <si>
    <t>UniQ Mens PG, Navalur.</t>
  </si>
  <si>
    <t>uniQ Mens PG, Egattur, Siruseri, Tamil Nadu - 603103</t>
  </si>
  <si>
    <t>Kolumula Akanksha Reddy</t>
  </si>
  <si>
    <t>9963356911</t>
  </si>
  <si>
    <t>9989616911</t>
  </si>
  <si>
    <t>Unique pg womens, Egattur, gangiyamman kovil street, Buddhar St, Chennai, 600130, TN, IN</t>
  </si>
  <si>
    <t>Yugesvaran M</t>
  </si>
  <si>
    <t>8270018589</t>
  </si>
  <si>
    <t>8668143495</t>
  </si>
  <si>
    <t>Urbanise Revolution One, E Block, Padur</t>
  </si>
  <si>
    <t>Kalyani Anil Sawarkar</t>
  </si>
  <si>
    <t>9527639448</t>
  </si>
  <si>
    <t>9763230085</t>
  </si>
  <si>
    <t>Urbanrise revolution one</t>
  </si>
  <si>
    <t>D-1514 Urbanrise Revolution One Padur</t>
  </si>
  <si>
    <t>Sampa Sen</t>
  </si>
  <si>
    <t>7856829894</t>
  </si>
  <si>
    <t>8340494001</t>
  </si>
  <si>
    <t>V.P.G Avenue Extn., Mettukuppam</t>
  </si>
  <si>
    <t>House No.62, Kumarguru 7th Street, Chennai - 600097</t>
  </si>
  <si>
    <t>Mettukuppam</t>
  </si>
  <si>
    <t>Thangudu Swetha</t>
  </si>
  <si>
    <t>9573573503</t>
  </si>
  <si>
    <t>9573573502</t>
  </si>
  <si>
    <t>Vaishnavi elite og</t>
  </si>
  <si>
    <t>Vaishnavi elite og, 206,chennai,Egattur,Tamil Nadu - 600130</t>
  </si>
  <si>
    <t>SRIPADA V P S D GAYATHRI</t>
  </si>
  <si>
    <t>9493388917</t>
  </si>
  <si>
    <t>8099957536</t>
  </si>
  <si>
    <t>VAISHNAVI ELITE OG , 206,EGATTUR, CHENNAI,TAMILNADU</t>
  </si>
  <si>
    <t>Kethavarapu Likhitha</t>
  </si>
  <si>
    <t>6304364377</t>
  </si>
  <si>
    <t>9490403533</t>
  </si>
  <si>
    <t>Vaishnavi elite og , egattur</t>
  </si>
  <si>
    <t>Vaishnavi elite pg, 206 Chennai, egattur, TamilNaidu</t>
  </si>
  <si>
    <t>Sayyapureddy Gnana Prasanna</t>
  </si>
  <si>
    <t>9494500245</t>
  </si>
  <si>
    <t>9381068188</t>
  </si>
  <si>
    <t>Vaishnavi Elite og, 206, Egattur, Chennai, Tamil Nadu</t>
  </si>
  <si>
    <t>Vaishnavi Elite og, 206, Egattur, Chennai, Tamil Nadu - 600130</t>
  </si>
  <si>
    <t>Swetha Chinnabathini</t>
  </si>
  <si>
    <t>8639817992</t>
  </si>
  <si>
    <t>9989025645</t>
  </si>
  <si>
    <t>Vaishnavi Elite og-Egattur</t>
  </si>
  <si>
    <t>206, Vaishnavi Elite og, Egattur, Chennai, Tamil Nadu, 600130</t>
  </si>
  <si>
    <t>Akreethi Kumari</t>
  </si>
  <si>
    <t>9390469128</t>
  </si>
  <si>
    <t>8309018410</t>
  </si>
  <si>
    <t>Vaishnavi elite pg</t>
  </si>
  <si>
    <t>206, Vaishnavi Elite og, chennai, Egattur, Tamil Nadu 600130</t>
  </si>
  <si>
    <t>Yarragonda Sai Lasya Reddy</t>
  </si>
  <si>
    <t>9154409256</t>
  </si>
  <si>
    <t>8919059859</t>
  </si>
  <si>
    <t>Vaishnavi Elite PG</t>
  </si>
  <si>
    <t>Vaishnavi Elite PG , Dr Ambedkar St, Egattur , Siruseri ,Tamil Nadu</t>
  </si>
  <si>
    <t>Kurapati Thejaswini</t>
  </si>
  <si>
    <t>6304807729</t>
  </si>
  <si>
    <t>9440091959</t>
  </si>
  <si>
    <t xml:space="preserve">Vaishnavi elite pg </t>
  </si>
  <si>
    <t>Vaishnavi elite pg, gangai amman kovil street,egattur,siruseri, tamil nadu-603103</t>
  </si>
  <si>
    <t>Riya Kumari</t>
  </si>
  <si>
    <t>9122604425</t>
  </si>
  <si>
    <t>7761024919</t>
  </si>
  <si>
    <t xml:space="preserve">Vaishnavi Elite Pg </t>
  </si>
  <si>
    <t>Vaishnavi Elite Pg , Doctor Ambedkar Street , Egatur 603103</t>
  </si>
  <si>
    <t>Sahithi Mandadapu</t>
  </si>
  <si>
    <t>8074518229</t>
  </si>
  <si>
    <t>9704736826</t>
  </si>
  <si>
    <t>Vaishnavi elite pg, 206 ,chennai,egattur, Tamilnadu</t>
  </si>
  <si>
    <t>Reddipilli Yamini Devi</t>
  </si>
  <si>
    <t>7032900904</t>
  </si>
  <si>
    <t>7981037365</t>
  </si>
  <si>
    <t>Vaishnavi Elite PG for Ladies</t>
  </si>
  <si>
    <t>Vaishnavi Elite PG for Ladies, Egattur, Siruseri, Tamil Nadu</t>
  </si>
  <si>
    <t>Arya S Nair</t>
  </si>
  <si>
    <t>9074092911</t>
  </si>
  <si>
    <t>9436115387</t>
  </si>
  <si>
    <t>Vaishnavi Elite Pg for Ladies, Egattur</t>
  </si>
  <si>
    <t>Seelam Bhanu Prasanna</t>
  </si>
  <si>
    <t>9490533992</t>
  </si>
  <si>
    <t>9010655881</t>
  </si>
  <si>
    <t xml:space="preserve">Vaishnavi Elite PG for Ladies, Egattur  </t>
  </si>
  <si>
    <t>Vaishnavi Elite PG for Ladies, Dr Ambedhkar Street, Egattur, Siruseri, Tamil Nadu - 603103</t>
  </si>
  <si>
    <t>MUTHUMULA VAISHNAVI REDDY</t>
  </si>
  <si>
    <t>9346970175</t>
  </si>
  <si>
    <t>6360122654</t>
  </si>
  <si>
    <t>VAISHNAVI ELITE PG, EGATTUR</t>
  </si>
  <si>
    <t>vaishnavi elite pg , egattur, siruseri, tamilnadu,</t>
  </si>
  <si>
    <t>Marneni Maria Shruthi</t>
  </si>
  <si>
    <t>6304768468</t>
  </si>
  <si>
    <t>9704692262</t>
  </si>
  <si>
    <t>Vaishnavi Elite pg, Egattur</t>
  </si>
  <si>
    <t>Vaishnavi Elite PG, 206 Egattur, Chennai 600130</t>
  </si>
  <si>
    <t>Deepika Rao</t>
  </si>
  <si>
    <t>8789850719</t>
  </si>
  <si>
    <t>8107110606</t>
  </si>
  <si>
    <t>Vaishnavi Elite Pg, Egattur</t>
  </si>
  <si>
    <t>Vaishnavi Elite Pg, Dr Ambedkar Street, Egattur, Tamil Nadu, 603103</t>
  </si>
  <si>
    <t>Aripalli Varsha</t>
  </si>
  <si>
    <t>9985843985</t>
  </si>
  <si>
    <t>7013098446</t>
  </si>
  <si>
    <t>Vaishnavi elite PG, Egattur</t>
  </si>
  <si>
    <t>Olivia Crystal Palatla</t>
  </si>
  <si>
    <t>8977030106</t>
  </si>
  <si>
    <t>9951456231</t>
  </si>
  <si>
    <t>Vaishnavi Elite PG-Egattur</t>
  </si>
  <si>
    <t>Vaishnavi PG for Ladies, 206, 4/211, DR Ambedkar street, SIPCOT, EGATTUR, Chennai, Tamilnadu-600130</t>
  </si>
  <si>
    <t>Kusumitha Ks</t>
  </si>
  <si>
    <t>9740642195</t>
  </si>
  <si>
    <t>9945101551</t>
  </si>
  <si>
    <t>Vaishnavi ladies pg</t>
  </si>
  <si>
    <t xml:space="preserve">Vaishnavi ladies pg,Dr Ambedkar St,Sipcot,Egattur,Tamil nadu </t>
  </si>
  <si>
    <t>Gudimella Hema Sri Valli</t>
  </si>
  <si>
    <t>6305643235</t>
  </si>
  <si>
    <t>6281644821</t>
  </si>
  <si>
    <t>Ambedkar street</t>
  </si>
  <si>
    <t>Vaishnavi ladies pg,Dr ambedkar St,Sipcot,Egattur,Tamil Nadu 600130</t>
  </si>
  <si>
    <t>Swarnadeepika S</t>
  </si>
  <si>
    <t>9363113248</t>
  </si>
  <si>
    <t>9884999800</t>
  </si>
  <si>
    <t>Vaishnavi Ladies PG</t>
  </si>
  <si>
    <t>Vaishnavi Ladies PG, 4/211, Dr Ambedkar Street, Egatur, Siruseri, Chennai - 600130</t>
  </si>
  <si>
    <t>Bollu Divya Sree</t>
  </si>
  <si>
    <t>9652557495</t>
  </si>
  <si>
    <t>9100860174</t>
  </si>
  <si>
    <t>Vaishnavi Ladies PG  - Dr. Ambedkar Street- Egattur</t>
  </si>
  <si>
    <t>Vaishnavi Ladies PG  - 4/211, Dr. Ambedkar Street- Egattur, siruseri, Tamil Nadu</t>
  </si>
  <si>
    <t>Deekshitha N S</t>
  </si>
  <si>
    <t>6361629860</t>
  </si>
  <si>
    <t>9632861708</t>
  </si>
  <si>
    <t>Vaishnavi Ladies PG - Branch 1, Egattur</t>
  </si>
  <si>
    <t>No.4/211,Dr. Ambethkar Street, Near Navalur,Sipcot Egattur,Egattur,Chennai-603103,Tamil Nadu</t>
  </si>
  <si>
    <t>Bogireddy Vindhya</t>
  </si>
  <si>
    <t>8008275996</t>
  </si>
  <si>
    <t>9502885996</t>
  </si>
  <si>
    <t>Vaishnavi ladies pg - Egattur</t>
  </si>
  <si>
    <t>Vaishnavi ladies pg, 4/211Dr, Dr Ambedkar St, Sipcot, Egattur, Tamil Nadu 600130</t>
  </si>
  <si>
    <t>anusha shekhar</t>
  </si>
  <si>
    <t>9508561146</t>
  </si>
  <si>
    <t>7488828519</t>
  </si>
  <si>
    <t>vaishnavi ladies pg , sipcot, egattur</t>
  </si>
  <si>
    <t>vaishnavi ladies pg,4/21 Dr Ambedkar st, sipcot egattur chennai,600130</t>
  </si>
  <si>
    <t>Vaishnavi ladies pg, Egattur</t>
  </si>
  <si>
    <t>Vaishnavi ladies pg, Egattur, Siruseri, TamilNadu - 603103</t>
  </si>
  <si>
    <t>Sakala Sireesha</t>
  </si>
  <si>
    <t>8328234101</t>
  </si>
  <si>
    <t>8099677019</t>
  </si>
  <si>
    <t>Vaishnavi ladies pg, Ambedkar street, Egattur</t>
  </si>
  <si>
    <t>Indushree K C</t>
  </si>
  <si>
    <t>7411198251</t>
  </si>
  <si>
    <t>9538269817</t>
  </si>
  <si>
    <t>Vaishnavi Ladies PG, No.4/211, Dr. Ambethkar Street, Near Navalur, Sipcot Egattur, Egattur, Chennai-603103, Tamil Nadu</t>
  </si>
  <si>
    <t>Markeeri Teja</t>
  </si>
  <si>
    <t>9392586419</t>
  </si>
  <si>
    <t>8790909793</t>
  </si>
  <si>
    <t>Vaishnavi ladies pg,Egattur</t>
  </si>
  <si>
    <t>Vaishnavi Ladies pg,Egattur,Siruseri,Tamil nadu-603103</t>
  </si>
  <si>
    <t>Vaishnavi ladies pg,Egattur,Siruseri,Tamil Nadu-603103</t>
  </si>
  <si>
    <t>9393586419</t>
  </si>
  <si>
    <t>Vaishnavi Ladies Pg,Egattur</t>
  </si>
  <si>
    <t>Vaishnavi Ladies Pg,Egattur,Siruseri,Tamil Nadu-603103</t>
  </si>
  <si>
    <t>Toom Abinayasri</t>
  </si>
  <si>
    <t>7989432877</t>
  </si>
  <si>
    <t>9676860703</t>
  </si>
  <si>
    <t>vaishnavi pg</t>
  </si>
  <si>
    <t>vaishnavi pg, Dr Ambedkar street -Sipcot-Egattur-Tamilnadu-600130</t>
  </si>
  <si>
    <t>BADRI VASAVI SRI VIDYA JYOSHINI</t>
  </si>
  <si>
    <t>9347532660</t>
  </si>
  <si>
    <t>9177328768</t>
  </si>
  <si>
    <t>Vaishnavi PG - Egattur</t>
  </si>
  <si>
    <t>Vaishnavi pg, Dr Ambedkar st, Egattur, Chennai - 600130</t>
  </si>
  <si>
    <t>Vuppala Sai Supriya</t>
  </si>
  <si>
    <t>9493764683</t>
  </si>
  <si>
    <t>9010069308</t>
  </si>
  <si>
    <t>Vaishnavi PG , Egattur</t>
  </si>
  <si>
    <t>Vaishnavi PG, 4/211Dr, Dr Ambedkar St, Sipcot, Egattur, Tamil Nadu 600130</t>
  </si>
  <si>
    <t>P Umme Suliem Lubaba</t>
  </si>
  <si>
    <t>8977096983</t>
  </si>
  <si>
    <t>7981676869</t>
  </si>
  <si>
    <t>Vaishnavi PG For Ladies</t>
  </si>
  <si>
    <t>Cherie Josephine A</t>
  </si>
  <si>
    <t>8778667243</t>
  </si>
  <si>
    <t>9880144027</t>
  </si>
  <si>
    <t>Vaishnavi Pg for ladies</t>
  </si>
  <si>
    <t>Vaishnavi Pg for Ladies, 4/211, Dr Ambedkar Street, Egattur, Siruseri, Chennai - 600130</t>
  </si>
  <si>
    <t>Laya Thota</t>
  </si>
  <si>
    <t>8328582367</t>
  </si>
  <si>
    <t>9703864167</t>
  </si>
  <si>
    <t>Vaishnavi PG for Ladies</t>
  </si>
  <si>
    <t>4/211Dr, Dr Ambedkar St, Sipcot, Egattur, Tamil Nadu 600130</t>
  </si>
  <si>
    <t>54, Sivan Koil st, Ganga Nagar, Muthu Thottam, Kondambakkam, Chennai, Tamil Nadu 600024</t>
  </si>
  <si>
    <t>Bhagyashree S Biradar</t>
  </si>
  <si>
    <t>7093088294</t>
  </si>
  <si>
    <t>9849544643</t>
  </si>
  <si>
    <t xml:space="preserve">Vaishnavi PG for ladies </t>
  </si>
  <si>
    <t>Vaishnavi PG for ladies 206, 4/211 DR Ambedkar Street, Egatur, Chennai, Tamil Nadu - 600130</t>
  </si>
  <si>
    <t>Ponduri Sai Praneetha</t>
  </si>
  <si>
    <t>6305712994</t>
  </si>
  <si>
    <t>9440009993</t>
  </si>
  <si>
    <t>Vaishnavi PG For Ladies- Branch 2, Egattur</t>
  </si>
  <si>
    <t>Bokam Sri Snehankitha</t>
  </si>
  <si>
    <t>9182577687</t>
  </si>
  <si>
    <t>9848253070</t>
  </si>
  <si>
    <t>Vaishnavi PG for Ladies in OMR</t>
  </si>
  <si>
    <t>Sree Varsha Maddineni</t>
  </si>
  <si>
    <t>7993382093</t>
  </si>
  <si>
    <t>9490465146</t>
  </si>
  <si>
    <t>Vaishnavi PG for Ladies in OMR, 4/211, Dr Ambedkar St, Sipcot, Egattur, Tamil Nadu 600130</t>
  </si>
  <si>
    <t>Gopu Sravani</t>
  </si>
  <si>
    <t>9392997262</t>
  </si>
  <si>
    <t>9247328983</t>
  </si>
  <si>
    <t xml:space="preserve">Vaishnavi PG for ladies in OMR, 4/211, Dr Ambedkar st, Sipcot, Egattur, Tamilnadu, 600130 </t>
  </si>
  <si>
    <t>Vaishnavi PG for ladies in OMR</t>
  </si>
  <si>
    <t>Vaishnavi PG for ladies in OMR, 4/211, Dr Ambedkar st, Sipcot, Egattur, Tamilnadu, 600130</t>
  </si>
  <si>
    <t>Sree Varsha M</t>
  </si>
  <si>
    <t xml:space="preserve">Akreethi kumari </t>
  </si>
  <si>
    <t>Pothanaboina Akhila Tejasri</t>
  </si>
  <si>
    <t>9390178217</t>
  </si>
  <si>
    <t>8309797102</t>
  </si>
  <si>
    <t>Vaishnavi PG for Ladies in OMR, Egattur</t>
  </si>
  <si>
    <t>Vaishanvi PG for Ladies in OMR, 4/211Dr, Dr Ambedkar St, Sipcot, Egattur, Tamil Nadu 600130</t>
  </si>
  <si>
    <t>KOYYANA SRI RAJA RAJESWARI</t>
  </si>
  <si>
    <t>9515027599</t>
  </si>
  <si>
    <t>9848871229</t>
  </si>
  <si>
    <t>Vaishnavi PG for ladies, 4/211 DR Ambedkar St, Sipcot, Egattur, Tamil Nadu</t>
  </si>
  <si>
    <t>Dasareddy Gari Siva Dharani</t>
  </si>
  <si>
    <t>8125303646</t>
  </si>
  <si>
    <t>8142549234</t>
  </si>
  <si>
    <t>Vaishnavi Pg for Ladies, Egattur</t>
  </si>
  <si>
    <t>Vaishnavi Pg for ladies, 4/211, Dr Ambedkar Street, Egattur</t>
  </si>
  <si>
    <t>ummidi chaitanya surya sai deepthi</t>
  </si>
  <si>
    <t>8143163882</t>
  </si>
  <si>
    <t>9866402500</t>
  </si>
  <si>
    <t>Vaishnavi PG For Ladies, Egattur</t>
  </si>
  <si>
    <t>Bandaru Dhruthi</t>
  </si>
  <si>
    <t>7075225731</t>
  </si>
  <si>
    <t>7680922657</t>
  </si>
  <si>
    <t xml:space="preserve">Vaishnavi PG for Ladies,206, 4/211DR DR Ambedkar Street, Sipcot, Egattur </t>
  </si>
  <si>
    <t>Vaishnavi PG for Ladies,206, 4/211DR DR Ambedkar Street, Sipcot, Egattur, Siruseri,Tamil Nadu 600130</t>
  </si>
  <si>
    <t>Vudatha Pavani Sri Lakshmi Savithri</t>
  </si>
  <si>
    <t>9951251096</t>
  </si>
  <si>
    <t>8465851350</t>
  </si>
  <si>
    <t>Vaishnavi PG for Ladies,Egattur</t>
  </si>
  <si>
    <t>Vaishnavi PG for Ladies in OMR, 4/211Dr, Dr Ambedkar St, Sipcot, Egattur, Tamil Nadu 603103</t>
  </si>
  <si>
    <t>Vaishnavi PG, Egattur</t>
  </si>
  <si>
    <t>Elubandi Bindu Saisri Priya</t>
  </si>
  <si>
    <t>9133217796</t>
  </si>
  <si>
    <t>7995971512</t>
  </si>
  <si>
    <t>Vaishnavi PG,Egattur</t>
  </si>
  <si>
    <t>Vaishnavi PG for ladies in OMR,4/211Dr,Dr Ambedkar St,sipcot,Egattur,Tamil Nadu 600130</t>
  </si>
  <si>
    <t>Nagadamudi Bangaru Lakshmi Lahari</t>
  </si>
  <si>
    <t>8247276533</t>
  </si>
  <si>
    <t>9912240806</t>
  </si>
  <si>
    <t>Vaishnavi Womens Pg</t>
  </si>
  <si>
    <t>Vaishnavi Womens PG dr ambedkar street, Egattur, Siruseri, Tamil Nadu 603103</t>
  </si>
  <si>
    <t>Vaishnavi Womens PG Egattur</t>
  </si>
  <si>
    <t>Vaishnavi Womens pg dr ambedkar street ,egattur, Siruseri, Tamil Nadu- 603103</t>
  </si>
  <si>
    <t>Sri Lakshmi Ravalika Dunaboina</t>
  </si>
  <si>
    <t>8328337655</t>
  </si>
  <si>
    <t>9052874488</t>
  </si>
  <si>
    <t>Vaishnavi womens pg Egatur</t>
  </si>
  <si>
    <t>Vaishnavi womens pg, Ambedkar street Egatur</t>
  </si>
  <si>
    <t>Kavya Yeddu</t>
  </si>
  <si>
    <t>9391536778</t>
  </si>
  <si>
    <t>8341175243</t>
  </si>
  <si>
    <t>Vengamabha Ladies Hostel, Egattur.</t>
  </si>
  <si>
    <t>Vengamamba ladies hostel ,Periyar Street, Thiruporur, Tamil Nadu 600130</t>
  </si>
  <si>
    <t>BEERAM LAKSHMI SAMATHA REDDY</t>
  </si>
  <si>
    <t>9550853683</t>
  </si>
  <si>
    <t>8008485579</t>
  </si>
  <si>
    <t>VENGAMAMBA LADIES HOSTEL</t>
  </si>
  <si>
    <t>VENGAMAMBA LADIES HOSTEL, PERIYAR STREET, EGATOOR, PUDUPAKKAM,603103</t>
  </si>
  <si>
    <t>Amal A</t>
  </si>
  <si>
    <t>7904781706</t>
  </si>
  <si>
    <t>9659455074</t>
  </si>
  <si>
    <t>Venkata Ramana Mens Hostel Near Church No 59 Street Vijay Ganapathi Nagar Navalur</t>
  </si>
  <si>
    <t>Vighnesh Kulal</t>
  </si>
  <si>
    <t>8904337651</t>
  </si>
  <si>
    <t>9148188907</t>
  </si>
  <si>
    <t>Venkata ramana mens hostels Branch-3</t>
  </si>
  <si>
    <t>Venkata ramana mens hostels Branch-3,R6PG+2WQ, Periyar St, Uthandi, Egattur, Tamil Nadu 600130</t>
  </si>
  <si>
    <t>Thank you for survey</t>
  </si>
  <si>
    <t>Sajadh I</t>
  </si>
  <si>
    <t>7994766865</t>
  </si>
  <si>
    <t>9747816979</t>
  </si>
  <si>
    <t>Venkata Ramana Mens PG Branch - 3</t>
  </si>
  <si>
    <t>Periyar St, Uthandi, Egattur, Tamilnadu</t>
  </si>
  <si>
    <t>Venkata Ramana Mens PG Branch -3 uthadi st, egattur, siruseri, tamilnadu</t>
  </si>
  <si>
    <t>Boini Pramod Kumar</t>
  </si>
  <si>
    <t>9347858392</t>
  </si>
  <si>
    <t>8106206130</t>
  </si>
  <si>
    <t>Venkata Ramana PG, Egattur</t>
  </si>
  <si>
    <t>Venkat Ramana PG Hostel, beside the MSR Branch - 2, Opp Marina Mall, Egattur, Chennai.</t>
  </si>
  <si>
    <t>Siddharth R Acharya</t>
  </si>
  <si>
    <t>8129219367</t>
  </si>
  <si>
    <t>9544711048</t>
  </si>
  <si>
    <t>Venkataram Mens Hostel Branch 3 ,Egattur ,Siruseri, Tamil Nadu - 603103</t>
  </si>
  <si>
    <t>R D L S SRAVANTHI</t>
  </si>
  <si>
    <t>8639844962</t>
  </si>
  <si>
    <t>9441276213</t>
  </si>
  <si>
    <t xml:space="preserve">Vikram luxury Ladies PG </t>
  </si>
  <si>
    <t>Vikram Luxury Ladies PG ,H.S.No.34,periyar street,Eggatur,chennai,603103</t>
  </si>
  <si>
    <t>R D L S Sravanthi</t>
  </si>
  <si>
    <t>Vikram Luxury PG</t>
  </si>
  <si>
    <t>Vikram Luxury Ladies PG,H.s.No.34,periyar street,Eggatur,chennai,603103</t>
  </si>
  <si>
    <t>M Sai</t>
  </si>
  <si>
    <t>9912095366</t>
  </si>
  <si>
    <t>9515451849</t>
  </si>
  <si>
    <t xml:space="preserve">Vishas PG - sipocot entrance </t>
  </si>
  <si>
    <t>Vishas PG inside sipcot IT park</t>
  </si>
  <si>
    <t>Praveen Kumar</t>
  </si>
  <si>
    <t>7338064907</t>
  </si>
  <si>
    <t>6364196452</t>
  </si>
  <si>
    <t>Vishnu living rooms, villas and pg accommodation, Sky garden villas</t>
  </si>
  <si>
    <t>R67c+wc6 Vishnu living rooms, villas and pg accommodation, Sky garden villas, 7th street, Srinivasa Nagar, Padur, Chennai, Tamil Nadu 603103</t>
  </si>
  <si>
    <t>M S Supreeth</t>
  </si>
  <si>
    <t>8792338838</t>
  </si>
  <si>
    <t>8073920344</t>
  </si>
  <si>
    <t xml:space="preserve">Vishnu living rooms, villas and pg accommodation, Sky garden villas, </t>
  </si>
  <si>
    <t>Mallikriyan H Kalashekhar</t>
  </si>
  <si>
    <t>9741375409</t>
  </si>
  <si>
    <t>7090428928</t>
  </si>
  <si>
    <t>Vishnu PG</t>
  </si>
  <si>
    <t>Vishnu PG Cross, 4/49 , Dr Ambedkar St, Egattur , Chennai , Tamil Nadu,603103</t>
  </si>
  <si>
    <t>Lakshya Rawat</t>
  </si>
  <si>
    <t>9142391583</t>
  </si>
  <si>
    <t>8527603368</t>
  </si>
  <si>
    <t xml:space="preserve">Vishnu pg </t>
  </si>
  <si>
    <t>R67c+wc6 Sky garden villas, 7th street, Srinivasa Nagar, Padur, Chennai, Tamil Nadu 603103</t>
  </si>
  <si>
    <t>Priyanshu Bisht</t>
  </si>
  <si>
    <t>6387749252</t>
  </si>
  <si>
    <t>8299242779</t>
  </si>
  <si>
    <t>Vishnu PG and Villas</t>
  </si>
  <si>
    <t>Vishnu PG and Villas, 7 street , Srinavas Nagar , Padur , Cheenai , Tamil Nadu ,603103</t>
  </si>
  <si>
    <t>Shivaraj Y</t>
  </si>
  <si>
    <t>6363577928</t>
  </si>
  <si>
    <t>9901688980</t>
  </si>
  <si>
    <t>Vishnu PG for Mens</t>
  </si>
  <si>
    <t>Vishnu PG for Mens, Near Marina Mall, Egattur, Sirusiri, Tamil Nadu - 603103</t>
  </si>
  <si>
    <t>Vaibhav Gorana</t>
  </si>
  <si>
    <t>9079219166</t>
  </si>
  <si>
    <t>9001455978</t>
  </si>
  <si>
    <t>vishvas hostel, mamoothianmman street, egattur uthandi ,siruseri,tamil nadu, 603103</t>
  </si>
  <si>
    <t xml:space="preserve">vishvas hostel main branch, mamoothianmman street, egattur uthandi ,siruseri,tamil nadu, 603103 </t>
  </si>
  <si>
    <t>Gatla Kavya</t>
  </si>
  <si>
    <t>8309347285</t>
  </si>
  <si>
    <t>9502587528</t>
  </si>
  <si>
    <t>Vishvas Ladies Hostel</t>
  </si>
  <si>
    <t>Vishvas Ladies Hostel,Opposite Novotel,Siruseri</t>
  </si>
  <si>
    <t>Sri Sai Priya S</t>
  </si>
  <si>
    <t>9499948640</t>
  </si>
  <si>
    <t>9444310170</t>
  </si>
  <si>
    <t>Vishvas ladies pg</t>
  </si>
  <si>
    <t xml:space="preserve">Rajiv Gandhi salai, Siruseri </t>
  </si>
  <si>
    <t>Nuthangi Naga Poojitha</t>
  </si>
  <si>
    <t>8328562352</t>
  </si>
  <si>
    <t>7013699628</t>
  </si>
  <si>
    <t>Vishvas Ladies PG for Women, Siruseri</t>
  </si>
  <si>
    <t>Vishvas Ladies PG for Women near siruseri sipcot IT park, opposite Novotel, Siruseri, Chennai, Tamil Nadu 603103</t>
  </si>
  <si>
    <t>Vishvas Ladies PG for women near siruseri sipcot IT Park, opposite Novotel, Siruseri, Chennai, Tamil Nadu 603103</t>
  </si>
  <si>
    <t>Mariyambi B</t>
  </si>
  <si>
    <t>9207266668</t>
  </si>
  <si>
    <t>9562222661</t>
  </si>
  <si>
    <t>Vishvas ladies pg, egattur</t>
  </si>
  <si>
    <t>Vishvas ladies pg, plot no 34B, City park, Egattur, Chennai</t>
  </si>
  <si>
    <t>Lasya Priya Marella</t>
  </si>
  <si>
    <t>9381209896</t>
  </si>
  <si>
    <t>9866220187</t>
  </si>
  <si>
    <t>Vishvas Ladies PG, Egattur</t>
  </si>
  <si>
    <t>Vishvas Ladies PG, near SIPCOT IT Park, Siruseri, Egattur, Tamil Nadu 603103, India</t>
  </si>
  <si>
    <t>I have my relatives here</t>
  </si>
  <si>
    <t>Saniya Shah</t>
  </si>
  <si>
    <t>8141886222</t>
  </si>
  <si>
    <t>9227549771</t>
  </si>
  <si>
    <t>Vishvas Ladies Pg, siruseri</t>
  </si>
  <si>
    <t xml:space="preserve">202, Vishvas Ladies PG, Above trupti veg restaurant, opp. novotel hotel, siruseri, chennai - 6031032nd </t>
  </si>
  <si>
    <t>Lagad Sampada Santosh</t>
  </si>
  <si>
    <t>7058586965</t>
  </si>
  <si>
    <t>9423756965</t>
  </si>
  <si>
    <t>Vishvas Ladies PG, Siruseri</t>
  </si>
  <si>
    <t>Vishvas Ladies PG , Opposite Novotel, Siruseri, Chennai, Tamil Nadu - 603103</t>
  </si>
  <si>
    <t>Vishvas ladies pg,egattur, Siruseri</t>
  </si>
  <si>
    <t>Vishvas ladies pg, above trupti veg restaurant, near SIPCOT IT entrance, egattur, siruseri</t>
  </si>
  <si>
    <t>Rushikesh Sudhakar Rajmane</t>
  </si>
  <si>
    <t>9270445777</t>
  </si>
  <si>
    <t>9371955777</t>
  </si>
  <si>
    <t>Vishvas Men PG,Egatture</t>
  </si>
  <si>
    <t xml:space="preserve">Vishvas Professional Stays  Plot No 34B  , City Park, Egattur  Chennai, Tamil Nadu - 603103  </t>
  </si>
  <si>
    <t>NISATH MK</t>
  </si>
  <si>
    <t>7548818282</t>
  </si>
  <si>
    <t>8825986170</t>
  </si>
  <si>
    <t>Vishvas Mens pg</t>
  </si>
  <si>
    <t>Vishvas mens pg, Plot No 34 B , city park, Egatoor, near SIPCOT IT PARK, SIRUSERI, Tamil nadu 603103</t>
  </si>
  <si>
    <t xml:space="preserve">Rushikesh Chetan Dange </t>
  </si>
  <si>
    <t>8459337676</t>
  </si>
  <si>
    <t>8530189645</t>
  </si>
  <si>
    <t>Vishvas mens pg</t>
  </si>
  <si>
    <t xml:space="preserve">Vishvas mens pg sipcot inside seruseri it park near nka mens pg </t>
  </si>
  <si>
    <t>Rushikesh Chetan Dange</t>
  </si>
  <si>
    <t>vishvas mens pg SIPCOT IT Park, city park layout, Third Cross Road, Egattur, Tamil Nadu 603103</t>
  </si>
  <si>
    <t>Karan Baliram Aghav</t>
  </si>
  <si>
    <t>7058531758</t>
  </si>
  <si>
    <t>9422587821</t>
  </si>
  <si>
    <t>vishvas pg</t>
  </si>
  <si>
    <t xml:space="preserve">vishvas professional stays , siruseri sipcot , beside SVD Pg , mamoothiamman street </t>
  </si>
  <si>
    <t>no comments</t>
  </si>
  <si>
    <t>sameerullah shaik</t>
  </si>
  <si>
    <t>8688221014</t>
  </si>
  <si>
    <t>8309494676</t>
  </si>
  <si>
    <t>Vishvas PG - egattur</t>
  </si>
  <si>
    <t>Vishvas gents PG egattur,near sipcot IT park siruseri , back side of sify</t>
  </si>
  <si>
    <t>NAVEENKUMAR M</t>
  </si>
  <si>
    <t>8098600300</t>
  </si>
  <si>
    <t>9384938317</t>
  </si>
  <si>
    <t>Vishvas pg &amp; general appartments</t>
  </si>
  <si>
    <t>Vishvas pg &amp; general appartments, SIPCOT IT Park, city park layout, Third Cross Road, Egattur, Tamil Nadu 603103</t>
  </si>
  <si>
    <t>Suyash Shailesh Tiwari</t>
  </si>
  <si>
    <t>9146458102</t>
  </si>
  <si>
    <t>9552125073</t>
  </si>
  <si>
    <t>SIPCOAT IT Park, city park layout, Third Cross Road, Egattur, Tamil Nadu 603103</t>
  </si>
  <si>
    <t xml:space="preserve">Santosh Basappa Tanvashi </t>
  </si>
  <si>
    <t>6364583373</t>
  </si>
  <si>
    <t>9972061173</t>
  </si>
  <si>
    <t>Vishvas PG &amp; General appartments- Egatttur</t>
  </si>
  <si>
    <t>Vishvas PG &amp; General appartments, SIPCOT IT Park, city park layout, Tamil Nadu 603103</t>
  </si>
  <si>
    <t>Elayaraj C</t>
  </si>
  <si>
    <t>7904451167</t>
  </si>
  <si>
    <t>9443509674</t>
  </si>
  <si>
    <t>Vishvas pg &amp; general appartments SIPCOT IT Park, city park layout, Third Cross Road, Egattur, Tamil Nadu 603103</t>
  </si>
  <si>
    <t>Rohan Bapusaheb Pabale</t>
  </si>
  <si>
    <t>7420800183</t>
  </si>
  <si>
    <t>9021225107</t>
  </si>
  <si>
    <t>Vishvas pg &amp; general appartments, SIPCOT IT Park.</t>
  </si>
  <si>
    <t>Harshivpranav R S</t>
  </si>
  <si>
    <t>6380260804</t>
  </si>
  <si>
    <t>9842904578</t>
  </si>
  <si>
    <t>Vishvas Pg and General Apartments , SIPCOT</t>
  </si>
  <si>
    <t xml:space="preserve">Vishvas Pg and General Apartments, Third Cross Road, City Park Layout, SIPCOT, Siruseri, TamilNadu -603103 </t>
  </si>
  <si>
    <t>Devika Sobana Raj Valsala Kumary</t>
  </si>
  <si>
    <t>8884470561</t>
  </si>
  <si>
    <t>9449065061</t>
  </si>
  <si>
    <t>Vishvas PG(Ladies)</t>
  </si>
  <si>
    <t>Vishvas Ladies PG, Opposite Novotel, Siruseri, Chennai, Tamil Nadu- 603103</t>
  </si>
  <si>
    <t>6374747972</t>
  </si>
  <si>
    <t>8778006515</t>
  </si>
  <si>
    <t>vishvas pg, egattur</t>
  </si>
  <si>
    <t>Vishvas PG, plot no 34b, city park , egatoor, near sipcot it park , siruseri , tamilnadu 603103</t>
  </si>
  <si>
    <t>KAMAL KISHORE S</t>
  </si>
  <si>
    <t>7339448211</t>
  </si>
  <si>
    <t>9944635110</t>
  </si>
  <si>
    <t>Vishvas Professional PG</t>
  </si>
  <si>
    <t xml:space="preserve"> Vishvas Professional PG ,Sipcot It Park, City Park Layout, Third Cross Road, Siruseri, Chennai-603103, Tamil Nadu</t>
  </si>
  <si>
    <t>Apsar H</t>
  </si>
  <si>
    <t>9600274842</t>
  </si>
  <si>
    <t>9715284842</t>
  </si>
  <si>
    <t>Vishvas professional stay mens PG</t>
  </si>
  <si>
    <t>Your organizations data cannot be pasted here. Plot No 34 B, City Park, Egatoor, near SIPCOT IT Park, Siruseri, Tamil Nadu 603103</t>
  </si>
  <si>
    <t>Rohanhinderjith G</t>
  </si>
  <si>
    <t>6379257211</t>
  </si>
  <si>
    <t>9787492433</t>
  </si>
  <si>
    <t>vishvas professional stays</t>
  </si>
  <si>
    <t>34B, City Park, Near Sipcot IT Entrance, 1st Main Road, Sirucheri, Chennai-603103, Tamil Nadu</t>
  </si>
  <si>
    <t>Vishwangar R</t>
  </si>
  <si>
    <t>9790447151</t>
  </si>
  <si>
    <t>8110086668</t>
  </si>
  <si>
    <t>Vishvas Professional Stays</t>
  </si>
  <si>
    <t>Vishvas Professional Stays, Plot No 34B, City Park, Egattur, Chennai, Tamil Nadu - 603103</t>
  </si>
  <si>
    <t>Arbaj Noushad Jamadar</t>
  </si>
  <si>
    <t>9307230400</t>
  </si>
  <si>
    <t>9067611812</t>
  </si>
  <si>
    <t>Vishvas professional stays - Muthaiya Apartment (MF)</t>
  </si>
  <si>
    <t>Vishvas Professional stays. opposite mamoothiamman street, near sipcot IT park, egattur.</t>
  </si>
  <si>
    <t>Kunal Gupta</t>
  </si>
  <si>
    <t>8318449874</t>
  </si>
  <si>
    <t>8382018570</t>
  </si>
  <si>
    <t>Vishvas Professional Stays Mens PG</t>
  </si>
  <si>
    <t>Plot No 34 B, City Park, Egatoor, near SIPCOT IT Park, Siruseri, Tamil Nadu 603103</t>
  </si>
  <si>
    <t>Abilash C</t>
  </si>
  <si>
    <t>8870035844</t>
  </si>
  <si>
    <t>9677772937</t>
  </si>
  <si>
    <t>Pandiripalli Chandra Sekhar Aditya</t>
  </si>
  <si>
    <t>9391953299</t>
  </si>
  <si>
    <t>9493340685</t>
  </si>
  <si>
    <t>Vishvas Professional Stays Mens PG Siruseri SIPCOT</t>
  </si>
  <si>
    <t>Vishvas Professional Stays Mens PG Siruseri SIPCOT, Plot No 34 B, City Park, Egatoor, near SIPCOT IT Park, Siruseri, Tamil Nadu 603103</t>
  </si>
  <si>
    <t>Vaibhav Santosh Babar</t>
  </si>
  <si>
    <t>8010623566</t>
  </si>
  <si>
    <t>7741022920</t>
  </si>
  <si>
    <t>Karan baliram aghav</t>
  </si>
  <si>
    <t>Vishvas professional stays siruseri sipcot</t>
  </si>
  <si>
    <t>Vishvas professional stays,mammothiamman street , sipcot 603103</t>
  </si>
  <si>
    <t>Arnesh R</t>
  </si>
  <si>
    <t>9965988317</t>
  </si>
  <si>
    <t>Vishvas Professional Stays-Seruseri</t>
  </si>
  <si>
    <t>Vishvas Professional Stays,City Parklayout,3rd Cross Road,Sipcot Siruseri,Tamilnadu-603103</t>
  </si>
  <si>
    <t>Aditya Sharad Pawar</t>
  </si>
  <si>
    <t>9922790444</t>
  </si>
  <si>
    <t>9975126427</t>
  </si>
  <si>
    <t>Vishwas Mens PG, SIPCOT, Siruseri</t>
  </si>
  <si>
    <t>B Hariesh</t>
  </si>
  <si>
    <t>8754651190</t>
  </si>
  <si>
    <t>9842751190</t>
  </si>
  <si>
    <t xml:space="preserve">Vishwas Menss Pg </t>
  </si>
  <si>
    <t>Vishwas Menss Pg , Inside sipcot,egattur</t>
  </si>
  <si>
    <t>HARIPRASATH S</t>
  </si>
  <si>
    <t>6384773745</t>
  </si>
  <si>
    <t>9788287861</t>
  </si>
  <si>
    <t>VISHWAS PG</t>
  </si>
  <si>
    <t>VISHWAS PG,SIPCOT IT Park,city park layout,Third cross road, Egattur,tamilnadu 603103</t>
  </si>
  <si>
    <t>Nikhil Sanjay Jadhav</t>
  </si>
  <si>
    <t>8788554815</t>
  </si>
  <si>
    <t>9139887959</t>
  </si>
  <si>
    <t>Vishwas PG</t>
  </si>
  <si>
    <t>Vishwas PG, near gents PG and NKS PG, Mamoothiamman Street, Siruseri, Tamil Nadu - 603103</t>
  </si>
  <si>
    <t>Kamesh M</t>
  </si>
  <si>
    <t>9087967724</t>
  </si>
  <si>
    <t>9171202769</t>
  </si>
  <si>
    <t>Vishwas Pg and General Apartments, SIPCOT</t>
  </si>
  <si>
    <t>Vishwas Pg and General Apartments, Third Cross Road, SIPCOT IT Park, city park layout,  Egattur, Tamil Nadu 603103</t>
  </si>
  <si>
    <t>Vishal Malleshappa Inchal</t>
  </si>
  <si>
    <t>8904923852</t>
  </si>
  <si>
    <t>Vishwas Pg Sipcot  IT park</t>
  </si>
  <si>
    <t>shahid shakil mulani</t>
  </si>
  <si>
    <t>9322699025</t>
  </si>
  <si>
    <t>9702290337</t>
  </si>
  <si>
    <t>vishwas professional stay pg egatoor,</t>
  </si>
  <si>
    <t>Plot No 34 B, City Park, Egatoor, near SIPCOT IT Park, Siruseri, Tamil Nadu 603103, India  Siruseri, Tamil Nadu, India</t>
  </si>
  <si>
    <t>B Bharani Kumaran</t>
  </si>
  <si>
    <t>9080460839</t>
  </si>
  <si>
    <t>9787248492</t>
  </si>
  <si>
    <t>Visvashs Mens PG Egatoor, near SIPCOT IT Park, Siruseri</t>
  </si>
  <si>
    <t>Visvashs Mens PG Egatoor, near SIPCOT IT Park, Siruseri, Tamilnadu-603103</t>
  </si>
  <si>
    <t>Pravallika Varikuti</t>
  </si>
  <si>
    <t>6300267629</t>
  </si>
  <si>
    <t>6301227317</t>
  </si>
  <si>
    <t>vyshnavi pg for ladies in OMR, doctor ambedkar street, sipcot, egattur, chengalpattu ,Tamilnadu</t>
  </si>
  <si>
    <t>JEEVA J</t>
  </si>
  <si>
    <t>9655172734</t>
  </si>
  <si>
    <t>8489402103</t>
  </si>
  <si>
    <t>Relative's Residence</t>
  </si>
  <si>
    <t>X667+VPH, Gangai Street, Ram Nagar South, Madipakkam, chennai, Tamil Nadu 600091</t>
  </si>
  <si>
    <t>Kaiveli Bus Stand</t>
  </si>
  <si>
    <t>Bandanadham Nirmala Bala Swamy</t>
  </si>
  <si>
    <t>9441923252</t>
  </si>
  <si>
    <t>7989500737</t>
  </si>
  <si>
    <t>Xiom 16 Mens Pg, Egattur</t>
  </si>
  <si>
    <t>Xiom 16 Mens Pg,7th cross street,phase 3,Omrone, Egattur,chennai, Chengalpattu,603103</t>
  </si>
  <si>
    <t>Prathamesh Ramesh Nagargoje</t>
  </si>
  <si>
    <t>7083417058</t>
  </si>
  <si>
    <t>8600326789</t>
  </si>
  <si>
    <t>XION 16 - Premium mens PG - Branch 1</t>
  </si>
  <si>
    <t>XION 16 - Premium mens PG ,No.116, Second Cross Street, Kazhipattur, Siruseri, Chennai</t>
  </si>
  <si>
    <t>RAJDEEP TARAFDAR</t>
  </si>
  <si>
    <t>9836394737</t>
  </si>
  <si>
    <t>9830970579</t>
  </si>
  <si>
    <t>Xion 16 Gents PG</t>
  </si>
  <si>
    <t>Xion 16 Gents PG, Kalipattur, Tamil Nadu 603103, India</t>
  </si>
  <si>
    <t>Dhanush M</t>
  </si>
  <si>
    <t>8660713368</t>
  </si>
  <si>
    <t>9980962835</t>
  </si>
  <si>
    <t>Xion 16 Mens PG</t>
  </si>
  <si>
    <t xml:space="preserve">City Park Layout, 116 A2, 2nd Cross St, Siruseri, Kalipattur, Tamil Nadu 603103  </t>
  </si>
  <si>
    <t>I came to chennai alone and i have no relatives and im from Bengaluru.</t>
  </si>
  <si>
    <t>Xion 16 mens PG</t>
  </si>
  <si>
    <t>Xion 16 Mens Pg,7th cross street, phase 3, omrone, eggatur, chennai, chengalpattu,Tamilnadu,603103</t>
  </si>
  <si>
    <t xml:space="preserve">Likith G </t>
  </si>
  <si>
    <t>8088269654</t>
  </si>
  <si>
    <t>9448482459</t>
  </si>
  <si>
    <t>Xion 16 mens pg</t>
  </si>
  <si>
    <t>Mahesh K</t>
  </si>
  <si>
    <t>9686237233</t>
  </si>
  <si>
    <t>9731764017</t>
  </si>
  <si>
    <t>Xion 16 Mens PG SIRUSERI SIPCOT</t>
  </si>
  <si>
    <t>Perumal Koil 2nd Street, Thiruporur, Tamil Nadu 600127, Xion 16 Mens PG SIRUSERI SIPCOT</t>
  </si>
  <si>
    <t>Chepuri Shashank</t>
  </si>
  <si>
    <t>8978775870</t>
  </si>
  <si>
    <t>9959344649</t>
  </si>
  <si>
    <t>RANJAN M B</t>
  </si>
  <si>
    <t>6362339484</t>
  </si>
  <si>
    <t>XIONS 16 MENS  PG SIRUSERI</t>
  </si>
  <si>
    <t>XION 16 MENS PG CITY PARK LAYOUT 116 A2, 2nd Cross st siruseri , kalipattur , Tamil Nadu 603103</t>
  </si>
  <si>
    <t>SOHUL SURESH</t>
  </si>
  <si>
    <t>9605296568</t>
  </si>
  <si>
    <t>7012172190</t>
  </si>
  <si>
    <t xml:space="preserve">YASHVITHA GENTS PG </t>
  </si>
  <si>
    <t>YASHVITHA GENTS PG near to sipcot Bus stop, Egattur, CHENNAI, Tamil Nadu 600130</t>
  </si>
  <si>
    <t>Fawath Shaik</t>
  </si>
  <si>
    <t>6305024370</t>
  </si>
  <si>
    <t>7893440625</t>
  </si>
  <si>
    <t>Yashvitha Gents PG , Navallur</t>
  </si>
  <si>
    <t>Yashvitha Gents PG - Navalur - beside KFC</t>
  </si>
  <si>
    <t>Reddipalli Varun Kumar Reddy</t>
  </si>
  <si>
    <t>9353448743</t>
  </si>
  <si>
    <t>9036478486</t>
  </si>
  <si>
    <t>Yashvitha Gents pg, Egattur</t>
  </si>
  <si>
    <t>No 34 Siruseri, near to sipcot Bus stop, Egattur, Chennai, Tamil Nadu 600130</t>
  </si>
  <si>
    <t>Joshua Stephen Shettiyar</t>
  </si>
  <si>
    <t>9372525156</t>
  </si>
  <si>
    <t>9370023872</t>
  </si>
  <si>
    <t>Yashvitha PG</t>
  </si>
  <si>
    <t>No.34 Siruseri, near to SIPCOT Bus stop Egattur, Chennai, TamilNadu 600130</t>
  </si>
  <si>
    <t>Amal Krishna A</t>
  </si>
  <si>
    <t>8089899877</t>
  </si>
  <si>
    <t>9349451394</t>
  </si>
  <si>
    <t>Yasvidha Mens PG, Egattur</t>
  </si>
  <si>
    <t>Yasvidha Mens PG, Egattur, siruseri</t>
  </si>
  <si>
    <t>Sarvesh Sanjay Patil</t>
  </si>
  <si>
    <t>8956248543</t>
  </si>
  <si>
    <t>9423294885</t>
  </si>
  <si>
    <t>Yube 1 greenhouse Ramanyam waterfront No. 37, Mettu Street, Kalipattur, Siruseri, Chennai, Tamil Nadu – 603103</t>
  </si>
  <si>
    <t>Indrajeet Anil Pimpalgaonkar</t>
  </si>
  <si>
    <t>7620711052</t>
  </si>
  <si>
    <t>9421759658</t>
  </si>
  <si>
    <t>Yube 1 Greenhouse, Siruseri</t>
  </si>
  <si>
    <t>Yube1 Greenhouse, 37, Mettu Street, Kalipattur, Siruseri, Tamil Nadu 603103</t>
  </si>
  <si>
    <t>Parag Rajiv Aher</t>
  </si>
  <si>
    <t>8668822600</t>
  </si>
  <si>
    <t>7768025351</t>
  </si>
  <si>
    <t>Yube 1 Stays GreenHouse ,Kalipattur</t>
  </si>
  <si>
    <t>Yube 1 Stays Greenouse , 37, Mettu Street, Kalipattur, Siruseri, Tamil Nadu 603103</t>
  </si>
  <si>
    <t>ACHINTYA MANOJ WARRIER</t>
  </si>
  <si>
    <t>7387498613</t>
  </si>
  <si>
    <t>9371205939</t>
  </si>
  <si>
    <t>Yube1 Greenhouse</t>
  </si>
  <si>
    <t>Block3/3D Yube1 Greenhouse, Siruseri, Chennai</t>
  </si>
  <si>
    <t>Sahil Chandrakant Chirme</t>
  </si>
  <si>
    <t>9096160049</t>
  </si>
  <si>
    <t>9921298112</t>
  </si>
  <si>
    <t>Yube1 Greenhouse , 37, Mettu Street, Kalipattur, Siruseri, Tamil Nadu 603103</t>
  </si>
  <si>
    <t>Ruturaj Tatoba Mahekar</t>
  </si>
  <si>
    <t>7058414103</t>
  </si>
  <si>
    <t>9423825275</t>
  </si>
  <si>
    <t>Yube1 Greenhouse kaipattur</t>
  </si>
  <si>
    <t>37, Mettu Street, Kalipattur, Siruseri, Tamil Nadu 603103</t>
  </si>
  <si>
    <t>Yube1 greenhouse Kalipattur</t>
  </si>
  <si>
    <t>Mohd Jeeshan</t>
  </si>
  <si>
    <t>9520747555</t>
  </si>
  <si>
    <t>6395228520</t>
  </si>
  <si>
    <t>zolo cyan ,paddur</t>
  </si>
  <si>
    <t>zolo cyan ,paduur</t>
  </si>
  <si>
    <t>Shashwath Shankar R</t>
  </si>
  <si>
    <t>8904452525</t>
  </si>
  <si>
    <t>9845176984</t>
  </si>
  <si>
    <t>Zolo Cyan, Padur</t>
  </si>
  <si>
    <t>Zolo Cyan, Moder Layout, Padur, Tamil Nadu 603103</t>
  </si>
  <si>
    <t>Rizwan Khan</t>
  </si>
  <si>
    <t>7830103288</t>
  </si>
  <si>
    <t>9411941796</t>
  </si>
  <si>
    <t>Zolo Cyan, Plot no, 16 to 21, Modern Layout Second Main Road, Ayyappa nagar, Padur, Tamil Nadu 603103</t>
  </si>
  <si>
    <t>Abhishek Gupta</t>
  </si>
  <si>
    <t>6267423593</t>
  </si>
  <si>
    <t>Zolo Mayfield</t>
  </si>
  <si>
    <t>Tvh Ouranya Bay, Rajiv Gandhi Salai , Near Siruseri IT Park, Padur,Chennai, Tamil Nadu 603103</t>
  </si>
  <si>
    <t>Jitesh Singh</t>
  </si>
  <si>
    <t>7310660917</t>
  </si>
  <si>
    <t>7302783732</t>
  </si>
  <si>
    <t>Zolo Mayfield - PG in Padur | Unisex PG</t>
  </si>
  <si>
    <t>Zolo Mayfield - PG in Padur | Unisex PG, Tvh Ouranya Bay, IT Park, Rajiv Gandhi Salai, near Siruseri, Padur, Kalipattur, Tamil Nadu 603103</t>
  </si>
  <si>
    <t>AKASH PATEL</t>
  </si>
  <si>
    <t>9304798257</t>
  </si>
  <si>
    <t>6209867233</t>
  </si>
  <si>
    <t>ZOLO MAYFIELD (TVH OURANYA BAY)</t>
  </si>
  <si>
    <t>ZOLO MAYFIELD (TVH OURANYA BAY) OMR ROAD PADUR OPPOSITE TO UNNITAS HOSPITAL PADUR PIN 603103</t>
  </si>
  <si>
    <t>Nihar Ranjan Sahu</t>
  </si>
  <si>
    <t>7008074491</t>
  </si>
  <si>
    <t>9438402512</t>
  </si>
  <si>
    <t>Zolo Mayfield ,TVH Ouranaya, Padur</t>
  </si>
  <si>
    <t>Zolo Mayfield, TVH ouranaya, Padur</t>
  </si>
  <si>
    <t>Kumar Alok Sharma</t>
  </si>
  <si>
    <t>9523408987</t>
  </si>
  <si>
    <t>8800960797</t>
  </si>
  <si>
    <t>Zolo Mirage</t>
  </si>
  <si>
    <t>Sipcot Bus stand</t>
  </si>
  <si>
    <t>Ashwin Suresh</t>
  </si>
  <si>
    <t>9131815387</t>
  </si>
  <si>
    <t>9303258266</t>
  </si>
  <si>
    <t>Farm grove, 374-A, 13th street, Srinivasa Nagar, Siruseri IT park, behind siruseri IT park bus stand, Siruseri, Tamil Nadu 603103</t>
  </si>
  <si>
    <t>Nikhil Kumar</t>
  </si>
  <si>
    <t>6207530761</t>
  </si>
  <si>
    <t>9939375792</t>
  </si>
  <si>
    <t xml:space="preserve">Plot no. 374-A ,13th street, Farm grove, Srinivasan nagar , Sipcot Siruseri, Chennai, Tamil Nadu 603103  </t>
  </si>
  <si>
    <t>Aditya Kumar Panigrahy</t>
  </si>
  <si>
    <t>8457960757</t>
  </si>
  <si>
    <t>8249774793</t>
  </si>
  <si>
    <t>Zolo Mirage, SIPCOT Siruseri</t>
  </si>
  <si>
    <t>Plot No. 374-A, 13th Street, Farm Grove, Srinivasan Nagar, SIPCOT Siruseri, Chennai, Tamil Nadu 603103</t>
  </si>
  <si>
    <t>Gurudatta Heroor</t>
  </si>
  <si>
    <t>7259888059</t>
  </si>
  <si>
    <t>9886358981</t>
  </si>
  <si>
    <t xml:space="preserve">Zolo nook </t>
  </si>
  <si>
    <t>Lal bahadur shashtri street, laxmi nagar, sholinganallur.</t>
  </si>
  <si>
    <t>Zolo nook, sholinganallur</t>
  </si>
  <si>
    <t>Lal bahadur shashtri street, laxmi nagar extension, sholinganallur.</t>
  </si>
  <si>
    <t>Ajith Ganesan V</t>
  </si>
  <si>
    <t>7200288162</t>
  </si>
  <si>
    <t>7358186996</t>
  </si>
  <si>
    <t>1/27,S4, Malaiyappa Mudhali St, Kelambakkam</t>
  </si>
  <si>
    <t>1/27,S4, Malaiyappa Mudhali St,Opp to B.K.M School, Kelambakkam, Chengalpattu Dt, Tamilnadu-603013</t>
  </si>
  <si>
    <t>Harismitha Srinivasan</t>
  </si>
  <si>
    <t>7305377767</t>
  </si>
  <si>
    <t>9176133685</t>
  </si>
  <si>
    <t xml:space="preserve"> Rise apartments by civil cares, BBRoad, Chennai - 600011</t>
  </si>
  <si>
    <t>Perambur bus depot</t>
  </si>
  <si>
    <t>102</t>
  </si>
  <si>
    <t>111</t>
  </si>
  <si>
    <t>Revised - Tentative Release Date</t>
  </si>
  <si>
    <t>Tentative/Actual Release Month</t>
  </si>
  <si>
    <t>Jui Sachin Shaha</t>
  </si>
  <si>
    <t>FTE</t>
  </si>
  <si>
    <t>Chennai</t>
  </si>
  <si>
    <t>EPS26OSPAT004</t>
  </si>
  <si>
    <t>Paul Franklin</t>
  </si>
  <si>
    <t>Training - ON Hold</t>
  </si>
  <si>
    <t/>
  </si>
  <si>
    <t>Aman LNU</t>
  </si>
  <si>
    <t>CSD</t>
  </si>
  <si>
    <t>INTFE26FE002</t>
  </si>
  <si>
    <t>Muhil Indrajith</t>
  </si>
  <si>
    <t>In-Training</t>
  </si>
  <si>
    <t>Surya Pratap Singh</t>
  </si>
  <si>
    <t>INTFE26FE001</t>
  </si>
  <si>
    <t>ADM26ISMO010</t>
  </si>
  <si>
    <t>Thomas Naveen. J</t>
  </si>
  <si>
    <t>Adnan Ahemad Navidoddin Sayyad</t>
  </si>
  <si>
    <t>Kunal Ashok Choure</t>
  </si>
  <si>
    <t>Sushant Sanjay Ambekar</t>
  </si>
  <si>
    <t>Nandhitha B</t>
  </si>
  <si>
    <t>Sivasakthi S</t>
  </si>
  <si>
    <t>CS26CS008</t>
  </si>
  <si>
    <t>QEA26QEPT023</t>
  </si>
  <si>
    <t>Naman,Modi</t>
  </si>
  <si>
    <t>Chaitanya,Prakash Ghatbandhe</t>
  </si>
  <si>
    <t>Akash Kumar</t>
  </si>
  <si>
    <t>ISG26JSAAT002</t>
  </si>
  <si>
    <t>Ashiya Begam S</t>
  </si>
  <si>
    <t>In-Training-Remedial</t>
  </si>
  <si>
    <t>ADM26MF009</t>
  </si>
  <si>
    <t>Nithyakalyani Muthukumar</t>
  </si>
  <si>
    <t>Visali Kuppan</t>
  </si>
  <si>
    <t>Sanjay Kumar E</t>
  </si>
  <si>
    <t>Gopalakrishna Danaboina</t>
  </si>
  <si>
    <t>Sourav Sikdar</t>
  </si>
  <si>
    <t>Tamilvanan Karthikeyan</t>
  </si>
  <si>
    <t>CIS26MCPT010</t>
  </si>
  <si>
    <t>Chinmayi H P</t>
  </si>
  <si>
    <t>Amol Bhujangrao Awalod</t>
  </si>
  <si>
    <t>Sameerullah Shaik</t>
  </si>
  <si>
    <t>Kottamasu Sai Lakshmi Gowthami</t>
  </si>
  <si>
    <t>Vaibhav Nivrutti Subhash Dhawale</t>
  </si>
  <si>
    <t>Suraj Kumar Yadav</t>
  </si>
  <si>
    <t>Mohamed Yhahiya Hidayathulla</t>
  </si>
  <si>
    <t>Srivarshan LNU</t>
  </si>
  <si>
    <t>Sai Machetti</t>
  </si>
  <si>
    <t>Harshavarthini S</t>
  </si>
  <si>
    <t>CIS26MCPT012</t>
  </si>
  <si>
    <t>Sharukhan Yasin</t>
  </si>
  <si>
    <t>CIS26MCPT011</t>
  </si>
  <si>
    <t>Taher Samir Kazi</t>
  </si>
  <si>
    <t>Monisha M</t>
  </si>
  <si>
    <t>Hariharan K</t>
  </si>
  <si>
    <t>Kavin S</t>
  </si>
  <si>
    <t>Saranya M P</t>
  </si>
  <si>
    <t>Ajita M</t>
  </si>
  <si>
    <t>Rajeshwari Sundarraj</t>
  </si>
  <si>
    <t>Jameela Safrin</t>
  </si>
  <si>
    <t>Vanapalli Parmila</t>
  </si>
  <si>
    <t>Nekkala Uma</t>
  </si>
  <si>
    <t>Sujal Bhushanrao Karne</t>
  </si>
  <si>
    <t>Lahari Anthakapalli</t>
  </si>
  <si>
    <t>Gandham Srujan</t>
  </si>
  <si>
    <t>Mithila K S</t>
  </si>
  <si>
    <t>Nisath MK</t>
  </si>
  <si>
    <t>Mohammed Azarudeen Abdul Rahman</t>
  </si>
  <si>
    <t>Thella Sushma</t>
  </si>
  <si>
    <t>Senthil Kumar V</t>
  </si>
  <si>
    <t>Yuva Naveen Sai Ratnakar Veeramalla</t>
  </si>
  <si>
    <t>Gonehal Matada Akash Raj</t>
  </si>
  <si>
    <t>CIS26MW001</t>
  </si>
  <si>
    <t>CIS26NET003</t>
  </si>
  <si>
    <t>Rupendra P</t>
  </si>
  <si>
    <t>CIS26DCO002</t>
  </si>
  <si>
    <t>Yuvasree Thiruvengadam</t>
  </si>
  <si>
    <t>Chakala Sai Sindhu</t>
  </si>
  <si>
    <t>CIS26NET004</t>
  </si>
  <si>
    <t>Mani Shankar Swaraj</t>
  </si>
  <si>
    <t>Ponnathota Charan Vardhan Reddy</t>
  </si>
  <si>
    <t>Karamalla Shareefa</t>
  </si>
  <si>
    <t>Bhavya Sree Vitta</t>
  </si>
  <si>
    <t>Sai Bhavithaa Sree Neeli</t>
  </si>
  <si>
    <t>Akash Kumar Verma</t>
  </si>
  <si>
    <t>Shreya Sarvan Masanam</t>
  </si>
  <si>
    <t>Ritik Katiyar</t>
  </si>
  <si>
    <t>B Akshitha</t>
  </si>
  <si>
    <t>Manik LNU</t>
  </si>
  <si>
    <t>Dinesh Suriya N</t>
  </si>
  <si>
    <t>Veluri Uma Bharathi</t>
  </si>
  <si>
    <t>CIS26SB001</t>
  </si>
  <si>
    <t>Disha Shivraj Patil</t>
  </si>
  <si>
    <t>Vaibhav Navnath Gavli</t>
  </si>
  <si>
    <t>Priyanka Lnu</t>
  </si>
  <si>
    <t>Kanigir Sai Kiran</t>
  </si>
  <si>
    <t>Kuruba Siddartha</t>
  </si>
  <si>
    <t>Harini Cherala</t>
  </si>
  <si>
    <t>Mukthapuram Vyshnavi</t>
  </si>
  <si>
    <t>CIS26DWP021</t>
  </si>
  <si>
    <t>CIS26UNIX003</t>
  </si>
  <si>
    <t>CIS26UNIX004</t>
  </si>
  <si>
    <t>CIS26MCPT013</t>
  </si>
  <si>
    <t>Nasina Hemanth Hemanth Kumar</t>
  </si>
  <si>
    <t>Anitha A</t>
  </si>
  <si>
    <t>Kannan V</t>
  </si>
  <si>
    <t>Shravani Dasari</t>
  </si>
  <si>
    <t>Harini Prakash</t>
  </si>
  <si>
    <t>Hajara Kamila M</t>
  </si>
  <si>
    <t>Venkatesh B</t>
  </si>
  <si>
    <t>Akash S Patil</t>
  </si>
  <si>
    <t>Udagundla Bala Ranganath</t>
  </si>
  <si>
    <t>Krish Agrawal</t>
  </si>
  <si>
    <t>Eshank Pal</t>
  </si>
  <si>
    <t>Botta Venu</t>
  </si>
  <si>
    <t>Dumpala Vamsidhar Reddy</t>
  </si>
  <si>
    <t>Venkatesh Prakash Dasar</t>
  </si>
  <si>
    <t>Prince LNU</t>
  </si>
  <si>
    <t>CM26SFDC006</t>
  </si>
  <si>
    <t>Vujiri Sandeep</t>
  </si>
  <si>
    <t>EPS26WD004</t>
  </si>
  <si>
    <t>Ajith Ganesan</t>
  </si>
  <si>
    <t>HPC26DN005</t>
  </si>
  <si>
    <t>Shwon Ghosh</t>
  </si>
  <si>
    <t>Rahul Kumar</t>
  </si>
  <si>
    <t>CS26CS007</t>
  </si>
  <si>
    <t>Prathina Arunachalam</t>
  </si>
  <si>
    <t>Kanbuddi Gouri Shiva Shankar Reddy</t>
  </si>
  <si>
    <t>Yugank Singh</t>
  </si>
  <si>
    <t>Mehran Khan</t>
  </si>
  <si>
    <t>PG26JFR003</t>
  </si>
  <si>
    <t>Atharv Santosh Kulkarni</t>
  </si>
  <si>
    <t>Prajwal Digambar Kute</t>
  </si>
  <si>
    <t>Sanjeev Pal</t>
  </si>
  <si>
    <t>Prathamesh Rajkumar Salunke</t>
  </si>
  <si>
    <t>Sahir Abidali Inamadar</t>
  </si>
  <si>
    <t>Abir Sinha</t>
  </si>
  <si>
    <t>SNBG26SN003</t>
  </si>
  <si>
    <t>SNBG26SN004</t>
  </si>
  <si>
    <t>CIS26SN001</t>
  </si>
  <si>
    <t>Mulukanuri Vishva Kiran Kumar</t>
  </si>
  <si>
    <t>SNBG26SN002</t>
  </si>
  <si>
    <t>Srimathidevi Palanisamy</t>
  </si>
  <si>
    <t>Santhiya Subramaniam</t>
  </si>
  <si>
    <t>Hithaishi Yenupuri</t>
  </si>
  <si>
    <t>Kalla Rama Sri Sai Sandeep</t>
  </si>
  <si>
    <t>Vibhitha V</t>
  </si>
  <si>
    <t>Kandabhattu S S V K Satish Raju</t>
  </si>
  <si>
    <t>Ambati Bhavyasri</t>
  </si>
  <si>
    <t>Illapu Mehar Arun Teja</t>
  </si>
  <si>
    <t>Repaka V D S Subha Pavan</t>
  </si>
  <si>
    <t>Vathumilli Lakshmi Sri Sai Ganesh</t>
  </si>
  <si>
    <t>Krishnakumar N</t>
  </si>
  <si>
    <t>Budigem Dhashvanth Sai</t>
  </si>
  <si>
    <t>Chaitanya Surya Sai Deepthi Ummidi</t>
  </si>
  <si>
    <t>Naveenkumar M</t>
  </si>
  <si>
    <t>Salugari Manoj</t>
  </si>
  <si>
    <t>Sri Ram Sankar T S</t>
  </si>
  <si>
    <t>Atmakuri Guru S S V S Murali Krishna</t>
  </si>
  <si>
    <t>Srihari Rao Bondugulapati</t>
  </si>
  <si>
    <t>Shivashankar Sankuri</t>
  </si>
  <si>
    <t>Seemakurti Chandana Priya</t>
  </si>
  <si>
    <t>Srivarsha Bhusarapu</t>
  </si>
  <si>
    <t>Sai Preethi Bijjala</t>
  </si>
  <si>
    <t>Suhasini Shivaji Chavan</t>
  </si>
  <si>
    <t>Amisha Nath</t>
  </si>
  <si>
    <t>Likith G</t>
  </si>
  <si>
    <t>Sreenand N</t>
  </si>
  <si>
    <t>Narayan Nayak</t>
  </si>
  <si>
    <t>Megha Krishnaji Salunke</t>
  </si>
  <si>
    <t>Ranjan M B</t>
  </si>
  <si>
    <t>Kothem Arvind Sai Teja</t>
  </si>
  <si>
    <t>CS26CS006</t>
  </si>
  <si>
    <t>Perumalla Harshitha</t>
  </si>
  <si>
    <t>Vayilapalli Dileep</t>
  </si>
  <si>
    <t>Veera Sai Sandeep</t>
  </si>
  <si>
    <t>Pilla Pavan</t>
  </si>
  <si>
    <t>Vigneshwaran LNU</t>
  </si>
  <si>
    <t>Manoj Chittiri</t>
  </si>
  <si>
    <t>Buela Sindhu Thirumalasetty</t>
  </si>
  <si>
    <t>Ishan Jayant Walchale</t>
  </si>
  <si>
    <t>Raveena Pm</t>
  </si>
  <si>
    <t>Pranav A S</t>
  </si>
  <si>
    <t>ADM26MF011</t>
  </si>
  <si>
    <t>Kalyan Ramu Rasamsetti</t>
  </si>
  <si>
    <t>ADM26DNAT003</t>
  </si>
  <si>
    <t>Uday Janardhan Shaharwale</t>
  </si>
  <si>
    <t>AIA26DSAT004</t>
  </si>
  <si>
    <t>Anisha Kumari</t>
  </si>
  <si>
    <t>Ms Supreeth</t>
  </si>
  <si>
    <t>Kadiyala Mounika</t>
  </si>
  <si>
    <t>Mohammed Shabrin</t>
  </si>
  <si>
    <t>ADM26MF010</t>
  </si>
  <si>
    <t>Kartik Arun Wagh</t>
  </si>
  <si>
    <t>Lenin Uthup</t>
  </si>
  <si>
    <t>Pasupuleti Vijayalakshmi</t>
  </si>
  <si>
    <t>Bobbili Arsha Tanujasri</t>
  </si>
  <si>
    <t>Akshatha LNU</t>
  </si>
  <si>
    <t>Nataraja Kn</t>
  </si>
  <si>
    <t>Leela Amrutha Eeri</t>
  </si>
  <si>
    <t>Parupalli Lavanya</t>
  </si>
  <si>
    <t>Akash Sharma</t>
  </si>
  <si>
    <t>Dangeti Vidya Madhuri</t>
  </si>
  <si>
    <t>Shaik Usman</t>
  </si>
  <si>
    <t>Shaik Muneera Begum</t>
  </si>
  <si>
    <t>Sai Tharun Yerravalli</t>
  </si>
  <si>
    <t>Kavya Nagulapalli</t>
  </si>
  <si>
    <t>Sameer Ahmad Patnool</t>
  </si>
  <si>
    <t>Pooja Neelakanthagouda Patil</t>
  </si>
  <si>
    <t>Manish Shrikant Nucche</t>
  </si>
  <si>
    <t>Yedida Sai Venkataeswar</t>
  </si>
  <si>
    <t>Swapna Chandrashekar Hegade</t>
  </si>
  <si>
    <t>Vedashree M J</t>
  </si>
  <si>
    <t>Yash Kailas Khairnar</t>
  </si>
  <si>
    <t>Ashwin B S</t>
  </si>
  <si>
    <t>Prachi Soni</t>
  </si>
  <si>
    <t>Srirangam Baby Iswarya</t>
  </si>
  <si>
    <t>Anjali Sikandar Bhande</t>
  </si>
  <si>
    <t>Impana N</t>
  </si>
  <si>
    <t>Amrutha N</t>
  </si>
  <si>
    <t>Shree Varkhedi</t>
  </si>
  <si>
    <t>Anet Rose Shaju</t>
  </si>
  <si>
    <t>Doradla Shyama Jyothi</t>
  </si>
  <si>
    <t>QEA26SD001</t>
  </si>
  <si>
    <t>Ajiesya D P</t>
  </si>
  <si>
    <t>Akash Patel</t>
  </si>
  <si>
    <t>QEA26NFTPA002</t>
  </si>
  <si>
    <t>Lourdhu Selvin Raj X</t>
  </si>
  <si>
    <t>QEA26NFTPA001</t>
  </si>
  <si>
    <t>QEA26DS001</t>
  </si>
  <si>
    <t>Indhumathi M</t>
  </si>
  <si>
    <t>Mithun Kannan</t>
  </si>
  <si>
    <t>Harii Kumaran V</t>
  </si>
  <si>
    <t>Aryan LNU</t>
  </si>
  <si>
    <t>Meda Venkata Lakshmi Divya</t>
  </si>
  <si>
    <t>Nanditha Yenugadhati</t>
  </si>
  <si>
    <t>Harshit Pandey</t>
  </si>
  <si>
    <t>Kamal Kishore S</t>
  </si>
  <si>
    <t>V Amarnath</t>
  </si>
  <si>
    <t>Pratik Vasant Gunjalkar</t>
  </si>
  <si>
    <t>Nakka Divya Tejaswi</t>
  </si>
  <si>
    <t>Jai Chand Nelakuditi</t>
  </si>
  <si>
    <t>Akhil Kompally</t>
  </si>
  <si>
    <t>CIS26MCPT017</t>
  </si>
  <si>
    <t>Deva Murugan</t>
  </si>
  <si>
    <t>KOMMALAPATI SRI Chandra</t>
  </si>
  <si>
    <t>QEA26ST001</t>
  </si>
  <si>
    <t>Angel Maria Faustina Gomez</t>
  </si>
  <si>
    <t>S  Kavin</t>
  </si>
  <si>
    <t>JAYAWARDHINI  Vadivelu</t>
  </si>
  <si>
    <t>CHURCHILL  L</t>
  </si>
  <si>
    <t>K  Haresh</t>
  </si>
  <si>
    <t>ALLURI  Pooja</t>
  </si>
  <si>
    <t>SHAIK  Imran</t>
  </si>
  <si>
    <t>HARSHITH  Raparthi</t>
  </si>
  <si>
    <t>DONTHI SAMANVITHA Reddy</t>
  </si>
  <si>
    <t>Badam  Navya Sri Bala</t>
  </si>
  <si>
    <t>PRIYANKA  Pandey</t>
  </si>
  <si>
    <t>CHAGANTI  Chaithanya</t>
  </si>
  <si>
    <t>CS26CS009</t>
  </si>
  <si>
    <t>PG26JFR004</t>
  </si>
  <si>
    <t>Dhivakar LNU</t>
  </si>
  <si>
    <t>Aishwarya Shivappa Singaragoppa</t>
  </si>
  <si>
    <t>Shanmugapriya Lnu</t>
  </si>
  <si>
    <t>Parvez Ibrar Ahmed Khan</t>
  </si>
  <si>
    <t>CS26CS010</t>
  </si>
  <si>
    <t>Irfana Athiba M</t>
  </si>
  <si>
    <t>Vaka Kalyani</t>
  </si>
  <si>
    <t>Police Niranjan Reddy</t>
  </si>
  <si>
    <t>Uzma Jabeen Syed Raza Ali</t>
  </si>
  <si>
    <t>Sivaramalingam Lnu</t>
  </si>
  <si>
    <t>Hanush Kumar M</t>
  </si>
  <si>
    <t>Subrahmanya Lnu</t>
  </si>
  <si>
    <t>Manu T V</t>
  </si>
  <si>
    <t>Bhaskara Subrahmanya Jogesh Dhulipudi</t>
  </si>
  <si>
    <t>Malyala Sathwik</t>
  </si>
  <si>
    <t>Anuroop LNU</t>
  </si>
  <si>
    <t>Mittapally Adithya</t>
  </si>
  <si>
    <t>Kirubaharan D</t>
  </si>
  <si>
    <t>Vamsi Charan S P</t>
  </si>
  <si>
    <t>ADM26MF012</t>
  </si>
  <si>
    <t>Sangeetha Sivalingam</t>
  </si>
  <si>
    <t>Saurav Singh</t>
  </si>
  <si>
    <t>Santosh Basappa Tanvashi</t>
  </si>
  <si>
    <t>IOA26RPA005</t>
  </si>
  <si>
    <t>Sanghamitra Dash</t>
  </si>
  <si>
    <t>Sabarinathan Anbusezhiyan</t>
  </si>
  <si>
    <t>ADM26DFSA007</t>
  </si>
  <si>
    <t>Thalluri Lahari</t>
  </si>
  <si>
    <t>Arumithran LNU</t>
  </si>
  <si>
    <t>QEA26QEPT024</t>
  </si>
  <si>
    <t>Prashant Saniv Savle</t>
  </si>
  <si>
    <t>Samrudhee Popat Karkande</t>
  </si>
  <si>
    <t>Sneha Yadav</t>
  </si>
  <si>
    <t>Shruti Jagannath Shinde</t>
  </si>
  <si>
    <t>Koduri Sai Manas Harsha Vardhan</t>
  </si>
  <si>
    <t>Kajal Sambhaji Ligade</t>
  </si>
  <si>
    <t>Sai Naga Veera Venkataratna Syam Vinay Babu Saride</t>
  </si>
  <si>
    <t>Anirudh Gopal Magnur</t>
  </si>
  <si>
    <t>Anushya K</t>
  </si>
  <si>
    <t>Shobha S</t>
  </si>
  <si>
    <t>Debatri Pal</t>
  </si>
  <si>
    <t>Chikkam Chandra Srinivas</t>
  </si>
  <si>
    <t>Pratiksha Bhagavanrao Pawar</t>
  </si>
  <si>
    <t>Pradnya Dnyaneshwar More</t>
  </si>
  <si>
    <t>Varshaa LNU</t>
  </si>
  <si>
    <t>M Alagu Divya Shree</t>
  </si>
  <si>
    <t>CIS26DWP023</t>
  </si>
  <si>
    <t>Geebiga B</t>
  </si>
  <si>
    <t>Yennamsetti Ramya Keerthi</t>
  </si>
  <si>
    <t>Vishal Gangadhar Darkunde</t>
  </si>
  <si>
    <t>Kadavakallu Srivani</t>
  </si>
  <si>
    <t>Munmun Kumari</t>
  </si>
  <si>
    <t>Pravinkumar S</t>
  </si>
  <si>
    <t>Sai Manisha Veliginti</t>
  </si>
  <si>
    <t>Dulam Jaya Surya</t>
  </si>
  <si>
    <t>Jami Sowjanya</t>
  </si>
  <si>
    <t>Siddu Vishnu Priya</t>
  </si>
  <si>
    <t>Jnanendu Karak</t>
  </si>
  <si>
    <t>EPS26WD005</t>
  </si>
  <si>
    <t>Vishnupriya Dakshnamurthy</t>
  </si>
  <si>
    <t>OM Arun Mali</t>
  </si>
  <si>
    <t>Rakshitha R</t>
  </si>
  <si>
    <t>EPS26WD006</t>
  </si>
  <si>
    <t>Tejas Sanjay Bagul</t>
  </si>
  <si>
    <t>Mohammed Shanid Sulthan</t>
  </si>
  <si>
    <t>MD Faiz Abdul Wahid Yadgir</t>
  </si>
  <si>
    <t>CIS26DWP024</t>
  </si>
  <si>
    <t>Lakavath Udhaya Bhavana</t>
  </si>
  <si>
    <t>Pranavbalaji P</t>
  </si>
  <si>
    <t>Himanshu Singh Sengar</t>
  </si>
  <si>
    <t>Thatikonda Vigneshwar</t>
  </si>
  <si>
    <t>QEA26JP001</t>
  </si>
  <si>
    <t>QEA26JP002</t>
  </si>
  <si>
    <t>Sumitha S</t>
  </si>
  <si>
    <t>Ashwin Sundar V S</t>
  </si>
  <si>
    <t>Janarthanan T</t>
  </si>
  <si>
    <t>CIS26MCPT021</t>
  </si>
  <si>
    <t>Sivapavani Vara</t>
  </si>
  <si>
    <t>CIS26MCPT025</t>
  </si>
  <si>
    <t>CIS26MCPT024</t>
  </si>
  <si>
    <t>CIS26MCPT026</t>
  </si>
  <si>
    <t>CIS26MCPT023</t>
  </si>
  <si>
    <t>CIS26MCPT022</t>
  </si>
  <si>
    <t>Deepika S</t>
  </si>
  <si>
    <t>Anurag Pravinrao Deshmukh</t>
  </si>
  <si>
    <t>Pranav Sunil Sabale</t>
  </si>
  <si>
    <t>Tushar Marigondanahalli Mallikarjuna</t>
  </si>
  <si>
    <t>Giriaswin R</t>
  </si>
  <si>
    <t>A Vishnu Prakash Reddy</t>
  </si>
  <si>
    <t>Kolluru Vikki</t>
  </si>
  <si>
    <t>Samineni Harish Kumar</t>
  </si>
  <si>
    <t>Revati Sree P</t>
  </si>
  <si>
    <t>Madhyanapu Anand Sri Satya Sai</t>
  </si>
  <si>
    <t>Sumitha Prakash</t>
  </si>
  <si>
    <t>Rajdeep Tarafdar</t>
  </si>
  <si>
    <t>Jyothi Swaroop J</t>
  </si>
  <si>
    <t>Avinash Kumar Verma</t>
  </si>
  <si>
    <t>Mehan K</t>
  </si>
  <si>
    <t>Posa Venkatesh</t>
  </si>
  <si>
    <t>Manoj Mukhiya</t>
  </si>
  <si>
    <t>Anushka Shankarrao Shinde</t>
  </si>
  <si>
    <t>Kandula Siva Pratap</t>
  </si>
  <si>
    <t>Malla Babi Durga Jogiraju</t>
  </si>
  <si>
    <t>Manikantareddy Muppidi</t>
  </si>
  <si>
    <t>Tuhin Saha</t>
  </si>
  <si>
    <t>Sadanand Kumbar</t>
  </si>
  <si>
    <t>Sohul Suresh</t>
  </si>
  <si>
    <t>Vishwa Peniel J</t>
  </si>
  <si>
    <t>Sagar Chandrashekhar Saner</t>
  </si>
  <si>
    <t>Pooja E</t>
  </si>
  <si>
    <t>Santhosh Javalagere Talepalli</t>
  </si>
  <si>
    <t>Sudharsanan V</t>
  </si>
  <si>
    <t>EPS26SAP031</t>
  </si>
  <si>
    <t>Akashraj R</t>
  </si>
  <si>
    <t>Kethan Hunasavalli Shivakumar</t>
  </si>
  <si>
    <t>CIS26AZ001</t>
  </si>
  <si>
    <t>EPS26SAP033</t>
  </si>
  <si>
    <t>EPS26SAP034</t>
  </si>
  <si>
    <t>Simma Jyotsna</t>
  </si>
  <si>
    <t>M N K Shankar Dasari</t>
  </si>
  <si>
    <t>Nusum Srilakshmi Lavanya</t>
  </si>
  <si>
    <t>Sanikommu Akshith Reddy</t>
  </si>
  <si>
    <t>Priyadharshini G K</t>
  </si>
  <si>
    <t>Vedika Pankaj Toke</t>
  </si>
  <si>
    <t>Malla Mounika Krishna</t>
  </si>
  <si>
    <t>Sirigineedi Geetha Sushma</t>
  </si>
  <si>
    <t>Abhishek Appasaheb Salunke</t>
  </si>
  <si>
    <t>Riddhi Rajesh Harne</t>
  </si>
  <si>
    <t>Harshavardhan Murala</t>
  </si>
  <si>
    <t>Mulla Sai Nadha Swamy</t>
  </si>
  <si>
    <t>CIS26DWP026</t>
  </si>
  <si>
    <t>Shunmugasundari A</t>
  </si>
  <si>
    <t>EPS26OSP010</t>
  </si>
  <si>
    <t>EPS26OSPPRO001</t>
  </si>
  <si>
    <t>Akanksha Konakandla</t>
  </si>
  <si>
    <t>Ujjwal Mishra</t>
  </si>
  <si>
    <t>Vankayala Manish</t>
  </si>
  <si>
    <t>Adawet Rath</t>
  </si>
  <si>
    <t>Vishnu Mahendran</t>
  </si>
  <si>
    <t>Beeram Lakshmi Samatha Reddy</t>
  </si>
  <si>
    <t>Maneesha S A</t>
  </si>
  <si>
    <t>Vicky Gupta</t>
  </si>
  <si>
    <t>Lipika C</t>
  </si>
  <si>
    <t>Bade Shyam Pavan Kumar</t>
  </si>
  <si>
    <t>CIS26DWP030</t>
  </si>
  <si>
    <t>Prokriti Biswas</t>
  </si>
  <si>
    <t>KV Sanjay Ragesh</t>
  </si>
  <si>
    <t>Kollati Suryanarayana Murthy</t>
  </si>
  <si>
    <t>EPS26SAP036</t>
  </si>
  <si>
    <t>EPS26SAP037</t>
  </si>
  <si>
    <t>CIS26AT007</t>
  </si>
  <si>
    <t>Ashish Sarki</t>
  </si>
  <si>
    <t>Hari Krishnan M</t>
  </si>
  <si>
    <t>Muthumula Vaishnavi Reddy</t>
  </si>
  <si>
    <t>Srikrithi S</t>
  </si>
  <si>
    <t>Yarnagula Iswarya Lakshmi</t>
  </si>
  <si>
    <t>Gayathri J</t>
  </si>
  <si>
    <t>Shreenidhi Hariprasad</t>
  </si>
  <si>
    <t>Keerthana Shree M U</t>
  </si>
  <si>
    <t>Prahana GV</t>
  </si>
  <si>
    <t>Madhangi LNU</t>
  </si>
  <si>
    <t>Bhumika N</t>
  </si>
  <si>
    <t>Madhur Kumar Upadhyay</t>
  </si>
  <si>
    <t>Talluri Ajay Kumar</t>
  </si>
  <si>
    <t>Sherin Infanta Jemimma A</t>
  </si>
  <si>
    <t>Intern</t>
  </si>
  <si>
    <t>OM Prakash Kumar</t>
  </si>
  <si>
    <t>Ajay Sharma Selvam</t>
  </si>
  <si>
    <t>Bhavan Shankar M</t>
  </si>
  <si>
    <t>Harsha Sri Karthikeya Thumuluri</t>
  </si>
  <si>
    <t>Balavinayak Balasubramanian</t>
  </si>
  <si>
    <t>CS26CS012</t>
  </si>
  <si>
    <t>EPS26OSP011</t>
  </si>
  <si>
    <t>CS26CS011</t>
  </si>
  <si>
    <t>Rahul Raj R</t>
  </si>
  <si>
    <t>Prasanth LNU</t>
  </si>
  <si>
    <t>Shahid Shakil Mulani</t>
  </si>
  <si>
    <t>Sobanapriya S</t>
  </si>
  <si>
    <t>Jathin Kumar Sahu</t>
  </si>
  <si>
    <t>Omkar Navnath Bhagat</t>
  </si>
  <si>
    <t>Achintya Manoj Warrier</t>
  </si>
  <si>
    <t>Saurabh Jaiswal</t>
  </si>
  <si>
    <t>Daksina Veera Rohit Muthukumar</t>
  </si>
  <si>
    <t>Yudhister Singh</t>
  </si>
  <si>
    <t>S Soundarajan</t>
  </si>
  <si>
    <t>M Madhan</t>
  </si>
  <si>
    <t>FE26FE001</t>
  </si>
  <si>
    <t>Durga R</t>
  </si>
  <si>
    <t>Sai Suryaa Narayan A M</t>
  </si>
  <si>
    <t>MD Tabrez Shamim</t>
  </si>
  <si>
    <t>Hani S</t>
  </si>
  <si>
    <t>Ravindhar Byaram</t>
  </si>
  <si>
    <t>Nanditha D B</t>
  </si>
  <si>
    <t>Sakthi Sri Devi G</t>
  </si>
  <si>
    <t>Udaya Teja Narasani</t>
  </si>
  <si>
    <t>CIS26DWP032</t>
  </si>
  <si>
    <t>Aiswarya A Kumar</t>
  </si>
  <si>
    <t>CIS26MBG007</t>
  </si>
  <si>
    <t>Bellamkonda Srilatha</t>
  </si>
  <si>
    <t>Muskaan Fatima</t>
  </si>
  <si>
    <t>CIS26MBG006</t>
  </si>
  <si>
    <t>CIS26MBG005</t>
  </si>
  <si>
    <t>IOT26CSJ002</t>
  </si>
  <si>
    <t>CIS26SN002</t>
  </si>
  <si>
    <t>Mokshith Billakanti</t>
  </si>
  <si>
    <t>Sripada V P S D Gayathri</t>
  </si>
  <si>
    <t>Ikkurthi Mahitha</t>
  </si>
  <si>
    <t>CIS26MBG003</t>
  </si>
  <si>
    <t>CIS26MBG004</t>
  </si>
  <si>
    <t>ADM27DFSA001</t>
  </si>
  <si>
    <t>Shreayaa LNU</t>
  </si>
  <si>
    <t>Sunduru Jahnavi</t>
  </si>
  <si>
    <t>CIS26AT008</t>
  </si>
  <si>
    <t>Somana Sindhu Lahari</t>
  </si>
  <si>
    <t>Vishalakshi Sudhakar Muthulakshmi</t>
  </si>
  <si>
    <t>Pavul Chinnappan D</t>
  </si>
  <si>
    <t>Dhinesh Kannan</t>
  </si>
  <si>
    <t>Manendra Mallakuppam</t>
  </si>
  <si>
    <t>Padmapriya R</t>
  </si>
  <si>
    <t>Mamidipally Keerthi Reddy</t>
  </si>
  <si>
    <t>Jaldu Kavya Sree Lakshmi</t>
  </si>
  <si>
    <t>Veerla Hanumath Kumar</t>
  </si>
  <si>
    <t>Pravallika Kintada</t>
  </si>
  <si>
    <t>Sarva Siva Sai Bhaskar</t>
  </si>
  <si>
    <t>Borra Charan Vamsi</t>
  </si>
  <si>
    <t>Yerragundu Jagadeeswar Reddy</t>
  </si>
  <si>
    <t>Koyyana Sri Raja Rajeswari</t>
  </si>
  <si>
    <t>Chinta Prudhvi Sai Raj</t>
  </si>
  <si>
    <t>Vallem Venkata Vaishnavi</t>
  </si>
  <si>
    <t>Harshitha Kandula</t>
  </si>
  <si>
    <t>Sriman Narayana Mandala</t>
  </si>
  <si>
    <t>Vatsavayi Mahendra Varma</t>
  </si>
  <si>
    <t>Parvatham Loosi</t>
  </si>
  <si>
    <t>Seelam Asha</t>
  </si>
  <si>
    <t>Appalabhaktula Kumar Naga Abhinav Shyam</t>
  </si>
  <si>
    <t>Lok Naga Durga Sai Manikanta Nagamalla</t>
  </si>
  <si>
    <t>Komali Raviteja</t>
  </si>
  <si>
    <t>Hemaarthi G</t>
  </si>
  <si>
    <t>Yuvaraj LNU</t>
  </si>
  <si>
    <t>Kema Naga Sai Sri Charitha</t>
  </si>
  <si>
    <t>Shaik Shahina</t>
  </si>
  <si>
    <t>Dannani Bhavani Prasanth</t>
  </si>
  <si>
    <t>Sankrishna Kuchana</t>
  </si>
  <si>
    <t>Narayanam Teja Sai Saranya</t>
  </si>
  <si>
    <t>Bolla Pavan Kalyan</t>
  </si>
  <si>
    <t>Naraharipeta Reddy Monisha</t>
  </si>
  <si>
    <t>Subhash Gowthamveer Turugopu</t>
  </si>
  <si>
    <t>Badri Vasavi Sri Vidya Jyoshini</t>
  </si>
  <si>
    <t>Vedavarshini Attuluri</t>
  </si>
  <si>
    <t>Guvvala Asreetha</t>
  </si>
  <si>
    <t>Stefna LNU</t>
  </si>
  <si>
    <t>Preethi LNU</t>
  </si>
  <si>
    <t>Naveensakthi S</t>
  </si>
  <si>
    <t>Silla Bharath Kumar</t>
  </si>
  <si>
    <t>Anusha Shekhar</t>
  </si>
  <si>
    <t>Venkata Siva Sai Sreeja Korivi</t>
  </si>
  <si>
    <t>Dameswara Rao Kosireddy</t>
  </si>
  <si>
    <t>Shradha Surendra Joshi</t>
  </si>
  <si>
    <t>Nithin Terli</t>
  </si>
  <si>
    <t>Koduri Joshna Pallavi</t>
  </si>
  <si>
    <t>Padmaja Katuri</t>
  </si>
  <si>
    <t>Shaik Kyrunbee</t>
  </si>
  <si>
    <t>Siri Pavan Kolluri</t>
  </si>
  <si>
    <t>Durga Naga Deepika Katreddy</t>
  </si>
  <si>
    <t>Varsha Kodadi</t>
  </si>
  <si>
    <t>Lakshmi Sree Chegondi</t>
  </si>
  <si>
    <t>Gujjala Venkata Nikhil</t>
  </si>
  <si>
    <t>Anushreea DE</t>
  </si>
  <si>
    <t>EPS26SAP038</t>
  </si>
  <si>
    <t>Rhaveen Senthil</t>
  </si>
  <si>
    <t>Thotakura Navya Annapurna</t>
  </si>
  <si>
    <t>Leela Krishna Miriyala</t>
  </si>
  <si>
    <t>Tanuja Shantaram Teknar</t>
  </si>
  <si>
    <t>New Joiners</t>
  </si>
  <si>
    <t>Yerra Geetha Madhuri</t>
  </si>
  <si>
    <t>Preethi B</t>
  </si>
  <si>
    <t>Pratiksha Babasaheb Pune</t>
  </si>
  <si>
    <t>Vaishnavi T Suvarna</t>
  </si>
  <si>
    <t>Sujitha Jeyarani S</t>
  </si>
  <si>
    <t>Yadla Anudeep</t>
  </si>
  <si>
    <t>Ramana Murugan</t>
  </si>
  <si>
    <t>Ashok Bhupathy K S</t>
  </si>
  <si>
    <t>Sankar Narayan R</t>
  </si>
  <si>
    <t>Jayanthan A K</t>
  </si>
  <si>
    <t>ID</t>
  </si>
  <si>
    <t>Grade</t>
  </si>
  <si>
    <t>Location</t>
  </si>
  <si>
    <t>Supervisor</t>
  </si>
  <si>
    <t>Suguna Devi Murugan</t>
  </si>
  <si>
    <t>M</t>
  </si>
  <si>
    <t>CHN</t>
  </si>
  <si>
    <t>Dona</t>
  </si>
  <si>
    <t>Murugan B</t>
  </si>
  <si>
    <t>Riyaz</t>
  </si>
  <si>
    <t>Balachandar Ganesan</t>
  </si>
  <si>
    <t>AD</t>
  </si>
  <si>
    <t>Sakthi</t>
  </si>
  <si>
    <t>Vidhya Prabha Rajagopal</t>
  </si>
  <si>
    <t>Bala</t>
  </si>
  <si>
    <t>Kamlesh Anandaraman</t>
  </si>
  <si>
    <t>SM</t>
  </si>
  <si>
    <t>Maheswaran Shanmugasundaram</t>
  </si>
  <si>
    <t>Naresh</t>
  </si>
  <si>
    <t>Youvaraja Sundararaman</t>
  </si>
  <si>
    <t>Gokul K</t>
  </si>
  <si>
    <t>John Wesley A</t>
  </si>
  <si>
    <t>A</t>
  </si>
  <si>
    <t>Gyanendra Singh Yadav</t>
  </si>
  <si>
    <t>Vendor Name</t>
  </si>
  <si>
    <t>Trainer Name</t>
  </si>
  <si>
    <t>Trainer ID</t>
  </si>
  <si>
    <t xml:space="preserve">Track </t>
  </si>
  <si>
    <t>RTO Location</t>
  </si>
  <si>
    <t>Status</t>
  </si>
  <si>
    <t>SHRD</t>
  </si>
  <si>
    <t>Madhusudhan</t>
  </si>
  <si>
    <t>BH</t>
  </si>
  <si>
    <t>Active</t>
  </si>
  <si>
    <t>Essential 5</t>
  </si>
  <si>
    <t>Krishnaveni</t>
  </si>
  <si>
    <t>Arich</t>
  </si>
  <si>
    <t>Sasikala jayaprakash</t>
  </si>
  <si>
    <t>Tech</t>
  </si>
  <si>
    <t>Lakshmi priya</t>
  </si>
  <si>
    <t>Alwyn</t>
  </si>
  <si>
    <t>NIIT</t>
  </si>
  <si>
    <t>Satiya Anand</t>
  </si>
  <si>
    <t>Mazenet</t>
  </si>
  <si>
    <t>Sweta</t>
  </si>
  <si>
    <t>Lavanya</t>
  </si>
  <si>
    <t>Vijayabharathi</t>
  </si>
  <si>
    <t>Mangayarkarasi Subbu</t>
  </si>
  <si>
    <t>Annamalai Annadurai</t>
  </si>
  <si>
    <t>Junnaid</t>
  </si>
  <si>
    <t>Syam Kolati</t>
  </si>
  <si>
    <t>Saravanan</t>
  </si>
  <si>
    <t>Subhasis Das Choudhuri</t>
  </si>
  <si>
    <t>Mohana</t>
  </si>
  <si>
    <t>V &amp; A</t>
  </si>
  <si>
    <t>Naga nandini</t>
  </si>
  <si>
    <t>Sanjay Punde</t>
  </si>
  <si>
    <t>Elavarasan</t>
  </si>
  <si>
    <t>Ronald Leger Doggett</t>
  </si>
  <si>
    <t>Rajendra Kumar</t>
  </si>
  <si>
    <t>Maria</t>
  </si>
  <si>
    <t>INDRANIBHATTACHARYA</t>
  </si>
  <si>
    <t>SFJ</t>
  </si>
  <si>
    <t>Ramasubramaniam</t>
  </si>
  <si>
    <t>Bcloud</t>
  </si>
  <si>
    <t>Bhushan</t>
  </si>
  <si>
    <t>Ashray</t>
  </si>
  <si>
    <t>Priyadharshini</t>
  </si>
  <si>
    <t>Seshamalini</t>
  </si>
  <si>
    <t>Srinivasa Rao</t>
  </si>
  <si>
    <t>Alchemy</t>
  </si>
  <si>
    <t>Suresh</t>
  </si>
  <si>
    <t>Naveen</t>
  </si>
  <si>
    <t>Amey Tambe</t>
  </si>
  <si>
    <t>Rajeev</t>
  </si>
  <si>
    <t>Employee ID</t>
  </si>
  <si>
    <t>Esther Durand</t>
  </si>
  <si>
    <t>Maisie Fernando</t>
  </si>
  <si>
    <t>Shaniga Antony A</t>
  </si>
  <si>
    <t>Jeeva J</t>
  </si>
  <si>
    <t xml:space="preserve">Velayutham, Hemalatha </t>
  </si>
  <si>
    <t>KP, Sudheer</t>
  </si>
  <si>
    <t>Arimbur Devassy, Saji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</si>
</sst>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 yyyy;@" x16r2:formatCode16="[$-en-AG,1]d\ mmm\ yyyy;@"/>
    <numFmt numFmtId="165" formatCode="dd\-mmm\-yy"/>
    <numFmt numFmtId="166" formatCode="[$-409]d\-mmm\-yy;@"/>
  </numFmts>
  <fonts count="10">
    <font>
      <sz val="11"/>
      <color theme="1"/>
      <name val="Aptos Narrow"/>
      <family val="2"/>
      <scheme val="minor"/>
    </font>
    <font>
      <b/>
      <sz val="11"/>
      <color theme="1"/>
      <name val="Aptos Narrow"/>
      <family val="2"/>
      <scheme val="minor"/>
    </font>
    <font>
      <b/>
      <sz val="12"/>
      <color rgb="FF000000"/>
      <name val="Calibri"/>
      <family val="2"/>
    </font>
    <font>
      <b/>
      <sz val="9"/>
      <color rgb="FFFFFFFF"/>
      <name val="Arial"/>
      <family val="2"/>
    </font>
    <font>
      <sz val="9"/>
      <color rgb="FF000000"/>
      <name val="Arial"/>
      <family val="2"/>
    </font>
    <font>
      <b/>
      <sz val="9"/>
      <name val="Aptos Narrow"/>
      <family val="2"/>
      <scheme val="minor"/>
    </font>
    <font>
      <b/>
      <sz val="9"/>
      <color theme="1"/>
      <name val="Aptos Narrow"/>
      <family val="2"/>
      <scheme val="minor"/>
    </font>
    <font>
      <sz val="9"/>
      <name val="Aptos Narrow"/>
      <family val="2"/>
      <scheme val="minor"/>
    </font>
    <font>
      <sz val="9"/>
      <color theme="1"/>
      <name val="Aptos Narrow"/>
      <family val="2"/>
      <scheme val="minor"/>
    </font>
    <font>
      <b/>
      <sz val="11"/>
      <color theme="0"/>
      <name val="Calibri"/>
      <family val="2"/>
      <scheme val="minor"/>
    </font>
  </fonts>
  <fills count="15">
    <fill>
      <patternFill patternType="none"/>
    </fill>
    <fill>
      <patternFill patternType="gray125"/>
    </fill>
    <fill>
      <patternFill patternType="solid">
        <fgColor theme="4" tint="0.39997558519241921"/>
        <bgColor indexed="65"/>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rgb="FF70AD47"/>
        <bgColor indexed="64"/>
      </patternFill>
    </fill>
    <fill>
      <patternFill patternType="solid">
        <fgColor rgb="FFD9D9D9"/>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4"/>
        <bgColor theme="4"/>
      </patternFill>
    </fill>
    <fill>
      <patternFill patternType="solid">
        <fgColor theme="3" tint="0.749992370372631"/>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rgb="FFFFFF00"/>
        <bgColor indexed="64"/>
      </patternFill>
    </fill>
  </fills>
  <borders count="10">
    <border>
      <left/>
      <right/>
      <top/>
      <bottom/>
      <diagonal/>
    </border>
    <border>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right/>
      <top style="thin">
        <color theme="4" tint="0.39997558519241921"/>
      </top>
      <bottom/>
      <diagonal/>
    </border>
    <border>
      <left/>
      <right style="thin">
        <color rgb="FF000000"/>
      </right>
      <top style="thin">
        <color rgb="FF000000"/>
      </top>
      <bottom style="thin">
        <color rgb="FF000000"/>
      </bottom>
      <diagonal/>
    </border>
  </borders>
  <cellStyleXfs count="1">
    <xf numFmtId="0" fontId="0" fillId="0" borderId="0"/>
  </cellStyleXfs>
  <cellXfs count="80">
    <xf numFmtId="0" fontId="0" fillId="0" borderId="0" xfId="0"/>
    <xf numFmtId="0" fontId="2" fillId="2" borderId="0" xfId="0" applyFont="1" applyFill="1"/>
    <xf numFmtId="0" fontId="2" fillId="3" borderId="0" xfId="0" applyFont="1" applyFill="1" applyAlignment="1">
      <alignment horizontal="center"/>
    </xf>
    <xf numFmtId="1"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164" fontId="2" fillId="2" borderId="0" xfId="0" applyNumberFormat="1" applyFont="1" applyFill="1"/>
    <xf numFmtId="164" fontId="0" fillId="0" borderId="0" xfId="0" applyNumberFormat="1"/>
    <xf numFmtId="0" fontId="3" fillId="5" borderId="1" xfId="0" applyFont="1" applyFill="1" applyBorder="1" applyAlignment="1">
      <alignment vertical="center" wrapText="1"/>
    </xf>
    <xf numFmtId="0" fontId="4" fillId="6" borderId="0" xfId="0" applyFont="1" applyFill="1" applyAlignment="1">
      <alignment vertical="center" wrapText="1"/>
    </xf>
    <xf numFmtId="0" fontId="4" fillId="0" borderId="0" xfId="0" applyFont="1" applyAlignment="1">
      <alignment vertical="center" wrapText="1"/>
    </xf>
    <xf numFmtId="0" fontId="5" fillId="7" borderId="2" xfId="0" applyFont="1" applyFill="1" applyBorder="1" applyAlignment="1">
      <alignment horizontal="left" vertical="center"/>
    </xf>
    <xf numFmtId="0" fontId="5" fillId="7" borderId="2" xfId="0" applyFont="1" applyFill="1" applyBorder="1" applyAlignment="1">
      <alignment horizontal="left"/>
    </xf>
    <xf numFmtId="0" fontId="6" fillId="7" borderId="3" xfId="0" applyFont="1" applyFill="1" applyBorder="1" applyAlignment="1">
      <alignment horizontal="left"/>
    </xf>
    <xf numFmtId="0" fontId="7" fillId="0" borderId="2" xfId="0" applyFont="1" applyBorder="1" applyAlignment="1">
      <alignment horizontal="left" vertical="center"/>
    </xf>
    <xf numFmtId="0" fontId="8" fillId="0" borderId="2" xfId="0" applyFont="1" applyBorder="1" applyAlignment="1">
      <alignment horizontal="left"/>
    </xf>
    <xf numFmtId="16" fontId="2" fillId="2" borderId="0" xfId="0" applyNumberFormat="1" applyFont="1" applyFill="1"/>
    <xf numFmtId="16" fontId="0" fillId="0" borderId="0" xfId="0" applyNumberFormat="1"/>
    <xf numFmtId="0" fontId="0" fillId="4" borderId="4" xfId="0" quotePrefix="1" applyFill="1" applyBorder="1"/>
    <xf numFmtId="0" fontId="0" fillId="4" borderId="4" xfId="0" applyFill="1" applyBorder="1"/>
    <xf numFmtId="0" fontId="0" fillId="4" borderId="5" xfId="0" applyFill="1" applyBorder="1"/>
    <xf numFmtId="0" fontId="0" fillId="0" borderId="4" xfId="0" quotePrefix="1" applyBorder="1"/>
    <xf numFmtId="0" fontId="0" fillId="0" borderId="4" xfId="0" applyBorder="1"/>
    <xf numFmtId="0" fontId="0" fillId="0" borderId="5" xfId="0" applyBorder="1"/>
    <xf numFmtId="0" fontId="0" fillId="4" borderId="5" xfId="0" quotePrefix="1" applyFill="1" applyBorder="1"/>
    <xf numFmtId="0" fontId="9" fillId="10" borderId="4" xfId="0" applyFont="1" applyFill="1" applyBorder="1"/>
    <xf numFmtId="0" fontId="9" fillId="10" borderId="5" xfId="0" applyFont="1" applyFill="1" applyBorder="1"/>
    <xf numFmtId="165" fontId="0" fillId="0" borderId="0" xfId="0" applyNumberFormat="1"/>
    <xf numFmtId="14" fontId="0" fillId="0" borderId="0" xfId="0" applyNumberFormat="1"/>
    <xf numFmtId="0" fontId="0" fillId="0" borderId="5" xfId="0" quotePrefix="1" applyBorder="1"/>
    <xf numFmtId="166" fontId="0" fillId="0" borderId="0" xfId="0" applyNumberFormat="1"/>
    <xf numFmtId="0" fontId="0" fillId="0" borderId="0" xfId="0" pivotButton="1" applyAlignment="1">
      <alignment horizontal="center"/>
    </xf>
    <xf numFmtId="0" fontId="0" fillId="0" borderId="4" xfId="0" quotePrefix="1" applyBorder="1" applyAlignment="1">
      <alignment horizontal="center"/>
    </xf>
    <xf numFmtId="0" fontId="0" fillId="4" borderId="4" xfId="0" applyFill="1" applyBorder="1" applyAlignment="1">
      <alignment horizontal="center"/>
    </xf>
    <xf numFmtId="0" fontId="0" fillId="4" borderId="4" xfId="0" quotePrefix="1" applyFill="1" applyBorder="1" applyAlignment="1">
      <alignment horizontal="center"/>
    </xf>
    <xf numFmtId="0" fontId="0" fillId="0" borderId="4" xfId="0" applyBorder="1" applyAlignment="1">
      <alignment horizontal="center"/>
    </xf>
    <xf numFmtId="0" fontId="1" fillId="0" borderId="0" xfId="0" applyFont="1" applyAlignment="1">
      <alignment horizontal="center"/>
    </xf>
    <xf numFmtId="0" fontId="0" fillId="0" borderId="6" xfId="0" applyBorder="1" applyAlignment="1">
      <alignment horizontal="center"/>
    </xf>
    <xf numFmtId="0" fontId="0" fillId="8" borderId="0" xfId="0" applyFill="1"/>
    <xf numFmtId="0" fontId="0" fillId="9" borderId="0" xfId="0" applyFill="1"/>
    <xf numFmtId="0" fontId="1" fillId="12" borderId="0" xfId="0" applyFont="1" applyFill="1"/>
    <xf numFmtId="0" fontId="0" fillId="12" borderId="0" xfId="0" applyFill="1" applyAlignment="1">
      <alignment horizontal="center"/>
    </xf>
    <xf numFmtId="0" fontId="1" fillId="0" borderId="6" xfId="0" applyFont="1" applyBorder="1" applyAlignment="1">
      <alignment horizontal="center"/>
    </xf>
    <xf numFmtId="49" fontId="0" fillId="0" borderId="0" xfId="0" applyNumberFormat="1"/>
    <xf numFmtId="0" fontId="1" fillId="4" borderId="7" xfId="0" applyFont="1" applyFill="1" applyBorder="1"/>
    <xf numFmtId="0" fontId="1" fillId="4" borderId="8" xfId="0" applyFont="1" applyFill="1" applyBorder="1"/>
    <xf numFmtId="0" fontId="0" fillId="0" borderId="0" xfId="0" applyAlignment="1">
      <alignment wrapText="1"/>
    </xf>
    <xf numFmtId="0" fontId="0" fillId="0" borderId="6" xfId="0" applyBorder="1" applyAlignment="1">
      <alignment horizontal="center" vertical="center"/>
    </xf>
    <xf numFmtId="9" fontId="0" fillId="0" borderId="0" xfId="0" applyNumberFormat="1"/>
    <xf numFmtId="0" fontId="0" fillId="0" borderId="6" xfId="0" applyBorder="1"/>
    <xf numFmtId="0" fontId="1" fillId="4" borderId="6" xfId="0" applyFont="1" applyFill="1" applyBorder="1"/>
    <xf numFmtId="0" fontId="1" fillId="12" borderId="6" xfId="0" applyFont="1" applyFill="1" applyBorder="1"/>
    <xf numFmtId="0" fontId="0" fillId="12" borderId="0" xfId="0" applyFill="1"/>
    <xf numFmtId="0" fontId="1" fillId="4" borderId="6" xfId="0" applyFont="1" applyFill="1" applyBorder="1" applyAlignment="1">
      <alignment horizontal="center"/>
    </xf>
    <xf numFmtId="0" fontId="1" fillId="4" borderId="6" xfId="0" applyFont="1" applyFill="1" applyBorder="1" applyAlignment="1">
      <alignment horizontal="center" vertical="center"/>
    </xf>
    <xf numFmtId="0" fontId="0" fillId="12" borderId="6" xfId="0" applyFill="1" applyBorder="1" applyAlignment="1">
      <alignment horizontal="center" vertical="center"/>
    </xf>
    <xf numFmtId="0" fontId="0" fillId="0" borderId="0" xfId="0"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0" fillId="12" borderId="0" xfId="0" applyFill="1" applyAlignment="1">
      <alignment horizontal="center" vertical="center"/>
    </xf>
    <xf numFmtId="9" fontId="1" fillId="4" borderId="6" xfId="0" applyNumberFormat="1" applyFont="1" applyFill="1" applyBorder="1" applyAlignment="1">
      <alignment horizontal="center" vertical="center"/>
    </xf>
    <xf numFmtId="0" fontId="1" fillId="4" borderId="7" xfId="0" applyFont="1" applyFill="1" applyBorder="1" applyAlignment="1">
      <alignment horizontal="center" vertical="center"/>
    </xf>
    <xf numFmtId="0" fontId="0" fillId="13" borderId="0" xfId="0" applyFill="1" applyAlignment="1">
      <alignment horizontal="center"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9" fontId="0" fillId="12" borderId="9" xfId="0" applyNumberFormat="1" applyFill="1" applyBorder="1" applyAlignment="1">
      <alignment horizontal="center" vertical="center"/>
    </xf>
    <xf numFmtId="9" fontId="1" fillId="4" borderId="9" xfId="0" applyNumberFormat="1" applyFont="1" applyFill="1" applyBorder="1" applyAlignment="1">
      <alignment horizontal="center" vertical="center"/>
    </xf>
    <xf numFmtId="0" fontId="0" fillId="4" borderId="0" xfId="0" quotePrefix="1" applyFill="1"/>
    <xf numFmtId="0" fontId="0" fillId="4" borderId="0" xfId="0" applyFill="1"/>
    <xf numFmtId="0" fontId="0" fillId="14" borderId="4" xfId="0" applyFill="1" applyBorder="1"/>
    <xf numFmtId="0" fontId="1" fillId="0" borderId="0" xfId="0" applyFont="1" applyAlignment="1">
      <alignment horizontal="center"/>
    </xf>
    <xf numFmtId="0" fontId="1" fillId="11" borderId="6" xfId="0" applyFont="1" applyFill="1" applyBorder="1" applyAlignment="1">
      <alignment horizontal="center"/>
    </xf>
    <xf numFmtId="0" fontId="1" fillId="13" borderId="0" xfId="0" applyFont="1" applyFill="1" applyAlignment="1">
      <alignment horizontal="center" vertical="center"/>
    </xf>
    <xf numFmtId="0" fontId="1" fillId="13" borderId="7" xfId="0" applyFont="1" applyFill="1" applyBorder="1" applyAlignment="1">
      <alignment horizontal="center" vertical="center"/>
    </xf>
    <xf numFmtId="0" fontId="1" fillId="4" borderId="0" xfId="0" applyFont="1" applyFill="1" applyAlignment="1">
      <alignment horizontal="center" vertical="center"/>
    </xf>
    <xf numFmtId="0" fontId="1" fillId="4" borderId="7" xfId="0" applyFont="1" applyFill="1" applyBorder="1" applyAlignment="1">
      <alignment horizontal="center" vertical="center"/>
    </xf>
    <xf numFmtId="0" fontId="1" fillId="0" borderId="0" xfId="0" applyFont="1" applyAlignment="1">
      <alignment horizontal="left"/>
    </xf>
    <xf numFmtId="0" fontId="1" fillId="4" borderId="0" xfId="0" applyFont="1" applyFill="1" applyAlignment="1">
      <alignment horizontal="left" wrapText="1"/>
    </xf>
    <xf numFmtId="0" fontId="1" fillId="4" borderId="7" xfId="0" applyFont="1" applyFill="1" applyBorder="1" applyAlignment="1">
      <alignment horizontal="left" wrapText="1"/>
    </xf>
  </cellXfs>
  <cellStyles count="1">
    <cellStyle name="Normal" xfId="0" builtinId="0"/>
  </cellStyles>
  <dxfs count="21">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69.783660185189" createdVersion="8" refreshedVersion="8" minRefreshableVersion="3" recordCount="1726" xr:uid="{CC1BEAFE-A6C0-43AE-A963-CD9D5279D2FE}">
  <cacheSource type="worksheet">
    <worksheetSource ref="A1:S1727" sheet="Base"/>
  </cacheSource>
  <cacheFields count="19">
    <cacheField name="Associate Id" numFmtId="1">
      <sharedItems containsSemiMixedTypes="0" containsString="0" containsNumber="1" containsInteger="1" minValue="2479361" maxValue="2533596"/>
    </cacheField>
    <cacheField name="Name" numFmtId="0">
      <sharedItems/>
    </cacheField>
    <cacheField name="DOJ" numFmtId="14">
      <sharedItems containsSemiMixedTypes="0" containsNonDate="0" containsDate="1" containsString="0" minDate="2026-01-31T00:00:00" maxDate="2026-08-28T00:00:00"/>
    </cacheField>
    <cacheField name="Gender" numFmtId="14">
      <sharedItems containsBlank="1" count="3">
        <s v="Male"/>
        <s v="Female"/>
        <m u="1"/>
      </sharedItems>
    </cacheField>
    <cacheField name="Joiners Type" numFmtId="14">
      <sharedItems/>
    </cacheField>
    <cacheField name="Joining Location" numFmtId="14">
      <sharedItems/>
    </cacheField>
    <cacheField name="Cohort Code" numFmtId="14">
      <sharedItems/>
    </cacheField>
    <cacheField name="Coach Name" numFmtId="14">
      <sharedItems/>
    </cacheField>
    <cacheField name="Revised End date" numFmtId="166">
      <sharedItems containsDate="1" containsMixedTypes="1" minDate="2026-09-03T00:00:00" maxDate="2026-12-31T00:00:00"/>
    </cacheField>
    <cacheField name="Release Month" numFmtId="0">
      <sharedItems count="5">
        <s v="Nov 2026"/>
        <s v="Dec 2026"/>
        <s v="Sep 2026"/>
        <s v="Oct 2026"/>
        <s v="" u="1"/>
      </sharedItems>
    </cacheField>
    <cacheField name="Final Status" numFmtId="166">
      <sharedItems/>
    </cacheField>
    <cacheField name="Reporting Status" numFmtId="166">
      <sharedItems containsBlank="1" count="3">
        <s v="PG"/>
        <s v="Home"/>
        <m u="1"/>
      </sharedItems>
    </cacheField>
    <cacheField name="Reporting from" numFmtId="0">
      <sharedItems count="11">
        <s v="PG (Paying Guest)"/>
        <s v="Permanent Residence (House/Home)"/>
        <s v="Rented House/Apartment"/>
        <s v="Relatives Residence"/>
        <s v="Hostel"/>
        <e v="#N/A" u="1"/>
        <s v="Relative's Residence" u="1"/>
        <s v="Home" u="1"/>
        <s v="Chennai" u="1"/>
        <s v="Bangalore " u="1"/>
        <s v="PG" u="1"/>
      </sharedItems>
    </cacheField>
    <cacheField name="PG Name" numFmtId="0">
      <sharedItems/>
    </cacheField>
    <cacheField name="Floor" numFmtId="0">
      <sharedItems containsMixedTypes="1" containsNumber="1" containsInteger="1" minValue="1" maxValue="23" count="18">
        <n v="1"/>
        <n v="2"/>
        <n v="3"/>
        <n v="10"/>
        <n v="11"/>
        <n v="13"/>
        <n v="12"/>
        <n v="17"/>
        <n v="18"/>
        <n v="19"/>
        <n v="21"/>
        <n v="23"/>
        <n v="4"/>
        <n v="5"/>
        <n v="6"/>
        <n v="7"/>
        <n v="8"/>
        <s v="GF"/>
      </sharedItems>
    </cacheField>
    <cacheField name=" Relatives in Chennai " numFmtId="0">
      <sharedItems count="3">
        <s v="No"/>
        <s v="Yes"/>
        <e v="#N/A" u="1"/>
      </sharedItems>
    </cacheField>
    <cacheField name="Nearby location to board if in case any Emergency:" numFmtId="0">
      <sharedItems count="69">
        <s v="Egattur"/>
        <s v="Ramapuram"/>
        <s v="Navalur"/>
        <s v="Siruseri"/>
        <s v="Thiruporur,Chengalpattu"/>
        <s v="Padur"/>
        <s v="CHEPAUK"/>
        <s v="Ashok Nagar"/>
        <s v="Sholinganallur"/>
        <s v="Uthandi"/>
        <s v="Tambaram"/>
        <s v="ayyapanthangal"/>
        <s v="Maduravoyal"/>
        <s v="Thiruvottriyur"/>
        <s v="PURSAIWALKAM"/>
        <s v="Vadapalani"/>
        <s v="Perumbakkam"/>
        <s v="Semmancheri"/>
        <s v="Medavakkam"/>
        <s v="Thoraipakkam"/>
        <s v="Mettukuppam"/>
        <s v="Karapakkam"/>
        <s v="Sithalapakkam"/>
        <s v="Thalambur"/>
        <s v="Chromepet"/>
        <s v="Kazhipattur"/>
        <s v="Ashok Piller "/>
        <s v="Guindy"/>
        <s v="Koyembedu"/>
        <s v="Sipcot Bus stand"/>
        <s v="SIPCOT IT Park"/>
        <s v="Ayanavaram"/>
        <s v="Triplicane"/>
        <s v="pudhupakkam"/>
        <s v="SANTHOME"/>
        <s v="Korattur"/>
        <s v="Kalipattur"/>
        <s v="Kelambakkam"/>
        <s v="PORUR"/>
        <s v="Guduvanchery"/>
        <s v="Pudupakkam"/>
        <s v="kazipattur"/>
        <s v="puzhuthivakkam"/>
        <s v="Ekkatuthangal"/>
        <s v="saidapet"/>
        <s v="MADHAVARAM"/>
        <s v="Ekkattuthangal"/>
        <s v="Rettery"/>
        <s v="Ambedkar College (Vyasarpadi)"/>
        <s v="Central railway Station"/>
        <s v="Akkarai"/>
        <s v="Kovilambakkam"/>
        <s v="Thiruvottiyur"/>
        <s v="Maraimalai Nagar"/>
        <s v="Velachery."/>
        <s v="Taramani"/>
        <s v="Ambattur"/>
        <s v="Ashok Pillar"/>
        <s v="Mylapore"/>
        <s v="Royapettah"/>
        <s v="Tambaram,Porur"/>
        <s v="koyambedu"/>
        <s v="Thiruvanmiyur "/>
        <s v="Thiruverkadu"/>
        <s v="Vaniyanchavadi Padma Adarsh School, Kalipattur"/>
        <s v="Anna Nagar"/>
        <s v="NESAPAKKAM"/>
        <e v="#N/A" u="1"/>
        <s v="Hinjewadi Pune" u="1"/>
      </sharedItems>
    </cacheField>
    <cacheField name="Grouping" numFmtId="0">
      <sharedItems containsBlank="1" count="12">
        <s v="Siruseri"/>
        <m/>
        <s v="Kelambakkam"/>
        <s v="Cenrtal"/>
        <s v="Sholinganallur"/>
        <s v="Velachery"/>
        <s v="Shi"/>
        <s v="Thambaram"/>
        <s v="Koyambedu"/>
        <s v="Central"/>
        <s v="Vandalur"/>
        <s v="Thiruvanmiyur "/>
      </sharedItems>
    </cacheField>
    <cacheField name="Zone" numFmtId="0">
      <sharedItems containsBlank="1" count="4">
        <s v="Red"/>
        <s v="N/A"/>
        <s v="Amber"/>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6">
  <r>
    <n v="2521716"/>
    <s v="Zeeshan P Sharmasvali"/>
    <d v="2026-07-09T00:00:00"/>
    <x v="0"/>
    <s v="FTE"/>
    <s v="Chennai"/>
    <s v="QEA26SD001"/>
    <s v="Ajiesya D P"/>
    <d v="2026-11-03T00:00:00"/>
    <x v="0"/>
    <s v="In-Training"/>
    <x v="0"/>
    <x v="0"/>
    <s v="CNR PG GENTS BRANCH 1 ,SIRUSERI"/>
    <x v="0"/>
    <x v="0"/>
    <x v="0"/>
    <x v="0"/>
    <x v="0"/>
  </r>
  <r>
    <n v="2533128"/>
    <s v="Stefna LNU"/>
    <d v="2026-08-25T00:00:00"/>
    <x v="1"/>
    <s v="FTE"/>
    <s v="Chennai"/>
    <s v="CIS26MBG007"/>
    <s v="Lawrance M"/>
    <d v="2026-12-11T00:00:00"/>
    <x v="1"/>
    <s v="In-Training"/>
    <x v="1"/>
    <x v="1"/>
    <s v="NA"/>
    <x v="0"/>
    <x v="1"/>
    <x v="1"/>
    <x v="1"/>
    <x v="1"/>
  </r>
  <r>
    <n v="2516818"/>
    <s v="Bhavya Sree Vitta"/>
    <d v="2026-06-18T00:00:00"/>
    <x v="1"/>
    <s v="FTE"/>
    <s v="Chennai"/>
    <s v="CIS26MW001"/>
    <s v="Ashiya Begam S"/>
    <d v="2026-09-11T00:00:00"/>
    <x v="2"/>
    <s v="In-Training"/>
    <x v="0"/>
    <x v="0"/>
    <s v="Sri Lakshmi ladies luxury pg"/>
    <x v="0"/>
    <x v="0"/>
    <x v="2"/>
    <x v="0"/>
    <x v="0"/>
  </r>
  <r>
    <n v="2521642"/>
    <s v="Bobbili Arsha Tanujasri"/>
    <d v="2026-07-09T00:00:00"/>
    <x v="1"/>
    <s v="FTE"/>
    <s v="Chennai"/>
    <s v="ADM26DNAT003"/>
    <s v="Athira P"/>
    <d v="2026-10-23T00:00:00"/>
    <x v="3"/>
    <s v="In-Training"/>
    <x v="0"/>
    <x v="0"/>
    <s v="Smiles PG, Besides Hameed Fathima Jumma Masjid, landmark: Opposite to Thalassery Restaurent, 2nd Street, near Sipcot IT park,jj nagar"/>
    <x v="0"/>
    <x v="0"/>
    <x v="3"/>
    <x v="0"/>
    <x v="0"/>
  </r>
  <r>
    <n v="2521711"/>
    <s v="Shree Varkhedi"/>
    <d v="2026-07-09T00:00:00"/>
    <x v="1"/>
    <s v="FTE"/>
    <s v="Chennai"/>
    <s v="ADM26MF010"/>
    <s v="Thomas Naveen. J"/>
    <d v="2026-11-02T00:00:00"/>
    <x v="0"/>
    <s v="In-Training"/>
    <x v="0"/>
    <x v="0"/>
    <s v="MSR 2 GIRLS PG "/>
    <x v="0"/>
    <x v="1"/>
    <x v="3"/>
    <x v="0"/>
    <x v="0"/>
  </r>
  <r>
    <n v="2531864"/>
    <s v="Kishor D"/>
    <d v="2026-08-20T00:00:00"/>
    <x v="0"/>
    <s v="FTE"/>
    <s v="Chennai"/>
    <s v="CS26CS012"/>
    <s v="Laksiya Vijayendran"/>
    <d v="2026-11-17T00:00:00"/>
    <x v="0"/>
    <s v="In-Training"/>
    <x v="0"/>
    <x v="0"/>
    <s v="Kr mens pg Kazhipattur"/>
    <x v="0"/>
    <x v="0"/>
    <x v="3"/>
    <x v="0"/>
    <x v="0"/>
  </r>
  <r>
    <n v="2531965"/>
    <s v="Chandu Tangella"/>
    <d v="2026-08-20T00:00:00"/>
    <x v="0"/>
    <s v="FTE"/>
    <s v="Chennai"/>
    <s v="CS26CS012"/>
    <s v="Laksiya Vijayendran"/>
    <d v="2026-11-17T00:00:00"/>
    <x v="0"/>
    <s v="In-Training"/>
    <x v="0"/>
    <x v="0"/>
    <s v="SAHASRA DELUXE PG FOR MEN (NEW BUILDING)"/>
    <x v="0"/>
    <x v="0"/>
    <x v="0"/>
    <x v="0"/>
    <x v="0"/>
  </r>
  <r>
    <n v="2511310"/>
    <s v="Elubandi Bindu Saisri Priya"/>
    <d v="2026-05-21T00:00:00"/>
    <x v="1"/>
    <s v="FTE"/>
    <s v="Chennai"/>
    <s v="CIS26MCPT010"/>
    <s v="Mohamed Harish"/>
    <d v="2026-09-15T00:00:00"/>
    <x v="2"/>
    <s v="In-Training"/>
    <x v="0"/>
    <x v="0"/>
    <s v="Vaishnavi PG,Egattur"/>
    <x v="0"/>
    <x v="0"/>
    <x v="3"/>
    <x v="0"/>
    <x v="0"/>
  </r>
  <r>
    <n v="2512305"/>
    <s v="Kavin S"/>
    <d v="2026-05-28T00:00:00"/>
    <x v="0"/>
    <s v="FTE"/>
    <s v="Chennai"/>
    <s v="CIS26MCPT011"/>
    <s v="Uma Venkatachalam"/>
    <d v="2026-09-17T00:00:00"/>
    <x v="2"/>
    <s v="In-Training"/>
    <x v="0"/>
    <x v="0"/>
    <s v="CNR mens PG Branch-1,Siruseri"/>
    <x v="0"/>
    <x v="0"/>
    <x v="3"/>
    <x v="0"/>
    <x v="0"/>
  </r>
  <r>
    <n v="2516859"/>
    <s v="Manik LNU"/>
    <d v="2026-06-18T00:00:00"/>
    <x v="0"/>
    <s v="FTE"/>
    <s v="Chennai"/>
    <s v="CIS26NET004"/>
    <s v="Uma Venkatachalam"/>
    <d v="2026-09-04T00:00:00"/>
    <x v="2"/>
    <s v="In-Training"/>
    <x v="0"/>
    <x v="0"/>
    <s v="RR Gents Hostel Branch 2, Eggatur, Tamil Nadu"/>
    <x v="0"/>
    <x v="0"/>
    <x v="2"/>
    <x v="0"/>
    <x v="0"/>
  </r>
  <r>
    <n v="2521066"/>
    <s v="Ambati Bhavyasri"/>
    <d v="2026-07-07T00:00:00"/>
    <x v="1"/>
    <s v="FTE"/>
    <s v="Chennai"/>
    <s v="HPC26DN005"/>
    <s v="Viveka Preethi"/>
    <d v="2026-10-01T00:00:00"/>
    <x v="3"/>
    <s v="In-Training"/>
    <x v="0"/>
    <x v="0"/>
    <s v="SRS PG for Ladies Branch 3"/>
    <x v="0"/>
    <x v="0"/>
    <x v="0"/>
    <x v="0"/>
    <x v="0"/>
  </r>
  <r>
    <n v="2521168"/>
    <s v="Amit Kumar"/>
    <d v="2026-07-07T00:00:00"/>
    <x v="0"/>
    <s v="FTE"/>
    <s v="Chennai"/>
    <s v="PG26JFR003"/>
    <s v="Vijay K"/>
    <d v="2026-10-27T00:00:00"/>
    <x v="3"/>
    <s v="In-Training"/>
    <x v="0"/>
    <x v="0"/>
    <s v="Shri Venkateshwara luxury pg, navalur"/>
    <x v="0"/>
    <x v="0"/>
    <x v="2"/>
    <x v="0"/>
    <x v="0"/>
  </r>
  <r>
    <n v="2523427"/>
    <s v="Manu T V"/>
    <d v="2026-07-16T00:00:00"/>
    <x v="0"/>
    <s v="FTE"/>
    <s v="Chennai"/>
    <s v="CS26CS010"/>
    <s v="Laksiya Vijayendran"/>
    <d v="2026-10-19T00:00:00"/>
    <x v="3"/>
    <s v="In-Training"/>
    <x v="0"/>
    <x v="0"/>
    <s v="Sree Venkateshwara luxury PG for Men "/>
    <x v="0"/>
    <x v="0"/>
    <x v="2"/>
    <x v="0"/>
    <x v="0"/>
  </r>
  <r>
    <n v="2529518"/>
    <s v="Aarthi S"/>
    <d v="2026-08-11T00:00:00"/>
    <x v="1"/>
    <s v="FTE"/>
    <s v="Chennai"/>
    <s v="CIS26MCPT024"/>
    <s v="Ashiya Begam S"/>
    <d v="2026-12-03T00:00:00"/>
    <x v="1"/>
    <s v="In-Training"/>
    <x v="1"/>
    <x v="1"/>
    <s v="NO 52B karpoora chetty kulam street natham post chengalpattu 603002"/>
    <x v="0"/>
    <x v="1"/>
    <x v="4"/>
    <x v="2"/>
    <x v="1"/>
  </r>
  <r>
    <n v="2529528"/>
    <s v="Sharan Balamurugan"/>
    <d v="2026-08-11T00:00:00"/>
    <x v="0"/>
    <s v="FTE"/>
    <s v="Chennai"/>
    <s v="CIS26MCPT024"/>
    <s v="Ashiya Begam S"/>
    <d v="2026-12-03T00:00:00"/>
    <x v="1"/>
    <s v="In-Training"/>
    <x v="0"/>
    <x v="0"/>
    <s v="The chennais nest elite mens Pg"/>
    <x v="0"/>
    <x v="0"/>
    <x v="3"/>
    <x v="0"/>
    <x v="0"/>
  </r>
  <r>
    <n v="2529595"/>
    <s v="Amartya Menon PP"/>
    <d v="2026-08-11T00:00:00"/>
    <x v="0"/>
    <s v="FTE"/>
    <s v="Chennai"/>
    <s v="CIS26MCPT022"/>
    <s v="Laksiya Vijayendran"/>
    <d v="2026-12-03T00:00:00"/>
    <x v="1"/>
    <s v="In-Training"/>
    <x v="0"/>
    <x v="0"/>
    <s v="Chandra Gents Pg"/>
    <x v="0"/>
    <x v="0"/>
    <x v="3"/>
    <x v="0"/>
    <x v="0"/>
  </r>
  <r>
    <n v="2529646"/>
    <s v="Surabhi Bandari"/>
    <d v="2026-08-11T00:00:00"/>
    <x v="1"/>
    <s v="FTE"/>
    <s v="Chennai"/>
    <s v="CIS26MCPT026"/>
    <s v="Mohamed Harish"/>
    <d v="2026-12-08T00:00:00"/>
    <x v="1"/>
    <s v="In-Training"/>
    <x v="0"/>
    <x v="0"/>
    <s v="Smile Inn Ladies pg"/>
    <x v="0"/>
    <x v="0"/>
    <x v="3"/>
    <x v="0"/>
    <x v="0"/>
  </r>
  <r>
    <n v="2529739"/>
    <s v="Vabilisetty Padmasri Sanjana"/>
    <d v="2026-08-11T00:00:00"/>
    <x v="1"/>
    <s v="FTE"/>
    <s v="Chennai"/>
    <s v="CIS26AZ001"/>
    <s v="Ashiya Begam S"/>
    <d v="2026-11-09T00:00:00"/>
    <x v="0"/>
    <s v="In-Training"/>
    <x v="0"/>
    <x v="0"/>
    <s v="Sai Teja Ladies Hostel"/>
    <x v="0"/>
    <x v="0"/>
    <x v="0"/>
    <x v="0"/>
    <x v="0"/>
  </r>
  <r>
    <n v="2529779"/>
    <s v="Heena Kousar"/>
    <d v="2026-08-11T00:00:00"/>
    <x v="1"/>
    <s v="FTE"/>
    <s v="Chennai"/>
    <s v="CIS26MCPT022"/>
    <s v="Laksiya Vijayendran"/>
    <d v="2026-12-03T00:00:00"/>
    <x v="1"/>
    <s v="In-Training"/>
    <x v="0"/>
    <x v="0"/>
    <s v="Manikandan PG Padur BRANCH 1"/>
    <x v="0"/>
    <x v="0"/>
    <x v="5"/>
    <x v="2"/>
    <x v="2"/>
  </r>
  <r>
    <n v="2531847"/>
    <s v="Sobanapriya S"/>
    <d v="2026-08-20T00:00:00"/>
    <x v="1"/>
    <s v="FTE"/>
    <s v="Chennai"/>
    <s v="EPS26OSP011"/>
    <s v="Gayathri Ramachandran"/>
    <s v=""/>
    <x v="1"/>
    <s v="Training - ON Hold"/>
    <x v="1"/>
    <x v="2"/>
    <s v="NIL"/>
    <x v="0"/>
    <x v="1"/>
    <x v="6"/>
    <x v="3"/>
    <x v="1"/>
  </r>
  <r>
    <n v="2533055"/>
    <s v="Shobika G"/>
    <d v="2026-08-25T00:00:00"/>
    <x v="1"/>
    <s v="FTE"/>
    <s v="Chennai"/>
    <s v="CIS26MBG003"/>
    <s v="Kishorekumar P"/>
    <d v="2026-12-11T00:00:00"/>
    <x v="1"/>
    <s v="In-Training"/>
    <x v="0"/>
    <x v="0"/>
    <s v="Smiles Inn PG Services For Ladies, Egattur"/>
    <x v="0"/>
    <x v="1"/>
    <x v="0"/>
    <x v="0"/>
    <x v="0"/>
  </r>
  <r>
    <n v="2524508"/>
    <s v="Tamanna Shamsing Solanki"/>
    <d v="2026-07-21T00:00:00"/>
    <x v="1"/>
    <s v="FTE"/>
    <s v="Chennai"/>
    <s v="QEA26QEPT024"/>
    <s v="Ajiesya D P"/>
    <d v="2026-11-04T00:00:00"/>
    <x v="0"/>
    <s v="In-Training"/>
    <x v="0"/>
    <x v="0"/>
    <s v="New Manikandan pg services, Branch 1, Mettu Street, Chennai, Tamil Nadu, India"/>
    <x v="0"/>
    <x v="0"/>
    <x v="3"/>
    <x v="0"/>
    <x v="0"/>
  </r>
  <r>
    <n v="2529617"/>
    <s v="Sakala Sireesha"/>
    <d v="2026-08-11T00:00:00"/>
    <x v="1"/>
    <s v="FTE"/>
    <s v="Chennai"/>
    <s v="CIS26MCPT021"/>
    <s v="Uma Venkatachalam"/>
    <d v="2026-12-08T00:00:00"/>
    <x v="1"/>
    <s v="In-Training"/>
    <x v="0"/>
    <x v="0"/>
    <s v="Vaishnavi ladies pg, Egattur"/>
    <x v="0"/>
    <x v="0"/>
    <x v="3"/>
    <x v="0"/>
    <x v="0"/>
  </r>
  <r>
    <n v="2531376"/>
    <s v="Srikrithi S"/>
    <d v="2026-08-18T00:00:00"/>
    <x v="1"/>
    <s v="FTE"/>
    <s v="Chennai"/>
    <s v="EPS26SAP036"/>
    <s v="Vishnupriya Dakshnamurthy"/>
    <d v="2026-11-09T00:00:00"/>
    <x v="0"/>
    <s v="In-Training"/>
    <x v="1"/>
    <x v="1"/>
    <s v="Janavi Flats - Chennai 60003318/3"/>
    <x v="0"/>
    <x v="1"/>
    <x v="7"/>
    <x v="1"/>
    <x v="1"/>
  </r>
  <r>
    <n v="2524586"/>
    <s v="Lakshana V"/>
    <d v="2026-07-21T00:00:00"/>
    <x v="1"/>
    <s v="FTE"/>
    <s v="Chennai"/>
    <s v="ADM26DFSA007"/>
    <s v="Sweta Thoppil"/>
    <d v="2026-11-10T00:00:00"/>
    <x v="0"/>
    <s v="In-Training"/>
    <x v="0"/>
    <x v="0"/>
    <s v="Krishna Nivas Ladies PG, Egattur"/>
    <x v="0"/>
    <x v="0"/>
    <x v="0"/>
    <x v="0"/>
    <x v="0"/>
  </r>
  <r>
    <n v="2529715"/>
    <s v="Adithya Salagram"/>
    <d v="2026-08-11T00:00:00"/>
    <x v="0"/>
    <s v="FTE"/>
    <s v="Chennai"/>
    <s v="EPS26SAP033"/>
    <s v="Ajith Ganesan"/>
    <d v="2026-11-04T00:00:00"/>
    <x v="0"/>
    <s v="In-Training"/>
    <x v="0"/>
    <x v="0"/>
    <s v="Sri Lakshmi Venkateshwara Pg,Egattur"/>
    <x v="0"/>
    <x v="0"/>
    <x v="0"/>
    <x v="0"/>
    <x v="0"/>
  </r>
  <r>
    <n v="2533060"/>
    <s v="Vyshnavi Belide"/>
    <d v="2026-08-25T00:00:00"/>
    <x v="1"/>
    <s v="FTE"/>
    <s v="Chennai"/>
    <s v="CIS26AT008"/>
    <s v="Uma Venkatachalam"/>
    <d v="2026-12-09T00:00:00"/>
    <x v="1"/>
    <s v="In-Training"/>
    <x v="0"/>
    <x v="0"/>
    <s v="SaiGrand Womens PG -Branch new ,Egatur,Siruseri,Tamil Nadu - 603103"/>
    <x v="0"/>
    <x v="0"/>
    <x v="3"/>
    <x v="0"/>
    <x v="0"/>
  </r>
  <r>
    <n v="2523395"/>
    <s v="Gomathi A"/>
    <d v="2026-07-16T00:00:00"/>
    <x v="1"/>
    <s v="FTE"/>
    <s v="Chennai"/>
    <s v="CS26CS010"/>
    <s v="Laksiya Vijayendran"/>
    <d v="2026-10-19T00:00:00"/>
    <x v="3"/>
    <s v="In-Training"/>
    <x v="0"/>
    <x v="0"/>
    <s v="SRS Luxury Ladies PG -2,Egattur"/>
    <x v="0"/>
    <x v="0"/>
    <x v="0"/>
    <x v="0"/>
    <x v="0"/>
  </r>
  <r>
    <n v="2524533"/>
    <s v="A Harish"/>
    <d v="2026-07-21T00:00:00"/>
    <x v="0"/>
    <s v="FTE"/>
    <s v="Chennai"/>
    <s v="IOA26RPA005"/>
    <s v="Adarsh J Nair"/>
    <d v="2026-10-14T00:00:00"/>
    <x v="3"/>
    <s v="In-Training"/>
    <x v="0"/>
    <x v="0"/>
    <s v="KNR gents PG, Egattur"/>
    <x v="0"/>
    <x v="0"/>
    <x v="3"/>
    <x v="0"/>
    <x v="0"/>
  </r>
  <r>
    <n v="2529567"/>
    <s v="Sri Lakshmi Ravalika Dunaboina"/>
    <d v="2026-08-11T00:00:00"/>
    <x v="1"/>
    <s v="FTE"/>
    <s v="Chennai"/>
    <s v="CIS26MCPT021"/>
    <s v="Uma Venkatachalam"/>
    <d v="2026-12-08T00:00:00"/>
    <x v="1"/>
    <s v="In-Training"/>
    <x v="0"/>
    <x v="0"/>
    <s v="Vaishnavi womens pg Egatur"/>
    <x v="0"/>
    <x v="0"/>
    <x v="3"/>
    <x v="0"/>
    <x v="0"/>
  </r>
  <r>
    <n v="2529581"/>
    <s v="Nani Mekala"/>
    <d v="2026-08-11T00:00:00"/>
    <x v="0"/>
    <s v="FTE"/>
    <s v="Chennai"/>
    <s v="CIS26MCPT024"/>
    <s v="Ashiya Begam S"/>
    <d v="2026-12-03T00:00:00"/>
    <x v="1"/>
    <s v="In-Training"/>
    <x v="0"/>
    <x v="0"/>
    <s v="Soma Mens Stay  "/>
    <x v="0"/>
    <x v="0"/>
    <x v="3"/>
    <x v="0"/>
    <x v="0"/>
  </r>
  <r>
    <n v="2531394"/>
    <s v="Ajithkumar G"/>
    <d v="2026-08-18T00:00:00"/>
    <x v="0"/>
    <s v="FTE"/>
    <s v="Chennai"/>
    <s v="CIS26AT007"/>
    <s v="Uma Venkatachalam"/>
    <d v="2026-12-09T00:00:00"/>
    <x v="1"/>
    <s v="In-Training"/>
    <x v="0"/>
    <x v="0"/>
    <s v="SVD Gents Hostel,"/>
    <x v="0"/>
    <x v="0"/>
    <x v="3"/>
    <x v="0"/>
    <x v="0"/>
  </r>
  <r>
    <n v="2531811"/>
    <s v="Bhavan Shankar M"/>
    <d v="2026-08-20T00:00:00"/>
    <x v="0"/>
    <s v="Intern"/>
    <s v="Chennai"/>
    <s v="INTFE26FE001"/>
    <s v="Grace Esther S"/>
    <d v="2026-10-15T00:00:00"/>
    <x v="3"/>
    <s v="In-Training"/>
    <x v="0"/>
    <x v="0"/>
    <s v="CNR 2 PG Gents"/>
    <x v="0"/>
    <x v="1"/>
    <x v="0"/>
    <x v="0"/>
    <x v="0"/>
  </r>
  <r>
    <n v="2531830"/>
    <s v="Sanket Mahesh Shewalkar"/>
    <d v="2026-08-20T00:00:00"/>
    <x v="0"/>
    <s v="FTE"/>
    <s v="Chennai"/>
    <s v="CS26CS011"/>
    <s v="Kishorekumar P"/>
    <d v="2026-11-17T00:00:00"/>
    <x v="0"/>
    <s v="In-Training"/>
    <x v="0"/>
    <x v="0"/>
    <s v="Siddus Premium mens pg"/>
    <x v="0"/>
    <x v="0"/>
    <x v="3"/>
    <x v="0"/>
    <x v="0"/>
  </r>
  <r>
    <n v="2521727"/>
    <s v="Dharshini S S"/>
    <d v="2026-07-09T00:00:00"/>
    <x v="1"/>
    <s v="FTE"/>
    <s v="Chennai"/>
    <s v="QEA26NFTPA002"/>
    <s v="Lourdhu Selvin Raj X"/>
    <d v="2026-11-11T00:00:00"/>
    <x v="0"/>
    <s v="In-Training"/>
    <x v="0"/>
    <x v="0"/>
    <s v="New Manikandan Ladies Hostel-Branch 14,Kalipattur"/>
    <x v="0"/>
    <x v="0"/>
    <x v="3"/>
    <x v="0"/>
    <x v="0"/>
  </r>
  <r>
    <n v="2521836"/>
    <s v="Karan Saxena"/>
    <d v="2026-07-09T00:00:00"/>
    <x v="0"/>
    <s v="FTE"/>
    <s v="Chennai"/>
    <s v="QEA26SD001"/>
    <s v="Ajiesya D P"/>
    <d v="2026-11-03T00:00:00"/>
    <x v="0"/>
    <s v="In-Training"/>
    <x v="1"/>
    <x v="3"/>
    <s v="102B Greenwood, Hiranandani, Egatur"/>
    <x v="0"/>
    <x v="1"/>
    <x v="0"/>
    <x v="0"/>
    <x v="1"/>
  </r>
  <r>
    <n v="2531815"/>
    <s v="Balavinayak Balasubramanian"/>
    <d v="2026-08-20T00:00:00"/>
    <x v="0"/>
    <s v="FTE"/>
    <s v="Chennai"/>
    <s v="CS26CS012"/>
    <s v="Laksiya Vijayendran"/>
    <d v="2026-11-17T00:00:00"/>
    <x v="0"/>
    <s v="In-Training"/>
    <x v="1"/>
    <x v="1"/>
    <s v="ANNAI OIKOS"/>
    <x v="0"/>
    <x v="1"/>
    <x v="8"/>
    <x v="4"/>
    <x v="1"/>
  </r>
  <r>
    <n v="2516865"/>
    <s v="Sohil Choudhary"/>
    <d v="2026-06-18T00:00:00"/>
    <x v="0"/>
    <s v="FTE"/>
    <s v="Chennai"/>
    <s v="CIS26NET004"/>
    <s v="Uma Venkatachalam"/>
    <d v="2026-09-04T00:00:00"/>
    <x v="2"/>
    <s v="In-Training-Remedial"/>
    <x v="0"/>
    <x v="0"/>
    <s v="Sahasra Deluxe PG for men - Branch 1, Egattur"/>
    <x v="0"/>
    <x v="0"/>
    <x v="0"/>
    <x v="0"/>
    <x v="0"/>
  </r>
  <r>
    <n v="2520934"/>
    <s v="Sahana Katral"/>
    <d v="2026-07-07T00:00:00"/>
    <x v="1"/>
    <s v="FTE"/>
    <s v="Chennai"/>
    <s v="EPS26WD004"/>
    <s v="Ajith Ganesan"/>
    <d v="2026-10-15T00:00:00"/>
    <x v="3"/>
    <s v="In-Training"/>
    <x v="0"/>
    <x v="0"/>
    <s v="Sri Lakshmi Venkateswara ladies Pg"/>
    <x v="0"/>
    <x v="1"/>
    <x v="3"/>
    <x v="0"/>
    <x v="0"/>
  </r>
  <r>
    <n v="2521637"/>
    <s v="Sadiya Khamar Patel"/>
    <d v="2026-07-09T00:00:00"/>
    <x v="1"/>
    <s v="FTE"/>
    <s v="Chennai"/>
    <s v="ADM26MF011"/>
    <s v="Abinaya R"/>
    <d v="2026-11-02T00:00:00"/>
    <x v="0"/>
    <s v="In-Training"/>
    <x v="0"/>
    <x v="0"/>
    <s v="Sri Sai Uniq Ladies PG, Egattur"/>
    <x v="0"/>
    <x v="0"/>
    <x v="3"/>
    <x v="0"/>
    <x v="0"/>
  </r>
  <r>
    <n v="2507177"/>
    <s v="Kolla Tejaswi"/>
    <d v="2026-04-30T00:00:00"/>
    <x v="1"/>
    <s v="FTE"/>
    <s v="Chennai"/>
    <s v="ISG26JSAAT002"/>
    <s v="Ashiya Begam S"/>
    <d v="2026-09-04T00:00:00"/>
    <x v="2"/>
    <s v="In-Training"/>
    <x v="0"/>
    <x v="0"/>
    <s v="Krishna nivas pg-egattur"/>
    <x v="0"/>
    <x v="0"/>
    <x v="0"/>
    <x v="0"/>
    <x v="0"/>
  </r>
  <r>
    <n v="2519669"/>
    <s v="Venkatesh B"/>
    <d v="2026-07-02T00:00:00"/>
    <x v="0"/>
    <s v="FTE"/>
    <s v="Chennai"/>
    <s v="CIS26MCPT013"/>
    <s v="Lawrance M"/>
    <d v="2026-10-29T00:00:00"/>
    <x v="3"/>
    <s v="In-Training"/>
    <x v="0"/>
    <x v="0"/>
    <s v="Phoenix Mens Pg Egattur"/>
    <x v="0"/>
    <x v="0"/>
    <x v="0"/>
    <x v="0"/>
    <x v="0"/>
  </r>
  <r>
    <n v="2524532"/>
    <s v="Sneha Yadav"/>
    <d v="2026-07-21T00:00:00"/>
    <x v="1"/>
    <s v="FTE"/>
    <s v="Chennai"/>
    <s v="ADM26MF012"/>
    <s v="Lourdhu Selvin Raj X"/>
    <d v="2026-11-17T00:00:00"/>
    <x v="0"/>
    <s v="In-Training"/>
    <x v="0"/>
    <x v="0"/>
    <s v="JVR GIRLS HOSTEL PG"/>
    <x v="0"/>
    <x v="0"/>
    <x v="3"/>
    <x v="0"/>
    <x v="0"/>
  </r>
  <r>
    <n v="2524642"/>
    <s v="Pratiksha Bhagavanrao Pawar"/>
    <d v="2026-07-21T00:00:00"/>
    <x v="1"/>
    <s v="FTE"/>
    <s v="Chennai"/>
    <s v="QEA26QEPT024"/>
    <s v="Ajiesya D P"/>
    <d v="2026-10-30T00:00:00"/>
    <x v="3"/>
    <s v="In-Training"/>
    <x v="0"/>
    <x v="0"/>
    <s v="MSR Ladies Pg Branch 3, S.No.92/12, Gangai Amman Kovil Street, Old Mahabalipuram Road, Egattur, Siruseri, Tamil Nadu."/>
    <x v="0"/>
    <x v="0"/>
    <x v="0"/>
    <x v="0"/>
    <x v="0"/>
  </r>
  <r>
    <n v="2531400"/>
    <s v="Manisha Bishnoi"/>
    <d v="2026-08-18T00:00:00"/>
    <x v="1"/>
    <s v="FTE"/>
    <s v="Chennai"/>
    <s v="EPS26SAP036"/>
    <s v="Vishnupriya Dakshnamurthy"/>
    <d v="2026-11-09T00:00:00"/>
    <x v="0"/>
    <s v="In-Training"/>
    <x v="0"/>
    <x v="0"/>
    <s v="truliv-sofia-co-living"/>
    <x v="0"/>
    <x v="0"/>
    <x v="9"/>
    <x v="4"/>
    <x v="0"/>
  </r>
  <r>
    <n v="2531445"/>
    <s v="Mohammad Muzammil"/>
    <d v="2026-08-18T00:00:00"/>
    <x v="0"/>
    <s v="FTE"/>
    <s v="Chennai"/>
    <s v="EPS26SAP034"/>
    <s v="Gayathri Ramachandran"/>
    <d v="2026-11-05T00:00:00"/>
    <x v="0"/>
    <s v="In-Training"/>
    <x v="0"/>
    <x v="0"/>
    <s v="Siva Sai PG SIPCOT IT  park"/>
    <x v="0"/>
    <x v="0"/>
    <x v="3"/>
    <x v="0"/>
    <x v="0"/>
  </r>
  <r>
    <n v="2529539"/>
    <s v="Harshini Saravanan"/>
    <d v="2026-08-11T00:00:00"/>
    <x v="1"/>
    <s v="FTE"/>
    <s v="Chennai"/>
    <s v="CIS26MCPT026"/>
    <s v="Mohamed Harish"/>
    <d v="2026-12-08T00:00:00"/>
    <x v="1"/>
    <s v="In-Training"/>
    <x v="0"/>
    <x v="0"/>
    <s v="CSR luxury womens Pg Branch 2"/>
    <x v="0"/>
    <x v="1"/>
    <x v="0"/>
    <x v="0"/>
    <x v="0"/>
  </r>
  <r>
    <n v="2532961"/>
    <s v="Barathi M"/>
    <d v="2026-08-25T00:00:00"/>
    <x v="1"/>
    <s v="FTE"/>
    <s v="Chennai"/>
    <s v="CIS26MBG004"/>
    <s v="Kishorekumar P"/>
    <d v="2026-12-11T00:00:00"/>
    <x v="1"/>
    <s v="In-Training"/>
    <x v="0"/>
    <x v="0"/>
    <s v="Sai grand womens pg "/>
    <x v="0"/>
    <x v="0"/>
    <x v="0"/>
    <x v="0"/>
    <x v="0"/>
  </r>
  <r>
    <n v="2524557"/>
    <s v="Sakshi Rahul Devsthali"/>
    <d v="2026-07-21T00:00:00"/>
    <x v="1"/>
    <s v="FTE"/>
    <s v="Chennai"/>
    <s v="QEA26QEPT024"/>
    <s v="Ajiesya D P"/>
    <d v="2026-11-04T00:00:00"/>
    <x v="0"/>
    <s v="In-Training"/>
    <x v="0"/>
    <x v="0"/>
    <s v="Parin ladies pg"/>
    <x v="0"/>
    <x v="0"/>
    <x v="0"/>
    <x v="0"/>
    <x v="0"/>
  </r>
  <r>
    <n v="2519678"/>
    <s v="Aiswarya Dinesan"/>
    <d v="2026-07-02T00:00:00"/>
    <x v="1"/>
    <s v="FTE"/>
    <s v="Chennai"/>
    <s v="CIS26MCPT013"/>
    <s v="Lawrance M"/>
    <d v="2026-10-29T00:00:00"/>
    <x v="3"/>
    <s v="In-Training"/>
    <x v="0"/>
    <x v="4"/>
    <s v="Ambika Nest Hostel, Siruseri"/>
    <x v="0"/>
    <x v="0"/>
    <x v="3"/>
    <x v="0"/>
    <x v="0"/>
  </r>
  <r>
    <n v="2521660"/>
    <s v="Satish Ranjan Routray"/>
    <d v="2026-07-09T00:00:00"/>
    <x v="0"/>
    <s v="FTE"/>
    <s v="Chennai"/>
    <s v="ADM26MF011"/>
    <s v="Abinaya R"/>
    <d v="2026-11-02T00:00:00"/>
    <x v="0"/>
    <s v="In-Training"/>
    <x v="0"/>
    <x v="4"/>
    <s v="Sai Grand Gents Hostel, 4/178, Periyar Street, Egattur, Chennai"/>
    <x v="0"/>
    <x v="0"/>
    <x v="3"/>
    <x v="0"/>
    <x v="0"/>
  </r>
  <r>
    <n v="2521699"/>
    <s v="Prayatna Padmanav Sahu"/>
    <d v="2026-07-09T00:00:00"/>
    <x v="0"/>
    <s v="FTE"/>
    <s v="Chennai"/>
    <s v="ADM26DNAT003"/>
    <s v="Athira P"/>
    <d v="2026-10-23T00:00:00"/>
    <x v="3"/>
    <s v="In-Training"/>
    <x v="0"/>
    <x v="4"/>
    <s v="Sai Grand Gents Hostel"/>
    <x v="0"/>
    <x v="0"/>
    <x v="0"/>
    <x v="0"/>
    <x v="0"/>
  </r>
  <r>
    <n v="2480307"/>
    <s v="Nandhitha B"/>
    <d v="2026-08-20T00:00:00"/>
    <x v="1"/>
    <s v="CSD"/>
    <s v="Chennai"/>
    <s v="INTFE26FE001"/>
    <s v="Grace Esther S"/>
    <d v="2026-10-15T00:00:00"/>
    <x v="3"/>
    <s v="In-Training"/>
    <x v="1"/>
    <x v="1"/>
    <s v="Own House"/>
    <x v="0"/>
    <x v="1"/>
    <x v="10"/>
    <x v="1"/>
    <x v="1"/>
  </r>
  <r>
    <n v="2525043"/>
    <s v="Eshwar S"/>
    <d v="2026-07-23T00:00:00"/>
    <x v="0"/>
    <s v="FTE"/>
    <s v="Chennai"/>
    <s v="ADM26ISMO010"/>
    <s v="Thomas Naveen. J"/>
    <d v="2026-10-06T00:00:00"/>
    <x v="3"/>
    <s v="In-Training"/>
    <x v="1"/>
    <x v="1"/>
    <s v="NA"/>
    <x v="0"/>
    <x v="1"/>
    <x v="10"/>
    <x v="1"/>
    <x v="1"/>
  </r>
  <r>
    <n v="2530200"/>
    <s v="Harini G"/>
    <d v="2026-08-13T00:00:00"/>
    <x v="1"/>
    <s v="FTE"/>
    <s v="Chennai"/>
    <s v="EPS26OSP010"/>
    <s v="Vishnupriya Dakshnamurthy"/>
    <d v="2026-12-01T00:00:00"/>
    <x v="1"/>
    <s v="In-Training"/>
    <x v="1"/>
    <x v="1"/>
    <s v="R R flats (Home), ayyappanthangal, chennai-56"/>
    <x v="0"/>
    <x v="1"/>
    <x v="11"/>
    <x v="1"/>
    <x v="1"/>
  </r>
  <r>
    <n v="2531393"/>
    <s v="Sruthi S"/>
    <d v="2026-08-18T00:00:00"/>
    <x v="1"/>
    <s v="FTE"/>
    <s v="Chennai"/>
    <s v="EPS26SAP036"/>
    <s v="Vishnupriya Dakshnamurthy"/>
    <d v="2026-11-09T00:00:00"/>
    <x v="0"/>
    <s v="In-Training"/>
    <x v="1"/>
    <x v="1"/>
    <s v="No 223, 2nd Street, Gajalakshmi Nagar, Chinna Nolambur, Maduravoyal, Chennai 95"/>
    <x v="0"/>
    <x v="0"/>
    <x v="12"/>
    <x v="1"/>
    <x v="1"/>
  </r>
  <r>
    <n v="2531956"/>
    <s v="Dharshini R"/>
    <d v="2026-08-20T00:00:00"/>
    <x v="1"/>
    <s v="FTE"/>
    <s v="Chennai"/>
    <s v="EPS26OSP011"/>
    <s v="Gayathri Ramachandran"/>
    <s v=""/>
    <x v="1"/>
    <s v="Training - ON Hold"/>
    <x v="1"/>
    <x v="1"/>
    <s v="No.12,Gandhi Avenue 1st street,Thiruvottriyur"/>
    <x v="0"/>
    <x v="1"/>
    <x v="13"/>
    <x v="1"/>
    <x v="1"/>
  </r>
  <r>
    <n v="2531978"/>
    <s v="Nanditha D B"/>
    <d v="2026-08-20T00:00:00"/>
    <x v="1"/>
    <s v="FTE"/>
    <s v="Chennai"/>
    <s v="EPS26OSP011"/>
    <s v="Gayathri Ramachandran"/>
    <s v=""/>
    <x v="1"/>
    <s v="Training - ON Hold"/>
    <x v="1"/>
    <x v="1"/>
    <s v="HOME"/>
    <x v="0"/>
    <x v="1"/>
    <x v="14"/>
    <x v="1"/>
    <x v="1"/>
  </r>
  <r>
    <n v="2533041"/>
    <s v="Aashiq M"/>
    <d v="2026-08-25T00:00:00"/>
    <x v="0"/>
    <s v="FTE"/>
    <s v="Chennai"/>
    <s v="ADM27DFSA001"/>
    <s v="Thomas Naveen. J"/>
    <d v="2026-12-30T00:00:00"/>
    <x v="1"/>
    <s v="In-Training"/>
    <x v="1"/>
    <x v="1"/>
    <s v="Mahalakshmi Apartments"/>
    <x v="0"/>
    <x v="1"/>
    <x v="15"/>
    <x v="1"/>
    <x v="1"/>
  </r>
  <r>
    <n v="2511234"/>
    <s v="Sameerullah Shaik"/>
    <d v="2026-05-21T00:00:00"/>
    <x v="0"/>
    <s v="FTE"/>
    <s v="Chennai"/>
    <s v="CIS26MCPT010"/>
    <s v="Mohamed Harish"/>
    <d v="2026-09-10T00:00:00"/>
    <x v="2"/>
    <s v="In-Training"/>
    <x v="0"/>
    <x v="0"/>
    <s v="Vishvas PG - egattur"/>
    <x v="0"/>
    <x v="0"/>
    <x v="0"/>
    <x v="0"/>
    <x v="0"/>
  </r>
  <r>
    <n v="2512312"/>
    <s v="Rohan Lohani"/>
    <d v="2026-05-28T00:00:00"/>
    <x v="0"/>
    <s v="FTE"/>
    <s v="Chennai"/>
    <s v="CIS26MCPT011"/>
    <s v="Uma Venkatachalam"/>
    <d v="2026-09-17T00:00:00"/>
    <x v="2"/>
    <s v="In-Training"/>
    <x v="0"/>
    <x v="0"/>
    <s v="SS (Siva Sai) Gents PG"/>
    <x v="0"/>
    <x v="0"/>
    <x v="3"/>
    <x v="0"/>
    <x v="0"/>
  </r>
  <r>
    <n v="2518822"/>
    <s v="Vaibhav Navnath Gavli"/>
    <d v="2026-06-30T00:00:00"/>
    <x v="0"/>
    <s v="FTE"/>
    <s v="Chennai"/>
    <s v="CIS26SB001"/>
    <s v="Kishorekumar P"/>
    <d v="2026-10-14T00:00:00"/>
    <x v="3"/>
    <s v="In-Training"/>
    <x v="0"/>
    <x v="0"/>
    <s v="Sai Grand gents Hostel, Egattur"/>
    <x v="0"/>
    <x v="0"/>
    <x v="0"/>
    <x v="0"/>
    <x v="0"/>
  </r>
  <r>
    <n v="2518831"/>
    <s v="Manav Satish Pethe"/>
    <d v="2026-06-30T00:00:00"/>
    <x v="0"/>
    <s v="FTE"/>
    <s v="Chennai"/>
    <s v="CIS26SB001"/>
    <s v="Kishorekumar P"/>
    <d v="2026-10-14T00:00:00"/>
    <x v="3"/>
    <s v="In-Training"/>
    <x v="0"/>
    <x v="0"/>
    <s v="Sai Grand Gents Hostel, 4/178 Periyar Street, Thiruporur, Tamil Nadu 600130"/>
    <x v="0"/>
    <x v="0"/>
    <x v="3"/>
    <x v="0"/>
    <x v="0"/>
  </r>
  <r>
    <n v="2520938"/>
    <s v="Pawan Gadelavarthi"/>
    <d v="2026-07-07T00:00:00"/>
    <x v="0"/>
    <s v="FTE"/>
    <s v="Chennai"/>
    <s v="EPS26WD004"/>
    <s v="Ajith Ganesan"/>
    <d v="2026-10-15T00:00:00"/>
    <x v="3"/>
    <s v="In-Training"/>
    <x v="0"/>
    <x v="0"/>
    <s v="CNR Gents PG Branch 1 ,3rd Street ,Egatur, Chennai"/>
    <x v="0"/>
    <x v="0"/>
    <x v="3"/>
    <x v="0"/>
    <x v="0"/>
  </r>
  <r>
    <n v="2520940"/>
    <s v="Anand Sanjay Dhomase"/>
    <d v="2026-07-07T00:00:00"/>
    <x v="0"/>
    <s v="FTE"/>
    <s v="Chennai"/>
    <s v="CS26CS007"/>
    <s v="Lawrance M"/>
    <d v="2026-09-07T00:00:00"/>
    <x v="2"/>
    <s v="In-Training"/>
    <x v="0"/>
    <x v="0"/>
    <s v="Riverok villas"/>
    <x v="0"/>
    <x v="0"/>
    <x v="3"/>
    <x v="0"/>
    <x v="0"/>
  </r>
  <r>
    <n v="2520946"/>
    <s v="Yugank Singh"/>
    <d v="2026-07-07T00:00:00"/>
    <x v="0"/>
    <s v="FTE"/>
    <s v="Chennai"/>
    <s v="EPS26WD004"/>
    <s v="Ajith Ganesan"/>
    <d v="2026-10-15T00:00:00"/>
    <x v="3"/>
    <s v="In-Training"/>
    <x v="0"/>
    <x v="0"/>
    <s v="KR MEN’s PG"/>
    <x v="0"/>
    <x v="0"/>
    <x v="3"/>
    <x v="0"/>
    <x v="0"/>
  </r>
  <r>
    <n v="2520949"/>
    <s v="Paritala Lavanya"/>
    <d v="2026-07-07T00:00:00"/>
    <x v="1"/>
    <s v="FTE"/>
    <s v="Chennai"/>
    <s v="EPS26WD004"/>
    <s v="Ajith Ganesan"/>
    <d v="2026-10-15T00:00:00"/>
    <x v="3"/>
    <s v="In-Training"/>
    <x v="0"/>
    <x v="0"/>
    <s v="Egattur "/>
    <x v="0"/>
    <x v="0"/>
    <x v="0"/>
    <x v="0"/>
    <x v="0"/>
  </r>
  <r>
    <n v="2520963"/>
    <s v="Neeraj Sanjay Bhandarwar"/>
    <d v="2026-07-07T00:00:00"/>
    <x v="0"/>
    <s v="FTE"/>
    <s v="Chennai"/>
    <s v="CS26CS007"/>
    <s v="Lawrance M"/>
    <d v="2026-09-07T00:00:00"/>
    <x v="2"/>
    <s v="In-Training"/>
    <x v="0"/>
    <x v="0"/>
    <s v="SRI VENKATA SAI HANUMAN GENTS PG (Branch-2), 4/162A, Anna Street, Siruseri, Chennai, Tamil Nadu 603103"/>
    <x v="0"/>
    <x v="0"/>
    <x v="3"/>
    <x v="0"/>
    <x v="0"/>
  </r>
  <r>
    <n v="2520965"/>
    <s v="Pranav Nandkumar Khot"/>
    <d v="2026-07-07T00:00:00"/>
    <x v="0"/>
    <s v="FTE"/>
    <s v="Chennai"/>
    <s v="CS26CS007"/>
    <s v="Lawrance M"/>
    <d v="2026-09-07T00:00:00"/>
    <x v="2"/>
    <s v="In-Training"/>
    <x v="0"/>
    <x v="0"/>
    <s v="Riverok villas"/>
    <x v="0"/>
    <x v="0"/>
    <x v="3"/>
    <x v="0"/>
    <x v="0"/>
  </r>
  <r>
    <n v="2520966"/>
    <s v="Shayan Aslam Shaikh"/>
    <d v="2026-07-07T00:00:00"/>
    <x v="0"/>
    <s v="FTE"/>
    <s v="Chennai"/>
    <s v="CS26CS007"/>
    <s v="Lawrance M"/>
    <d v="2026-09-07T00:00:00"/>
    <x v="2"/>
    <s v="In-Training"/>
    <x v="0"/>
    <x v="0"/>
    <s v="SRI VENKATA SAI HANUMAN GENTS PG (Branch-2), 4/162A, Anna Street, Siruseri, Chennai, Tamil Nadu 603103"/>
    <x v="0"/>
    <x v="0"/>
    <x v="3"/>
    <x v="0"/>
    <x v="0"/>
  </r>
  <r>
    <n v="2520975"/>
    <s v="Sanjeev Pal"/>
    <d v="2026-07-07T00:00:00"/>
    <x v="0"/>
    <s v="FTE"/>
    <s v="Chennai"/>
    <s v="HPC26DN005"/>
    <s v="Viveka Preethi"/>
    <d v="2026-10-01T00:00:00"/>
    <x v="3"/>
    <s v="In-Training"/>
    <x v="0"/>
    <x v="0"/>
    <s v="Sri Venkateswara Luxury for gents , Navalur"/>
    <x v="0"/>
    <x v="0"/>
    <x v="2"/>
    <x v="0"/>
    <x v="0"/>
  </r>
  <r>
    <n v="2520986"/>
    <s v="Dhana Bala Murugan M"/>
    <d v="2026-07-07T00:00:00"/>
    <x v="0"/>
    <s v="FTE"/>
    <s v="Chennai"/>
    <s v="HPC26DN005"/>
    <s v="Viveka Preethi"/>
    <d v="2026-10-01T00:00:00"/>
    <x v="3"/>
    <s v="In-Training"/>
    <x v="0"/>
    <x v="0"/>
    <s v="Phoenix Mens Hostel, Egatur."/>
    <x v="0"/>
    <x v="0"/>
    <x v="0"/>
    <x v="0"/>
    <x v="0"/>
  </r>
  <r>
    <n v="2520987"/>
    <s v="Mangiri Devika"/>
    <d v="2026-07-07T00:00:00"/>
    <x v="1"/>
    <s v="FTE"/>
    <s v="Chennai"/>
    <s v="EPS26WD004"/>
    <s v="Ajith Ganesan"/>
    <d v="2026-10-15T00:00:00"/>
    <x v="3"/>
    <s v="In-Training"/>
    <x v="0"/>
    <x v="0"/>
    <s v="Sri Srinivasa Ladies PG, Periyar st, Egattur, Tamil Nadu,600130"/>
    <x v="0"/>
    <x v="0"/>
    <x v="0"/>
    <x v="0"/>
    <x v="0"/>
  </r>
  <r>
    <n v="2521030"/>
    <s v="Thandra Jaideep"/>
    <d v="2026-07-07T00:00:00"/>
    <x v="0"/>
    <s v="FTE"/>
    <s v="Chennai"/>
    <s v="SNBG26SN003"/>
    <s v="Lawrance M"/>
    <d v="2026-10-08T00:00:00"/>
    <x v="3"/>
    <s v="In-Training"/>
    <x v="0"/>
    <x v="0"/>
    <s v="Sahasra Deluxe PG for Men"/>
    <x v="0"/>
    <x v="0"/>
    <x v="0"/>
    <x v="0"/>
    <x v="0"/>
  </r>
  <r>
    <n v="2521034"/>
    <s v="Kakani Cherry Johnson"/>
    <d v="2026-07-07T00:00:00"/>
    <x v="0"/>
    <s v="FTE"/>
    <s v="Chennai"/>
    <s v="SNBG26SN004"/>
    <s v="Kishorekumar P"/>
    <d v="2026-09-16T00:00:00"/>
    <x v="2"/>
    <s v="In-Training"/>
    <x v="0"/>
    <x v="0"/>
    <s v="Room No: 203, 1st floor, SPT PG for Gents, Egattur, Chennai  "/>
    <x v="0"/>
    <x v="0"/>
    <x v="0"/>
    <x v="0"/>
    <x v="0"/>
  </r>
  <r>
    <n v="2521035"/>
    <s v="Mulukanuri Vishva Kiran Kumar"/>
    <d v="2026-07-07T00:00:00"/>
    <x v="0"/>
    <s v="FTE"/>
    <s v="Chennai"/>
    <s v="SNBG26SN002"/>
    <s v="Lawrance M"/>
    <d v="2026-09-16T00:00:00"/>
    <x v="2"/>
    <s v="In-Training"/>
    <x v="0"/>
    <x v="0"/>
    <s v="CNR PG - branch 1, Eggatur, siruseri sipcot IT park"/>
    <x v="0"/>
    <x v="0"/>
    <x v="0"/>
    <x v="0"/>
    <x v="0"/>
  </r>
  <r>
    <n v="2521050"/>
    <s v="Mogalapalli Aravind Reddy"/>
    <d v="2026-07-07T00:00:00"/>
    <x v="0"/>
    <s v="FTE"/>
    <s v="Chennai"/>
    <s v="CIS26SN001"/>
    <s v="Ashiya Begam S"/>
    <d v="2026-09-16T00:00:00"/>
    <x v="2"/>
    <s v="In-Training"/>
    <x v="0"/>
    <x v="0"/>
    <s v="SPT Pg for Gents, Egattur"/>
    <x v="0"/>
    <x v="0"/>
    <x v="0"/>
    <x v="0"/>
    <x v="0"/>
  </r>
  <r>
    <n v="2521052"/>
    <s v="Balusu Vignesh"/>
    <d v="2026-07-07T00:00:00"/>
    <x v="0"/>
    <s v="FTE"/>
    <s v="Chennai"/>
    <s v="SNBG26SN002"/>
    <s v="Lawrance M"/>
    <d v="2026-10-08T00:00:00"/>
    <x v="3"/>
    <s v="In-Training"/>
    <x v="0"/>
    <x v="0"/>
    <s v="CNR GENTS PG BRANCH-1 SIRUSERI SIPCOT"/>
    <x v="0"/>
    <x v="0"/>
    <x v="3"/>
    <x v="0"/>
    <x v="0"/>
  </r>
  <r>
    <n v="2521070"/>
    <s v="Animireddy Sai Gowtham"/>
    <d v="2026-07-07T00:00:00"/>
    <x v="0"/>
    <s v="FTE"/>
    <s v="Chennai"/>
    <s v="SNBG26SN004"/>
    <s v="Kishorekumar P"/>
    <d v="2026-09-16T00:00:00"/>
    <x v="2"/>
    <s v="In-Training"/>
    <x v="0"/>
    <x v="0"/>
    <s v="SP MENS PG"/>
    <x v="0"/>
    <x v="0"/>
    <x v="2"/>
    <x v="0"/>
    <x v="0"/>
  </r>
  <r>
    <n v="2521092"/>
    <s v="Kushal Sai Naga Chandan Mindi"/>
    <d v="2026-07-07T00:00:00"/>
    <x v="0"/>
    <s v="FTE"/>
    <s v="Chennai"/>
    <s v="SNBG26SN004"/>
    <s v="Kishorekumar P"/>
    <d v="2026-10-08T00:00:00"/>
    <x v="3"/>
    <s v="In-Training"/>
    <x v="0"/>
    <x v="0"/>
    <s v="Sahasra Deluxe PG for Men"/>
    <x v="0"/>
    <x v="0"/>
    <x v="0"/>
    <x v="0"/>
    <x v="0"/>
  </r>
  <r>
    <n v="2521100"/>
    <s v="Gowtham Tirumalakonda"/>
    <d v="2026-07-07T00:00:00"/>
    <x v="0"/>
    <s v="FTE"/>
    <s v="Chennai"/>
    <s v="SNBG26SN003"/>
    <s v="Lawrance M"/>
    <d v="2026-09-16T00:00:00"/>
    <x v="2"/>
    <s v="In-Training"/>
    <x v="0"/>
    <x v="0"/>
    <s v="SPT PG FOR GENTS, Egattur"/>
    <x v="0"/>
    <x v="0"/>
    <x v="0"/>
    <x v="0"/>
    <x v="0"/>
  </r>
  <r>
    <n v="2521104"/>
    <s v="Mohammad Imthiyaz Mohammad Rafeeq"/>
    <d v="2026-07-07T00:00:00"/>
    <x v="0"/>
    <s v="FTE"/>
    <s v="Chennai"/>
    <s v="HPC26DN005"/>
    <s v="Viveka Preethi"/>
    <d v="2026-10-01T00:00:00"/>
    <x v="3"/>
    <s v="In-Training"/>
    <x v="0"/>
    <x v="0"/>
    <s v="Narayanan Gents PG - Navalur"/>
    <x v="0"/>
    <x v="1"/>
    <x v="2"/>
    <x v="0"/>
    <x v="0"/>
  </r>
  <r>
    <n v="2521139"/>
    <s v="Praneeth Reddy Ambati"/>
    <d v="2026-07-07T00:00:00"/>
    <x v="0"/>
    <s v="FTE"/>
    <s v="Chennai"/>
    <s v="SNBG26SN003"/>
    <s v="Lawrance M"/>
    <d v="2026-09-16T00:00:00"/>
    <x v="2"/>
    <s v="In-Training"/>
    <x v="0"/>
    <x v="0"/>
    <s v="SPT pg for gents, egattur, chennai, Tamilnadu"/>
    <x v="0"/>
    <x v="0"/>
    <x v="0"/>
    <x v="0"/>
    <x v="0"/>
  </r>
  <r>
    <n v="2521145"/>
    <s v="Swayamvarapu Kumara Swamy"/>
    <d v="2026-07-07T00:00:00"/>
    <x v="0"/>
    <s v="FTE"/>
    <s v="Chennai"/>
    <s v="SNBG26SN003"/>
    <s v="Lawrance M"/>
    <d v="2026-10-08T00:00:00"/>
    <x v="3"/>
    <s v="In-Training"/>
    <x v="0"/>
    <x v="0"/>
    <s v="Sahasra Deluxe PG for Men , Egattur"/>
    <x v="0"/>
    <x v="0"/>
    <x v="0"/>
    <x v="0"/>
    <x v="0"/>
  </r>
  <r>
    <n v="2521199"/>
    <s v="Prasad Pradip Bulli"/>
    <d v="2026-07-07T00:00:00"/>
    <x v="0"/>
    <s v="FTE"/>
    <s v="Chennai"/>
    <s v="EPS26WD004"/>
    <s v="Ajith Ganesan"/>
    <d v="2026-10-15T00:00:00"/>
    <x v="3"/>
    <s v="In-Training"/>
    <x v="0"/>
    <x v="0"/>
    <s v="Hanuman PG Anna Street,Egattur"/>
    <x v="0"/>
    <x v="0"/>
    <x v="3"/>
    <x v="0"/>
    <x v="0"/>
  </r>
  <r>
    <n v="2521263"/>
    <s v="Gajjala Shashidhar Reddy"/>
    <d v="2026-07-07T00:00:00"/>
    <x v="0"/>
    <s v="FTE"/>
    <s v="Chennai"/>
    <s v="SNBG26SN004"/>
    <s v="Kishorekumar P"/>
    <d v="2026-10-08T00:00:00"/>
    <x v="3"/>
    <s v="In-Training"/>
    <x v="0"/>
    <x v="0"/>
    <s v="SPT PG for Gents, Egattur"/>
    <x v="0"/>
    <x v="0"/>
    <x v="0"/>
    <x v="0"/>
    <x v="0"/>
  </r>
  <r>
    <n v="2521271"/>
    <s v="N D Adithya"/>
    <d v="2026-07-07T00:00:00"/>
    <x v="0"/>
    <s v="FTE"/>
    <s v="Chennai"/>
    <s v="CIS26SN001"/>
    <s v="Ashiya Begam S"/>
    <d v="2026-09-16T00:00:00"/>
    <x v="2"/>
    <s v="In-Training"/>
    <x v="0"/>
    <x v="0"/>
    <s v="Siddus Premium Mens PG SIRUSERI SIPCOT IT"/>
    <x v="0"/>
    <x v="0"/>
    <x v="3"/>
    <x v="0"/>
    <x v="0"/>
  </r>
  <r>
    <n v="2521280"/>
    <s v="Varun K"/>
    <d v="2026-07-07T00:00:00"/>
    <x v="0"/>
    <s v="FTE"/>
    <s v="Chennai"/>
    <s v="SNBG26SN004"/>
    <s v="Kishorekumar P"/>
    <d v="2026-10-08T00:00:00"/>
    <x v="3"/>
    <s v="In-Training"/>
    <x v="0"/>
    <x v="0"/>
    <s v="Anish Luxury Gents PG, Egattur"/>
    <x v="0"/>
    <x v="0"/>
    <x v="3"/>
    <x v="0"/>
    <x v="0"/>
  </r>
  <r>
    <n v="2521299"/>
    <s v="Sayala Revathi"/>
    <d v="2026-07-07T00:00:00"/>
    <x v="1"/>
    <s v="FTE"/>
    <s v="Chennai"/>
    <s v="CIS26SN001"/>
    <s v="Ashiya Begam S"/>
    <d v="2026-09-16T00:00:00"/>
    <x v="2"/>
    <s v="In-Training"/>
    <x v="0"/>
    <x v="0"/>
    <s v="Krishna Nivas Ladies PG, Egattur"/>
    <x v="0"/>
    <x v="0"/>
    <x v="0"/>
    <x v="0"/>
    <x v="0"/>
  </r>
  <r>
    <n v="2521308"/>
    <s v="Shaik Abdul Mueen"/>
    <d v="2026-07-07T00:00:00"/>
    <x v="0"/>
    <s v="FTE"/>
    <s v="Chennai"/>
    <s v="SNBG26SN003"/>
    <s v="Lawrance M"/>
    <d v="2026-09-16T00:00:00"/>
    <x v="2"/>
    <s v="In-Training"/>
    <x v="0"/>
    <x v="0"/>
    <s v="SPT PG FOR GENTS, Egattur"/>
    <x v="0"/>
    <x v="0"/>
    <x v="0"/>
    <x v="0"/>
    <x v="0"/>
  </r>
  <r>
    <n v="2521626"/>
    <s v="Ms Supreeth"/>
    <d v="2026-07-09T00:00:00"/>
    <x v="0"/>
    <s v="FTE"/>
    <s v="Chennai"/>
    <s v="ADM26MF011"/>
    <s v="Abinaya R"/>
    <d v="2026-11-02T00:00:00"/>
    <x v="0"/>
    <s v="In-Training"/>
    <x v="0"/>
    <x v="0"/>
    <s v="Vishnu living rooms, villas and pg accommodation, Sky garden villas, "/>
    <x v="0"/>
    <x v="0"/>
    <x v="3"/>
    <x v="0"/>
    <x v="0"/>
  </r>
  <r>
    <n v="2521632"/>
    <s v="Kunal Gupta"/>
    <d v="2026-07-09T00:00:00"/>
    <x v="0"/>
    <s v="FTE"/>
    <s v="Chennai"/>
    <s v="ADM26MF011"/>
    <s v="Abinaya R"/>
    <d v="2026-11-02T00:00:00"/>
    <x v="0"/>
    <s v="In-Training"/>
    <x v="0"/>
    <x v="0"/>
    <s v="Vishvas Professional Stays Mens PG"/>
    <x v="0"/>
    <x v="0"/>
    <x v="0"/>
    <x v="0"/>
    <x v="0"/>
  </r>
  <r>
    <n v="2521634"/>
    <s v="Praveen Kumar"/>
    <d v="2026-07-09T00:00:00"/>
    <x v="0"/>
    <s v="FTE"/>
    <s v="Chennai"/>
    <s v="ADM26MF011"/>
    <s v="Abinaya R"/>
    <d v="2026-11-02T00:00:00"/>
    <x v="0"/>
    <s v="In-Training"/>
    <x v="0"/>
    <x v="0"/>
    <s v="Vishnu living rooms, villas and pg accommodation, Sky garden villas"/>
    <x v="0"/>
    <x v="0"/>
    <x v="3"/>
    <x v="0"/>
    <x v="0"/>
  </r>
  <r>
    <n v="2521639"/>
    <s v="Lenin Uthup"/>
    <d v="2026-07-09T00:00:00"/>
    <x v="0"/>
    <s v="FTE"/>
    <s v="Chennai"/>
    <s v="ADM26MF010"/>
    <s v="Thomas Naveen. J"/>
    <d v="2026-11-02T00:00:00"/>
    <x v="0"/>
    <s v="In-Training"/>
    <x v="0"/>
    <x v="0"/>
    <s v="ANNAPURNA MENS PG"/>
    <x v="0"/>
    <x v="0"/>
    <x v="0"/>
    <x v="0"/>
    <x v="0"/>
  </r>
  <r>
    <n v="2521666"/>
    <s v="Somnath Koley"/>
    <d v="2026-07-09T00:00:00"/>
    <x v="0"/>
    <s v="FTE"/>
    <s v="Chennai"/>
    <s v="ADM26MF011"/>
    <s v="Abinaya R"/>
    <d v="2026-11-02T00:00:00"/>
    <x v="0"/>
    <s v="In-Training"/>
    <x v="0"/>
    <x v="0"/>
    <s v="Sai Grand Gents Hostel"/>
    <x v="0"/>
    <x v="0"/>
    <x v="0"/>
    <x v="0"/>
    <x v="0"/>
  </r>
  <r>
    <n v="2521679"/>
    <s v="Santhosh B"/>
    <d v="2026-07-09T00:00:00"/>
    <x v="0"/>
    <s v="FTE"/>
    <s v="Chennai"/>
    <s v="ADM26DNAT003"/>
    <s v="Athira P"/>
    <d v="2026-10-23T00:00:00"/>
    <x v="3"/>
    <s v="In-Training"/>
    <x v="0"/>
    <x v="0"/>
    <s v="SS (Siva Sai) Gents PG"/>
    <x v="0"/>
    <x v="0"/>
    <x v="3"/>
    <x v="0"/>
    <x v="0"/>
  </r>
  <r>
    <n v="2521682"/>
    <s v="Pooja Neelakanthagouda Patil"/>
    <d v="2026-07-09T00:00:00"/>
    <x v="1"/>
    <s v="FTE"/>
    <s v="Chennai"/>
    <s v="ADM26MF010"/>
    <s v="Thomas Naveen. J"/>
    <d v="2026-11-02T00:00:00"/>
    <x v="0"/>
    <s v="In-Training"/>
    <x v="0"/>
    <x v="0"/>
    <s v="SRS womens luxury PG branch-5,Egattur"/>
    <x v="0"/>
    <x v="0"/>
    <x v="3"/>
    <x v="0"/>
    <x v="0"/>
  </r>
  <r>
    <n v="2521688"/>
    <s v="Mallikarjun Channappa Hadapad"/>
    <d v="2026-07-09T00:00:00"/>
    <x v="0"/>
    <s v="FTE"/>
    <s v="Chennai"/>
    <s v="QEA26QEPT023"/>
    <s v="Sweta Thoppil"/>
    <d v="2026-10-19T00:00:00"/>
    <x v="3"/>
    <s v="In-Training"/>
    <x v="0"/>
    <x v="0"/>
    <s v="RR pg boys G2,Egattur"/>
    <x v="0"/>
    <x v="0"/>
    <x v="0"/>
    <x v="0"/>
    <x v="0"/>
  </r>
  <r>
    <n v="2521696"/>
    <s v="Yash Kailas Khairnar"/>
    <d v="2026-07-09T00:00:00"/>
    <x v="0"/>
    <s v="FTE"/>
    <s v="Chennai"/>
    <s v="ADM26MF010"/>
    <s v="Thomas Naveen. J"/>
    <d v="2026-11-02T00:00:00"/>
    <x v="0"/>
    <s v="In-Training"/>
    <x v="0"/>
    <x v="0"/>
    <s v="JAYAM PG EGATTUR"/>
    <x v="0"/>
    <x v="0"/>
    <x v="3"/>
    <x v="0"/>
    <x v="0"/>
  </r>
  <r>
    <n v="2521707"/>
    <s v="Preeti B Nandi"/>
    <d v="2026-07-09T00:00:00"/>
    <x v="1"/>
    <s v="FTE"/>
    <s v="Chennai"/>
    <s v="QEA26QEPT023"/>
    <s v="Sweta Thoppil"/>
    <d v="2026-10-19T00:00:00"/>
    <x v="3"/>
    <s v="In-Training"/>
    <x v="0"/>
    <x v="0"/>
    <s v="MSR 2nd Branch ladies luxury PG-Egattur"/>
    <x v="0"/>
    <x v="1"/>
    <x v="0"/>
    <x v="0"/>
    <x v="0"/>
  </r>
  <r>
    <n v="2521710"/>
    <s v="Gunnam Srihitha"/>
    <d v="2026-07-09T00:00:00"/>
    <x v="1"/>
    <s v="FTE"/>
    <s v="Chennai"/>
    <s v="QEA26QEPT023"/>
    <s v="Sweta Thoppil"/>
    <d v="2026-10-19T00:00:00"/>
    <x v="3"/>
    <s v="In-Training"/>
    <x v="0"/>
    <x v="0"/>
    <s v="Sri Lakshmi Venkateswara Ladies Pg"/>
    <x v="0"/>
    <x v="0"/>
    <x v="0"/>
    <x v="0"/>
    <x v="0"/>
  </r>
  <r>
    <n v="2521723"/>
    <s v="Indhumathi M"/>
    <d v="2026-07-09T00:00:00"/>
    <x v="1"/>
    <s v="FTE"/>
    <s v="Chennai"/>
    <s v="QEA26NFTPA001"/>
    <s v="Lourdhu Selvin Raj X"/>
    <d v="2026-11-11T00:00:00"/>
    <x v="0"/>
    <s v="In-Training"/>
    <x v="0"/>
    <x v="0"/>
    <s v="NEW MANIKANDAN LADIES HOSTEL,BRANCH 14, KAZHIPATTUR"/>
    <x v="0"/>
    <x v="1"/>
    <x v="3"/>
    <x v="0"/>
    <x v="0"/>
  </r>
  <r>
    <n v="2521733"/>
    <s v="Mithun Kannan"/>
    <d v="2026-07-09T00:00:00"/>
    <x v="0"/>
    <s v="FTE"/>
    <s v="Chennai"/>
    <s v="QEA26NFTPA001"/>
    <s v="Lourdhu Selvin Raj X"/>
    <d v="2026-11-11T00:00:00"/>
    <x v="0"/>
    <s v="In-Training"/>
    <x v="0"/>
    <x v="0"/>
    <s v="SIDDUS MENS PG - EGATTUR"/>
    <x v="0"/>
    <x v="0"/>
    <x v="3"/>
    <x v="0"/>
    <x v="0"/>
  </r>
  <r>
    <n v="2521734"/>
    <s v="Harii Kumaran V"/>
    <d v="2026-07-09T00:00:00"/>
    <x v="0"/>
    <s v="FTE"/>
    <s v="Chennai"/>
    <s v="QEA26NFTPA002"/>
    <s v="Lourdhu Selvin Raj X"/>
    <d v="2026-11-11T00:00:00"/>
    <x v="0"/>
    <s v="In-Training"/>
    <x v="0"/>
    <x v="0"/>
    <s v="Siddus Mens PG, Siruseri"/>
    <x v="0"/>
    <x v="0"/>
    <x v="3"/>
    <x v="0"/>
    <x v="0"/>
  </r>
  <r>
    <n v="2521736"/>
    <s v="Paruchuru Naga Venkata Trishala"/>
    <d v="2026-07-09T00:00:00"/>
    <x v="1"/>
    <s v="FTE"/>
    <s v="Chennai"/>
    <s v="QEA26DS001"/>
    <s v="Lourdhu Selvin Raj X"/>
    <d v="2026-10-30T00:00:00"/>
    <x v="3"/>
    <s v="In-Training"/>
    <x v="0"/>
    <x v="0"/>
    <s v="sai grand womens hostel"/>
    <x v="0"/>
    <x v="0"/>
    <x v="3"/>
    <x v="0"/>
    <x v="0"/>
  </r>
  <r>
    <n v="2521748"/>
    <s v="Nihall A"/>
    <d v="2026-07-09T00:00:00"/>
    <x v="0"/>
    <s v="FTE"/>
    <s v="Chennai"/>
    <s v="QEA26DS001"/>
    <s v="Lourdhu Selvin Raj X"/>
    <d v="2026-10-30T00:00:00"/>
    <x v="3"/>
    <s v="In-Training"/>
    <x v="0"/>
    <x v="0"/>
    <s v="Siddus Mens PG, Egattur"/>
    <x v="0"/>
    <x v="1"/>
    <x v="3"/>
    <x v="0"/>
    <x v="0"/>
  </r>
  <r>
    <n v="2521753"/>
    <s v="Bestha Bharath"/>
    <d v="2026-07-09T00:00:00"/>
    <x v="0"/>
    <s v="FTE"/>
    <s v="Chennai"/>
    <s v="QEA26SD001"/>
    <s v="Ajiesya D P"/>
    <d v="2026-11-03T00:00:00"/>
    <x v="0"/>
    <s v="In-Training"/>
    <x v="0"/>
    <x v="0"/>
    <s v="meera gents pg,egattur"/>
    <x v="0"/>
    <x v="0"/>
    <x v="2"/>
    <x v="0"/>
    <x v="0"/>
  </r>
  <r>
    <n v="2521754"/>
    <s v="Fazeen Alimurtuza Patel"/>
    <d v="2026-07-09T00:00:00"/>
    <x v="1"/>
    <s v="FTE"/>
    <s v="Chennai"/>
    <s v="QEA26NFTPA002"/>
    <s v="Lourdhu Selvin Raj X"/>
    <d v="2026-11-11T00:00:00"/>
    <x v="0"/>
    <s v="In-Training"/>
    <x v="0"/>
    <x v="0"/>
    <s v="SRS Luxury PG for Ladies - Branch 6, Egattur"/>
    <x v="0"/>
    <x v="0"/>
    <x v="0"/>
    <x v="0"/>
    <x v="0"/>
  </r>
  <r>
    <n v="2521763"/>
    <s v="Nalumachu Vaishnavi"/>
    <d v="2026-07-09T00:00:00"/>
    <x v="1"/>
    <s v="FTE"/>
    <s v="Chennai"/>
    <s v="QEA26SD001"/>
    <s v="Ajiesya D P"/>
    <d v="2026-11-03T00:00:00"/>
    <x v="0"/>
    <s v="In-Training"/>
    <x v="0"/>
    <x v="0"/>
    <s v="SRS Luxury PG for ladies - Branch 3, Egattur"/>
    <x v="0"/>
    <x v="0"/>
    <x v="0"/>
    <x v="0"/>
    <x v="0"/>
  </r>
  <r>
    <n v="2521764"/>
    <s v="Vishva P"/>
    <d v="2026-07-09T00:00:00"/>
    <x v="0"/>
    <s v="FTE"/>
    <s v="Chennai"/>
    <s v="QEA26NFTPA001"/>
    <s v="Lourdhu Selvin Raj X"/>
    <d v="2026-11-11T00:00:00"/>
    <x v="0"/>
    <s v="In-Training"/>
    <x v="0"/>
    <x v="0"/>
    <s v="Siddus Mens PG ,SIRUSERI-SIPCOT"/>
    <x v="0"/>
    <x v="0"/>
    <x v="3"/>
    <x v="0"/>
    <x v="0"/>
  </r>
  <r>
    <n v="2521765"/>
    <s v="Maddiboina Venkata Ganesh"/>
    <d v="2026-07-09T00:00:00"/>
    <x v="0"/>
    <s v="FTE"/>
    <s v="Chennai"/>
    <s v="QEA26SD001"/>
    <s v="Ajiesya D P"/>
    <d v="2026-11-03T00:00:00"/>
    <x v="0"/>
    <s v="In-Training"/>
    <x v="0"/>
    <x v="0"/>
    <s v="Anish luxury pg"/>
    <x v="0"/>
    <x v="1"/>
    <x v="3"/>
    <x v="0"/>
    <x v="0"/>
  </r>
  <r>
    <n v="2521766"/>
    <s v="Pusuluri Swathi"/>
    <d v="2026-07-09T00:00:00"/>
    <x v="1"/>
    <s v="FTE"/>
    <s v="Chennai"/>
    <s v="QEA26SD001"/>
    <s v="Ajiesya D P"/>
    <d v="2026-11-03T00:00:00"/>
    <x v="0"/>
    <s v="In-Training"/>
    <x v="0"/>
    <x v="0"/>
    <s v="CSR Luxury PG - Branch 1,Egattur"/>
    <x v="0"/>
    <x v="0"/>
    <x v="0"/>
    <x v="0"/>
    <x v="0"/>
  </r>
  <r>
    <n v="2521767"/>
    <s v="Bhuvaneshwari V"/>
    <d v="2026-07-09T00:00:00"/>
    <x v="1"/>
    <s v="FTE"/>
    <s v="Chennai"/>
    <s v="QEA26NFTPA001"/>
    <s v="Lourdhu Selvin Raj X"/>
    <d v="2026-11-11T00:00:00"/>
    <x v="0"/>
    <s v="In-Training"/>
    <x v="0"/>
    <x v="0"/>
    <s v="New Manikandan Ladies Hostel, Branch 14, Kazhipattur"/>
    <x v="0"/>
    <x v="1"/>
    <x v="3"/>
    <x v="0"/>
    <x v="0"/>
  </r>
  <r>
    <n v="2521769"/>
    <s v="Amrutavarshan L"/>
    <d v="2026-07-09T00:00:00"/>
    <x v="0"/>
    <s v="FTE"/>
    <s v="Chennai"/>
    <s v="QEA26NFTPA001"/>
    <s v="Lourdhu Selvin Raj X"/>
    <d v="2026-11-11T00:00:00"/>
    <x v="0"/>
    <s v="In-Training"/>
    <x v="0"/>
    <x v="0"/>
    <s v="S V Luxurious Gents Pg "/>
    <x v="0"/>
    <x v="1"/>
    <x v="2"/>
    <x v="0"/>
    <x v="0"/>
  </r>
  <r>
    <n v="2521797"/>
    <s v="Sachin Mudnalkar"/>
    <d v="2026-07-09T00:00:00"/>
    <x v="0"/>
    <s v="FTE"/>
    <s v="Chennai"/>
    <s v="QEA26QEPT023"/>
    <s v="Sweta Thoppil"/>
    <d v="2026-10-19T00:00:00"/>
    <x v="3"/>
    <s v="In-Training"/>
    <x v="0"/>
    <x v="0"/>
    <s v="Balaji PG - Branch 1, Egattur"/>
    <x v="0"/>
    <x v="0"/>
    <x v="0"/>
    <x v="0"/>
    <x v="0"/>
  </r>
  <r>
    <n v="2521802"/>
    <s v="Narsingandla Suresh"/>
    <d v="2026-07-09T00:00:00"/>
    <x v="0"/>
    <s v="FTE"/>
    <s v="Chennai"/>
    <s v="QEA26QEPT023"/>
    <s v="Sweta Thoppil"/>
    <d v="2026-10-19T00:00:00"/>
    <x v="3"/>
    <s v="In-Training"/>
    <x v="0"/>
    <x v="0"/>
    <s v="Mamoothiamman, 3rd street, Egattur, Tamilnadu 603103"/>
    <x v="0"/>
    <x v="0"/>
    <x v="3"/>
    <x v="0"/>
    <x v="0"/>
  </r>
  <r>
    <n v="2521810"/>
    <s v="Pratik Vasant Gunjalkar"/>
    <d v="2026-07-09T00:00:00"/>
    <x v="0"/>
    <s v="FTE"/>
    <s v="Chennai"/>
    <s v="ADM26MF010"/>
    <s v="Thomas Naveen. J"/>
    <d v="2026-11-02T00:00:00"/>
    <x v="0"/>
    <s v="In-Training"/>
    <x v="0"/>
    <x v="0"/>
    <s v="ANISH LUXURY GENTS PG"/>
    <x v="0"/>
    <x v="0"/>
    <x v="3"/>
    <x v="0"/>
    <x v="0"/>
  </r>
  <r>
    <n v="2521840"/>
    <s v="Arjun Bathula"/>
    <d v="2026-07-09T00:00:00"/>
    <x v="0"/>
    <s v="FTE"/>
    <s v="Chennai"/>
    <s v="QEA26DS001"/>
    <s v="Lourdhu Selvin Raj X"/>
    <d v="2026-10-30T00:00:00"/>
    <x v="3"/>
    <s v="In-Training"/>
    <x v="0"/>
    <x v="0"/>
    <s v="NKS MENS PG, city park layout, 78 A, Third Cross Road, near siruseri, sipcot IT park, Egattur"/>
    <x v="0"/>
    <x v="0"/>
    <x v="3"/>
    <x v="0"/>
    <x v="0"/>
  </r>
  <r>
    <n v="2524472"/>
    <s v="Vamsi Charan S P"/>
    <d v="2026-07-21T00:00:00"/>
    <x v="0"/>
    <s v="FTE"/>
    <s v="Chennai"/>
    <s v="ADM26MF012"/>
    <s v="Lourdhu Selvin Raj X"/>
    <d v="2026-11-17T00:00:00"/>
    <x v="0"/>
    <s v="In-Training"/>
    <x v="0"/>
    <x v="0"/>
    <s v="Siddus premium mens pg"/>
    <x v="0"/>
    <x v="1"/>
    <x v="3"/>
    <x v="0"/>
    <x v="0"/>
  </r>
  <r>
    <n v="2524477"/>
    <s v="Indu N"/>
    <d v="2026-07-21T00:00:00"/>
    <x v="1"/>
    <s v="FTE"/>
    <s v="Chennai"/>
    <s v="ADM26MF012"/>
    <s v="Lourdhu Selvin Raj X"/>
    <d v="2026-11-17T00:00:00"/>
    <x v="0"/>
    <s v="In-Training"/>
    <x v="0"/>
    <x v="0"/>
    <s v="Sai Grand womens PG-branch 1, Egattur"/>
    <x v="0"/>
    <x v="0"/>
    <x v="3"/>
    <x v="0"/>
    <x v="0"/>
  </r>
  <r>
    <n v="2524479"/>
    <s v="Pothanaboina Akhila Tejasri"/>
    <d v="2026-07-21T00:00:00"/>
    <x v="1"/>
    <s v="FTE"/>
    <s v="Chennai"/>
    <s v="ADM26MF012"/>
    <s v="Lourdhu Selvin Raj X"/>
    <d v="2026-11-17T00:00:00"/>
    <x v="0"/>
    <s v="In-Training"/>
    <x v="0"/>
    <x v="0"/>
    <s v="Vaishnavi PG for Ladies in OMR, Egattur"/>
    <x v="0"/>
    <x v="0"/>
    <x v="0"/>
    <x v="0"/>
    <x v="0"/>
  </r>
  <r>
    <n v="2524490"/>
    <s v="Priyadarsine Nagarajan"/>
    <d v="2026-07-21T00:00:00"/>
    <x v="1"/>
    <s v="FTE"/>
    <s v="Chennai"/>
    <s v="ADM26MF012"/>
    <s v="Lourdhu Selvin Raj X"/>
    <d v="2026-11-17T00:00:00"/>
    <x v="0"/>
    <s v="In-Training"/>
    <x v="0"/>
    <x v="0"/>
    <s v="Jvr luxury ladies pg, pudupakkam"/>
    <x v="0"/>
    <x v="1"/>
    <x v="3"/>
    <x v="0"/>
    <x v="0"/>
  </r>
  <r>
    <n v="2524501"/>
    <s v="Bhumika B"/>
    <d v="2026-07-21T00:00:00"/>
    <x v="1"/>
    <s v="FTE"/>
    <s v="Chennai"/>
    <s v="ADM26MF012"/>
    <s v="Lourdhu Selvin Raj X"/>
    <d v="2026-11-17T00:00:00"/>
    <x v="0"/>
    <s v="In-Training"/>
    <x v="0"/>
    <x v="0"/>
    <s v="SRS LUXURY PG FOR WOMEN, BRANCH-1, EGATTUR"/>
    <x v="0"/>
    <x v="0"/>
    <x v="0"/>
    <x v="0"/>
    <x v="0"/>
  </r>
  <r>
    <n v="2524516"/>
    <s v="Visakoti Komali"/>
    <d v="2026-07-21T00:00:00"/>
    <x v="1"/>
    <s v="FTE"/>
    <s v="Chennai"/>
    <s v="ADM26MF012"/>
    <s v="Lourdhu Selvin Raj X"/>
    <d v="2026-11-17T00:00:00"/>
    <x v="0"/>
    <s v="In-Training"/>
    <x v="0"/>
    <x v="0"/>
    <s v="SRS Luxury PG for Ladies, Egattur "/>
    <x v="0"/>
    <x v="0"/>
    <x v="3"/>
    <x v="0"/>
    <x v="0"/>
  </r>
  <r>
    <n v="2524633"/>
    <s v="Shobha S"/>
    <d v="2026-07-21T00:00:00"/>
    <x v="1"/>
    <s v="FTE"/>
    <s v="Chennai"/>
    <s v="ADM26MF012"/>
    <s v="Lourdhu Selvin Raj X"/>
    <d v="2026-11-17T00:00:00"/>
    <x v="0"/>
    <s v="In-Training"/>
    <x v="0"/>
    <x v="0"/>
    <s v="Sai grand Womens  PG Hostel, branch 1"/>
    <x v="0"/>
    <x v="1"/>
    <x v="3"/>
    <x v="0"/>
    <x v="0"/>
  </r>
  <r>
    <n v="2524966"/>
    <s v="Mallikriyan H Kalashekhar"/>
    <d v="2026-07-23T00:00:00"/>
    <x v="0"/>
    <s v="FTE"/>
    <s v="Chennai"/>
    <s v="ADM26ISMO010"/>
    <s v="Thomas Naveen. J"/>
    <d v="2026-10-06T00:00:00"/>
    <x v="3"/>
    <s v="In-Training"/>
    <x v="0"/>
    <x v="0"/>
    <s v="Vishnu PG"/>
    <x v="0"/>
    <x v="0"/>
    <x v="0"/>
    <x v="0"/>
    <x v="0"/>
  </r>
  <r>
    <n v="2525045"/>
    <s v="Shashwath V"/>
    <d v="2026-07-23T00:00:00"/>
    <x v="0"/>
    <s v="FTE"/>
    <s v="Chennai"/>
    <s v="ADM26ISMO010"/>
    <s v="Thomas Naveen. J"/>
    <d v="2026-10-06T00:00:00"/>
    <x v="3"/>
    <s v="In-Training"/>
    <x v="0"/>
    <x v="0"/>
    <s v="KR Men PG, Egattur"/>
    <x v="0"/>
    <x v="1"/>
    <x v="3"/>
    <x v="0"/>
    <x v="0"/>
  </r>
  <r>
    <n v="2525058"/>
    <s v="Abinaya Sivakumar"/>
    <d v="2026-07-23T00:00:00"/>
    <x v="1"/>
    <s v="FTE"/>
    <s v="Chennai"/>
    <s v="ADM26ISMO010"/>
    <s v="Thomas Naveen. J"/>
    <d v="2026-10-06T00:00:00"/>
    <x v="3"/>
    <s v="In-Training"/>
    <x v="0"/>
    <x v="0"/>
    <s v="MSR Luxury PG"/>
    <x v="0"/>
    <x v="0"/>
    <x v="3"/>
    <x v="0"/>
    <x v="0"/>
  </r>
  <r>
    <n v="2525064"/>
    <s v="Devesh Joshi"/>
    <d v="2026-07-23T00:00:00"/>
    <x v="0"/>
    <s v="FTE"/>
    <s v="Chennai"/>
    <s v="ADM26ISMO010"/>
    <s v="Thomas Naveen. J"/>
    <d v="2026-10-06T00:00:00"/>
    <x v="3"/>
    <s v="In-Training"/>
    <x v="0"/>
    <x v="0"/>
    <s v="Maa Durga PG"/>
    <x v="0"/>
    <x v="0"/>
    <x v="16"/>
    <x v="5"/>
    <x v="0"/>
  </r>
  <r>
    <n v="2526129"/>
    <s v="G Yaswanth"/>
    <d v="2026-07-28T00:00:00"/>
    <x v="0"/>
    <s v="FTE"/>
    <s v="Chennai"/>
    <s v="EPS26WD006"/>
    <s v="Vishnupriya Dakshnamurthy"/>
    <d v="2026-11-27T00:00:00"/>
    <x v="0"/>
    <s v="In-Training"/>
    <x v="0"/>
    <x v="0"/>
    <s v="Sri venkat luxury gents pg "/>
    <x v="0"/>
    <x v="0"/>
    <x v="8"/>
    <x v="4"/>
    <x v="0"/>
  </r>
  <r>
    <n v="2526145"/>
    <s v="Hruthik Krishna Pavarala"/>
    <d v="2026-07-28T00:00:00"/>
    <x v="0"/>
    <s v="FTE"/>
    <s v="Chennai"/>
    <s v="QEA26DS001"/>
    <s v="Lourdhu Selvin Raj X"/>
    <d v="2026-10-30T00:00:00"/>
    <x v="3"/>
    <s v="In-Training"/>
    <x v="0"/>
    <x v="0"/>
    <s v="Geethika Premium Gents PG"/>
    <x v="0"/>
    <x v="0"/>
    <x v="3"/>
    <x v="0"/>
    <x v="0"/>
  </r>
  <r>
    <n v="2526595"/>
    <s v="Shashwath Shankar R"/>
    <d v="2026-07-30T00:00:00"/>
    <x v="0"/>
    <s v="FTE"/>
    <s v="Chennai"/>
    <s v="QEA26JP001"/>
    <s v="Ajiesya D P"/>
    <s v=""/>
    <x v="1"/>
    <s v="Training - ON Hold"/>
    <x v="0"/>
    <x v="0"/>
    <s v="Zolo Cyan, Padur"/>
    <x v="0"/>
    <x v="0"/>
    <x v="5"/>
    <x v="2"/>
    <x v="2"/>
  </r>
  <r>
    <n v="2529598"/>
    <s v="Arli Aswini Srija"/>
    <d v="2026-08-11T00:00:00"/>
    <x v="1"/>
    <s v="FTE"/>
    <s v="Chennai"/>
    <s v="CIS26MCPT026"/>
    <s v="Mohamed Harish"/>
    <d v="2026-12-08T00:00:00"/>
    <x v="1"/>
    <s v="In-Training"/>
    <x v="0"/>
    <x v="0"/>
    <s v="Zolo nook, sholinganallur"/>
    <x v="0"/>
    <x v="0"/>
    <x v="8"/>
    <x v="4"/>
    <x v="0"/>
  </r>
  <r>
    <n v="2529613"/>
    <s v="Khasim Basha Shaik"/>
    <d v="2026-08-11T00:00:00"/>
    <x v="0"/>
    <s v="FTE"/>
    <s v="Chennai"/>
    <s v="CIS26MCPT024"/>
    <s v="Ashiya Begam S"/>
    <d v="2026-12-03T00:00:00"/>
    <x v="1"/>
    <s v="In-Training"/>
    <x v="0"/>
    <x v="0"/>
    <s v="Siva Sai Gents PG, Egattur"/>
    <x v="0"/>
    <x v="0"/>
    <x v="3"/>
    <x v="0"/>
    <x v="0"/>
  </r>
  <r>
    <n v="2529653"/>
    <s v="Khushi Agrawal"/>
    <d v="2026-08-11T00:00:00"/>
    <x v="1"/>
    <s v="FTE"/>
    <s v="Chennai"/>
    <s v="EPS26SAP031"/>
    <s v="Akashraj R"/>
    <d v="2026-11-04T00:00:00"/>
    <x v="0"/>
    <s v="In-Training"/>
    <x v="0"/>
    <x v="0"/>
    <s v="Truliv Sofia - PG in Seruseri"/>
    <x v="0"/>
    <x v="0"/>
    <x v="3"/>
    <x v="0"/>
    <x v="0"/>
  </r>
  <r>
    <n v="2529655"/>
    <s v="Joe Maxwell Boniface D"/>
    <d v="2026-08-11T00:00:00"/>
    <x v="0"/>
    <s v="FTE"/>
    <s v="Chennai"/>
    <s v="EPS26SAP031"/>
    <s v="Akashraj R"/>
    <d v="2026-11-04T00:00:00"/>
    <x v="0"/>
    <s v="In-Training"/>
    <x v="0"/>
    <x v="0"/>
    <s v="NKS Mens PG - Egattur"/>
    <x v="0"/>
    <x v="0"/>
    <x v="3"/>
    <x v="0"/>
    <x v="0"/>
  </r>
  <r>
    <n v="2529660"/>
    <s v="Kethan Hunasavalli Shivakumar"/>
    <d v="2026-08-11T00:00:00"/>
    <x v="0"/>
    <s v="FTE"/>
    <s v="Chennai"/>
    <s v="EPS26SAP031"/>
    <s v="Akashraj R"/>
    <d v="2026-11-04T00:00:00"/>
    <x v="0"/>
    <s v="In-Training"/>
    <x v="0"/>
    <x v="0"/>
    <s v="Siddus Premium Mens PG, Branch 1, SIPCOT Siruseri"/>
    <x v="0"/>
    <x v="0"/>
    <x v="3"/>
    <x v="0"/>
    <x v="0"/>
  </r>
  <r>
    <n v="2529672"/>
    <s v="Goli Siva Sankar"/>
    <d v="2026-08-11T00:00:00"/>
    <x v="0"/>
    <s v="FTE"/>
    <s v="Chennai"/>
    <s v="EPS26SAP031"/>
    <s v="Akashraj R"/>
    <d v="2026-11-04T00:00:00"/>
    <x v="0"/>
    <s v="In-Training"/>
    <x v="0"/>
    <x v="0"/>
    <s v="Siddus Premium PG"/>
    <x v="0"/>
    <x v="0"/>
    <x v="3"/>
    <x v="0"/>
    <x v="0"/>
  </r>
  <r>
    <n v="2529736"/>
    <s v="Nithya R"/>
    <d v="2026-08-11T00:00:00"/>
    <x v="1"/>
    <s v="FTE"/>
    <s v="Chennai"/>
    <s v="EPS26SAP031"/>
    <s v="Akashraj R"/>
    <d v="2026-11-04T00:00:00"/>
    <x v="0"/>
    <s v="In-Training"/>
    <x v="0"/>
    <x v="0"/>
    <s v="Queens Luxury Ladies PG"/>
    <x v="0"/>
    <x v="0"/>
    <x v="3"/>
    <x v="0"/>
    <x v="0"/>
  </r>
  <r>
    <n v="2530176"/>
    <s v="Giriprasad P"/>
    <d v="2026-08-13T00:00:00"/>
    <x v="0"/>
    <s v="FTE"/>
    <s v="Chennai"/>
    <s v="EPS26OSPPRO001"/>
    <s v="Gayathri Ramachandran"/>
    <d v="2026-12-07T00:00:00"/>
    <x v="1"/>
    <s v="In-Training"/>
    <x v="0"/>
    <x v="0"/>
    <s v="MARK PG"/>
    <x v="0"/>
    <x v="0"/>
    <x v="2"/>
    <x v="0"/>
    <x v="0"/>
  </r>
  <r>
    <n v="2530180"/>
    <s v="Arsha Maria Joyson"/>
    <d v="2026-08-13T00:00:00"/>
    <x v="1"/>
    <s v="FTE"/>
    <s v="Chennai"/>
    <s v="EPS26OSPPRO001"/>
    <s v="Gayathri Ramachandran"/>
    <d v="2026-12-07T00:00:00"/>
    <x v="1"/>
    <s v="In-Training"/>
    <x v="0"/>
    <x v="0"/>
    <s v="Queens Luxury Ladies PG "/>
    <x v="0"/>
    <x v="0"/>
    <x v="3"/>
    <x v="0"/>
    <x v="0"/>
  </r>
  <r>
    <n v="2530185"/>
    <s v="Abhinav P Menon"/>
    <d v="2026-08-13T00:00:00"/>
    <x v="0"/>
    <s v="FTE"/>
    <s v="Chennai"/>
    <s v="EPS26OSPPRO001"/>
    <s v="Gayathri Ramachandran"/>
    <d v="2026-12-07T00:00:00"/>
    <x v="1"/>
    <s v="In-Training"/>
    <x v="0"/>
    <x v="0"/>
    <s v="NUS HOSTEL (PG FOR MEN) - Sholinganallur( Ponniyaamman kovil)"/>
    <x v="0"/>
    <x v="0"/>
    <x v="8"/>
    <x v="4"/>
    <x v="0"/>
  </r>
  <r>
    <n v="2530202"/>
    <s v="Tharun B"/>
    <d v="2026-08-13T00:00:00"/>
    <x v="0"/>
    <s v="FTE"/>
    <s v="Chennai"/>
    <s v="EPS26OSP010"/>
    <s v="Vishnupriya Dakshnamurthy"/>
    <d v="2026-12-01T00:00:00"/>
    <x v="1"/>
    <s v="In-Training"/>
    <x v="0"/>
    <x v="0"/>
    <s v="vishvas pg, egattur"/>
    <x v="0"/>
    <x v="1"/>
    <x v="0"/>
    <x v="0"/>
    <x v="0"/>
  </r>
  <r>
    <n v="2530205"/>
    <s v="Saptak Singha"/>
    <d v="2026-08-13T00:00:00"/>
    <x v="0"/>
    <s v="FTE"/>
    <s v="Chennai"/>
    <s v="EPS26OSPPRO001"/>
    <s v="Gayathri Ramachandran"/>
    <d v="2026-12-07T00:00:00"/>
    <x v="1"/>
    <s v="In-Training"/>
    <x v="0"/>
    <x v="0"/>
    <s v="KR Menss PG"/>
    <x v="0"/>
    <x v="0"/>
    <x v="3"/>
    <x v="0"/>
    <x v="0"/>
  </r>
  <r>
    <n v="2530210"/>
    <s v="Maneesha S A"/>
    <d v="2026-08-13T00:00:00"/>
    <x v="1"/>
    <s v="FTE"/>
    <s v="Chennai"/>
    <s v="EPS26OSPPRO001"/>
    <s v="Gayathri Ramachandran"/>
    <d v="2026-12-07T00:00:00"/>
    <x v="1"/>
    <s v="In-Training"/>
    <x v="0"/>
    <x v="0"/>
    <s v="Lakshmi Nivas Ladies Paying Guest - New Hostel, Kalaingar Karunanidhi Salai, Rajiv Gandhi Salai, Semmencheri, Chennai - 600119"/>
    <x v="0"/>
    <x v="1"/>
    <x v="17"/>
    <x v="4"/>
    <x v="0"/>
  </r>
  <r>
    <n v="2530212"/>
    <s v="Vicky Gupta"/>
    <d v="2026-08-13T00:00:00"/>
    <x v="0"/>
    <s v="FTE"/>
    <s v="Chennai"/>
    <s v="EPS26OSPPRO001"/>
    <s v="Gayathri Ramachandran"/>
    <d v="2026-12-07T00:00:00"/>
    <x v="1"/>
    <s v="In-Training"/>
    <x v="0"/>
    <x v="0"/>
    <s v="KR Mens PG Egattur "/>
    <x v="0"/>
    <x v="0"/>
    <x v="0"/>
    <x v="0"/>
    <x v="0"/>
  </r>
  <r>
    <n v="2530225"/>
    <s v="Bade Shyam Pavan Kumar"/>
    <d v="2026-08-13T00:00:00"/>
    <x v="0"/>
    <s v="FTE"/>
    <s v="Chennai"/>
    <s v="EPS26OSP010"/>
    <s v="Vishnupriya Dakshnamurthy"/>
    <d v="2026-12-01T00:00:00"/>
    <x v="1"/>
    <s v="In-Training"/>
    <x v="0"/>
    <x v="0"/>
    <s v="GVK DELUXE MENS PG, NAVALUR, SARDAR PATEL STREET, CHENNAI"/>
    <x v="0"/>
    <x v="0"/>
    <x v="2"/>
    <x v="0"/>
    <x v="0"/>
  </r>
  <r>
    <n v="2531371"/>
    <s v="Anish Ragav V"/>
    <d v="2026-08-18T00:00:00"/>
    <x v="0"/>
    <s v="FTE"/>
    <s v="Chennai"/>
    <s v="EPS26SAP034"/>
    <s v="Gayathri Ramachandran"/>
    <d v="2026-11-05T00:00:00"/>
    <x v="0"/>
    <s v="In-Training"/>
    <x v="0"/>
    <x v="0"/>
    <s v="CNR mens PG branch 2"/>
    <x v="0"/>
    <x v="1"/>
    <x v="3"/>
    <x v="0"/>
    <x v="0"/>
  </r>
  <r>
    <n v="2531374"/>
    <s v="Bandaru Dhruthi"/>
    <d v="2026-08-18T00:00:00"/>
    <x v="1"/>
    <s v="FTE"/>
    <s v="Chennai"/>
    <s v="EPS26SAP036"/>
    <s v="Vishnupriya Dakshnamurthy"/>
    <d v="2026-11-09T00:00:00"/>
    <x v="0"/>
    <s v="In-Training"/>
    <x v="0"/>
    <x v="0"/>
    <s v="Vaishnavi PG for Ladies,206, 4/211DR DR Ambedkar Street, Sipcot, Egattur "/>
    <x v="0"/>
    <x v="0"/>
    <x v="0"/>
    <x v="0"/>
    <x v="0"/>
  </r>
  <r>
    <n v="2531378"/>
    <s v="Bhagyashree S Biradar"/>
    <d v="2026-08-18T00:00:00"/>
    <x v="1"/>
    <s v="FTE"/>
    <s v="Chennai"/>
    <s v="EPS26SAP036"/>
    <s v="Vishnupriya Dakshnamurthy"/>
    <d v="2026-11-09T00:00:00"/>
    <x v="0"/>
    <s v="In-Training"/>
    <x v="0"/>
    <x v="0"/>
    <s v="Vaishnavi PG for ladies "/>
    <x v="0"/>
    <x v="0"/>
    <x v="0"/>
    <x v="0"/>
    <x v="0"/>
  </r>
  <r>
    <n v="2531449"/>
    <s v="Sherin Infanta Jemimma A"/>
    <d v="2026-08-18T00:00:00"/>
    <x v="1"/>
    <s v="FTE"/>
    <s v="Chennai"/>
    <s v="EPS26SAP036"/>
    <s v="Vishnupriya Dakshnamurthy"/>
    <d v="2026-11-09T00:00:00"/>
    <x v="0"/>
    <s v="In-Training"/>
    <x v="0"/>
    <x v="0"/>
    <s v="Moksha ladies hostel PG - siruseri IT park egattur"/>
    <x v="0"/>
    <x v="1"/>
    <x v="3"/>
    <x v="0"/>
    <x v="0"/>
  </r>
  <r>
    <n v="2531814"/>
    <s v="Vishwanathan N"/>
    <d v="2026-08-20T00:00:00"/>
    <x v="0"/>
    <s v="Intern"/>
    <s v="Chennai"/>
    <s v="INTFE26FE001"/>
    <s v="Grace Esther S"/>
    <d v="2026-10-15T00:00:00"/>
    <x v="3"/>
    <s v="In-Training"/>
    <x v="0"/>
    <x v="0"/>
    <s v="Cnr gents PG 2, Egattur"/>
    <x v="0"/>
    <x v="1"/>
    <x v="0"/>
    <x v="0"/>
    <x v="0"/>
  </r>
  <r>
    <n v="2531825"/>
    <s v="Sachin S S"/>
    <d v="2026-08-20T00:00:00"/>
    <x v="0"/>
    <s v="FTE"/>
    <s v="Chennai"/>
    <s v="CS26CS011"/>
    <s v="Kishorekumar P"/>
    <d v="2026-11-17T00:00:00"/>
    <x v="0"/>
    <s v="In-Training"/>
    <x v="0"/>
    <x v="0"/>
    <s v="Siddus Premium Mens PG SIRUSERI SIPCOT IT"/>
    <x v="0"/>
    <x v="1"/>
    <x v="3"/>
    <x v="0"/>
    <x v="0"/>
  </r>
  <r>
    <n v="2532906"/>
    <s v="Vybogula Bhavani Shankar Kamaraju"/>
    <d v="2026-08-25T00:00:00"/>
    <x v="0"/>
    <s v="FTE"/>
    <s v="Chennai"/>
    <s v="CIS26MBG006"/>
    <s v="Angel Maria Faustina Gomez"/>
    <d v="2026-12-11T00:00:00"/>
    <x v="1"/>
    <s v="In-Training"/>
    <x v="0"/>
    <x v="0"/>
    <s v="Soma Mens Stay (PG Hostel), Mammthiamman Street, Opposite to Chennai, Egattur, Tamil Nadu 603103"/>
    <x v="0"/>
    <x v="1"/>
    <x v="0"/>
    <x v="0"/>
    <x v="0"/>
  </r>
  <r>
    <n v="2532910"/>
    <s v="Kethavarapu Likhitha"/>
    <d v="2026-08-25T00:00:00"/>
    <x v="1"/>
    <s v="FTE"/>
    <s v="Chennai"/>
    <s v="CIS26SN002"/>
    <s v="Ashiya Begam S"/>
    <d v="2026-12-02T00:00:00"/>
    <x v="1"/>
    <s v="In-Training"/>
    <x v="0"/>
    <x v="0"/>
    <s v="Vaishnavi elite og , egattur"/>
    <x v="0"/>
    <x v="0"/>
    <x v="0"/>
    <x v="0"/>
    <x v="0"/>
  </r>
  <r>
    <n v="2532913"/>
    <s v="Ikkurthi Mahitha"/>
    <d v="2026-08-25T00:00:00"/>
    <x v="1"/>
    <s v="FTE"/>
    <s v="Chennai"/>
    <s v="CIS26MBG005"/>
    <s v="Angel Maria Faustina Gomez"/>
    <d v="2026-12-11T00:00:00"/>
    <x v="1"/>
    <s v="In-Training"/>
    <x v="0"/>
    <x v="0"/>
    <s v="SMILES INN PG "/>
    <x v="0"/>
    <x v="0"/>
    <x v="3"/>
    <x v="0"/>
    <x v="0"/>
  </r>
  <r>
    <n v="2532922"/>
    <s v="Sundar S"/>
    <d v="2026-08-25T00:00:00"/>
    <x v="0"/>
    <s v="FTE"/>
    <s v="Chennai"/>
    <s v="ADM27DFSA001"/>
    <s v="Thomas Naveen. J"/>
    <d v="2026-12-30T00:00:00"/>
    <x v="1"/>
    <s v="In-Training"/>
    <x v="0"/>
    <x v="0"/>
    <s v="Brotherhood Boys Hostel"/>
    <x v="0"/>
    <x v="0"/>
    <x v="18"/>
    <x v="5"/>
    <x v="0"/>
  </r>
  <r>
    <n v="2532931"/>
    <s v="Ahalya G"/>
    <d v="2026-08-25T00:00:00"/>
    <x v="1"/>
    <s v="FTE"/>
    <s v="Chennai"/>
    <s v="CIS26MBG003"/>
    <s v="Kishorekumar P"/>
    <d v="2026-12-11T00:00:00"/>
    <x v="1"/>
    <s v="In-Training"/>
    <x v="0"/>
    <x v="0"/>
    <s v="Sai grand womens PG - Nest branch, near venkateshwar super market, Navalur."/>
    <x v="0"/>
    <x v="1"/>
    <x v="2"/>
    <x v="0"/>
    <x v="0"/>
  </r>
  <r>
    <n v="2532968"/>
    <s v="Malavika Arumugam"/>
    <d v="2026-08-25T00:00:00"/>
    <x v="1"/>
    <s v="FTE"/>
    <s v="Chennai"/>
    <s v="CIS26MBG006"/>
    <s v="Angel Maria Faustina Gomez"/>
    <d v="2026-12-11T00:00:00"/>
    <x v="1"/>
    <s v="In-Training"/>
    <x v="0"/>
    <x v="0"/>
    <s v="New Manikandan Ladies PG - Branch 14, Kalipattur."/>
    <x v="0"/>
    <x v="1"/>
    <x v="3"/>
    <x v="0"/>
    <x v="0"/>
  </r>
  <r>
    <n v="2532976"/>
    <s v="Kolli Mounika"/>
    <d v="2026-08-25T00:00:00"/>
    <x v="1"/>
    <s v="FTE"/>
    <s v="Chennai"/>
    <s v="CIS26MBG005"/>
    <s v="Angel Maria Faustina Gomez"/>
    <d v="2026-12-11T00:00:00"/>
    <x v="1"/>
    <s v="In-Training"/>
    <x v="0"/>
    <x v="0"/>
    <s v="MSR Luxury PG for Ladies"/>
    <x v="0"/>
    <x v="0"/>
    <x v="0"/>
    <x v="0"/>
    <x v="0"/>
  </r>
  <r>
    <n v="2533010"/>
    <s v="Shaik Roshan Moulali"/>
    <d v="2026-08-25T00:00:00"/>
    <x v="0"/>
    <s v="FTE"/>
    <s v="Chennai"/>
    <s v="ADM27DFSA001"/>
    <s v="Thomas Naveen. J"/>
    <d v="2026-12-30T00:00:00"/>
    <x v="1"/>
    <s v="In-Training"/>
    <x v="0"/>
    <x v="0"/>
    <s v="Sahasra deluxe PG for Mens, Egattur"/>
    <x v="0"/>
    <x v="0"/>
    <x v="0"/>
    <x v="0"/>
    <x v="0"/>
  </r>
  <r>
    <n v="2533016"/>
    <s v="Varsha Mude"/>
    <d v="2026-08-25T00:00:00"/>
    <x v="1"/>
    <s v="FTE"/>
    <s v="Chennai"/>
    <s v="IOT26CSJ002"/>
    <s v="Pavithra Kandasamy"/>
    <d v="2026-11-11T00:00:00"/>
    <x v="0"/>
    <s v="In-Training"/>
    <x v="0"/>
    <x v="0"/>
    <s v="MSR Luxury PG for Ladies, SIPCOT IT Park, No:4/239, Gangai Amman Kovil Street, Egattur, Siruseri ,Chennai,600130"/>
    <x v="0"/>
    <x v="0"/>
    <x v="0"/>
    <x v="0"/>
    <x v="0"/>
  </r>
  <r>
    <n v="2533036"/>
    <s v="Upputuri Sai Harshitha"/>
    <d v="2026-08-25T00:00:00"/>
    <x v="1"/>
    <s v="FTE"/>
    <s v="Chennai"/>
    <s v="IOT26CSJ002"/>
    <s v="Pavithra Kandasamy"/>
    <d v="2026-11-11T00:00:00"/>
    <x v="0"/>
    <s v="In-Training"/>
    <x v="0"/>
    <x v="0"/>
    <s v="CSR WOMENS PG HOSTEL-Branch 2, Egatur"/>
    <x v="0"/>
    <x v="0"/>
    <x v="0"/>
    <x v="0"/>
    <x v="0"/>
  </r>
  <r>
    <n v="2533037"/>
    <s v="Balla Hemanth Srinivas"/>
    <d v="2026-08-25T00:00:00"/>
    <x v="0"/>
    <s v="FTE"/>
    <s v="Chennai"/>
    <s v="CIS26SN002"/>
    <s v="Ashiya Begam S"/>
    <d v="2026-12-02T00:00:00"/>
    <x v="1"/>
    <s v="In-Training"/>
    <x v="0"/>
    <x v="0"/>
    <s v="The Shivam Living Grandeur, Egattur"/>
    <x v="0"/>
    <x v="0"/>
    <x v="0"/>
    <x v="0"/>
    <x v="0"/>
  </r>
  <r>
    <n v="2533139"/>
    <s v="Abhijit Srinivas Pidugu"/>
    <d v="2026-08-25T00:00:00"/>
    <x v="0"/>
    <s v="FTE"/>
    <s v="Chennai"/>
    <s v="ADM27DFSA001"/>
    <s v="Thomas Naveen. J"/>
    <d v="2026-12-30T00:00:00"/>
    <x v="1"/>
    <s v="In-Training"/>
    <x v="0"/>
    <x v="0"/>
    <s v="Siddus Premium Mens Pg"/>
    <x v="0"/>
    <x v="1"/>
    <x v="3"/>
    <x v="0"/>
    <x v="0"/>
  </r>
  <r>
    <n v="2533145"/>
    <s v="Byreddy Mokshith"/>
    <d v="2026-08-25T00:00:00"/>
    <x v="0"/>
    <s v="FTE"/>
    <s v="Chennai"/>
    <s v="CIS26MBG004"/>
    <s v="Kishorekumar P"/>
    <d v="2026-12-11T00:00:00"/>
    <x v="1"/>
    <s v="In-Training"/>
    <x v="0"/>
    <x v="0"/>
    <s v="Sahasra Delux"/>
    <x v="0"/>
    <x v="0"/>
    <x v="0"/>
    <x v="0"/>
    <x v="0"/>
  </r>
  <r>
    <n v="2533158"/>
    <s v="Nagalakshmi Sahithi Priya Gorthi"/>
    <d v="2026-08-25T00:00:00"/>
    <x v="1"/>
    <s v="FTE"/>
    <s v="Chennai"/>
    <s v="ADM27DFSA001"/>
    <s v="Thomas Naveen. J"/>
    <d v="2026-12-30T00:00:00"/>
    <x v="1"/>
    <s v="In-Training"/>
    <x v="0"/>
    <x v="0"/>
    <s v="SRS Ladies Hostel - Branch 3, opp. Marina Mall, Egattur"/>
    <x v="0"/>
    <x v="1"/>
    <x v="3"/>
    <x v="0"/>
    <x v="0"/>
  </r>
  <r>
    <n v="2533165"/>
    <s v="Kodam Sowjanya"/>
    <d v="2026-08-25T00:00:00"/>
    <x v="1"/>
    <s v="FTE"/>
    <s v="Chennai"/>
    <s v="CIS26MBG005"/>
    <s v="Angel Maria Faustina Gomez"/>
    <d v="2026-12-11T00:00:00"/>
    <x v="1"/>
    <s v="In-Training"/>
    <x v="0"/>
    <x v="0"/>
    <s v="SRS Luxury PG for ladies, Branch 3, Egattur"/>
    <x v="0"/>
    <x v="0"/>
    <x v="0"/>
    <x v="0"/>
    <x v="0"/>
  </r>
  <r>
    <n v="2533185"/>
    <s v="Potla Harshitha"/>
    <d v="2026-08-25T00:00:00"/>
    <x v="1"/>
    <s v="FTE"/>
    <s v="Chennai"/>
    <s v="CIS26AT008"/>
    <s v="Uma Venkatachalam"/>
    <d v="2026-12-09T00:00:00"/>
    <x v="1"/>
    <s v="In-Training"/>
    <x v="0"/>
    <x v="0"/>
    <s v="Krishna Nivas Ladies PG, Egattur"/>
    <x v="0"/>
    <x v="0"/>
    <x v="0"/>
    <x v="0"/>
    <x v="0"/>
  </r>
  <r>
    <n v="2533223"/>
    <s v="Bonam Deborah Margaret"/>
    <d v="2026-08-25T00:00:00"/>
    <x v="1"/>
    <s v="FTE"/>
    <s v="Chennai"/>
    <s v="CIS26MBG007"/>
    <s v="Lawrance M"/>
    <d v="2026-12-11T00:00:00"/>
    <x v="1"/>
    <s v="In-Training"/>
    <x v="0"/>
    <x v="0"/>
    <s v="SRS LUXURY PG BRANCH 1,SIRUSERI"/>
    <x v="0"/>
    <x v="0"/>
    <x v="3"/>
    <x v="0"/>
    <x v="0"/>
  </r>
  <r>
    <n v="2533228"/>
    <s v="Sivaraj S"/>
    <d v="2026-08-25T00:00:00"/>
    <x v="0"/>
    <s v="FTE"/>
    <s v="Chennai"/>
    <s v="CIS26MBG005"/>
    <s v="Angel Maria Faustina Gomez"/>
    <d v="2026-12-11T00:00:00"/>
    <x v="1"/>
    <s v="In-Training"/>
    <x v="0"/>
    <x v="0"/>
    <s v="4/238, Gangai Amman Kovil St, Egatur, Siruseri, Tamil Nadu 600130"/>
    <x v="0"/>
    <x v="1"/>
    <x v="0"/>
    <x v="0"/>
    <x v="0"/>
  </r>
  <r>
    <n v="2533571"/>
    <s v="Akreethi Kumari"/>
    <d v="2026-08-27T00:00:00"/>
    <x v="1"/>
    <s v="FTE"/>
    <s v="Chennai"/>
    <s v="EPS26OSP011"/>
    <s v="Gayathri Ramachandran"/>
    <s v=""/>
    <x v="1"/>
    <s v="Training - ON Hold"/>
    <x v="0"/>
    <x v="0"/>
    <s v="Vaishnavi elite pg"/>
    <x v="0"/>
    <x v="0"/>
    <x v="8"/>
    <x v="4"/>
    <x v="0"/>
  </r>
  <r>
    <n v="2533575"/>
    <s v="Prabhakaran Sankar"/>
    <d v="2026-08-27T00:00:00"/>
    <x v="0"/>
    <s v="FTE"/>
    <s v="Chennai"/>
    <s v="EPS26SAP038"/>
    <s v="Ajith Ganesan"/>
    <d v="2026-10-27T00:00:00"/>
    <x v="3"/>
    <s v="In-Training"/>
    <x v="0"/>
    <x v="0"/>
    <s v="Sri Venkateshwara PG, Navalur."/>
    <x v="0"/>
    <x v="1"/>
    <x v="2"/>
    <x v="0"/>
    <x v="0"/>
  </r>
  <r>
    <n v="2533587"/>
    <s v="Majjiga Charan Yadav"/>
    <d v="2026-08-27T00:00:00"/>
    <x v="0"/>
    <s v="FTE"/>
    <s v="Chennai"/>
    <s v="ADM27DFSA001"/>
    <s v="Thomas Naveen. J"/>
    <d v="2026-12-30T00:00:00"/>
    <x v="1"/>
    <s v="In-Training"/>
    <x v="0"/>
    <x v="0"/>
    <s v="Siddus Premium Mens PG, SIRUSERI IT PARK, "/>
    <x v="0"/>
    <x v="0"/>
    <x v="3"/>
    <x v="0"/>
    <x v="0"/>
  </r>
  <r>
    <n v="2523379"/>
    <s v="Abilash A"/>
    <d v="2026-07-16T00:00:00"/>
    <x v="0"/>
    <s v="FTE"/>
    <s v="Chennai"/>
    <s v="PG26JFR004"/>
    <s v="Thomas Naveen. J"/>
    <d v="2026-11-16T00:00:00"/>
    <x v="0"/>
    <s v="In-Training"/>
    <x v="1"/>
    <x v="2"/>
    <s v="1/749, Maruthi Nagar, Perungudi, Chennai 600096"/>
    <x v="0"/>
    <x v="1"/>
    <x v="19"/>
    <x v="4"/>
    <x v="1"/>
  </r>
  <r>
    <n v="2529570"/>
    <s v="Sampa Sen"/>
    <d v="2026-08-11T00:00:00"/>
    <x v="1"/>
    <s v="FTE"/>
    <s v="Chennai"/>
    <s v="CIS26MCPT023"/>
    <s v="Kishorekumar P"/>
    <d v="2026-12-03T00:00:00"/>
    <x v="1"/>
    <s v="In-Training"/>
    <x v="1"/>
    <x v="2"/>
    <s v="V.P.G Avenue Extn., Mettukuppam"/>
    <x v="0"/>
    <x v="1"/>
    <x v="20"/>
    <x v="6"/>
    <x v="1"/>
  </r>
  <r>
    <n v="2479361"/>
    <s v="B Archana"/>
    <d v="2026-08-20T00:00:00"/>
    <x v="1"/>
    <s v="CSD"/>
    <s v="Chennai"/>
    <s v="INTFE26FE001"/>
    <s v="Grace Esther S"/>
    <d v="2026-10-15T00:00:00"/>
    <x v="3"/>
    <s v="In-Training"/>
    <x v="0"/>
    <x v="0"/>
    <s v="New Manikandan PG,kalipattur"/>
    <x v="0"/>
    <x v="1"/>
    <x v="3"/>
    <x v="0"/>
    <x v="0"/>
  </r>
  <r>
    <n v="2481699"/>
    <s v="Sivasakthi S"/>
    <d v="2026-02-05T00:00:00"/>
    <x v="0"/>
    <s v="FTE"/>
    <s v="Chennai"/>
    <s v="CS26CS008"/>
    <s v="Kishorekumar P"/>
    <d v="2026-10-28T00:00:00"/>
    <x v="3"/>
    <s v="In-Training"/>
    <x v="0"/>
    <x v="0"/>
    <s v="BROSPACE Phoenix Premium Mens PG Hostel, Navalur"/>
    <x v="0"/>
    <x v="1"/>
    <x v="2"/>
    <x v="0"/>
    <x v="0"/>
  </r>
  <r>
    <n v="2507191"/>
    <s v="Beeraka Sanjana"/>
    <d v="2026-04-30T00:00:00"/>
    <x v="1"/>
    <s v="FTE"/>
    <s v="Chennai"/>
    <s v="ISG26JSAAT002"/>
    <s v="Ashiya Begam S"/>
    <d v="2026-09-07T00:00:00"/>
    <x v="2"/>
    <s v="In-Training-Remedial"/>
    <x v="0"/>
    <x v="0"/>
    <s v="Siri Ladies PG, Sholinganallur"/>
    <x v="0"/>
    <x v="1"/>
    <x v="8"/>
    <x v="4"/>
    <x v="0"/>
  </r>
  <r>
    <n v="2507505"/>
    <s v="Elakkiya G"/>
    <d v="2026-04-30T00:00:00"/>
    <x v="1"/>
    <s v="FTE"/>
    <s v="Chennai"/>
    <s v="ISG26JSAAT002"/>
    <s v="Ashiya Begam S"/>
    <d v="2026-09-07T00:00:00"/>
    <x v="2"/>
    <s v="In-Training-Remedial"/>
    <x v="0"/>
    <x v="0"/>
    <s v="New Manikandan ladies hostel ,branch 4"/>
    <x v="0"/>
    <x v="0"/>
    <x v="0"/>
    <x v="0"/>
    <x v="0"/>
  </r>
  <r>
    <n v="2511226"/>
    <s v="Harshanandhini Thangavel"/>
    <d v="2026-05-21T00:00:00"/>
    <x v="1"/>
    <s v="FTE"/>
    <s v="Chennai"/>
    <s v="CIS26MCPT010"/>
    <s v="Mohamed Harish"/>
    <d v="2026-09-10T00:00:00"/>
    <x v="2"/>
    <s v="In-Training"/>
    <x v="0"/>
    <x v="0"/>
    <s v="SK ladies PG, Navalur"/>
    <x v="0"/>
    <x v="0"/>
    <x v="2"/>
    <x v="0"/>
    <x v="0"/>
  </r>
  <r>
    <n v="2511227"/>
    <s v="Shahrukh Ahmed"/>
    <d v="2026-05-21T00:00:00"/>
    <x v="0"/>
    <s v="FTE"/>
    <s v="Chennai"/>
    <s v="CIS26MCPT010"/>
    <s v="Mohamed Harish"/>
    <d v="2026-09-10T00:00:00"/>
    <x v="2"/>
    <s v="In-Training"/>
    <x v="0"/>
    <x v="0"/>
    <s v="Pasanga Paradise PG - Branch 1, Egattur"/>
    <x v="0"/>
    <x v="1"/>
    <x v="0"/>
    <x v="0"/>
    <x v="0"/>
  </r>
  <r>
    <n v="2511233"/>
    <s v="Amol Bhujangrao Awalod"/>
    <d v="2026-05-21T00:00:00"/>
    <x v="0"/>
    <s v="FTE"/>
    <s v="Chennai"/>
    <s v="CIS26MCPT010"/>
    <s v="Mohamed Harish"/>
    <d v="2026-09-10T00:00:00"/>
    <x v="2"/>
    <s v="In-Training"/>
    <x v="0"/>
    <x v="0"/>
    <s v="SPT Gents hostel, Egattur"/>
    <x v="0"/>
    <x v="0"/>
    <x v="0"/>
    <x v="0"/>
    <x v="0"/>
  </r>
  <r>
    <n v="2511240"/>
    <s v="Razeen Gani S"/>
    <d v="2026-05-21T00:00:00"/>
    <x v="0"/>
    <s v="FTE"/>
    <s v="Chennai"/>
    <s v="CIS26MCPT010"/>
    <s v="Mohamed Harish"/>
    <d v="2026-09-10T00:00:00"/>
    <x v="2"/>
    <s v="In-Training"/>
    <x v="1"/>
    <x v="2"/>
    <s v="Old Washermenpet"/>
    <x v="0"/>
    <x v="1"/>
    <x v="3"/>
    <x v="0"/>
    <x v="1"/>
  </r>
  <r>
    <n v="2511242"/>
    <s v="Bharath Kallimani"/>
    <d v="2026-05-21T00:00:00"/>
    <x v="0"/>
    <s v="FTE"/>
    <s v="Chennai"/>
    <s v="CIS26MCPT010"/>
    <s v="Mohamed Harish"/>
    <d v="2026-09-10T00:00:00"/>
    <x v="2"/>
    <s v="In-Training"/>
    <x v="0"/>
    <x v="0"/>
    <s v="Sipcot IT Park Siruseri, Chennai"/>
    <x v="0"/>
    <x v="0"/>
    <x v="0"/>
    <x v="0"/>
    <x v="0"/>
  </r>
  <r>
    <n v="2511247"/>
    <s v="Avishkar Sunil Anpat"/>
    <d v="2026-05-21T00:00:00"/>
    <x v="0"/>
    <s v="FTE"/>
    <s v="Chennai"/>
    <s v="CIS26MCPT010"/>
    <s v="Mohamed Harish"/>
    <d v="2026-09-10T00:00:00"/>
    <x v="2"/>
    <s v="In-Training"/>
    <x v="0"/>
    <x v="0"/>
    <s v="Seevram"/>
    <x v="0"/>
    <x v="0"/>
    <x v="21"/>
    <x v="4"/>
    <x v="0"/>
  </r>
  <r>
    <n v="2511249"/>
    <s v="Tumpaala Lakshmi Vaatsalya"/>
    <d v="2026-05-21T00:00:00"/>
    <x v="1"/>
    <s v="FTE"/>
    <s v="Chennai"/>
    <s v="CIS26MCPT010"/>
    <s v="Mohamed Harish"/>
    <d v="2026-09-10T00:00:00"/>
    <x v="2"/>
    <s v="In-Training"/>
    <x v="0"/>
    <x v="0"/>
    <s v="MSR LUXURY LADIES PG BRANCH-3, Egattur"/>
    <x v="0"/>
    <x v="0"/>
    <x v="0"/>
    <x v="0"/>
    <x v="0"/>
  </r>
  <r>
    <n v="2511260"/>
    <s v="Ronith Kumar"/>
    <d v="2026-05-21T00:00:00"/>
    <x v="0"/>
    <s v="FTE"/>
    <s v="Chennai"/>
    <s v="CIS26MCPT010"/>
    <s v="Mohamed Harish"/>
    <d v="2026-09-10T00:00:00"/>
    <x v="2"/>
    <s v="In-Training"/>
    <x v="0"/>
    <x v="0"/>
    <s v="CNR Gents PG branch 2 SIPCOT"/>
    <x v="0"/>
    <x v="0"/>
    <x v="3"/>
    <x v="0"/>
    <x v="0"/>
  </r>
  <r>
    <n v="2511267"/>
    <s v="Victor William S"/>
    <d v="2026-05-21T00:00:00"/>
    <x v="0"/>
    <s v="FTE"/>
    <s v="Chennai"/>
    <s v="CIS26MCPT010"/>
    <s v="Mohamed Harish"/>
    <d v="2026-09-10T00:00:00"/>
    <x v="2"/>
    <s v="In-Training"/>
    <x v="1"/>
    <x v="2"/>
    <s v="Happy Day School Building"/>
    <x v="0"/>
    <x v="0"/>
    <x v="22"/>
    <x v="4"/>
    <x v="0"/>
  </r>
  <r>
    <n v="2511276"/>
    <s v="Karukonala Venkata Deepthi"/>
    <d v="2026-05-21T00:00:00"/>
    <x v="1"/>
    <s v="FTE"/>
    <s v="Chennai"/>
    <s v="CIS26MCPT010"/>
    <s v="Mohamed Harish"/>
    <d v="2026-09-15T00:00:00"/>
    <x v="2"/>
    <s v="In-Training"/>
    <x v="0"/>
    <x v="0"/>
    <s v="R&amp;R Ladies PG and Hostel -L1 Branch, Egattur"/>
    <x v="0"/>
    <x v="0"/>
    <x v="3"/>
    <x v="0"/>
    <x v="0"/>
  </r>
  <r>
    <n v="2511284"/>
    <s v="Vishal Balappa Morakar"/>
    <d v="2026-05-21T00:00:00"/>
    <x v="0"/>
    <s v="FTE"/>
    <s v="Chennai"/>
    <s v="CIS26MCPT010"/>
    <s v="Mohamed Harish"/>
    <d v="2026-09-15T00:00:00"/>
    <x v="2"/>
    <s v="In-Training"/>
    <x v="0"/>
    <x v="0"/>
    <s v="Shree Venkat Ganesh Mens PG Egattur."/>
    <x v="0"/>
    <x v="0"/>
    <x v="0"/>
    <x v="0"/>
    <x v="0"/>
  </r>
  <r>
    <n v="2511291"/>
    <s v="Pratik Santosh Kulkarni"/>
    <d v="2026-05-21T00:00:00"/>
    <x v="0"/>
    <s v="FTE"/>
    <s v="Chennai"/>
    <s v="CIS26MCPT010"/>
    <s v="Mohamed Harish"/>
    <d v="2026-09-15T00:00:00"/>
    <x v="2"/>
    <s v="In-Training"/>
    <x v="0"/>
    <x v="0"/>
    <s v="Saravana PG mens, Egattur"/>
    <x v="0"/>
    <x v="0"/>
    <x v="0"/>
    <x v="0"/>
    <x v="0"/>
  </r>
  <r>
    <n v="2511302"/>
    <s v="Srivarshan LNU"/>
    <d v="2026-05-21T00:00:00"/>
    <x v="0"/>
    <s v="FTE"/>
    <s v="Chennai"/>
    <s v="CIS26MCPT010"/>
    <s v="Mohamed Harish"/>
    <d v="2026-09-15T00:00:00"/>
    <x v="2"/>
    <s v="In-Training"/>
    <x v="1"/>
    <x v="1"/>
    <s v="Permanent house"/>
    <x v="0"/>
    <x v="1"/>
    <x v="3"/>
    <x v="0"/>
    <x v="1"/>
  </r>
  <r>
    <n v="2512288"/>
    <s v="Sharukhan Yasin"/>
    <d v="2026-05-28T00:00:00"/>
    <x v="0"/>
    <s v="FTE"/>
    <s v="Chennai"/>
    <s v="CIS26MCPT011"/>
    <s v="Uma Venkatachalam"/>
    <d v="2026-09-17T00:00:00"/>
    <x v="2"/>
    <s v="In-Training"/>
    <x v="0"/>
    <x v="0"/>
    <s v="Jothi Gents Hostel 5th Branch"/>
    <x v="0"/>
    <x v="1"/>
    <x v="2"/>
    <x v="0"/>
    <x v="0"/>
  </r>
  <r>
    <n v="2512300"/>
    <s v="Supriya S Talawar"/>
    <d v="2026-05-28T00:00:00"/>
    <x v="1"/>
    <s v="FTE"/>
    <s v="Chennai"/>
    <s v="CIS26MCPT011"/>
    <s v="Uma Venkatachalam"/>
    <d v="2026-09-17T00:00:00"/>
    <x v="2"/>
    <s v="In-Training"/>
    <x v="0"/>
    <x v="0"/>
    <s v="DRK Luxury PG stays"/>
    <x v="0"/>
    <x v="0"/>
    <x v="0"/>
    <x v="0"/>
    <x v="0"/>
  </r>
  <r>
    <n v="2512317"/>
    <s v="Vigneshwari Sakthivel"/>
    <d v="2026-05-28T00:00:00"/>
    <x v="1"/>
    <s v="FTE"/>
    <s v="Chennai"/>
    <s v="CIS26MCPT011"/>
    <s v="Uma Venkatachalam"/>
    <d v="2026-09-17T00:00:00"/>
    <x v="2"/>
    <s v="In-Training"/>
    <x v="0"/>
    <x v="0"/>
    <s v="CSR Luxury womens PG"/>
    <x v="0"/>
    <x v="0"/>
    <x v="0"/>
    <x v="0"/>
    <x v="0"/>
  </r>
  <r>
    <n v="2512320"/>
    <s v="Sajadh I"/>
    <d v="2026-05-28T00:00:00"/>
    <x v="0"/>
    <s v="FTE"/>
    <s v="Chennai"/>
    <s v="CIS26MCPT012"/>
    <s v="Uma Venkatachalam"/>
    <d v="2026-09-17T00:00:00"/>
    <x v="2"/>
    <s v="In-Training"/>
    <x v="0"/>
    <x v="0"/>
    <s v="Venkata Ramana Mens PG Branch - 3"/>
    <x v="0"/>
    <x v="0"/>
    <x v="0"/>
    <x v="0"/>
    <x v="0"/>
  </r>
  <r>
    <n v="2512333"/>
    <s v="Vadlakunta Veda"/>
    <d v="2026-05-28T00:00:00"/>
    <x v="1"/>
    <s v="FTE"/>
    <s v="Chennai"/>
    <s v="CIS26MCPT011"/>
    <s v="Uma Venkatachalam"/>
    <d v="2026-09-17T00:00:00"/>
    <x v="2"/>
    <s v="In-Training"/>
    <x v="0"/>
    <x v="0"/>
    <s v="Parin Luxury Ladies Pg"/>
    <x v="0"/>
    <x v="0"/>
    <x v="0"/>
    <x v="0"/>
    <x v="0"/>
  </r>
  <r>
    <n v="2512339"/>
    <s v="Lahari Anthakapalli"/>
    <d v="2026-05-28T00:00:00"/>
    <x v="1"/>
    <s v="FTE"/>
    <s v="Chennai"/>
    <s v="CIS26MCPT012"/>
    <s v="Uma Venkatachalam"/>
    <d v="2026-09-17T00:00:00"/>
    <x v="2"/>
    <s v="In-Training"/>
    <x v="0"/>
    <x v="0"/>
    <s v="Sri Rama Sai Ladies PG , Egattur "/>
    <x v="0"/>
    <x v="0"/>
    <x v="0"/>
    <x v="0"/>
    <x v="0"/>
  </r>
  <r>
    <n v="2512350"/>
    <s v="Rakesh N V"/>
    <d v="2026-05-28T00:00:00"/>
    <x v="0"/>
    <s v="FTE"/>
    <s v="Chennai"/>
    <s v="CIS26MCPT012"/>
    <s v="Uma Venkatachalam"/>
    <d v="2026-09-17T00:00:00"/>
    <x v="2"/>
    <s v="In-Training"/>
    <x v="0"/>
    <x v="0"/>
    <s v="SVD Mens PG"/>
    <x v="0"/>
    <x v="0"/>
    <x v="3"/>
    <x v="0"/>
    <x v="0"/>
  </r>
  <r>
    <n v="2512361"/>
    <s v="Senthil Kumar V"/>
    <d v="2026-05-28T00:00:00"/>
    <x v="0"/>
    <s v="FTE"/>
    <s v="Chennai"/>
    <s v="CIS26MCPT012"/>
    <s v="Uma Venkatachalam"/>
    <d v="2026-09-17T00:00:00"/>
    <x v="2"/>
    <s v="In-Training"/>
    <x v="0"/>
    <x v="0"/>
    <s v="JOTHI MENS HOSTEL 5TH BRANCH"/>
    <x v="0"/>
    <x v="1"/>
    <x v="2"/>
    <x v="0"/>
    <x v="0"/>
  </r>
  <r>
    <n v="2512364"/>
    <s v="Vighnesh Kulal"/>
    <d v="2026-05-28T00:00:00"/>
    <x v="0"/>
    <s v="FTE"/>
    <s v="Chennai"/>
    <s v="CIS26MCPT012"/>
    <s v="Uma Venkatachalam"/>
    <d v="2026-09-17T00:00:00"/>
    <x v="2"/>
    <s v="In-Training"/>
    <x v="0"/>
    <x v="0"/>
    <s v="Venkata ramana mens hostels Branch-3"/>
    <x v="0"/>
    <x v="0"/>
    <x v="3"/>
    <x v="0"/>
    <x v="0"/>
  </r>
  <r>
    <n v="2516799"/>
    <s v="Ponnathota Charan Vardhan Reddy"/>
    <d v="2026-06-18T00:00:00"/>
    <x v="0"/>
    <s v="FTE"/>
    <s v="Chennai"/>
    <s v="CIS26MW001"/>
    <s v="Ashiya Begam S"/>
    <d v="2026-09-11T00:00:00"/>
    <x v="2"/>
    <s v="In-Training"/>
    <x v="0"/>
    <x v="0"/>
    <s v="Amaravati Gents PG - Egattur"/>
    <x v="0"/>
    <x v="0"/>
    <x v="0"/>
    <x v="0"/>
    <x v="0"/>
  </r>
  <r>
    <n v="2516805"/>
    <s v="Karamalla Shareefa"/>
    <d v="2026-06-18T00:00:00"/>
    <x v="1"/>
    <s v="FTE"/>
    <s v="Chennai"/>
    <s v="CIS26MW001"/>
    <s v="Ashiya Begam S"/>
    <d v="2026-09-11T00:00:00"/>
    <x v="2"/>
    <s v="In-Training"/>
    <x v="0"/>
    <x v="0"/>
    <s v="csr luxry ladies pg branch 1 - egattur"/>
    <x v="0"/>
    <x v="0"/>
    <x v="0"/>
    <x v="0"/>
    <x v="0"/>
  </r>
  <r>
    <n v="2516823"/>
    <s v="Sai Bhavithaa Sree Neeli"/>
    <d v="2026-06-18T00:00:00"/>
    <x v="1"/>
    <s v="FTE"/>
    <s v="Chennai"/>
    <s v="CIS26MW001"/>
    <s v="Ashiya Begam S"/>
    <d v="2026-09-11T00:00:00"/>
    <x v="2"/>
    <s v="In-Training"/>
    <x v="0"/>
    <x v="0"/>
    <s v="Sai Grand Women Pg, 106, Gangai Amman Kovil Street, Egattur, Siruseri, Tamil Nadu - 603103"/>
    <x v="0"/>
    <x v="0"/>
    <x v="0"/>
    <x v="0"/>
    <x v="0"/>
  </r>
  <r>
    <n v="2516828"/>
    <s v="Cheppali Shafiunnisa"/>
    <d v="2026-06-18T00:00:00"/>
    <x v="1"/>
    <s v="FTE"/>
    <s v="Chennai"/>
    <s v="CIS26MW001"/>
    <s v="Ashiya Begam S"/>
    <d v="2026-09-11T00:00:00"/>
    <x v="2"/>
    <s v="In-Training"/>
    <x v="0"/>
    <x v="0"/>
    <s v="Golden india PG - Karapakkam"/>
    <x v="0"/>
    <x v="0"/>
    <x v="3"/>
    <x v="0"/>
    <x v="0"/>
  </r>
  <r>
    <n v="2516858"/>
    <s v="Vanshika Jain"/>
    <d v="2026-06-18T00:00:00"/>
    <x v="1"/>
    <s v="FTE"/>
    <s v="Chennai"/>
    <s v="CIS26MW001"/>
    <s v="Ashiya Begam S"/>
    <d v="2026-09-11T00:00:00"/>
    <x v="2"/>
    <s v="In-Training"/>
    <x v="0"/>
    <x v="0"/>
    <s v="Sai Grand Womens PG - Dr Ambedkar Street , Egattur"/>
    <x v="0"/>
    <x v="0"/>
    <x v="0"/>
    <x v="0"/>
    <x v="0"/>
  </r>
  <r>
    <n v="2516863"/>
    <s v="P Meghana"/>
    <d v="2026-06-18T00:00:00"/>
    <x v="1"/>
    <s v="FTE"/>
    <s v="Chennai"/>
    <s v="CIS26MW001"/>
    <s v="Ashiya Begam S"/>
    <d v="2026-09-11T00:00:00"/>
    <x v="2"/>
    <s v="In-Training"/>
    <x v="0"/>
    <x v="0"/>
    <s v="CSR Ladies PG -  Branch 1, Egattur"/>
    <x v="0"/>
    <x v="0"/>
    <x v="0"/>
    <x v="0"/>
    <x v="0"/>
  </r>
  <r>
    <n v="2516864"/>
    <s v="Abhinav Anand"/>
    <d v="2026-06-18T00:00:00"/>
    <x v="0"/>
    <s v="FTE"/>
    <s v="Chennai"/>
    <s v="CIS26NET004"/>
    <s v="Uma Venkatachalam"/>
    <d v="2026-09-04T00:00:00"/>
    <x v="2"/>
    <s v="In-Training-Remedial"/>
    <x v="0"/>
    <x v="0"/>
    <s v="Sahasra Deluxe PG for Men, Egattur"/>
    <x v="0"/>
    <x v="0"/>
    <x v="0"/>
    <x v="0"/>
    <x v="0"/>
  </r>
  <r>
    <n v="2516873"/>
    <s v="Yanamala Neelima"/>
    <d v="2026-06-18T00:00:00"/>
    <x v="1"/>
    <s v="FTE"/>
    <s v="Chennai"/>
    <s v="CIS26MW001"/>
    <s v="Ashiya Begam S"/>
    <d v="2026-09-11T00:00:00"/>
    <x v="2"/>
    <s v="In-Training"/>
    <x v="0"/>
    <x v="0"/>
    <s v="Moksha ladies Hostel"/>
    <x v="0"/>
    <x v="0"/>
    <x v="3"/>
    <x v="0"/>
    <x v="0"/>
  </r>
  <r>
    <n v="2518819"/>
    <s v="S Poojitha"/>
    <d v="2026-06-30T00:00:00"/>
    <x v="1"/>
    <s v="FTE"/>
    <s v="Chennai"/>
    <s v="CIS26SB001"/>
    <s v="Kishorekumar P"/>
    <d v="2026-10-14T00:00:00"/>
    <x v="3"/>
    <s v="In-Training"/>
    <x v="1"/>
    <x v="1"/>
    <s v="Praneel Indra"/>
    <x v="0"/>
    <x v="1"/>
    <x v="3"/>
    <x v="0"/>
    <x v="1"/>
  </r>
  <r>
    <n v="2518823"/>
    <s v="Priyanka Lnu"/>
    <d v="2026-06-30T00:00:00"/>
    <x v="1"/>
    <s v="FTE"/>
    <s v="Chennai"/>
    <s v="CIS26SB001"/>
    <s v="Kishorekumar P"/>
    <d v="2026-10-14T00:00:00"/>
    <x v="3"/>
    <s v="In-Training"/>
    <x v="0"/>
    <x v="0"/>
    <s v="The New Manikandan Ladies Pg Branch 4, Kazhipattur"/>
    <x v="0"/>
    <x v="0"/>
    <x v="3"/>
    <x v="0"/>
    <x v="0"/>
  </r>
  <r>
    <n v="2519578"/>
    <s v="Mukthapuram Vyshnavi"/>
    <d v="2026-07-02T00:00:00"/>
    <x v="1"/>
    <s v="FTE"/>
    <s v="Chennai"/>
    <s v="CIS26DWP021"/>
    <s v="Laksiya Vijayendran"/>
    <d v="2026-09-07T00:00:00"/>
    <x v="2"/>
    <s v="In-Training-Remedial"/>
    <x v="0"/>
    <x v="0"/>
    <s v="Sai Theja Luxury Ladies PG, Eggatur"/>
    <x v="0"/>
    <x v="0"/>
    <x v="0"/>
    <x v="0"/>
    <x v="0"/>
  </r>
  <r>
    <n v="2519582"/>
    <s v="M Manoj"/>
    <d v="2026-07-02T00:00:00"/>
    <x v="0"/>
    <s v="FTE"/>
    <s v="Chennai"/>
    <s v="CIS26UNIX003"/>
    <s v="Haritha P"/>
    <d v="2026-09-24T00:00:00"/>
    <x v="2"/>
    <s v="In-Training"/>
    <x v="0"/>
    <x v="0"/>
    <s v="KMR DELUXE FOR GENTS, Navalur"/>
    <x v="0"/>
    <x v="0"/>
    <x v="2"/>
    <x v="0"/>
    <x v="0"/>
  </r>
  <r>
    <n v="2519589"/>
    <s v="Tejaswini B R"/>
    <d v="2026-07-02T00:00:00"/>
    <x v="1"/>
    <s v="FTE"/>
    <s v="Chennai"/>
    <s v="CIS26UNIX003"/>
    <s v="Haritha P"/>
    <d v="2026-09-24T00:00:00"/>
    <x v="2"/>
    <s v="In-Training"/>
    <x v="0"/>
    <x v="0"/>
    <s v="Silver Star Luxury ladies hostal PG"/>
    <x v="0"/>
    <x v="0"/>
    <x v="0"/>
    <x v="0"/>
    <x v="0"/>
  </r>
  <r>
    <n v="2519595"/>
    <s v="Machendra M"/>
    <d v="2026-07-02T00:00:00"/>
    <x v="0"/>
    <s v="FTE"/>
    <s v="Chennai"/>
    <s v="CIS26UNIX004"/>
    <s v="Haritha P"/>
    <d v="2026-09-24T00:00:00"/>
    <x v="2"/>
    <s v="In-Training"/>
    <x v="0"/>
    <x v="0"/>
    <s v="R&amp;R gents pg,Egattur"/>
    <x v="0"/>
    <x v="0"/>
    <x v="0"/>
    <x v="0"/>
    <x v="0"/>
  </r>
  <r>
    <n v="2519598"/>
    <s v="Ritesh Kumar"/>
    <d v="2026-07-02T00:00:00"/>
    <x v="0"/>
    <s v="FTE"/>
    <s v="Chennai"/>
    <s v="CIS26UNIX003"/>
    <s v="Haritha P"/>
    <d v="2026-09-24T00:00:00"/>
    <x v="2"/>
    <s v="In-Training"/>
    <x v="0"/>
    <x v="0"/>
    <s v="Sahasra Deluxe PG for men"/>
    <x v="0"/>
    <x v="0"/>
    <x v="3"/>
    <x v="0"/>
    <x v="0"/>
  </r>
  <r>
    <n v="2519600"/>
    <s v="Sirigineedi Sai Dileep"/>
    <d v="2026-07-02T00:00:00"/>
    <x v="0"/>
    <s v="FTE"/>
    <s v="Chennai"/>
    <s v="CIS26MCPT013"/>
    <s v="Lawrance M"/>
    <d v="2026-10-29T00:00:00"/>
    <x v="3"/>
    <s v="In-Training"/>
    <x v="0"/>
    <x v="0"/>
    <s v="CNR Gents PG, Sipcot, Siruseri"/>
    <x v="0"/>
    <x v="0"/>
    <x v="3"/>
    <x v="0"/>
    <x v="0"/>
  </r>
  <r>
    <n v="2519623"/>
    <s v="Divya Shree V"/>
    <d v="2026-07-02T00:00:00"/>
    <x v="1"/>
    <s v="FTE"/>
    <s v="Chennai"/>
    <s v="CIS26MCPT013"/>
    <s v="Lawrance M"/>
    <d v="2026-10-29T00:00:00"/>
    <x v="3"/>
    <s v="In-Training"/>
    <x v="0"/>
    <x v="0"/>
    <s v="MSR Luxury PG for Ladies -Branch III ,Egattur"/>
    <x v="0"/>
    <x v="1"/>
    <x v="3"/>
    <x v="0"/>
    <x v="0"/>
  </r>
  <r>
    <n v="2519629"/>
    <s v="Nasina Hemanth Hemanth Kumar"/>
    <d v="2026-07-02T00:00:00"/>
    <x v="0"/>
    <s v="FTE"/>
    <s v="Chennai"/>
    <s v="CIS26MCPT013"/>
    <s v="Lawrance M"/>
    <d v="2026-10-29T00:00:00"/>
    <x v="3"/>
    <s v="In-Training"/>
    <x v="0"/>
    <x v="4"/>
    <s v="KMR pg for gents - navalur "/>
    <x v="0"/>
    <x v="0"/>
    <x v="2"/>
    <x v="0"/>
    <x v="0"/>
  </r>
  <r>
    <n v="2519680"/>
    <s v="Mohammad Daanish"/>
    <d v="2026-07-02T00:00:00"/>
    <x v="0"/>
    <s v="FTE"/>
    <s v="Chennai"/>
    <s v="CIS26UNIX004"/>
    <s v="Haritha P"/>
    <d v="2026-09-24T00:00:00"/>
    <x v="2"/>
    <s v="In-Training"/>
    <x v="0"/>
    <x v="0"/>
    <s v="Sahasra Deluxe PG for men"/>
    <x v="0"/>
    <x v="0"/>
    <x v="0"/>
    <x v="0"/>
    <x v="0"/>
  </r>
  <r>
    <n v="2519705"/>
    <s v="Lipishree H S"/>
    <d v="2026-07-02T00:00:00"/>
    <x v="1"/>
    <s v="FTE"/>
    <s v="Chennai"/>
    <s v="CIS26UNIX003"/>
    <s v="Haritha P"/>
    <d v="2026-09-24T00:00:00"/>
    <x v="2"/>
    <s v="In-Training"/>
    <x v="0"/>
    <x v="0"/>
    <s v="MSR luxury pg for ladies, Branch 3, Egattur"/>
    <x v="0"/>
    <x v="0"/>
    <x v="3"/>
    <x v="0"/>
    <x v="0"/>
  </r>
  <r>
    <n v="2519823"/>
    <s v="Shaik Nafees Azmath"/>
    <d v="2026-07-02T00:00:00"/>
    <x v="0"/>
    <s v="FTE"/>
    <s v="Chennai"/>
    <s v="CIS26MCPT013"/>
    <s v="Lawrance M"/>
    <d v="2026-10-29T00:00:00"/>
    <x v="3"/>
    <s v="In-Training"/>
    <x v="1"/>
    <x v="1"/>
    <s v="House"/>
    <x v="0"/>
    <x v="1"/>
    <x v="15"/>
    <x v="1"/>
    <x v="1"/>
  </r>
  <r>
    <n v="2520921"/>
    <s v="Siddesh M Lambi"/>
    <d v="2026-07-07T00:00:00"/>
    <x v="0"/>
    <s v="FTE"/>
    <s v="Chennai"/>
    <s v="CIS26UNIX004"/>
    <s v="Haritha P"/>
    <d v="2026-09-24T00:00:00"/>
    <x v="2"/>
    <s v="In-Training"/>
    <x v="0"/>
    <x v="0"/>
    <s v="SVD Gents PG"/>
    <x v="0"/>
    <x v="0"/>
    <x v="3"/>
    <x v="0"/>
    <x v="0"/>
  </r>
  <r>
    <n v="2520926"/>
    <s v="Indushree K C"/>
    <d v="2026-07-07T00:00:00"/>
    <x v="1"/>
    <s v="FTE"/>
    <s v="Chennai"/>
    <s v="CIS26MCPT013"/>
    <s v="Lawrance M"/>
    <d v="2026-10-29T00:00:00"/>
    <x v="3"/>
    <s v="In-Training"/>
    <x v="0"/>
    <x v="0"/>
    <s v="Vaishnavi Ladies PG, No.4/211, Dr. Ambethkar Street, Near Navalur, Sipcot Egattur, Egattur, Chennai-603103, Tamil Nadu"/>
    <x v="0"/>
    <x v="0"/>
    <x v="3"/>
    <x v="0"/>
    <x v="0"/>
  </r>
  <r>
    <n v="2520928"/>
    <s v="Nalajala Gayathri"/>
    <d v="2026-07-07T00:00:00"/>
    <x v="1"/>
    <s v="FTE"/>
    <s v="Chennai"/>
    <s v="CIS26UNIX004"/>
    <s v="Haritha P"/>
    <d v="2026-09-24T00:00:00"/>
    <x v="2"/>
    <s v="In-Training"/>
    <x v="0"/>
    <x v="4"/>
    <s v="Sri Lakshmi Venkateswara"/>
    <x v="0"/>
    <x v="0"/>
    <x v="0"/>
    <x v="0"/>
    <x v="0"/>
  </r>
  <r>
    <n v="2520929"/>
    <s v="Kamran Ayaz"/>
    <d v="2026-07-07T00:00:00"/>
    <x v="0"/>
    <s v="FTE"/>
    <s v="Chennai"/>
    <s v="CIS26MCPT013"/>
    <s v="Lawrance M"/>
    <d v="2026-10-29T00:00:00"/>
    <x v="3"/>
    <s v="In-Training"/>
    <x v="0"/>
    <x v="0"/>
    <s v="Jaya Stay Gents PG "/>
    <x v="0"/>
    <x v="0"/>
    <x v="2"/>
    <x v="0"/>
    <x v="0"/>
  </r>
  <r>
    <n v="2520948"/>
    <s v="Mayur Sanjay Lad"/>
    <d v="2026-07-07T00:00:00"/>
    <x v="0"/>
    <s v="FTE"/>
    <s v="Chennai"/>
    <s v="CS26CS008"/>
    <s v="Kishorekumar P"/>
    <d v="2026-10-28T00:00:00"/>
    <x v="3"/>
    <s v="In-Training"/>
    <x v="0"/>
    <x v="0"/>
    <s v="Ozone Techno Park, 24, Rajiv Gandhi Salai, Navalur, Chennai, Tamil Nadu 600130"/>
    <x v="0"/>
    <x v="0"/>
    <x v="2"/>
    <x v="0"/>
    <x v="0"/>
  </r>
  <r>
    <n v="2520964"/>
    <s v="Prajwal Digambar Kute"/>
    <d v="2026-07-07T00:00:00"/>
    <x v="0"/>
    <s v="FTE"/>
    <s v="Chennai"/>
    <s v="CS26CS008"/>
    <s v="Kishorekumar P"/>
    <d v="2026-10-28T00:00:00"/>
    <x v="3"/>
    <s v="In-Training"/>
    <x v="0"/>
    <x v="0"/>
    <s v="Shri Lakshmi Venkateshwara Gents PG "/>
    <x v="0"/>
    <x v="0"/>
    <x v="3"/>
    <x v="0"/>
    <x v="0"/>
  </r>
  <r>
    <n v="2520969"/>
    <s v="Saurabh Yograj Vaidya"/>
    <d v="2026-07-07T00:00:00"/>
    <x v="0"/>
    <s v="FTE"/>
    <s v="Chennai"/>
    <s v="CS26CS008"/>
    <s v="Kishorekumar P"/>
    <d v="2026-10-28T00:00:00"/>
    <x v="3"/>
    <s v="In-Training"/>
    <x v="0"/>
    <x v="0"/>
    <s v="Shri Lakshmi Venkateshwara Gents PG "/>
    <x v="0"/>
    <x v="0"/>
    <x v="3"/>
    <x v="0"/>
    <x v="0"/>
  </r>
  <r>
    <n v="2520976"/>
    <s v="Shivaraj Y"/>
    <d v="2026-07-07T00:00:00"/>
    <x v="0"/>
    <s v="FTE"/>
    <s v="Chennai"/>
    <s v="PG26JFR003"/>
    <s v="Vijay K"/>
    <d v="2026-10-27T00:00:00"/>
    <x v="3"/>
    <s v="In-Training"/>
    <x v="0"/>
    <x v="0"/>
    <s v="Vishnu PG for Mens"/>
    <x v="0"/>
    <x v="0"/>
    <x v="0"/>
    <x v="0"/>
    <x v="0"/>
  </r>
  <r>
    <n v="2521041"/>
    <s v="Kasukurti Sri Varshith"/>
    <d v="2026-07-07T00:00:00"/>
    <x v="0"/>
    <s v="FTE"/>
    <s v="Chennai"/>
    <s v="CIS26SN001"/>
    <s v="Ashiya Begam S"/>
    <d v="2026-09-16T00:00:00"/>
    <x v="2"/>
    <s v="In-Training"/>
    <x v="0"/>
    <x v="0"/>
    <s v="Sahasra Deluxe PG for men"/>
    <x v="0"/>
    <x v="1"/>
    <x v="0"/>
    <x v="0"/>
    <x v="0"/>
  </r>
  <r>
    <n v="2521049"/>
    <s v="Rakshita Ramesh Danagoud"/>
    <d v="2026-07-07T00:00:00"/>
    <x v="1"/>
    <s v="FTE"/>
    <s v="Chennai"/>
    <s v="SNBG26SN004"/>
    <s v="Kishorekumar P"/>
    <d v="2026-10-08T00:00:00"/>
    <x v="3"/>
    <s v="In-Training"/>
    <x v="0"/>
    <x v="0"/>
    <s v="Smiles Inn pg for girls JJ nagar, Egattur"/>
    <x v="0"/>
    <x v="0"/>
    <x v="0"/>
    <x v="0"/>
    <x v="0"/>
  </r>
  <r>
    <n v="2521056"/>
    <s v="Goriparthi Krishna Swapnika"/>
    <d v="2026-07-07T00:00:00"/>
    <x v="1"/>
    <s v="FTE"/>
    <s v="Chennai"/>
    <s v="CIS26SN001"/>
    <s v="Ashiya Begam S"/>
    <d v="2026-10-08T00:00:00"/>
    <x v="3"/>
    <s v="In-Training"/>
    <x v="0"/>
    <x v="0"/>
    <s v="Sri Sai Unique Ladies PG, Egattur"/>
    <x v="0"/>
    <x v="1"/>
    <x v="0"/>
    <x v="0"/>
    <x v="0"/>
  </r>
  <r>
    <n v="2521068"/>
    <s v="Illapu Mehar Arun Teja"/>
    <d v="2026-07-07T00:00:00"/>
    <x v="0"/>
    <s v="FTE"/>
    <s v="Chennai"/>
    <s v="SNBG26SN002"/>
    <s v="Lawrance M"/>
    <d v="2026-09-16T00:00:00"/>
    <x v="2"/>
    <s v="In-Training"/>
    <x v="0"/>
    <x v="0"/>
    <s v="SP Mens PG,118b, Egattur"/>
    <x v="0"/>
    <x v="0"/>
    <x v="3"/>
    <x v="0"/>
    <x v="0"/>
  </r>
  <r>
    <n v="2521093"/>
    <s v="Nidharshnaa S T"/>
    <d v="2026-07-07T00:00:00"/>
    <x v="1"/>
    <s v="FTE"/>
    <s v="Chennai"/>
    <s v="CS26CS007"/>
    <s v="Lawrance M"/>
    <d v="2026-09-07T00:00:00"/>
    <x v="2"/>
    <s v="In-Training"/>
    <x v="0"/>
    <x v="0"/>
    <s v="MSR Luxury PG for Ladies (Branch III), "/>
    <x v="0"/>
    <x v="0"/>
    <x v="0"/>
    <x v="0"/>
    <x v="0"/>
  </r>
  <r>
    <n v="2521109"/>
    <s v="Kancharla Priyanka"/>
    <d v="2026-07-07T00:00:00"/>
    <x v="1"/>
    <s v="FTE"/>
    <s v="Chennai"/>
    <s v="CS26CS007"/>
    <s v="Lawrance M"/>
    <d v="2026-09-07T00:00:00"/>
    <x v="2"/>
    <s v="In-Training"/>
    <x v="0"/>
    <x v="0"/>
    <s v="Sri Lakshmi Venkateswara PG For Ladies"/>
    <x v="0"/>
    <x v="0"/>
    <x v="0"/>
    <x v="0"/>
    <x v="0"/>
  </r>
  <r>
    <n v="2521124"/>
    <s v="Amireddy Poojitha"/>
    <d v="2026-07-07T00:00:00"/>
    <x v="1"/>
    <s v="FTE"/>
    <s v="Chennai"/>
    <s v="CIS26SN001"/>
    <s v="Ashiya Begam S"/>
    <d v="2026-09-16T00:00:00"/>
    <x v="2"/>
    <s v="In-Training"/>
    <x v="0"/>
    <x v="0"/>
    <s v="Sri lakshmi Venkateswara ladies pg"/>
    <x v="0"/>
    <x v="0"/>
    <x v="3"/>
    <x v="0"/>
    <x v="0"/>
  </r>
  <r>
    <n v="2521130"/>
    <s v="Patnam Harika"/>
    <d v="2026-07-07T00:00:00"/>
    <x v="1"/>
    <s v="FTE"/>
    <s v="Chennai"/>
    <s v="CIS26SN001"/>
    <s v="Ashiya Begam S"/>
    <d v="2026-09-16T00:00:00"/>
    <x v="2"/>
    <s v="In-Training"/>
    <x v="0"/>
    <x v="0"/>
    <s v="Aditi Womens Hostel"/>
    <x v="0"/>
    <x v="0"/>
    <x v="0"/>
    <x v="0"/>
    <x v="0"/>
  </r>
  <r>
    <n v="2521146"/>
    <s v="Banne Venkat Pavan"/>
    <d v="2026-07-07T00:00:00"/>
    <x v="0"/>
    <s v="FTE"/>
    <s v="Chennai"/>
    <s v="CS26CS007"/>
    <s v="Lawrance M"/>
    <d v="2026-09-07T00:00:00"/>
    <x v="2"/>
    <s v="In-Training"/>
    <x v="0"/>
    <x v="0"/>
    <s v="SPT PG for gents"/>
    <x v="0"/>
    <x v="0"/>
    <x v="0"/>
    <x v="0"/>
    <x v="0"/>
  </r>
  <r>
    <n v="2521180"/>
    <s v="Mukesh Patel"/>
    <d v="2026-07-07T00:00:00"/>
    <x v="0"/>
    <s v="FTE"/>
    <s v="Chennai"/>
    <s v="CS26CS008"/>
    <s v="Kishorekumar P"/>
    <d v="2026-10-28T00:00:00"/>
    <x v="3"/>
    <s v="In-Training"/>
    <x v="0"/>
    <x v="0"/>
    <s v="SRI VENKATA SAI HANUMAN GENTS PG (BRANCH-2)"/>
    <x v="0"/>
    <x v="0"/>
    <x v="3"/>
    <x v="0"/>
    <x v="0"/>
  </r>
  <r>
    <n v="2521191"/>
    <s v="Dheeraj Reddy Ramireddy"/>
    <d v="2026-07-07T00:00:00"/>
    <x v="0"/>
    <s v="FTE"/>
    <s v="Chennai"/>
    <s v="PG26JFR003"/>
    <s v="Vijay K"/>
    <d v="2026-10-27T00:00:00"/>
    <x v="3"/>
    <s v="In-Training"/>
    <x v="0"/>
    <x v="0"/>
    <s v="Geethika Premium Gents PG"/>
    <x v="0"/>
    <x v="0"/>
    <x v="3"/>
    <x v="0"/>
    <x v="0"/>
  </r>
  <r>
    <n v="2521208"/>
    <s v="Kartikey Agarwal"/>
    <d v="2026-07-07T00:00:00"/>
    <x v="0"/>
    <s v="FTE"/>
    <s v="Chennai"/>
    <s v="CM26SFDC006"/>
    <s v="Gayathri Ramachandran"/>
    <d v="2026-11-11T00:00:00"/>
    <x v="0"/>
    <s v="In-Training"/>
    <x v="0"/>
    <x v="0"/>
    <s v="SP Menz PG "/>
    <x v="0"/>
    <x v="0"/>
    <x v="3"/>
    <x v="0"/>
    <x v="0"/>
  </r>
  <r>
    <n v="2521209"/>
    <s v="Shubham Kumar"/>
    <d v="2026-07-07T00:00:00"/>
    <x v="0"/>
    <s v="FTE"/>
    <s v="Chennai"/>
    <s v="CM26SFDC006"/>
    <s v="Gayathri Ramachandran"/>
    <d v="2026-11-11T00:00:00"/>
    <x v="0"/>
    <s v="In-Training"/>
    <x v="0"/>
    <x v="0"/>
    <s v="SPT PG FOR GENTS,Egattur"/>
    <x v="0"/>
    <x v="0"/>
    <x v="0"/>
    <x v="0"/>
    <x v="0"/>
  </r>
  <r>
    <n v="2521211"/>
    <s v="Ranjan M B"/>
    <d v="2026-07-07T00:00:00"/>
    <x v="0"/>
    <s v="FTE"/>
    <s v="Chennai"/>
    <s v="PG26JFR003"/>
    <s v="Vijay K"/>
    <d v="2026-10-27T00:00:00"/>
    <x v="3"/>
    <s v="In-Training"/>
    <x v="0"/>
    <x v="0"/>
    <s v="XIONS 16 MENS  PG SIRUSERI"/>
    <x v="0"/>
    <x v="0"/>
    <x v="3"/>
    <x v="0"/>
    <x v="0"/>
  </r>
  <r>
    <n v="2521222"/>
    <s v="Karri Chandu"/>
    <d v="2026-07-07T00:00:00"/>
    <x v="0"/>
    <s v="FTE"/>
    <s v="Chennai"/>
    <s v="PG26JFR003"/>
    <s v="Vijay K"/>
    <d v="2026-10-27T00:00:00"/>
    <x v="3"/>
    <s v="In-Training"/>
    <x v="0"/>
    <x v="0"/>
    <s v="CNR gents PG Branch 1,Egattur"/>
    <x v="0"/>
    <x v="0"/>
    <x v="3"/>
    <x v="0"/>
    <x v="0"/>
  </r>
  <r>
    <n v="2521246"/>
    <s v="Manya Saraswat"/>
    <d v="2026-07-07T00:00:00"/>
    <x v="1"/>
    <s v="FTE"/>
    <s v="Chennai"/>
    <s v="SNBG26SN004"/>
    <s v="Kishorekumar P"/>
    <d v="2026-10-08T00:00:00"/>
    <x v="3"/>
    <s v="In-Training"/>
    <x v="0"/>
    <x v="0"/>
    <s v="Sri Sai Unique Ladies PG"/>
    <x v="0"/>
    <x v="0"/>
    <x v="0"/>
    <x v="0"/>
    <x v="0"/>
  </r>
  <r>
    <n v="2521249"/>
    <s v="Rohini Nakka"/>
    <d v="2026-07-07T00:00:00"/>
    <x v="1"/>
    <s v="FTE"/>
    <s v="Chennai"/>
    <s v="SNBG26SN003"/>
    <s v="Lawrance M"/>
    <d v="2026-09-16T00:00:00"/>
    <x v="2"/>
    <s v="In-Training"/>
    <x v="0"/>
    <x v="0"/>
    <s v="Sri Sai Unique Ladies PG , Gangaiamman Kovil Street, Egattur, Siruseri, Chennai - 603103, Tamil Nadu    "/>
    <x v="0"/>
    <x v="0"/>
    <x v="0"/>
    <x v="0"/>
    <x v="0"/>
  </r>
  <r>
    <n v="2521255"/>
    <s v="Vikil Reddy Vangala"/>
    <d v="2026-07-07T00:00:00"/>
    <x v="0"/>
    <s v="FTE"/>
    <s v="Chennai"/>
    <s v="CS26CS007"/>
    <s v="Lawrance M"/>
    <d v="2026-09-07T00:00:00"/>
    <x v="2"/>
    <s v="In-Training"/>
    <x v="0"/>
    <x v="0"/>
    <s v="1st Left , Sipcot IT park , city park layout, Plot no - 56P, Siruseri , Egattur , Tamilnadu 603103"/>
    <x v="0"/>
    <x v="0"/>
    <x v="3"/>
    <x v="0"/>
    <x v="0"/>
  </r>
  <r>
    <n v="2521277"/>
    <s v="Ajay Kumar Kontala"/>
    <d v="2026-07-07T00:00:00"/>
    <x v="0"/>
    <s v="FTE"/>
    <s v="Chennai"/>
    <s v="CS26CS006"/>
    <s v="Lawrance M"/>
    <d v="2026-09-09T00:00:00"/>
    <x v="2"/>
    <s v="In-Training-Remedial"/>
    <x v="0"/>
    <x v="0"/>
    <s v="DVR Mens PG"/>
    <x v="0"/>
    <x v="0"/>
    <x v="23"/>
    <x v="0"/>
    <x v="0"/>
  </r>
  <r>
    <n v="2521288"/>
    <s v="Thati Sree Varsha"/>
    <d v="2026-07-07T00:00:00"/>
    <x v="1"/>
    <s v="FTE"/>
    <s v="Chennai"/>
    <s v="SNBG26SN003"/>
    <s v="Lawrance M"/>
    <d v="2026-10-08T00:00:00"/>
    <x v="3"/>
    <s v="In-Training"/>
    <x v="0"/>
    <x v="0"/>
    <s v="Sri Sai Unique Ladies PG , Gangaiamman Kovil Street, Egattur, Siruseri, Chennai - 603103, Tamil Nadu"/>
    <x v="0"/>
    <x v="0"/>
    <x v="0"/>
    <x v="0"/>
    <x v="0"/>
  </r>
  <r>
    <n v="2521309"/>
    <s v="Seelam Joshnavi Supriya Sri"/>
    <d v="2026-07-07T00:00:00"/>
    <x v="1"/>
    <s v="FTE"/>
    <s v="Chennai"/>
    <s v="SNBG26SN002"/>
    <s v="Lawrance M"/>
    <d v="2026-09-16T00:00:00"/>
    <x v="2"/>
    <s v="In-Training"/>
    <x v="0"/>
    <x v="0"/>
    <s v="Sri Lakshmi ladies luxury pg"/>
    <x v="0"/>
    <x v="0"/>
    <x v="2"/>
    <x v="0"/>
    <x v="0"/>
  </r>
  <r>
    <n v="2521311"/>
    <s v="Kasturi Harini"/>
    <d v="2026-07-07T00:00:00"/>
    <x v="1"/>
    <s v="FTE"/>
    <s v="Chennai"/>
    <s v="SNBG26SN002"/>
    <s v="Lawrance M"/>
    <d v="2026-10-08T00:00:00"/>
    <x v="3"/>
    <s v="In-Training"/>
    <x v="0"/>
    <x v="0"/>
    <s v="Sri sai uniq ladies pg, egattur"/>
    <x v="0"/>
    <x v="0"/>
    <x v="0"/>
    <x v="0"/>
    <x v="0"/>
  </r>
  <r>
    <n v="2521628"/>
    <s v="Shweta Shankar Verma"/>
    <d v="2026-07-09T00:00:00"/>
    <x v="1"/>
    <s v="FTE"/>
    <s v="Chennai"/>
    <s v="AIA26DSAT004"/>
    <s v="Pavithra Kandasamy"/>
    <d v="2026-10-09T00:00:00"/>
    <x v="3"/>
    <s v="In-Training"/>
    <x v="0"/>
    <x v="0"/>
    <s v="Smile Inn ladies PG branch 2 ,Egattur"/>
    <x v="0"/>
    <x v="0"/>
    <x v="0"/>
    <x v="0"/>
    <x v="0"/>
  </r>
  <r>
    <n v="2521638"/>
    <s v="Kartik Arun Wagh"/>
    <d v="2026-07-09T00:00:00"/>
    <x v="0"/>
    <s v="FTE"/>
    <s v="Chennai"/>
    <s v="ADM26MF010"/>
    <s v="Thomas Naveen. J"/>
    <d v="2026-11-02T00:00:00"/>
    <x v="0"/>
    <s v="In-Training"/>
    <x v="0"/>
    <x v="0"/>
    <s v="Sri Saravanan Mens Hostel"/>
    <x v="0"/>
    <x v="0"/>
    <x v="3"/>
    <x v="0"/>
    <x v="0"/>
  </r>
  <r>
    <n v="2521671"/>
    <s v="Shahan V Saleem"/>
    <d v="2026-07-09T00:00:00"/>
    <x v="0"/>
    <s v="FTE"/>
    <s v="Chennai"/>
    <s v="AIA26DSAT004"/>
    <s v="Pavithra Kandasamy"/>
    <d v="2026-10-09T00:00:00"/>
    <x v="3"/>
    <s v="In-Training"/>
    <x v="0"/>
    <x v="0"/>
    <s v="Annapurna Gents PG, Egattur"/>
    <x v="0"/>
    <x v="0"/>
    <x v="0"/>
    <x v="0"/>
    <x v="0"/>
  </r>
  <r>
    <n v="2521683"/>
    <s v="Shaik Mohammed Arif"/>
    <d v="2026-07-09T00:00:00"/>
    <x v="0"/>
    <s v="FTE"/>
    <s v="Chennai"/>
    <s v="AIA26DSAT004"/>
    <s v="Pavithra Kandasamy"/>
    <d v="2026-10-09T00:00:00"/>
    <x v="3"/>
    <s v="In-Training"/>
    <x v="0"/>
    <x v="0"/>
    <s v="Shree PG, Mayana Salai street, Navalur."/>
    <x v="0"/>
    <x v="0"/>
    <x v="2"/>
    <x v="0"/>
    <x v="0"/>
  </r>
  <r>
    <n v="2521702"/>
    <s v="Srirangam Baby Iswarya"/>
    <d v="2026-07-09T00:00:00"/>
    <x v="1"/>
    <s v="FTE"/>
    <s v="Chennai"/>
    <s v="AIA26DSAT004"/>
    <s v="Pavithra Kandasamy"/>
    <d v="2026-10-09T00:00:00"/>
    <x v="3"/>
    <s v="In-Training"/>
    <x v="0"/>
    <x v="0"/>
    <s v="Smiles inn ladies pg, - branch 2,egattur"/>
    <x v="0"/>
    <x v="0"/>
    <x v="3"/>
    <x v="0"/>
    <x v="0"/>
  </r>
  <r>
    <n v="2522856"/>
    <s v="Hansika P S"/>
    <d v="2026-07-14T00:00:00"/>
    <x v="1"/>
    <s v="FTE"/>
    <s v="Chennai"/>
    <s v="CIS26MCPT017"/>
    <s v="Haritha P"/>
    <d v="2026-11-09T00:00:00"/>
    <x v="0"/>
    <s v="In-Training"/>
    <x v="0"/>
    <x v="0"/>
    <s v="Sai Grand Womens PG"/>
    <x v="0"/>
    <x v="0"/>
    <x v="3"/>
    <x v="0"/>
    <x v="0"/>
  </r>
  <r>
    <n v="2522861"/>
    <s v="Sindhusena Thirunavukkarasu"/>
    <d v="2026-07-14T00:00:00"/>
    <x v="1"/>
    <s v="FTE"/>
    <s v="Chennai"/>
    <s v="CIS26MCPT017"/>
    <s v="Haritha P"/>
    <d v="2026-11-09T00:00:00"/>
    <x v="0"/>
    <s v="In-Training"/>
    <x v="0"/>
    <x v="0"/>
    <s v="MSR Ladies Hostel -Branch 1, Egattur"/>
    <x v="0"/>
    <x v="1"/>
    <x v="3"/>
    <x v="0"/>
    <x v="0"/>
  </r>
  <r>
    <n v="2522862"/>
    <s v="Kishore R"/>
    <d v="2026-07-14T00:00:00"/>
    <x v="0"/>
    <s v="FTE"/>
    <s v="Chennai"/>
    <s v="CIS26MCPT017"/>
    <s v="Haritha P"/>
    <d v="2026-11-09T00:00:00"/>
    <x v="0"/>
    <s v="In-Training"/>
    <x v="0"/>
    <x v="0"/>
    <s v="Happy Homes"/>
    <x v="0"/>
    <x v="1"/>
    <x v="3"/>
    <x v="0"/>
    <x v="0"/>
  </r>
  <r>
    <n v="2522866"/>
    <s v="Sarva Chandrasekaran"/>
    <d v="2026-07-14T00:00:00"/>
    <x v="1"/>
    <s v="FTE"/>
    <s v="Chennai"/>
    <s v="CIS26MCPT017"/>
    <s v="Haritha P"/>
    <d v="2026-11-09T00:00:00"/>
    <x v="0"/>
    <s v="In-Training"/>
    <x v="0"/>
    <x v="0"/>
    <s v="New Manikandan ladies hostel - branch 8, Egattur"/>
    <x v="0"/>
    <x v="1"/>
    <x v="3"/>
    <x v="0"/>
    <x v="0"/>
  </r>
  <r>
    <n v="2523377"/>
    <s v="Dineshkumar R"/>
    <d v="2026-07-16T00:00:00"/>
    <x v="0"/>
    <s v="FTE"/>
    <s v="Chennai"/>
    <s v="CS26CS009"/>
    <s v="Laksiya Vijayendran"/>
    <d v="2026-10-14T00:00:00"/>
    <x v="3"/>
    <s v="In-Training"/>
    <x v="1"/>
    <x v="2"/>
    <s v="No 9 Vedagiri Street , Pasumponn nagar, Pammal, Chennai 600075"/>
    <x v="0"/>
    <x v="1"/>
    <x v="24"/>
    <x v="7"/>
    <x v="1"/>
  </r>
  <r>
    <n v="2523390"/>
    <s v="Pragna A S"/>
    <d v="2026-07-16T00:00:00"/>
    <x v="1"/>
    <s v="FTE"/>
    <s v="Chennai"/>
    <s v="CS26CS010"/>
    <s v="Laksiya Vijayendran"/>
    <d v="2026-10-19T00:00:00"/>
    <x v="3"/>
    <s v="In-Training"/>
    <x v="0"/>
    <x v="0"/>
    <s v="SRS Luxury Women PG-Branch 5, Egattur"/>
    <x v="0"/>
    <x v="0"/>
    <x v="0"/>
    <x v="0"/>
    <x v="0"/>
  </r>
  <r>
    <n v="2523398"/>
    <s v="Arpit Kumar Chauhan"/>
    <d v="2026-07-16T00:00:00"/>
    <x v="0"/>
    <s v="FTE"/>
    <s v="Chennai"/>
    <s v="CS26CS009"/>
    <s v="Laksiya Vijayendran"/>
    <d v="2026-10-14T00:00:00"/>
    <x v="3"/>
    <s v="In-Training"/>
    <x v="0"/>
    <x v="4"/>
    <s v="Sai Grand Gents Hostel"/>
    <x v="0"/>
    <x v="0"/>
    <x v="0"/>
    <x v="0"/>
    <x v="0"/>
  </r>
  <r>
    <n v="2523401"/>
    <s v="Hari Bharadwaj Perubhotla"/>
    <d v="2026-07-16T00:00:00"/>
    <x v="0"/>
    <s v="FTE"/>
    <s v="Chennai"/>
    <s v="CS26CS010"/>
    <s v="Laksiya Vijayendran"/>
    <d v="2026-10-19T00:00:00"/>
    <x v="3"/>
    <s v="In-Training"/>
    <x v="1"/>
    <x v="3"/>
    <s v="Grande Vista Apartments, Classic Farms Avenue, Shollinganallur, Chennai - 600119"/>
    <x v="0"/>
    <x v="1"/>
    <x v="8"/>
    <x v="4"/>
    <x v="1"/>
  </r>
  <r>
    <n v="2523416"/>
    <s v="Balakumaran Bommudurai"/>
    <d v="2026-07-16T00:00:00"/>
    <x v="0"/>
    <s v="FTE"/>
    <s v="Chennai"/>
    <s v="CS26CS009"/>
    <s v="Laksiya Vijayendran"/>
    <d v="2026-10-14T00:00:00"/>
    <x v="3"/>
    <s v="In-Training"/>
    <x v="1"/>
    <x v="2"/>
    <s v="14 Valluvar high road ,subash nagar,chromepet,600044"/>
    <x v="0"/>
    <x v="1"/>
    <x v="24"/>
    <x v="7"/>
    <x v="1"/>
  </r>
  <r>
    <n v="2523448"/>
    <s v="Mittapally Adithya"/>
    <d v="2026-07-16T00:00:00"/>
    <x v="0"/>
    <s v="FTE"/>
    <s v="Chennai"/>
    <s v="CS26CS010"/>
    <s v="Laksiya Vijayendran"/>
    <d v="2026-10-19T00:00:00"/>
    <x v="3"/>
    <s v="In-Training"/>
    <x v="0"/>
    <x v="0"/>
    <s v="SPT PG FOR GENTS, Egattur, Chennai, Tamilnadu - 600130"/>
    <x v="0"/>
    <x v="0"/>
    <x v="0"/>
    <x v="0"/>
    <x v="0"/>
  </r>
  <r>
    <n v="2523450"/>
    <s v="Ajay Singh"/>
    <d v="2026-07-16T00:00:00"/>
    <x v="0"/>
    <s v="FTE"/>
    <s v="Chennai"/>
    <s v="CS26CS009"/>
    <s v="Laksiya Vijayendran"/>
    <d v="2026-11-04T00:00:00"/>
    <x v="0"/>
    <s v="In-Training"/>
    <x v="0"/>
    <x v="0"/>
    <s v="Siddus Premium Mens PG, Egattur"/>
    <x v="0"/>
    <x v="0"/>
    <x v="0"/>
    <x v="0"/>
    <x v="0"/>
  </r>
  <r>
    <n v="2523451"/>
    <s v="Deepak Mer"/>
    <d v="2026-07-16T00:00:00"/>
    <x v="0"/>
    <s v="FTE"/>
    <s v="Chennai"/>
    <s v="CS26CS009"/>
    <s v="Laksiya Vijayendran"/>
    <d v="2026-11-04T00:00:00"/>
    <x v="0"/>
    <s v="In-Training"/>
    <x v="0"/>
    <x v="0"/>
    <s v="Siddus Premium mens pg,Sipcot IT,Egattur"/>
    <x v="0"/>
    <x v="0"/>
    <x v="3"/>
    <x v="0"/>
    <x v="0"/>
  </r>
  <r>
    <n v="2523452"/>
    <s v="Ashish Chaudhary"/>
    <d v="2026-07-16T00:00:00"/>
    <x v="0"/>
    <s v="FTE"/>
    <s v="Chennai"/>
    <s v="CS26CS009"/>
    <s v="Laksiya Vijayendran"/>
    <d v="2026-11-04T00:00:00"/>
    <x v="0"/>
    <s v="In-Training"/>
    <x v="0"/>
    <x v="0"/>
    <s v="Siddus Premium Mens PG"/>
    <x v="0"/>
    <x v="0"/>
    <x v="0"/>
    <x v="0"/>
    <x v="0"/>
  </r>
  <r>
    <n v="2523453"/>
    <s v="J Riyas Ahamed"/>
    <d v="2026-07-16T00:00:00"/>
    <x v="0"/>
    <s v="FTE"/>
    <s v="Chennai"/>
    <s v="CS26CS010"/>
    <s v="Laksiya Vijayendran"/>
    <d v="2026-10-19T00:00:00"/>
    <x v="3"/>
    <s v="In-Training"/>
    <x v="0"/>
    <x v="0"/>
    <s v="Narayanan Gents PG,"/>
    <x v="0"/>
    <x v="0"/>
    <x v="2"/>
    <x v="0"/>
    <x v="0"/>
  </r>
  <r>
    <n v="2524497"/>
    <s v="Thalluri Lahari"/>
    <d v="2026-07-21T00:00:00"/>
    <x v="1"/>
    <s v="FTE"/>
    <s v="Chennai"/>
    <s v="ADM26DFSA007"/>
    <s v="Sweta Thoppil"/>
    <d v="2026-11-10T00:00:00"/>
    <x v="0"/>
    <s v="In-Training"/>
    <x v="0"/>
    <x v="0"/>
    <s v="Sri Sai Unique Ladies PG"/>
    <x v="0"/>
    <x v="0"/>
    <x v="0"/>
    <x v="0"/>
    <x v="0"/>
  </r>
  <r>
    <n v="2524514"/>
    <s v="Priyanka Prabhu Fande"/>
    <d v="2026-07-21T00:00:00"/>
    <x v="1"/>
    <s v="FTE"/>
    <s v="Chennai"/>
    <s v="IOA26RPA005"/>
    <s v="Adarsh J Nair"/>
    <d v="2026-10-14T00:00:00"/>
    <x v="3"/>
    <s v="In-Training"/>
    <x v="1"/>
    <x v="2"/>
    <s v="House No 25, Sarangapani St, Sholinganallur"/>
    <x v="0"/>
    <x v="0"/>
    <x v="8"/>
    <x v="4"/>
    <x v="1"/>
  </r>
  <r>
    <n v="2524515"/>
    <s v="Karthick Varadharaj"/>
    <d v="2026-07-21T00:00:00"/>
    <x v="0"/>
    <s v="FTE"/>
    <s v="Chennai"/>
    <s v="IOA26RPA005"/>
    <s v="Adarsh J Nair"/>
    <d v="2026-10-14T00:00:00"/>
    <x v="3"/>
    <s v="In-Training"/>
    <x v="0"/>
    <x v="0"/>
    <s v="SVR Gents Hostel, Egattur"/>
    <x v="0"/>
    <x v="0"/>
    <x v="0"/>
    <x v="0"/>
    <x v="0"/>
  </r>
  <r>
    <n v="2524524"/>
    <s v="Utkarsh Nandkumar Koshti"/>
    <d v="2026-07-21T00:00:00"/>
    <x v="0"/>
    <s v="FTE"/>
    <s v="Chennai"/>
    <s v="QEA26QEPT024"/>
    <s v="Ajiesya D P"/>
    <d v="2026-11-04T00:00:00"/>
    <x v="0"/>
    <s v="In-Training"/>
    <x v="0"/>
    <x v="0"/>
    <s v="Three point residency, Sai sarvana gents pg, Parking-1, HIRANANDANI BRIDGEWOOD, Egattur, Tamil Nadu 600130, India"/>
    <x v="0"/>
    <x v="1"/>
    <x v="0"/>
    <x v="0"/>
    <x v="0"/>
  </r>
  <r>
    <n v="2524529"/>
    <s v="Gokul T M"/>
    <d v="2026-07-21T00:00:00"/>
    <x v="0"/>
    <s v="FTE"/>
    <s v="Chennai"/>
    <s v="IOA26RPA005"/>
    <s v="Adarsh J Nair"/>
    <d v="2026-10-14T00:00:00"/>
    <x v="3"/>
    <s v="In-Training"/>
    <x v="0"/>
    <x v="0"/>
    <s v="Siddu mens pg"/>
    <x v="0"/>
    <x v="0"/>
    <x v="3"/>
    <x v="0"/>
    <x v="0"/>
  </r>
  <r>
    <n v="2524542"/>
    <s v="Shruti Jagannath Shinde"/>
    <d v="2026-07-21T00:00:00"/>
    <x v="1"/>
    <s v="FTE"/>
    <s v="Chennai"/>
    <s v="QEA26QEPT024"/>
    <s v="Ajiesya D P"/>
    <d v="2026-11-04T00:00:00"/>
    <x v="0"/>
    <s v="In-Training"/>
    <x v="0"/>
    <x v="0"/>
    <s v="Parin luxury ladies pg"/>
    <x v="0"/>
    <x v="0"/>
    <x v="0"/>
    <x v="0"/>
    <x v="0"/>
  </r>
  <r>
    <n v="2524547"/>
    <s v="Koduri Sai Manas Harsha Vardhan"/>
    <d v="2026-07-21T00:00:00"/>
    <x v="0"/>
    <s v="FTE"/>
    <s v="Chennai"/>
    <s v="IOA26RPA005"/>
    <s v="Adarsh J Nair"/>
    <d v="2026-10-14T00:00:00"/>
    <x v="3"/>
    <s v="In-Training"/>
    <x v="0"/>
    <x v="0"/>
    <s v="Sri Venkata Rajendra Delux gents pg"/>
    <x v="0"/>
    <x v="0"/>
    <x v="8"/>
    <x v="4"/>
    <x v="0"/>
  </r>
  <r>
    <n v="2524549"/>
    <s v="Kajal Sambhaji Ligade"/>
    <d v="2026-07-21T00:00:00"/>
    <x v="1"/>
    <s v="FTE"/>
    <s v="Chennai"/>
    <s v="QEA26QEPT024"/>
    <s v="Ajiesya D P"/>
    <d v="2026-11-04T00:00:00"/>
    <x v="0"/>
    <s v="In-Training"/>
    <x v="0"/>
    <x v="0"/>
    <s v="MSR ladies luxury PG, S.No.92/12, Gangai Amman Kovil Street, Old Mahabalipuram Road, Egattur, Siruseri. Tamil Nadu 600130"/>
    <x v="0"/>
    <x v="0"/>
    <x v="0"/>
    <x v="0"/>
    <x v="0"/>
  </r>
  <r>
    <n v="2524553"/>
    <s v="Sai Naga Veera Venkataratna Syam Vinay Babu Saride"/>
    <d v="2026-07-21T00:00:00"/>
    <x v="0"/>
    <s v="FTE"/>
    <s v="Chennai"/>
    <s v="QEA26QEPT024"/>
    <s v="Ajiesya D P"/>
    <d v="2026-11-04T00:00:00"/>
    <x v="0"/>
    <s v="In-Training"/>
    <x v="0"/>
    <x v="0"/>
    <s v="Siddus Premium Mens PG - Egattur"/>
    <x v="0"/>
    <x v="0"/>
    <x v="3"/>
    <x v="0"/>
    <x v="0"/>
  </r>
  <r>
    <n v="2524556"/>
    <s v="Aamol Ashok Mamidwar"/>
    <d v="2026-07-21T00:00:00"/>
    <x v="0"/>
    <s v="FTE"/>
    <s v="Chennai"/>
    <s v="QEA26QEPT024"/>
    <s v="Ajiesya D P"/>
    <d v="2026-11-04T00:00:00"/>
    <x v="0"/>
    <s v="In-Training"/>
    <x v="0"/>
    <x v="0"/>
    <s v="Sri Saravana Mens Hostel Back Side Marina Mall Egattur"/>
    <x v="0"/>
    <x v="0"/>
    <x v="0"/>
    <x v="0"/>
    <x v="0"/>
  </r>
  <r>
    <n v="2524558"/>
    <s v="Sanika Suresh Lavate"/>
    <d v="2026-07-21T00:00:00"/>
    <x v="1"/>
    <s v="FTE"/>
    <s v="Chennai"/>
    <s v="QEA26QEPT024"/>
    <s v="Ajiesya D P"/>
    <d v="2026-11-04T00:00:00"/>
    <x v="0"/>
    <s v="In-Training"/>
    <x v="0"/>
    <x v="0"/>
    <s v="msr luxury ladies pg branch 3 ,Gangai Amman Kovil Street, Old Mahabalipuram Road, Egattur, Siruseri, Tamil Nadu 600130"/>
    <x v="0"/>
    <x v="0"/>
    <x v="3"/>
    <x v="0"/>
    <x v="0"/>
  </r>
  <r>
    <n v="2524559"/>
    <s v="Shubham Kumar Mahtha"/>
    <d v="2026-07-21T00:00:00"/>
    <x v="0"/>
    <s v="FTE"/>
    <s v="Chennai"/>
    <s v="IOA26RPA005"/>
    <s v="Adarsh J Nair"/>
    <d v="2026-10-14T00:00:00"/>
    <x v="3"/>
    <s v="In-Training"/>
    <x v="0"/>
    <x v="0"/>
    <s v="Siddu’s Premium Men’s PG SIRUSERI"/>
    <x v="0"/>
    <x v="1"/>
    <x v="3"/>
    <x v="0"/>
    <x v="0"/>
  </r>
  <r>
    <n v="2524560"/>
    <s v="Suryabhansing Narayansing Girase"/>
    <d v="2026-07-21T00:00:00"/>
    <x v="0"/>
    <s v="FTE"/>
    <s v="Chennai"/>
    <s v="QEA26QEPT024"/>
    <s v="Ajiesya D P"/>
    <d v="2026-11-04T00:00:00"/>
    <x v="0"/>
    <s v="In-Training"/>
    <x v="0"/>
    <x v="0"/>
    <s v="Soma Mens Stay PG  Branch 1, Egatur"/>
    <x v="0"/>
    <x v="0"/>
    <x v="0"/>
    <x v="0"/>
    <x v="0"/>
  </r>
  <r>
    <n v="2524562"/>
    <s v="Rahul Dilip Patil"/>
    <d v="2026-07-21T00:00:00"/>
    <x v="0"/>
    <s v="FTE"/>
    <s v="Chennai"/>
    <s v="QEA26QEPT024"/>
    <s v="Ajiesya D P"/>
    <d v="2026-10-30T00:00:00"/>
    <x v="3"/>
    <s v="In-Training"/>
    <x v="0"/>
    <x v="0"/>
    <s v="Sri Venkateshwara deluxe gents pg  "/>
    <x v="0"/>
    <x v="0"/>
    <x v="3"/>
    <x v="0"/>
    <x v="0"/>
  </r>
  <r>
    <n v="2524651"/>
    <s v="Patil Prerana Vishwas"/>
    <d v="2026-07-21T00:00:00"/>
    <x v="1"/>
    <s v="FTE"/>
    <s v="Chennai"/>
    <s v="QEA26QEPT024"/>
    <s v="Ajiesya D P"/>
    <d v="2026-10-30T00:00:00"/>
    <x v="3"/>
    <s v="In-Training"/>
    <x v="0"/>
    <x v="0"/>
    <s v="SRS Girls PG, Ambedkar Street, Egattur"/>
    <x v="0"/>
    <x v="1"/>
    <x v="3"/>
    <x v="0"/>
    <x v="0"/>
  </r>
  <r>
    <n v="2524656"/>
    <s v="Mujahid Jilanisab Shaikh"/>
    <d v="2026-07-21T00:00:00"/>
    <x v="0"/>
    <s v="FTE"/>
    <s v="Chennai"/>
    <s v="QEA26QEPT024"/>
    <s v="Ajiesya D P"/>
    <d v="2026-10-30T00:00:00"/>
    <x v="3"/>
    <s v="In-Training"/>
    <x v="0"/>
    <x v="0"/>
    <s v="AnnaPurna Gents PG"/>
    <x v="0"/>
    <x v="0"/>
    <x v="0"/>
    <x v="0"/>
    <x v="0"/>
  </r>
  <r>
    <n v="2524657"/>
    <s v="Khushi Kumari"/>
    <d v="2026-07-21T00:00:00"/>
    <x v="1"/>
    <s v="FTE"/>
    <s v="Chennai"/>
    <s v="QEA26QEPT024"/>
    <s v="Ajiesya D P"/>
    <d v="2026-10-30T00:00:00"/>
    <x v="3"/>
    <s v="In-Training"/>
    <x v="0"/>
    <x v="0"/>
    <s v="Queens Luxury Ladies Pg - Egattur"/>
    <x v="0"/>
    <x v="0"/>
    <x v="0"/>
    <x v="0"/>
    <x v="0"/>
  </r>
  <r>
    <n v="2524665"/>
    <s v="M Alagu Divya Shree"/>
    <d v="2026-07-21T00:00:00"/>
    <x v="1"/>
    <s v="FTE"/>
    <s v="Chennai"/>
    <s v="ADM26DFSA007"/>
    <s v="Sweta Thoppil"/>
    <d v="2026-11-10T00:00:00"/>
    <x v="0"/>
    <s v="In-Training"/>
    <x v="0"/>
    <x v="0"/>
    <s v="AG Womens PG ,Egattur"/>
    <x v="0"/>
    <x v="0"/>
    <x v="0"/>
    <x v="0"/>
    <x v="0"/>
  </r>
  <r>
    <n v="2524976"/>
    <s v="Vaishnavi Mishra"/>
    <d v="2026-07-23T00:00:00"/>
    <x v="1"/>
    <s v="FTE"/>
    <s v="Chennai"/>
    <s v="CIS26DWP023"/>
    <s v="Geebiga B"/>
    <d v="2026-09-17T00:00:00"/>
    <x v="2"/>
    <s v="In-Training"/>
    <x v="0"/>
    <x v="0"/>
    <s v="JVR Luxury Ladies PG"/>
    <x v="0"/>
    <x v="0"/>
    <x v="5"/>
    <x v="2"/>
    <x v="2"/>
  </r>
  <r>
    <n v="2525075"/>
    <s v="Sneha M K"/>
    <d v="2026-07-23T00:00:00"/>
    <x v="1"/>
    <s v="FTE"/>
    <s v="Chennai"/>
    <s v="CIS26DWP023"/>
    <s v="Geebiga B"/>
    <d v="2026-09-17T00:00:00"/>
    <x v="2"/>
    <s v="In-Training"/>
    <x v="1"/>
    <x v="1"/>
    <s v="Jains Green Acres, Pallavaram"/>
    <x v="0"/>
    <x v="1"/>
    <x v="18"/>
    <x v="1"/>
    <x v="1"/>
  </r>
  <r>
    <n v="2526593"/>
    <s v="Sumitha S"/>
    <d v="2026-07-30T00:00:00"/>
    <x v="1"/>
    <s v="FTE"/>
    <s v="Chennai"/>
    <s v="QEA26JP001"/>
    <s v="Ajiesya D P"/>
    <s v=""/>
    <x v="1"/>
    <s v="Training - ON Hold"/>
    <x v="0"/>
    <x v="0"/>
    <s v="Ambika nest womens hostel"/>
    <x v="0"/>
    <x v="1"/>
    <x v="3"/>
    <x v="0"/>
    <x v="0"/>
  </r>
  <r>
    <n v="2526597"/>
    <s v="Sowmiya B"/>
    <d v="2026-07-30T00:00:00"/>
    <x v="1"/>
    <s v="FTE"/>
    <s v="Chennai"/>
    <s v="QEA26JP001"/>
    <s v="Ajiesya D P"/>
    <s v=""/>
    <x v="1"/>
    <s v="Training - ON Hold"/>
    <x v="0"/>
    <x v="0"/>
    <s v="Ambika nest Womens hostel"/>
    <x v="0"/>
    <x v="0"/>
    <x v="3"/>
    <x v="0"/>
    <x v="0"/>
  </r>
  <r>
    <n v="2529492"/>
    <s v="Sivapavani Vara"/>
    <d v="2026-08-11T00:00:00"/>
    <x v="1"/>
    <s v="FTE"/>
    <s v="Chennai"/>
    <s v="CIS26MCPT021"/>
    <s v="Uma Venkatachalam"/>
    <d v="2026-12-08T00:00:00"/>
    <x v="1"/>
    <s v="In-Training"/>
    <x v="0"/>
    <x v="0"/>
    <s v="Sai Grands Women PG, Siruseri"/>
    <x v="0"/>
    <x v="0"/>
    <x v="3"/>
    <x v="0"/>
    <x v="0"/>
  </r>
  <r>
    <n v="2529507"/>
    <s v="Rosshan N R"/>
    <d v="2026-08-11T00:00:00"/>
    <x v="0"/>
    <s v="FTE"/>
    <s v="Chennai"/>
    <s v="CIS26MCPT022"/>
    <s v="Laksiya Vijayendran"/>
    <d v="2026-12-03T00:00:00"/>
    <x v="1"/>
    <s v="In-Training"/>
    <x v="0"/>
    <x v="0"/>
    <s v="Chandra Gents Pg"/>
    <x v="0"/>
    <x v="1"/>
    <x v="0"/>
    <x v="0"/>
    <x v="0"/>
  </r>
  <r>
    <n v="2529510"/>
    <s v="Rohit Anil Mahajan"/>
    <d v="2026-08-11T00:00:00"/>
    <x v="0"/>
    <s v="FTE"/>
    <s v="Chennai"/>
    <s v="CIS26MCPT026"/>
    <s v="Mohamed Harish"/>
    <d v="2026-12-08T00:00:00"/>
    <x v="1"/>
    <s v="In-Training"/>
    <x v="0"/>
    <x v="0"/>
    <s v="CNR Gents PG Branch-1"/>
    <x v="0"/>
    <x v="0"/>
    <x v="0"/>
    <x v="0"/>
    <x v="0"/>
  </r>
  <r>
    <n v="2529519"/>
    <s v="Elayaraj C"/>
    <d v="2026-08-11T00:00:00"/>
    <x v="0"/>
    <s v="FTE"/>
    <s v="Chennai"/>
    <s v="CIS26MCPT024"/>
    <s v="Ashiya Begam S"/>
    <d v="2026-12-03T00:00:00"/>
    <x v="1"/>
    <s v="In-Training"/>
    <x v="0"/>
    <x v="0"/>
    <s v="Vishvas pg &amp; general appartments SIPCOT IT Park, city park layout, Third Cross Road, Egattur, Tamil Nadu 603103"/>
    <x v="0"/>
    <x v="0"/>
    <x v="3"/>
    <x v="0"/>
    <x v="0"/>
  </r>
  <r>
    <n v="2529524"/>
    <s v="Tushar Marigondanahalli Mallikarjuna"/>
    <d v="2026-08-11T00:00:00"/>
    <x v="0"/>
    <s v="FTE"/>
    <s v="Chennai"/>
    <s v="CIS26MCPT023"/>
    <s v="Kishorekumar P"/>
    <d v="2026-12-03T00:00:00"/>
    <x v="1"/>
    <s v="In-Training"/>
    <x v="0"/>
    <x v="0"/>
    <s v="SVD Gents PG"/>
    <x v="0"/>
    <x v="0"/>
    <x v="3"/>
    <x v="0"/>
    <x v="0"/>
  </r>
  <r>
    <n v="2529530"/>
    <s v="Abhishek Trambak Daware"/>
    <d v="2026-08-11T00:00:00"/>
    <x v="0"/>
    <s v="FTE"/>
    <s v="Chennai"/>
    <s v="CIS26MCPT024"/>
    <s v="Ashiya Begam S"/>
    <d v="2026-12-03T00:00:00"/>
    <x v="1"/>
    <s v="In-Training"/>
    <x v="0"/>
    <x v="0"/>
    <s v="CNR Gents PG Branch 2"/>
    <x v="0"/>
    <x v="0"/>
    <x v="3"/>
    <x v="0"/>
    <x v="0"/>
  </r>
  <r>
    <n v="2529533"/>
    <s v="Sakshi Sunil Musale"/>
    <d v="2026-08-11T00:00:00"/>
    <x v="1"/>
    <s v="FTE"/>
    <s v="Chennai"/>
    <s v="CIS26MCPT024"/>
    <s v="Ashiya Begam S"/>
    <d v="2026-12-03T00:00:00"/>
    <x v="1"/>
    <s v="In-Training"/>
    <x v="0"/>
    <x v="0"/>
    <s v="MSR Ladies Luxury PG Branch 3"/>
    <x v="0"/>
    <x v="0"/>
    <x v="3"/>
    <x v="0"/>
    <x v="0"/>
  </r>
  <r>
    <n v="2529534"/>
    <s v="Dharanakumar V"/>
    <d v="2026-08-11T00:00:00"/>
    <x v="0"/>
    <s v="FTE"/>
    <s v="Chennai"/>
    <s v="CIS26MCPT025"/>
    <s v="Vignesh S"/>
    <d v="2026-12-03T00:00:00"/>
    <x v="1"/>
    <s v="In-Training"/>
    <x v="1"/>
    <x v="1"/>
    <s v="-"/>
    <x v="0"/>
    <x v="1"/>
    <x v="21"/>
    <x v="1"/>
    <x v="1"/>
  </r>
  <r>
    <n v="2529538"/>
    <s v="K M Channabasava"/>
    <d v="2026-08-11T00:00:00"/>
    <x v="0"/>
    <s v="FTE"/>
    <s v="Chennai"/>
    <s v="CIS26MCPT025"/>
    <s v="Vignesh S"/>
    <d v="2026-12-03T00:00:00"/>
    <x v="1"/>
    <s v="In-Training"/>
    <x v="0"/>
    <x v="0"/>
    <s v="Shri Venkateshwara Deluxe PG, siruseri"/>
    <x v="0"/>
    <x v="0"/>
    <x v="3"/>
    <x v="0"/>
    <x v="0"/>
  </r>
  <r>
    <n v="2529546"/>
    <s v="Rajdeep Tarafdar"/>
    <d v="2026-08-11T00:00:00"/>
    <x v="0"/>
    <s v="FTE"/>
    <s v="Chennai"/>
    <s v="CIS26MCPT022"/>
    <s v="Laksiya Vijayendran"/>
    <d v="2026-12-03T00:00:00"/>
    <x v="1"/>
    <s v="In-Training"/>
    <x v="0"/>
    <x v="0"/>
    <s v="Xion 16 Gents PG"/>
    <x v="0"/>
    <x v="0"/>
    <x v="0"/>
    <x v="0"/>
    <x v="0"/>
  </r>
  <r>
    <n v="2529552"/>
    <s v="Avinash Kumar Verma"/>
    <d v="2026-08-11T00:00:00"/>
    <x v="0"/>
    <s v="FTE"/>
    <s v="Chennai"/>
    <s v="CIS26MCPT026"/>
    <s v="Mohamed Harish"/>
    <d v="2026-12-08T00:00:00"/>
    <x v="1"/>
    <s v="In-Training"/>
    <x v="0"/>
    <x v="0"/>
    <s v="Siva Sai Gents PG, siruseri "/>
    <x v="0"/>
    <x v="0"/>
    <x v="3"/>
    <x v="0"/>
    <x v="0"/>
  </r>
  <r>
    <n v="2529560"/>
    <s v="Sandhya Illingi"/>
    <d v="2026-08-11T00:00:00"/>
    <x v="1"/>
    <s v="FTE"/>
    <s v="Chennai"/>
    <s v="CIS26MCPT026"/>
    <s v="Mohamed Harish"/>
    <d v="2026-12-08T00:00:00"/>
    <x v="1"/>
    <s v="In-Training"/>
    <x v="0"/>
    <x v="4"/>
    <s v="MSR Luxury PG - Branch 2, A/31, Egattur"/>
    <x v="0"/>
    <x v="0"/>
    <x v="3"/>
    <x v="0"/>
    <x v="0"/>
  </r>
  <r>
    <n v="2529564"/>
    <s v="Anushka Shankarrao Shinde"/>
    <d v="2026-08-11T00:00:00"/>
    <x v="1"/>
    <s v="FTE"/>
    <s v="Chennai"/>
    <s v="CIS26MCPT023"/>
    <s v="Kishorekumar P"/>
    <d v="2026-12-03T00:00:00"/>
    <x v="1"/>
    <s v="In-Training"/>
    <x v="0"/>
    <x v="0"/>
    <s v="Parin Luxury Ladies PG, Palandi Amman Koil St, Egattur, Chennai, Tamil Nadu"/>
    <x v="0"/>
    <x v="0"/>
    <x v="0"/>
    <x v="0"/>
    <x v="0"/>
  </r>
  <r>
    <n v="2529575"/>
    <s v="Regimadugula Durgadevi"/>
    <d v="2026-08-11T00:00:00"/>
    <x v="1"/>
    <s v="FTE"/>
    <s v="Chennai"/>
    <s v="CIS26MCPT024"/>
    <s v="Ashiya Begam S"/>
    <d v="2026-12-03T00:00:00"/>
    <x v="1"/>
    <s v="In-Training"/>
    <x v="0"/>
    <x v="0"/>
    <s v="CSR Luxury Women PG Branch-2"/>
    <x v="0"/>
    <x v="0"/>
    <x v="2"/>
    <x v="0"/>
    <x v="0"/>
  </r>
  <r>
    <n v="2529577"/>
    <s v="Sakshi Sinha"/>
    <d v="2026-08-11T00:00:00"/>
    <x v="1"/>
    <s v="FTE"/>
    <s v="Chennai"/>
    <s v="CIS26MCPT021"/>
    <s v="Uma Venkatachalam"/>
    <d v="2026-12-08T00:00:00"/>
    <x v="1"/>
    <s v="In-Training"/>
    <x v="0"/>
    <x v="0"/>
    <s v="MSR LADIES PG BRANCH 3"/>
    <x v="0"/>
    <x v="0"/>
    <x v="3"/>
    <x v="0"/>
    <x v="0"/>
  </r>
  <r>
    <n v="2529585"/>
    <s v="Derangula Jeevan"/>
    <d v="2026-08-11T00:00:00"/>
    <x v="0"/>
    <s v="FTE"/>
    <s v="Chennai"/>
    <s v="CIS26MCPT025"/>
    <s v="Vignesh S"/>
    <d v="2026-12-03T00:00:00"/>
    <x v="1"/>
    <s v="In-Training"/>
    <x v="0"/>
    <x v="0"/>
    <s v="Red brick mens pg, siruseri, "/>
    <x v="0"/>
    <x v="0"/>
    <x v="3"/>
    <x v="0"/>
    <x v="0"/>
  </r>
  <r>
    <n v="2529586"/>
    <s v="Amulya Mukkera"/>
    <d v="2026-08-11T00:00:00"/>
    <x v="1"/>
    <s v="FTE"/>
    <s v="Chennai"/>
    <s v="CIS26MCPT023"/>
    <s v="Kishorekumar P"/>
    <d v="2026-12-03T00:00:00"/>
    <x v="1"/>
    <s v="In-Training"/>
    <x v="0"/>
    <x v="0"/>
    <s v="Moksha Ladies Hostel, Sipcot"/>
    <x v="0"/>
    <x v="0"/>
    <x v="3"/>
    <x v="0"/>
    <x v="0"/>
  </r>
  <r>
    <n v="2529589"/>
    <s v="Sangeeth James"/>
    <d v="2026-08-11T00:00:00"/>
    <x v="0"/>
    <s v="FTE"/>
    <s v="Chennai"/>
    <s v="CIS26MCPT026"/>
    <s v="Mohamed Harish"/>
    <d v="2026-12-08T00:00:00"/>
    <x v="1"/>
    <s v="In-Training"/>
    <x v="0"/>
    <x v="0"/>
    <s v="SSS Gents PG, Sholinganallur"/>
    <x v="0"/>
    <x v="1"/>
    <x v="8"/>
    <x v="4"/>
    <x v="0"/>
  </r>
  <r>
    <n v="2529592"/>
    <s v="Mathumitha E"/>
    <d v="2026-08-11T00:00:00"/>
    <x v="1"/>
    <s v="FTE"/>
    <s v="Chennai"/>
    <s v="CIS26MCPT022"/>
    <s v="Laksiya Vijayendran"/>
    <d v="2026-12-03T00:00:00"/>
    <x v="1"/>
    <s v="In-Training"/>
    <x v="0"/>
    <x v="0"/>
    <s v="MSR luxury pg for ladies 3 - Egattur, Siruseri"/>
    <x v="0"/>
    <x v="1"/>
    <x v="16"/>
    <x v="5"/>
    <x v="0"/>
  </r>
  <r>
    <n v="2529596"/>
    <s v="Gurudatta Heroor"/>
    <d v="2026-08-11T00:00:00"/>
    <x v="0"/>
    <s v="FTE"/>
    <s v="Chennai"/>
    <s v="CIS26MCPT024"/>
    <s v="Ashiya Begam S"/>
    <d v="2026-12-03T00:00:00"/>
    <x v="1"/>
    <s v="In-Training"/>
    <x v="0"/>
    <x v="0"/>
    <s v="Zolo nook "/>
    <x v="0"/>
    <x v="0"/>
    <x v="8"/>
    <x v="4"/>
    <x v="0"/>
  </r>
  <r>
    <n v="2529600"/>
    <s v="Ranjith CM"/>
    <d v="2026-08-11T00:00:00"/>
    <x v="0"/>
    <s v="FTE"/>
    <s v="Chennai"/>
    <s v="CIS26MCPT023"/>
    <s v="Kishorekumar P"/>
    <d v="2026-12-03T00:00:00"/>
    <x v="1"/>
    <s v="In-Training"/>
    <x v="0"/>
    <x v="0"/>
    <s v="SVD Gents Pg"/>
    <x v="0"/>
    <x v="0"/>
    <x v="3"/>
    <x v="0"/>
    <x v="0"/>
  </r>
  <r>
    <n v="2529602"/>
    <s v="B Bharani Kumaran"/>
    <d v="2026-08-11T00:00:00"/>
    <x v="0"/>
    <s v="FTE"/>
    <s v="Chennai"/>
    <s v="CIS26MCPT025"/>
    <s v="Vignesh S"/>
    <d v="2026-12-03T00:00:00"/>
    <x v="1"/>
    <s v="In-Training"/>
    <x v="0"/>
    <x v="0"/>
    <s v="Visvashs Mens PG Egatoor, near SIPCOT IT Park, Siruseri"/>
    <x v="0"/>
    <x v="0"/>
    <x v="0"/>
    <x v="0"/>
    <x v="0"/>
  </r>
  <r>
    <n v="2529609"/>
    <s v="Sakshi Manoj Chavan"/>
    <d v="2026-08-11T00:00:00"/>
    <x v="1"/>
    <s v="FTE"/>
    <s v="Chennai"/>
    <s v="CIS26MCPT023"/>
    <s v="Kishorekumar P"/>
    <d v="2026-12-03T00:00:00"/>
    <x v="1"/>
    <s v="In-Training"/>
    <x v="0"/>
    <x v="0"/>
    <s v="MSR Girls PG Branch 3"/>
    <x v="0"/>
    <x v="0"/>
    <x v="0"/>
    <x v="0"/>
    <x v="0"/>
  </r>
  <r>
    <n v="2529610"/>
    <s v="Boyapati Bhanu Siva Prakash"/>
    <d v="2026-08-11T00:00:00"/>
    <x v="0"/>
    <s v="FTE"/>
    <s v="Chennai"/>
    <s v="CIS26MCPT024"/>
    <s v="Ashiya Begam S"/>
    <d v="2026-12-03T00:00:00"/>
    <x v="1"/>
    <s v="In-Training"/>
    <x v="0"/>
    <x v="0"/>
    <s v="SS gents pg, Sipcot, Siruseri, Chennai"/>
    <x v="0"/>
    <x v="0"/>
    <x v="3"/>
    <x v="0"/>
    <x v="0"/>
  </r>
  <r>
    <n v="2529614"/>
    <s v="Sadanand Kumbar"/>
    <d v="2026-08-11T00:00:00"/>
    <x v="0"/>
    <s v="FTE"/>
    <s v="Chennai"/>
    <s v="CIS26MCPT021"/>
    <s v="Uma Venkatachalam"/>
    <d v="2026-12-08T00:00:00"/>
    <x v="1"/>
    <s v="In-Training"/>
    <x v="0"/>
    <x v="0"/>
    <s v="SVD gents pg"/>
    <x v="0"/>
    <x v="0"/>
    <x v="3"/>
    <x v="0"/>
    <x v="0"/>
  </r>
  <r>
    <n v="2529621"/>
    <s v="Noel Alexander V"/>
    <d v="2026-08-11T00:00:00"/>
    <x v="0"/>
    <s v="FTE"/>
    <s v="Chennai"/>
    <s v="CIS26MCPT024"/>
    <s v="Ashiya Begam S"/>
    <d v="2026-12-03T00:00:00"/>
    <x v="1"/>
    <s v="In-Training"/>
    <x v="0"/>
    <x v="0"/>
    <s v="Chandra Gents Pg "/>
    <x v="0"/>
    <x v="1"/>
    <x v="3"/>
    <x v="0"/>
    <x v="0"/>
  </r>
  <r>
    <n v="2529630"/>
    <s v="Prashant Dhanaji Narale"/>
    <d v="2026-08-11T00:00:00"/>
    <x v="0"/>
    <s v="FTE"/>
    <s v="Chennai"/>
    <s v="CIS26MCPT024"/>
    <s v="Ashiya Begam S"/>
    <d v="2026-12-03T00:00:00"/>
    <x v="1"/>
    <s v="In-Training"/>
    <x v="0"/>
    <x v="0"/>
    <s v="Aadhi Lakshmi PG Egattur"/>
    <x v="0"/>
    <x v="0"/>
    <x v="3"/>
    <x v="0"/>
    <x v="0"/>
  </r>
  <r>
    <n v="2529632"/>
    <s v="Mohammed Shazanulla"/>
    <d v="2026-08-11T00:00:00"/>
    <x v="0"/>
    <s v="FTE"/>
    <s v="Chennai"/>
    <s v="CIS26MCPT026"/>
    <s v="Mohamed Harish"/>
    <d v="2026-12-08T00:00:00"/>
    <x v="1"/>
    <s v="In-Training"/>
    <x v="0"/>
    <x v="0"/>
    <s v="Sahasra Deluxe PG for Men"/>
    <x v="0"/>
    <x v="0"/>
    <x v="0"/>
    <x v="0"/>
    <x v="0"/>
  </r>
  <r>
    <n v="2529633"/>
    <s v="Ishwarya J R"/>
    <d v="2026-08-11T00:00:00"/>
    <x v="1"/>
    <s v="FTE"/>
    <s v="Chennai"/>
    <s v="CIS26MCPT024"/>
    <s v="Ashiya Begam S"/>
    <d v="2026-12-03T00:00:00"/>
    <x v="1"/>
    <s v="In-Training"/>
    <x v="0"/>
    <x v="0"/>
    <s v="New Manikandan Ladies Hostel - Branch 1, kalipathur"/>
    <x v="0"/>
    <x v="1"/>
    <x v="25"/>
    <x v="2"/>
    <x v="2"/>
  </r>
  <r>
    <n v="2529642"/>
    <s v="Sudharsanan V"/>
    <d v="2026-08-11T00:00:00"/>
    <x v="0"/>
    <s v="FTE"/>
    <s v="Chennai"/>
    <s v="CIS26MCPT023"/>
    <s v="Kishorekumar P"/>
    <d v="2026-12-03T00:00:00"/>
    <x v="1"/>
    <s v="In-Training"/>
    <x v="0"/>
    <x v="0"/>
    <s v="The chennais nest elite mens Pg"/>
    <x v="0"/>
    <x v="1"/>
    <x v="0"/>
    <x v="0"/>
    <x v="0"/>
  </r>
  <r>
    <n v="2529643"/>
    <s v="Felix Benedict Stalin"/>
    <d v="2026-08-11T00:00:00"/>
    <x v="0"/>
    <s v="FTE"/>
    <s v="Chennai"/>
    <s v="CIS26MCPT022"/>
    <s v="Laksiya Vijayendran"/>
    <d v="2026-12-03T00:00:00"/>
    <x v="1"/>
    <s v="In-Training"/>
    <x v="0"/>
    <x v="0"/>
    <s v="S K Perumal Gents PG Hostel "/>
    <x v="0"/>
    <x v="1"/>
    <x v="3"/>
    <x v="0"/>
    <x v="0"/>
  </r>
  <r>
    <n v="2529651"/>
    <s v="Akanksha Sunil Athawale"/>
    <d v="2026-08-11T00:00:00"/>
    <x v="1"/>
    <s v="FTE"/>
    <s v="Chennai"/>
    <s v="CIS26MCPT025"/>
    <s v="Vignesh S"/>
    <d v="2026-12-03T00:00:00"/>
    <x v="1"/>
    <s v="In-Training"/>
    <x v="0"/>
    <x v="0"/>
    <s v="Sri Sai Uniq Ladies PG, Egattur"/>
    <x v="0"/>
    <x v="0"/>
    <x v="0"/>
    <x v="0"/>
    <x v="0"/>
  </r>
  <r>
    <n v="2529683"/>
    <s v="Thakkallapally Soumini"/>
    <d v="2026-08-11T00:00:00"/>
    <x v="1"/>
    <s v="FTE"/>
    <s v="Chennai"/>
    <s v="CIS26AZ001"/>
    <s v="Ashiya Begam S"/>
    <d v="2026-11-09T00:00:00"/>
    <x v="0"/>
    <s v="In-Training"/>
    <x v="0"/>
    <x v="0"/>
    <s v="QUEENS luxury ladies pg "/>
    <x v="0"/>
    <x v="0"/>
    <x v="0"/>
    <x v="0"/>
    <x v="0"/>
  </r>
  <r>
    <n v="2529694"/>
    <s v="Rishi Prasad Sahani"/>
    <d v="2026-08-11T00:00:00"/>
    <x v="0"/>
    <s v="FTE"/>
    <s v="Chennai"/>
    <s v="CIS26AZ001"/>
    <s v="Ashiya Begam S"/>
    <d v="2026-11-09T00:00:00"/>
    <x v="0"/>
    <s v="In-Training"/>
    <x v="0"/>
    <x v="0"/>
    <s v="Pasanga Paradise PG - Branch 1, Egattur"/>
    <x v="0"/>
    <x v="0"/>
    <x v="0"/>
    <x v="0"/>
    <x v="0"/>
  </r>
  <r>
    <n v="2529719"/>
    <s v="Sanigala Bharath"/>
    <d v="2026-08-11T00:00:00"/>
    <x v="0"/>
    <s v="FTE"/>
    <s v="Chennai"/>
    <s v="CIS26AZ001"/>
    <s v="Ashiya Begam S"/>
    <d v="2026-11-09T00:00:00"/>
    <x v="0"/>
    <s v="In-Training"/>
    <x v="0"/>
    <x v="0"/>
    <s v="siddus premium mens PG , siruseri "/>
    <x v="0"/>
    <x v="0"/>
    <x v="3"/>
    <x v="0"/>
    <x v="0"/>
  </r>
  <r>
    <n v="2529722"/>
    <s v="Meghana Bajjuri"/>
    <d v="2026-08-11T00:00:00"/>
    <x v="1"/>
    <s v="FTE"/>
    <s v="Chennai"/>
    <s v="CIS26AZ001"/>
    <s v="Ashiya Begam S"/>
    <d v="2026-11-09T00:00:00"/>
    <x v="0"/>
    <s v="In-Training"/>
    <x v="0"/>
    <x v="0"/>
    <s v="Queens Luxury Ladies PG "/>
    <x v="0"/>
    <x v="0"/>
    <x v="3"/>
    <x v="0"/>
    <x v="0"/>
  </r>
  <r>
    <n v="2530134"/>
    <s v="Arbaj Noushad Jamadar"/>
    <d v="2026-08-13T00:00:00"/>
    <x v="0"/>
    <s v="FTE"/>
    <s v="Chennai"/>
    <s v="EPS26SAP034"/>
    <s v="Gayathri Ramachandran"/>
    <d v="2026-11-05T00:00:00"/>
    <x v="0"/>
    <s v="In-Training"/>
    <x v="0"/>
    <x v="0"/>
    <s v="Vishvas professional stays - Muthaiya Apartment (MF)"/>
    <x v="0"/>
    <x v="0"/>
    <x v="0"/>
    <x v="0"/>
    <x v="0"/>
  </r>
  <r>
    <n v="2530145"/>
    <s v="Nikita Ganesh Deshmukh"/>
    <d v="2026-08-13T00:00:00"/>
    <x v="1"/>
    <s v="FTE"/>
    <s v="Chennai"/>
    <s v="EPS26SAP034"/>
    <s v="Gayathri Ramachandran"/>
    <d v="2026-11-05T00:00:00"/>
    <x v="0"/>
    <s v="In-Training"/>
    <x v="0"/>
    <x v="0"/>
    <s v="KRISHNA NIWAS LADIES PG"/>
    <x v="0"/>
    <x v="0"/>
    <x v="2"/>
    <x v="0"/>
    <x v="0"/>
  </r>
  <r>
    <n v="2531271"/>
    <s v="Mugunthan Ravi"/>
    <d v="2026-08-18T00:00:00"/>
    <x v="0"/>
    <s v="FTE"/>
    <s v="Chennai"/>
    <s v="EPS26SAP033"/>
    <s v="Ajith Ganesan"/>
    <d v="2026-11-04T00:00:00"/>
    <x v="0"/>
    <s v="In-Training"/>
    <x v="0"/>
    <x v="0"/>
    <s v="Sai Grands Mens PG, Egattur"/>
    <x v="0"/>
    <x v="0"/>
    <x v="3"/>
    <x v="0"/>
    <x v="0"/>
  </r>
  <r>
    <n v="2531282"/>
    <s v="A Sheetal"/>
    <d v="2026-08-18T00:00:00"/>
    <x v="1"/>
    <s v="FTE"/>
    <s v="Chennai"/>
    <s v="EPS26SAP033"/>
    <s v="Ajith Ganesan"/>
    <d v="2026-11-04T00:00:00"/>
    <x v="0"/>
    <s v="In-Training"/>
    <x v="0"/>
    <x v="0"/>
    <s v="queens luxury pg "/>
    <x v="0"/>
    <x v="1"/>
    <x v="0"/>
    <x v="0"/>
    <x v="0"/>
  </r>
  <r>
    <n v="2531306"/>
    <s v="Nishanthi K"/>
    <d v="2026-08-18T00:00:00"/>
    <x v="1"/>
    <s v="FTE"/>
    <s v="Chennai"/>
    <s v="CIS26DWP030"/>
    <s v="Prokriti Biswas"/>
    <d v="2026-10-29T00:00:00"/>
    <x v="3"/>
    <s v="In-Training"/>
    <x v="1"/>
    <x v="1"/>
    <s v="&quot;X&quot; Block"/>
    <x v="0"/>
    <x v="1"/>
    <x v="26"/>
    <x v="1"/>
    <x v="1"/>
  </r>
  <r>
    <n v="2531322"/>
    <s v="Kollati Suryanarayana Murthy"/>
    <d v="2026-08-18T00:00:00"/>
    <x v="0"/>
    <s v="FTE"/>
    <s v="Chennai"/>
    <s v="CIS26DWP030"/>
    <s v="Prokriti Biswas"/>
    <d v="2026-10-29T00:00:00"/>
    <x v="3"/>
    <s v="In-Training"/>
    <x v="0"/>
    <x v="0"/>
    <s v="SVD gents pg, Egittur"/>
    <x v="0"/>
    <x v="0"/>
    <x v="0"/>
    <x v="0"/>
    <x v="0"/>
  </r>
  <r>
    <n v="2531345"/>
    <s v="Franklin S E"/>
    <d v="2026-08-18T00:00:00"/>
    <x v="0"/>
    <s v="FTE"/>
    <s v="Chennai"/>
    <s v="EPS26SAP037"/>
    <s v="Gayathri Ramachandran"/>
    <d v="2026-11-04T00:00:00"/>
    <x v="0"/>
    <s v="In-Training"/>
    <x v="0"/>
    <x v="0"/>
    <s v="KR MENS PG, EGATTUR"/>
    <x v="0"/>
    <x v="0"/>
    <x v="0"/>
    <x v="0"/>
    <x v="0"/>
  </r>
  <r>
    <n v="2531346"/>
    <s v="Vangala Siva Mohan Yadav"/>
    <d v="2026-08-18T00:00:00"/>
    <x v="0"/>
    <s v="FTE"/>
    <s v="Chennai"/>
    <s v="CIS26AT007"/>
    <s v="Uma Venkatachalam"/>
    <d v="2026-12-09T00:00:00"/>
    <x v="1"/>
    <s v="In-Training"/>
    <x v="0"/>
    <x v="0"/>
    <s v="Sri Venkata Sai Hanuman Gents PG"/>
    <x v="0"/>
    <x v="0"/>
    <x v="0"/>
    <x v="0"/>
    <x v="0"/>
  </r>
  <r>
    <n v="2531354"/>
    <s v="Marneni Maria Shruthi"/>
    <d v="2026-08-18T00:00:00"/>
    <x v="1"/>
    <s v="FTE"/>
    <s v="Chennai"/>
    <s v="EPS26SAP037"/>
    <s v="Gayathri Ramachandran"/>
    <d v="2026-11-04T00:00:00"/>
    <x v="0"/>
    <s v="In-Training"/>
    <x v="0"/>
    <x v="0"/>
    <s v="Vaishnavi Elite pg, Egattur"/>
    <x v="0"/>
    <x v="1"/>
    <x v="3"/>
    <x v="0"/>
    <x v="0"/>
  </r>
  <r>
    <n v="2531358"/>
    <s v="Muthumula Vaishnavi Reddy"/>
    <d v="2026-08-18T00:00:00"/>
    <x v="1"/>
    <s v="FTE"/>
    <s v="Chennai"/>
    <s v="EPS26SAP037"/>
    <s v="Gayathri Ramachandran"/>
    <d v="2026-11-04T00:00:00"/>
    <x v="0"/>
    <s v="In-Training"/>
    <x v="0"/>
    <x v="0"/>
    <s v="VAISHNAVI ELITE PG, EGATTUR"/>
    <x v="0"/>
    <x v="0"/>
    <x v="3"/>
    <x v="0"/>
    <x v="0"/>
  </r>
  <r>
    <n v="2531366"/>
    <s v="Siva Karthik Sathish Babu"/>
    <d v="2026-08-18T00:00:00"/>
    <x v="0"/>
    <s v="FTE"/>
    <s v="Chennai"/>
    <s v="EPS26SAP036"/>
    <s v="Vishnupriya Dakshnamurthy"/>
    <d v="2026-11-09T00:00:00"/>
    <x v="0"/>
    <s v="In-Training"/>
    <x v="0"/>
    <x v="0"/>
    <s v="KR Mens PG, siruseri"/>
    <x v="0"/>
    <x v="1"/>
    <x v="0"/>
    <x v="0"/>
    <x v="0"/>
  </r>
  <r>
    <n v="2531375"/>
    <s v="Vantakula Yamini"/>
    <d v="2026-08-18T00:00:00"/>
    <x v="1"/>
    <s v="FTE"/>
    <s v="Chennai"/>
    <s v="CIS26AT007"/>
    <s v="Uma Venkatachalam"/>
    <d v="2026-12-09T00:00:00"/>
    <x v="1"/>
    <s v="In-Training"/>
    <x v="0"/>
    <x v="0"/>
    <s v="SRS Girls PG-Branch 6, Navalur"/>
    <x v="0"/>
    <x v="0"/>
    <x v="2"/>
    <x v="0"/>
    <x v="0"/>
  </r>
  <r>
    <n v="2531388"/>
    <s v="Jyothirmai Tirumalasetti"/>
    <d v="2026-08-18T00:00:00"/>
    <x v="1"/>
    <s v="FTE"/>
    <s v="Chennai"/>
    <s v="CIS26AT007"/>
    <s v="Uma Venkatachalam"/>
    <d v="2026-12-09T00:00:00"/>
    <x v="1"/>
    <s v="In-Training"/>
    <x v="0"/>
    <x v="0"/>
    <s v="Queens Luxury PG, Egattur"/>
    <x v="0"/>
    <x v="0"/>
    <x v="0"/>
    <x v="0"/>
    <x v="0"/>
  </r>
  <r>
    <n v="2531396"/>
    <s v="Varshitha Uppuleethi"/>
    <d v="2026-08-18T00:00:00"/>
    <x v="1"/>
    <s v="FTE"/>
    <s v="Chennai"/>
    <s v="CIS26AT007"/>
    <s v="Uma Venkatachalam"/>
    <d v="2026-12-09T00:00:00"/>
    <x v="1"/>
    <s v="In-Training"/>
    <x v="0"/>
    <x v="0"/>
    <s v="Queens Luxury Ladies PG, Egattur"/>
    <x v="0"/>
    <x v="0"/>
    <x v="0"/>
    <x v="0"/>
    <x v="0"/>
  </r>
  <r>
    <n v="2531397"/>
    <s v="Dhanush M"/>
    <d v="2026-08-18T00:00:00"/>
    <x v="0"/>
    <s v="FTE"/>
    <s v="Chennai"/>
    <s v="EPS26SAP036"/>
    <s v="Vishnupriya Dakshnamurthy"/>
    <d v="2026-11-09T00:00:00"/>
    <x v="0"/>
    <s v="In-Training"/>
    <x v="0"/>
    <x v="0"/>
    <s v="Xion 16 Mens PG"/>
    <x v="0"/>
    <x v="0"/>
    <x v="3"/>
    <x v="0"/>
    <x v="0"/>
  </r>
  <r>
    <n v="2531444"/>
    <s v="Talluri Ajay Kumar"/>
    <d v="2026-08-18T00:00:00"/>
    <x v="0"/>
    <s v="FTE"/>
    <s v="Chennai"/>
    <s v="CIS26AT007"/>
    <s v="Uma Venkatachalam"/>
    <d v="2026-12-09T00:00:00"/>
    <x v="1"/>
    <s v="In-Training"/>
    <x v="0"/>
    <x v="0"/>
    <s v="Siva Sai Gents Pg , Sipcot"/>
    <x v="0"/>
    <x v="0"/>
    <x v="0"/>
    <x v="0"/>
    <x v="0"/>
  </r>
  <r>
    <n v="2531793"/>
    <s v="Sai Chandu Kothapalli"/>
    <d v="2026-08-20T00:00:00"/>
    <x v="0"/>
    <s v="Intern"/>
    <s v="Chennai"/>
    <s v="INTFE26FE001"/>
    <s v="Grace Esther S"/>
    <d v="2026-10-15T00:00:00"/>
    <x v="3"/>
    <s v="In-Training"/>
    <x v="0"/>
    <x v="0"/>
    <s v="Sri Lakshmi Venkateswara Gents PG, Egattur"/>
    <x v="0"/>
    <x v="0"/>
    <x v="0"/>
    <x v="0"/>
    <x v="0"/>
  </r>
  <r>
    <n v="2531794"/>
    <s v="Annapareddy Dwarakamai"/>
    <d v="2026-08-20T00:00:00"/>
    <x v="1"/>
    <s v="Intern"/>
    <s v="Chennai"/>
    <s v="INTFE26FE001"/>
    <s v="Grace Esther S"/>
    <d v="2026-10-15T00:00:00"/>
    <x v="3"/>
    <s v="In-Training"/>
    <x v="0"/>
    <x v="0"/>
    <s v="MSR Luxury PG for Ladies-Branch 2, Egattur"/>
    <x v="0"/>
    <x v="0"/>
    <x v="0"/>
    <x v="0"/>
    <x v="0"/>
  </r>
  <r>
    <n v="2531797"/>
    <s v="OM Prakash Kumar"/>
    <d v="2026-08-20T00:00:00"/>
    <x v="0"/>
    <s v="Intern"/>
    <s v="Chennai"/>
    <s v="INTFE26FE001"/>
    <s v="Grace Esther S"/>
    <d v="2026-10-15T00:00:00"/>
    <x v="3"/>
    <s v="In-Training"/>
    <x v="0"/>
    <x v="0"/>
    <s v="GTR Stays - Siruseri"/>
    <x v="0"/>
    <x v="0"/>
    <x v="3"/>
    <x v="0"/>
    <x v="0"/>
  </r>
  <r>
    <n v="2531798"/>
    <s v="Anikate Dahiya"/>
    <d v="2026-08-20T00:00:00"/>
    <x v="0"/>
    <s v="Intern"/>
    <s v="Chennai"/>
    <s v="INTFE26FE001"/>
    <s v="Grace Esther S"/>
    <d v="2026-10-15T00:00:00"/>
    <x v="3"/>
    <s v="In-Training"/>
    <x v="0"/>
    <x v="0"/>
    <s v="GTR Stays"/>
    <x v="0"/>
    <x v="0"/>
    <x v="0"/>
    <x v="0"/>
    <x v="0"/>
  </r>
  <r>
    <n v="2531800"/>
    <s v="Vavilapalli Siva Kumar"/>
    <d v="2026-08-20T00:00:00"/>
    <x v="0"/>
    <s v="Intern"/>
    <s v="Chennai"/>
    <s v="INTFE26FE001"/>
    <s v="Grace Esther S"/>
    <d v="2026-10-15T00:00:00"/>
    <x v="3"/>
    <s v="In-Training"/>
    <x v="0"/>
    <x v="0"/>
    <s v="Sri Lakshmi Venkateshwara PG For Gents"/>
    <x v="0"/>
    <x v="0"/>
    <x v="0"/>
    <x v="0"/>
    <x v="0"/>
  </r>
  <r>
    <n v="2531801"/>
    <s v="Prasanna Venkateshan K"/>
    <d v="2026-08-20T00:00:00"/>
    <x v="0"/>
    <s v="Intern"/>
    <s v="Chennai"/>
    <s v="INTFE26FE001"/>
    <s v="Grace Esther S"/>
    <d v="2026-10-15T00:00:00"/>
    <x v="3"/>
    <s v="In-Training"/>
    <x v="0"/>
    <x v="0"/>
    <s v="CNR GENTS PG Branch-2"/>
    <x v="0"/>
    <x v="1"/>
    <x v="3"/>
    <x v="0"/>
    <x v="0"/>
  </r>
  <r>
    <n v="2531802"/>
    <s v="Ronith Dhanesh"/>
    <d v="2026-08-20T00:00:00"/>
    <x v="0"/>
    <s v="Intern"/>
    <s v="Chennai"/>
    <s v="INTFE26FE001"/>
    <s v="Grace Esther S"/>
    <d v="2026-10-15T00:00:00"/>
    <x v="3"/>
    <s v="In-Training"/>
    <x v="0"/>
    <x v="0"/>
    <s v="Ardenwood coliving"/>
    <x v="0"/>
    <x v="0"/>
    <x v="0"/>
    <x v="0"/>
    <x v="0"/>
  </r>
  <r>
    <n v="2531804"/>
    <s v="Karne Komali Bhavani"/>
    <d v="2026-08-20T00:00:00"/>
    <x v="1"/>
    <s v="Intern"/>
    <s v="Chennai"/>
    <s v="INTFE26FE001"/>
    <s v="Grace Esther S"/>
    <d v="2026-10-15T00:00:00"/>
    <x v="3"/>
    <s v="In-Training"/>
    <x v="0"/>
    <x v="0"/>
    <s v="MSR Ladies PG - Branch 2, Egattur"/>
    <x v="0"/>
    <x v="0"/>
    <x v="0"/>
    <x v="0"/>
    <x v="0"/>
  </r>
  <r>
    <n v="2531829"/>
    <s v="Prathmesh Subhash Khandare"/>
    <d v="2026-08-20T00:00:00"/>
    <x v="0"/>
    <s v="FTE"/>
    <s v="Chennai"/>
    <s v="CS26CS011"/>
    <s v="Kishorekumar P"/>
    <d v="2026-11-17T00:00:00"/>
    <x v="0"/>
    <s v="In-Training"/>
    <x v="0"/>
    <x v="0"/>
    <s v="Siddus premium mens pg , Siruseri"/>
    <x v="0"/>
    <x v="0"/>
    <x v="3"/>
    <x v="0"/>
    <x v="0"/>
  </r>
  <r>
    <n v="2531831"/>
    <s v="Mahesh Ravindra Gaikwad"/>
    <d v="2026-08-20T00:00:00"/>
    <x v="0"/>
    <s v="FTE"/>
    <s v="Chennai"/>
    <s v="CS26CS011"/>
    <s v="Kishorekumar P"/>
    <d v="2026-11-17T00:00:00"/>
    <x v="0"/>
    <s v="In-Training"/>
    <x v="0"/>
    <x v="0"/>
    <s v="Siddus Premium Mens PG"/>
    <x v="0"/>
    <x v="0"/>
    <x v="3"/>
    <x v="0"/>
    <x v="0"/>
  </r>
  <r>
    <n v="2531833"/>
    <s v="Rohan Kumar Sharma"/>
    <d v="2026-08-20T00:00:00"/>
    <x v="0"/>
    <s v="FTE"/>
    <s v="Chennai"/>
    <s v="CS26CS012"/>
    <s v="Laksiya Vijayendran"/>
    <d v="2026-11-17T00:00:00"/>
    <x v="0"/>
    <s v="In-Training"/>
    <x v="0"/>
    <x v="0"/>
    <s v="Meera Gents Pg , Navalur"/>
    <x v="0"/>
    <x v="0"/>
    <x v="2"/>
    <x v="0"/>
    <x v="0"/>
  </r>
  <r>
    <n v="2531834"/>
    <s v="Prasanth LNU"/>
    <d v="2026-08-20T00:00:00"/>
    <x v="0"/>
    <s v="FTE"/>
    <s v="Chennai"/>
    <s v="CS26CS011"/>
    <s v="Kishorekumar P"/>
    <d v="2026-11-17T00:00:00"/>
    <x v="0"/>
    <s v="In-Training"/>
    <x v="0"/>
    <x v="0"/>
    <s v="Siddu’s Premium Men’s PG,Egattur"/>
    <x v="0"/>
    <x v="0"/>
    <x v="0"/>
    <x v="0"/>
    <x v="0"/>
  </r>
  <r>
    <n v="2531838"/>
    <s v="Chandan Swain"/>
    <d v="2026-08-20T00:00:00"/>
    <x v="0"/>
    <s v="FTE"/>
    <s v="Chennai"/>
    <s v="CS26CS012"/>
    <s v="Laksiya Vijayendran"/>
    <d v="2026-11-17T00:00:00"/>
    <x v="0"/>
    <s v="In-Training"/>
    <x v="0"/>
    <x v="0"/>
    <s v="Meera Gents PG, Navalur"/>
    <x v="0"/>
    <x v="0"/>
    <x v="2"/>
    <x v="0"/>
    <x v="0"/>
  </r>
  <r>
    <n v="2531842"/>
    <s v="Shreyas Vardhaman Chougule"/>
    <d v="2026-08-20T00:00:00"/>
    <x v="0"/>
    <s v="FTE"/>
    <s v="Chennai"/>
    <s v="CS26CS011"/>
    <s v="Kishorekumar P"/>
    <d v="2026-11-17T00:00:00"/>
    <x v="0"/>
    <s v="In-Training"/>
    <x v="0"/>
    <x v="0"/>
    <s v="Siva Sai gents PG"/>
    <x v="0"/>
    <x v="0"/>
    <x v="0"/>
    <x v="0"/>
    <x v="0"/>
  </r>
  <r>
    <n v="2531857"/>
    <s v="Mahesh K"/>
    <d v="2026-08-20T00:00:00"/>
    <x v="0"/>
    <s v="FTE"/>
    <s v="Chennai"/>
    <s v="EPS26OSP011"/>
    <s v="Gayathri Ramachandran"/>
    <s v=""/>
    <x v="1"/>
    <s v="Training - ON Hold"/>
    <x v="0"/>
    <x v="0"/>
    <s v="Xion 16 Mens PG SIRUSERI SIPCOT"/>
    <x v="0"/>
    <x v="0"/>
    <x v="2"/>
    <x v="0"/>
    <x v="0"/>
  </r>
  <r>
    <n v="2531960"/>
    <s v="Vaibhav Gorana"/>
    <d v="2026-08-20T00:00:00"/>
    <x v="0"/>
    <s v="FTE"/>
    <s v="Chennai"/>
    <s v="CS26CS011"/>
    <s v="Kishorekumar P"/>
    <d v="2026-11-17T00:00:00"/>
    <x v="0"/>
    <s v="In-Training"/>
    <x v="0"/>
    <x v="0"/>
    <s v="vishvas hostel, mamoothianmman street, egattur uthandi ,siruseri,tamil nadu, 603103"/>
    <x v="0"/>
    <x v="0"/>
    <x v="3"/>
    <x v="0"/>
    <x v="0"/>
  </r>
  <r>
    <n v="2531964"/>
    <s v="Kudiguntolu Bhavani"/>
    <d v="2026-08-20T00:00:00"/>
    <x v="1"/>
    <s v="FTE"/>
    <s v="Chennai"/>
    <s v="CS26CS011"/>
    <s v="Kishorekumar P"/>
    <d v="2026-11-17T00:00:00"/>
    <x v="0"/>
    <s v="In-Training"/>
    <x v="0"/>
    <x v="0"/>
    <s v="Sai Grand Womens PG Hostel"/>
    <x v="0"/>
    <x v="0"/>
    <x v="3"/>
    <x v="0"/>
    <x v="0"/>
  </r>
  <r>
    <n v="2531977"/>
    <s v="Aniket Sudarshan"/>
    <d v="2026-08-20T00:00:00"/>
    <x v="0"/>
    <s v="FTE"/>
    <s v="Chennai"/>
    <s v="CS26CS012"/>
    <s v="Laksiya Vijayendran"/>
    <d v="2026-11-17T00:00:00"/>
    <x v="0"/>
    <s v="In-Training"/>
    <x v="0"/>
    <x v="0"/>
    <s v="kalyani pg rajaganesh avanue house 10, navalur "/>
    <x v="0"/>
    <x v="0"/>
    <x v="2"/>
    <x v="0"/>
    <x v="0"/>
  </r>
  <r>
    <n v="2531992"/>
    <s v="Subhrajit Chakrabarti"/>
    <d v="2026-08-20T00:00:00"/>
    <x v="0"/>
    <s v="FTE"/>
    <s v="Chennai"/>
    <s v="CS26CS011"/>
    <s v="Kishorekumar P"/>
    <d v="2026-11-17T00:00:00"/>
    <x v="0"/>
    <s v="In-Training"/>
    <x v="0"/>
    <x v="0"/>
    <s v="SRI VENKATA SAI HANUMAN GENTS PG (BRANCH-2), EGATTUR"/>
    <x v="0"/>
    <x v="0"/>
    <x v="3"/>
    <x v="0"/>
    <x v="0"/>
  </r>
  <r>
    <n v="2532900"/>
    <s v="A Madhuri"/>
    <d v="2026-08-25T00:00:00"/>
    <x v="1"/>
    <s v="FTE"/>
    <s v="Chennai"/>
    <s v="CIS26MBG007"/>
    <s v="Lawrance M"/>
    <d v="2026-12-11T00:00:00"/>
    <x v="1"/>
    <s v="In-Training"/>
    <x v="0"/>
    <x v="0"/>
    <s v="Silver Star Ladies PG, Egattur."/>
    <x v="0"/>
    <x v="0"/>
    <x v="3"/>
    <x v="0"/>
    <x v="0"/>
  </r>
  <r>
    <n v="2532908"/>
    <s v="Ajay Rajan A"/>
    <d v="2026-08-25T00:00:00"/>
    <x v="0"/>
    <s v="FTE"/>
    <s v="Chennai"/>
    <s v="CIS26MBG005"/>
    <s v="Angel Maria Faustina Gomez"/>
    <d v="2026-12-11T00:00:00"/>
    <x v="1"/>
    <s v="In-Training"/>
    <x v="1"/>
    <x v="2"/>
    <s v="Home"/>
    <x v="0"/>
    <x v="1"/>
    <x v="3"/>
    <x v="0"/>
    <x v="1"/>
  </r>
  <r>
    <n v="2532911"/>
    <s v="Mokshith Billakanti"/>
    <d v="2026-08-25T00:00:00"/>
    <x v="0"/>
    <s v="FTE"/>
    <s v="Chennai"/>
    <s v="CIS26SN002"/>
    <s v="Ashiya Begam S"/>
    <d v="2026-12-02T00:00:00"/>
    <x v="1"/>
    <s v="In-Training"/>
    <x v="0"/>
    <x v="0"/>
    <s v="1st Left, Sipcot It Park, City Park Layout, Plot No -56P, Siruseri, Egattur, TamilNadu 603103"/>
    <x v="0"/>
    <x v="0"/>
    <x v="3"/>
    <x v="0"/>
    <x v="0"/>
  </r>
  <r>
    <n v="2532918"/>
    <s v="Kurapati Thejaswini"/>
    <d v="2026-08-25T00:00:00"/>
    <x v="1"/>
    <s v="FTE"/>
    <s v="Chennai"/>
    <s v="CIS26MBG004"/>
    <s v="Kishorekumar P"/>
    <d v="2026-12-11T00:00:00"/>
    <x v="1"/>
    <s v="In-Training"/>
    <x v="0"/>
    <x v="0"/>
    <s v="Vaishnavi elite pg "/>
    <x v="0"/>
    <x v="0"/>
    <x v="0"/>
    <x v="0"/>
    <x v="0"/>
  </r>
  <r>
    <n v="2532927"/>
    <s v="Somana Sindhu Lahari"/>
    <d v="2026-08-25T00:00:00"/>
    <x v="1"/>
    <s v="FTE"/>
    <s v="Chennai"/>
    <s v="CIS26MBG005"/>
    <s v="Angel Maria Faustina Gomez"/>
    <d v="2026-12-11T00:00:00"/>
    <x v="1"/>
    <s v="In-Training"/>
    <x v="0"/>
    <x v="0"/>
    <s v="aditi womens pg, egatur"/>
    <x v="0"/>
    <x v="0"/>
    <x v="0"/>
    <x v="0"/>
    <x v="0"/>
  </r>
  <r>
    <n v="2532928"/>
    <s v="Harish Suresh"/>
    <d v="2026-08-25T00:00:00"/>
    <x v="0"/>
    <s v="FTE"/>
    <s v="Chennai"/>
    <s v="CIS26MBG007"/>
    <s v="Lawrance M"/>
    <d v="2026-12-11T00:00:00"/>
    <x v="1"/>
    <s v="In-Training"/>
    <x v="0"/>
    <x v="0"/>
    <s v="CNR branch 2 Sipcot"/>
    <x v="0"/>
    <x v="1"/>
    <x v="3"/>
    <x v="0"/>
    <x v="0"/>
  </r>
  <r>
    <n v="2532937"/>
    <s v="Padala Raghavendra Reddy"/>
    <d v="2026-08-25T00:00:00"/>
    <x v="0"/>
    <s v="FTE"/>
    <s v="Chennai"/>
    <s v="CIS26MBG004"/>
    <s v="Kishorekumar P"/>
    <d v="2026-12-11T00:00:00"/>
    <x v="1"/>
    <s v="In-Training"/>
    <x v="0"/>
    <x v="0"/>
    <s v="Siddus Premium mens PG siruseri Sipcot IT, Egattur"/>
    <x v="0"/>
    <x v="0"/>
    <x v="3"/>
    <x v="0"/>
    <x v="0"/>
  </r>
  <r>
    <n v="2532952"/>
    <s v="Manendra Mallakuppam"/>
    <d v="2026-08-25T00:00:00"/>
    <x v="0"/>
    <s v="FTE"/>
    <s v="Chennai"/>
    <s v="CIS26MBG004"/>
    <s v="Kishorekumar P"/>
    <d v="2026-12-11T00:00:00"/>
    <x v="1"/>
    <s v="In-Training"/>
    <x v="0"/>
    <x v="0"/>
    <s v="105, Happy Homes Mens PG city park, Egatoor, Siruseri, Tamil Nadu 603103"/>
    <x v="0"/>
    <x v="0"/>
    <x v="0"/>
    <x v="0"/>
    <x v="0"/>
  </r>
  <r>
    <n v="2532963"/>
    <s v="Y Manoj"/>
    <d v="2026-08-25T00:00:00"/>
    <x v="0"/>
    <s v="FTE"/>
    <s v="Chennai"/>
    <s v="CIS26MBG005"/>
    <s v="Angel Maria Faustina Gomez"/>
    <d v="2026-12-11T00:00:00"/>
    <x v="1"/>
    <s v="In-Training"/>
    <x v="0"/>
    <x v="0"/>
    <s v="siddus premium mens pg ,siruseri "/>
    <x v="0"/>
    <x v="0"/>
    <x v="3"/>
    <x v="0"/>
    <x v="0"/>
  </r>
  <r>
    <n v="2532972"/>
    <s v="Sarva Siva Sai Bhaskar"/>
    <d v="2026-08-25T00:00:00"/>
    <x v="0"/>
    <s v="FTE"/>
    <s v="Chennai"/>
    <s v="CIS26MBG005"/>
    <s v="Angel Maria Faustina Gomez"/>
    <d v="2026-12-11T00:00:00"/>
    <x v="1"/>
    <s v="In-Training"/>
    <x v="0"/>
    <x v="0"/>
    <s v="SOMA MENS STAY"/>
    <x v="0"/>
    <x v="0"/>
    <x v="3"/>
    <x v="0"/>
    <x v="0"/>
  </r>
  <r>
    <n v="2532978"/>
    <s v="Koyyana Sri Raja Rajeswari"/>
    <d v="2026-08-25T00:00:00"/>
    <x v="1"/>
    <s v="FTE"/>
    <s v="Chennai"/>
    <s v="CIS26MBG005"/>
    <s v="Angel Maria Faustina Gomez"/>
    <d v="2026-12-11T00:00:00"/>
    <x v="1"/>
    <s v="In-Training"/>
    <x v="0"/>
    <x v="0"/>
    <s v="Vaishnavi PG for ladies, 4/211 DR Ambedkar St, Sipcot, Egattur, Tamil Nadu"/>
    <x v="0"/>
    <x v="1"/>
    <x v="3"/>
    <x v="0"/>
    <x v="0"/>
  </r>
  <r>
    <n v="2532990"/>
    <s v="Yadla Rohith"/>
    <d v="2026-08-25T00:00:00"/>
    <x v="0"/>
    <s v="FTE"/>
    <s v="Chennai"/>
    <s v="CIS26SN002"/>
    <s v="Ashiya Begam S"/>
    <d v="2026-12-02T00:00:00"/>
    <x v="1"/>
    <s v="In-Training"/>
    <x v="0"/>
    <x v="0"/>
    <s v="BLR mens pg ,Egattur"/>
    <x v="0"/>
    <x v="0"/>
    <x v="3"/>
    <x v="0"/>
    <x v="0"/>
  </r>
  <r>
    <n v="2532991"/>
    <s v="Chiruguri Purna Prasanth"/>
    <d v="2026-08-25T00:00:00"/>
    <x v="0"/>
    <s v="FTE"/>
    <s v="Chennai"/>
    <s v="CIS26AT007"/>
    <s v="Uma Venkatachalam"/>
    <d v="2026-12-09T00:00:00"/>
    <x v="1"/>
    <s v="In-Training"/>
    <x v="0"/>
    <x v="4"/>
    <s v="Siva Sai Gents PG, Siruseri"/>
    <x v="0"/>
    <x v="0"/>
    <x v="3"/>
    <x v="0"/>
    <x v="0"/>
  </r>
  <r>
    <n v="2532997"/>
    <s v="Asma Mohammad"/>
    <d v="2026-08-25T00:00:00"/>
    <x v="1"/>
    <s v="FTE"/>
    <s v="Chennai"/>
    <s v="CIS26AT008"/>
    <s v="Uma Venkatachalam"/>
    <d v="2026-12-09T00:00:00"/>
    <x v="1"/>
    <s v="In-Training"/>
    <x v="0"/>
    <x v="0"/>
    <s v="Sai Grand Womens PG New branch(Ambedkar Street), Dr Ambedkar St, Egattur, Chennai, Tamil Nadu 603103"/>
    <x v="0"/>
    <x v="0"/>
    <x v="3"/>
    <x v="0"/>
    <x v="0"/>
  </r>
  <r>
    <n v="2533009"/>
    <s v="Giduthuri Jathin"/>
    <d v="2026-08-25T00:00:00"/>
    <x v="0"/>
    <s v="FTE"/>
    <s v="Chennai"/>
    <s v="CIS26SN002"/>
    <s v="Ashiya Begam S"/>
    <d v="2026-12-02T00:00:00"/>
    <x v="1"/>
    <s v="In-Training"/>
    <x v="0"/>
    <x v="0"/>
    <s v="Sahasra Deluxe PG for men"/>
    <x v="0"/>
    <x v="1"/>
    <x v="0"/>
    <x v="0"/>
    <x v="0"/>
  </r>
  <r>
    <n v="2533015"/>
    <s v="Damisetty Lohith"/>
    <d v="2026-08-25T00:00:00"/>
    <x v="0"/>
    <s v="FTE"/>
    <s v="Chennai"/>
    <s v="IOT26CSJ002"/>
    <s v="Pavithra Kandasamy"/>
    <d v="2026-11-11T00:00:00"/>
    <x v="0"/>
    <s v="In-Training"/>
    <x v="0"/>
    <x v="0"/>
    <s v="Soma Mens Pg"/>
    <x v="0"/>
    <x v="1"/>
    <x v="3"/>
    <x v="0"/>
    <x v="0"/>
  </r>
  <r>
    <n v="2533019"/>
    <s v="Sathyam Kumar"/>
    <d v="2026-08-25T00:00:00"/>
    <x v="0"/>
    <s v="FTE"/>
    <s v="Chennai"/>
    <s v="ADM27DFSA001"/>
    <s v="Thomas Naveen. J"/>
    <d v="2026-12-30T00:00:00"/>
    <x v="1"/>
    <s v="In-Training"/>
    <x v="0"/>
    <x v="0"/>
    <s v="Shri Lakshmi PG for Gents - H, 1/128, Sardar Patel St, Navalur, Chennai, Tamil Nadu 600130"/>
    <x v="0"/>
    <x v="1"/>
    <x v="2"/>
    <x v="0"/>
    <x v="0"/>
  </r>
  <r>
    <n v="2533022"/>
    <s v="Ambati Nandini"/>
    <d v="2026-08-25T00:00:00"/>
    <x v="1"/>
    <s v="FTE"/>
    <s v="Chennai"/>
    <s v="CIS26MBG004"/>
    <s v="Kishorekumar P"/>
    <d v="2026-12-11T00:00:00"/>
    <x v="1"/>
    <s v="In-Training"/>
    <x v="0"/>
    <x v="0"/>
    <s v="Queens luxury ladies pg, Egattur"/>
    <x v="0"/>
    <x v="0"/>
    <x v="0"/>
    <x v="0"/>
    <x v="0"/>
  </r>
  <r>
    <n v="2533042"/>
    <s v="Majji Kamalakar"/>
    <d v="2026-08-25T00:00:00"/>
    <x v="0"/>
    <s v="FTE"/>
    <s v="Chennai"/>
    <s v="CIS26SN002"/>
    <s v="Ashiya Begam S"/>
    <d v="2026-12-02T00:00:00"/>
    <x v="1"/>
    <s v="In-Training"/>
    <x v="0"/>
    <x v="0"/>
    <s v="Sahasra Deluxe PG for men,Green park lane, near Sipcot It Park, Egattur, Tamil Nadu 603103"/>
    <x v="0"/>
    <x v="0"/>
    <x v="0"/>
    <x v="0"/>
    <x v="0"/>
  </r>
  <r>
    <n v="2533044"/>
    <s v="Kema Naga Sai Sri Charitha"/>
    <d v="2026-08-25T00:00:00"/>
    <x v="1"/>
    <s v="FTE"/>
    <s v="Chennai"/>
    <s v="CIS26AT007"/>
    <s v="Uma Venkatachalam"/>
    <d v="2026-12-09T00:00:00"/>
    <x v="1"/>
    <s v="In-Training"/>
    <x v="0"/>
    <x v="0"/>
    <s v="csr luxury branch-branch 2, egattur"/>
    <x v="0"/>
    <x v="1"/>
    <x v="2"/>
    <x v="0"/>
    <x v="0"/>
  </r>
  <r>
    <n v="2533062"/>
    <s v="Bolla Pavan Kalyan"/>
    <d v="2026-08-25T00:00:00"/>
    <x v="0"/>
    <s v="FTE"/>
    <s v="Chennai"/>
    <s v="CIS26MBG003"/>
    <s v="Kishorekumar P"/>
    <d v="2026-12-11T00:00:00"/>
    <x v="1"/>
    <s v="In-Training"/>
    <x v="0"/>
    <x v="0"/>
    <s v="SS(Siva Sai) Gents pg"/>
    <x v="0"/>
    <x v="0"/>
    <x v="3"/>
    <x v="0"/>
    <x v="0"/>
  </r>
  <r>
    <n v="2533064"/>
    <s v="Palavalasa Kesavarao"/>
    <d v="2026-08-25T00:00:00"/>
    <x v="0"/>
    <s v="FTE"/>
    <s v="Chennai"/>
    <s v="CIS26SN002"/>
    <s v="Ashiya Begam S"/>
    <d v="2026-12-02T00:00:00"/>
    <x v="1"/>
    <s v="In-Training"/>
    <x v="0"/>
    <x v="0"/>
    <s v="Sahasra Deluxe PG for men"/>
    <x v="0"/>
    <x v="0"/>
    <x v="0"/>
    <x v="0"/>
    <x v="0"/>
  </r>
  <r>
    <n v="2533066"/>
    <s v="Saranya C R"/>
    <d v="2026-08-25T00:00:00"/>
    <x v="1"/>
    <s v="FTE"/>
    <s v="Chennai"/>
    <s v="CIS26MBG007"/>
    <s v="Lawrance M"/>
    <d v="2026-12-11T00:00:00"/>
    <x v="1"/>
    <s v="In-Training"/>
    <x v="0"/>
    <x v="0"/>
    <s v="Aditi Womens Hostel, 146A, Rajiv Gandhi Salai, Egatoor, OMR, Chennai, Tamil Nadu"/>
    <x v="0"/>
    <x v="1"/>
    <x v="0"/>
    <x v="0"/>
    <x v="0"/>
  </r>
  <r>
    <n v="2533073"/>
    <s v="Vedavarshini Attuluri"/>
    <d v="2026-08-25T00:00:00"/>
    <x v="1"/>
    <s v="FTE"/>
    <s v="Chennai"/>
    <s v="CIS26MBG004"/>
    <s v="Kishorekumar P"/>
    <d v="2026-12-11T00:00:00"/>
    <x v="1"/>
    <s v="In-Training"/>
    <x v="0"/>
    <x v="0"/>
    <s v="Annapurna ladies PG egattur opposite marina mall"/>
    <x v="0"/>
    <x v="0"/>
    <x v="0"/>
    <x v="0"/>
    <x v="0"/>
  </r>
  <r>
    <n v="2533080"/>
    <s v="Gunthakanti Venkata Narayana"/>
    <d v="2026-08-25T00:00:00"/>
    <x v="0"/>
    <s v="FTE"/>
    <s v="Chennai"/>
    <s v="CIS26SN002"/>
    <s v="Ashiya Begam S"/>
    <d v="2026-12-02T00:00:00"/>
    <x v="1"/>
    <s v="In-Training"/>
    <x v="0"/>
    <x v="0"/>
    <s v="SPT PG for Gents,Egattur"/>
    <x v="0"/>
    <x v="0"/>
    <x v="0"/>
    <x v="0"/>
    <x v="0"/>
  </r>
  <r>
    <n v="2533081"/>
    <s v="Guvvala Asreetha"/>
    <d v="2026-08-25T00:00:00"/>
    <x v="1"/>
    <s v="FTE"/>
    <s v="Chennai"/>
    <s v="CIS26SN002"/>
    <s v="Ashiya Begam S"/>
    <d v="2026-12-02T00:00:00"/>
    <x v="1"/>
    <s v="In-Training"/>
    <x v="0"/>
    <x v="0"/>
    <s v="a"/>
    <x v="0"/>
    <x v="1"/>
    <x v="3"/>
    <x v="0"/>
    <x v="0"/>
  </r>
  <r>
    <n v="2533083"/>
    <s v="Meghna Beeram"/>
    <d v="2026-08-25T00:00:00"/>
    <x v="1"/>
    <s v="FTE"/>
    <s v="Chennai"/>
    <s v="CIS26SN002"/>
    <s v="Ashiya Begam S"/>
    <d v="2026-12-02T00:00:00"/>
    <x v="1"/>
    <s v="In-Training"/>
    <x v="0"/>
    <x v="0"/>
    <s v="Sri sai unique ladies pg"/>
    <x v="0"/>
    <x v="0"/>
    <x v="3"/>
    <x v="0"/>
    <x v="0"/>
  </r>
  <r>
    <n v="2533140"/>
    <s v="Anusha Shekhar"/>
    <d v="2026-08-25T00:00:00"/>
    <x v="1"/>
    <s v="FTE"/>
    <s v="Chennai"/>
    <s v="CIS26MBG003"/>
    <s v="Kishorekumar P"/>
    <d v="2026-12-11T00:00:00"/>
    <x v="1"/>
    <s v="In-Training"/>
    <x v="0"/>
    <x v="0"/>
    <s v="vaishnavi ladies pg , sipcot, egattur"/>
    <x v="0"/>
    <x v="0"/>
    <x v="0"/>
    <x v="0"/>
    <x v="0"/>
  </r>
  <r>
    <n v="2533152"/>
    <s v="Shaik Irfan"/>
    <d v="2026-08-25T00:00:00"/>
    <x v="0"/>
    <s v="FTE"/>
    <s v="Chennai"/>
    <s v="CIS26MBG006"/>
    <s v="Angel Maria Faustina Gomez"/>
    <d v="2026-12-11T00:00:00"/>
    <x v="1"/>
    <s v="In-Training"/>
    <x v="0"/>
    <x v="0"/>
    <s v="Adhi lakshmi gents pg,"/>
    <x v="0"/>
    <x v="0"/>
    <x v="3"/>
    <x v="0"/>
    <x v="0"/>
  </r>
  <r>
    <n v="2533154"/>
    <s v="Bommisetti Mahendra"/>
    <d v="2026-08-25T00:00:00"/>
    <x v="0"/>
    <s v="FTE"/>
    <s v="Chennai"/>
    <s v="CIS26MBG005"/>
    <s v="Angel Maria Faustina Gomez"/>
    <d v="2026-12-11T00:00:00"/>
    <x v="1"/>
    <s v="In-Training"/>
    <x v="0"/>
    <x v="0"/>
    <s v="Adhi lakshmi pg for gents"/>
    <x v="0"/>
    <x v="0"/>
    <x v="0"/>
    <x v="0"/>
    <x v="0"/>
  </r>
  <r>
    <n v="2533167"/>
    <s v="Manasa Divi"/>
    <d v="2026-08-25T00:00:00"/>
    <x v="1"/>
    <s v="FTE"/>
    <s v="Chennai"/>
    <s v="CIS26AT007"/>
    <s v="Uma Venkatachalam"/>
    <d v="2026-12-09T00:00:00"/>
    <x v="1"/>
    <s v="In-Training"/>
    <x v="0"/>
    <x v="4"/>
    <s v="New Manikandhan ladies hostel branch 2"/>
    <x v="0"/>
    <x v="0"/>
    <x v="3"/>
    <x v="0"/>
    <x v="0"/>
  </r>
  <r>
    <n v="2533170"/>
    <s v="Prem Sai Adigopula"/>
    <d v="2026-08-25T00:00:00"/>
    <x v="0"/>
    <s v="FTE"/>
    <s v="Chennai"/>
    <s v="CIS26MBG006"/>
    <s v="Angel Maria Faustina Gomez"/>
    <d v="2026-12-11T00:00:00"/>
    <x v="1"/>
    <s v="In-Training"/>
    <x v="0"/>
    <x v="0"/>
    <s v="AADHI LAKSHMI PG FOR GENTS , Egattur"/>
    <x v="0"/>
    <x v="0"/>
    <x v="3"/>
    <x v="0"/>
    <x v="0"/>
  </r>
  <r>
    <n v="2533171"/>
    <s v="Venkata Siva Sai Sreeja Korivi"/>
    <d v="2026-08-25T00:00:00"/>
    <x v="1"/>
    <s v="FTE"/>
    <s v="Chennai"/>
    <s v="CIS26MBG006"/>
    <s v="Angel Maria Faustina Gomez"/>
    <d v="2026-12-11T00:00:00"/>
    <x v="1"/>
    <s v="In-Training"/>
    <x v="0"/>
    <x v="0"/>
    <s v="Queens PG - Egattur"/>
    <x v="0"/>
    <x v="0"/>
    <x v="3"/>
    <x v="0"/>
    <x v="0"/>
  </r>
  <r>
    <n v="2533182"/>
    <s v="Kosuri Lakshmi Sowjanya"/>
    <d v="2026-08-25T00:00:00"/>
    <x v="1"/>
    <s v="FTE"/>
    <s v="Chennai"/>
    <s v="CIS26AT007"/>
    <s v="Uma Venkatachalam"/>
    <d v="2026-12-09T00:00:00"/>
    <x v="1"/>
    <s v="In-Training"/>
    <x v="0"/>
    <x v="0"/>
    <s v="Krishna Nivas Ladies PG,Egattur"/>
    <x v="0"/>
    <x v="0"/>
    <x v="0"/>
    <x v="0"/>
    <x v="0"/>
  </r>
  <r>
    <n v="2533186"/>
    <s v="Nithin Terli"/>
    <d v="2026-08-25T00:00:00"/>
    <x v="0"/>
    <s v="FTE"/>
    <s v="Chennai"/>
    <s v="CIS26MBG007"/>
    <s v="Lawrance M"/>
    <d v="2026-12-11T00:00:00"/>
    <x v="1"/>
    <s v="In-Training"/>
    <x v="0"/>
    <x v="0"/>
    <s v="Siddhus men premium pg, siru seri"/>
    <x v="0"/>
    <x v="0"/>
    <x v="3"/>
    <x v="0"/>
    <x v="0"/>
  </r>
  <r>
    <n v="2533190"/>
    <s v="Koduri Joshna Pallavi"/>
    <d v="2026-08-25T00:00:00"/>
    <x v="1"/>
    <s v="FTE"/>
    <s v="Chennai"/>
    <s v="CIS26AT007"/>
    <s v="Uma Venkatachalam"/>
    <d v="2026-12-09T00:00:00"/>
    <x v="1"/>
    <s v="In-Training"/>
    <x v="0"/>
    <x v="0"/>
    <s v="SRS Luxury PG Branch-1,Egattur"/>
    <x v="0"/>
    <x v="0"/>
    <x v="3"/>
    <x v="0"/>
    <x v="0"/>
  </r>
  <r>
    <n v="2533204"/>
    <s v="Siri Pavan Kolluri"/>
    <d v="2026-08-25T00:00:00"/>
    <x v="0"/>
    <s v="FTE"/>
    <s v="Chennai"/>
    <s v="CIS26MBG005"/>
    <s v="Angel Maria Faustina Gomez"/>
    <d v="2026-12-11T00:00:00"/>
    <x v="1"/>
    <s v="In-Training"/>
    <x v="0"/>
    <x v="0"/>
    <s v="Sahasra Delux"/>
    <x v="0"/>
    <x v="1"/>
    <x v="0"/>
    <x v="0"/>
    <x v="0"/>
  </r>
  <r>
    <n v="2533209"/>
    <s v="Durga Naga Deepika Katreddy"/>
    <d v="2026-08-25T00:00:00"/>
    <x v="1"/>
    <s v="FTE"/>
    <s v="Chennai"/>
    <s v="CIS26MBG004"/>
    <s v="Kishorekumar P"/>
    <d v="2026-12-11T00:00:00"/>
    <x v="1"/>
    <s v="In-Training"/>
    <x v="0"/>
    <x v="0"/>
    <s v="SRS LUXURY LADIES HOSTEL, BRANCH1, NAVALUR"/>
    <x v="0"/>
    <x v="1"/>
    <x v="0"/>
    <x v="0"/>
    <x v="0"/>
  </r>
  <r>
    <n v="2533586"/>
    <s v="Kurama Mohana Lakshmi"/>
    <d v="2026-08-27T00:00:00"/>
    <x v="1"/>
    <s v="FTE"/>
    <s v="Chennai"/>
    <s v="EPS26SAP038"/>
    <s v="Ajith Ganesan"/>
    <d v="2026-10-27T00:00:00"/>
    <x v="3"/>
    <s v="In-Training"/>
    <x v="0"/>
    <x v="0"/>
    <s v="MSR Luxury PG for Ladies-Branch 1, Egattur"/>
    <x v="0"/>
    <x v="0"/>
    <x v="0"/>
    <x v="0"/>
    <x v="0"/>
  </r>
  <r>
    <n v="2533591"/>
    <s v="Gali Vignan Kiran"/>
    <d v="2026-08-27T00:00:00"/>
    <x v="0"/>
    <s v="FTE"/>
    <s v="Chennai"/>
    <s v="EPS26SAP038"/>
    <s v="Ajith Ganesan"/>
    <d v="2026-10-27T00:00:00"/>
    <x v="3"/>
    <s v="In-Training"/>
    <x v="0"/>
    <x v="0"/>
    <s v="Sahasra Deluxe Gents PG,Egattur"/>
    <x v="0"/>
    <x v="0"/>
    <x v="0"/>
    <x v="0"/>
    <x v="0"/>
  </r>
  <r>
    <n v="2533594"/>
    <s v="Varshini Pillala"/>
    <d v="2026-08-27T00:00:00"/>
    <x v="1"/>
    <s v="FTE"/>
    <s v="Chennai"/>
    <s v="EPS26SAP038"/>
    <s v="Ajith Ganesan"/>
    <d v="2026-10-27T00:00:00"/>
    <x v="3"/>
    <s v="In-Training"/>
    <x v="0"/>
    <x v="0"/>
    <s v="Queens Luxury Ladies PG, Egattur, Siruseri"/>
    <x v="0"/>
    <x v="0"/>
    <x v="3"/>
    <x v="0"/>
    <x v="0"/>
  </r>
  <r>
    <n v="2521803"/>
    <s v="Harshit Pandey"/>
    <d v="2026-07-09T00:00:00"/>
    <x v="0"/>
    <s v="FTE"/>
    <s v="Chennai"/>
    <s v="ADM26MF011"/>
    <s v="Abinaya R"/>
    <d v="2026-11-02T00:00:00"/>
    <x v="0"/>
    <s v="In-Training"/>
    <x v="0"/>
    <x v="0"/>
    <s v="SIDDUS MENS PG , SIRESURI"/>
    <x v="0"/>
    <x v="0"/>
    <x v="3"/>
    <x v="0"/>
    <x v="0"/>
  </r>
  <r>
    <n v="2525037"/>
    <s v="Janani N"/>
    <d v="2026-07-23T00:00:00"/>
    <x v="1"/>
    <s v="FTE"/>
    <s v="Chennai"/>
    <s v="ADM26ISMO010"/>
    <s v="Thomas Naveen. J"/>
    <d v="2026-10-06T00:00:00"/>
    <x v="3"/>
    <s v="In-Training"/>
    <x v="0"/>
    <x v="0"/>
    <s v="Parin luxury ladies PG "/>
    <x v="0"/>
    <x v="0"/>
    <x v="0"/>
    <x v="0"/>
    <x v="0"/>
  </r>
  <r>
    <n v="2524517"/>
    <s v="Lokesh S"/>
    <d v="2026-07-21T00:00:00"/>
    <x v="0"/>
    <s v="FTE"/>
    <s v="Chennai"/>
    <s v="ADM26MF012"/>
    <s v="Lourdhu Selvin Raj X"/>
    <d v="2026-11-17T00:00:00"/>
    <x v="0"/>
    <s v="In-Training"/>
    <x v="1"/>
    <x v="2"/>
    <s v="No.1 Parry Colony Keelkattalai chennai 600117"/>
    <x v="0"/>
    <x v="1"/>
    <x v="3"/>
    <x v="0"/>
    <x v="1"/>
  </r>
  <r>
    <n v="2511292"/>
    <s v="Vishal Prajapat"/>
    <d v="2026-05-21T00:00:00"/>
    <x v="0"/>
    <s v="FTE"/>
    <s v="Chennai"/>
    <s v="CIS26MCPT010"/>
    <s v="Mohamed Harish"/>
    <d v="2026-09-15T00:00:00"/>
    <x v="2"/>
    <s v="In-Training"/>
    <x v="0"/>
    <x v="0"/>
    <s v="Sarvana mens Pg"/>
    <x v="0"/>
    <x v="0"/>
    <x v="0"/>
    <x v="0"/>
    <x v="0"/>
  </r>
  <r>
    <n v="2512297"/>
    <s v="Chandaluru Kailashnath Achari"/>
    <d v="2026-05-28T00:00:00"/>
    <x v="0"/>
    <s v="FTE"/>
    <s v="Chennai"/>
    <s v="CIS26MCPT011"/>
    <s v="Uma Venkatachalam"/>
    <d v="2026-09-17T00:00:00"/>
    <x v="2"/>
    <s v="In-Training"/>
    <x v="0"/>
    <x v="0"/>
    <s v="Sri Nilayam Gents Pg - Navalur "/>
    <x v="0"/>
    <x v="0"/>
    <x v="2"/>
    <x v="0"/>
    <x v="0"/>
  </r>
  <r>
    <n v="2512315"/>
    <s v="Harshith K"/>
    <d v="2026-05-28T00:00:00"/>
    <x v="0"/>
    <s v="FTE"/>
    <s v="Chennai"/>
    <s v="CIS26MCPT012"/>
    <s v="Uma Venkatachalam"/>
    <d v="2026-09-17T00:00:00"/>
    <x v="2"/>
    <s v="In-Training"/>
    <x v="0"/>
    <x v="0"/>
    <s v="CNR GENTS PG BRANCH-1 "/>
    <x v="0"/>
    <x v="0"/>
    <x v="3"/>
    <x v="0"/>
    <x v="0"/>
  </r>
  <r>
    <n v="2512323"/>
    <s v="Gokul Mathiyalagan"/>
    <d v="2026-05-28T00:00:00"/>
    <x v="0"/>
    <s v="FTE"/>
    <s v="Chennai"/>
    <s v="CIS26MCPT011"/>
    <s v="Uma Venkatachalam"/>
    <d v="2026-09-17T00:00:00"/>
    <x v="2"/>
    <s v="In-Training"/>
    <x v="0"/>
    <x v="0"/>
    <s v="Jothi mens Hostel "/>
    <x v="0"/>
    <x v="0"/>
    <x v="2"/>
    <x v="0"/>
    <x v="0"/>
  </r>
  <r>
    <n v="2512365"/>
    <s v="Sravanth Pulicheri"/>
    <d v="2026-05-28T00:00:00"/>
    <x v="0"/>
    <s v="FTE"/>
    <s v="Chennai"/>
    <s v="CIS26MCPT012"/>
    <s v="Uma Venkatachalam"/>
    <d v="2026-09-17T00:00:00"/>
    <x v="2"/>
    <s v="In-Training"/>
    <x v="0"/>
    <x v="0"/>
    <s v="Sri Nilayam Gents Pg - Navallur"/>
    <x v="0"/>
    <x v="0"/>
    <x v="2"/>
    <x v="0"/>
    <x v="0"/>
  </r>
  <r>
    <n v="2526610"/>
    <s v="Ashwin Sundar V S"/>
    <d v="2026-07-30T00:00:00"/>
    <x v="0"/>
    <s v="FTE"/>
    <s v="Chennai"/>
    <s v="QEA26JP001"/>
    <s v="Ajiesya D P"/>
    <s v=""/>
    <x v="1"/>
    <s v="Training - ON Hold"/>
    <x v="0"/>
    <x v="0"/>
    <s v="Amar garden, 1/15 M.R Ratha road, pudupakkam, Tamilnadu. "/>
    <x v="0"/>
    <x v="1"/>
    <x v="3"/>
    <x v="0"/>
    <x v="0"/>
  </r>
  <r>
    <n v="2529557"/>
    <s v="Manoj Mukhiya"/>
    <d v="2026-08-11T00:00:00"/>
    <x v="0"/>
    <s v="FTE"/>
    <s v="Chennai"/>
    <s v="CIS26MCPT022"/>
    <s v="Laksiya Vijayendran"/>
    <d v="2026-12-03T00:00:00"/>
    <x v="1"/>
    <s v="In-Training"/>
    <x v="0"/>
    <x v="0"/>
    <s v="SRI LAKSHMI VENKATESWARA GENTS PG"/>
    <x v="0"/>
    <x v="1"/>
    <x v="2"/>
    <x v="0"/>
    <x v="0"/>
  </r>
  <r>
    <n v="2531849"/>
    <s v="Omkar Navnath Bhagat"/>
    <d v="2026-08-20T00:00:00"/>
    <x v="0"/>
    <s v="FTE"/>
    <s v="Chennai"/>
    <s v="CS26CS012"/>
    <s v="Laksiya Vijayendran"/>
    <d v="2026-11-17T00:00:00"/>
    <x v="0"/>
    <s v="In-Training"/>
    <x v="0"/>
    <x v="0"/>
    <s v="Siddus premium mens pg"/>
    <x v="0"/>
    <x v="0"/>
    <x v="3"/>
    <x v="0"/>
    <x v="0"/>
  </r>
  <r>
    <n v="2533133"/>
    <s v="Silla Bharath Kumar"/>
    <d v="2026-08-25T00:00:00"/>
    <x v="0"/>
    <s v="FTE"/>
    <s v="Chennai"/>
    <s v="CIS26MBG004"/>
    <s v="Kishorekumar P"/>
    <d v="2026-12-11T00:00:00"/>
    <x v="1"/>
    <s v="In-Training"/>
    <x v="0"/>
    <x v="0"/>
    <s v="Sahasra Deluxe PG for me"/>
    <x v="0"/>
    <x v="0"/>
    <x v="0"/>
    <x v="0"/>
    <x v="0"/>
  </r>
  <r>
    <n v="2533149"/>
    <s v="Pooja Basker"/>
    <d v="2026-08-25T00:00:00"/>
    <x v="1"/>
    <s v="FTE"/>
    <s v="Chennai"/>
    <s v="CIS26DWP032"/>
    <s v="Aiswarya A Kumar"/>
    <d v="2026-11-04T00:00:00"/>
    <x v="0"/>
    <s v="In-Training"/>
    <x v="0"/>
    <x v="0"/>
    <s v="MSR Luxury PG for Ladies - Branch 3 ,  Egattur"/>
    <x v="0"/>
    <x v="1"/>
    <x v="3"/>
    <x v="0"/>
    <x v="0"/>
  </r>
  <r>
    <n v="2524476"/>
    <s v="Junapudi Aadarsh Babu"/>
    <d v="2026-07-21T00:00:00"/>
    <x v="0"/>
    <s v="FTE"/>
    <s v="Chennai"/>
    <s v="ADM26MF012"/>
    <s v="Lourdhu Selvin Raj X"/>
    <d v="2026-11-17T00:00:00"/>
    <x v="0"/>
    <s v="In-Training"/>
    <x v="0"/>
    <x v="0"/>
    <s v="CNR GENTS PG BRANCH-2 SIRUSERI SIPCOT"/>
    <x v="0"/>
    <x v="0"/>
    <x v="3"/>
    <x v="0"/>
    <x v="0"/>
  </r>
  <r>
    <n v="2521706"/>
    <s v="Brinda A"/>
    <d v="2026-07-09T00:00:00"/>
    <x v="1"/>
    <s v="FTE"/>
    <s v="Chennai"/>
    <s v="ADM26DNAT003"/>
    <s v="Athira P"/>
    <d v="2026-10-23T00:00:00"/>
    <x v="3"/>
    <s v="In-Training"/>
    <x v="0"/>
    <x v="0"/>
    <s v="Smiles Inn Pg , Egatur"/>
    <x v="0"/>
    <x v="0"/>
    <x v="0"/>
    <x v="0"/>
    <x v="0"/>
  </r>
  <r>
    <n v="2529588"/>
    <s v="R D L S Sravanthi"/>
    <d v="2026-08-11T00:00:00"/>
    <x v="1"/>
    <s v="FTE"/>
    <s v="Chennai"/>
    <s v="CIS26MCPT021"/>
    <s v="Uma Venkatachalam"/>
    <d v="2026-12-08T00:00:00"/>
    <x v="1"/>
    <s v="In-Training"/>
    <x v="0"/>
    <x v="0"/>
    <s v="Vikram luxury Ladies PG "/>
    <x v="0"/>
    <x v="0"/>
    <x v="0"/>
    <x v="0"/>
    <x v="0"/>
  </r>
  <r>
    <n v="2512343"/>
    <s v="Gandham Srujan"/>
    <d v="2026-05-28T00:00:00"/>
    <x v="0"/>
    <s v="FTE"/>
    <s v="Chennai"/>
    <s v="CIS26MCPT011"/>
    <s v="Uma Venkatachalam"/>
    <d v="2026-09-17T00:00:00"/>
    <x v="2"/>
    <s v="In-Training"/>
    <x v="0"/>
    <x v="0"/>
    <s v="SRI NILAYAM MENS PG 1 ST FLOOR A3 ROOM NEAR ANBU BAKERY NAVALUR OMR "/>
    <x v="0"/>
    <x v="0"/>
    <x v="2"/>
    <x v="0"/>
    <x v="0"/>
  </r>
  <r>
    <n v="2531867"/>
    <s v="Raghav Chopra"/>
    <d v="2026-08-20T00:00:00"/>
    <x v="0"/>
    <s v="FTE"/>
    <s v="Chennai"/>
    <s v="CS26CS011"/>
    <s v="Kishorekumar P"/>
    <d v="2026-11-17T00:00:00"/>
    <x v="0"/>
    <s v="In-Training"/>
    <x v="0"/>
    <x v="0"/>
    <s v="F5 stays Mens PG"/>
    <x v="0"/>
    <x v="0"/>
    <x v="2"/>
    <x v="0"/>
    <x v="0"/>
  </r>
  <r>
    <n v="2520947"/>
    <s v="Mehran Khan"/>
    <d v="2026-07-07T00:00:00"/>
    <x v="0"/>
    <s v="FTE"/>
    <s v="Chennai"/>
    <s v="HPC26DN005"/>
    <s v="Viveka Preethi"/>
    <d v="2026-10-01T00:00:00"/>
    <x v="3"/>
    <s v="In-Training"/>
    <x v="0"/>
    <x v="0"/>
    <s v="SRI VENKATESHWARA LUXURY PG FOR GENTS"/>
    <x v="0"/>
    <x v="0"/>
    <x v="2"/>
    <x v="0"/>
    <x v="0"/>
  </r>
  <r>
    <n v="2511311"/>
    <s v="Sai Machetti"/>
    <d v="2026-05-21T00:00:00"/>
    <x v="0"/>
    <s v="FTE"/>
    <s v="Chennai"/>
    <s v="CIS26MCPT010"/>
    <s v="Mohamed Harish"/>
    <d v="2026-09-15T00:00:00"/>
    <x v="2"/>
    <s v="In-Training"/>
    <x v="0"/>
    <x v="0"/>
    <s v="Vishas PG - sipocot entrance "/>
    <x v="0"/>
    <x v="0"/>
    <x v="3"/>
    <x v="0"/>
    <x v="0"/>
  </r>
  <r>
    <n v="2512362"/>
    <s v="Yuva Naveen Sai Ratnakar Veeramalla"/>
    <d v="2026-05-28T00:00:00"/>
    <x v="0"/>
    <s v="FTE"/>
    <s v="Chennai"/>
    <s v="CIS26MCPT011"/>
    <s v="Uma Venkatachalam"/>
    <d v="2026-09-17T00:00:00"/>
    <x v="2"/>
    <s v="In-Training"/>
    <x v="0"/>
    <x v="0"/>
    <s v="SRI LAKSHMI NARAYANA GENTS PG, NAVALUR"/>
    <x v="0"/>
    <x v="0"/>
    <x v="2"/>
    <x v="0"/>
    <x v="0"/>
  </r>
  <r>
    <n v="2524637"/>
    <s v="Debatri Pal"/>
    <d v="2026-07-21T00:00:00"/>
    <x v="1"/>
    <s v="FTE"/>
    <s v="Chennai"/>
    <s v="ADM26MF012"/>
    <s v="Lourdhu Selvin Raj X"/>
    <d v="2026-11-17T00:00:00"/>
    <x v="0"/>
    <s v="In-Training"/>
    <x v="0"/>
    <x v="0"/>
    <s v="Ambika Nest Womens Hostel"/>
    <x v="0"/>
    <x v="0"/>
    <x v="3"/>
    <x v="0"/>
    <x v="0"/>
  </r>
  <r>
    <n v="2529701"/>
    <s v="Simma Jyotsna"/>
    <d v="2026-08-11T00:00:00"/>
    <x v="1"/>
    <s v="FTE"/>
    <s v="Chennai"/>
    <s v="CIS26AZ001"/>
    <s v="Ashiya Begam S"/>
    <d v="2026-11-09T00:00:00"/>
    <x v="0"/>
    <s v="In-Training"/>
    <x v="0"/>
    <x v="0"/>
    <s v="SRS luxury ladies PG, Egattur"/>
    <x v="0"/>
    <x v="0"/>
    <x v="0"/>
    <x v="0"/>
    <x v="0"/>
  </r>
  <r>
    <n v="2520930"/>
    <s v="Manoj S"/>
    <d v="2026-07-07T00:00:00"/>
    <x v="0"/>
    <s v="FTE"/>
    <s v="Chennai"/>
    <s v="CIS26UNIX004"/>
    <s v="Haritha P"/>
    <d v="2026-09-24T00:00:00"/>
    <x v="2"/>
    <s v="In-Training"/>
    <x v="0"/>
    <x v="0"/>
    <s v="Sky Garden villa Srinivasa Nagar"/>
    <x v="0"/>
    <x v="0"/>
    <x v="5"/>
    <x v="2"/>
    <x v="2"/>
  </r>
  <r>
    <n v="2524487"/>
    <s v="Ayush Kushwaha"/>
    <d v="2026-07-21T00:00:00"/>
    <x v="0"/>
    <s v="FTE"/>
    <s v="Chennai"/>
    <s v="ADM26MF012"/>
    <s v="Lourdhu Selvin Raj X"/>
    <d v="2026-11-17T00:00:00"/>
    <x v="0"/>
    <s v="In-Training"/>
    <x v="0"/>
    <x v="0"/>
    <s v="SRI venkateswara deluxe gents pg"/>
    <x v="0"/>
    <x v="0"/>
    <x v="3"/>
    <x v="0"/>
    <x v="0"/>
  </r>
  <r>
    <n v="2521307"/>
    <s v="Pranav A S"/>
    <d v="2026-07-07T00:00:00"/>
    <x v="0"/>
    <s v="FTE"/>
    <s v="Chennai"/>
    <s v="HPC26DN005"/>
    <s v="Viveka Preethi"/>
    <d v="2026-10-01T00:00:00"/>
    <x v="3"/>
    <s v="In-Training"/>
    <x v="0"/>
    <x v="0"/>
    <s v="CHAKRA GENTS PG BRANCH 1"/>
    <x v="1"/>
    <x v="0"/>
    <x v="0"/>
    <x v="0"/>
    <x v="0"/>
  </r>
  <r>
    <n v="2521740"/>
    <s v="Sarumathi N"/>
    <d v="2026-07-09T00:00:00"/>
    <x v="1"/>
    <s v="FTE"/>
    <s v="Chennai"/>
    <s v="QEA26NFTPA001"/>
    <s v="Lourdhu Selvin Raj X"/>
    <d v="2026-11-11T00:00:00"/>
    <x v="0"/>
    <s v="In-Training"/>
    <x v="0"/>
    <x v="0"/>
    <s v="MSR Luxury PG for LADIES-  Branch II , Egattur"/>
    <x v="1"/>
    <x v="0"/>
    <x v="0"/>
    <x v="0"/>
    <x v="0"/>
  </r>
  <r>
    <n v="2512336"/>
    <s v="Balu Battu"/>
    <d v="2026-05-28T00:00:00"/>
    <x v="0"/>
    <s v="FTE"/>
    <s v="Chennai"/>
    <s v="CIS26MCPT011"/>
    <s v="Uma Venkatachalam"/>
    <d v="2026-09-17T00:00:00"/>
    <x v="2"/>
    <s v="In-Training"/>
    <x v="0"/>
    <x v="0"/>
    <s v="Annapurna gents pg. - Egattur"/>
    <x v="1"/>
    <x v="0"/>
    <x v="0"/>
    <x v="0"/>
    <x v="0"/>
  </r>
  <r>
    <n v="2521259"/>
    <s v="Navya Sree Madineni"/>
    <d v="2026-07-07T00:00:00"/>
    <x v="1"/>
    <s v="FTE"/>
    <s v="Chennai"/>
    <s v="SNBG26SN002"/>
    <s v="Lawrance M"/>
    <d v="2026-10-08T00:00:00"/>
    <x v="3"/>
    <s v="In-Training"/>
    <x v="0"/>
    <x v="0"/>
    <s v="Sri Sai Balaji Ladies PG"/>
    <x v="1"/>
    <x v="0"/>
    <x v="2"/>
    <x v="0"/>
    <x v="0"/>
  </r>
  <r>
    <n v="2521664"/>
    <s v="Shaik Usman"/>
    <d v="2026-07-09T00:00:00"/>
    <x v="0"/>
    <s v="FTE"/>
    <s v="Chennai"/>
    <s v="ADM26MF010"/>
    <s v="Thomas Naveen. J"/>
    <d v="2026-11-02T00:00:00"/>
    <x v="0"/>
    <s v="In-Training"/>
    <x v="0"/>
    <x v="0"/>
    <s v="KSR GENTS PG  Egattur, Siruseri"/>
    <x v="1"/>
    <x v="0"/>
    <x v="3"/>
    <x v="0"/>
    <x v="0"/>
  </r>
  <r>
    <n v="2526591"/>
    <s v="Rupesh Kailas Deshmukh"/>
    <d v="2026-07-30T00:00:00"/>
    <x v="0"/>
    <s v="FTE"/>
    <s v="Chennai"/>
    <s v="QEA26JP002"/>
    <s v="Ajiesya D P"/>
    <s v=""/>
    <x v="1"/>
    <s v="Training - ON Hold"/>
    <x v="0"/>
    <x v="0"/>
    <s v="NKS MENS PG, Egattur"/>
    <x v="1"/>
    <x v="0"/>
    <x v="0"/>
    <x v="0"/>
    <x v="0"/>
  </r>
  <r>
    <n v="2532920"/>
    <s v="Shreayaa LNU"/>
    <d v="2026-08-25T00:00:00"/>
    <x v="1"/>
    <s v="FTE"/>
    <s v="Chennai"/>
    <s v="IOT26CSJ002"/>
    <s v="Pavithra Kandasamy"/>
    <d v="2026-11-11T00:00:00"/>
    <x v="0"/>
    <s v="In-Training"/>
    <x v="0"/>
    <x v="0"/>
    <s v="MSR Luxury PG for Ladies, BRANCH 3, EGATTUR"/>
    <x v="1"/>
    <x v="1"/>
    <x v="3"/>
    <x v="0"/>
    <x v="0"/>
  </r>
  <r>
    <n v="2521197"/>
    <s v="Narayan Nayak"/>
    <d v="2026-07-07T00:00:00"/>
    <x v="0"/>
    <s v="FTE"/>
    <s v="Chennai"/>
    <s v="HPC26DN005"/>
    <s v="Viveka Preethi"/>
    <d v="2026-10-01T00:00:00"/>
    <x v="3"/>
    <s v="In-Training"/>
    <x v="0"/>
    <x v="0"/>
    <s v="NKS MENS PG , CITY PARK LAYOUT , 78A, THIRD CROSS ROAD NEAR SIRUSERI IT SIPCOT , EGATTUR"/>
    <x v="1"/>
    <x v="0"/>
    <x v="3"/>
    <x v="0"/>
    <x v="0"/>
  </r>
  <r>
    <n v="2521693"/>
    <s v="Thummuri Bhagya Rajasri"/>
    <d v="2026-07-09T00:00:00"/>
    <x v="1"/>
    <s v="FTE"/>
    <s v="Chennai"/>
    <s v="QEA26QEPT023"/>
    <s v="Sweta Thoppil"/>
    <d v="2026-10-19T00:00:00"/>
    <x v="3"/>
    <s v="In-Training"/>
    <x v="0"/>
    <x v="0"/>
    <s v="Sai Grands Womens PG Hostel-Branch 3, Egattur"/>
    <x v="1"/>
    <x v="1"/>
    <x v="3"/>
    <x v="0"/>
    <x v="0"/>
  </r>
  <r>
    <n v="2524535"/>
    <s v="Shashank Suman"/>
    <d v="2026-07-21T00:00:00"/>
    <x v="0"/>
    <s v="FTE"/>
    <s v="Chennai"/>
    <s v="ADM26MF012"/>
    <s v="Lourdhu Selvin Raj X"/>
    <d v="2026-11-17T00:00:00"/>
    <x v="0"/>
    <s v="In-Training"/>
    <x v="0"/>
    <x v="0"/>
    <s v="Geethika Grand Gents PG"/>
    <x v="1"/>
    <x v="0"/>
    <x v="3"/>
    <x v="0"/>
    <x v="0"/>
  </r>
  <r>
    <n v="2531415"/>
    <s v="Prahana GV"/>
    <d v="2026-08-18T00:00:00"/>
    <x v="1"/>
    <s v="FTE"/>
    <s v="Chennai"/>
    <s v="EPS26SAP036"/>
    <s v="Vishnupriya Dakshnamurthy"/>
    <d v="2026-11-09T00:00:00"/>
    <x v="0"/>
    <s v="In-Training"/>
    <x v="0"/>
    <x v="0"/>
    <s v="SS Bharath stay "/>
    <x v="1"/>
    <x v="1"/>
    <x v="17"/>
    <x v="4"/>
    <x v="0"/>
  </r>
  <r>
    <n v="2531855"/>
    <s v="Adithya N"/>
    <d v="2026-08-20T00:00:00"/>
    <x v="0"/>
    <s v="FTE"/>
    <s v="Chennai"/>
    <s v="CS26CS012"/>
    <s v="Laksiya Vijayendran"/>
    <d v="2026-11-17T00:00:00"/>
    <x v="0"/>
    <s v="In-Training"/>
    <x v="0"/>
    <x v="0"/>
    <s v="siva sai gents pg, siruseri"/>
    <x v="1"/>
    <x v="0"/>
    <x v="3"/>
    <x v="0"/>
    <x v="0"/>
  </r>
  <r>
    <n v="2533031"/>
    <s v="Keesara Sreya"/>
    <d v="2026-08-25T00:00:00"/>
    <x v="1"/>
    <s v="FTE"/>
    <s v="Chennai"/>
    <s v="ADM27DFSA001"/>
    <s v="Thomas Naveen. J"/>
    <d v="2026-12-30T00:00:00"/>
    <x v="1"/>
    <s v="In-Training"/>
    <x v="0"/>
    <x v="0"/>
    <s v="Sri Lakshmi Srinivasa Ladies PG"/>
    <x v="1"/>
    <x v="0"/>
    <x v="0"/>
    <x v="0"/>
    <x v="0"/>
  </r>
  <r>
    <n v="2533142"/>
    <s v="Sam Smith Lordson R"/>
    <d v="2026-08-25T00:00:00"/>
    <x v="0"/>
    <s v="FTE"/>
    <s v="Chennai"/>
    <s v="CIS26MBG003"/>
    <s v="Kishorekumar P"/>
    <d v="2026-12-11T00:00:00"/>
    <x v="1"/>
    <s v="In-Training"/>
    <x v="0"/>
    <x v="0"/>
    <s v="SVRR Deluxe Gents PG"/>
    <x v="1"/>
    <x v="0"/>
    <x v="2"/>
    <x v="0"/>
    <x v="0"/>
  </r>
  <r>
    <n v="2511254"/>
    <s v="Aditya Kshirasagar"/>
    <d v="2026-05-21T00:00:00"/>
    <x v="0"/>
    <s v="FTE"/>
    <s v="Chennai"/>
    <s v="CIS26MCPT010"/>
    <s v="Mohamed Harish"/>
    <d v="2026-09-10T00:00:00"/>
    <x v="2"/>
    <s v="In-Training"/>
    <x v="0"/>
    <x v="0"/>
    <s v="UniQ Mens PG, Navalur."/>
    <x v="1"/>
    <x v="1"/>
    <x v="2"/>
    <x v="0"/>
    <x v="0"/>
  </r>
  <r>
    <n v="2511258"/>
    <s v="Kottamasu Sai Lakshmi Gowthami"/>
    <d v="2026-05-21T00:00:00"/>
    <x v="1"/>
    <s v="FTE"/>
    <s v="Chennai"/>
    <s v="CIS26MCPT010"/>
    <s v="Mohamed Harish"/>
    <d v="2026-09-10T00:00:00"/>
    <x v="2"/>
    <s v="In-Training"/>
    <x v="0"/>
    <x v="0"/>
    <s v="Sri sai balaji ladies pg"/>
    <x v="1"/>
    <x v="0"/>
    <x v="2"/>
    <x v="0"/>
    <x v="0"/>
  </r>
  <r>
    <n v="2512337"/>
    <s v="Aditya Sah"/>
    <d v="2026-05-28T00:00:00"/>
    <x v="0"/>
    <s v="FTE"/>
    <s v="Chennai"/>
    <s v="CIS26MCPT012"/>
    <s v="Uma Venkatachalam"/>
    <d v="2026-09-17T00:00:00"/>
    <x v="2"/>
    <s v="In-Training"/>
    <x v="0"/>
    <x v="0"/>
    <s v="Stay @ease Siruseri sipcot"/>
    <x v="1"/>
    <x v="1"/>
    <x v="3"/>
    <x v="0"/>
    <x v="0"/>
  </r>
  <r>
    <n v="2516798"/>
    <s v="Mani Shankar Swaraj"/>
    <d v="2026-06-18T00:00:00"/>
    <x v="0"/>
    <s v="FTE"/>
    <s v="Chennai"/>
    <s v="CIS26NET003"/>
    <s v="Uma Venkatachalam"/>
    <d v="2026-09-04T00:00:00"/>
    <x v="2"/>
    <s v="In-Training-Remedial"/>
    <x v="1"/>
    <x v="2"/>
    <s v="TVH Ouranyabay "/>
    <x v="1"/>
    <x v="0"/>
    <x v="3"/>
    <x v="0"/>
    <x v="1"/>
  </r>
  <r>
    <n v="2520950"/>
    <s v="Vadde Indusree"/>
    <d v="2026-07-07T00:00:00"/>
    <x v="1"/>
    <s v="FTE"/>
    <s v="Chennai"/>
    <s v="HPC26DN005"/>
    <s v="Viveka Preethi"/>
    <d v="2026-10-01T00:00:00"/>
    <x v="3"/>
    <s v="In-Training"/>
    <x v="0"/>
    <x v="0"/>
    <s v="Shree Lakshmi venkateshwara Ladies PG, Egattur"/>
    <x v="1"/>
    <x v="0"/>
    <x v="0"/>
    <x v="0"/>
    <x v="0"/>
  </r>
  <r>
    <n v="2522863"/>
    <s v="Afeefa Begum M"/>
    <d v="2026-07-14T00:00:00"/>
    <x v="1"/>
    <s v="FTE"/>
    <s v="Chennai"/>
    <s v="CIS26MCPT017"/>
    <s v="Haritha P"/>
    <d v="2026-11-09T00:00:00"/>
    <x v="0"/>
    <s v="In-Training"/>
    <x v="0"/>
    <x v="0"/>
    <s v="MSR-3 Branch"/>
    <x v="1"/>
    <x v="1"/>
    <x v="3"/>
    <x v="0"/>
    <x v="0"/>
  </r>
  <r>
    <n v="2524526"/>
    <s v="Mohd Jeeshan"/>
    <d v="2026-07-21T00:00:00"/>
    <x v="0"/>
    <s v="FTE"/>
    <s v="Chennai"/>
    <s v="IOA26RPA005"/>
    <s v="Adarsh J Nair"/>
    <d v="2026-10-14T00:00:00"/>
    <x v="3"/>
    <s v="In-Training"/>
    <x v="1"/>
    <x v="2"/>
    <s v="zolo cyan ,paddur"/>
    <x v="1"/>
    <x v="0"/>
    <x v="3"/>
    <x v="0"/>
    <x v="1"/>
  </r>
  <r>
    <n v="2529580"/>
    <s v="Nikhil Singh"/>
    <d v="2026-08-11T00:00:00"/>
    <x v="0"/>
    <s v="FTE"/>
    <s v="Chennai"/>
    <s v="CIS26MCPT023"/>
    <s v="Kishorekumar P"/>
    <d v="2026-12-03T00:00:00"/>
    <x v="1"/>
    <s v="In-Training"/>
    <x v="0"/>
    <x v="0"/>
    <s v="No. 37, Thiruvalluvar Salai, Vaniyanchavadi, Kazhipattur / Siruseri, Chennai - 603103, opposite to Padma Adharsh School"/>
    <x v="1"/>
    <x v="0"/>
    <x v="3"/>
    <x v="0"/>
    <x v="0"/>
  </r>
  <r>
    <n v="2529696"/>
    <s v="Thonduru Sai Sree"/>
    <d v="2026-08-11T00:00:00"/>
    <x v="1"/>
    <s v="FTE"/>
    <s v="Chennai"/>
    <s v="CIS26AZ001"/>
    <s v="Ashiya Begam S"/>
    <d v="2026-11-09T00:00:00"/>
    <x v="0"/>
    <s v="In-Training"/>
    <x v="0"/>
    <x v="0"/>
    <s v="Annapurna ladies pg opposite to marina mall"/>
    <x v="1"/>
    <x v="0"/>
    <x v="0"/>
    <x v="0"/>
    <x v="0"/>
  </r>
  <r>
    <n v="2530201"/>
    <s v="Krithika Vivekanandan"/>
    <d v="2026-08-13T00:00:00"/>
    <x v="1"/>
    <s v="FTE"/>
    <s v="Chennai"/>
    <s v="EPS26OSP010"/>
    <s v="Vishnupriya Dakshnamurthy"/>
    <d v="2026-12-01T00:00:00"/>
    <x v="1"/>
    <s v="In-Training"/>
    <x v="0"/>
    <x v="0"/>
    <s v="AURA NEST PG FOR LADIES 86 3rd Cross Street, SIRUSERI, Chennai, Tamil Nadu 600047"/>
    <x v="1"/>
    <x v="1"/>
    <x v="3"/>
    <x v="0"/>
    <x v="0"/>
  </r>
  <r>
    <n v="2531809"/>
    <s v="Mohammed Moinuddin"/>
    <d v="2026-08-20T00:00:00"/>
    <x v="0"/>
    <s v="Intern"/>
    <s v="Chennai"/>
    <s v="INTFE26FE001"/>
    <s v="Grace Esther S"/>
    <d v="2026-10-15T00:00:00"/>
    <x v="3"/>
    <s v="In-Training"/>
    <x v="0"/>
    <x v="0"/>
    <s v="jaya stays mens pg "/>
    <x v="1"/>
    <x v="0"/>
    <x v="2"/>
    <x v="0"/>
    <x v="0"/>
  </r>
  <r>
    <n v="2524574"/>
    <s v="Edem Deepak"/>
    <d v="2026-07-21T00:00:00"/>
    <x v="0"/>
    <s v="FTE"/>
    <s v="Chennai"/>
    <s v="ADM26DFSA007"/>
    <s v="Sweta Thoppil"/>
    <d v="2026-11-10T00:00:00"/>
    <x v="0"/>
    <s v="In-Training"/>
    <x v="0"/>
    <x v="0"/>
    <s v="KMR GENTS PG,NAVALUR"/>
    <x v="1"/>
    <x v="0"/>
    <x v="2"/>
    <x v="0"/>
    <x v="0"/>
  </r>
  <r>
    <n v="2530192"/>
    <s v="Ujjwal Mishra"/>
    <d v="2026-08-13T00:00:00"/>
    <x v="0"/>
    <s v="FTE"/>
    <s v="Chennai"/>
    <s v="EPS26OSP010"/>
    <s v="Vishnupriya Dakshnamurthy"/>
    <d v="2026-12-01T00:00:00"/>
    <x v="1"/>
    <s v="In-Training"/>
    <x v="0"/>
    <x v="0"/>
    <s v="sri venkatasa sai hanuman mens pg"/>
    <x v="1"/>
    <x v="0"/>
    <x v="0"/>
    <x v="0"/>
    <x v="0"/>
  </r>
  <r>
    <n v="2525010"/>
    <s v="Kiran D R"/>
    <d v="2026-07-23T00:00:00"/>
    <x v="0"/>
    <s v="FTE"/>
    <s v="Chennai"/>
    <s v="ADM26ISMO010"/>
    <s v="Thomas Naveen. J"/>
    <d v="2026-10-06T00:00:00"/>
    <x v="3"/>
    <s v="In-Training"/>
    <x v="0"/>
    <x v="0"/>
    <s v="Soma mens pg "/>
    <x v="1"/>
    <x v="0"/>
    <x v="3"/>
    <x v="0"/>
    <x v="0"/>
  </r>
  <r>
    <n v="2521647"/>
    <s v="Bhakti Bhiwaji Suryawanshi"/>
    <d v="2026-07-09T00:00:00"/>
    <x v="1"/>
    <s v="FTE"/>
    <s v="Chennai"/>
    <s v="AIA26DSAT004"/>
    <s v="Pavithra Kandasamy"/>
    <d v="2026-10-09T00:00:00"/>
    <x v="3"/>
    <s v="In-Training"/>
    <x v="0"/>
    <x v="0"/>
    <s v="Sai Krupa Accomundation Amberdkar Street"/>
    <x v="1"/>
    <x v="0"/>
    <x v="2"/>
    <x v="0"/>
    <x v="0"/>
  </r>
  <r>
    <n v="2525066"/>
    <s v="Dulam Jaya Surya"/>
    <d v="2026-07-23T00:00:00"/>
    <x v="0"/>
    <s v="FTE"/>
    <s v="Chennai"/>
    <s v="ADM26ISMO010"/>
    <s v="Thomas Naveen. J"/>
    <d v="2026-10-06T00:00:00"/>
    <x v="3"/>
    <s v="In-Training"/>
    <x v="0"/>
    <x v="0"/>
    <s v="Gtr stays gents Pg"/>
    <x v="1"/>
    <x v="0"/>
    <x v="3"/>
    <x v="0"/>
    <x v="0"/>
  </r>
  <r>
    <n v="2511317"/>
    <s v="Hepsiba P"/>
    <d v="2026-05-21T00:00:00"/>
    <x v="1"/>
    <s v="FTE"/>
    <s v="Chennai"/>
    <s v="CIS26MCPT010"/>
    <s v="Mohamed Harish"/>
    <d v="2026-09-15T00:00:00"/>
    <x v="2"/>
    <s v="In-Training"/>
    <x v="0"/>
    <x v="0"/>
    <s v="Manideep ladies Pg - Navalur"/>
    <x v="1"/>
    <x v="0"/>
    <x v="2"/>
    <x v="0"/>
    <x v="0"/>
  </r>
  <r>
    <n v="2512345"/>
    <s v="Abilash C"/>
    <d v="2026-05-28T00:00:00"/>
    <x v="0"/>
    <s v="FTE"/>
    <s v="Chennai"/>
    <s v="CIS26MCPT012"/>
    <s v="Uma Venkatachalam"/>
    <d v="2026-09-17T00:00:00"/>
    <x v="2"/>
    <s v="In-Training"/>
    <x v="0"/>
    <x v="0"/>
    <s v="Vishvas Professional Stays Mens PG"/>
    <x v="1"/>
    <x v="0"/>
    <x v="3"/>
    <x v="0"/>
    <x v="0"/>
  </r>
  <r>
    <n v="2529542"/>
    <s v="Madhyanapu Anand Sri Satya Sai"/>
    <d v="2026-08-11T00:00:00"/>
    <x v="0"/>
    <s v="FTE"/>
    <s v="Chennai"/>
    <s v="CIS26MCPT023"/>
    <s v="Kishorekumar P"/>
    <d v="2026-12-03T00:00:00"/>
    <x v="1"/>
    <s v="In-Training"/>
    <x v="0"/>
    <x v="0"/>
    <s v="SRI THARUN PG FOR GENTS, NAVALUR"/>
    <x v="1"/>
    <x v="0"/>
    <x v="2"/>
    <x v="0"/>
    <x v="0"/>
  </r>
  <r>
    <n v="2529569"/>
    <s v="Pratik Satish Warad"/>
    <d v="2026-08-11T00:00:00"/>
    <x v="0"/>
    <s v="FTE"/>
    <s v="Chennai"/>
    <s v="CIS26MCPT022"/>
    <s v="Laksiya Vijayendran"/>
    <d v="2026-12-03T00:00:00"/>
    <x v="1"/>
    <s v="In-Training"/>
    <x v="0"/>
    <x v="0"/>
    <s v="Sri Sarvana Mens Hostel , Mens Pg in Egattur "/>
    <x v="1"/>
    <x v="0"/>
    <x v="0"/>
    <x v="0"/>
    <x v="0"/>
  </r>
  <r>
    <n v="2529629"/>
    <s v="Harsudan S"/>
    <d v="2026-08-11T00:00:00"/>
    <x v="0"/>
    <s v="FTE"/>
    <s v="Chennai"/>
    <s v="CIS26MCPT021"/>
    <s v="Uma Venkatachalam"/>
    <d v="2026-12-08T00:00:00"/>
    <x v="1"/>
    <s v="In-Training"/>
    <x v="1"/>
    <x v="1"/>
    <s v="nill"/>
    <x v="1"/>
    <x v="1"/>
    <x v="27"/>
    <x v="1"/>
    <x v="1"/>
  </r>
  <r>
    <n v="2529702"/>
    <s v="M N K Shankar Dasari"/>
    <d v="2026-08-11T00:00:00"/>
    <x v="0"/>
    <s v="FTE"/>
    <s v="Chennai"/>
    <s v="EPS26SAP033"/>
    <s v="Ajith Ganesan"/>
    <d v="2026-11-04T00:00:00"/>
    <x v="0"/>
    <s v="In-Training"/>
    <x v="0"/>
    <x v="0"/>
    <s v="GEETHIKA PREMIUM GENTS PG"/>
    <x v="1"/>
    <x v="0"/>
    <x v="0"/>
    <x v="0"/>
    <x v="0"/>
  </r>
  <r>
    <n v="2531863"/>
    <s v="Lakshmiprabha Kamaraj"/>
    <d v="2026-08-20T00:00:00"/>
    <x v="1"/>
    <s v="FTE"/>
    <s v="Chennai"/>
    <s v="CS26CS012"/>
    <s v="Laksiya Vijayendran"/>
    <d v="2026-11-17T00:00:00"/>
    <x v="0"/>
    <s v="In-Training"/>
    <x v="0"/>
    <x v="0"/>
    <s v="R &amp; R Ladies PG and Hostel (L1 Branch), Egattur"/>
    <x v="1"/>
    <x v="0"/>
    <x v="3"/>
    <x v="0"/>
    <x v="0"/>
  </r>
  <r>
    <n v="2522824"/>
    <s v="JAYAWARDHINI  Vadivelu"/>
    <d v="2026-07-14T00:00:00"/>
    <x v="1"/>
    <s v="FTE"/>
    <s v="Chennai"/>
    <s v="QEA26ST001"/>
    <s v="Angel Maria Faustina Gomez"/>
    <d v="2026-10-15T00:00:00"/>
    <x v="3"/>
    <s v="In-Training"/>
    <x v="0"/>
    <x v="0"/>
    <s v="MSR LADIES LUXURY PG BRANCH 3 EGATTUR"/>
    <x v="1"/>
    <x v="0"/>
    <x v="0"/>
    <x v="0"/>
    <x v="0"/>
  </r>
  <r>
    <n v="2521680"/>
    <s v="Subrahmanya Seeta Ramaraju Sagiraju"/>
    <d v="2026-07-09T00:00:00"/>
    <x v="0"/>
    <s v="FTE"/>
    <s v="Chennai"/>
    <s v="QEA26QEPT023"/>
    <s v="Sweta Thoppil"/>
    <d v="2026-10-19T00:00:00"/>
    <x v="3"/>
    <s v="In-Training"/>
    <x v="0"/>
    <x v="0"/>
    <s v="APS Mens Hostel, Egattur"/>
    <x v="1"/>
    <x v="0"/>
    <x v="0"/>
    <x v="0"/>
    <x v="0"/>
  </r>
  <r>
    <n v="2523426"/>
    <s v="Reddipalli Varun Kumar Reddy"/>
    <d v="2026-07-16T00:00:00"/>
    <x v="0"/>
    <s v="FTE"/>
    <s v="Chennai"/>
    <s v="CS26CS009"/>
    <s v="Laksiya Vijayendran"/>
    <d v="2026-10-14T00:00:00"/>
    <x v="3"/>
    <s v="In-Training"/>
    <x v="0"/>
    <x v="0"/>
    <s v="Yashvitha Gents pg, Egattur"/>
    <x v="1"/>
    <x v="0"/>
    <x v="0"/>
    <x v="0"/>
    <x v="0"/>
  </r>
  <r>
    <n v="2532902"/>
    <s v="Santosh Dhurpat Narwad"/>
    <d v="2026-08-25T00:00:00"/>
    <x v="0"/>
    <s v="FTE"/>
    <s v="Chennai"/>
    <s v="CIS26MBG007"/>
    <s v="Lawrance M"/>
    <d v="2026-12-11T00:00:00"/>
    <x v="1"/>
    <s v="In-Training"/>
    <x v="0"/>
    <x v="0"/>
    <s v="Adhi Laxmi Gents PG "/>
    <x v="1"/>
    <x v="0"/>
    <x v="0"/>
    <x v="0"/>
    <x v="0"/>
  </r>
  <r>
    <n v="2512359"/>
    <s v="Thiyagarajan C"/>
    <d v="2026-05-28T00:00:00"/>
    <x v="0"/>
    <s v="FTE"/>
    <s v="Chennai"/>
    <s v="CIS26MCPT012"/>
    <s v="Uma Venkatachalam"/>
    <d v="2026-09-17T00:00:00"/>
    <x v="2"/>
    <s v="In-Training"/>
    <x v="1"/>
    <x v="1"/>
    <s v="NA"/>
    <x v="1"/>
    <x v="1"/>
    <x v="15"/>
    <x v="1"/>
    <x v="1"/>
  </r>
  <r>
    <n v="2530224"/>
    <s v="Rithwik V"/>
    <d v="2026-08-13T00:00:00"/>
    <x v="0"/>
    <s v="FTE"/>
    <s v="Chennai"/>
    <s v="EPS26OSP010"/>
    <s v="Vishnupriya Dakshnamurthy"/>
    <d v="2026-12-01T00:00:00"/>
    <x v="1"/>
    <s v="In-Training"/>
    <x v="0"/>
    <x v="0"/>
    <s v="SS (Siva Sai ) pg, Egattur"/>
    <x v="1"/>
    <x v="0"/>
    <x v="0"/>
    <x v="0"/>
    <x v="0"/>
  </r>
  <r>
    <n v="2512347"/>
    <s v="Shamik Das"/>
    <d v="2026-05-28T00:00:00"/>
    <x v="0"/>
    <s v="FTE"/>
    <s v="Chennai"/>
    <s v="CIS26MCPT012"/>
    <s v="Uma Venkatachalam"/>
    <d v="2026-09-17T00:00:00"/>
    <x v="2"/>
    <s v="In-Training"/>
    <x v="0"/>
    <x v="0"/>
    <s v="Anish Gents pg"/>
    <x v="1"/>
    <x v="0"/>
    <x v="3"/>
    <x v="0"/>
    <x v="0"/>
  </r>
  <r>
    <n v="2524530"/>
    <s v="Tanushree CM"/>
    <d v="2026-07-21T00:00:00"/>
    <x v="1"/>
    <s v="FTE"/>
    <s v="Chennai"/>
    <s v="IOA26RPA005"/>
    <s v="Adarsh J Nair"/>
    <d v="2026-10-14T00:00:00"/>
    <x v="3"/>
    <s v="In-Training"/>
    <x v="0"/>
    <x v="0"/>
    <s v="SRS luxury PG, Branch 6, Egattur"/>
    <x v="1"/>
    <x v="0"/>
    <x v="0"/>
    <x v="0"/>
    <x v="0"/>
  </r>
  <r>
    <n v="2524640"/>
    <s v="Tushar Mukund Salunke"/>
    <d v="2026-07-21T00:00:00"/>
    <x v="0"/>
    <s v="FTE"/>
    <s v="Chennai"/>
    <s v="QEA26QEPT024"/>
    <s v="Ajiesya D P"/>
    <d v="2026-10-30T00:00:00"/>
    <x v="3"/>
    <s v="In-Training"/>
    <x v="0"/>
    <x v="0"/>
    <s v="SS Siva Sai Gents Pg Siruseri Egator"/>
    <x v="1"/>
    <x v="0"/>
    <x v="3"/>
    <x v="0"/>
    <x v="0"/>
  </r>
  <r>
    <n v="2529793"/>
    <s v="Riddhi Rajesh Harne"/>
    <d v="2026-08-11T00:00:00"/>
    <x v="1"/>
    <s v="FTE"/>
    <s v="Chennai"/>
    <s v="CIS26MCPT022"/>
    <s v="Laksiya Vijayendran"/>
    <d v="2026-12-03T00:00:00"/>
    <x v="1"/>
    <s v="In-Training"/>
    <x v="0"/>
    <x v="0"/>
    <s v="Stanza living,Navlur"/>
    <x v="1"/>
    <x v="0"/>
    <x v="2"/>
    <x v="0"/>
    <x v="0"/>
  </r>
  <r>
    <n v="2533011"/>
    <s v="Salam Sandeep"/>
    <d v="2026-08-25T00:00:00"/>
    <x v="0"/>
    <s v="FTE"/>
    <s v="Chennai"/>
    <s v="CIS26MBG007"/>
    <s v="Lawrance M"/>
    <d v="2026-12-11T00:00:00"/>
    <x v="1"/>
    <s v="In-Training"/>
    <x v="0"/>
    <x v="0"/>
    <s v="SIDDUS mens premium pg"/>
    <x v="1"/>
    <x v="0"/>
    <x v="3"/>
    <x v="0"/>
    <x v="0"/>
  </r>
  <r>
    <n v="2533589"/>
    <s v="Saragadam Greeshmanth"/>
    <d v="2026-08-27T00:00:00"/>
    <x v="0"/>
    <s v="FTE"/>
    <s v="Chennai"/>
    <s v="EPS26SAP038"/>
    <s v="Ajith Ganesan"/>
    <d v="2026-10-27T00:00:00"/>
    <x v="3"/>
    <s v="In-Training"/>
    <x v="0"/>
    <x v="0"/>
    <s v="stay@ease"/>
    <x v="1"/>
    <x v="0"/>
    <x v="3"/>
    <x v="0"/>
    <x v="0"/>
  </r>
  <r>
    <n v="2524649"/>
    <s v="Pradnya Dnyaneshwar More"/>
    <d v="2026-07-21T00:00:00"/>
    <x v="1"/>
    <s v="FTE"/>
    <s v="Chennai"/>
    <s v="QEA26QEPT024"/>
    <s v="Ajiesya D P"/>
    <d v="2026-10-30T00:00:00"/>
    <x v="3"/>
    <s v="In-Training"/>
    <x v="0"/>
    <x v="0"/>
    <s v="Krishna Nivas girls PGc"/>
    <x v="1"/>
    <x v="0"/>
    <x v="0"/>
    <x v="0"/>
    <x v="0"/>
  </r>
  <r>
    <n v="2533061"/>
    <s v="Ganchi Ravitha"/>
    <d v="2026-08-25T00:00:00"/>
    <x v="1"/>
    <s v="FTE"/>
    <s v="Chennai"/>
    <s v="CIS26SN002"/>
    <s v="Ashiya Begam S"/>
    <d v="2026-12-02T00:00:00"/>
    <x v="1"/>
    <s v="In-Training"/>
    <x v="0"/>
    <x v="0"/>
    <s v="Krishna Nivas Ladies PG - Egattur"/>
    <x v="1"/>
    <x v="0"/>
    <x v="0"/>
    <x v="0"/>
    <x v="0"/>
  </r>
  <r>
    <n v="2519688"/>
    <s v="Akhila R"/>
    <d v="2026-07-02T00:00:00"/>
    <x v="1"/>
    <s v="FTE"/>
    <s v="Chennai"/>
    <s v="CIS26MCPT013"/>
    <s v="Lawrance M"/>
    <d v="2026-10-29T00:00:00"/>
    <x v="3"/>
    <s v="In-Training"/>
    <x v="0"/>
    <x v="4"/>
    <s v="Moksha Ladies hostel, Sipcot "/>
    <x v="1"/>
    <x v="0"/>
    <x v="3"/>
    <x v="0"/>
    <x v="0"/>
  </r>
  <r>
    <n v="2521623"/>
    <s v="Sana Sumera"/>
    <d v="2026-07-09T00:00:00"/>
    <x v="1"/>
    <s v="FTE"/>
    <s v="Chennai"/>
    <s v="QEA26QEPT023"/>
    <s v="Sweta Thoppil"/>
    <d v="2026-10-19T00:00:00"/>
    <x v="3"/>
    <s v="In-Training"/>
    <x v="0"/>
    <x v="4"/>
    <s v=" Aura Nest Pg for Ladies,  86-b, Mamoothiamman Street, City Park, Near Tcs New Building, Third Cross Road, Siruseri, Chennai-603103, Tamil Nadu."/>
    <x v="1"/>
    <x v="0"/>
    <x v="0"/>
    <x v="0"/>
    <x v="0"/>
  </r>
  <r>
    <n v="2524564"/>
    <s v="Aysha Idris M"/>
    <d v="2026-07-21T00:00:00"/>
    <x v="1"/>
    <s v="FTE"/>
    <s v="Chennai"/>
    <s v="QEA26SD001"/>
    <s v="Ajiesya D P"/>
    <d v="2026-11-03T00:00:00"/>
    <x v="0"/>
    <s v="In-Training"/>
    <x v="1"/>
    <x v="1"/>
    <s v="SN Guru Flats, Virugambakkam"/>
    <x v="1"/>
    <x v="1"/>
    <x v="28"/>
    <x v="1"/>
    <x v="1"/>
  </r>
  <r>
    <n v="2511279"/>
    <s v="Sahil Gupta"/>
    <d v="2026-05-21T00:00:00"/>
    <x v="0"/>
    <s v="FTE"/>
    <s v="Chennai"/>
    <s v="CIS26MCPT010"/>
    <s v="Mohamed Harish"/>
    <d v="2026-09-15T00:00:00"/>
    <x v="2"/>
    <s v="In-Training"/>
    <x v="0"/>
    <x v="0"/>
    <s v="Sarvana Gents PG"/>
    <x v="1"/>
    <x v="0"/>
    <x v="3"/>
    <x v="0"/>
    <x v="0"/>
  </r>
  <r>
    <n v="2519587"/>
    <s v="Sahankumar Subhasachandra Pol"/>
    <d v="2026-07-02T00:00:00"/>
    <x v="0"/>
    <s v="FTE"/>
    <s v="Chennai"/>
    <s v="CIS26UNIX004"/>
    <s v="Haritha P"/>
    <d v="2026-09-24T00:00:00"/>
    <x v="2"/>
    <s v="In-Training"/>
    <x v="0"/>
    <x v="0"/>
    <s v="KMR Deluxe PG For Gents, Sambalal ST, Navalur, Chennai, Tamil Nadu 600130"/>
    <x v="1"/>
    <x v="0"/>
    <x v="2"/>
    <x v="0"/>
    <x v="0"/>
  </r>
  <r>
    <n v="2519717"/>
    <s v="Kusumitha Ks"/>
    <d v="2026-07-02T00:00:00"/>
    <x v="1"/>
    <s v="FTE"/>
    <s v="Chennai"/>
    <s v="CIS26UNIX004"/>
    <s v="Haritha P"/>
    <d v="2026-09-24T00:00:00"/>
    <x v="2"/>
    <s v="In-Training"/>
    <x v="0"/>
    <x v="0"/>
    <s v="Vaishnavi ladies pg"/>
    <x v="1"/>
    <x v="0"/>
    <x v="0"/>
    <x v="0"/>
    <x v="0"/>
  </r>
  <r>
    <n v="2520933"/>
    <s v="Srishty Pawar"/>
    <d v="2026-07-07T00:00:00"/>
    <x v="1"/>
    <s v="FTE"/>
    <s v="Chennai"/>
    <s v="HPC26DN005"/>
    <s v="Viveka Preethi"/>
    <d v="2026-10-01T00:00:00"/>
    <x v="3"/>
    <s v="In-Training"/>
    <x v="0"/>
    <x v="0"/>
    <s v="Ardenwood PG, Siruseri"/>
    <x v="1"/>
    <x v="0"/>
    <x v="3"/>
    <x v="0"/>
    <x v="0"/>
  </r>
  <r>
    <n v="2520959"/>
    <s v="Priya M M"/>
    <d v="2026-07-07T00:00:00"/>
    <x v="1"/>
    <s v="FTE"/>
    <s v="Chennai"/>
    <s v="EPS26WD004"/>
    <s v="Ajith Ganesan"/>
    <d v="2026-10-15T00:00:00"/>
    <x v="3"/>
    <s v="In-Training"/>
    <x v="0"/>
    <x v="0"/>
    <s v="New Manikandan pg- Branch 14, Kalipattur"/>
    <x v="1"/>
    <x v="0"/>
    <x v="3"/>
    <x v="0"/>
    <x v="0"/>
  </r>
  <r>
    <n v="2521062"/>
    <s v="Kishore Kumar R"/>
    <d v="2026-07-07T00:00:00"/>
    <x v="0"/>
    <s v="FTE"/>
    <s v="Chennai"/>
    <s v="HPC26DN005"/>
    <s v="Viveka Preethi"/>
    <d v="2026-10-01T00:00:00"/>
    <x v="3"/>
    <s v="In-Training"/>
    <x v="0"/>
    <x v="0"/>
    <s v="Kalyani Gents PG, Navalur"/>
    <x v="1"/>
    <x v="1"/>
    <x v="2"/>
    <x v="0"/>
    <x v="0"/>
  </r>
  <r>
    <n v="2521116"/>
    <s v="Venkata Krishna Sai Akula"/>
    <d v="2026-07-07T00:00:00"/>
    <x v="0"/>
    <s v="FTE"/>
    <s v="Chennai"/>
    <s v="CIS26SN001"/>
    <s v="Ashiya Begam S"/>
    <d v="2026-09-16T00:00:00"/>
    <x v="2"/>
    <s v="In-Training"/>
    <x v="0"/>
    <x v="0"/>
    <s v="Siddu’s Premium Men’s PG SIRUSERI SIPCOT IT"/>
    <x v="1"/>
    <x v="0"/>
    <x v="0"/>
    <x v="0"/>
    <x v="0"/>
  </r>
  <r>
    <n v="2521120"/>
    <s v="Mannem Manobharath"/>
    <d v="2026-07-07T00:00:00"/>
    <x v="0"/>
    <s v="FTE"/>
    <s v="Chennai"/>
    <s v="CIS26SN001"/>
    <s v="Ashiya Begam S"/>
    <d v="2026-09-16T00:00:00"/>
    <x v="2"/>
    <s v="In-Training"/>
    <x v="0"/>
    <x v="0"/>
    <s v="Siddu’s Premium Men’s PG SIRUSERI SIPCOT IT"/>
    <x v="1"/>
    <x v="0"/>
    <x v="0"/>
    <x v="0"/>
    <x v="0"/>
  </r>
  <r>
    <n v="2521125"/>
    <s v="Srihari Rao Bondugulapati"/>
    <d v="2026-07-07T00:00:00"/>
    <x v="0"/>
    <s v="FTE"/>
    <s v="Chennai"/>
    <s v="CIS26SN001"/>
    <s v="Ashiya Begam S"/>
    <d v="2026-09-16T00:00:00"/>
    <x v="2"/>
    <s v="In-Training"/>
    <x v="0"/>
    <x v="0"/>
    <s v="Siddu’s Premium Men’s PG"/>
    <x v="1"/>
    <x v="0"/>
    <x v="0"/>
    <x v="0"/>
    <x v="0"/>
  </r>
  <r>
    <n v="2521140"/>
    <s v="Srivarsha Bhusarapu"/>
    <d v="2026-07-07T00:00:00"/>
    <x v="1"/>
    <s v="FTE"/>
    <s v="Chennai"/>
    <s v="SNBG26SN002"/>
    <s v="Lawrance M"/>
    <d v="2026-10-08T00:00:00"/>
    <x v="3"/>
    <s v="In-Training"/>
    <x v="0"/>
    <x v="0"/>
    <s v="Silver Star Ellite stay luxury girls pg,Egattur"/>
    <x v="1"/>
    <x v="0"/>
    <x v="0"/>
    <x v="0"/>
    <x v="0"/>
  </r>
  <r>
    <n v="2521143"/>
    <s v="Nagireddy Navya"/>
    <d v="2026-07-07T00:00:00"/>
    <x v="1"/>
    <s v="FTE"/>
    <s v="Chennai"/>
    <s v="SNBG26SN002"/>
    <s v="Lawrance M"/>
    <d v="2026-10-08T00:00:00"/>
    <x v="3"/>
    <s v="In-Training"/>
    <x v="0"/>
    <x v="0"/>
    <s v="SVB Luxury Ladies PG, Navalur"/>
    <x v="1"/>
    <x v="0"/>
    <x v="2"/>
    <x v="0"/>
    <x v="0"/>
  </r>
  <r>
    <n v="2521240"/>
    <s v="Bodimalla Sudheer"/>
    <d v="2026-07-07T00:00:00"/>
    <x v="0"/>
    <s v="FTE"/>
    <s v="Chennai"/>
    <s v="EPS26WD004"/>
    <s v="Ajith Ganesan"/>
    <d v="2026-10-15T00:00:00"/>
    <x v="3"/>
    <s v="In-Training"/>
    <x v="0"/>
    <x v="0"/>
    <s v="CNR Gents PG Branch - 1, Egatur"/>
    <x v="1"/>
    <x v="0"/>
    <x v="3"/>
    <x v="0"/>
    <x v="0"/>
  </r>
  <r>
    <n v="2521243"/>
    <s v="Golla Yashoda Mahitha"/>
    <d v="2026-07-07T00:00:00"/>
    <x v="1"/>
    <s v="FTE"/>
    <s v="Chennai"/>
    <s v="SNBG26SN003"/>
    <s v="Lawrance M"/>
    <d v="2026-09-16T00:00:00"/>
    <x v="2"/>
    <s v="In-Training"/>
    <x v="0"/>
    <x v="0"/>
    <s v="No.4/211, Dr. Ambethkar Street, Near Navalur, Sipcot Egattur, Egattur, Chennai-603103, Tamil Nadu"/>
    <x v="1"/>
    <x v="0"/>
    <x v="3"/>
    <x v="0"/>
    <x v="0"/>
  </r>
  <r>
    <n v="2521256"/>
    <s v="Suresh Babu K"/>
    <d v="2026-07-07T00:00:00"/>
    <x v="0"/>
    <s v="FTE"/>
    <s v="Chennai"/>
    <s v="HPC26DN005"/>
    <s v="Viveka Preethi"/>
    <d v="2026-10-01T00:00:00"/>
    <x v="3"/>
    <s v="In-Training"/>
    <x v="0"/>
    <x v="0"/>
    <s v="Chakra Gents PG Branch 1, Egattur"/>
    <x v="1"/>
    <x v="1"/>
    <x v="0"/>
    <x v="0"/>
    <x v="0"/>
  </r>
  <r>
    <n v="2521257"/>
    <s v="Karan Raj T"/>
    <d v="2026-07-07T00:00:00"/>
    <x v="0"/>
    <s v="FTE"/>
    <s v="Chennai"/>
    <s v="HPC26DN005"/>
    <s v="Viveka Preethi"/>
    <d v="2026-10-01T00:00:00"/>
    <x v="3"/>
    <s v="In-Training"/>
    <x v="0"/>
    <x v="0"/>
    <s v="Chakra Gents PG"/>
    <x v="1"/>
    <x v="0"/>
    <x v="0"/>
    <x v="0"/>
    <x v="0"/>
  </r>
  <r>
    <n v="2521262"/>
    <s v="Vinay Kanuka"/>
    <d v="2026-07-07T00:00:00"/>
    <x v="0"/>
    <s v="FTE"/>
    <s v="Chennai"/>
    <s v="CIS26SN001"/>
    <s v="Ashiya Begam S"/>
    <d v="2026-09-16T00:00:00"/>
    <x v="2"/>
    <s v="In-Training"/>
    <x v="0"/>
    <x v="0"/>
    <s v="CNR Gents PG-Branch-1, siruseri"/>
    <x v="1"/>
    <x v="0"/>
    <x v="3"/>
    <x v="0"/>
    <x v="0"/>
  </r>
  <r>
    <n v="2521269"/>
    <s v="Arthi S"/>
    <d v="2026-07-07T00:00:00"/>
    <x v="1"/>
    <s v="FTE"/>
    <s v="Chennai"/>
    <s v="HPC26DN005"/>
    <s v="Viveka Preethi"/>
    <d v="2026-10-01T00:00:00"/>
    <x v="3"/>
    <s v="In-Training"/>
    <x v="0"/>
    <x v="0"/>
    <s v="Sri Ram Sai (SRS) PG - Branch 2, Egattur"/>
    <x v="1"/>
    <x v="0"/>
    <x v="3"/>
    <x v="0"/>
    <x v="0"/>
  </r>
  <r>
    <n v="2521279"/>
    <s v="P Umme Suliem Lubaba"/>
    <d v="2026-07-07T00:00:00"/>
    <x v="1"/>
    <s v="FTE"/>
    <s v="Chennai"/>
    <s v="CIS26SN001"/>
    <s v="Ashiya Begam S"/>
    <d v="2026-09-16T00:00:00"/>
    <x v="2"/>
    <s v="In-Training"/>
    <x v="0"/>
    <x v="0"/>
    <s v="Vaishnavi PG For Ladies"/>
    <x v="1"/>
    <x v="0"/>
    <x v="0"/>
    <x v="0"/>
    <x v="0"/>
  </r>
  <r>
    <n v="2521292"/>
    <s v="Valireddi Priyanka"/>
    <d v="2026-07-07T00:00:00"/>
    <x v="1"/>
    <s v="FTE"/>
    <s v="Chennai"/>
    <s v="SNBG26SN002"/>
    <s v="Lawrance M"/>
    <d v="2026-10-08T00:00:00"/>
    <x v="3"/>
    <s v="In-Training"/>
    <x v="0"/>
    <x v="0"/>
    <s v="SVB LUXURY Ladies PG - Navalur"/>
    <x v="1"/>
    <x v="0"/>
    <x v="2"/>
    <x v="0"/>
    <x v="0"/>
  </r>
  <r>
    <n v="2521295"/>
    <s v="Jeba Nasrath Shaik"/>
    <d v="2026-07-07T00:00:00"/>
    <x v="1"/>
    <s v="FTE"/>
    <s v="Chennai"/>
    <s v="SNBG26SN003"/>
    <s v="Lawrance M"/>
    <d v="2026-09-16T00:00:00"/>
    <x v="2"/>
    <s v="In-Training"/>
    <x v="0"/>
    <x v="0"/>
    <s v="Sri Rama Sai PG for women branch 1 , Ambedkar street , Egattur "/>
    <x v="1"/>
    <x v="0"/>
    <x v="0"/>
    <x v="0"/>
    <x v="0"/>
  </r>
  <r>
    <n v="2521319"/>
    <s v="Delry Davis"/>
    <d v="2026-07-07T00:00:00"/>
    <x v="1"/>
    <s v="FTE"/>
    <s v="Chennai"/>
    <s v="CIS26MCPT013"/>
    <s v="Lawrance M"/>
    <d v="2026-10-29T00:00:00"/>
    <x v="3"/>
    <s v="In-Training"/>
    <x v="0"/>
    <x v="0"/>
    <s v="MSR Luxury PG for Ladies (Branch III),S.No.92/12"/>
    <x v="1"/>
    <x v="0"/>
    <x v="3"/>
    <x v="0"/>
    <x v="0"/>
  </r>
  <r>
    <n v="2521617"/>
    <s v="Riya Kumari"/>
    <d v="2026-07-09T00:00:00"/>
    <x v="1"/>
    <s v="FTE"/>
    <s v="Chennai"/>
    <s v="ADM26MF011"/>
    <s v="Abinaya R"/>
    <d v="2026-11-02T00:00:00"/>
    <x v="0"/>
    <s v="In-Training"/>
    <x v="0"/>
    <x v="0"/>
    <s v="Vaishnavi Elite Pg "/>
    <x v="1"/>
    <x v="0"/>
    <x v="0"/>
    <x v="0"/>
    <x v="0"/>
  </r>
  <r>
    <n v="2521620"/>
    <s v="Kalyan Ramu Rasamsetti"/>
    <d v="2026-07-09T00:00:00"/>
    <x v="0"/>
    <s v="FTE"/>
    <s v="Chennai"/>
    <s v="ADM26DNAT003"/>
    <s v="Athira P"/>
    <d v="2026-10-23T00:00:00"/>
    <x v="3"/>
    <s v="In-Training"/>
    <x v="0"/>
    <x v="0"/>
    <s v="APS MENS PG"/>
    <x v="1"/>
    <x v="1"/>
    <x v="2"/>
    <x v="0"/>
    <x v="0"/>
  </r>
  <r>
    <n v="2521625"/>
    <s v="Yarramaddu Manasa"/>
    <d v="2026-07-09T00:00:00"/>
    <x v="1"/>
    <s v="FTE"/>
    <s v="Chennai"/>
    <s v="QEA26QEPT023"/>
    <s v="Sweta Thoppil"/>
    <d v="2026-10-19T00:00:00"/>
    <x v="3"/>
    <s v="In-Training"/>
    <x v="0"/>
    <x v="0"/>
    <s v="sai grand womens pg  - Branch 2, Egattur"/>
    <x v="1"/>
    <x v="0"/>
    <x v="0"/>
    <x v="0"/>
    <x v="0"/>
  </r>
  <r>
    <n v="2521645"/>
    <s v="Deepika Rao"/>
    <d v="2026-07-09T00:00:00"/>
    <x v="1"/>
    <s v="FTE"/>
    <s v="Chennai"/>
    <s v="ADM26MF011"/>
    <s v="Abinaya R"/>
    <d v="2026-11-02T00:00:00"/>
    <x v="0"/>
    <s v="In-Training"/>
    <x v="0"/>
    <x v="0"/>
    <s v="Vaishnavi Elite Pg, Egattur"/>
    <x v="1"/>
    <x v="0"/>
    <x v="0"/>
    <x v="0"/>
    <x v="0"/>
  </r>
  <r>
    <n v="2521649"/>
    <s v="Nataraja Kn"/>
    <d v="2026-07-09T00:00:00"/>
    <x v="0"/>
    <s v="FTE"/>
    <s v="Chennai"/>
    <s v="QEA26QEPT023"/>
    <s v="Sweta Thoppil"/>
    <d v="2026-10-19T00:00:00"/>
    <x v="3"/>
    <s v="In-Training"/>
    <x v="0"/>
    <x v="0"/>
    <s v="Stay@Ease Corporate Living Solution"/>
    <x v="1"/>
    <x v="0"/>
    <x v="0"/>
    <x v="0"/>
    <x v="0"/>
  </r>
  <r>
    <n v="2521650"/>
    <s v="Pujitha Ramya Thotakura"/>
    <d v="2026-07-09T00:00:00"/>
    <x v="1"/>
    <s v="FTE"/>
    <s v="Chennai"/>
    <s v="QEA26QEPT023"/>
    <s v="Sweta Thoppil"/>
    <d v="2026-10-19T00:00:00"/>
    <x v="3"/>
    <s v="In-Training"/>
    <x v="0"/>
    <x v="0"/>
    <s v="SRS LUXURY PG FOR WOMAN-Branch 1, Egattur"/>
    <x v="1"/>
    <x v="0"/>
    <x v="3"/>
    <x v="0"/>
    <x v="0"/>
  </r>
  <r>
    <n v="2521675"/>
    <s v="Kashish Kumari"/>
    <d v="2026-07-09T00:00:00"/>
    <x v="1"/>
    <s v="FTE"/>
    <s v="Chennai"/>
    <s v="ADM26MF011"/>
    <s v="Abinaya R"/>
    <d v="2026-11-02T00:00:00"/>
    <x v="0"/>
    <s v="In-Training"/>
    <x v="0"/>
    <x v="0"/>
    <s v="Sri Rama Sai Ladies Hostel-Branch 2, Egattur"/>
    <x v="1"/>
    <x v="0"/>
    <x v="0"/>
    <x v="0"/>
    <x v="0"/>
  </r>
  <r>
    <n v="2521676"/>
    <s v="Rudraprasad Bisoyi"/>
    <d v="2026-07-09T00:00:00"/>
    <x v="0"/>
    <s v="FTE"/>
    <s v="Chennai"/>
    <s v="ADM26MF011"/>
    <s v="Abinaya R"/>
    <d v="2026-11-02T00:00:00"/>
    <x v="0"/>
    <s v="In-Training"/>
    <x v="0"/>
    <x v="0"/>
    <s v="KSR Gents PG, Siruseri"/>
    <x v="1"/>
    <x v="0"/>
    <x v="3"/>
    <x v="0"/>
    <x v="0"/>
  </r>
  <r>
    <n v="2521685"/>
    <s v="Hariprasath S"/>
    <d v="2026-07-09T00:00:00"/>
    <x v="0"/>
    <s v="FTE"/>
    <s v="Chennai"/>
    <s v="ADM26MF010"/>
    <s v="Thomas Naveen. J"/>
    <d v="2026-11-02T00:00:00"/>
    <x v="0"/>
    <s v="In-Training"/>
    <x v="0"/>
    <x v="0"/>
    <s v="VISHWAS PG"/>
    <x v="1"/>
    <x v="1"/>
    <x v="0"/>
    <x v="0"/>
    <x v="0"/>
  </r>
  <r>
    <n v="2521698"/>
    <s v="Ashwin B S"/>
    <d v="2026-07-09T00:00:00"/>
    <x v="0"/>
    <s v="FTE"/>
    <s v="Chennai"/>
    <s v="QEA26QEPT023"/>
    <s v="Sweta Thoppil"/>
    <d v="2026-10-19T00:00:00"/>
    <x v="3"/>
    <s v="In-Training"/>
    <x v="0"/>
    <x v="0"/>
    <s v="SREE VENKATESWARA LUXURY GENTS PG, NAVALUR, CHENNAI"/>
    <x v="1"/>
    <x v="0"/>
    <x v="2"/>
    <x v="0"/>
    <x v="0"/>
  </r>
  <r>
    <n v="2521713"/>
    <s v="Anet Rose Shaju"/>
    <d v="2026-07-09T00:00:00"/>
    <x v="1"/>
    <s v="FTE"/>
    <s v="Chennai"/>
    <s v="ADM26DNAT003"/>
    <s v="Athira P"/>
    <d v="2026-10-23T00:00:00"/>
    <x v="3"/>
    <s v="In-Training"/>
    <x v="0"/>
    <x v="0"/>
    <s v="SRS Ladies PG"/>
    <x v="1"/>
    <x v="0"/>
    <x v="3"/>
    <x v="0"/>
    <x v="0"/>
  </r>
  <r>
    <n v="2521728"/>
    <s v="Sri Ramana Manjarry T"/>
    <d v="2026-07-09T00:00:00"/>
    <x v="1"/>
    <s v="FTE"/>
    <s v="Chennai"/>
    <s v="QEA26NFTPA002"/>
    <s v="Lourdhu Selvin Raj X"/>
    <d v="2026-11-11T00:00:00"/>
    <x v="0"/>
    <s v="In-Training"/>
    <x v="0"/>
    <x v="0"/>
    <s v="MSR LUXURY PG FOR LADIES BRANCH - 2 , Egattur"/>
    <x v="1"/>
    <x v="0"/>
    <x v="0"/>
    <x v="0"/>
    <x v="0"/>
  </r>
  <r>
    <n v="2521731"/>
    <s v="Pooja Shree P"/>
    <d v="2026-07-09T00:00:00"/>
    <x v="1"/>
    <s v="FTE"/>
    <s v="Chennai"/>
    <s v="QEA26NFTPA001"/>
    <s v="Lourdhu Selvin Raj X"/>
    <d v="2026-11-11T00:00:00"/>
    <x v="0"/>
    <s v="In-Training"/>
    <x v="0"/>
    <x v="0"/>
    <s v="Sri Sai Unique Stays For Ladies"/>
    <x v="1"/>
    <x v="1"/>
    <x v="0"/>
    <x v="0"/>
    <x v="0"/>
  </r>
  <r>
    <n v="2521744"/>
    <s v="Gunithi Sowmya"/>
    <d v="2026-07-09T00:00:00"/>
    <x v="1"/>
    <s v="FTE"/>
    <s v="Chennai"/>
    <s v="QEA26SD001"/>
    <s v="Ajiesya D P"/>
    <d v="2026-11-03T00:00:00"/>
    <x v="0"/>
    <s v="In-Training"/>
    <x v="0"/>
    <x v="0"/>
    <s v="Smiles Inn PG Services For Ladies, Egattur"/>
    <x v="1"/>
    <x v="0"/>
    <x v="0"/>
    <x v="0"/>
    <x v="0"/>
  </r>
  <r>
    <n v="2521749"/>
    <s v="Lakshamithra S A B"/>
    <d v="2026-07-09T00:00:00"/>
    <x v="1"/>
    <s v="FTE"/>
    <s v="Chennai"/>
    <s v="QEA26NFTPA001"/>
    <s v="Lourdhu Selvin Raj X"/>
    <d v="2026-11-11T00:00:00"/>
    <x v="0"/>
    <s v="In-Training"/>
    <x v="0"/>
    <x v="0"/>
    <s v="MSR Luxury PG - Branch 2, Egatur"/>
    <x v="1"/>
    <x v="0"/>
    <x v="0"/>
    <x v="0"/>
    <x v="0"/>
  </r>
  <r>
    <n v="2521755"/>
    <s v="Harshita Jangde"/>
    <d v="2026-07-09T00:00:00"/>
    <x v="1"/>
    <s v="FTE"/>
    <s v="Chennai"/>
    <s v="QEA26SD001"/>
    <s v="Ajiesya D P"/>
    <d v="2026-11-03T00:00:00"/>
    <x v="0"/>
    <s v="In-Training"/>
    <x v="0"/>
    <x v="0"/>
    <s v="Ardenwood Co-living, Egattur"/>
    <x v="1"/>
    <x v="1"/>
    <x v="3"/>
    <x v="0"/>
    <x v="0"/>
  </r>
  <r>
    <n v="2521759"/>
    <s v="G Karthik"/>
    <d v="2026-07-09T00:00:00"/>
    <x v="0"/>
    <s v="FTE"/>
    <s v="Chennai"/>
    <s v="QEA26SD001"/>
    <s v="Ajiesya D P"/>
    <d v="2026-11-03T00:00:00"/>
    <x v="0"/>
    <s v="In-Training"/>
    <x v="0"/>
    <x v="0"/>
    <s v="SRI VENKATA SAI HANUMAN GENTS PG (Branch-2)"/>
    <x v="1"/>
    <x v="0"/>
    <x v="3"/>
    <x v="0"/>
    <x v="0"/>
  </r>
  <r>
    <n v="2521784"/>
    <s v="Syed Mohammed Nayyar"/>
    <d v="2026-07-09T00:00:00"/>
    <x v="0"/>
    <s v="FTE"/>
    <s v="Chennai"/>
    <s v="QEA26QEPT023"/>
    <s v="Sweta Thoppil"/>
    <d v="2026-10-19T00:00:00"/>
    <x v="3"/>
    <s v="In-Training"/>
    <x v="0"/>
    <x v="0"/>
    <s v="Stay@Ease Corporate Living Solution Gents PG, Egattur,"/>
    <x v="1"/>
    <x v="0"/>
    <x v="3"/>
    <x v="0"/>
    <x v="0"/>
  </r>
  <r>
    <n v="2521790"/>
    <s v="Naveen N"/>
    <d v="2026-07-09T00:00:00"/>
    <x v="0"/>
    <s v="FTE"/>
    <s v="Chennai"/>
    <s v="ADM26DNAT003"/>
    <s v="Athira P"/>
    <d v="2026-10-23T00:00:00"/>
    <x v="3"/>
    <s v="In-Training"/>
    <x v="0"/>
    <x v="0"/>
    <s v="Stay@Ease Corporate Living Solutions "/>
    <x v="1"/>
    <x v="0"/>
    <x v="3"/>
    <x v="0"/>
    <x v="0"/>
  </r>
  <r>
    <n v="2521793"/>
    <s v="Rapeti Nandini"/>
    <d v="2026-07-09T00:00:00"/>
    <x v="1"/>
    <s v="FTE"/>
    <s v="Chennai"/>
    <s v="ADM26MF010"/>
    <s v="Thomas Naveen. J"/>
    <d v="2026-11-02T00:00:00"/>
    <x v="0"/>
    <s v="In-Training"/>
    <x v="0"/>
    <x v="0"/>
    <s v="Smiles Inn pg services for ladies Branch 2,Egattur"/>
    <x v="1"/>
    <x v="0"/>
    <x v="0"/>
    <x v="0"/>
    <x v="0"/>
  </r>
  <r>
    <n v="2521804"/>
    <s v="Aditya Umesh Patil"/>
    <d v="2026-07-09T00:00:00"/>
    <x v="0"/>
    <s v="FTE"/>
    <s v="Chennai"/>
    <s v="ADM26DNAT003"/>
    <s v="Athira P"/>
    <d v="2026-10-23T00:00:00"/>
    <x v="3"/>
    <s v="In-Training"/>
    <x v="0"/>
    <x v="0"/>
    <s v="SRI LAKSHMI VENKATESWARA GENTS PG, Navalur."/>
    <x v="1"/>
    <x v="0"/>
    <x v="2"/>
    <x v="0"/>
    <x v="0"/>
  </r>
  <r>
    <n v="2521806"/>
    <s v="Kamal Kishore S"/>
    <d v="2026-07-09T00:00:00"/>
    <x v="0"/>
    <s v="FTE"/>
    <s v="Chennai"/>
    <s v="ADM26DNAT003"/>
    <s v="Athira P"/>
    <d v="2026-10-23T00:00:00"/>
    <x v="3"/>
    <s v="In-Training"/>
    <x v="0"/>
    <x v="0"/>
    <s v="Vishvas Professional PG"/>
    <x v="1"/>
    <x v="0"/>
    <x v="3"/>
    <x v="0"/>
    <x v="0"/>
  </r>
  <r>
    <n v="2521813"/>
    <s v="Nakka Divya Tejaswi"/>
    <d v="2026-07-09T00:00:00"/>
    <x v="1"/>
    <s v="FTE"/>
    <s v="Chennai"/>
    <s v="ADM26MF010"/>
    <s v="Thomas Naveen. J"/>
    <d v="2026-11-02T00:00:00"/>
    <x v="0"/>
    <s v="In-Training"/>
    <x v="0"/>
    <x v="0"/>
    <s v="AURA NEST PG FOR LADIES, EGATTUR"/>
    <x v="1"/>
    <x v="0"/>
    <x v="0"/>
    <x v="0"/>
    <x v="0"/>
  </r>
  <r>
    <n v="2521815"/>
    <s v="Sayooj C S"/>
    <d v="2026-07-09T00:00:00"/>
    <x v="0"/>
    <s v="FTE"/>
    <s v="Chennai"/>
    <s v="QEA26QEPT023"/>
    <s v="Sweta Thoppil"/>
    <d v="2026-10-19T00:00:00"/>
    <x v="3"/>
    <s v="In-Training"/>
    <x v="0"/>
    <x v="0"/>
    <s v="Stay@Ease Corporate Living Solution"/>
    <x v="1"/>
    <x v="1"/>
    <x v="0"/>
    <x v="0"/>
    <x v="0"/>
  </r>
  <r>
    <n v="2522797"/>
    <s v="S Adarsh"/>
    <d v="2026-07-14T00:00:00"/>
    <x v="0"/>
    <s v="FTE"/>
    <s v="Chennai"/>
    <s v="CIS26MCPT017"/>
    <s v="Haritha P"/>
    <d v="2026-11-09T00:00:00"/>
    <x v="0"/>
    <s v="In-Training"/>
    <x v="0"/>
    <x v="0"/>
    <s v="Stay@Ease Corporate Living Solution"/>
    <x v="1"/>
    <x v="1"/>
    <x v="8"/>
    <x v="4"/>
    <x v="0"/>
  </r>
  <r>
    <n v="2522810"/>
    <s v="Thachana Moorthy V"/>
    <d v="2026-07-14T00:00:00"/>
    <x v="0"/>
    <s v="FTE"/>
    <s v="Chennai"/>
    <s v="CIS26MCPT017"/>
    <s v="Haritha P"/>
    <d v="2026-11-09T00:00:00"/>
    <x v="0"/>
    <s v="In-Training"/>
    <x v="0"/>
    <x v="0"/>
    <s v="JJ mens pg, Ponniamman kovil, shollinganallur"/>
    <x v="1"/>
    <x v="1"/>
    <x v="8"/>
    <x v="4"/>
    <x v="0"/>
  </r>
  <r>
    <n v="2522828"/>
    <s v="CHURCHILL  L"/>
    <d v="2026-07-14T00:00:00"/>
    <x v="0"/>
    <s v="FTE"/>
    <s v="Chennai"/>
    <s v="QEA26ST001"/>
    <s v="Angel Maria Faustina Gomez"/>
    <d v="2026-10-15T00:00:00"/>
    <x v="3"/>
    <s v="In-Training"/>
    <x v="0"/>
    <x v="0"/>
    <s v="JAYAM PG - NAVALUR BRANCH"/>
    <x v="1"/>
    <x v="1"/>
    <x v="2"/>
    <x v="0"/>
    <x v="0"/>
  </r>
  <r>
    <n v="2522834"/>
    <s v="K  Haresh"/>
    <d v="2026-07-14T00:00:00"/>
    <x v="0"/>
    <s v="FTE"/>
    <s v="Chennai"/>
    <s v="QEA26ST001"/>
    <s v="Angel Maria Faustina Gomez"/>
    <d v="2026-10-15T00:00:00"/>
    <x v="3"/>
    <s v="In-Training"/>
    <x v="0"/>
    <x v="0"/>
    <s v="Jayam Pg navalur branch"/>
    <x v="1"/>
    <x v="1"/>
    <x v="2"/>
    <x v="0"/>
    <x v="0"/>
  </r>
  <r>
    <n v="2522886"/>
    <s v="DONTHI SAMANVITHA Reddy"/>
    <d v="2026-07-14T00:00:00"/>
    <x v="1"/>
    <s v="FTE"/>
    <s v="Chennai"/>
    <s v="QEA26ST001"/>
    <s v="Angel Maria Faustina Gomez"/>
    <d v="2026-10-15T00:00:00"/>
    <x v="3"/>
    <s v="In-Training"/>
    <x v="0"/>
    <x v="0"/>
    <s v="SNS Ladies PG, Egattur"/>
    <x v="1"/>
    <x v="0"/>
    <x v="3"/>
    <x v="0"/>
    <x v="0"/>
  </r>
  <r>
    <n v="2522902"/>
    <s v="PRIYANKA  Pandey"/>
    <d v="2026-07-14T00:00:00"/>
    <x v="1"/>
    <s v="FTE"/>
    <s v="Chennai"/>
    <s v="QEA26ST001"/>
    <s v="Angel Maria Faustina Gomez"/>
    <d v="2026-10-15T00:00:00"/>
    <x v="3"/>
    <s v="In-Training"/>
    <x v="0"/>
    <x v="0"/>
    <s v="MSR Luxury PG for ladies - Branch 3,Egattur"/>
    <x v="1"/>
    <x v="0"/>
    <x v="3"/>
    <x v="0"/>
    <x v="0"/>
  </r>
  <r>
    <n v="2523419"/>
    <s v="Uzma Jabeen Syed Raza Ali"/>
    <d v="2026-07-16T00:00:00"/>
    <x v="1"/>
    <s v="FTE"/>
    <s v="Chennai"/>
    <s v="PG26JFR004"/>
    <s v="Thomas Naveen. J"/>
    <d v="2026-11-16T00:00:00"/>
    <x v="0"/>
    <s v="In-Training"/>
    <x v="0"/>
    <x v="0"/>
    <s v="1/210a, SRS Luxury PG for Ladies Branch 2, Dr. Ambedkar Street, Egattur"/>
    <x v="1"/>
    <x v="0"/>
    <x v="0"/>
    <x v="0"/>
    <x v="0"/>
  </r>
  <r>
    <n v="2524474"/>
    <s v="Saurav Singh"/>
    <d v="2026-07-21T00:00:00"/>
    <x v="0"/>
    <s v="FTE"/>
    <s v="Chennai"/>
    <s v="ADM26MF012"/>
    <s v="Lourdhu Selvin Raj X"/>
    <d v="2026-11-17T00:00:00"/>
    <x v="0"/>
    <s v="In-Training"/>
    <x v="0"/>
    <x v="0"/>
    <s v="Chakra Gent PG"/>
    <x v="1"/>
    <x v="0"/>
    <x v="3"/>
    <x v="0"/>
    <x v="0"/>
  </r>
  <r>
    <n v="2524475"/>
    <s v="Santosh Basappa Tanvashi"/>
    <d v="2026-07-21T00:00:00"/>
    <x v="0"/>
    <s v="FTE"/>
    <s v="Chennai"/>
    <s v="ADM26MF012"/>
    <s v="Lourdhu Selvin Raj X"/>
    <d v="2026-11-17T00:00:00"/>
    <x v="0"/>
    <s v="In-Training"/>
    <x v="0"/>
    <x v="0"/>
    <s v="Vishvas PG &amp; General appartments- Egatttur"/>
    <x v="1"/>
    <x v="0"/>
    <x v="0"/>
    <x v="0"/>
    <x v="0"/>
  </r>
  <r>
    <n v="2524488"/>
    <s v="Sanghamitra Dash"/>
    <d v="2026-07-21T00:00:00"/>
    <x v="1"/>
    <s v="FTE"/>
    <s v="Chennai"/>
    <s v="ADM26MF012"/>
    <s v="Lourdhu Selvin Raj X"/>
    <d v="2026-11-17T00:00:00"/>
    <x v="0"/>
    <s v="In-Training"/>
    <x v="0"/>
    <x v="0"/>
    <s v="SAI GRAND WOMENS PG,4/187, PERIYAR STREET, NEAR SIRUSERI SIPCOT IT PARK, EGATTUR, CHENNAI,600130"/>
    <x v="1"/>
    <x v="1"/>
    <x v="3"/>
    <x v="0"/>
    <x v="0"/>
  </r>
  <r>
    <n v="2524503"/>
    <s v="Kumar Alok Sharma"/>
    <d v="2026-07-21T00:00:00"/>
    <x v="0"/>
    <s v="FTE"/>
    <s v="Chennai"/>
    <s v="ADM26MF012"/>
    <s v="Lourdhu Selvin Raj X"/>
    <d v="2026-11-17T00:00:00"/>
    <x v="0"/>
    <s v="In-Training"/>
    <x v="0"/>
    <x v="0"/>
    <s v="Zolo Mirage"/>
    <x v="1"/>
    <x v="0"/>
    <x v="29"/>
    <x v="0"/>
    <x v="0"/>
  </r>
  <r>
    <n v="2524521"/>
    <s v="Preetham G Acharya"/>
    <d v="2026-07-21T00:00:00"/>
    <x v="0"/>
    <s v="FTE"/>
    <s v="Chennai"/>
    <s v="ADM26MF012"/>
    <s v="Lourdhu Selvin Raj X"/>
    <d v="2026-11-17T00:00:00"/>
    <x v="0"/>
    <s v="In-Training"/>
    <x v="0"/>
    <x v="0"/>
    <s v="Dhanalakshmi pg for Gents,114 , Village High Rd, Sholinganallur, Chennai, Tamil Nadu 600119"/>
    <x v="1"/>
    <x v="1"/>
    <x v="8"/>
    <x v="4"/>
    <x v="0"/>
  </r>
  <r>
    <n v="2524565"/>
    <s v="Damarla Bala Yaswanth"/>
    <d v="2026-07-21T00:00:00"/>
    <x v="0"/>
    <s v="FTE"/>
    <s v="Chennai"/>
    <s v="ADM26DFSA007"/>
    <s v="Sweta Thoppil"/>
    <d v="2026-11-10T00:00:00"/>
    <x v="0"/>
    <s v="In-Training"/>
    <x v="0"/>
    <x v="0"/>
    <s v="Stay@Ease Corporate Living Solution Mens PG,SIPCOT IT Park, 114 Razia House, City Park Layout Siruseri, Sipcot, Kalipattur, Egattur, Tamil Nadu 603103"/>
    <x v="1"/>
    <x v="0"/>
    <x v="0"/>
    <x v="0"/>
    <x v="0"/>
  </r>
  <r>
    <n v="2524589"/>
    <s v="Sijal Satyamev"/>
    <d v="2026-07-21T00:00:00"/>
    <x v="0"/>
    <s v="FTE"/>
    <s v="Chennai"/>
    <s v="ADM26DFSA007"/>
    <s v="Sweta Thoppil"/>
    <d v="2026-11-10T00:00:00"/>
    <x v="0"/>
    <s v="In-Training"/>
    <x v="0"/>
    <x v="0"/>
    <s v="SVD gents PG, SIPCOT IT Park, Egattur"/>
    <x v="1"/>
    <x v="0"/>
    <x v="3"/>
    <x v="0"/>
    <x v="0"/>
  </r>
  <r>
    <n v="2524977"/>
    <s v="Hemanth Sri Venkatesh Nadimpalli"/>
    <d v="2026-07-23T00:00:00"/>
    <x v="0"/>
    <s v="FTE"/>
    <s v="Chennai"/>
    <s v="ADM26ISMO010"/>
    <s v="Thomas Naveen. J"/>
    <d v="2026-10-06T00:00:00"/>
    <x v="3"/>
    <s v="In-Training"/>
    <x v="0"/>
    <x v="0"/>
    <s v="soma mens stay (pg hostel) ,egattur"/>
    <x v="1"/>
    <x v="0"/>
    <x v="3"/>
    <x v="0"/>
    <x v="0"/>
  </r>
  <r>
    <n v="2524985"/>
    <s v="Gudimella Hema Sri Valli"/>
    <d v="2026-07-23T00:00:00"/>
    <x v="1"/>
    <s v="FTE"/>
    <s v="Chennai"/>
    <s v="CIS26DWP023"/>
    <s v="Geebiga B"/>
    <d v="2026-09-17T00:00:00"/>
    <x v="2"/>
    <s v="In-Training"/>
    <x v="0"/>
    <x v="0"/>
    <s v="Vaishnavi ladies pg"/>
    <x v="1"/>
    <x v="0"/>
    <x v="3"/>
    <x v="0"/>
    <x v="0"/>
  </r>
  <r>
    <n v="2525009"/>
    <s v="Abhishek Kumar"/>
    <d v="2026-07-23T00:00:00"/>
    <x v="0"/>
    <s v="FTE"/>
    <s v="Chennai"/>
    <s v="ADM26ISMO010"/>
    <s v="Thomas Naveen. J"/>
    <d v="2026-10-06T00:00:00"/>
    <x v="3"/>
    <s v="In-Training"/>
    <x v="0"/>
    <x v="0"/>
    <s v="SVD Gents PG"/>
    <x v="1"/>
    <x v="0"/>
    <x v="3"/>
    <x v="0"/>
    <x v="0"/>
  </r>
  <r>
    <n v="2525044"/>
    <s v="Nayana K M"/>
    <d v="2026-07-23T00:00:00"/>
    <x v="1"/>
    <s v="FTE"/>
    <s v="Chennai"/>
    <s v="ADM26ISMO010"/>
    <s v="Thomas Naveen. J"/>
    <d v="2026-10-06T00:00:00"/>
    <x v="3"/>
    <s v="In-Training"/>
    <x v="0"/>
    <x v="0"/>
    <s v="SRS Ladies P G  branch 1 Egattur "/>
    <x v="1"/>
    <x v="0"/>
    <x v="0"/>
    <x v="0"/>
    <x v="0"/>
  </r>
  <r>
    <n v="2525092"/>
    <s v="OM Arun Mali"/>
    <d v="2026-07-23T00:00:00"/>
    <x v="0"/>
    <s v="FTE"/>
    <s v="Chennai"/>
    <s v="EPS26WD005"/>
    <s v="Vishnupriya Dakshnamurthy"/>
    <d v="2026-11-06T00:00:00"/>
    <x v="0"/>
    <s v="In-Training"/>
    <x v="0"/>
    <x v="0"/>
    <s v="Stay@Ease corporate living solutions , Egattur"/>
    <x v="1"/>
    <x v="0"/>
    <x v="3"/>
    <x v="0"/>
    <x v="0"/>
  </r>
  <r>
    <n v="2525102"/>
    <s v="Vikas Gowda S"/>
    <d v="2026-07-23T00:00:00"/>
    <x v="0"/>
    <s v="FTE"/>
    <s v="Chennai"/>
    <s v="EPS26WD005"/>
    <s v="Vishnupriya Dakshnamurthy"/>
    <d v="2026-11-06T00:00:00"/>
    <x v="0"/>
    <s v="In-Training"/>
    <x v="0"/>
    <x v="0"/>
    <s v="SVD GENTS PG"/>
    <x v="1"/>
    <x v="0"/>
    <x v="0"/>
    <x v="0"/>
    <x v="0"/>
  </r>
  <r>
    <n v="2526146"/>
    <s v="O Sai Srujan"/>
    <d v="2026-07-28T00:00:00"/>
    <x v="0"/>
    <s v="FTE"/>
    <s v="Chennai"/>
    <s v="QEA26DS001"/>
    <s v="Lourdhu Selvin Raj X"/>
    <d v="2026-10-30T00:00:00"/>
    <x v="3"/>
    <s v="In-Training"/>
    <x v="0"/>
    <x v="0"/>
    <s v="NKS MENS PG, Egattur"/>
    <x v="1"/>
    <x v="1"/>
    <x v="3"/>
    <x v="0"/>
    <x v="0"/>
  </r>
  <r>
    <n v="2529512"/>
    <s v="Pasupuleti Santosh"/>
    <d v="2026-08-11T00:00:00"/>
    <x v="0"/>
    <s v="FTE"/>
    <s v="Chennai"/>
    <s v="CIS26MCPT025"/>
    <s v="Vignesh S"/>
    <d v="2026-12-03T00:00:00"/>
    <x v="1"/>
    <s v="In-Training"/>
    <x v="0"/>
    <x v="0"/>
    <s v="GKR PG FOR MENS"/>
    <x v="1"/>
    <x v="0"/>
    <x v="0"/>
    <x v="0"/>
    <x v="0"/>
  </r>
  <r>
    <n v="2529537"/>
    <s v="Samineni Harish Kumar"/>
    <d v="2026-08-11T00:00:00"/>
    <x v="0"/>
    <s v="FTE"/>
    <s v="Chennai"/>
    <s v="CIS26MCPT025"/>
    <s v="Vignesh S"/>
    <d v="2026-12-03T00:00:00"/>
    <x v="1"/>
    <s v="In-Training"/>
    <x v="0"/>
    <x v="0"/>
    <s v="SPT pg for gents, near Sahasra pg, Egattur, Chennai."/>
    <x v="1"/>
    <x v="0"/>
    <x v="0"/>
    <x v="0"/>
    <x v="0"/>
  </r>
  <r>
    <n v="2529790"/>
    <s v="Subashree Ramesh"/>
    <d v="2026-08-11T00:00:00"/>
    <x v="1"/>
    <s v="FTE"/>
    <s v="Chennai"/>
    <s v="CIS26MCPT021"/>
    <s v="Uma Venkatachalam"/>
    <d v="2026-12-08T00:00:00"/>
    <x v="1"/>
    <s v="In-Training"/>
    <x v="0"/>
    <x v="0"/>
    <s v="Aura ladies PG"/>
    <x v="1"/>
    <x v="1"/>
    <x v="3"/>
    <x v="0"/>
    <x v="0"/>
  </r>
  <r>
    <n v="2530190"/>
    <s v="Grandhi Abhiram Vinayak"/>
    <d v="2026-08-13T00:00:00"/>
    <x v="0"/>
    <s v="FTE"/>
    <s v="Chennai"/>
    <s v="EPS26OSP010"/>
    <s v="Vishnupriya Dakshnamurthy"/>
    <d v="2026-12-01T00:00:00"/>
    <x v="1"/>
    <s v="In-Training"/>
    <x v="0"/>
    <x v="0"/>
    <s v="SS(Siva sai)gents pg"/>
    <x v="1"/>
    <x v="0"/>
    <x v="3"/>
    <x v="0"/>
    <x v="0"/>
  </r>
  <r>
    <n v="2530194"/>
    <s v="Shreesh Prateek Pathak"/>
    <d v="2026-08-13T00:00:00"/>
    <x v="0"/>
    <s v="FTE"/>
    <s v="Chennai"/>
    <s v="EPS26OSP010"/>
    <s v="Vishnupriya Dakshnamurthy"/>
    <d v="2026-12-01T00:00:00"/>
    <x v="1"/>
    <s v="In-Training"/>
    <x v="0"/>
    <x v="0"/>
    <s v="Truliv Sofia PG Siruseri"/>
    <x v="1"/>
    <x v="0"/>
    <x v="3"/>
    <x v="0"/>
    <x v="0"/>
  </r>
  <r>
    <n v="2530211"/>
    <s v="Thatavarthi Parikshit"/>
    <d v="2026-08-13T00:00:00"/>
    <x v="0"/>
    <s v="FTE"/>
    <s v="Chennai"/>
    <s v="EPS26OSP010"/>
    <s v="Vishnupriya Dakshnamurthy"/>
    <d v="2026-12-01T00:00:00"/>
    <x v="1"/>
    <s v="In-Training"/>
    <x v="0"/>
    <x v="0"/>
    <s v="SS Gents PG"/>
    <x v="1"/>
    <x v="0"/>
    <x v="3"/>
    <x v="0"/>
    <x v="0"/>
  </r>
  <r>
    <n v="2530213"/>
    <s v="Narla Nithin Kumar"/>
    <d v="2026-08-13T00:00:00"/>
    <x v="0"/>
    <s v="FTE"/>
    <s v="Chennai"/>
    <s v="EPS26OSP010"/>
    <s v="Vishnupriya Dakshnamurthy"/>
    <d v="2026-12-01T00:00:00"/>
    <x v="1"/>
    <s v="In-Training"/>
    <x v="0"/>
    <x v="0"/>
    <s v="SS(Siva Sai) Gents PG"/>
    <x v="1"/>
    <x v="0"/>
    <x v="3"/>
    <x v="0"/>
    <x v="0"/>
  </r>
  <r>
    <n v="2530223"/>
    <s v="Rohith Boorla"/>
    <d v="2026-08-13T00:00:00"/>
    <x v="0"/>
    <s v="FTE"/>
    <s v="Chennai"/>
    <s v="EPS26OSPPRO001"/>
    <s v="Gayathri Ramachandran"/>
    <d v="2026-12-07T00:00:00"/>
    <x v="1"/>
    <s v="In-Training"/>
    <x v="0"/>
    <x v="0"/>
    <s v="Amaravathi gents hostel, Periyar street, Egatur"/>
    <x v="1"/>
    <x v="0"/>
    <x v="0"/>
    <x v="0"/>
    <x v="0"/>
  </r>
  <r>
    <n v="2531283"/>
    <s v="Mariyambi B"/>
    <d v="2026-08-18T00:00:00"/>
    <x v="1"/>
    <s v="FTE"/>
    <s v="Chennai"/>
    <s v="EPS26SAP033"/>
    <s v="Ajith Ganesan"/>
    <d v="2026-11-04T00:00:00"/>
    <x v="0"/>
    <s v="In-Training"/>
    <x v="0"/>
    <x v="0"/>
    <s v="Vishvas ladies pg,egattur, Siruseri"/>
    <x v="1"/>
    <x v="0"/>
    <x v="3"/>
    <x v="0"/>
    <x v="0"/>
  </r>
  <r>
    <n v="2531372"/>
    <s v="Kadavakollu Kiran Deepthi"/>
    <d v="2026-08-18T00:00:00"/>
    <x v="1"/>
    <s v="FTE"/>
    <s v="Chennai"/>
    <s v="EPS26SAP034"/>
    <s v="Gayathri Ramachandran"/>
    <d v="2026-11-05T00:00:00"/>
    <x v="0"/>
    <s v="In-Training"/>
    <x v="0"/>
    <x v="0"/>
    <s v="R &amp; R ladies PG and hostel,egattur"/>
    <x v="1"/>
    <x v="0"/>
    <x v="0"/>
    <x v="0"/>
    <x v="0"/>
  </r>
  <r>
    <n v="2531390"/>
    <s v="Suryapeta Bhavani"/>
    <d v="2026-08-18T00:00:00"/>
    <x v="1"/>
    <s v="FTE"/>
    <s v="Chennai"/>
    <s v="EPS26SAP034"/>
    <s v="Gayathri Ramachandran"/>
    <d v="2026-11-05T00:00:00"/>
    <x v="0"/>
    <s v="In-Training"/>
    <x v="0"/>
    <x v="0"/>
    <s v="Krishna nivas Ladies Pg"/>
    <x v="1"/>
    <x v="0"/>
    <x v="0"/>
    <x v="0"/>
    <x v="0"/>
  </r>
  <r>
    <n v="2531399"/>
    <s v="Vinod Kumar Bishnoi"/>
    <d v="2026-08-18T00:00:00"/>
    <x v="0"/>
    <s v="FTE"/>
    <s v="Chennai"/>
    <s v="EPS26SAP036"/>
    <s v="Vishnupriya Dakshnamurthy"/>
    <d v="2026-11-09T00:00:00"/>
    <x v="0"/>
    <s v="In-Training"/>
    <x v="0"/>
    <x v="0"/>
    <s v="Truliv Sofia Co-living &amp; pg"/>
    <x v="1"/>
    <x v="0"/>
    <x v="3"/>
    <x v="0"/>
    <x v="0"/>
  </r>
  <r>
    <n v="2531414"/>
    <s v="J Swetha"/>
    <d v="2026-08-18T00:00:00"/>
    <x v="1"/>
    <s v="FTE"/>
    <s v="Chennai"/>
    <s v="EPS26SAP034"/>
    <s v="Gayathri Ramachandran"/>
    <d v="2026-11-05T00:00:00"/>
    <x v="0"/>
    <s v="In-Training"/>
    <x v="0"/>
    <x v="0"/>
    <s v="Sri Sai Uniqs stays for Ladies PG"/>
    <x v="1"/>
    <x v="1"/>
    <x v="0"/>
    <x v="0"/>
    <x v="0"/>
  </r>
  <r>
    <n v="2532938"/>
    <s v="Pavul Chinnappan D"/>
    <d v="2026-08-25T00:00:00"/>
    <x v="0"/>
    <s v="FTE"/>
    <s v="Chennai"/>
    <s v="CIS26MBG005"/>
    <s v="Angel Maria Faustina Gomez"/>
    <d v="2026-12-11T00:00:00"/>
    <x v="1"/>
    <s v="In-Training"/>
    <x v="0"/>
    <x v="0"/>
    <s v="Pasanga Paradise PG - Branch 1, Egattur"/>
    <x v="1"/>
    <x v="0"/>
    <x v="0"/>
    <x v="0"/>
    <x v="0"/>
  </r>
  <r>
    <n v="2532944"/>
    <s v="Shaik Imran"/>
    <d v="2026-08-25T00:00:00"/>
    <x v="0"/>
    <s v="FTE"/>
    <s v="Chennai"/>
    <s v="ADM27DFSA001"/>
    <s v="Thomas Naveen. J"/>
    <d v="2026-12-30T00:00:00"/>
    <x v="1"/>
    <s v="In-Training"/>
    <x v="0"/>
    <x v="0"/>
    <s v="Siddus Premium mes PG, Siruseri IT park"/>
    <x v="1"/>
    <x v="0"/>
    <x v="3"/>
    <x v="0"/>
    <x v="0"/>
  </r>
  <r>
    <n v="2532957"/>
    <s v="Bandanadham Nirmala Bala Swamy"/>
    <d v="2026-08-25T00:00:00"/>
    <x v="0"/>
    <s v="FTE"/>
    <s v="Chennai"/>
    <s v="CIS26AT008"/>
    <s v="Uma Venkatachalam"/>
    <d v="2026-12-09T00:00:00"/>
    <x v="1"/>
    <s v="In-Training"/>
    <x v="0"/>
    <x v="0"/>
    <s v="Xion 16 mens PG"/>
    <x v="1"/>
    <x v="0"/>
    <x v="3"/>
    <x v="0"/>
    <x v="0"/>
  </r>
  <r>
    <n v="2532998"/>
    <s v="Kodali Karthik"/>
    <d v="2026-08-25T00:00:00"/>
    <x v="0"/>
    <s v="FTE"/>
    <s v="Chennai"/>
    <s v="CIS26AT008"/>
    <s v="Uma Venkatachalam"/>
    <d v="2026-12-09T00:00:00"/>
    <x v="1"/>
    <s v="In-Training"/>
    <x v="0"/>
    <x v="0"/>
    <s v="GVR Gents PG, Thoraipakkam"/>
    <x v="1"/>
    <x v="1"/>
    <x v="19"/>
    <x v="4"/>
    <x v="0"/>
  </r>
  <r>
    <n v="2533020"/>
    <s v="Saranyashree Vijayakumar"/>
    <d v="2026-08-25T00:00:00"/>
    <x v="1"/>
    <s v="FTE"/>
    <s v="Chennai"/>
    <s v="ADM27DFSA001"/>
    <s v="Thomas Naveen. J"/>
    <d v="2026-12-30T00:00:00"/>
    <x v="1"/>
    <s v="In-Training"/>
    <x v="0"/>
    <x v="0"/>
    <s v="MSR Luxury PG for Ladies - Branch III, Egatur"/>
    <x v="1"/>
    <x v="1"/>
    <x v="0"/>
    <x v="0"/>
    <x v="0"/>
  </r>
  <r>
    <n v="2533063"/>
    <s v="Ajay Raju Karthaka"/>
    <d v="2026-08-25T00:00:00"/>
    <x v="0"/>
    <s v="FTE"/>
    <s v="Chennai"/>
    <s v="ADM27DFSA001"/>
    <s v="Thomas Naveen. J"/>
    <d v="2026-12-30T00:00:00"/>
    <x v="1"/>
    <s v="In-Training"/>
    <x v="0"/>
    <x v="0"/>
    <s v="Geethika Grand Gents PG"/>
    <x v="1"/>
    <x v="0"/>
    <x v="30"/>
    <x v="0"/>
    <x v="0"/>
  </r>
  <r>
    <n v="2533079"/>
    <s v="Randhi Sri Valli"/>
    <d v="2026-08-25T00:00:00"/>
    <x v="1"/>
    <s v="FTE"/>
    <s v="Chennai"/>
    <s v="CIS26SN002"/>
    <s v="Ashiya Begam S"/>
    <d v="2026-12-02T00:00:00"/>
    <x v="1"/>
    <s v="In-Training"/>
    <x v="0"/>
    <x v="0"/>
    <s v="CSR ladies hostel branch 2, Egattur"/>
    <x v="1"/>
    <x v="0"/>
    <x v="0"/>
    <x v="0"/>
    <x v="0"/>
  </r>
  <r>
    <n v="2533082"/>
    <s v="Tunuguntla Tanuja"/>
    <d v="2026-08-25T00:00:00"/>
    <x v="1"/>
    <s v="FTE"/>
    <s v="Chennai"/>
    <s v="CIS26MBG003"/>
    <s v="Kishorekumar P"/>
    <d v="2026-12-11T00:00:00"/>
    <x v="1"/>
    <s v="In-Training"/>
    <x v="0"/>
    <x v="0"/>
    <s v="Sri Lakshmi Srinivasa Ladies Pg,Siruseri"/>
    <x v="1"/>
    <x v="0"/>
    <x v="3"/>
    <x v="0"/>
    <x v="0"/>
  </r>
  <r>
    <n v="2533153"/>
    <s v="Saniya Shah"/>
    <d v="2026-08-25T00:00:00"/>
    <x v="1"/>
    <s v="FTE"/>
    <s v="Chennai"/>
    <s v="CIS26MBG003"/>
    <s v="Kishorekumar P"/>
    <d v="2026-12-11T00:00:00"/>
    <x v="1"/>
    <s v="In-Training"/>
    <x v="0"/>
    <x v="0"/>
    <s v="Vishvas Ladies Pg, siruseri"/>
    <x v="1"/>
    <x v="1"/>
    <x v="3"/>
    <x v="0"/>
    <x v="0"/>
  </r>
  <r>
    <n v="2533166"/>
    <s v="Sanepalli Bhargavi"/>
    <d v="2026-08-25T00:00:00"/>
    <x v="1"/>
    <s v="FTE"/>
    <s v="Chennai"/>
    <s v="CIS26MBG006"/>
    <s v="Angel Maria Faustina Gomez"/>
    <d v="2026-12-11T00:00:00"/>
    <x v="1"/>
    <s v="In-Training"/>
    <x v="0"/>
    <x v="0"/>
    <s v="R &amp;R ladies PG and Hostel"/>
    <x v="1"/>
    <x v="0"/>
    <x v="0"/>
    <x v="0"/>
    <x v="0"/>
  </r>
  <r>
    <n v="2533584"/>
    <s v="Rhaveen Senthil"/>
    <d v="2026-08-27T00:00:00"/>
    <x v="0"/>
    <s v="FTE"/>
    <s v="Chennai"/>
    <s v="ADM27DFSA001"/>
    <s v="Thomas Naveen. J"/>
    <d v="2026-12-30T00:00:00"/>
    <x v="1"/>
    <s v="In-Training"/>
    <x v="0"/>
    <x v="0"/>
    <s v="sree venkateshwara luxury pg for men"/>
    <x v="1"/>
    <x v="0"/>
    <x v="2"/>
    <x v="0"/>
    <x v="0"/>
  </r>
  <r>
    <n v="2533593"/>
    <s v="Katuri Siri Vennela"/>
    <d v="2026-08-27T00:00:00"/>
    <x v="1"/>
    <s v="FTE"/>
    <s v="Chennai"/>
    <s v="ADM27DFSA001"/>
    <s v="Thomas Naveen. J"/>
    <d v="2026-12-30T00:00:00"/>
    <x v="1"/>
    <s v="In-Training"/>
    <x v="0"/>
    <x v="0"/>
    <s v="CSR Luxury Womens PG Branch-2"/>
    <x v="1"/>
    <x v="0"/>
    <x v="3"/>
    <x v="0"/>
    <x v="0"/>
  </r>
  <r>
    <n v="2533596"/>
    <s v="Krishna Mahendra Baviskar"/>
    <d v="2026-08-27T00:00:00"/>
    <x v="0"/>
    <s v="FTE"/>
    <s v="Chennai"/>
    <s v="EPS26SAP038"/>
    <s v="Ajith Ganesan"/>
    <d v="2026-10-27T00:00:00"/>
    <x v="3"/>
    <s v="In-Training"/>
    <x v="0"/>
    <x v="0"/>
    <s v="Siddus Premium Mens PG"/>
    <x v="1"/>
    <x v="1"/>
    <x v="3"/>
    <x v="0"/>
    <x v="0"/>
  </r>
  <r>
    <n v="2524496"/>
    <s v="Benny Gibson"/>
    <d v="2026-07-21T00:00:00"/>
    <x v="0"/>
    <s v="FTE"/>
    <s v="Chennai"/>
    <s v="ADM26DFSA007"/>
    <s v="Sweta Thoppil"/>
    <d v="2026-11-10T00:00:00"/>
    <x v="0"/>
    <s v="In-Training"/>
    <x v="1"/>
    <x v="3"/>
    <s v="Ayyan Aradhya"/>
    <x v="1"/>
    <x v="1"/>
    <x v="18"/>
    <x v="1"/>
    <x v="1"/>
  </r>
  <r>
    <n v="2521188"/>
    <s v="Meghana S"/>
    <d v="2026-07-07T00:00:00"/>
    <x v="1"/>
    <s v="FTE"/>
    <s v="Chennai"/>
    <s v="HPC26DN005"/>
    <s v="Viveka Preethi"/>
    <d v="2026-10-01T00:00:00"/>
    <x v="3"/>
    <s v="In-Training"/>
    <x v="1"/>
    <x v="2"/>
    <s v="1-285, Sonachalam street, Rajiv Gandhi salai, OMR, Chennai-600130"/>
    <x v="1"/>
    <x v="0"/>
    <x v="2"/>
    <x v="0"/>
    <x v="1"/>
  </r>
  <r>
    <n v="2525022"/>
    <s v="Hariharan Manikandan"/>
    <d v="2026-07-23T00:00:00"/>
    <x v="0"/>
    <s v="FTE"/>
    <s v="Chennai"/>
    <s v="ADM26ISMO010"/>
    <s v="Thomas Naveen. J"/>
    <d v="2026-10-06T00:00:00"/>
    <x v="3"/>
    <s v="In-Training"/>
    <x v="1"/>
    <x v="2"/>
    <s v="Sangara bhakthan st"/>
    <x v="1"/>
    <x v="1"/>
    <x v="31"/>
    <x v="8"/>
    <x v="2"/>
  </r>
  <r>
    <n v="2531953"/>
    <s v="Tanushree R G"/>
    <d v="2026-08-20T00:00:00"/>
    <x v="1"/>
    <s v="FTE"/>
    <s v="Chennai"/>
    <s v="EPS26OSP011"/>
    <s v="Gayathri Ramachandran"/>
    <s v=""/>
    <x v="1"/>
    <s v="Training - ON Hold"/>
    <x v="1"/>
    <x v="2"/>
    <s v="Home"/>
    <x v="1"/>
    <x v="0"/>
    <x v="32"/>
    <x v="9"/>
    <x v="2"/>
  </r>
  <r>
    <n v="2480129"/>
    <s v="Adnan Ahemad Navidoddin Sayyad"/>
    <d v="2026-08-20T00:00:00"/>
    <x v="0"/>
    <s v="CSD"/>
    <s v="Chennai"/>
    <s v="INTFE26FE001"/>
    <s v="Grace Esther S"/>
    <d v="2026-10-15T00:00:00"/>
    <x v="3"/>
    <s v="In-Training"/>
    <x v="0"/>
    <x v="0"/>
    <s v="Jaya stays gents pg for men"/>
    <x v="1"/>
    <x v="0"/>
    <x v="2"/>
    <x v="0"/>
    <x v="0"/>
  </r>
  <r>
    <n v="2511228"/>
    <s v="Srija Rajendaran"/>
    <d v="2026-05-21T00:00:00"/>
    <x v="1"/>
    <s v="FTE"/>
    <s v="Chennai"/>
    <s v="CIS26MCPT010"/>
    <s v="Mohamed Harish"/>
    <d v="2026-09-10T00:00:00"/>
    <x v="2"/>
    <s v="In-Training"/>
    <x v="0"/>
    <x v="0"/>
    <s v="JVR PG"/>
    <x v="1"/>
    <x v="0"/>
    <x v="3"/>
    <x v="0"/>
    <x v="0"/>
  </r>
  <r>
    <n v="2511232"/>
    <s v="Chetan Shivayogi Puranikmath"/>
    <d v="2026-05-21T00:00:00"/>
    <x v="0"/>
    <s v="FTE"/>
    <s v="Chennai"/>
    <s v="CIS26MCPT010"/>
    <s v="Mohamed Harish"/>
    <d v="2026-09-10T00:00:00"/>
    <x v="2"/>
    <s v="In-Training"/>
    <x v="0"/>
    <x v="0"/>
    <s v="Uniq Mens PG Navalur"/>
    <x v="1"/>
    <x v="0"/>
    <x v="2"/>
    <x v="0"/>
    <x v="0"/>
  </r>
  <r>
    <n v="2511248"/>
    <s v="Boini Pramod Kumar"/>
    <d v="2026-05-21T00:00:00"/>
    <x v="0"/>
    <s v="FTE"/>
    <s v="Chennai"/>
    <s v="CIS26MCPT010"/>
    <s v="Mohamed Harish"/>
    <d v="2026-09-10T00:00:00"/>
    <x v="2"/>
    <s v="In-Training"/>
    <x v="0"/>
    <x v="0"/>
    <s v="Venkata Ramana PG, Egattur"/>
    <x v="1"/>
    <x v="0"/>
    <x v="3"/>
    <x v="0"/>
    <x v="0"/>
  </r>
  <r>
    <n v="2511270"/>
    <s v="Pandiyarajan M"/>
    <d v="2026-05-21T00:00:00"/>
    <x v="0"/>
    <s v="FTE"/>
    <s v="Chennai"/>
    <s v="CIS26MCPT010"/>
    <s v="Mohamed Harish"/>
    <d v="2026-09-10T00:00:00"/>
    <x v="2"/>
    <s v="In-Training"/>
    <x v="0"/>
    <x v="0"/>
    <s v="SRS Mens PG - Sholinganallur"/>
    <x v="1"/>
    <x v="1"/>
    <x v="8"/>
    <x v="4"/>
    <x v="0"/>
  </r>
  <r>
    <n v="2511338"/>
    <s v="Charumathi P"/>
    <d v="2026-05-21T00:00:00"/>
    <x v="1"/>
    <s v="FTE"/>
    <s v="Chennai"/>
    <s v="CIS26MCPT010"/>
    <s v="Mohamed Harish"/>
    <d v="2026-09-15T00:00:00"/>
    <x v="2"/>
    <s v="In-Training"/>
    <x v="0"/>
    <x v="0"/>
    <s v="Sri Svs Grand Stay, Sholinganallur"/>
    <x v="1"/>
    <x v="1"/>
    <x v="8"/>
    <x v="4"/>
    <x v="0"/>
  </r>
  <r>
    <n v="2512291"/>
    <s v="Taher Samir Kazi"/>
    <d v="2026-05-28T00:00:00"/>
    <x v="0"/>
    <s v="FTE"/>
    <s v="Chennai"/>
    <s v="CIS26MCPT012"/>
    <s v="Uma Venkatachalam"/>
    <d v="2026-09-17T00:00:00"/>
    <x v="2"/>
    <s v="In-Training"/>
    <x v="0"/>
    <x v="0"/>
    <s v="Saravana Gents Pg Egattur"/>
    <x v="1"/>
    <x v="0"/>
    <x v="0"/>
    <x v="0"/>
    <x v="0"/>
  </r>
  <r>
    <n v="2512293"/>
    <s v="Monisha M"/>
    <d v="2026-05-28T00:00:00"/>
    <x v="1"/>
    <s v="FTE"/>
    <s v="Chennai"/>
    <s v="CIS26MCPT012"/>
    <s v="Uma Venkatachalam"/>
    <d v="2026-09-17T00:00:00"/>
    <x v="2"/>
    <s v="In-Training"/>
    <x v="0"/>
    <x v="4"/>
    <s v="New Manikandan Ladies Hostel ,Branch 5,Egattur"/>
    <x v="1"/>
    <x v="0"/>
    <x v="3"/>
    <x v="0"/>
    <x v="0"/>
  </r>
  <r>
    <n v="2512295"/>
    <s v="Pranathi S"/>
    <d v="2026-05-28T00:00:00"/>
    <x v="1"/>
    <s v="FTE"/>
    <s v="Chennai"/>
    <s v="CIS26MCPT012"/>
    <s v="Uma Venkatachalam"/>
    <d v="2026-09-17T00:00:00"/>
    <x v="2"/>
    <s v="In-Training"/>
    <x v="0"/>
    <x v="0"/>
    <s v="MSR LUXURY PG - BRANCH 1"/>
    <x v="1"/>
    <x v="0"/>
    <x v="3"/>
    <x v="0"/>
    <x v="0"/>
  </r>
  <r>
    <n v="2512301"/>
    <s v="Jakku Sai Krishna"/>
    <d v="2026-05-28T00:00:00"/>
    <x v="0"/>
    <s v="FTE"/>
    <s v="Chennai"/>
    <s v="CIS26MCPT012"/>
    <s v="Uma Venkatachalam"/>
    <d v="2026-09-17T00:00:00"/>
    <x v="2"/>
    <s v="In-Training"/>
    <x v="0"/>
    <x v="0"/>
    <s v="Mirchi luxury Gents PG , Navalur"/>
    <x v="1"/>
    <x v="0"/>
    <x v="2"/>
    <x v="0"/>
    <x v="0"/>
  </r>
  <r>
    <n v="2512304"/>
    <s v="Saran Kumar"/>
    <d v="2026-05-28T00:00:00"/>
    <x v="0"/>
    <s v="FTE"/>
    <s v="Chennai"/>
    <s v="CIS26MCPT011"/>
    <s v="Uma Venkatachalam"/>
    <d v="2026-09-17T00:00:00"/>
    <x v="2"/>
    <s v="In-Training"/>
    <x v="0"/>
    <x v="0"/>
    <s v="Geethika premium Gents PG"/>
    <x v="1"/>
    <x v="0"/>
    <x v="0"/>
    <x v="0"/>
    <x v="0"/>
  </r>
  <r>
    <n v="2512310"/>
    <s v="Sana Ahmmed Shaik"/>
    <d v="2026-05-28T00:00:00"/>
    <x v="0"/>
    <s v="FTE"/>
    <s v="Chennai"/>
    <s v="CIS26MCPT011"/>
    <s v="Uma Venkatachalam"/>
    <d v="2026-09-17T00:00:00"/>
    <x v="2"/>
    <s v="In-Training"/>
    <x v="0"/>
    <x v="0"/>
    <s v="shree pg navalur"/>
    <x v="1"/>
    <x v="0"/>
    <x v="2"/>
    <x v="0"/>
    <x v="0"/>
  </r>
  <r>
    <n v="2512314"/>
    <s v="Priya P"/>
    <d v="2026-05-28T00:00:00"/>
    <x v="1"/>
    <s v="FTE"/>
    <s v="Chennai"/>
    <s v="CIS26MCPT011"/>
    <s v="Uma Venkatachalam"/>
    <d v="2026-09-17T00:00:00"/>
    <x v="2"/>
    <s v="In-Training"/>
    <x v="0"/>
    <x v="0"/>
    <s v="MSR Luxury PG Branch 1"/>
    <x v="1"/>
    <x v="0"/>
    <x v="3"/>
    <x v="0"/>
    <x v="0"/>
  </r>
  <r>
    <n v="2512318"/>
    <s v="Aftab Ramig Molla"/>
    <d v="2026-05-28T00:00:00"/>
    <x v="0"/>
    <s v="FTE"/>
    <s v="Chennai"/>
    <s v="CIS26MCPT012"/>
    <s v="Uma Venkatachalam"/>
    <d v="2026-09-17T00:00:00"/>
    <x v="2"/>
    <s v="In-Training"/>
    <x v="0"/>
    <x v="0"/>
    <s v="ANISH LUXURY GENTS PG"/>
    <x v="1"/>
    <x v="0"/>
    <x v="3"/>
    <x v="0"/>
    <x v="0"/>
  </r>
  <r>
    <n v="2512328"/>
    <s v="Nekkala Uma"/>
    <d v="2026-05-28T00:00:00"/>
    <x v="1"/>
    <s v="FTE"/>
    <s v="Chennai"/>
    <s v="CIS26MCPT011"/>
    <s v="Uma Venkatachalam"/>
    <d v="2026-09-17T00:00:00"/>
    <x v="2"/>
    <s v="In-Training"/>
    <x v="0"/>
    <x v="0"/>
    <s v="R&amp;R ladies pg (L3 branch)"/>
    <x v="1"/>
    <x v="0"/>
    <x v="0"/>
    <x v="0"/>
    <x v="0"/>
  </r>
  <r>
    <n v="2512338"/>
    <s v="Apsar H"/>
    <d v="2026-05-28T00:00:00"/>
    <x v="0"/>
    <s v="FTE"/>
    <s v="Chennai"/>
    <s v="CIS26MCPT011"/>
    <s v="Uma Venkatachalam"/>
    <d v="2026-09-17T00:00:00"/>
    <x v="2"/>
    <s v="In-Training"/>
    <x v="0"/>
    <x v="0"/>
    <s v="Vishvas professional stay mens PG"/>
    <x v="1"/>
    <x v="1"/>
    <x v="3"/>
    <x v="0"/>
    <x v="0"/>
  </r>
  <r>
    <n v="2512341"/>
    <s v="Althi Sai Adarsh Naidu"/>
    <d v="2026-05-28T00:00:00"/>
    <x v="0"/>
    <s v="FTE"/>
    <s v="Chennai"/>
    <s v="CIS26MCPT012"/>
    <s v="Uma Venkatachalam"/>
    <d v="2026-09-17T00:00:00"/>
    <x v="2"/>
    <s v="In-Training"/>
    <x v="0"/>
    <x v="0"/>
    <s v="Mirchi Luxury Gents PG - Plot no: 71, Vijayaganapathy Nagar, 6th street, Navalur, Chennai"/>
    <x v="1"/>
    <x v="0"/>
    <x v="2"/>
    <x v="0"/>
    <x v="0"/>
  </r>
  <r>
    <n v="2512346"/>
    <s v="Nisath MK"/>
    <d v="2026-05-28T00:00:00"/>
    <x v="0"/>
    <s v="FTE"/>
    <s v="Chennai"/>
    <s v="CIS26MCPT011"/>
    <s v="Uma Venkatachalam"/>
    <d v="2026-09-17T00:00:00"/>
    <x v="2"/>
    <s v="In-Training"/>
    <x v="0"/>
    <x v="0"/>
    <s v="Vishvas Mens pg"/>
    <x v="1"/>
    <x v="0"/>
    <x v="3"/>
    <x v="0"/>
    <x v="0"/>
  </r>
  <r>
    <n v="2512349"/>
    <s v="Manthena Karthik"/>
    <d v="2026-05-28T00:00:00"/>
    <x v="0"/>
    <s v="FTE"/>
    <s v="Chennai"/>
    <s v="CIS26MCPT012"/>
    <s v="Uma Venkatachalam"/>
    <d v="2026-09-17T00:00:00"/>
    <x v="2"/>
    <s v="In-Training"/>
    <x v="0"/>
    <x v="0"/>
    <s v="Annapurna pg for gents "/>
    <x v="1"/>
    <x v="0"/>
    <x v="0"/>
    <x v="0"/>
    <x v="0"/>
  </r>
  <r>
    <n v="2512351"/>
    <s v="Mohammed Azarudeen Abdul Rahman"/>
    <d v="2026-05-28T00:00:00"/>
    <x v="0"/>
    <s v="FTE"/>
    <s v="Chennai"/>
    <s v="CIS26MCPT011"/>
    <s v="Uma Venkatachalam"/>
    <d v="2026-09-17T00:00:00"/>
    <x v="2"/>
    <s v="In-Training"/>
    <x v="0"/>
    <x v="0"/>
    <s v="Geethika premium gents pg"/>
    <x v="1"/>
    <x v="0"/>
    <x v="0"/>
    <x v="0"/>
    <x v="0"/>
  </r>
  <r>
    <n v="2512353"/>
    <s v="Rohanhinderjith G"/>
    <d v="2026-05-28T00:00:00"/>
    <x v="0"/>
    <s v="FTE"/>
    <s v="Chennai"/>
    <s v="CIS26MCPT012"/>
    <s v="Uma Venkatachalam"/>
    <d v="2026-09-17T00:00:00"/>
    <x v="2"/>
    <s v="In-Training"/>
    <x v="0"/>
    <x v="0"/>
    <s v="vishvas professional stays"/>
    <x v="1"/>
    <x v="0"/>
    <x v="3"/>
    <x v="0"/>
    <x v="0"/>
  </r>
  <r>
    <n v="2512363"/>
    <s v="Rodrigues Serena"/>
    <d v="2026-05-28T00:00:00"/>
    <x v="1"/>
    <s v="FTE"/>
    <s v="Chennai"/>
    <s v="CIS26MCPT012"/>
    <s v="Uma Venkatachalam"/>
    <d v="2026-09-17T00:00:00"/>
    <x v="2"/>
    <s v="In-Training"/>
    <x v="0"/>
    <x v="0"/>
    <s v="AG Womens PG - brach 1, egattur"/>
    <x v="1"/>
    <x v="0"/>
    <x v="0"/>
    <x v="0"/>
    <x v="0"/>
  </r>
  <r>
    <n v="2512370"/>
    <s v="Aishwarya Jangampeta"/>
    <d v="2026-05-28T00:00:00"/>
    <x v="1"/>
    <s v="FTE"/>
    <s v="Chennai"/>
    <s v="CIS26MCPT011"/>
    <s v="Uma Venkatachalam"/>
    <d v="2026-09-17T00:00:00"/>
    <x v="2"/>
    <s v="In-Training"/>
    <x v="0"/>
    <x v="0"/>
    <s v="Queens Luxury Ladies PG"/>
    <x v="1"/>
    <x v="0"/>
    <x v="0"/>
    <x v="0"/>
    <x v="0"/>
  </r>
  <r>
    <n v="2516751"/>
    <s v="Rupendra P"/>
    <d v="2026-06-18T00:00:00"/>
    <x v="0"/>
    <s v="FTE"/>
    <s v="Chennai"/>
    <s v="CIS26MW001"/>
    <s v="Ashiya Begam S"/>
    <d v="2026-09-11T00:00:00"/>
    <x v="2"/>
    <s v="In-Training"/>
    <x v="0"/>
    <x v="0"/>
    <s v="GKR PG FOR MENS"/>
    <x v="1"/>
    <x v="1"/>
    <x v="0"/>
    <x v="0"/>
    <x v="0"/>
  </r>
  <r>
    <n v="2516788"/>
    <s v="Sakshi Rajendra Chavan"/>
    <d v="2026-06-18T00:00:00"/>
    <x v="1"/>
    <s v="FTE"/>
    <s v="Chennai"/>
    <s v="CIS26NET003"/>
    <s v="Uma Venkatachalam"/>
    <d v="2026-09-04T00:00:00"/>
    <x v="2"/>
    <s v="In-Training"/>
    <x v="0"/>
    <x v="0"/>
    <s v="Smiles PG - Branch 2, Egattur"/>
    <x v="1"/>
    <x v="0"/>
    <x v="0"/>
    <x v="0"/>
    <x v="0"/>
  </r>
  <r>
    <n v="2516843"/>
    <s v="B Akshitha"/>
    <d v="2026-06-18T00:00:00"/>
    <x v="1"/>
    <s v="FTE"/>
    <s v="Chennai"/>
    <s v="CIS26MW001"/>
    <s v="Ashiya Begam S"/>
    <d v="2026-09-11T00:00:00"/>
    <x v="2"/>
    <s v="In-Training"/>
    <x v="0"/>
    <x v="0"/>
    <s v="SLR LADIES PG ,EGATTUR"/>
    <x v="1"/>
    <x v="0"/>
    <x v="0"/>
    <x v="0"/>
    <x v="0"/>
  </r>
  <r>
    <n v="2516861"/>
    <s v="Dinesh Suriya N"/>
    <d v="2026-06-18T00:00:00"/>
    <x v="0"/>
    <s v="FTE"/>
    <s v="Chennai"/>
    <s v="CIS26MW001"/>
    <s v="Ashiya Begam S"/>
    <d v="2026-09-11T00:00:00"/>
    <x v="2"/>
    <s v="In-Training"/>
    <x v="0"/>
    <x v="0"/>
    <s v="kandhan gents pg, Sholinganallur"/>
    <x v="1"/>
    <x v="0"/>
    <x v="8"/>
    <x v="4"/>
    <x v="0"/>
  </r>
  <r>
    <n v="2516871"/>
    <s v="Manonmani M"/>
    <d v="2026-06-18T00:00:00"/>
    <x v="1"/>
    <s v="FTE"/>
    <s v="Chennai"/>
    <s v="CIS26MW001"/>
    <s v="Ashiya Begam S"/>
    <d v="2026-09-11T00:00:00"/>
    <x v="2"/>
    <s v="In-Training"/>
    <x v="0"/>
    <x v="0"/>
    <s v="Sai Kripa ladies Pg"/>
    <x v="1"/>
    <x v="0"/>
    <x v="0"/>
    <x v="0"/>
    <x v="0"/>
  </r>
  <r>
    <n v="2516872"/>
    <s v="Savitri Sadashiv Santi"/>
    <d v="2026-06-18T00:00:00"/>
    <x v="1"/>
    <s v="FTE"/>
    <s v="Chennai"/>
    <s v="CIS26MW001"/>
    <s v="Ashiya Begam S"/>
    <d v="2026-09-11T00:00:00"/>
    <x v="2"/>
    <s v="In-Training"/>
    <x v="0"/>
    <x v="0"/>
    <s v="Queens laxury ladies pg, Siruseri"/>
    <x v="1"/>
    <x v="0"/>
    <x v="3"/>
    <x v="0"/>
    <x v="0"/>
  </r>
  <r>
    <n v="2516875"/>
    <s v="Preeti Hombalmath"/>
    <d v="2026-06-18T00:00:00"/>
    <x v="1"/>
    <s v="FTE"/>
    <s v="Chennai"/>
    <s v="CIS26MW001"/>
    <s v="Ashiya Begam S"/>
    <d v="2026-09-11T00:00:00"/>
    <x v="2"/>
    <s v="In-Training"/>
    <x v="0"/>
    <x v="0"/>
    <s v="Queen luxury PG - siruseri"/>
    <x v="1"/>
    <x v="0"/>
    <x v="3"/>
    <x v="0"/>
    <x v="0"/>
  </r>
  <r>
    <n v="2516878"/>
    <s v="G Nikila"/>
    <d v="2026-06-18T00:00:00"/>
    <x v="1"/>
    <s v="FTE"/>
    <s v="Chennai"/>
    <s v="CIS26MW001"/>
    <s v="Ashiya Begam S"/>
    <d v="2026-09-11T00:00:00"/>
    <x v="2"/>
    <s v="In-Training"/>
    <x v="0"/>
    <x v="0"/>
    <s v="New Manikandan Ladies Hostel branch-14,paddur"/>
    <x v="1"/>
    <x v="0"/>
    <x v="3"/>
    <x v="0"/>
    <x v="0"/>
  </r>
  <r>
    <n v="2516884"/>
    <s v="Nagesh Shantappa Kumbar"/>
    <d v="2026-06-18T00:00:00"/>
    <x v="0"/>
    <s v="FTE"/>
    <s v="Chennai"/>
    <s v="CIS26MW001"/>
    <s v="Ashiya Begam S"/>
    <d v="2026-09-11T00:00:00"/>
    <x v="2"/>
    <s v="In-Training"/>
    <x v="0"/>
    <x v="0"/>
    <s v="SS (Siva Sai) Gents PG - SIPCOT, Siruseri"/>
    <x v="1"/>
    <x v="0"/>
    <x v="3"/>
    <x v="0"/>
    <x v="0"/>
  </r>
  <r>
    <n v="2516885"/>
    <s v="Chalamala Manjula Devi"/>
    <d v="2026-06-18T00:00:00"/>
    <x v="1"/>
    <s v="FTE"/>
    <s v="Chennai"/>
    <s v="CIS26NET003"/>
    <s v="Uma Venkatachalam"/>
    <d v="2026-09-04T00:00:00"/>
    <x v="2"/>
    <s v="In-Training"/>
    <x v="0"/>
    <x v="0"/>
    <s v="Silver star luxurious ladies pg"/>
    <x v="1"/>
    <x v="0"/>
    <x v="0"/>
    <x v="0"/>
    <x v="0"/>
  </r>
  <r>
    <n v="2518815"/>
    <s v="Manikandan S J"/>
    <d v="2026-06-30T00:00:00"/>
    <x v="0"/>
    <s v="FTE"/>
    <s v="Chennai"/>
    <s v="CIS26SB001"/>
    <s v="Kishorekumar P"/>
    <d v="2026-10-14T00:00:00"/>
    <x v="3"/>
    <s v="In-Training"/>
    <x v="0"/>
    <x v="0"/>
    <s v="Stay@Ease Corporate Living Solution - Mens PG Egattur"/>
    <x v="1"/>
    <x v="0"/>
    <x v="3"/>
    <x v="0"/>
    <x v="0"/>
  </r>
  <r>
    <n v="2518817"/>
    <s v="Hemanth Sundhar P S"/>
    <d v="2026-06-30T00:00:00"/>
    <x v="0"/>
    <s v="FTE"/>
    <s v="Chennai"/>
    <s v="CIS26SB001"/>
    <s v="Kishorekumar P"/>
    <d v="2026-10-14T00:00:00"/>
    <x v="3"/>
    <s v="In-Training"/>
    <x v="0"/>
    <x v="0"/>
    <s v="Stay@Ease Mens PG"/>
    <x v="1"/>
    <x v="1"/>
    <x v="3"/>
    <x v="0"/>
    <x v="0"/>
  </r>
  <r>
    <n v="2518820"/>
    <s v="Kanike Gowthami"/>
    <d v="2026-06-30T00:00:00"/>
    <x v="1"/>
    <s v="FTE"/>
    <s v="Chennai"/>
    <s v="CIS26SB001"/>
    <s v="Kishorekumar P"/>
    <d v="2026-10-14T00:00:00"/>
    <x v="3"/>
    <s v="In-Training"/>
    <x v="0"/>
    <x v="0"/>
    <s v="Sai Grand Womens PG Hostel"/>
    <x v="1"/>
    <x v="0"/>
    <x v="0"/>
    <x v="0"/>
    <x v="0"/>
  </r>
  <r>
    <n v="2518824"/>
    <s v="Narla Hymavathi"/>
    <d v="2026-06-30T00:00:00"/>
    <x v="1"/>
    <s v="FTE"/>
    <s v="Chennai"/>
    <s v="CIS26SB001"/>
    <s v="Kishorekumar P"/>
    <d v="2026-10-14T00:00:00"/>
    <x v="3"/>
    <s v="In-Training"/>
    <x v="0"/>
    <x v="0"/>
    <s v="Sai Grand Womens Hostel- Periyayl Street, Egattur"/>
    <x v="1"/>
    <x v="0"/>
    <x v="0"/>
    <x v="0"/>
    <x v="0"/>
  </r>
  <r>
    <n v="2518825"/>
    <s v="Karthik P S"/>
    <d v="2026-06-30T00:00:00"/>
    <x v="0"/>
    <s v="FTE"/>
    <s v="Chennai"/>
    <s v="CIS26SB001"/>
    <s v="Kishorekumar P"/>
    <d v="2026-10-14T00:00:00"/>
    <x v="3"/>
    <s v="In-Training"/>
    <x v="0"/>
    <x v="0"/>
    <s v="Swad PG for Boys, Karapakkam"/>
    <x v="1"/>
    <x v="0"/>
    <x v="21"/>
    <x v="4"/>
    <x v="0"/>
  </r>
  <r>
    <n v="2518830"/>
    <s v="Harini Cherala"/>
    <d v="2026-06-30T00:00:00"/>
    <x v="1"/>
    <s v="FTE"/>
    <s v="Chennai"/>
    <s v="CIS26SB001"/>
    <s v="Kishorekumar P"/>
    <d v="2026-10-14T00:00:00"/>
    <x v="3"/>
    <s v="In-Training"/>
    <x v="0"/>
    <x v="0"/>
    <s v="Smiles In Pg services for ladies "/>
    <x v="1"/>
    <x v="0"/>
    <x v="3"/>
    <x v="0"/>
    <x v="0"/>
  </r>
  <r>
    <n v="2519593"/>
    <s v="Kalapati Dinesh"/>
    <d v="2026-07-02T00:00:00"/>
    <x v="0"/>
    <s v="FTE"/>
    <s v="Chennai"/>
    <s v="CIS26UNIX003"/>
    <s v="Haritha P"/>
    <d v="2026-09-24T00:00:00"/>
    <x v="2"/>
    <s v="In-Training"/>
    <x v="0"/>
    <x v="0"/>
    <s v="SPT PG FOR GENTS, Egattur, Near SIPCOT, Chennai, Tamil Nadu 600130"/>
    <x v="1"/>
    <x v="0"/>
    <x v="0"/>
    <x v="0"/>
    <x v="0"/>
  </r>
  <r>
    <n v="2519640"/>
    <s v="Shravani Dasari"/>
    <d v="2026-07-02T00:00:00"/>
    <x v="1"/>
    <s v="FTE"/>
    <s v="Chennai"/>
    <s v="CIS26MCPT013"/>
    <s v="Lawrance M"/>
    <d v="2026-10-29T00:00:00"/>
    <x v="3"/>
    <s v="In-Training"/>
    <x v="0"/>
    <x v="0"/>
    <s v="MSR Luxury PG for Ladies Branch II"/>
    <x v="1"/>
    <x v="0"/>
    <x v="0"/>
    <x v="0"/>
    <x v="0"/>
  </r>
  <r>
    <n v="2519671"/>
    <s v="Talachutla Satyavathi"/>
    <d v="2026-07-02T00:00:00"/>
    <x v="1"/>
    <s v="FTE"/>
    <s v="Chennai"/>
    <s v="CIS26UNIX004"/>
    <s v="Haritha P"/>
    <d v="2026-09-24T00:00:00"/>
    <x v="2"/>
    <s v="In-Training"/>
    <x v="0"/>
    <x v="0"/>
    <s v="MSR PG -Branch 2,Egattur"/>
    <x v="1"/>
    <x v="0"/>
    <x v="3"/>
    <x v="0"/>
    <x v="0"/>
  </r>
  <r>
    <n v="2519701"/>
    <s v="Matta Anand Krishna"/>
    <d v="2026-07-02T00:00:00"/>
    <x v="0"/>
    <s v="FTE"/>
    <s v="Chennai"/>
    <s v="CIS26UNIX004"/>
    <s v="Haritha P"/>
    <d v="2026-09-24T00:00:00"/>
    <x v="2"/>
    <s v="In-Training"/>
    <x v="0"/>
    <x v="0"/>
    <s v="Murugan PG, Navalur Signal, Navalur"/>
    <x v="1"/>
    <x v="0"/>
    <x v="2"/>
    <x v="0"/>
    <x v="0"/>
  </r>
  <r>
    <n v="2519826"/>
    <s v="Venkatesh Prakash Dasar"/>
    <d v="2026-07-02T00:00:00"/>
    <x v="0"/>
    <s v="FTE"/>
    <s v="Chennai"/>
    <s v="CIS26UNIX003"/>
    <s v="Haritha P"/>
    <d v="2026-09-24T00:00:00"/>
    <x v="2"/>
    <s v="In-Training"/>
    <x v="0"/>
    <x v="0"/>
    <s v="KMR DELUXE PG FOR GENTS,6/97A,SAMBALAL ST,NAVALUR,CHENNAI,TAMILNADU 600130"/>
    <x v="1"/>
    <x v="0"/>
    <x v="2"/>
    <x v="0"/>
    <x v="0"/>
  </r>
  <r>
    <n v="2520922"/>
    <s v="Shruti Ashok Shigehalli"/>
    <d v="2026-07-07T00:00:00"/>
    <x v="1"/>
    <s v="FTE"/>
    <s v="Chennai"/>
    <s v="CIS26MCPT013"/>
    <s v="Lawrance M"/>
    <d v="2026-10-29T00:00:00"/>
    <x v="3"/>
    <s v="In-Training"/>
    <x v="0"/>
    <x v="0"/>
    <s v="MSR Ladies PG Branch 2 Egattur"/>
    <x v="1"/>
    <x v="0"/>
    <x v="0"/>
    <x v="0"/>
    <x v="0"/>
  </r>
  <r>
    <n v="2520939"/>
    <s v="Rahul Kumar"/>
    <d v="2026-07-07T00:00:00"/>
    <x v="0"/>
    <s v="FTE"/>
    <s v="Chennai"/>
    <s v="EPS26WD004"/>
    <s v="Ajith Ganesan"/>
    <d v="2026-10-15T00:00:00"/>
    <x v="3"/>
    <s v="In-Training"/>
    <x v="0"/>
    <x v="0"/>
    <s v="CNR Gents PG - Branch 1, Egattur"/>
    <x v="1"/>
    <x v="1"/>
    <x v="3"/>
    <x v="0"/>
    <x v="0"/>
  </r>
  <r>
    <n v="2520968"/>
    <s v="Prathamesh Ramesh Nagargoje"/>
    <d v="2026-07-07T00:00:00"/>
    <x v="0"/>
    <s v="FTE"/>
    <s v="Chennai"/>
    <s v="CS26CS007"/>
    <s v="Lawrance M"/>
    <d v="2026-09-07T00:00:00"/>
    <x v="2"/>
    <s v="In-Training"/>
    <x v="0"/>
    <x v="0"/>
    <s v="XION 16 - Premium mens PG - Branch 1"/>
    <x v="1"/>
    <x v="0"/>
    <x v="3"/>
    <x v="0"/>
    <x v="0"/>
  </r>
  <r>
    <n v="2520974"/>
    <s v="Piyush Dnyaneshwar Ghanghav"/>
    <d v="2026-07-07T00:00:00"/>
    <x v="0"/>
    <s v="FTE"/>
    <s v="Chennai"/>
    <s v="CS26CS007"/>
    <s v="Lawrance M"/>
    <d v="2026-09-07T00:00:00"/>
    <x v="2"/>
    <s v="In-Training"/>
    <x v="0"/>
    <x v="0"/>
    <s v="Soma Mens Stay"/>
    <x v="1"/>
    <x v="0"/>
    <x v="3"/>
    <x v="0"/>
    <x v="0"/>
  </r>
  <r>
    <n v="2520988"/>
    <s v="Afnan Khan"/>
    <d v="2026-07-07T00:00:00"/>
    <x v="0"/>
    <s v="FTE"/>
    <s v="Chennai"/>
    <s v="CS26CS008"/>
    <s v="Kishorekumar P"/>
    <d v="2026-10-28T00:00:00"/>
    <x v="3"/>
    <s v="In-Training"/>
    <x v="0"/>
    <x v="0"/>
    <s v="AT RumaH PG - Tvh Terrahub, Siruseri"/>
    <x v="1"/>
    <x v="0"/>
    <x v="3"/>
    <x v="0"/>
    <x v="0"/>
  </r>
  <r>
    <n v="2521010"/>
    <s v="Aditya Kumar Sahu"/>
    <d v="2026-07-07T00:00:00"/>
    <x v="0"/>
    <s v="FTE"/>
    <s v="Chennai"/>
    <s v="CM26SFDC006"/>
    <s v="Gayathri Ramachandran"/>
    <d v="2026-11-11T00:00:00"/>
    <x v="0"/>
    <s v="In-Training"/>
    <x v="0"/>
    <x v="0"/>
    <s v="Shri Laxmi Venkateswar Mens Pg, Navallur"/>
    <x v="1"/>
    <x v="0"/>
    <x v="2"/>
    <x v="0"/>
    <x v="0"/>
  </r>
  <r>
    <n v="2521036"/>
    <s v="Nallella Charan"/>
    <d v="2026-07-07T00:00:00"/>
    <x v="0"/>
    <s v="FTE"/>
    <s v="Chennai"/>
    <s v="SNBG26SN002"/>
    <s v="Lawrance M"/>
    <d v="2026-09-16T00:00:00"/>
    <x v="2"/>
    <s v="In-Training"/>
    <x v="0"/>
    <x v="0"/>
    <s v="CNR GENTS PG BRANCH-1 SIRUSERI SIPCOT, Mamoothiamman, 3rd street, Egattur . Tamil Nadu - 603103"/>
    <x v="1"/>
    <x v="0"/>
    <x v="3"/>
    <x v="0"/>
    <x v="0"/>
  </r>
  <r>
    <n v="2521069"/>
    <s v="Andra Tulasi Lakshmi Tanya"/>
    <d v="2026-07-07T00:00:00"/>
    <x v="1"/>
    <s v="FTE"/>
    <s v="Chennai"/>
    <s v="SNBG26SN004"/>
    <s v="Kishorekumar P"/>
    <d v="2026-10-08T00:00:00"/>
    <x v="3"/>
    <s v="In-Training"/>
    <x v="0"/>
    <x v="0"/>
    <s v="MSR Luxury PG for Ladies (Branch II)"/>
    <x v="1"/>
    <x v="0"/>
    <x v="0"/>
    <x v="0"/>
    <x v="0"/>
  </r>
  <r>
    <n v="2521094"/>
    <s v="Kesara Tejaswini Reddy"/>
    <d v="2026-07-07T00:00:00"/>
    <x v="1"/>
    <s v="FTE"/>
    <s v="Chennai"/>
    <s v="SNBG26SN002"/>
    <s v="Lawrance M"/>
    <d v="2026-10-08T00:00:00"/>
    <x v="3"/>
    <s v="In-Training"/>
    <x v="0"/>
    <x v="0"/>
    <s v="Plot No. 3/29, Svb Luxury Ladies Pg, Ibaco Back Side, Thiruvalluvar Street, Omr Main Road, Navalur, Chennai-600130, Tamil Nadu"/>
    <x v="1"/>
    <x v="0"/>
    <x v="2"/>
    <x v="0"/>
    <x v="0"/>
  </r>
  <r>
    <n v="2521123"/>
    <s v="Shorya Garg"/>
    <d v="2026-07-07T00:00:00"/>
    <x v="0"/>
    <s v="FTE"/>
    <s v="Chennai"/>
    <s v="SNBG26SN003"/>
    <s v="Lawrance M"/>
    <d v="2026-10-08T00:00:00"/>
    <x v="3"/>
    <s v="In-Training"/>
    <x v="0"/>
    <x v="0"/>
    <s v="NKS MENS PG, City Park Layout Egattur Village, Siruseri"/>
    <x v="1"/>
    <x v="0"/>
    <x v="3"/>
    <x v="0"/>
    <x v="0"/>
  </r>
  <r>
    <n v="2521127"/>
    <s v="Reddipilli Yamini Devi"/>
    <d v="2026-07-07T00:00:00"/>
    <x v="1"/>
    <s v="FTE"/>
    <s v="Chennai"/>
    <s v="SNBG26SN003"/>
    <s v="Lawrance M"/>
    <d v="2026-10-08T00:00:00"/>
    <x v="3"/>
    <s v="In-Training"/>
    <x v="0"/>
    <x v="0"/>
    <s v="Vaishnavi Elite PG for Ladies"/>
    <x v="1"/>
    <x v="0"/>
    <x v="3"/>
    <x v="0"/>
    <x v="0"/>
  </r>
  <r>
    <n v="2521142"/>
    <s v="Aimad Sarwar"/>
    <d v="2026-07-07T00:00:00"/>
    <x v="0"/>
    <s v="FTE"/>
    <s v="Chennai"/>
    <s v="CS26CS007"/>
    <s v="Lawrance M"/>
    <d v="2026-09-07T00:00:00"/>
    <x v="2"/>
    <s v="In-Training"/>
    <x v="0"/>
    <x v="0"/>
    <s v="KR MENs PG, City Park Layout, 118B, 2nd Cross St, Siruseri, Egattur, Tamil Nadu 603103"/>
    <x v="1"/>
    <x v="0"/>
    <x v="0"/>
    <x v="0"/>
    <x v="0"/>
  </r>
  <r>
    <n v="2521179"/>
    <s v="Varzhene Nithiyananthan"/>
    <d v="2026-07-07T00:00:00"/>
    <x v="1"/>
    <s v="FTE"/>
    <s v="Chennai"/>
    <s v="CIS26MCPT013"/>
    <s v="Lawrance M"/>
    <d v="2026-10-29T00:00:00"/>
    <x v="3"/>
    <s v="In-Training"/>
    <x v="0"/>
    <x v="0"/>
    <s v="Sai Grand Womens Hostel"/>
    <x v="1"/>
    <x v="1"/>
    <x v="0"/>
    <x v="0"/>
    <x v="0"/>
  </r>
  <r>
    <n v="2521186"/>
    <s v="Maalaiahgari Chandu"/>
    <d v="2026-07-07T00:00:00"/>
    <x v="0"/>
    <s v="FTE"/>
    <s v="Chennai"/>
    <s v="PG26JFR003"/>
    <s v="Vijay K"/>
    <d v="2026-10-27T00:00:00"/>
    <x v="3"/>
    <s v="In-Training"/>
    <x v="0"/>
    <x v="0"/>
    <s v="Lakshmi Srinivasa elite Mens PG"/>
    <x v="1"/>
    <x v="0"/>
    <x v="0"/>
    <x v="0"/>
    <x v="0"/>
  </r>
  <r>
    <n v="2521195"/>
    <s v="Sreenand N"/>
    <d v="2026-07-07T00:00:00"/>
    <x v="0"/>
    <s v="FTE"/>
    <s v="Chennai"/>
    <s v="PG26JFR003"/>
    <s v="Vijay K"/>
    <d v="2026-10-27T00:00:00"/>
    <x v="3"/>
    <s v="In-Training"/>
    <x v="0"/>
    <x v="0"/>
    <s v="Some Mens Stay (Gents PG)"/>
    <x v="1"/>
    <x v="0"/>
    <x v="3"/>
    <x v="0"/>
    <x v="0"/>
  </r>
  <r>
    <n v="2521244"/>
    <s v="Buriga Shakeena"/>
    <d v="2026-07-07T00:00:00"/>
    <x v="1"/>
    <s v="FTE"/>
    <s v="Chennai"/>
    <s v="SNBG26SN002"/>
    <s v="Lawrance M"/>
    <d v="2026-09-16T00:00:00"/>
    <x v="2"/>
    <s v="In-Training"/>
    <x v="0"/>
    <x v="0"/>
    <s v="No.4/211, Dr. Ambethkar Street, Near Navalur, Sipcot Egattur, Egattur, Chennai-603103, Tamil Nadu"/>
    <x v="1"/>
    <x v="0"/>
    <x v="0"/>
    <x v="0"/>
    <x v="0"/>
  </r>
  <r>
    <n v="2521251"/>
    <s v="Challa Uma"/>
    <d v="2026-07-07T00:00:00"/>
    <x v="1"/>
    <s v="FTE"/>
    <s v="Chennai"/>
    <s v="CIS26SN001"/>
    <s v="Ashiya Begam S"/>
    <d v="2026-09-16T00:00:00"/>
    <x v="2"/>
    <s v="In-Training"/>
    <x v="0"/>
    <x v="0"/>
    <s v="Silver Star Stay ladies PG, Egattur"/>
    <x v="1"/>
    <x v="0"/>
    <x v="0"/>
    <x v="0"/>
    <x v="0"/>
  </r>
  <r>
    <n v="2521264"/>
    <s v="Kothem Arvind Sai Teja"/>
    <d v="2026-07-07T00:00:00"/>
    <x v="0"/>
    <s v="FTE"/>
    <s v="Chennai"/>
    <s v="SNBG26SN004"/>
    <s v="Kishorekumar P"/>
    <d v="2026-10-08T00:00:00"/>
    <x v="3"/>
    <s v="In-Training"/>
    <x v="0"/>
    <x v="0"/>
    <s v="Lakshmi Srinivasa Mens Elite PG"/>
    <x v="1"/>
    <x v="0"/>
    <x v="0"/>
    <x v="0"/>
    <x v="0"/>
  </r>
  <r>
    <n v="2521274"/>
    <s v="Seelam Bhanu Prasanna"/>
    <d v="2026-07-07T00:00:00"/>
    <x v="1"/>
    <s v="FTE"/>
    <s v="Chennai"/>
    <s v="SNBG26SN004"/>
    <s v="Kishorekumar P"/>
    <d v="2026-10-08T00:00:00"/>
    <x v="3"/>
    <s v="In-Training"/>
    <x v="0"/>
    <x v="0"/>
    <s v="Vaishnavi Elite PG for Ladies, Egattur  "/>
    <x v="1"/>
    <x v="0"/>
    <x v="0"/>
    <x v="0"/>
    <x v="0"/>
  </r>
  <r>
    <n v="2521284"/>
    <s v="Chepuri Shashank"/>
    <d v="2026-07-07T00:00:00"/>
    <x v="0"/>
    <s v="FTE"/>
    <s v="Chennai"/>
    <s v="CS26CS007"/>
    <s v="Lawrance M"/>
    <d v="2026-09-07T00:00:00"/>
    <x v="2"/>
    <s v="In-Training"/>
    <x v="0"/>
    <x v="0"/>
    <s v="Xion 16 Mens PG SIRUSERI SIPCOT"/>
    <x v="1"/>
    <x v="0"/>
    <x v="3"/>
    <x v="0"/>
    <x v="0"/>
  </r>
  <r>
    <n v="2521304"/>
    <s v="Maktumsabgari Juha Fathima"/>
    <d v="2026-07-07T00:00:00"/>
    <x v="1"/>
    <s v="FTE"/>
    <s v="Chennai"/>
    <s v="SNBG26SN002"/>
    <s v="Lawrance M"/>
    <d v="2026-10-08T00:00:00"/>
    <x v="3"/>
    <s v="In-Training"/>
    <x v="0"/>
    <x v="0"/>
    <s v="Sri Sai Balaji PG, Thiruvallur street, Navalur, Chennai, Tamil Nadu 600130, Navalur, Chennai"/>
    <x v="1"/>
    <x v="0"/>
    <x v="2"/>
    <x v="0"/>
    <x v="0"/>
  </r>
  <r>
    <n v="2521668"/>
    <s v="Manchala Preethi"/>
    <d v="2026-07-09T00:00:00"/>
    <x v="1"/>
    <s v="FTE"/>
    <s v="Chennai"/>
    <s v="AIA26DSAT004"/>
    <s v="Pavithra Kandasamy"/>
    <d v="2026-10-09T00:00:00"/>
    <x v="3"/>
    <s v="In-Training"/>
    <x v="0"/>
    <x v="0"/>
    <s v="Krishna Niwas PG"/>
    <x v="1"/>
    <x v="0"/>
    <x v="3"/>
    <x v="0"/>
    <x v="0"/>
  </r>
  <r>
    <n v="2521833"/>
    <s v="Nishant Shanmukha Annalore"/>
    <d v="2026-07-09T00:00:00"/>
    <x v="0"/>
    <s v="FTE"/>
    <s v="Chennai"/>
    <s v="AIA26DSAT004"/>
    <s v="Pavithra Kandasamy"/>
    <d v="2026-10-09T00:00:00"/>
    <x v="3"/>
    <s v="In-Training"/>
    <x v="0"/>
    <x v="0"/>
    <s v="BALU GENTS PG, Janani shri ram priya avenue, egattur, siruseri, tamilnadu 600130"/>
    <x v="1"/>
    <x v="0"/>
    <x v="0"/>
    <x v="0"/>
    <x v="0"/>
  </r>
  <r>
    <n v="2521885"/>
    <s v="Mohammad Juned Mohd Anis Shaikh"/>
    <d v="2026-07-09T00:00:00"/>
    <x v="0"/>
    <s v="FTE"/>
    <s v="Chennai"/>
    <s v="AIA26DSAT004"/>
    <s v="Pavithra Kandasamy"/>
    <d v="2026-10-09T00:00:00"/>
    <x v="3"/>
    <s v="In-Training"/>
    <x v="0"/>
    <x v="0"/>
    <s v="KSR gents PG - Egattur "/>
    <x v="1"/>
    <x v="0"/>
    <x v="0"/>
    <x v="0"/>
    <x v="0"/>
  </r>
  <r>
    <n v="2522800"/>
    <s v="Avinash Tg"/>
    <d v="2026-07-14T00:00:00"/>
    <x v="0"/>
    <s v="FTE"/>
    <s v="Chennai"/>
    <s v="CIS26MCPT017"/>
    <s v="Haritha P"/>
    <d v="2026-11-09T00:00:00"/>
    <x v="0"/>
    <s v="In-Training"/>
    <x v="0"/>
    <x v="0"/>
    <s v="Stay@Ease Corporate Living Solution (Boys Hostel)"/>
    <x v="1"/>
    <x v="1"/>
    <x v="3"/>
    <x v="0"/>
    <x v="0"/>
  </r>
  <r>
    <n v="2522808"/>
    <s v="Priyadharshini K"/>
    <d v="2026-07-14T00:00:00"/>
    <x v="1"/>
    <s v="FTE"/>
    <s v="Chennai"/>
    <s v="CIS26MCPT017"/>
    <s v="Haritha P"/>
    <d v="2026-11-09T00:00:00"/>
    <x v="0"/>
    <s v="In-Training"/>
    <x v="0"/>
    <x v="0"/>
    <s v="CLOUD LAND NAVALUR"/>
    <x v="1"/>
    <x v="1"/>
    <x v="2"/>
    <x v="0"/>
    <x v="0"/>
  </r>
  <r>
    <n v="2522851"/>
    <s v="Mounika M"/>
    <d v="2026-07-14T00:00:00"/>
    <x v="1"/>
    <s v="FTE"/>
    <s v="Chennai"/>
    <s v="CIS26MCPT017"/>
    <s v="Haritha P"/>
    <d v="2026-11-09T00:00:00"/>
    <x v="0"/>
    <s v="In-Training"/>
    <x v="1"/>
    <x v="2"/>
    <s v="Mangai kamalam Appartments"/>
    <x v="1"/>
    <x v="1"/>
    <x v="3"/>
    <x v="0"/>
    <x v="1"/>
  </r>
  <r>
    <n v="2522854"/>
    <s v="Nandika Sakthi V"/>
    <d v="2026-07-14T00:00:00"/>
    <x v="1"/>
    <s v="FTE"/>
    <s v="Chennai"/>
    <s v="CIS26MCPT017"/>
    <s v="Haritha P"/>
    <d v="2026-11-09T00:00:00"/>
    <x v="0"/>
    <s v="In-Training"/>
    <x v="0"/>
    <x v="0"/>
    <s v="Aditi Womens Hostel"/>
    <x v="1"/>
    <x v="1"/>
    <x v="3"/>
    <x v="0"/>
    <x v="0"/>
  </r>
  <r>
    <n v="2522855"/>
    <s v="Naren G K"/>
    <d v="2026-07-14T00:00:00"/>
    <x v="0"/>
    <s v="FTE"/>
    <s v="Chennai"/>
    <s v="CIS26MCPT017"/>
    <s v="Haritha P"/>
    <d v="2026-11-09T00:00:00"/>
    <x v="0"/>
    <s v="In-Training"/>
    <x v="0"/>
    <x v="0"/>
    <s v="Elite Stays PG"/>
    <x v="1"/>
    <x v="0"/>
    <x v="3"/>
    <x v="0"/>
    <x v="0"/>
  </r>
  <r>
    <n v="2522864"/>
    <s v="Chaithra M"/>
    <d v="2026-07-14T00:00:00"/>
    <x v="1"/>
    <s v="FTE"/>
    <s v="Chennai"/>
    <s v="CIS26MCPT017"/>
    <s v="Haritha P"/>
    <d v="2026-11-09T00:00:00"/>
    <x v="0"/>
    <s v="In-Training"/>
    <x v="0"/>
    <x v="4"/>
    <s v="Sai Rama Sai Ladies PG Branch 1,Egattur"/>
    <x v="1"/>
    <x v="0"/>
    <x v="0"/>
    <x v="0"/>
    <x v="0"/>
  </r>
  <r>
    <n v="2523374"/>
    <s v="Krish Dineshbhai Bhuva"/>
    <d v="2026-07-16T00:00:00"/>
    <x v="0"/>
    <s v="FTE"/>
    <s v="Chennai"/>
    <s v="CS26CS009"/>
    <s v="Laksiya Vijayendran"/>
    <d v="2026-10-14T00:00:00"/>
    <x v="3"/>
    <s v="In-Training"/>
    <x v="0"/>
    <x v="0"/>
    <s v="Room No.207, Siddu’s Premium Men’s PG, No 89C, city park layout, 3rd left street, Egattur, Siruseri IT Park, Chennai, Tamil Nadu 603103  "/>
    <x v="1"/>
    <x v="0"/>
    <x v="3"/>
    <x v="0"/>
    <x v="0"/>
  </r>
  <r>
    <n v="2523388"/>
    <s v="Parvez Ibrar Ahmed Khan"/>
    <d v="2026-07-16T00:00:00"/>
    <x v="0"/>
    <s v="FTE"/>
    <s v="Chennai"/>
    <s v="CS26CS009"/>
    <s v="Laksiya Vijayendran"/>
    <d v="2026-10-14T00:00:00"/>
    <x v="3"/>
    <s v="In-Training"/>
    <x v="0"/>
    <x v="0"/>
    <s v="Siddus Premium Mens PG"/>
    <x v="1"/>
    <x v="0"/>
    <x v="3"/>
    <x v="0"/>
    <x v="0"/>
  </r>
  <r>
    <n v="2523394"/>
    <s v="Gowtham H M"/>
    <d v="2026-07-16T00:00:00"/>
    <x v="0"/>
    <s v="FTE"/>
    <s v="Chennai"/>
    <s v="CS26CS010"/>
    <s v="Laksiya Vijayendran"/>
    <d v="2026-10-19T00:00:00"/>
    <x v="3"/>
    <s v="In-Training"/>
    <x v="0"/>
    <x v="0"/>
    <s v="Soma Mens Stay"/>
    <x v="1"/>
    <x v="0"/>
    <x v="3"/>
    <x v="0"/>
    <x v="0"/>
  </r>
  <r>
    <n v="2523399"/>
    <s v="Vaka Kalyani"/>
    <d v="2026-07-16T00:00:00"/>
    <x v="1"/>
    <s v="FTE"/>
    <s v="Chennai"/>
    <s v="CS26CS009"/>
    <s v="Laksiya Vijayendran"/>
    <d v="2026-10-14T00:00:00"/>
    <x v="3"/>
    <s v="In-Training"/>
    <x v="0"/>
    <x v="0"/>
    <s v="Selvis Ladies Pg,Navalur"/>
    <x v="1"/>
    <x v="0"/>
    <x v="2"/>
    <x v="0"/>
    <x v="0"/>
  </r>
  <r>
    <n v="2523400"/>
    <s v="Sri Gayathri K"/>
    <d v="2026-07-16T00:00:00"/>
    <x v="1"/>
    <s v="FTE"/>
    <s v="Chennai"/>
    <s v="CS26CS010"/>
    <s v="Laksiya Vijayendran"/>
    <d v="2026-10-19T00:00:00"/>
    <x v="3"/>
    <s v="In-Training"/>
    <x v="0"/>
    <x v="0"/>
    <s v="SRS Luxury Ladies stays Pg -II, Egattur"/>
    <x v="1"/>
    <x v="0"/>
    <x v="0"/>
    <x v="0"/>
    <x v="0"/>
  </r>
  <r>
    <n v="2523422"/>
    <s v="Hanush Kumar M"/>
    <d v="2026-07-16T00:00:00"/>
    <x v="0"/>
    <s v="FTE"/>
    <s v="Chennai"/>
    <s v="CS26CS009"/>
    <s v="Laksiya Vijayendran"/>
    <d v="2026-10-14T00:00:00"/>
    <x v="3"/>
    <s v="In-Training"/>
    <x v="0"/>
    <x v="0"/>
    <s v="Elite Stays pg, pudhupakkam"/>
    <x v="1"/>
    <x v="1"/>
    <x v="33"/>
    <x v="5"/>
    <x v="0"/>
  </r>
  <r>
    <n v="2523449"/>
    <s v="Sodum Hemanth Kumar Reddy"/>
    <d v="2026-07-16T00:00:00"/>
    <x v="0"/>
    <s v="FTE"/>
    <s v="Chennai"/>
    <s v="CS26CS009"/>
    <s v="Laksiya Vijayendran"/>
    <d v="2026-11-04T00:00:00"/>
    <x v="0"/>
    <s v="In-Training"/>
    <x v="0"/>
    <x v="0"/>
    <s v="Lakshmi Srinivasa mens pg - Eggatur"/>
    <x v="1"/>
    <x v="0"/>
    <x v="0"/>
    <x v="0"/>
    <x v="0"/>
  </r>
  <r>
    <n v="2523454"/>
    <s v="Gunaganti Revan Kumar"/>
    <d v="2026-07-16T00:00:00"/>
    <x v="0"/>
    <s v="FTE"/>
    <s v="Chennai"/>
    <s v="CS26CS010"/>
    <s v="Laksiya Vijayendran"/>
    <d v="2026-10-19T00:00:00"/>
    <x v="3"/>
    <s v="In-Training"/>
    <x v="0"/>
    <x v="0"/>
    <s v="MSR Grand PG Gents PG Hostel, Navalur"/>
    <x v="1"/>
    <x v="0"/>
    <x v="2"/>
    <x v="0"/>
    <x v="0"/>
  </r>
  <r>
    <n v="2524537"/>
    <s v="Patan Akifa Anjum"/>
    <d v="2026-07-21T00:00:00"/>
    <x v="1"/>
    <s v="FTE"/>
    <s v="Chennai"/>
    <s v="IOA26RPA005"/>
    <s v="Adarsh J Nair"/>
    <d v="2026-10-14T00:00:00"/>
    <x v="3"/>
    <s v="In-Training"/>
    <x v="0"/>
    <x v="0"/>
    <s v="CSR Ladies PG - Branch 1, Egattur"/>
    <x v="1"/>
    <x v="0"/>
    <x v="0"/>
    <x v="0"/>
    <x v="0"/>
  </r>
  <r>
    <n v="2524540"/>
    <s v="Sachin Narayanan S"/>
    <d v="2026-07-21T00:00:00"/>
    <x v="0"/>
    <s v="FTE"/>
    <s v="Chennai"/>
    <s v="IOA26RPA005"/>
    <s v="Adarsh J Nair"/>
    <d v="2026-10-14T00:00:00"/>
    <x v="3"/>
    <s v="In-Training"/>
    <x v="0"/>
    <x v="0"/>
    <s v="NKS mens PG, Egattur, Siruseri"/>
    <x v="1"/>
    <x v="1"/>
    <x v="3"/>
    <x v="0"/>
    <x v="0"/>
  </r>
  <r>
    <n v="2524541"/>
    <s v="Sakshi Ramdas Salunkhe"/>
    <d v="2026-07-21T00:00:00"/>
    <x v="1"/>
    <s v="FTE"/>
    <s v="Chennai"/>
    <s v="QEA26QEPT024"/>
    <s v="Ajiesya D P"/>
    <d v="2026-11-04T00:00:00"/>
    <x v="0"/>
    <s v="In-Training"/>
    <x v="0"/>
    <x v="0"/>
    <s v="SRS Luxury Stays Womens PG, Branch 6, Navalur"/>
    <x v="1"/>
    <x v="0"/>
    <x v="2"/>
    <x v="0"/>
    <x v="0"/>
  </r>
  <r>
    <n v="2524652"/>
    <s v="Suneela R"/>
    <d v="2026-07-21T00:00:00"/>
    <x v="1"/>
    <s v="FTE"/>
    <s v="Chennai"/>
    <s v="IOA26RPA005"/>
    <s v="Adarsh J Nair"/>
    <d v="2026-10-14T00:00:00"/>
    <x v="3"/>
    <s v="In-Training"/>
    <x v="0"/>
    <x v="0"/>
    <s v="SRS Luxury PG For Woman Hostel - NAVALUR Branch 6"/>
    <x v="1"/>
    <x v="0"/>
    <x v="2"/>
    <x v="0"/>
    <x v="0"/>
  </r>
  <r>
    <n v="2524658"/>
    <s v="Syeda Sidra Quadri"/>
    <d v="2026-07-21T00:00:00"/>
    <x v="1"/>
    <s v="FTE"/>
    <s v="Chennai"/>
    <s v="IOA26RPA005"/>
    <s v="Adarsh J Nair"/>
    <d v="2026-10-14T00:00:00"/>
    <x v="3"/>
    <s v="In-Training"/>
    <x v="0"/>
    <x v="0"/>
    <s v="SRS Luxury PG For Woman Hostel - Branch 6, NAVALUR"/>
    <x v="1"/>
    <x v="0"/>
    <x v="2"/>
    <x v="0"/>
    <x v="0"/>
  </r>
  <r>
    <n v="2525030"/>
    <s v="Bokam Sri Snehankitha"/>
    <d v="2026-07-23T00:00:00"/>
    <x v="1"/>
    <s v="FTE"/>
    <s v="Chennai"/>
    <s v="ADM26ISMO010"/>
    <s v="Thomas Naveen. J"/>
    <d v="2026-10-06T00:00:00"/>
    <x v="3"/>
    <s v="In-Training"/>
    <x v="0"/>
    <x v="0"/>
    <s v="Vaishnavi PG for Ladies in OMR"/>
    <x v="1"/>
    <x v="0"/>
    <x v="3"/>
    <x v="0"/>
    <x v="0"/>
  </r>
  <r>
    <n v="2525084"/>
    <s v="Kirthika A"/>
    <d v="2026-07-23T00:00:00"/>
    <x v="1"/>
    <s v="FTE"/>
    <s v="Chennai"/>
    <s v="CIS26DWP023"/>
    <s v="Geebiga B"/>
    <d v="2026-09-17T00:00:00"/>
    <x v="2"/>
    <s v="In-Training"/>
    <x v="0"/>
    <x v="0"/>
    <s v="New Manikandam Ladies hostel Branch 14"/>
    <x v="1"/>
    <x v="0"/>
    <x v="3"/>
    <x v="0"/>
    <x v="0"/>
  </r>
  <r>
    <n v="2525093"/>
    <s v="Chinmayi S"/>
    <d v="2026-07-23T00:00:00"/>
    <x v="1"/>
    <s v="FTE"/>
    <s v="Chennai"/>
    <s v="EPS26WD005"/>
    <s v="Vishnupriya Dakshnamurthy"/>
    <d v="2026-11-06T00:00:00"/>
    <x v="0"/>
    <s v="In-Training"/>
    <x v="0"/>
    <x v="0"/>
    <s v="Krishna Nivasa ladies PG, Egattur"/>
    <x v="1"/>
    <x v="0"/>
    <x v="0"/>
    <x v="0"/>
    <x v="0"/>
  </r>
  <r>
    <n v="2526127"/>
    <s v="Shubham Rajendra Mahind"/>
    <d v="2026-07-28T00:00:00"/>
    <x v="0"/>
    <s v="FTE"/>
    <s v="Chennai"/>
    <s v="EPS26WD006"/>
    <s v="Vishnupriya Dakshnamurthy"/>
    <d v="2026-11-27T00:00:00"/>
    <x v="0"/>
    <s v="In-Training"/>
    <x v="0"/>
    <x v="0"/>
    <s v="Soma Mens Stay (PG Hostel)"/>
    <x v="1"/>
    <x v="1"/>
    <x v="3"/>
    <x v="0"/>
    <x v="0"/>
  </r>
  <r>
    <n v="2526128"/>
    <s v="Tejas Sanjay Bagul"/>
    <d v="2026-07-28T00:00:00"/>
    <x v="0"/>
    <s v="FTE"/>
    <s v="Chennai"/>
    <s v="EPS26WD005"/>
    <s v="Vishnupriya Dakshnamurthy"/>
    <d v="2026-11-06T00:00:00"/>
    <x v="0"/>
    <s v="In-Training"/>
    <x v="0"/>
    <x v="0"/>
    <s v="Soma Mens Stay, Sipcot, Siruseri, Chennai"/>
    <x v="1"/>
    <x v="1"/>
    <x v="3"/>
    <x v="0"/>
    <x v="0"/>
  </r>
  <r>
    <n v="2526143"/>
    <s v="Himanshu Singh Sengar"/>
    <d v="2026-07-28T00:00:00"/>
    <x v="0"/>
    <s v="FTE"/>
    <s v="Chennai"/>
    <s v="EPS26WD006"/>
    <s v="Vishnupriya Dakshnamurthy"/>
    <d v="2026-11-27T00:00:00"/>
    <x v="0"/>
    <s v="In-Training"/>
    <x v="0"/>
    <x v="0"/>
    <s v="Truliv Sofia - Co-living &amp; PG in Siruseri"/>
    <x v="1"/>
    <x v="1"/>
    <x v="3"/>
    <x v="0"/>
    <x v="0"/>
  </r>
  <r>
    <n v="2526156"/>
    <s v="Neha Namdev Kale"/>
    <d v="2026-07-28T00:00:00"/>
    <x v="1"/>
    <s v="FTE"/>
    <s v="Chennai"/>
    <s v="EPS26WD005"/>
    <s v="Vishnupriya Dakshnamurthy"/>
    <d v="2026-11-06T00:00:00"/>
    <x v="0"/>
    <s v="In-Training"/>
    <x v="0"/>
    <x v="0"/>
    <s v="Aura Nest Pg for Ladies"/>
    <x v="1"/>
    <x v="0"/>
    <x v="0"/>
    <x v="0"/>
    <x v="0"/>
  </r>
  <r>
    <n v="2526157"/>
    <s v="Ashutosh Premsing Rathod"/>
    <d v="2026-07-28T00:00:00"/>
    <x v="0"/>
    <s v="FTE"/>
    <s v="Chennai"/>
    <s v="EPS26WD005"/>
    <s v="Vishnupriya Dakshnamurthy"/>
    <d v="2026-11-06T00:00:00"/>
    <x v="0"/>
    <s v="In-Training"/>
    <x v="0"/>
    <x v="0"/>
    <s v="Soma Mens stay, sipcot"/>
    <x v="1"/>
    <x v="0"/>
    <x v="0"/>
    <x v="0"/>
    <x v="0"/>
  </r>
  <r>
    <n v="2526171"/>
    <s v="Vaishnavi Vikas Deshmukhe"/>
    <d v="2026-07-28T00:00:00"/>
    <x v="1"/>
    <s v="FTE"/>
    <s v="Chennai"/>
    <s v="EPS26WD005"/>
    <s v="Vishnupriya Dakshnamurthy"/>
    <d v="2026-11-06T00:00:00"/>
    <x v="0"/>
    <s v="In-Training"/>
    <x v="0"/>
    <x v="0"/>
    <s v="Aura Nest Pg"/>
    <x v="1"/>
    <x v="0"/>
    <x v="0"/>
    <x v="0"/>
    <x v="0"/>
  </r>
  <r>
    <n v="2526621"/>
    <s v="Sahil Ashok Thorat"/>
    <d v="2026-07-30T00:00:00"/>
    <x v="0"/>
    <s v="FTE"/>
    <s v="Chennai"/>
    <s v="QEA26JP001"/>
    <s v="Ajiesya D P"/>
    <s v=""/>
    <x v="1"/>
    <s v="Training - ON Hold"/>
    <x v="0"/>
    <x v="0"/>
    <s v="The Shivam living PG"/>
    <x v="1"/>
    <x v="0"/>
    <x v="0"/>
    <x v="0"/>
    <x v="0"/>
  </r>
  <r>
    <n v="2529495"/>
    <s v="Supreeth A S"/>
    <d v="2026-08-11T00:00:00"/>
    <x v="0"/>
    <s v="FTE"/>
    <s v="Chennai"/>
    <s v="CIS26MCPT024"/>
    <s v="Ashiya Begam S"/>
    <d v="2026-12-03T00:00:00"/>
    <x v="1"/>
    <s v="In-Training"/>
    <x v="0"/>
    <x v="0"/>
    <s v="Stanza Co-living PG -conway House,Navalur"/>
    <x v="1"/>
    <x v="0"/>
    <x v="2"/>
    <x v="0"/>
    <x v="0"/>
  </r>
  <r>
    <n v="2529529"/>
    <s v="A Vishnu Prakash Reddy"/>
    <d v="2026-08-11T00:00:00"/>
    <x v="0"/>
    <s v="FTE"/>
    <s v="Chennai"/>
    <s v="CIS26MCPT024"/>
    <s v="Ashiya Begam S"/>
    <d v="2026-12-03T00:00:00"/>
    <x v="1"/>
    <s v="In-Training"/>
    <x v="0"/>
    <x v="0"/>
    <s v="Sri Sai gents Deluxe PG , periyar street ,uthandi,siruseri"/>
    <x v="1"/>
    <x v="0"/>
    <x v="3"/>
    <x v="0"/>
    <x v="0"/>
  </r>
  <r>
    <n v="2529547"/>
    <s v="Pranjal Bhausaheb Purkar"/>
    <d v="2026-08-11T00:00:00"/>
    <x v="1"/>
    <s v="FTE"/>
    <s v="Chennai"/>
    <s v="CIS26MCPT023"/>
    <s v="Kishorekumar P"/>
    <d v="2026-12-03T00:00:00"/>
    <x v="1"/>
    <s v="In-Training"/>
    <x v="0"/>
    <x v="0"/>
    <s v="Sri Sai unique ladies PG"/>
    <x v="1"/>
    <x v="0"/>
    <x v="3"/>
    <x v="0"/>
    <x v="0"/>
  </r>
  <r>
    <n v="2529550"/>
    <s v="Pradeepthi Beesetti"/>
    <d v="2026-08-11T00:00:00"/>
    <x v="1"/>
    <s v="FTE"/>
    <s v="Chennai"/>
    <s v="CIS26MCPT025"/>
    <s v="Vignesh S"/>
    <d v="2026-12-03T00:00:00"/>
    <x v="1"/>
    <s v="In-Training"/>
    <x v="0"/>
    <x v="0"/>
    <s v="Sri Lakshmi Venkateswara PG for Ladies"/>
    <x v="1"/>
    <x v="0"/>
    <x v="0"/>
    <x v="0"/>
    <x v="0"/>
  </r>
  <r>
    <n v="2529565"/>
    <s v="Yashas M"/>
    <d v="2026-08-11T00:00:00"/>
    <x v="0"/>
    <s v="FTE"/>
    <s v="Chennai"/>
    <s v="CIS26MCPT024"/>
    <s v="Ashiya Begam S"/>
    <d v="2026-12-03T00:00:00"/>
    <x v="1"/>
    <s v="In-Training"/>
    <x v="0"/>
    <x v="0"/>
    <s v="Aadhi Lashmi PG"/>
    <x v="1"/>
    <x v="0"/>
    <x v="0"/>
    <x v="0"/>
    <x v="0"/>
  </r>
  <r>
    <n v="2529584"/>
    <s v="Pathan Sajid Khan"/>
    <d v="2026-08-11T00:00:00"/>
    <x v="0"/>
    <s v="FTE"/>
    <s v="Chennai"/>
    <s v="CIS26MCPT023"/>
    <s v="Kishorekumar P"/>
    <d v="2026-12-03T00:00:00"/>
    <x v="1"/>
    <s v="In-Training"/>
    <x v="0"/>
    <x v="0"/>
    <s v="BLR Gents PG Siruseri"/>
    <x v="1"/>
    <x v="0"/>
    <x v="3"/>
    <x v="0"/>
    <x v="0"/>
  </r>
  <r>
    <n v="2529597"/>
    <s v="Kandula Siva Pratap"/>
    <d v="2026-08-11T00:00:00"/>
    <x v="0"/>
    <s v="FTE"/>
    <s v="Chennai"/>
    <s v="CIS26MCPT026"/>
    <s v="Mohamed Harish"/>
    <d v="2026-12-08T00:00:00"/>
    <x v="1"/>
    <s v="In-Training"/>
    <x v="0"/>
    <x v="0"/>
    <s v="aadhi lakshmi gents pg"/>
    <x v="1"/>
    <x v="0"/>
    <x v="0"/>
    <x v="0"/>
    <x v="0"/>
  </r>
  <r>
    <n v="2529599"/>
    <s v="Joshua Stephen Shettiyar"/>
    <d v="2026-08-11T00:00:00"/>
    <x v="0"/>
    <s v="FTE"/>
    <s v="Chennai"/>
    <s v="CIS26MCPT022"/>
    <s v="Laksiya Vijayendran"/>
    <d v="2026-12-03T00:00:00"/>
    <x v="1"/>
    <s v="In-Training"/>
    <x v="0"/>
    <x v="0"/>
    <s v="Yashvitha PG"/>
    <x v="1"/>
    <x v="0"/>
    <x v="3"/>
    <x v="0"/>
    <x v="0"/>
  </r>
  <r>
    <n v="2529611"/>
    <s v="Manikantareddy Muppidi"/>
    <d v="2026-08-11T00:00:00"/>
    <x v="0"/>
    <s v="FTE"/>
    <s v="Chennai"/>
    <s v="CIS26MCPT021"/>
    <s v="Uma Venkatachalam"/>
    <d v="2026-12-08T00:00:00"/>
    <x v="1"/>
    <s v="In-Training"/>
    <x v="0"/>
    <x v="0"/>
    <s v="Aadilakshmi PG For Gents, EGTTUR"/>
    <x v="1"/>
    <x v="0"/>
    <x v="3"/>
    <x v="0"/>
    <x v="0"/>
  </r>
  <r>
    <n v="2529615"/>
    <s v="Arunkumar Kanakaraj"/>
    <d v="2026-08-11T00:00:00"/>
    <x v="0"/>
    <s v="FTE"/>
    <s v="Chennai"/>
    <s v="CIS26MCPT025"/>
    <s v="Vignesh S"/>
    <d v="2026-12-03T00:00:00"/>
    <x v="1"/>
    <s v="In-Training"/>
    <x v="0"/>
    <x v="0"/>
    <s v="Chennais Elite mens PG"/>
    <x v="1"/>
    <x v="1"/>
    <x v="3"/>
    <x v="0"/>
    <x v="0"/>
  </r>
  <r>
    <n v="2529616"/>
    <s v="Arun Rachuri"/>
    <d v="2026-08-11T00:00:00"/>
    <x v="0"/>
    <s v="FTE"/>
    <s v="Chennai"/>
    <s v="CIS26MCPT022"/>
    <s v="Laksiya Vijayendran"/>
    <d v="2026-12-03T00:00:00"/>
    <x v="1"/>
    <s v="In-Training"/>
    <x v="0"/>
    <x v="0"/>
    <s v="sri sai venkateswara pg, Egattur"/>
    <x v="1"/>
    <x v="0"/>
    <x v="0"/>
    <x v="0"/>
    <x v="0"/>
  </r>
  <r>
    <n v="2529620"/>
    <s v="Adari Jhansi Manasa"/>
    <d v="2026-08-11T00:00:00"/>
    <x v="1"/>
    <s v="FTE"/>
    <s v="Chennai"/>
    <s v="CIS26MCPT023"/>
    <s v="Kishorekumar P"/>
    <d v="2026-12-03T00:00:00"/>
    <x v="1"/>
    <s v="In-Training"/>
    <x v="0"/>
    <x v="0"/>
    <s v="smily inn pg,block 3,Navalur"/>
    <x v="1"/>
    <x v="0"/>
    <x v="2"/>
    <x v="0"/>
    <x v="0"/>
  </r>
  <r>
    <n v="2529625"/>
    <s v="Amal Krishna A"/>
    <d v="2026-08-11T00:00:00"/>
    <x v="0"/>
    <s v="FTE"/>
    <s v="Chennai"/>
    <s v="CIS26MCPT024"/>
    <s v="Ashiya Begam S"/>
    <d v="2026-12-03T00:00:00"/>
    <x v="1"/>
    <s v="In-Training"/>
    <x v="0"/>
    <x v="0"/>
    <s v="Yasvidha Mens PG, Egattur"/>
    <x v="1"/>
    <x v="1"/>
    <x v="3"/>
    <x v="0"/>
    <x v="0"/>
  </r>
  <r>
    <n v="2529636"/>
    <s v="Poojitha Narendra"/>
    <d v="2026-08-11T00:00:00"/>
    <x v="1"/>
    <s v="FTE"/>
    <s v="Chennai"/>
    <s v="CIS26MCPT021"/>
    <s v="Uma Venkatachalam"/>
    <d v="2026-12-08T00:00:00"/>
    <x v="1"/>
    <s v="In-Training"/>
    <x v="0"/>
    <x v="0"/>
    <s v="Branch 1 SRS luxury pg for ladies"/>
    <x v="1"/>
    <x v="0"/>
    <x v="0"/>
    <x v="0"/>
    <x v="0"/>
  </r>
  <r>
    <n v="2529644"/>
    <s v="Irfan Mohammad Shaik"/>
    <d v="2026-08-11T00:00:00"/>
    <x v="0"/>
    <s v="FTE"/>
    <s v="Chennai"/>
    <s v="CIS26MCPT025"/>
    <s v="Vignesh S"/>
    <d v="2026-12-03T00:00:00"/>
    <x v="1"/>
    <s v="In-Training"/>
    <x v="0"/>
    <x v="0"/>
    <s v="GVK Deluxe Gents PG, Navalur."/>
    <x v="1"/>
    <x v="0"/>
    <x v="2"/>
    <x v="0"/>
    <x v="0"/>
  </r>
  <r>
    <n v="2529650"/>
    <s v="Harshitha U"/>
    <d v="2026-08-11T00:00:00"/>
    <x v="1"/>
    <s v="FTE"/>
    <s v="Chennai"/>
    <s v="CIS26MCPT024"/>
    <s v="Ashiya Begam S"/>
    <d v="2026-12-03T00:00:00"/>
    <x v="1"/>
    <s v="In-Training"/>
    <x v="0"/>
    <x v="0"/>
    <s v="MSR Luxury Ladies PG Branch III"/>
    <x v="1"/>
    <x v="0"/>
    <x v="0"/>
    <x v="0"/>
    <x v="0"/>
  </r>
  <r>
    <n v="2529669"/>
    <s v="Gatla Kavya"/>
    <d v="2026-08-11T00:00:00"/>
    <x v="1"/>
    <s v="FTE"/>
    <s v="Chennai"/>
    <s v="CIS26AZ001"/>
    <s v="Ashiya Begam S"/>
    <d v="2026-11-09T00:00:00"/>
    <x v="0"/>
    <s v="In-Training"/>
    <x v="0"/>
    <x v="4"/>
    <s v="Vishvas Ladies Hostel"/>
    <x v="1"/>
    <x v="0"/>
    <x v="3"/>
    <x v="0"/>
    <x v="0"/>
  </r>
  <r>
    <n v="2529717"/>
    <s v="Akshaya Murugeson"/>
    <d v="2026-08-11T00:00:00"/>
    <x v="1"/>
    <s v="FTE"/>
    <s v="Chennai"/>
    <s v="EPS26SAP034"/>
    <s v="Gayathri Ramachandran"/>
    <d v="2026-11-05T00:00:00"/>
    <x v="0"/>
    <s v="In-Training"/>
    <x v="0"/>
    <x v="0"/>
    <s v="Sri Sai Uniqs (Ladies), Egattur"/>
    <x v="1"/>
    <x v="1"/>
    <x v="0"/>
    <x v="0"/>
    <x v="0"/>
  </r>
  <r>
    <n v="2529721"/>
    <s v="Amjuri Kanaka Harish"/>
    <d v="2026-08-11T00:00:00"/>
    <x v="0"/>
    <s v="FTE"/>
    <s v="Chennai"/>
    <s v="CIS26AZ001"/>
    <s v="Ashiya Begam S"/>
    <d v="2026-11-09T00:00:00"/>
    <x v="0"/>
    <s v="In-Training"/>
    <x v="0"/>
    <x v="0"/>
    <s v="Geethika Grand Gents PG"/>
    <x v="1"/>
    <x v="0"/>
    <x v="3"/>
    <x v="0"/>
    <x v="0"/>
  </r>
  <r>
    <n v="2529769"/>
    <s v="Arpan Nayak"/>
    <d v="2026-08-11T00:00:00"/>
    <x v="0"/>
    <s v="FTE"/>
    <s v="Chennai"/>
    <s v="CIS26MCPT026"/>
    <s v="Mohamed Harish"/>
    <d v="2026-12-08T00:00:00"/>
    <x v="1"/>
    <s v="In-Training"/>
    <x v="0"/>
    <x v="0"/>
    <s v="Balaji Infinity Pg, 4/108, Egattura"/>
    <x v="1"/>
    <x v="0"/>
    <x v="0"/>
    <x v="0"/>
    <x v="0"/>
  </r>
  <r>
    <n v="2529778"/>
    <s v="Gokul S"/>
    <d v="2026-08-11T00:00:00"/>
    <x v="0"/>
    <s v="FTE"/>
    <s v="Chennai"/>
    <s v="CIS26MCPT023"/>
    <s v="Kishorekumar P"/>
    <d v="2026-12-03T00:00:00"/>
    <x v="1"/>
    <s v="In-Training"/>
    <x v="1"/>
    <x v="3"/>
    <s v="Udaya phase 1"/>
    <x v="1"/>
    <x v="1"/>
    <x v="18"/>
    <x v="1"/>
    <x v="1"/>
  </r>
  <r>
    <n v="2529781"/>
    <s v="Kavitha S"/>
    <d v="2026-08-11T00:00:00"/>
    <x v="1"/>
    <s v="FTE"/>
    <s v="Chennai"/>
    <s v="CIS26MCPT024"/>
    <s v="Ashiya Begam S"/>
    <d v="2026-12-03T00:00:00"/>
    <x v="1"/>
    <s v="In-Training"/>
    <x v="0"/>
    <x v="0"/>
    <s v="Jothi Ladies PG"/>
    <x v="1"/>
    <x v="0"/>
    <x v="2"/>
    <x v="0"/>
    <x v="0"/>
  </r>
  <r>
    <n v="2529794"/>
    <s v="Harshavardhan Murala"/>
    <d v="2026-08-11T00:00:00"/>
    <x v="0"/>
    <s v="FTE"/>
    <s v="Chennai"/>
    <s v="CIS26MCPT023"/>
    <s v="Kishorekumar P"/>
    <d v="2026-12-03T00:00:00"/>
    <x v="1"/>
    <s v="In-Training"/>
    <x v="0"/>
    <x v="0"/>
    <s v="SIVA SAI GENTS PG- EGATTUR"/>
    <x v="1"/>
    <x v="0"/>
    <x v="0"/>
    <x v="0"/>
    <x v="0"/>
  </r>
  <r>
    <n v="2529798"/>
    <s v="Panakala Kavya"/>
    <d v="2026-08-11T00:00:00"/>
    <x v="1"/>
    <s v="FTE"/>
    <s v="Chennai"/>
    <s v="CIS26AZ001"/>
    <s v="Ashiya Begam S"/>
    <d v="2026-11-09T00:00:00"/>
    <x v="0"/>
    <s v="In-Training"/>
    <x v="0"/>
    <x v="0"/>
    <s v="Aura Nest Pg for ladies, Sipcot"/>
    <x v="1"/>
    <x v="0"/>
    <x v="3"/>
    <x v="0"/>
    <x v="0"/>
  </r>
  <r>
    <n v="2530138"/>
    <s v="Rizwan Khan"/>
    <d v="2026-08-13T00:00:00"/>
    <x v="0"/>
    <s v="FTE"/>
    <s v="Chennai"/>
    <s v="EPS26SAP034"/>
    <s v="Gayathri Ramachandran"/>
    <d v="2026-11-05T00:00:00"/>
    <x v="0"/>
    <s v="In-Training"/>
    <x v="0"/>
    <x v="0"/>
    <s v="Zolo Cyan, Padur"/>
    <x v="1"/>
    <x v="0"/>
    <x v="5"/>
    <x v="2"/>
    <x v="2"/>
  </r>
  <r>
    <n v="2530197"/>
    <s v="Arin Jiji George"/>
    <d v="2026-08-13T00:00:00"/>
    <x v="0"/>
    <s v="FTE"/>
    <s v="Chennai"/>
    <s v="EPS26OSP010"/>
    <s v="Vishnupriya Dakshnamurthy"/>
    <d v="2026-12-01T00:00:00"/>
    <x v="1"/>
    <s v="In-Training"/>
    <x v="0"/>
    <x v="0"/>
    <s v="Sri venkata Sai Hanuman mens pg, egattur, siruseri"/>
    <x v="1"/>
    <x v="0"/>
    <x v="3"/>
    <x v="0"/>
    <x v="0"/>
  </r>
  <r>
    <n v="2530216"/>
    <s v="Lipika C"/>
    <d v="2026-08-13T00:00:00"/>
    <x v="1"/>
    <s v="FTE"/>
    <s v="Chennai"/>
    <s v="EPS26OSPPRO001"/>
    <s v="Gayathri Ramachandran"/>
    <d v="2026-12-07T00:00:00"/>
    <x v="1"/>
    <s v="In-Training"/>
    <x v="0"/>
    <x v="0"/>
    <s v=" Aura Nest Pg For Ladies  "/>
    <x v="1"/>
    <x v="1"/>
    <x v="0"/>
    <x v="0"/>
    <x v="0"/>
  </r>
  <r>
    <n v="2531274"/>
    <s v="Evelyn Devapriya"/>
    <d v="2026-08-18T00:00:00"/>
    <x v="1"/>
    <s v="FTE"/>
    <s v="Chennai"/>
    <s v="EPS26SAP033"/>
    <s v="Ajith Ganesan"/>
    <d v="2026-11-04T00:00:00"/>
    <x v="0"/>
    <s v="In-Training"/>
    <x v="0"/>
    <x v="0"/>
    <s v="Sri Venkata Hanuman Sai Ladies PG, Egattur"/>
    <x v="1"/>
    <x v="0"/>
    <x v="0"/>
    <x v="0"/>
    <x v="0"/>
  </r>
  <r>
    <n v="2531279"/>
    <s v="Usha Nandhini G"/>
    <d v="2026-08-18T00:00:00"/>
    <x v="1"/>
    <s v="FTE"/>
    <s v="Chennai"/>
    <s v="EPS26SAP033"/>
    <s v="Ajith Ganesan"/>
    <d v="2026-11-04T00:00:00"/>
    <x v="0"/>
    <s v="In-Training"/>
    <x v="0"/>
    <x v="0"/>
    <s v="Silver star stay luxury womens PG,Egattur"/>
    <x v="1"/>
    <x v="1"/>
    <x v="0"/>
    <x v="0"/>
    <x v="0"/>
  </r>
  <r>
    <n v="2531379"/>
    <s v="Nurpasha Dilsha Begum"/>
    <d v="2026-08-18T00:00:00"/>
    <x v="1"/>
    <s v="FTE"/>
    <s v="Chennai"/>
    <s v="CIS26AT007"/>
    <s v="Uma Venkatachalam"/>
    <d v="2026-12-09T00:00:00"/>
    <x v="1"/>
    <s v="In-Training"/>
    <x v="0"/>
    <x v="0"/>
    <s v="CSR luxury women pg, Branch 2,Eggatur"/>
    <x v="1"/>
    <x v="0"/>
    <x v="2"/>
    <x v="0"/>
    <x v="0"/>
  </r>
  <r>
    <n v="2531381"/>
    <s v="Dudekula Rizwana"/>
    <d v="2026-08-18T00:00:00"/>
    <x v="1"/>
    <s v="FTE"/>
    <s v="Chennai"/>
    <s v="CIS26AT007"/>
    <s v="Uma Venkatachalam"/>
    <d v="2026-12-09T00:00:00"/>
    <x v="1"/>
    <s v="In-Training"/>
    <x v="0"/>
    <x v="0"/>
    <s v="Aura Nest PG for ladies,city park 86"/>
    <x v="1"/>
    <x v="0"/>
    <x v="3"/>
    <x v="0"/>
    <x v="0"/>
  </r>
  <r>
    <n v="2531385"/>
    <s v="Goli Sri Godha"/>
    <d v="2026-08-18T00:00:00"/>
    <x v="1"/>
    <s v="FTE"/>
    <s v="Chennai"/>
    <s v="CIS26AT007"/>
    <s v="Uma Venkatachalam"/>
    <d v="2026-12-09T00:00:00"/>
    <x v="1"/>
    <s v="In-Training"/>
    <x v="0"/>
    <x v="0"/>
    <s v="Krishna Nivas Ladies PG, Egattur"/>
    <x v="1"/>
    <x v="0"/>
    <x v="0"/>
    <x v="0"/>
    <x v="0"/>
  </r>
  <r>
    <n v="2531395"/>
    <s v="Liziana Shaik"/>
    <d v="2026-08-18T00:00:00"/>
    <x v="1"/>
    <s v="FTE"/>
    <s v="Chennai"/>
    <s v="CIS26AT007"/>
    <s v="Uma Venkatachalam"/>
    <d v="2026-12-09T00:00:00"/>
    <x v="1"/>
    <s v="In-Training"/>
    <x v="0"/>
    <x v="0"/>
    <s v="csr luxury womens pg branch 2, egattur"/>
    <x v="1"/>
    <x v="1"/>
    <x v="0"/>
    <x v="0"/>
    <x v="0"/>
  </r>
  <r>
    <n v="2531401"/>
    <s v="Karthikeyan R"/>
    <d v="2026-08-18T00:00:00"/>
    <x v="0"/>
    <s v="FTE"/>
    <s v="Chennai"/>
    <s v="EPS26WD006"/>
    <s v="Vishnupriya Dakshnamurthy"/>
    <d v="2026-11-27T00:00:00"/>
    <x v="0"/>
    <s v="In-Training"/>
    <x v="0"/>
    <x v="0"/>
    <s v="Narayanan PG"/>
    <x v="1"/>
    <x v="0"/>
    <x v="2"/>
    <x v="0"/>
    <x v="0"/>
  </r>
  <r>
    <n v="2531411"/>
    <s v="Ashitha M"/>
    <d v="2026-08-18T00:00:00"/>
    <x v="1"/>
    <s v="FTE"/>
    <s v="Chennai"/>
    <s v="EPS26SAP037"/>
    <s v="Gayathri Ramachandran"/>
    <d v="2026-11-04T00:00:00"/>
    <x v="0"/>
    <s v="In-Training"/>
    <x v="0"/>
    <x v="0"/>
    <s v="Sai Teja Luxury Women Hostel, Periyar street, Egattur, Siruseri,  Chennai"/>
    <x v="1"/>
    <x v="0"/>
    <x v="3"/>
    <x v="0"/>
    <x v="0"/>
  </r>
  <r>
    <n v="2531418"/>
    <s v="Bhumika N"/>
    <d v="2026-08-18T00:00:00"/>
    <x v="1"/>
    <s v="FTE"/>
    <s v="Chennai"/>
    <s v="EPS26SAP036"/>
    <s v="Vishnupriya Dakshnamurthy"/>
    <d v="2026-11-09T00:00:00"/>
    <x v="0"/>
    <s v="In-Training"/>
    <x v="0"/>
    <x v="0"/>
    <s v="Sai Teja Luxury Womens Hostel, Siruseri"/>
    <x v="1"/>
    <x v="0"/>
    <x v="3"/>
    <x v="0"/>
    <x v="0"/>
  </r>
  <r>
    <n v="2531821"/>
    <s v="Palak Jain"/>
    <d v="2026-08-20T00:00:00"/>
    <x v="1"/>
    <s v="FTE"/>
    <s v="Chennai"/>
    <s v="CS26CS011"/>
    <s v="Kishorekumar P"/>
    <d v="2026-11-17T00:00:00"/>
    <x v="0"/>
    <s v="In-Training"/>
    <x v="0"/>
    <x v="0"/>
    <s v="Sai Grand Womens PG, Ambedkar Street"/>
    <x v="1"/>
    <x v="0"/>
    <x v="3"/>
    <x v="0"/>
    <x v="0"/>
  </r>
  <r>
    <n v="2531827"/>
    <s v="Abhinav K G"/>
    <d v="2026-08-20T00:00:00"/>
    <x v="0"/>
    <s v="FTE"/>
    <s v="Chennai"/>
    <s v="CS26CS012"/>
    <s v="Laksiya Vijayendran"/>
    <d v="2026-11-17T00:00:00"/>
    <x v="0"/>
    <s v="In-Training"/>
    <x v="0"/>
    <x v="0"/>
    <s v="SS (Siva Sai) Gents PG, Siruseri"/>
    <x v="1"/>
    <x v="0"/>
    <x v="3"/>
    <x v="0"/>
    <x v="0"/>
  </r>
  <r>
    <n v="2531828"/>
    <s v="Ananya Keshava"/>
    <d v="2026-08-20T00:00:00"/>
    <x v="1"/>
    <s v="FTE"/>
    <s v="Chennai"/>
    <s v="CS26CS012"/>
    <s v="Laksiya Vijayendran"/>
    <d v="2026-11-17T00:00:00"/>
    <x v="0"/>
    <s v="In-Training"/>
    <x v="0"/>
    <x v="0"/>
    <s v="Sai grand womens PG, Ambedkar street, Egattur"/>
    <x v="1"/>
    <x v="0"/>
    <x v="0"/>
    <x v="0"/>
    <x v="0"/>
  </r>
  <r>
    <n v="2531837"/>
    <s v="Aditya Gokarn"/>
    <d v="2026-08-20T00:00:00"/>
    <x v="0"/>
    <s v="FTE"/>
    <s v="Chennai"/>
    <s v="CS26CS012"/>
    <s v="Laksiya Vijayendran"/>
    <d v="2026-11-17T00:00:00"/>
    <x v="0"/>
    <s v="In-Training"/>
    <x v="0"/>
    <x v="0"/>
    <s v="SRI VENKATA SAI HANUMN GENTS PG (Branch-2)"/>
    <x v="1"/>
    <x v="0"/>
    <x v="0"/>
    <x v="0"/>
    <x v="0"/>
  </r>
  <r>
    <n v="2531839"/>
    <s v="Varshanth Gowda M L"/>
    <d v="2026-08-20T00:00:00"/>
    <x v="0"/>
    <s v="FTE"/>
    <s v="Chennai"/>
    <s v="CS26CS012"/>
    <s v="Laksiya Vijayendran"/>
    <d v="2026-11-17T00:00:00"/>
    <x v="0"/>
    <s v="In-Training"/>
    <x v="0"/>
    <x v="0"/>
    <s v="SS (Siva Sai) Gents PG"/>
    <x v="1"/>
    <x v="0"/>
    <x v="3"/>
    <x v="0"/>
    <x v="0"/>
  </r>
  <r>
    <n v="2531843"/>
    <s v="Nikhil Kumar"/>
    <d v="2026-08-20T00:00:00"/>
    <x v="0"/>
    <s v="FTE"/>
    <s v="Chennai"/>
    <s v="CS26CS012"/>
    <s v="Laksiya Vijayendran"/>
    <d v="2026-11-17T00:00:00"/>
    <x v="0"/>
    <s v="In-Training"/>
    <x v="0"/>
    <x v="0"/>
    <s v="Zolo Mirage"/>
    <x v="1"/>
    <x v="0"/>
    <x v="0"/>
    <x v="0"/>
    <x v="0"/>
  </r>
  <r>
    <n v="2531844"/>
    <s v="Shahid Shakil Mulani"/>
    <d v="2026-08-20T00:00:00"/>
    <x v="0"/>
    <s v="FTE"/>
    <s v="Chennai"/>
    <s v="CS26CS011"/>
    <s v="Kishorekumar P"/>
    <d v="2026-11-17T00:00:00"/>
    <x v="0"/>
    <s v="In-Training"/>
    <x v="0"/>
    <x v="0"/>
    <s v="vishwas professional stay pg egatoor,"/>
    <x v="1"/>
    <x v="0"/>
    <x v="3"/>
    <x v="0"/>
    <x v="0"/>
  </r>
  <r>
    <n v="2531861"/>
    <s v="Manav Kumar"/>
    <d v="2026-08-20T00:00:00"/>
    <x v="0"/>
    <s v="FTE"/>
    <s v="Chennai"/>
    <s v="CS26CS012"/>
    <s v="Laksiya Vijayendran"/>
    <d v="2026-11-17T00:00:00"/>
    <x v="0"/>
    <s v="In-Training"/>
    <x v="0"/>
    <x v="0"/>
    <s v="Siddu’s Premium Men’s PG"/>
    <x v="1"/>
    <x v="0"/>
    <x v="3"/>
    <x v="0"/>
    <x v="0"/>
  </r>
  <r>
    <n v="2531951"/>
    <s v="Parthiv Reddy Pelluru"/>
    <d v="2026-08-20T00:00:00"/>
    <x v="0"/>
    <s v="FTE"/>
    <s v="Chennai"/>
    <s v="FE26FE001"/>
    <s v="Grace Esther S"/>
    <d v="2026-10-15T00:00:00"/>
    <x v="3"/>
    <s v="In-Training"/>
    <x v="0"/>
    <x v="0"/>
    <s v="GTR Stays - PG,Egattur"/>
    <x v="1"/>
    <x v="1"/>
    <x v="2"/>
    <x v="0"/>
    <x v="0"/>
  </r>
  <r>
    <n v="2531958"/>
    <s v="Shanthini Shameer"/>
    <d v="2026-08-20T00:00:00"/>
    <x v="1"/>
    <s v="FTE"/>
    <s v="Chennai"/>
    <s v="EPS26OSP011"/>
    <s v="Gayathri Ramachandran"/>
    <s v=""/>
    <x v="1"/>
    <s v="Training - ON Hold"/>
    <x v="0"/>
    <x v="0"/>
    <s v="New Manikandan Hostel Ladies PG"/>
    <x v="1"/>
    <x v="1"/>
    <x v="3"/>
    <x v="0"/>
    <x v="0"/>
  </r>
  <r>
    <n v="2531959"/>
    <s v="Durga R"/>
    <d v="2026-08-20T00:00:00"/>
    <x v="1"/>
    <s v="FTE"/>
    <s v="Chennai"/>
    <s v="EPS26OSP011"/>
    <s v="Gayathri Ramachandran"/>
    <s v=""/>
    <x v="1"/>
    <s v="Training - ON Hold"/>
    <x v="0"/>
    <x v="0"/>
    <s v="Aura Nest Pg for Ladies, Siruseri."/>
    <x v="1"/>
    <x v="0"/>
    <x v="3"/>
    <x v="0"/>
    <x v="0"/>
  </r>
  <r>
    <n v="2531969"/>
    <s v="Karthika Vijayakumar"/>
    <d v="2026-08-20T00:00:00"/>
    <x v="1"/>
    <s v="FTE"/>
    <s v="Chennai"/>
    <s v="EPS26OSP011"/>
    <s v="Gayathri Ramachandran"/>
    <s v=""/>
    <x v="1"/>
    <s v="Training - ON Hold"/>
    <x v="0"/>
    <x v="0"/>
    <s v="City Park 86, Muthamma street third cross Road, Siruseri, Chennai,Tamil Nadu 603103"/>
    <x v="1"/>
    <x v="1"/>
    <x v="2"/>
    <x v="0"/>
    <x v="0"/>
  </r>
  <r>
    <n v="2531981"/>
    <s v="Mote Srija"/>
    <d v="2026-08-20T00:00:00"/>
    <x v="1"/>
    <s v="FTE"/>
    <s v="Chennai"/>
    <s v="CS26CS012"/>
    <s v="Laksiya Vijayendran"/>
    <d v="2026-11-17T00:00:00"/>
    <x v="0"/>
    <s v="In-Training"/>
    <x v="0"/>
    <x v="0"/>
    <s v="MSR LUXURY LADIES PG - Branch 3,Egattur "/>
    <x v="1"/>
    <x v="0"/>
    <x v="3"/>
    <x v="0"/>
    <x v="0"/>
  </r>
  <r>
    <n v="2531989"/>
    <s v="Rupant Kumar Rai"/>
    <d v="2026-08-20T00:00:00"/>
    <x v="0"/>
    <s v="FTE"/>
    <s v="Chennai"/>
    <s v="CS26CS011"/>
    <s v="Kishorekumar P"/>
    <d v="2026-11-17T00:00:00"/>
    <x v="0"/>
    <s v="In-Training"/>
    <x v="0"/>
    <x v="0"/>
    <s v="Siddus Premium Mens PG, sipcot it park."/>
    <x v="1"/>
    <x v="0"/>
    <x v="3"/>
    <x v="0"/>
    <x v="0"/>
  </r>
  <r>
    <n v="2531993"/>
    <s v="Rishitha Vooturi"/>
    <d v="2026-08-20T00:00:00"/>
    <x v="1"/>
    <s v="FTE"/>
    <s v="Chennai"/>
    <s v="CS26CS012"/>
    <s v="Laksiya Vijayendran"/>
    <d v="2026-11-17T00:00:00"/>
    <x v="0"/>
    <s v="In-Training"/>
    <x v="0"/>
    <x v="0"/>
    <s v="MSR Luxury PG for Ladies - Branch 3,Egattur"/>
    <x v="1"/>
    <x v="0"/>
    <x v="3"/>
    <x v="0"/>
    <x v="0"/>
  </r>
  <r>
    <n v="2531994"/>
    <s v="Prethvi CR"/>
    <d v="2026-08-20T00:00:00"/>
    <x v="1"/>
    <s v="FTE"/>
    <s v="Chennai"/>
    <s v="EPS26OSP011"/>
    <s v="Gayathri Ramachandran"/>
    <s v=""/>
    <x v="1"/>
    <s v="Training - ON Hold"/>
    <x v="0"/>
    <x v="0"/>
    <s v="Aura nest Ladies Hostel - Siruseri"/>
    <x v="1"/>
    <x v="0"/>
    <x v="3"/>
    <x v="0"/>
    <x v="0"/>
  </r>
  <r>
    <n v="2531998"/>
    <s v="Rithika L"/>
    <d v="2026-08-20T00:00:00"/>
    <x v="1"/>
    <s v="FTE"/>
    <s v="Chennai"/>
    <s v="CS26CS011"/>
    <s v="Kishorekumar P"/>
    <d v="2026-11-17T00:00:00"/>
    <x v="0"/>
    <s v="In-Training"/>
    <x v="0"/>
    <x v="0"/>
    <s v="Smiles Inn PG Services For Ladies (Egattur)"/>
    <x v="1"/>
    <x v="1"/>
    <x v="3"/>
    <x v="0"/>
    <x v="0"/>
  </r>
  <r>
    <n v="2532000"/>
    <s v="Arya Tejas Patel"/>
    <d v="2026-08-20T00:00:00"/>
    <x v="0"/>
    <s v="FTE"/>
    <s v="Chennai"/>
    <s v="CS26CS011"/>
    <s v="Kishorekumar P"/>
    <d v="2026-11-17T00:00:00"/>
    <x v="0"/>
    <s v="In-Training"/>
    <x v="0"/>
    <x v="0"/>
    <s v="Siddus Premium mens PG, Siruseri"/>
    <x v="1"/>
    <x v="0"/>
    <x v="3"/>
    <x v="0"/>
    <x v="0"/>
  </r>
  <r>
    <n v="2532904"/>
    <s v="Kishore R J"/>
    <d v="2026-08-25T00:00:00"/>
    <x v="0"/>
    <s v="FTE"/>
    <s v="Chennai"/>
    <s v="CIS26MBG007"/>
    <s v="Lawrance M"/>
    <d v="2026-12-11T00:00:00"/>
    <x v="1"/>
    <s v="In-Training"/>
    <x v="0"/>
    <x v="0"/>
    <s v="Stanza living conway navalur"/>
    <x v="1"/>
    <x v="1"/>
    <x v="2"/>
    <x v="0"/>
    <x v="0"/>
  </r>
  <r>
    <n v="2532916"/>
    <s v="Saivijayakrishna Mallineni"/>
    <d v="2026-08-25T00:00:00"/>
    <x v="0"/>
    <s v="FTE"/>
    <s v="Chennai"/>
    <s v="CIS26MBG005"/>
    <s v="Angel Maria Faustina Gomez"/>
    <d v="2026-12-11T00:00:00"/>
    <x v="1"/>
    <s v="In-Training"/>
    <x v="0"/>
    <x v="0"/>
    <s v="Geethika grands gents pg,egattur"/>
    <x v="1"/>
    <x v="0"/>
    <x v="0"/>
    <x v="0"/>
    <x v="0"/>
  </r>
  <r>
    <n v="2532917"/>
    <s v="Yasarla Jahnavi"/>
    <d v="2026-08-25T00:00:00"/>
    <x v="1"/>
    <s v="FTE"/>
    <s v="Chennai"/>
    <s v="CIS26MBG006"/>
    <s v="Angel Maria Faustina Gomez"/>
    <d v="2026-12-11T00:00:00"/>
    <x v="1"/>
    <s v="In-Training"/>
    <x v="0"/>
    <x v="0"/>
    <s v="Aura Nest PG for ladies"/>
    <x v="1"/>
    <x v="0"/>
    <x v="3"/>
    <x v="0"/>
    <x v="0"/>
  </r>
  <r>
    <n v="2532924"/>
    <s v="Sunduru Jahnavi"/>
    <d v="2026-08-25T00:00:00"/>
    <x v="1"/>
    <s v="FTE"/>
    <s v="Chennai"/>
    <s v="CIS26MBG005"/>
    <s v="Angel Maria Faustina Gomez"/>
    <d v="2026-12-11T00:00:00"/>
    <x v="1"/>
    <s v="In-Training"/>
    <x v="0"/>
    <x v="0"/>
    <s v="SRI LAKSHMI SRINIVASA LADIES PG"/>
    <x v="1"/>
    <x v="0"/>
    <x v="3"/>
    <x v="0"/>
    <x v="0"/>
  </r>
  <r>
    <n v="2532933"/>
    <s v="Thrisala K"/>
    <d v="2026-08-25T00:00:00"/>
    <x v="1"/>
    <s v="FTE"/>
    <s v="Chennai"/>
    <s v="IOT26CSJ002"/>
    <s v="Pavithra Kandasamy"/>
    <d v="2026-11-11T00:00:00"/>
    <x v="0"/>
    <s v="In-Training"/>
    <x v="0"/>
    <x v="0"/>
    <s v="MSR Luxury PG for Ladies (branch 3)"/>
    <x v="1"/>
    <x v="1"/>
    <x v="3"/>
    <x v="0"/>
    <x v="0"/>
  </r>
  <r>
    <n v="2532935"/>
    <s v="Gangapatruni Sri Venkata Avinash"/>
    <d v="2026-08-25T00:00:00"/>
    <x v="0"/>
    <s v="FTE"/>
    <s v="Chennai"/>
    <s v="CIS26SN002"/>
    <s v="Ashiya Begam S"/>
    <d v="2026-12-02T00:00:00"/>
    <x v="1"/>
    <s v="In-Training"/>
    <x v="0"/>
    <x v="0"/>
    <s v="SS(Siva Sai) PG for gents"/>
    <x v="1"/>
    <x v="0"/>
    <x v="3"/>
    <x v="0"/>
    <x v="0"/>
  </r>
  <r>
    <n v="2532939"/>
    <s v="Mohamed Ibrahim R"/>
    <d v="2026-08-25T00:00:00"/>
    <x v="0"/>
    <s v="FTE"/>
    <s v="Chennai"/>
    <s v="CIS26MBG004"/>
    <s v="Kishorekumar P"/>
    <d v="2026-12-11T00:00:00"/>
    <x v="1"/>
    <s v="In-Training"/>
    <x v="0"/>
    <x v="0"/>
    <s v="Siddhus mens Premium PG- No 89c, city park layout, Siruseri, Egattur, Chennai, Tamilnadu 603103"/>
    <x v="1"/>
    <x v="0"/>
    <x v="3"/>
    <x v="0"/>
    <x v="0"/>
  </r>
  <r>
    <n v="2532942"/>
    <s v="Nalluri Anusha"/>
    <d v="2026-08-25T00:00:00"/>
    <x v="1"/>
    <s v="FTE"/>
    <s v="Chennai"/>
    <s v="CIS26MBG005"/>
    <s v="Angel Maria Faustina Gomez"/>
    <d v="2026-12-11T00:00:00"/>
    <x v="1"/>
    <s v="In-Training"/>
    <x v="0"/>
    <x v="0"/>
    <s v="Sri Lakshmi Srinivasa Ladies PG ,  Periyar St, Siruseri, Egattur"/>
    <x v="1"/>
    <x v="0"/>
    <x v="3"/>
    <x v="0"/>
    <x v="0"/>
  </r>
  <r>
    <n v="2532945"/>
    <s v="Kothem Sasi Chakra Kumari"/>
    <d v="2026-08-25T00:00:00"/>
    <x v="1"/>
    <s v="FTE"/>
    <s v="Chennai"/>
    <s v="CIS26MBG006"/>
    <s v="Angel Maria Faustina Gomez"/>
    <d v="2026-12-11T00:00:00"/>
    <x v="1"/>
    <s v="In-Training"/>
    <x v="0"/>
    <x v="0"/>
    <s v="CSR Luxury Womens PG Branch 2, Egattur"/>
    <x v="1"/>
    <x v="0"/>
    <x v="0"/>
    <x v="0"/>
    <x v="0"/>
  </r>
  <r>
    <n v="2532954"/>
    <s v="Prabhala Subrahmanya Vishnu Siddhardha"/>
    <d v="2026-08-25T00:00:00"/>
    <x v="0"/>
    <s v="FTE"/>
    <s v="Chennai"/>
    <s v="CIS26MBG005"/>
    <s v="Angel Maria Faustina Gomez"/>
    <d v="2026-12-11T00:00:00"/>
    <x v="1"/>
    <s v="In-Training"/>
    <x v="0"/>
    <x v="0"/>
    <s v="Geethika Grand gents pg, Egattur"/>
    <x v="1"/>
    <x v="0"/>
    <x v="0"/>
    <x v="0"/>
    <x v="0"/>
  </r>
  <r>
    <n v="2532956"/>
    <s v="Bantumilli Jeeva Lalithya"/>
    <d v="2026-08-25T00:00:00"/>
    <x v="1"/>
    <s v="FTE"/>
    <s v="Chennai"/>
    <s v="CIS26SN002"/>
    <s v="Ashiya Begam S"/>
    <d v="2026-12-02T00:00:00"/>
    <x v="1"/>
    <s v="In-Training"/>
    <x v="0"/>
    <x v="0"/>
    <s v="Krishna Nivas Ladies Pg- Egattur"/>
    <x v="1"/>
    <x v="0"/>
    <x v="0"/>
    <x v="0"/>
    <x v="0"/>
  </r>
  <r>
    <n v="2532960"/>
    <s v="Veerla Hanumath Kumar"/>
    <d v="2026-08-25T00:00:00"/>
    <x v="0"/>
    <s v="FTE"/>
    <s v="Chennai"/>
    <s v="CIS26AT008"/>
    <s v="Uma Venkatachalam"/>
    <d v="2026-12-09T00:00:00"/>
    <x v="1"/>
    <s v="In-Training"/>
    <x v="0"/>
    <x v="0"/>
    <s v="GVK Deluxe Gents PG ,Navalur "/>
    <x v="1"/>
    <x v="0"/>
    <x v="2"/>
    <x v="0"/>
    <x v="0"/>
  </r>
  <r>
    <n v="2532962"/>
    <s v="Katikaparlu Karthik"/>
    <d v="2026-08-25T00:00:00"/>
    <x v="0"/>
    <s v="FTE"/>
    <s v="Chennai"/>
    <s v="CIS26MBG004"/>
    <s v="Kishorekumar P"/>
    <d v="2026-12-11T00:00:00"/>
    <x v="1"/>
    <s v="In-Training"/>
    <x v="0"/>
    <x v="0"/>
    <s v="CNR Gents PG Branch-1 , SIRUSERI SIPCOT"/>
    <x v="1"/>
    <x v="0"/>
    <x v="3"/>
    <x v="0"/>
    <x v="0"/>
  </r>
  <r>
    <n v="2532980"/>
    <s v="Pallala Manasa"/>
    <d v="2026-08-25T00:00:00"/>
    <x v="1"/>
    <s v="FTE"/>
    <s v="Chennai"/>
    <s v="CIS26MBG005"/>
    <s v="Angel Maria Faustina Gomez"/>
    <d v="2026-12-11T00:00:00"/>
    <x v="1"/>
    <s v="In-Training"/>
    <x v="0"/>
    <x v="0"/>
    <s v="sri lakshmi srinivasa ladies pg, Eggattur"/>
    <x v="1"/>
    <x v="0"/>
    <x v="0"/>
    <x v="0"/>
    <x v="0"/>
  </r>
  <r>
    <n v="2532992"/>
    <s v="Chinta Prudhvi Sai Raj"/>
    <d v="2026-08-25T00:00:00"/>
    <x v="0"/>
    <s v="FTE"/>
    <s v="Chennai"/>
    <s v="CIS26MBG003"/>
    <s v="Kishorekumar P"/>
    <d v="2026-12-11T00:00:00"/>
    <x v="1"/>
    <s v="In-Training"/>
    <x v="0"/>
    <x v="0"/>
    <s v="GVK Deluxe Mens PG- Navalur"/>
    <x v="1"/>
    <x v="1"/>
    <x v="2"/>
    <x v="0"/>
    <x v="0"/>
  </r>
  <r>
    <n v="2532994"/>
    <s v="Maddukuri Lakshmi Santoshi"/>
    <d v="2026-08-25T00:00:00"/>
    <x v="1"/>
    <s v="FTE"/>
    <s v="Chennai"/>
    <s v="CIS26MBG005"/>
    <s v="Angel Maria Faustina Gomez"/>
    <d v="2026-12-11T00:00:00"/>
    <x v="1"/>
    <s v="In-Training"/>
    <x v="0"/>
    <x v="0"/>
    <s v="CSR Luxury womens pg branch-2,Egattur"/>
    <x v="1"/>
    <x v="0"/>
    <x v="0"/>
    <x v="0"/>
    <x v="0"/>
  </r>
  <r>
    <n v="2532999"/>
    <s v="Srinivas Kareti"/>
    <d v="2026-08-25T00:00:00"/>
    <x v="0"/>
    <s v="FTE"/>
    <s v="Chennai"/>
    <s v="CIS26MBG003"/>
    <s v="Kishorekumar P"/>
    <d v="2026-12-11T00:00:00"/>
    <x v="1"/>
    <s v="In-Training"/>
    <x v="0"/>
    <x v="0"/>
    <s v="CNR PG Branch-1 ,Egattur"/>
    <x v="1"/>
    <x v="0"/>
    <x v="3"/>
    <x v="0"/>
    <x v="0"/>
  </r>
  <r>
    <n v="2533007"/>
    <s v="Nese Charan Teja"/>
    <d v="2026-08-25T00:00:00"/>
    <x v="0"/>
    <s v="FTE"/>
    <s v="Chennai"/>
    <s v="CIS26MBG006"/>
    <s v="Angel Maria Faustina Gomez"/>
    <d v="2026-12-11T00:00:00"/>
    <x v="1"/>
    <s v="In-Training"/>
    <x v="0"/>
    <x v="0"/>
    <s v="CNR Gents Pg branch 1, Siruseri"/>
    <x v="1"/>
    <x v="0"/>
    <x v="3"/>
    <x v="0"/>
    <x v="0"/>
  </r>
  <r>
    <n v="2533008"/>
    <s v="Manchikanti Navaneeth"/>
    <d v="2026-08-25T00:00:00"/>
    <x v="0"/>
    <s v="FTE"/>
    <s v="Chennai"/>
    <s v="CIS26MBG007"/>
    <s v="Lawrance M"/>
    <d v="2026-12-11T00:00:00"/>
    <x v="1"/>
    <s v="In-Training"/>
    <x v="0"/>
    <x v="0"/>
    <s v="CNR gents pg branch-1"/>
    <x v="1"/>
    <x v="0"/>
    <x v="3"/>
    <x v="0"/>
    <x v="0"/>
  </r>
  <r>
    <n v="2533012"/>
    <s v="Divya S"/>
    <d v="2026-08-25T00:00:00"/>
    <x v="1"/>
    <s v="FTE"/>
    <s v="Chennai"/>
    <s v="CIS26MBG003"/>
    <s v="Kishorekumar P"/>
    <d v="2026-12-11T00:00:00"/>
    <x v="1"/>
    <s v="In-Training"/>
    <x v="0"/>
    <x v="0"/>
    <s v="Smiles Inn PG Services For Ladies, Besides Hameed Fathima Jumma Masjid, Land Mark:Opposite to Thalassery Restaurant, 2nd St, near SIPCOT IT Park, JJ Nagar, Egattur, Chennai, Tamil Nadu 603103"/>
    <x v="1"/>
    <x v="0"/>
    <x v="0"/>
    <x v="0"/>
    <x v="0"/>
  </r>
  <r>
    <n v="2533013"/>
    <s v="Odela Sai Sri Bhargav"/>
    <d v="2026-08-25T00:00:00"/>
    <x v="0"/>
    <s v="FTE"/>
    <s v="Chennai"/>
    <s v="CIS26AT008"/>
    <s v="Uma Venkatachalam"/>
    <d v="2026-12-09T00:00:00"/>
    <x v="1"/>
    <s v="In-Training"/>
    <x v="0"/>
    <x v="0"/>
    <s v="CNR Gents PG Branch 1, Egattur"/>
    <x v="1"/>
    <x v="0"/>
    <x v="0"/>
    <x v="0"/>
    <x v="0"/>
  </r>
  <r>
    <n v="2533025"/>
    <s v="Lok Naga Durga Sai Manikanta Nagamalla"/>
    <d v="2026-08-25T00:00:00"/>
    <x v="0"/>
    <s v="FTE"/>
    <s v="Chennai"/>
    <s v="CIS26AT008"/>
    <s v="Uma Venkatachalam"/>
    <d v="2026-12-09T00:00:00"/>
    <x v="1"/>
    <s v="In-Training"/>
    <x v="0"/>
    <x v="0"/>
    <s v="geethika grand gents pg, egattur"/>
    <x v="1"/>
    <x v="0"/>
    <x v="3"/>
    <x v="0"/>
    <x v="0"/>
  </r>
  <r>
    <n v="2533035"/>
    <s v="Hemaarthi G"/>
    <d v="2026-08-25T00:00:00"/>
    <x v="1"/>
    <s v="FTE"/>
    <s v="Chennai"/>
    <s v="CIS26MBG006"/>
    <s v="Angel Maria Faustina Gomez"/>
    <d v="2026-12-11T00:00:00"/>
    <x v="1"/>
    <s v="In-Training"/>
    <x v="0"/>
    <x v="0"/>
    <s v="Krishna Nivas Ladies PG , Egattur"/>
    <x v="1"/>
    <x v="0"/>
    <x v="3"/>
    <x v="0"/>
    <x v="0"/>
  </r>
  <r>
    <n v="2533038"/>
    <s v="Kompala Harshith"/>
    <d v="2026-08-25T00:00:00"/>
    <x v="0"/>
    <s v="FTE"/>
    <s v="Chennai"/>
    <s v="CIS26MBG006"/>
    <s v="Angel Maria Faustina Gomez"/>
    <d v="2026-12-11T00:00:00"/>
    <x v="1"/>
    <s v="In-Training"/>
    <x v="0"/>
    <x v="0"/>
    <s v="CNR Gents Pg - Branch 1, Siruseri"/>
    <x v="1"/>
    <x v="0"/>
    <x v="3"/>
    <x v="0"/>
    <x v="0"/>
  </r>
  <r>
    <n v="2533067"/>
    <s v="Sri Sai Priya S"/>
    <d v="2026-08-25T00:00:00"/>
    <x v="1"/>
    <s v="FTE"/>
    <s v="Chennai"/>
    <s v="CIS26MBG007"/>
    <s v="Lawrance M"/>
    <d v="2026-12-11T00:00:00"/>
    <x v="1"/>
    <s v="In-Training"/>
    <x v="0"/>
    <x v="0"/>
    <s v="Vishvas ladies pg"/>
    <x v="1"/>
    <x v="1"/>
    <x v="3"/>
    <x v="0"/>
    <x v="0"/>
  </r>
  <r>
    <n v="2533074"/>
    <s v="Gowtham Mani Varma Nadakudhiti"/>
    <d v="2026-08-25T00:00:00"/>
    <x v="0"/>
    <s v="FTE"/>
    <s v="Chennai"/>
    <s v="CIS26MBG005"/>
    <s v="Angel Maria Faustina Gomez"/>
    <d v="2026-12-11T00:00:00"/>
    <x v="1"/>
    <s v="In-Training"/>
    <x v="0"/>
    <x v="0"/>
    <s v="GVK Deluxe mens PG, Navalur"/>
    <x v="1"/>
    <x v="0"/>
    <x v="2"/>
    <x v="0"/>
    <x v="0"/>
  </r>
  <r>
    <n v="2533076"/>
    <s v="Chittiprolu Navya Sri"/>
    <d v="2026-08-25T00:00:00"/>
    <x v="1"/>
    <s v="FTE"/>
    <s v="Chennai"/>
    <s v="CIS26MBG005"/>
    <s v="Angel Maria Faustina Gomez"/>
    <d v="2026-12-11T00:00:00"/>
    <x v="1"/>
    <s v="In-Training"/>
    <x v="0"/>
    <x v="0"/>
    <s v="AURA NEST PG FOR LADIES"/>
    <x v="1"/>
    <x v="0"/>
    <x v="3"/>
    <x v="0"/>
    <x v="0"/>
  </r>
  <r>
    <n v="2533118"/>
    <s v="Eedara Rohith"/>
    <d v="2026-08-25T00:00:00"/>
    <x v="0"/>
    <s v="FTE"/>
    <s v="Chennai"/>
    <s v="CIS26MBG007"/>
    <s v="Lawrance M"/>
    <d v="2026-12-11T00:00:00"/>
    <x v="1"/>
    <s v="In-Training"/>
    <x v="0"/>
    <x v="0"/>
    <s v="Siddus Mens Premium PG,SIPCOT"/>
    <x v="1"/>
    <x v="0"/>
    <x v="3"/>
    <x v="0"/>
    <x v="0"/>
  </r>
  <r>
    <n v="2533129"/>
    <s v="Sayli Mukund Alaspure"/>
    <d v="2026-08-25T00:00:00"/>
    <x v="1"/>
    <s v="FTE"/>
    <s v="Chennai"/>
    <s v="CIS26MBG007"/>
    <s v="Lawrance M"/>
    <d v="2026-12-11T00:00:00"/>
    <x v="1"/>
    <s v="In-Training"/>
    <x v="0"/>
    <x v="0"/>
    <s v="SRS luxury pg - branch 3opposite to marina mall egattur"/>
    <x v="1"/>
    <x v="0"/>
    <x v="0"/>
    <x v="0"/>
    <x v="0"/>
  </r>
  <r>
    <n v="2533131"/>
    <s v="Preethi LNU"/>
    <d v="2026-08-25T00:00:00"/>
    <x v="1"/>
    <s v="FTE"/>
    <s v="Chennai"/>
    <s v="CIS26MBG007"/>
    <s v="Lawrance M"/>
    <d v="2026-12-11T00:00:00"/>
    <x v="1"/>
    <s v="In-Training"/>
    <x v="1"/>
    <x v="1"/>
    <s v="NA"/>
    <x v="1"/>
    <x v="1"/>
    <x v="34"/>
    <x v="1"/>
    <x v="1"/>
  </r>
  <r>
    <n v="2533147"/>
    <s v="Shivani Singh"/>
    <d v="2026-08-25T00:00:00"/>
    <x v="1"/>
    <s v="FTE"/>
    <s v="Chennai"/>
    <s v="CIS26MBG003"/>
    <s v="Kishorekumar P"/>
    <d v="2026-12-11T00:00:00"/>
    <x v="1"/>
    <s v="In-Training"/>
    <x v="0"/>
    <x v="0"/>
    <s v="Shri Venkata Hanuman Ladies Pg"/>
    <x v="1"/>
    <x v="0"/>
    <x v="0"/>
    <x v="0"/>
    <x v="0"/>
  </r>
  <r>
    <n v="2533173"/>
    <s v="Sai Sushanth Rajamahendravarapu"/>
    <d v="2026-08-25T00:00:00"/>
    <x v="0"/>
    <s v="FTE"/>
    <s v="Chennai"/>
    <s v="CIS26AT008"/>
    <s v="Uma Venkatachalam"/>
    <d v="2026-12-09T00:00:00"/>
    <x v="1"/>
    <s v="In-Training"/>
    <x v="0"/>
    <x v="0"/>
    <s v="Siddus Mens Premium PG, Near Tcs , SIPCOT,"/>
    <x v="1"/>
    <x v="0"/>
    <x v="3"/>
    <x v="0"/>
    <x v="0"/>
  </r>
  <r>
    <n v="2533177"/>
    <s v="Bhoomika Sree Gunda"/>
    <d v="2026-08-25T00:00:00"/>
    <x v="1"/>
    <s v="FTE"/>
    <s v="Chennai"/>
    <s v="IOT26CSJ002"/>
    <s v="Pavithra Kandasamy"/>
    <d v="2026-11-11T00:00:00"/>
    <x v="0"/>
    <s v="In-Training"/>
    <x v="0"/>
    <x v="0"/>
    <s v="Sri Sai UniQ ladies PG, Egattur"/>
    <x v="1"/>
    <x v="0"/>
    <x v="0"/>
    <x v="0"/>
    <x v="0"/>
  </r>
  <r>
    <n v="2533210"/>
    <s v="Varsha Kodadi"/>
    <d v="2026-08-25T00:00:00"/>
    <x v="1"/>
    <s v="FTE"/>
    <s v="Chennai"/>
    <s v="CIS26AT007"/>
    <s v="Uma Venkatachalam"/>
    <d v="2026-12-09T00:00:00"/>
    <x v="1"/>
    <s v="In-Training"/>
    <x v="0"/>
    <x v="0"/>
    <s v=" UniQ PG, Dr Ambedkar St (near Gangaiamman Kovil Street), beside the street of Zaitoon Restaurant, Siruseri, Chennai, Tamil Nadu 600130"/>
    <x v="1"/>
    <x v="0"/>
    <x v="0"/>
    <x v="0"/>
    <x v="0"/>
  </r>
  <r>
    <n v="2533222"/>
    <s v="Gujjala Venkata Nikhil"/>
    <d v="2026-08-25T00:00:00"/>
    <x v="0"/>
    <s v="FTE"/>
    <s v="Chennai"/>
    <s v="CIS26MBG006"/>
    <s v="Angel Maria Faustina Gomez"/>
    <d v="2026-12-11T00:00:00"/>
    <x v="1"/>
    <s v="In-Training"/>
    <x v="0"/>
    <x v="0"/>
    <s v="CNR-MENS PG,BRANCH-1"/>
    <x v="1"/>
    <x v="0"/>
    <x v="3"/>
    <x v="0"/>
    <x v="0"/>
  </r>
  <r>
    <n v="2533588"/>
    <s v="Thotakura Navya Annapurna"/>
    <d v="2026-08-27T00:00:00"/>
    <x v="1"/>
    <s v="FTE"/>
    <s v="Chennai"/>
    <s v="EPS26SAP038"/>
    <s v="Ajith Ganesan"/>
    <d v="2026-10-27T00:00:00"/>
    <x v="3"/>
    <s v="In-Training"/>
    <x v="0"/>
    <x v="0"/>
    <s v="Sri Lakshmi Srinivasa Ladies PG, Egattur"/>
    <x v="1"/>
    <x v="0"/>
    <x v="0"/>
    <x v="0"/>
    <x v="0"/>
  </r>
  <r>
    <n v="2533590"/>
    <s v="Leela Krishna Miriyala"/>
    <d v="2026-08-27T00:00:00"/>
    <x v="0"/>
    <s v="FTE"/>
    <s v="Chennai"/>
    <s v="EPS26SAP038"/>
    <s v="Ajith Ganesan"/>
    <d v="2026-10-27T00:00:00"/>
    <x v="3"/>
    <s v="In-Training"/>
    <x v="0"/>
    <x v="0"/>
    <s v="Gvk Deluxe gents PG, Navalur"/>
    <x v="1"/>
    <x v="1"/>
    <x v="2"/>
    <x v="0"/>
    <x v="0"/>
  </r>
  <r>
    <n v="2511272"/>
    <s v="Vaibhav Nivrutti Subhash Dhawale"/>
    <d v="2026-05-21T00:00:00"/>
    <x v="0"/>
    <s v="FTE"/>
    <s v="Chennai"/>
    <s v="CIS26MCPT010"/>
    <s v="Mohamed Harish"/>
    <d v="2026-09-10T00:00:00"/>
    <x v="2"/>
    <s v="In-Training"/>
    <x v="0"/>
    <x v="0"/>
    <s v="Sarvana Gents PG Egattur "/>
    <x v="1"/>
    <x v="0"/>
    <x v="3"/>
    <x v="0"/>
    <x v="0"/>
  </r>
  <r>
    <n v="2529740"/>
    <s v="Yogeswari S"/>
    <d v="2026-08-11T00:00:00"/>
    <x v="1"/>
    <s v="FTE"/>
    <s v="Chennai"/>
    <s v="EPS26SAP031"/>
    <s v="Akashraj R"/>
    <d v="2026-11-04T00:00:00"/>
    <x v="0"/>
    <s v="In-Training"/>
    <x v="0"/>
    <x v="0"/>
    <s v="Sri Sai Uniq stays for ladies,Pazhandi Amman Kovil Street ,Egattur,Siruseri,Chennai-600130"/>
    <x v="1"/>
    <x v="1"/>
    <x v="0"/>
    <x v="0"/>
    <x v="0"/>
  </r>
  <r>
    <n v="2530144"/>
    <s v="S Pooja"/>
    <d v="2026-08-13T00:00:00"/>
    <x v="1"/>
    <s v="FTE"/>
    <s v="Chennai"/>
    <s v="CIS26DWP026"/>
    <s v="Shunmugasundari A"/>
    <d v="2026-10-19T00:00:00"/>
    <x v="3"/>
    <s v="In-Training"/>
    <x v="0"/>
    <x v="0"/>
    <s v="Krishna Nivas ladies PG, Egattur  "/>
    <x v="1"/>
    <x v="1"/>
    <x v="0"/>
    <x v="0"/>
    <x v="0"/>
  </r>
  <r>
    <n v="2512309"/>
    <s v="Pandiripalli Chandra Sekhar Aditya"/>
    <d v="2026-05-28T00:00:00"/>
    <x v="0"/>
    <s v="FTE"/>
    <s v="Chennai"/>
    <s v="CIS26MCPT011"/>
    <s v="Uma Venkatachalam"/>
    <d v="2026-09-17T00:00:00"/>
    <x v="2"/>
    <s v="In-Training"/>
    <x v="0"/>
    <x v="0"/>
    <s v="Vishvas Professional Stays Mens PG Siruseri SIPCOT"/>
    <x v="1"/>
    <x v="0"/>
    <x v="0"/>
    <x v="0"/>
    <x v="0"/>
  </r>
  <r>
    <n v="2516785"/>
    <s v="Chakala Sai Sindhu"/>
    <d v="2026-06-18T00:00:00"/>
    <x v="1"/>
    <s v="FTE"/>
    <s v="Chennai"/>
    <s v="CIS26NET004"/>
    <s v="Uma Venkatachalam"/>
    <d v="2026-09-08T00:00:00"/>
    <x v="2"/>
    <s v="In-Training-Remedial"/>
    <x v="0"/>
    <x v="0"/>
    <s v="SLR ladies hostel, Egattur"/>
    <x v="1"/>
    <x v="0"/>
    <x v="0"/>
    <x v="0"/>
    <x v="0"/>
  </r>
  <r>
    <n v="2521112"/>
    <s v="Ankit Rai"/>
    <d v="2026-07-07T00:00:00"/>
    <x v="0"/>
    <s v="FTE"/>
    <s v="Chennai"/>
    <s v="CS26CS007"/>
    <s v="Lawrance M"/>
    <d v="2026-09-07T00:00:00"/>
    <x v="2"/>
    <s v="In-Training"/>
    <x v="0"/>
    <x v="0"/>
    <s v="Nks mens pg siruseri "/>
    <x v="1"/>
    <x v="0"/>
    <x v="3"/>
    <x v="0"/>
    <x v="0"/>
  </r>
  <r>
    <n v="2526133"/>
    <s v="Rajnish Kumar"/>
    <d v="2026-07-28T00:00:00"/>
    <x v="0"/>
    <s v="FTE"/>
    <s v="Chennai"/>
    <s v="EPS26WD005"/>
    <s v="Vishnupriya Dakshnamurthy"/>
    <d v="2026-11-06T00:00:00"/>
    <x v="0"/>
    <s v="In-Training"/>
    <x v="0"/>
    <x v="0"/>
    <s v="Trulliv sofia PG , Siruseri IT park 10th cross street"/>
    <x v="1"/>
    <x v="0"/>
    <x v="3"/>
    <x v="0"/>
    <x v="0"/>
  </r>
  <r>
    <n v="2526590"/>
    <s v="Soniya Satish Mate"/>
    <d v="2026-07-30T00:00:00"/>
    <x v="1"/>
    <s v="FTE"/>
    <s v="Chennai"/>
    <s v="QEA26JP001"/>
    <s v="Ajiesya D P"/>
    <s v=""/>
    <x v="1"/>
    <s v="Training - ON Hold"/>
    <x v="0"/>
    <x v="0"/>
    <s v="Shri sai unique pg "/>
    <x v="1"/>
    <x v="0"/>
    <x v="0"/>
    <x v="0"/>
    <x v="0"/>
  </r>
  <r>
    <n v="2529544"/>
    <s v="Piyush Kumar"/>
    <d v="2026-08-11T00:00:00"/>
    <x v="0"/>
    <s v="FTE"/>
    <s v="Chennai"/>
    <s v="CIS26MCPT021"/>
    <s v="Uma Venkatachalam"/>
    <d v="2026-12-08T00:00:00"/>
    <x v="1"/>
    <s v="In-Training"/>
    <x v="0"/>
    <x v="0"/>
    <s v="Geethika Grand Gents PG"/>
    <x v="1"/>
    <x v="0"/>
    <x v="3"/>
    <x v="0"/>
    <x v="0"/>
  </r>
  <r>
    <n v="2531389"/>
    <s v="Yarnagula Iswarya Lakshmi"/>
    <d v="2026-08-18T00:00:00"/>
    <x v="1"/>
    <s v="FTE"/>
    <s v="Chennai"/>
    <s v="CIS26AT007"/>
    <s v="Uma Venkatachalam"/>
    <d v="2026-12-09T00:00:00"/>
    <x v="1"/>
    <s v="In-Training"/>
    <x v="0"/>
    <x v="0"/>
    <s v="Aura nest ladies pg"/>
    <x v="1"/>
    <x v="0"/>
    <x v="3"/>
    <x v="0"/>
    <x v="0"/>
  </r>
  <r>
    <n v="2531420"/>
    <s v="Deeksha K"/>
    <d v="2026-08-18T00:00:00"/>
    <x v="1"/>
    <s v="FTE"/>
    <s v="Chennai"/>
    <s v="EPS26SAP037"/>
    <s v="Gayathri Ramachandran"/>
    <d v="2026-11-04T00:00:00"/>
    <x v="0"/>
    <s v="In-Training"/>
    <x v="0"/>
    <x v="0"/>
    <s v="Sai Teja Luxury Women Hostel"/>
    <x v="1"/>
    <x v="0"/>
    <x v="3"/>
    <x v="0"/>
    <x v="0"/>
  </r>
  <r>
    <n v="2531423"/>
    <s v="Huma Faruqi"/>
    <d v="2026-08-18T00:00:00"/>
    <x v="1"/>
    <s v="FTE"/>
    <s v="Chennai"/>
    <s v="EPS26SAP037"/>
    <s v="Gayathri Ramachandran"/>
    <d v="2026-11-04T00:00:00"/>
    <x v="0"/>
    <s v="In-Training"/>
    <x v="0"/>
    <x v="0"/>
    <s v="SRS Luxury PG for Ladies - Branch 3, opp. Marina Mall, Main, Egattur, Tamil Nadu 600130"/>
    <x v="1"/>
    <x v="1"/>
    <x v="8"/>
    <x v="4"/>
    <x v="0"/>
  </r>
  <r>
    <n v="2532966"/>
    <s v="Praveen Kumar Viswanadhapalli"/>
    <d v="2026-08-25T00:00:00"/>
    <x v="0"/>
    <s v="FTE"/>
    <s v="Chennai"/>
    <s v="CIS26SN002"/>
    <s v="Ashiya Begam S"/>
    <d v="2026-12-02T00:00:00"/>
    <x v="1"/>
    <s v="In-Training"/>
    <x v="0"/>
    <x v="0"/>
    <s v="SS(Siva Sai) pg for gents"/>
    <x v="1"/>
    <x v="1"/>
    <x v="3"/>
    <x v="0"/>
    <x v="0"/>
  </r>
  <r>
    <n v="2533034"/>
    <s v="Komali Raviteja"/>
    <d v="2026-08-25T00:00:00"/>
    <x v="0"/>
    <s v="FTE"/>
    <s v="Chennai"/>
    <s v="CIS26MBG004"/>
    <s v="Kishorekumar P"/>
    <d v="2026-12-11T00:00:00"/>
    <x v="1"/>
    <s v="In-Training"/>
    <x v="0"/>
    <x v="0"/>
    <s v="SIDDUS MENS PRIMIUM PG , NO.89C , CITY PARK LAYOUT , SIRUSERI , EGATTUR "/>
    <x v="1"/>
    <x v="0"/>
    <x v="3"/>
    <x v="0"/>
    <x v="0"/>
  </r>
  <r>
    <n v="2523420"/>
    <s v="Sivaramalingam Lnu"/>
    <d v="2026-07-16T00:00:00"/>
    <x v="0"/>
    <s v="FTE"/>
    <s v="Chennai"/>
    <s v="CS26CS009"/>
    <s v="Laksiya Vijayendran"/>
    <d v="2026-10-14T00:00:00"/>
    <x v="3"/>
    <s v="In-Training"/>
    <x v="0"/>
    <x v="0"/>
    <s v="Sahas Gents PG, Egattur"/>
    <x v="1"/>
    <x v="1"/>
    <x v="0"/>
    <x v="0"/>
    <x v="0"/>
  </r>
  <r>
    <n v="2521690"/>
    <s v="Yedida Sai Venkataeswar"/>
    <d v="2026-07-09T00:00:00"/>
    <x v="0"/>
    <s v="FTE"/>
    <s v="Chennai"/>
    <s v="ADM26MF010"/>
    <s v="Thomas Naveen. J"/>
    <d v="2026-11-02T00:00:00"/>
    <x v="0"/>
    <s v="In-Training"/>
    <x v="0"/>
    <x v="0"/>
    <s v="APS MENS HOSTEL , EGATTUR"/>
    <x v="1"/>
    <x v="0"/>
    <x v="0"/>
    <x v="0"/>
    <x v="0"/>
  </r>
  <r>
    <n v="2530183"/>
    <s v="Akanksha Konakandla"/>
    <d v="2026-08-13T00:00:00"/>
    <x v="1"/>
    <s v="FTE"/>
    <s v="Chennai"/>
    <s v="EPS26OSP010"/>
    <s v="Vishnupriya Dakshnamurthy"/>
    <d v="2026-12-01T00:00:00"/>
    <x v="1"/>
    <s v="In-Training"/>
    <x v="0"/>
    <x v="0"/>
    <s v="Krishna Nivas ladies pg , egattur , near marina mall "/>
    <x v="1"/>
    <x v="0"/>
    <x v="0"/>
    <x v="0"/>
    <x v="0"/>
  </r>
  <r>
    <n v="2533049"/>
    <s v="Dannani Bhavani Prasanth"/>
    <d v="2026-08-25T00:00:00"/>
    <x v="0"/>
    <s v="FTE"/>
    <s v="Chennai"/>
    <s v="ADM27DFSA001"/>
    <s v="Thomas Naveen. J"/>
    <d v="2026-12-30T00:00:00"/>
    <x v="1"/>
    <s v="In-Training"/>
    <x v="0"/>
    <x v="0"/>
    <s v="STAY@EASE MENS PG , SIRUSERI SIPCOT , EGATUR"/>
    <x v="1"/>
    <x v="0"/>
    <x v="3"/>
    <x v="0"/>
    <x v="0"/>
  </r>
  <r>
    <n v="2524643"/>
    <s v="Atukuri Sri Mahananda Dinakar"/>
    <d v="2026-07-21T00:00:00"/>
    <x v="0"/>
    <s v="FTE"/>
    <s v="Chennai"/>
    <s v="ADM26DFSA007"/>
    <s v="Sweta Thoppil"/>
    <d v="2026-11-10T00:00:00"/>
    <x v="0"/>
    <s v="In-Training"/>
    <x v="0"/>
    <x v="0"/>
    <s v="Siddus Mens Premium PG"/>
    <x v="1"/>
    <x v="0"/>
    <x v="3"/>
    <x v="0"/>
    <x v="0"/>
  </r>
  <r>
    <n v="2529561"/>
    <s v="Muktanjali Bhagwat Ghangale"/>
    <d v="2026-08-11T00:00:00"/>
    <x v="1"/>
    <s v="FTE"/>
    <s v="Chennai"/>
    <s v="CIS26MCPT023"/>
    <s v="Kishorekumar P"/>
    <d v="2026-12-03T00:00:00"/>
    <x v="1"/>
    <s v="In-Training"/>
    <x v="0"/>
    <x v="0"/>
    <s v="Sri Sai Unique Ladies pg "/>
    <x v="1"/>
    <x v="0"/>
    <x v="3"/>
    <x v="0"/>
    <x v="0"/>
  </r>
  <r>
    <n v="2529627"/>
    <s v="Arun Kumar T"/>
    <d v="2026-08-11T00:00:00"/>
    <x v="0"/>
    <s v="FTE"/>
    <s v="Chennai"/>
    <s v="CIS26MCPT023"/>
    <s v="Kishorekumar P"/>
    <d v="2026-12-03T00:00:00"/>
    <x v="1"/>
    <s v="In-Training"/>
    <x v="0"/>
    <x v="0"/>
    <s v="SS Siva Sai Gents PG"/>
    <x v="1"/>
    <x v="1"/>
    <x v="3"/>
    <x v="0"/>
    <x v="0"/>
  </r>
  <r>
    <n v="2530207"/>
    <s v="Pragnya Srikrishnan"/>
    <d v="2026-08-13T00:00:00"/>
    <x v="1"/>
    <s v="FTE"/>
    <s v="Chennai"/>
    <s v="EPS26OSP010"/>
    <s v="Vishnupriya Dakshnamurthy"/>
    <d v="2026-12-01T00:00:00"/>
    <x v="1"/>
    <s v="In-Training"/>
    <x v="0"/>
    <x v="0"/>
    <s v="Aura Nest PG for Ladies, near TCS, Egattur"/>
    <x v="1"/>
    <x v="1"/>
    <x v="3"/>
    <x v="0"/>
    <x v="0"/>
  </r>
  <r>
    <n v="2521747"/>
    <s v="Pamula Indhu Sri"/>
    <d v="2026-07-09T00:00:00"/>
    <x v="1"/>
    <s v="FTE"/>
    <s v="Chennai"/>
    <s v="QEA26SD001"/>
    <s v="Ajiesya D P"/>
    <d v="2026-11-03T00:00:00"/>
    <x v="0"/>
    <s v="In-Training"/>
    <x v="0"/>
    <x v="0"/>
    <s v="MSR Luxury PG for Ladies (Branch 2)"/>
    <x v="1"/>
    <x v="1"/>
    <x v="0"/>
    <x v="0"/>
    <x v="0"/>
  </r>
  <r>
    <n v="2529553"/>
    <s v="Fiyanshu Singh"/>
    <d v="2026-08-11T00:00:00"/>
    <x v="0"/>
    <s v="FTE"/>
    <s v="Chennai"/>
    <s v="CIS26MCPT022"/>
    <s v="Laksiya Vijayendran"/>
    <d v="2026-12-03T00:00:00"/>
    <x v="1"/>
    <s v="In-Training"/>
    <x v="0"/>
    <x v="0"/>
    <s v="Sri Lakshmi Venkateswara Gents Pg Chennai, Navalur, Tamil Nadu"/>
    <x v="1"/>
    <x v="1"/>
    <x v="2"/>
    <x v="0"/>
    <x v="0"/>
  </r>
  <r>
    <n v="2524638"/>
    <s v="Chikkam Chandra Srinivas"/>
    <d v="2026-07-21T00:00:00"/>
    <x v="0"/>
    <s v="FTE"/>
    <s v="Chennai"/>
    <s v="ADM26MF012"/>
    <s v="Lourdhu Selvin Raj X"/>
    <d v="2026-11-17T00:00:00"/>
    <x v="0"/>
    <s v="In-Training"/>
    <x v="0"/>
    <x v="0"/>
    <s v="GTR STAYS, PLOT NO :38, TVH TERRA HUB, 4TH STREET, SIRUSERI, EGATTUR, TAMILNADU,600130"/>
    <x v="1"/>
    <x v="0"/>
    <x v="3"/>
    <x v="0"/>
    <x v="0"/>
  </r>
  <r>
    <n v="2533162"/>
    <s v="Ashwin Suresh"/>
    <d v="2026-08-25T00:00:00"/>
    <x v="0"/>
    <s v="FTE"/>
    <s v="Chennai"/>
    <s v="CIS26MBG003"/>
    <s v="Kishorekumar P"/>
    <d v="2026-12-11T00:00:00"/>
    <x v="1"/>
    <s v="In-Training"/>
    <x v="0"/>
    <x v="0"/>
    <s v="Zolo Mirage"/>
    <x v="1"/>
    <x v="0"/>
    <x v="3"/>
    <x v="0"/>
    <x v="0"/>
  </r>
  <r>
    <n v="2530198"/>
    <s v="Aditya Kumar Panigrahy"/>
    <d v="2026-08-13T00:00:00"/>
    <x v="0"/>
    <s v="FTE"/>
    <s v="Chennai"/>
    <s v="EPS26OSPPRO001"/>
    <s v="Gayathri Ramachandran"/>
    <d v="2026-12-07T00:00:00"/>
    <x v="1"/>
    <s v="In-Training"/>
    <x v="0"/>
    <x v="0"/>
    <s v="Zolo Mirage, SIPCOT Siruseri"/>
    <x v="1"/>
    <x v="1"/>
    <x v="3"/>
    <x v="0"/>
    <x v="0"/>
  </r>
  <r>
    <n v="2522894"/>
    <s v="Yajuvendra Shah"/>
    <d v="2026-07-14T00:00:00"/>
    <x v="0"/>
    <s v="FTE"/>
    <s v="Chennai"/>
    <s v="QEA26ST001"/>
    <s v="Angel Maria Faustina Gomez"/>
    <d v="2026-10-15T00:00:00"/>
    <x v="3"/>
    <s v="In-Training"/>
    <x v="0"/>
    <x v="0"/>
    <s v="s4a, Zolo Mirage, Siruseri"/>
    <x v="1"/>
    <x v="0"/>
    <x v="0"/>
    <x v="0"/>
    <x v="0"/>
  </r>
  <r>
    <n v="2512331"/>
    <s v="Aakash Raj"/>
    <d v="2026-05-28T00:00:00"/>
    <x v="0"/>
    <s v="FTE"/>
    <s v="Chennai"/>
    <s v="CIS26MCPT011"/>
    <s v="Uma Venkatachalam"/>
    <d v="2026-09-17T00:00:00"/>
    <x v="2"/>
    <s v="In-Training"/>
    <x v="0"/>
    <x v="0"/>
    <s v="Shri Laxami Narayan Gents Pg Sambhal Street Navalur Bus Stand"/>
    <x v="1"/>
    <x v="0"/>
    <x v="2"/>
    <x v="0"/>
    <x v="0"/>
  </r>
  <r>
    <n v="2531404"/>
    <s v="Harni J"/>
    <d v="2026-08-18T00:00:00"/>
    <x v="1"/>
    <s v="FTE"/>
    <s v="Chennai"/>
    <s v="CIS26DWP030"/>
    <s v="Prokriti Biswas"/>
    <d v="2026-10-29T00:00:00"/>
    <x v="3"/>
    <s v="In-Training"/>
    <x v="0"/>
    <x v="0"/>
    <s v="R&amp;R Ladies Hostel, L1 Branch, Periyar Street, Egattur, Siruseri, Tamil Nadu."/>
    <x v="1"/>
    <x v="1"/>
    <x v="3"/>
    <x v="0"/>
    <x v="0"/>
  </r>
  <r>
    <n v="2529604"/>
    <s v="Balaka Malliswari"/>
    <d v="2026-08-11T00:00:00"/>
    <x v="1"/>
    <s v="FTE"/>
    <s v="Chennai"/>
    <s v="CIS26MCPT024"/>
    <s v="Ashiya Begam S"/>
    <d v="2026-12-03T00:00:00"/>
    <x v="1"/>
    <s v="In-Training"/>
    <x v="0"/>
    <x v="0"/>
    <s v="Sai Grand womens PG Hostel, Egattur."/>
    <x v="1"/>
    <x v="1"/>
    <x v="0"/>
    <x v="0"/>
    <x v="0"/>
  </r>
  <r>
    <n v="2524504"/>
    <s v="Riya Dubey"/>
    <d v="2026-07-21T00:00:00"/>
    <x v="1"/>
    <s v="FTE"/>
    <s v="Chennai"/>
    <s v="QEA26QEPT024"/>
    <s v="Ajiesya D P"/>
    <d v="2026-11-04T00:00:00"/>
    <x v="0"/>
    <s v="In-Training"/>
    <x v="0"/>
    <x v="0"/>
    <s v="Shanmugas Ladies PG,Egattur"/>
    <x v="1"/>
    <x v="0"/>
    <x v="0"/>
    <x v="0"/>
    <x v="0"/>
  </r>
  <r>
    <n v="2524500"/>
    <s v="Arumithran LNU"/>
    <d v="2026-07-21T00:00:00"/>
    <x v="0"/>
    <s v="FTE"/>
    <s v="Chennai"/>
    <s v="ADM26MF012"/>
    <s v="Lourdhu Selvin Raj X"/>
    <d v="2026-11-17T00:00:00"/>
    <x v="0"/>
    <s v="In-Training"/>
    <x v="0"/>
    <x v="0"/>
    <s v="Red Brick Mens PG "/>
    <x v="2"/>
    <x v="0"/>
    <x v="0"/>
    <x v="0"/>
    <x v="0"/>
  </r>
  <r>
    <n v="2521729"/>
    <s v="Vyakaranam Sirisha Lahari"/>
    <d v="2026-07-09T00:00:00"/>
    <x v="1"/>
    <s v="FTE"/>
    <s v="Chennai"/>
    <s v="QEA26SD001"/>
    <s v="Ajiesya D P"/>
    <d v="2026-11-03T00:00:00"/>
    <x v="0"/>
    <s v="In-Training"/>
    <x v="0"/>
    <x v="0"/>
    <s v="Smiles Inn Pg services for ladies "/>
    <x v="2"/>
    <x v="0"/>
    <x v="0"/>
    <x v="0"/>
    <x v="0"/>
  </r>
  <r>
    <n v="2530178"/>
    <s v="Pasupuleti Kundana"/>
    <d v="2026-08-13T00:00:00"/>
    <x v="1"/>
    <s v="FTE"/>
    <s v="Chennai"/>
    <s v="EPS26OSP010"/>
    <s v="Vishnupriya Dakshnamurthy"/>
    <d v="2026-12-01T00:00:00"/>
    <x v="1"/>
    <s v="In-Training"/>
    <x v="0"/>
    <x v="0"/>
    <s v="Sri Lakshmi Srinivasa Ladies pg,Siruseri,Periyar Street,Chennai"/>
    <x v="2"/>
    <x v="0"/>
    <x v="3"/>
    <x v="0"/>
    <x v="0"/>
  </r>
  <r>
    <n v="2529742"/>
    <s v="Priyadharshini G K"/>
    <d v="2026-08-11T00:00:00"/>
    <x v="1"/>
    <s v="FTE"/>
    <s v="Chennai"/>
    <s v="EPS26SAP031"/>
    <s v="Akashraj R"/>
    <d v="2026-11-04T00:00:00"/>
    <x v="0"/>
    <s v="In-Training"/>
    <x v="1"/>
    <x v="2"/>
    <s v="NA "/>
    <x v="2"/>
    <x v="1"/>
    <x v="18"/>
    <x v="4"/>
    <x v="0"/>
  </r>
  <r>
    <n v="2521060"/>
    <s v="Vibhitha V"/>
    <d v="2026-07-07T00:00:00"/>
    <x v="1"/>
    <s v="FTE"/>
    <s v="Chennai"/>
    <s v="HPC26DN005"/>
    <s v="Viveka Preethi"/>
    <d v="2026-10-01T00:00:00"/>
    <x v="3"/>
    <s v="In-Training"/>
    <x v="0"/>
    <x v="0"/>
    <s v="krishna nivas ladies pg,egattur"/>
    <x v="2"/>
    <x v="1"/>
    <x v="0"/>
    <x v="0"/>
    <x v="0"/>
  </r>
  <r>
    <n v="2521627"/>
    <s v="Kadiyala Mounika"/>
    <d v="2026-07-09T00:00:00"/>
    <x v="1"/>
    <s v="FTE"/>
    <s v="Chennai"/>
    <s v="ADM26DNAT003"/>
    <s v="Athira P"/>
    <d v="2026-10-23T00:00:00"/>
    <x v="3"/>
    <s v="In-Training"/>
    <x v="0"/>
    <x v="0"/>
    <s v="sai grand womens pg"/>
    <x v="2"/>
    <x v="1"/>
    <x v="3"/>
    <x v="0"/>
    <x v="0"/>
  </r>
  <r>
    <n v="2524527"/>
    <s v="Nikhil Babulal Santre"/>
    <d v="2026-07-21T00:00:00"/>
    <x v="0"/>
    <s v="FTE"/>
    <s v="Chennai"/>
    <s v="QEA26QEPT024"/>
    <s v="Ajiesya D P"/>
    <d v="2026-11-04T00:00:00"/>
    <x v="0"/>
    <s v="In-Training"/>
    <x v="0"/>
    <x v="0"/>
    <s v="Soma pg"/>
    <x v="2"/>
    <x v="0"/>
    <x v="0"/>
    <x v="0"/>
    <x v="0"/>
  </r>
  <r>
    <n v="2531281"/>
    <s v="Sudha B"/>
    <d v="2026-08-18T00:00:00"/>
    <x v="1"/>
    <s v="FTE"/>
    <s v="Chennai"/>
    <s v="EPS26SAP033"/>
    <s v="Ajith Ganesan"/>
    <d v="2026-11-04T00:00:00"/>
    <x v="0"/>
    <s v="In-Training"/>
    <x v="0"/>
    <x v="0"/>
    <s v="MSR LUXURY PG -BRANCH 3,SIRU SERI"/>
    <x v="2"/>
    <x v="1"/>
    <x v="3"/>
    <x v="0"/>
    <x v="0"/>
  </r>
  <r>
    <n v="2533047"/>
    <s v="Sanampudi Nagasai Akash"/>
    <d v="2026-08-25T00:00:00"/>
    <x v="0"/>
    <s v="FTE"/>
    <s v="Chennai"/>
    <s v="CIS26MBG007"/>
    <s v="Lawrance M"/>
    <d v="2026-12-11T00:00:00"/>
    <x v="1"/>
    <s v="In-Training"/>
    <x v="0"/>
    <x v="4"/>
    <s v="SIDDU PREMIUM PG - A BLOCK,EGATTUR"/>
    <x v="2"/>
    <x v="0"/>
    <x v="3"/>
    <x v="0"/>
    <x v="0"/>
  </r>
  <r>
    <n v="2531826"/>
    <s v="Raghav Kothari"/>
    <d v="2026-08-20T00:00:00"/>
    <x v="0"/>
    <s v="FTE"/>
    <s v="Chennai"/>
    <s v="CS26CS011"/>
    <s v="Kishorekumar P"/>
    <d v="2026-11-17T00:00:00"/>
    <x v="0"/>
    <s v="In-Training"/>
    <x v="1"/>
    <x v="2"/>
    <s v="C-1004, Radiance shine"/>
    <x v="3"/>
    <x v="0"/>
    <x v="3"/>
    <x v="0"/>
    <x v="1"/>
  </r>
  <r>
    <n v="2519833"/>
    <s v="Payel Chakraborty"/>
    <d v="2026-07-02T00:00:00"/>
    <x v="1"/>
    <s v="FTE"/>
    <s v="Chennai"/>
    <s v="CIS26DWP021"/>
    <s v="Laksiya Vijayendran"/>
    <d v="2026-09-07T00:00:00"/>
    <x v="2"/>
    <s v="In-Training"/>
    <x v="1"/>
    <x v="2"/>
    <s v="Estancia township, SRM nagar,GUDUVANCHERY"/>
    <x v="3"/>
    <x v="1"/>
    <x v="10"/>
    <x v="7"/>
    <x v="1"/>
  </r>
  <r>
    <n v="2521090"/>
    <s v="Aryan Jain"/>
    <d v="2026-07-07T00:00:00"/>
    <x v="0"/>
    <s v="FTE"/>
    <s v="Chennai"/>
    <s v="CIS26SN001"/>
    <s v="Ashiya Begam S"/>
    <d v="2026-09-16T00:00:00"/>
    <x v="2"/>
    <s v="In-Training"/>
    <x v="0"/>
    <x v="0"/>
    <s v="Radiance Shine"/>
    <x v="3"/>
    <x v="0"/>
    <x v="25"/>
    <x v="2"/>
    <x v="2"/>
  </r>
  <r>
    <n v="2521750"/>
    <s v="Jasfer Anton S"/>
    <d v="2026-07-09T00:00:00"/>
    <x v="0"/>
    <s v="FTE"/>
    <s v="Chennai"/>
    <s v="QEA26NFTPA001"/>
    <s v="Lourdhu Selvin Raj X"/>
    <d v="2026-11-11T00:00:00"/>
    <x v="0"/>
    <s v="In-Training"/>
    <x v="0"/>
    <x v="0"/>
    <s v="Truliv Hercules"/>
    <x v="3"/>
    <x v="0"/>
    <x v="2"/>
    <x v="0"/>
    <x v="0"/>
  </r>
  <r>
    <n v="2521085"/>
    <s v="Alok Agarwal"/>
    <d v="2026-07-07T00:00:00"/>
    <x v="0"/>
    <s v="FTE"/>
    <s v="Chennai"/>
    <s v="CS26CS007"/>
    <s v="Lawrance M"/>
    <d v="2026-09-07T00:00:00"/>
    <x v="2"/>
    <s v="In-Training"/>
    <x v="1"/>
    <x v="2"/>
    <s v="Radiance Shine"/>
    <x v="3"/>
    <x v="0"/>
    <x v="3"/>
    <x v="0"/>
    <x v="1"/>
  </r>
  <r>
    <n v="2531856"/>
    <s v="Yudhister Singh"/>
    <d v="2026-08-20T00:00:00"/>
    <x v="0"/>
    <s v="FTE"/>
    <s v="Chennai"/>
    <s v="CS26CS011"/>
    <s v="Kishorekumar P"/>
    <d v="2026-11-17T00:00:00"/>
    <x v="0"/>
    <s v="In-Training"/>
    <x v="0"/>
    <x v="0"/>
    <s v="Radiance shine , kalipattur"/>
    <x v="3"/>
    <x v="0"/>
    <x v="3"/>
    <x v="0"/>
    <x v="0"/>
  </r>
  <r>
    <n v="2511236"/>
    <s v="Mayank Siwach"/>
    <d v="2026-05-21T00:00:00"/>
    <x v="0"/>
    <s v="FTE"/>
    <s v="Chennai"/>
    <s v="CIS26MCPT010"/>
    <s v="Mohamed Harish"/>
    <d v="2026-09-10T00:00:00"/>
    <x v="2"/>
    <s v="In-Training"/>
    <x v="0"/>
    <x v="0"/>
    <s v="Truliv Hercules - Co-living &amp; PG in Navalur"/>
    <x v="4"/>
    <x v="0"/>
    <x v="2"/>
    <x v="0"/>
    <x v="0"/>
  </r>
  <r>
    <n v="2531408"/>
    <s v="Ananya Vats"/>
    <d v="2026-08-18T00:00:00"/>
    <x v="1"/>
    <s v="FTE"/>
    <s v="Chennai"/>
    <s v="EPS26SAP036"/>
    <s v="Vishnupriya Dakshnamurthy"/>
    <d v="2026-11-09T00:00:00"/>
    <x v="0"/>
    <s v="In-Training"/>
    <x v="1"/>
    <x v="1"/>
    <s v="Alliance Orchid Springs"/>
    <x v="5"/>
    <x v="1"/>
    <x v="35"/>
    <x v="1"/>
    <x v="1"/>
  </r>
  <r>
    <n v="2520960"/>
    <s v="Abhishek Gupta"/>
    <d v="2026-07-07T00:00:00"/>
    <x v="0"/>
    <s v="FTE"/>
    <s v="Chennai"/>
    <s v="CS26CS008"/>
    <s v="Kishorekumar P"/>
    <d v="2026-10-28T00:00:00"/>
    <x v="3"/>
    <s v="In-Training"/>
    <x v="0"/>
    <x v="0"/>
    <s v="Zolo Mayfield"/>
    <x v="6"/>
    <x v="1"/>
    <x v="5"/>
    <x v="2"/>
    <x v="2"/>
  </r>
  <r>
    <n v="2533078"/>
    <s v="Yazhvanan M A"/>
    <d v="2026-08-25T00:00:00"/>
    <x v="0"/>
    <s v="FTE"/>
    <s v="Chennai"/>
    <s v="ADM27DFSA001"/>
    <s v="Thomas Naveen. J"/>
    <d v="2026-12-30T00:00:00"/>
    <x v="1"/>
    <s v="In-Training"/>
    <x v="1"/>
    <x v="2"/>
    <s v="Neelkamal Apartments"/>
    <x v="7"/>
    <x v="1"/>
    <x v="3"/>
    <x v="0"/>
    <x v="1"/>
  </r>
  <r>
    <n v="2521213"/>
    <s v="Yash Deorao Barbate"/>
    <d v="2026-07-07T00:00:00"/>
    <x v="0"/>
    <s v="FTE"/>
    <s v="Chennai"/>
    <s v="CS26CS007"/>
    <s v="Lawrance M"/>
    <d v="2026-09-07T00:00:00"/>
    <x v="2"/>
    <s v="In-Training"/>
    <x v="1"/>
    <x v="3"/>
    <s v="Olympia Opaline, OMR Road, Navalur"/>
    <x v="8"/>
    <x v="1"/>
    <x v="2"/>
    <x v="0"/>
    <x v="1"/>
  </r>
  <r>
    <n v="2516768"/>
    <s v="Aryan Maheshwari"/>
    <d v="2026-06-18T00:00:00"/>
    <x v="0"/>
    <s v="FTE"/>
    <s v="Chennai"/>
    <s v="CIS26MW001"/>
    <s v="Ashiya Begam S"/>
    <d v="2026-09-11T00:00:00"/>
    <x v="2"/>
    <s v="In-Training"/>
    <x v="0"/>
    <x v="0"/>
    <s v="TVH Ouranya Bay, Padur"/>
    <x v="9"/>
    <x v="0"/>
    <x v="5"/>
    <x v="2"/>
    <x v="2"/>
  </r>
  <r>
    <n v="2529641"/>
    <s v="Dipanwita Paul"/>
    <d v="2026-08-11T00:00:00"/>
    <x v="1"/>
    <s v="FTE"/>
    <s v="Chennai"/>
    <s v="CIS26MCPT024"/>
    <s v="Ashiya Begam S"/>
    <d v="2026-12-03T00:00:00"/>
    <x v="1"/>
    <s v="In-Training"/>
    <x v="0"/>
    <x v="0"/>
    <s v="TVH Ouranya Bay, Padur"/>
    <x v="10"/>
    <x v="0"/>
    <x v="5"/>
    <x v="2"/>
    <x v="2"/>
  </r>
  <r>
    <n v="2521739"/>
    <s v="Nihar Ranjan Sahu"/>
    <d v="2026-07-09T00:00:00"/>
    <x v="0"/>
    <s v="FTE"/>
    <s v="Chennai"/>
    <s v="QEA26SD001"/>
    <s v="Ajiesya D P"/>
    <d v="2026-11-03T00:00:00"/>
    <x v="0"/>
    <s v="In-Training"/>
    <x v="0"/>
    <x v="0"/>
    <s v="Zolo Mayfield ,TVH Ouranaya, Padur"/>
    <x v="11"/>
    <x v="0"/>
    <x v="5"/>
    <x v="2"/>
    <x v="2"/>
  </r>
  <r>
    <n v="2512369"/>
    <s v="Pragati Gupta"/>
    <d v="2026-05-28T00:00:00"/>
    <x v="1"/>
    <s v="FTE"/>
    <s v="Chennai"/>
    <s v="CIS26MCPT012"/>
    <s v="Uma Venkatachalam"/>
    <d v="2026-09-17T00:00:00"/>
    <x v="2"/>
    <s v="In-Training"/>
    <x v="0"/>
    <x v="0"/>
    <s v="TVH  Ouranya Bay Padur"/>
    <x v="11"/>
    <x v="0"/>
    <x v="5"/>
    <x v="2"/>
    <x v="2"/>
  </r>
  <r>
    <n v="2529603"/>
    <s v="Malla Babi Durga Jogiraju"/>
    <d v="2026-08-11T00:00:00"/>
    <x v="0"/>
    <s v="FTE"/>
    <s v="Chennai"/>
    <s v="CIS26MCPT022"/>
    <s v="Laksiya Vijayendran"/>
    <d v="2026-12-03T00:00:00"/>
    <x v="1"/>
    <s v="In-Training"/>
    <x v="1"/>
    <x v="2"/>
    <s v="Sholingnallur,Gardencity.Dlf Towers"/>
    <x v="8"/>
    <x v="0"/>
    <x v="17"/>
    <x v="4"/>
    <x v="1"/>
  </r>
  <r>
    <n v="2516840"/>
    <s v="Ritik Katiyar"/>
    <d v="2026-06-18T00:00:00"/>
    <x v="0"/>
    <s v="FTE"/>
    <s v="Chennai"/>
    <s v="CIS26NET004"/>
    <s v="Uma Venkatachalam"/>
    <d v="2026-09-04T00:00:00"/>
    <x v="2"/>
    <s v="In-Training-Remedial"/>
    <x v="0"/>
    <x v="0"/>
    <s v="Sri Srinivasa mens PG "/>
    <x v="1"/>
    <x v="0"/>
    <x v="2"/>
    <x v="0"/>
    <x v="0"/>
  </r>
  <r>
    <n v="2525029"/>
    <s v="Reddy Jagadeesh Babu"/>
    <d v="2026-07-23T00:00:00"/>
    <x v="0"/>
    <s v="FTE"/>
    <s v="Chennai"/>
    <s v="ADM26ISMO010"/>
    <s v="Thomas Naveen. J"/>
    <d v="2026-10-06T00:00:00"/>
    <x v="3"/>
    <s v="In-Training"/>
    <x v="0"/>
    <x v="4"/>
    <s v="Soma mens PG hostel, siruseri, Tamil Nadu - 603103"/>
    <x v="1"/>
    <x v="0"/>
    <x v="3"/>
    <x v="0"/>
    <x v="0"/>
  </r>
  <r>
    <n v="2518810"/>
    <s v="Disha Shivraj Patil"/>
    <d v="2026-06-30T00:00:00"/>
    <x v="1"/>
    <s v="FTE"/>
    <s v="Chennai"/>
    <s v="CIS26SB001"/>
    <s v="Kishorekumar P"/>
    <d v="2026-10-14T00:00:00"/>
    <x v="3"/>
    <s v="In-Training"/>
    <x v="0"/>
    <x v="0"/>
    <s v="Krishna Nivas pg"/>
    <x v="2"/>
    <x v="0"/>
    <x v="0"/>
    <x v="0"/>
    <x v="0"/>
  </r>
  <r>
    <n v="2519652"/>
    <s v="Anandhu Das"/>
    <d v="2026-07-02T00:00:00"/>
    <x v="0"/>
    <s v="FTE"/>
    <s v="Chennai"/>
    <s v="CIS26MCPT013"/>
    <s v="Lawrance M"/>
    <d v="2026-10-29T00:00:00"/>
    <x v="3"/>
    <s v="In-Training"/>
    <x v="0"/>
    <x v="0"/>
    <s v="Lakshmi Srinivasa Elite Mens PG "/>
    <x v="2"/>
    <x v="0"/>
    <x v="0"/>
    <x v="0"/>
    <x v="0"/>
  </r>
  <r>
    <n v="2521732"/>
    <s v="Shaik Fakruddin"/>
    <d v="2026-07-09T00:00:00"/>
    <x v="0"/>
    <s v="FTE"/>
    <s v="Chennai"/>
    <s v="QEA26SD001"/>
    <s v="Ajiesya D P"/>
    <d v="2026-11-03T00:00:00"/>
    <x v="0"/>
    <s v="In-Training"/>
    <x v="0"/>
    <x v="0"/>
    <s v="SS gents pg,egattur"/>
    <x v="2"/>
    <x v="0"/>
    <x v="3"/>
    <x v="0"/>
    <x v="0"/>
  </r>
  <r>
    <n v="2521838"/>
    <s v="Ayush Gupta"/>
    <d v="2026-07-09T00:00:00"/>
    <x v="0"/>
    <s v="FTE"/>
    <s v="Chennai"/>
    <s v="QEA26SD001"/>
    <s v="Ajiesya D P"/>
    <d v="2026-11-03T00:00:00"/>
    <x v="0"/>
    <s v="In-Training"/>
    <x v="0"/>
    <x v="0"/>
    <s v="Truliv Sofia Coliving and PG"/>
    <x v="2"/>
    <x v="0"/>
    <x v="3"/>
    <x v="0"/>
    <x v="0"/>
  </r>
  <r>
    <n v="2521843"/>
    <s v="Maragoni Dinesh"/>
    <d v="2026-07-09T00:00:00"/>
    <x v="0"/>
    <s v="FTE"/>
    <s v="Chennai"/>
    <s v="QEA26DS001"/>
    <s v="Lourdhu Selvin Raj X"/>
    <d v="2026-10-30T00:00:00"/>
    <x v="3"/>
    <s v="In-Training"/>
    <x v="0"/>
    <x v="0"/>
    <s v="gtr stays"/>
    <x v="2"/>
    <x v="0"/>
    <x v="3"/>
    <x v="0"/>
    <x v="0"/>
  </r>
  <r>
    <n v="2530137"/>
    <s v="Sangram Chavan Patil"/>
    <d v="2026-08-13T00:00:00"/>
    <x v="0"/>
    <s v="FTE"/>
    <s v="Chennai"/>
    <s v="EPS26SAP034"/>
    <s v="Gayathri Ramachandran"/>
    <d v="2026-11-05T00:00:00"/>
    <x v="0"/>
    <s v="In-Training"/>
    <x v="0"/>
    <x v="0"/>
    <s v="Meera Gents PG Egattur"/>
    <x v="2"/>
    <x v="0"/>
    <x v="0"/>
    <x v="0"/>
    <x v="0"/>
  </r>
  <r>
    <n v="2530203"/>
    <s v="Vishnu Mahendran"/>
    <d v="2026-08-13T00:00:00"/>
    <x v="0"/>
    <s v="FTE"/>
    <s v="Chennai"/>
    <s v="EPS26OSPPRO001"/>
    <s v="Gayathri Ramachandran"/>
    <d v="2026-12-07T00:00:00"/>
    <x v="1"/>
    <s v="In-Training"/>
    <x v="0"/>
    <x v="0"/>
    <s v="NKS MENS PG"/>
    <x v="2"/>
    <x v="1"/>
    <x v="3"/>
    <x v="0"/>
    <x v="0"/>
  </r>
  <r>
    <n v="2531386"/>
    <s v="Mutheeswar Paramasivam"/>
    <d v="2026-08-18T00:00:00"/>
    <x v="0"/>
    <s v="FTE"/>
    <s v="Chennai"/>
    <s v="EPS26SAP034"/>
    <s v="Gayathri Ramachandran"/>
    <d v="2026-11-05T00:00:00"/>
    <x v="0"/>
    <s v="In-Training"/>
    <x v="0"/>
    <x v="0"/>
    <s v="Narayan gents pg "/>
    <x v="2"/>
    <x v="1"/>
    <x v="2"/>
    <x v="0"/>
    <x v="0"/>
  </r>
  <r>
    <n v="2492364"/>
    <s v="Kondapalli Sarvesa Vadana Sri"/>
    <d v="2026-08-20T00:00:00"/>
    <x v="1"/>
    <s v="CSD"/>
    <s v="Chennai"/>
    <s v="INTFE26FE001"/>
    <s v="Grace Esther S"/>
    <d v="2026-10-15T00:00:00"/>
    <x v="3"/>
    <s v="In-Training"/>
    <x v="0"/>
    <x v="0"/>
    <s v="R&amp;R ladies pg l4 branch"/>
    <x v="2"/>
    <x v="0"/>
    <x v="2"/>
    <x v="0"/>
    <x v="0"/>
  </r>
  <r>
    <n v="2511298"/>
    <s v="Fawath Shaik"/>
    <d v="2026-05-21T00:00:00"/>
    <x v="0"/>
    <s v="FTE"/>
    <s v="Chennai"/>
    <s v="CIS26MCPT010"/>
    <s v="Mohamed Harish"/>
    <d v="2026-09-15T00:00:00"/>
    <x v="2"/>
    <s v="In-Training"/>
    <x v="0"/>
    <x v="0"/>
    <s v="Yashvitha Gents PG , Navallur"/>
    <x v="2"/>
    <x v="0"/>
    <x v="2"/>
    <x v="0"/>
    <x v="0"/>
  </r>
  <r>
    <n v="2516883"/>
    <s v="Nagiri Keshava Naidu"/>
    <d v="2026-06-18T00:00:00"/>
    <x v="0"/>
    <s v="FTE"/>
    <s v="Chennai"/>
    <s v="CIS26NET003"/>
    <s v="Uma Venkatachalam"/>
    <d v="2026-09-07T00:00:00"/>
    <x v="2"/>
    <s v="In-Training-Remedial"/>
    <x v="0"/>
    <x v="0"/>
    <s v="CNR gents Pg"/>
    <x v="2"/>
    <x v="0"/>
    <x v="0"/>
    <x v="0"/>
    <x v="0"/>
  </r>
  <r>
    <n v="2516886"/>
    <s v="Murulidhara J"/>
    <d v="2026-06-18T00:00:00"/>
    <x v="0"/>
    <s v="FTE"/>
    <s v="Chennai"/>
    <s v="CIS26NET003"/>
    <s v="Uma Venkatachalam"/>
    <d v="2026-09-04T00:00:00"/>
    <x v="2"/>
    <s v="In-Training-Remedial"/>
    <x v="0"/>
    <x v="0"/>
    <s v="sree venkateswara luxury pg for gents"/>
    <x v="2"/>
    <x v="0"/>
    <x v="2"/>
    <x v="0"/>
    <x v="0"/>
  </r>
  <r>
    <n v="2519719"/>
    <s v="Sumit Gajendra Panchal"/>
    <d v="2026-07-02T00:00:00"/>
    <x v="0"/>
    <s v="FTE"/>
    <s v="Chennai"/>
    <s v="CIS26MCPT013"/>
    <s v="Lawrance M"/>
    <d v="2026-10-29T00:00:00"/>
    <x v="3"/>
    <s v="In-Training"/>
    <x v="0"/>
    <x v="0"/>
    <s v="Sri sarvanan mens pg, Egattur"/>
    <x v="2"/>
    <x v="0"/>
    <x v="0"/>
    <x v="0"/>
    <x v="0"/>
  </r>
  <r>
    <n v="2521250"/>
    <s v="R Kalaivani"/>
    <d v="2026-07-07T00:00:00"/>
    <x v="1"/>
    <s v="FTE"/>
    <s v="Chennai"/>
    <s v="CS26CS007"/>
    <s v="Lawrance M"/>
    <d v="2026-09-07T00:00:00"/>
    <x v="2"/>
    <s v="In-Training"/>
    <x v="0"/>
    <x v="0"/>
    <s v="New Manikandan   ladies hostel,   branch 14"/>
    <x v="2"/>
    <x v="0"/>
    <x v="0"/>
    <x v="0"/>
    <x v="0"/>
  </r>
  <r>
    <n v="2523387"/>
    <s v="Vaishnavi Prakashchand Agrawal"/>
    <d v="2026-07-16T00:00:00"/>
    <x v="1"/>
    <s v="FTE"/>
    <s v="Chennai"/>
    <s v="CS26CS009"/>
    <s v="Laksiya Vijayendran"/>
    <d v="2026-10-14T00:00:00"/>
    <x v="3"/>
    <s v="In-Training"/>
    <x v="0"/>
    <x v="0"/>
    <s v="Moksha Ladies Hostel"/>
    <x v="2"/>
    <x v="0"/>
    <x v="0"/>
    <x v="0"/>
    <x v="0"/>
  </r>
  <r>
    <n v="2524645"/>
    <s v="Anwer Shamim"/>
    <d v="2026-07-21T00:00:00"/>
    <x v="0"/>
    <s v="FTE"/>
    <s v="Chennai"/>
    <s v="ADM26MF012"/>
    <s v="Lourdhu Selvin Raj X"/>
    <d v="2026-11-17T00:00:00"/>
    <x v="0"/>
    <s v="In-Training"/>
    <x v="0"/>
    <x v="0"/>
    <s v="Shree,navalur"/>
    <x v="2"/>
    <x v="0"/>
    <x v="2"/>
    <x v="0"/>
    <x v="0"/>
  </r>
  <r>
    <n v="2529572"/>
    <s v="Sourabh Balaso Chindage"/>
    <d v="2026-08-11T00:00:00"/>
    <x v="0"/>
    <s v="FTE"/>
    <s v="Chennai"/>
    <s v="CIS26MCPT022"/>
    <s v="Laksiya Vijayendran"/>
    <d v="2026-12-03T00:00:00"/>
    <x v="1"/>
    <s v="In-Training"/>
    <x v="0"/>
    <x v="0"/>
    <s v="CNR Gents PG Branch 2"/>
    <x v="2"/>
    <x v="0"/>
    <x v="3"/>
    <x v="0"/>
    <x v="0"/>
  </r>
  <r>
    <n v="2529645"/>
    <s v="Aditya Sharad Pawar"/>
    <d v="2026-08-11T00:00:00"/>
    <x v="0"/>
    <s v="FTE"/>
    <s v="Chennai"/>
    <s v="CIS26MCPT026"/>
    <s v="Mohamed Harish"/>
    <d v="2026-12-08T00:00:00"/>
    <x v="1"/>
    <s v="In-Training"/>
    <x v="0"/>
    <x v="0"/>
    <s v="Vishwas Mens PG, SIPCOT, Siruseri"/>
    <x v="2"/>
    <x v="0"/>
    <x v="3"/>
    <x v="0"/>
    <x v="0"/>
  </r>
  <r>
    <n v="2529712"/>
    <s v="Sanikommu Akshith Reddy"/>
    <d v="2026-08-11T00:00:00"/>
    <x v="0"/>
    <s v="FTE"/>
    <s v="Chennai"/>
    <s v="CIS26AZ001"/>
    <s v="Ashiya Begam S"/>
    <d v="2026-11-09T00:00:00"/>
    <x v="0"/>
    <s v="In-Training"/>
    <x v="0"/>
    <x v="0"/>
    <s v="Siva Sai gents pg hostel, Siruseri"/>
    <x v="2"/>
    <x v="0"/>
    <x v="3"/>
    <x v="0"/>
    <x v="0"/>
  </r>
  <r>
    <n v="2529720"/>
    <s v="Dontamsetti Sesha Sai"/>
    <d v="2026-08-11T00:00:00"/>
    <x v="0"/>
    <s v="FTE"/>
    <s v="Chennai"/>
    <s v="CIS26AZ001"/>
    <s v="Ashiya Begam S"/>
    <d v="2026-11-09T00:00:00"/>
    <x v="0"/>
    <s v="In-Training"/>
    <x v="0"/>
    <x v="0"/>
    <s v="Geethika Grand Gents Pg"/>
    <x v="2"/>
    <x v="0"/>
    <x v="0"/>
    <x v="0"/>
    <x v="0"/>
  </r>
  <r>
    <n v="2529780"/>
    <s v="Mohammad Arqum Hasanuddin"/>
    <d v="2026-08-11T00:00:00"/>
    <x v="0"/>
    <s v="FTE"/>
    <s v="Chennai"/>
    <s v="CIS26MCPT026"/>
    <s v="Mohamed Harish"/>
    <d v="2026-12-08T00:00:00"/>
    <x v="1"/>
    <s v="In-Training"/>
    <x v="0"/>
    <x v="0"/>
    <s v="Chandra Gents Pg , TVH terra Hub , Siruseri "/>
    <x v="2"/>
    <x v="0"/>
    <x v="3"/>
    <x v="0"/>
    <x v="0"/>
  </r>
  <r>
    <n v="2529787"/>
    <s v="Surabhi Subrota Ghosh"/>
    <d v="2026-08-11T00:00:00"/>
    <x v="1"/>
    <s v="FTE"/>
    <s v="Chennai"/>
    <s v="CIS26MCPT023"/>
    <s v="Kishorekumar P"/>
    <d v="2026-12-03T00:00:00"/>
    <x v="1"/>
    <s v="In-Training"/>
    <x v="0"/>
    <x v="0"/>
    <s v="SRS Luxury PG for ladies"/>
    <x v="2"/>
    <x v="0"/>
    <x v="0"/>
    <x v="0"/>
    <x v="0"/>
  </r>
  <r>
    <n v="2531806"/>
    <s v="Patlolla Sangameshwar Reddy"/>
    <d v="2026-08-20T00:00:00"/>
    <x v="0"/>
    <s v="Intern"/>
    <s v="Chennai"/>
    <s v="INTFE26FE001"/>
    <s v="Grace Esther S"/>
    <d v="2026-10-15T00:00:00"/>
    <x v="3"/>
    <s v="In-Training"/>
    <x v="0"/>
    <x v="0"/>
    <s v="siddus pg"/>
    <x v="2"/>
    <x v="0"/>
    <x v="3"/>
    <x v="0"/>
    <x v="0"/>
  </r>
  <r>
    <n v="2531846"/>
    <s v="Siddhesh Prasad Chauk"/>
    <d v="2026-08-20T00:00:00"/>
    <x v="0"/>
    <s v="FTE"/>
    <s v="Chennai"/>
    <s v="CS26CS011"/>
    <s v="Kishorekumar P"/>
    <d v="2026-11-17T00:00:00"/>
    <x v="0"/>
    <s v="In-Training"/>
    <x v="1"/>
    <x v="2"/>
    <s v="Ramaniyam Water Front"/>
    <x v="2"/>
    <x v="0"/>
    <x v="36"/>
    <x v="2"/>
    <x v="1"/>
  </r>
  <r>
    <n v="2531963"/>
    <s v="Varshni N"/>
    <d v="2026-08-20T00:00:00"/>
    <x v="1"/>
    <s v="FTE"/>
    <s v="Chennai"/>
    <s v="CS26CS012"/>
    <s v="Laksiya Vijayendran"/>
    <d v="2026-11-17T00:00:00"/>
    <x v="0"/>
    <s v="In-Training"/>
    <x v="0"/>
    <x v="0"/>
    <s v="Sai grand womens pg"/>
    <x v="2"/>
    <x v="0"/>
    <x v="3"/>
    <x v="0"/>
    <x v="0"/>
  </r>
  <r>
    <n v="2533021"/>
    <s v="Seelam Asha"/>
    <d v="2026-08-25T00:00:00"/>
    <x v="1"/>
    <s v="FTE"/>
    <s v="Chennai"/>
    <s v="CIS26MBG004"/>
    <s v="Kishorekumar P"/>
    <d v="2026-12-11T00:00:00"/>
    <x v="1"/>
    <s v="In-Training"/>
    <x v="0"/>
    <x v="0"/>
    <s v="Branch-1, SRS Luxury PG For Woman (ladies hostel, Gangai Amman Kovil St, near Marina Mall, opposite to A2B, Egattur, Chennai, Tamil Nadu 600130"/>
    <x v="2"/>
    <x v="0"/>
    <x v="3"/>
    <x v="0"/>
    <x v="0"/>
  </r>
  <r>
    <n v="2533160"/>
    <s v="Pothuganti Sushmitha"/>
    <d v="2026-08-25T00:00:00"/>
    <x v="1"/>
    <s v="FTE"/>
    <s v="Chennai"/>
    <s v="CIS26SN002"/>
    <s v="Ashiya Begam S"/>
    <d v="2026-12-02T00:00:00"/>
    <x v="1"/>
    <s v="In-Training"/>
    <x v="0"/>
    <x v="0"/>
    <s v="Sri Sai UniQs PG Ladies Hostel"/>
    <x v="2"/>
    <x v="0"/>
    <x v="0"/>
    <x v="0"/>
    <x v="0"/>
  </r>
  <r>
    <n v="2521670"/>
    <s v="Sai Tharun Yerravalli"/>
    <d v="2026-07-09T00:00:00"/>
    <x v="0"/>
    <s v="FTE"/>
    <s v="Chennai"/>
    <s v="ADM26MF010"/>
    <s v="Thomas Naveen. J"/>
    <d v="2026-11-02T00:00:00"/>
    <x v="0"/>
    <s v="In-Training"/>
    <x v="0"/>
    <x v="4"/>
    <s v="SAI DELUXE PG"/>
    <x v="2"/>
    <x v="0"/>
    <x v="3"/>
    <x v="0"/>
    <x v="0"/>
  </r>
  <r>
    <n v="2524546"/>
    <s v="Gunala Lakshmi Narayana Reddy"/>
    <d v="2026-07-21T00:00:00"/>
    <x v="0"/>
    <s v="FTE"/>
    <s v="Chennai"/>
    <s v="ADM26DFSA007"/>
    <s v="Sweta Thoppil"/>
    <d v="2026-11-10T00:00:00"/>
    <x v="0"/>
    <s v="In-Training"/>
    <x v="0"/>
    <x v="0"/>
    <s v="SVS Gents Pg - Navalur"/>
    <x v="2"/>
    <x v="0"/>
    <x v="2"/>
    <x v="0"/>
    <x v="0"/>
  </r>
  <r>
    <n v="2512360"/>
    <s v="Mahantesh Chikkeri"/>
    <d v="2026-05-28T00:00:00"/>
    <x v="0"/>
    <s v="FTE"/>
    <s v="Chennai"/>
    <s v="CIS26MCPT012"/>
    <s v="Uma Venkatachalam"/>
    <d v="2026-09-17T00:00:00"/>
    <x v="2"/>
    <s v="In-Training"/>
    <x v="0"/>
    <x v="0"/>
    <s v="CNR GENTS PG BRANCH 1 SERUSERI"/>
    <x v="2"/>
    <x v="0"/>
    <x v="3"/>
    <x v="0"/>
    <x v="0"/>
  </r>
  <r>
    <n v="2521825"/>
    <s v="Mohammed Misba"/>
    <d v="2026-07-09T00:00:00"/>
    <x v="0"/>
    <s v="FTE"/>
    <s v="Chennai"/>
    <s v="ADM26DNAT003"/>
    <s v="Athira P"/>
    <d v="2026-10-23T00:00:00"/>
    <x v="3"/>
    <s v="In-Training"/>
    <x v="0"/>
    <x v="0"/>
    <s v="Soma mens stay"/>
    <x v="2"/>
    <x v="0"/>
    <x v="0"/>
    <x v="0"/>
    <x v="0"/>
  </r>
  <r>
    <n v="2511244"/>
    <s v="Pratiksha Balbhim Bhosale"/>
    <d v="2026-05-21T00:00:00"/>
    <x v="1"/>
    <s v="FTE"/>
    <s v="Chennai"/>
    <s v="CIS26MCPT010"/>
    <s v="Mohamed Harish"/>
    <d v="2026-09-10T00:00:00"/>
    <x v="2"/>
    <s v="In-Training"/>
    <x v="0"/>
    <x v="0"/>
    <s v="Sai Teja "/>
    <x v="2"/>
    <x v="0"/>
    <x v="3"/>
    <x v="0"/>
    <x v="0"/>
  </r>
  <r>
    <n v="2512290"/>
    <s v="Karan Baliram Aghav"/>
    <d v="2026-05-28T00:00:00"/>
    <x v="0"/>
    <s v="FTE"/>
    <s v="Chennai"/>
    <s v="CIS26MCPT012"/>
    <s v="Uma Venkatachalam"/>
    <d v="2026-09-17T00:00:00"/>
    <x v="2"/>
    <s v="In-Training"/>
    <x v="0"/>
    <x v="0"/>
    <s v="Vishvas professional stays siruseri sipcot"/>
    <x v="2"/>
    <x v="0"/>
    <x v="3"/>
    <x v="0"/>
    <x v="0"/>
  </r>
  <r>
    <n v="2519657"/>
    <s v="Sai Charan Devana"/>
    <d v="2026-07-02T00:00:00"/>
    <x v="0"/>
    <s v="FTE"/>
    <s v="Chennai"/>
    <s v="CIS26UNIX003"/>
    <s v="Haritha P"/>
    <d v="2026-09-24T00:00:00"/>
    <x v="2"/>
    <s v="In-Training"/>
    <x v="0"/>
    <x v="0"/>
    <s v="SVD GENTS PG , city park layout, near SIPCOT IT Park, sipcot, Egattur, Siruseri, Tamil Nadu 603103"/>
    <x v="2"/>
    <x v="0"/>
    <x v="3"/>
    <x v="0"/>
    <x v="0"/>
  </r>
  <r>
    <n v="2526154"/>
    <s v="Mudit Vyas"/>
    <d v="2026-07-28T00:00:00"/>
    <x v="0"/>
    <s v="FTE"/>
    <s v="Chennai"/>
    <s v="EPS26WD005"/>
    <s v="Vishnupriya Dakshnamurthy"/>
    <d v="2026-11-06T00:00:00"/>
    <x v="0"/>
    <s v="In-Training"/>
    <x v="0"/>
    <x v="0"/>
    <s v="Ardenwood co-living"/>
    <x v="2"/>
    <x v="0"/>
    <x v="3"/>
    <x v="0"/>
    <x v="0"/>
  </r>
  <r>
    <n v="2529500"/>
    <s v="Mylavarapu Chaitanya Sandeep"/>
    <d v="2026-08-11T00:00:00"/>
    <x v="0"/>
    <s v="FTE"/>
    <s v="Chennai"/>
    <s v="CIS26MCPT026"/>
    <s v="Mohamed Harish"/>
    <d v="2026-12-08T00:00:00"/>
    <x v="1"/>
    <s v="In-Training"/>
    <x v="0"/>
    <x v="0"/>
    <s v="siruseri "/>
    <x v="2"/>
    <x v="0"/>
    <x v="3"/>
    <x v="0"/>
    <x v="0"/>
  </r>
  <r>
    <n v="2531820"/>
    <s v="Pranjal Ramesh Tanpure"/>
    <d v="2026-08-20T00:00:00"/>
    <x v="1"/>
    <s v="FTE"/>
    <s v="Chennai"/>
    <s v="CS26CS011"/>
    <s v="Kishorekumar P"/>
    <d v="2026-11-17T00:00:00"/>
    <x v="0"/>
    <s v="In-Training"/>
    <x v="0"/>
    <x v="0"/>
    <s v="MSR Luxury PG for Ladies -Branch 2,Egattur"/>
    <x v="2"/>
    <x v="0"/>
    <x v="3"/>
    <x v="0"/>
    <x v="0"/>
  </r>
  <r>
    <n v="2531836"/>
    <s v="Aditya Prabhakar Nanaware"/>
    <d v="2026-08-20T00:00:00"/>
    <x v="0"/>
    <s v="FTE"/>
    <s v="Chennai"/>
    <s v="CS26CS011"/>
    <s v="Kishorekumar P"/>
    <d v="2026-11-17T00:00:00"/>
    <x v="0"/>
    <s v="In-Training"/>
    <x v="1"/>
    <x v="2"/>
    <s v="Ramaniyam,yube1 Greenhouse,37,Mettu Street, kalipattur,Siruseri,TamilNadu-603103"/>
    <x v="2"/>
    <x v="0"/>
    <x v="3"/>
    <x v="0"/>
    <x v="1"/>
  </r>
  <r>
    <n v="2525033"/>
    <s v="Sai Manisha Veliginti"/>
    <d v="2026-07-23T00:00:00"/>
    <x v="1"/>
    <s v="FTE"/>
    <s v="Chennai"/>
    <s v="ADM26ISMO010"/>
    <s v="Thomas Naveen. J"/>
    <d v="2026-10-06T00:00:00"/>
    <x v="3"/>
    <s v="In-Training"/>
    <x v="0"/>
    <x v="4"/>
    <s v="sai grands womens hostel"/>
    <x v="2"/>
    <x v="0"/>
    <x v="0"/>
    <x v="0"/>
    <x v="0"/>
  </r>
  <r>
    <n v="2521198"/>
    <s v="Golla Madhusudhan"/>
    <d v="2026-07-07T00:00:00"/>
    <x v="0"/>
    <s v="FTE"/>
    <s v="Chennai"/>
    <s v="EPS26WD004"/>
    <s v="Ajith Ganesan"/>
    <d v="2026-10-15T00:00:00"/>
    <x v="3"/>
    <s v="In-Training"/>
    <x v="0"/>
    <x v="4"/>
    <s v="Sai Grand Mens PG"/>
    <x v="2"/>
    <x v="0"/>
    <x v="3"/>
    <x v="0"/>
    <x v="0"/>
  </r>
  <r>
    <n v="2525069"/>
    <s v="Jami Sowjanya"/>
    <d v="2026-07-23T00:00:00"/>
    <x v="1"/>
    <s v="FTE"/>
    <s v="Chennai"/>
    <s v="ADM26ISMO010"/>
    <s v="Thomas Naveen. J"/>
    <d v="2026-10-06T00:00:00"/>
    <x v="3"/>
    <s v="In-Training"/>
    <x v="0"/>
    <x v="4"/>
    <s v="SAIRAM LADIES HOSTEL"/>
    <x v="2"/>
    <x v="0"/>
    <x v="2"/>
    <x v="0"/>
    <x v="0"/>
  </r>
  <r>
    <n v="2531384"/>
    <s v="Neha Vidyashankar"/>
    <d v="2026-08-18T00:00:00"/>
    <x v="1"/>
    <s v="FTE"/>
    <s v="Chennai"/>
    <s v="EPS26SAP036"/>
    <s v="Vishnupriya Dakshnamurthy"/>
    <d v="2026-11-09T00:00:00"/>
    <x v="0"/>
    <s v="In-Training"/>
    <x v="1"/>
    <x v="1"/>
    <s v="Navins Rajendra Gardens"/>
    <x v="2"/>
    <x v="1"/>
    <x v="2"/>
    <x v="0"/>
    <x v="1"/>
  </r>
  <r>
    <n v="2479899"/>
    <s v="Rutuja Satish Kohale"/>
    <d v="2026-01-31T00:00:00"/>
    <x v="1"/>
    <s v="FTE"/>
    <s v="Chennai"/>
    <s v="ADM26ISMO010"/>
    <s v="Thomas Naveen. J"/>
    <d v="2026-10-06T00:00:00"/>
    <x v="3"/>
    <s v="In-Training"/>
    <x v="0"/>
    <x v="0"/>
    <s v="Sai Grand womens pg "/>
    <x v="2"/>
    <x v="0"/>
    <x v="3"/>
    <x v="0"/>
    <x v="0"/>
  </r>
  <r>
    <n v="2511224"/>
    <s v="Disha Manishbhai Chachpara"/>
    <d v="2026-05-21T00:00:00"/>
    <x v="1"/>
    <s v="FTE"/>
    <s v="Chennai"/>
    <s v="CIS26MCPT010"/>
    <s v="Mohamed Harish"/>
    <d v="2026-09-10T00:00:00"/>
    <x v="2"/>
    <s v="In-Training"/>
    <x v="0"/>
    <x v="0"/>
    <s v="Krishna Nivas Ladies PG, Egattur"/>
    <x v="2"/>
    <x v="0"/>
    <x v="0"/>
    <x v="0"/>
    <x v="0"/>
  </r>
  <r>
    <n v="2516851"/>
    <s v="Haripriya L Gudi"/>
    <d v="2026-06-18T00:00:00"/>
    <x v="1"/>
    <s v="FTE"/>
    <s v="Chennai"/>
    <s v="CIS26MW001"/>
    <s v="Ashiya Begam S"/>
    <d v="2026-09-11T00:00:00"/>
    <x v="2"/>
    <s v="In-Training"/>
    <x v="0"/>
    <x v="0"/>
    <s v="Queens ladies luxury pg"/>
    <x v="2"/>
    <x v="0"/>
    <x v="0"/>
    <x v="0"/>
    <x v="0"/>
  </r>
  <r>
    <n v="2518813"/>
    <s v="Anusri Saha"/>
    <d v="2026-06-30T00:00:00"/>
    <x v="1"/>
    <s v="FTE"/>
    <s v="Chennai"/>
    <s v="CIS26SB001"/>
    <s v="Kishorekumar P"/>
    <d v="2026-10-14T00:00:00"/>
    <x v="3"/>
    <s v="In-Training"/>
    <x v="0"/>
    <x v="0"/>
    <s v="MSR Luxury PG for Ladies (Branch III)"/>
    <x v="2"/>
    <x v="0"/>
    <x v="0"/>
    <x v="0"/>
    <x v="0"/>
  </r>
  <r>
    <n v="2519648"/>
    <s v="Adithyan P"/>
    <d v="2026-07-02T00:00:00"/>
    <x v="0"/>
    <s v="FTE"/>
    <s v="Chennai"/>
    <s v="CIS26MCPT013"/>
    <s v="Lawrance M"/>
    <d v="2026-10-29T00:00:00"/>
    <x v="3"/>
    <s v="In-Training"/>
    <x v="0"/>
    <x v="0"/>
    <s v="Ardenwood Pg"/>
    <x v="2"/>
    <x v="0"/>
    <x v="3"/>
    <x v="0"/>
    <x v="0"/>
  </r>
  <r>
    <n v="2520923"/>
    <s v="Srivarshini G"/>
    <d v="2026-07-07T00:00:00"/>
    <x v="1"/>
    <s v="FTE"/>
    <s v="Chennai"/>
    <s v="CIS26MCPT013"/>
    <s v="Lawrance M"/>
    <d v="2026-10-29T00:00:00"/>
    <x v="3"/>
    <s v="In-Training"/>
    <x v="0"/>
    <x v="0"/>
    <s v="SRS Luxury PG for Women Branch 1 "/>
    <x v="2"/>
    <x v="1"/>
    <x v="3"/>
    <x v="0"/>
    <x v="0"/>
  </r>
  <r>
    <n v="2520941"/>
    <s v="Prathina Arunachalam"/>
    <d v="2026-07-07T00:00:00"/>
    <x v="1"/>
    <s v="FTE"/>
    <s v="Chennai"/>
    <s v="HPC26DN005"/>
    <s v="Viveka Preethi"/>
    <d v="2026-10-01T00:00:00"/>
    <x v="3"/>
    <s v="In-Training"/>
    <x v="0"/>
    <x v="0"/>
    <s v="QUEENS LUXURY LADIES PG, Egattur"/>
    <x v="2"/>
    <x v="1"/>
    <x v="3"/>
    <x v="0"/>
    <x v="0"/>
  </r>
  <r>
    <n v="2520951"/>
    <s v="Manoj M Hatalageri"/>
    <d v="2026-07-07T00:00:00"/>
    <x v="0"/>
    <s v="FTE"/>
    <s v="Chennai"/>
    <s v="EPS26WD004"/>
    <s v="Ajith Ganesan"/>
    <d v="2026-10-15T00:00:00"/>
    <x v="3"/>
    <s v="In-Training"/>
    <x v="0"/>
    <x v="0"/>
    <s v="Meera Gents Pg, Chennai,Tamilnadu"/>
    <x v="2"/>
    <x v="0"/>
    <x v="2"/>
    <x v="0"/>
    <x v="0"/>
  </r>
  <r>
    <n v="2521039"/>
    <s v="Attuluri Sai Omkar"/>
    <d v="2026-07-07T00:00:00"/>
    <x v="0"/>
    <s v="FTE"/>
    <s v="Chennai"/>
    <s v="SNBG26SN002"/>
    <s v="Lawrance M"/>
    <d v="2026-09-16T00:00:00"/>
    <x v="2"/>
    <s v="In-Training"/>
    <x v="0"/>
    <x v="0"/>
    <s v="CNR Gents PG Branch-1, Egattur"/>
    <x v="2"/>
    <x v="0"/>
    <x v="3"/>
    <x v="0"/>
    <x v="0"/>
  </r>
  <r>
    <n v="2521058"/>
    <s v="Chandra Naga Mouli Matta"/>
    <d v="2026-07-07T00:00:00"/>
    <x v="0"/>
    <s v="FTE"/>
    <s v="Chennai"/>
    <s v="SNBG26SN004"/>
    <s v="Kishorekumar P"/>
    <d v="2026-10-08T00:00:00"/>
    <x v="3"/>
    <s v="In-Training"/>
    <x v="0"/>
    <x v="0"/>
    <s v="SP MENS PG, Egattur"/>
    <x v="2"/>
    <x v="0"/>
    <x v="3"/>
    <x v="0"/>
    <x v="0"/>
  </r>
  <r>
    <n v="2521081"/>
    <s v="Beella Rupadevi"/>
    <d v="2026-07-07T00:00:00"/>
    <x v="1"/>
    <s v="FTE"/>
    <s v="Chennai"/>
    <s v="SNBG26SN002"/>
    <s v="Lawrance M"/>
    <d v="2026-10-08T00:00:00"/>
    <x v="3"/>
    <s v="In-Training"/>
    <x v="0"/>
    <x v="0"/>
    <s v="Sri Lakshmi Venkateswara PG For Ladies,R6MG+FWW, Gangai Amman Kovil St, Uthandi, Egattur, Tamil Nadu 600130"/>
    <x v="2"/>
    <x v="0"/>
    <x v="0"/>
    <x v="0"/>
    <x v="0"/>
  </r>
  <r>
    <n v="2521108"/>
    <s v="Vudatha Pavani Sri Lakshmi Savithri"/>
    <d v="2026-07-07T00:00:00"/>
    <x v="1"/>
    <s v="FTE"/>
    <s v="Chennai"/>
    <s v="SNBG26SN002"/>
    <s v="Lawrance M"/>
    <d v="2026-09-16T00:00:00"/>
    <x v="2"/>
    <s v="In-Training"/>
    <x v="0"/>
    <x v="0"/>
    <s v="Vaishnavi PG for Ladies,Egattur"/>
    <x v="2"/>
    <x v="0"/>
    <x v="0"/>
    <x v="0"/>
    <x v="0"/>
  </r>
  <r>
    <n v="2521126"/>
    <s v="Akshay Kumar Adepu"/>
    <d v="2026-07-07T00:00:00"/>
    <x v="0"/>
    <s v="FTE"/>
    <s v="Chennai"/>
    <s v="SNBG26SN003"/>
    <s v="Lawrance M"/>
    <d v="2026-09-16T00:00:00"/>
    <x v="2"/>
    <s v="In-Training"/>
    <x v="0"/>
    <x v="0"/>
    <s v="CNR GENTS PG BRANCH-1,Egatur"/>
    <x v="2"/>
    <x v="1"/>
    <x v="3"/>
    <x v="0"/>
    <x v="0"/>
  </r>
  <r>
    <n v="2521132"/>
    <s v="Vignesha Perumal R"/>
    <d v="2026-07-07T00:00:00"/>
    <x v="0"/>
    <s v="FTE"/>
    <s v="Chennai"/>
    <s v="HPC26DN005"/>
    <s v="Viveka Preethi"/>
    <d v="2026-10-01T00:00:00"/>
    <x v="3"/>
    <s v="In-Training"/>
    <x v="0"/>
    <x v="0"/>
    <s v="Narayanan Gents PG, Navalur"/>
    <x v="2"/>
    <x v="1"/>
    <x v="2"/>
    <x v="0"/>
    <x v="0"/>
  </r>
  <r>
    <n v="2521134"/>
    <s v="Shivashankar Sankuri"/>
    <d v="2026-07-07T00:00:00"/>
    <x v="0"/>
    <s v="FTE"/>
    <s v="Chennai"/>
    <s v="SNBG26SN003"/>
    <s v="Lawrance M"/>
    <d v="2026-10-08T00:00:00"/>
    <x v="3"/>
    <s v="In-Training"/>
    <x v="0"/>
    <x v="0"/>
    <s v="CNR Gents PG, Egatur branch 1"/>
    <x v="2"/>
    <x v="0"/>
    <x v="3"/>
    <x v="0"/>
    <x v="0"/>
  </r>
  <r>
    <n v="2521200"/>
    <s v="Rohit Dadasaheb Dhage"/>
    <d v="2026-07-07T00:00:00"/>
    <x v="0"/>
    <s v="FTE"/>
    <s v="Chennai"/>
    <s v="CS26CS007"/>
    <s v="Lawrance M"/>
    <d v="2026-09-07T00:00:00"/>
    <x v="2"/>
    <s v="In-Training"/>
    <x v="0"/>
    <x v="0"/>
    <s v="Soma Mens Stay (PG Hostel)"/>
    <x v="2"/>
    <x v="0"/>
    <x v="3"/>
    <x v="0"/>
    <x v="0"/>
  </r>
  <r>
    <n v="2521202"/>
    <s v="Shravan V"/>
    <d v="2026-07-07T00:00:00"/>
    <x v="0"/>
    <s v="FTE"/>
    <s v="Chennai"/>
    <s v="CS26CS008"/>
    <s v="Kishorekumar P"/>
    <d v="2026-10-28T00:00:00"/>
    <x v="3"/>
    <s v="In-Training"/>
    <x v="0"/>
    <x v="0"/>
    <s v="Sri Srinivasa Mens PG, Navalur"/>
    <x v="2"/>
    <x v="0"/>
    <x v="2"/>
    <x v="0"/>
    <x v="0"/>
  </r>
  <r>
    <n v="2521207"/>
    <s v="Indrajeet Anil Pimpalgaonkar"/>
    <d v="2026-07-07T00:00:00"/>
    <x v="0"/>
    <s v="FTE"/>
    <s v="Chennai"/>
    <s v="CS26CS007"/>
    <s v="Lawrance M"/>
    <d v="2026-09-07T00:00:00"/>
    <x v="2"/>
    <s v="In-Training"/>
    <x v="0"/>
    <x v="0"/>
    <s v="Yube 1 Greenhouse, Siruseri"/>
    <x v="2"/>
    <x v="0"/>
    <x v="3"/>
    <x v="0"/>
    <x v="0"/>
  </r>
  <r>
    <n v="2521247"/>
    <s v="Pinninti Swetha"/>
    <d v="2026-07-07T00:00:00"/>
    <x v="1"/>
    <s v="FTE"/>
    <s v="Chennai"/>
    <s v="SNBG26SN002"/>
    <s v="Lawrance M"/>
    <d v="2026-10-08T00:00:00"/>
    <x v="3"/>
    <s v="In-Training"/>
    <x v="0"/>
    <x v="0"/>
    <s v="SRS Luxury PG For Ladies SIPCOT- SIRUSERI"/>
    <x v="2"/>
    <x v="1"/>
    <x v="0"/>
    <x v="0"/>
    <x v="0"/>
  </r>
  <r>
    <n v="2521266"/>
    <s v="Perumalla Harshitha"/>
    <d v="2026-07-07T00:00:00"/>
    <x v="1"/>
    <s v="FTE"/>
    <s v="Chennai"/>
    <s v="CS26CS006"/>
    <s v="Lawrance M"/>
    <d v="2026-09-04T00:00:00"/>
    <x v="2"/>
    <s v="In-Training"/>
    <x v="0"/>
    <x v="0"/>
    <s v="MSR Luxury PG for Ladies "/>
    <x v="2"/>
    <x v="0"/>
    <x v="3"/>
    <x v="0"/>
    <x v="0"/>
  </r>
  <r>
    <n v="2521294"/>
    <s v="Thilak Adepu"/>
    <d v="2026-07-07T00:00:00"/>
    <x v="0"/>
    <s v="FTE"/>
    <s v="Chennai"/>
    <s v="SNBG26SN003"/>
    <s v="Lawrance M"/>
    <d v="2026-10-08T00:00:00"/>
    <x v="3"/>
    <s v="In-Training"/>
    <x v="0"/>
    <x v="0"/>
    <s v="CNR GENTS PG HOSTEL BRANCH-1"/>
    <x v="2"/>
    <x v="0"/>
    <x v="3"/>
    <x v="0"/>
    <x v="0"/>
  </r>
  <r>
    <n v="2521297"/>
    <s v="Buela Sindhu Thirumalasetty"/>
    <d v="2026-07-07T00:00:00"/>
    <x v="1"/>
    <s v="FTE"/>
    <s v="Chennai"/>
    <s v="SNBG26SN002"/>
    <s v="Lawrance M"/>
    <d v="2026-09-16T00:00:00"/>
    <x v="2"/>
    <s v="In-Training"/>
    <x v="0"/>
    <x v="0"/>
    <s v="1/210a, Dr Ambedkar St, Egattur, Chennai, Tamil Nadu 600130"/>
    <x v="2"/>
    <x v="0"/>
    <x v="0"/>
    <x v="0"/>
    <x v="0"/>
  </r>
  <r>
    <n v="2521298"/>
    <s v="Ishan Jayant Walchale"/>
    <d v="2026-07-07T00:00:00"/>
    <x v="0"/>
    <s v="FTE"/>
    <s v="Chennai"/>
    <s v="CS26CS007"/>
    <s v="Lawrance M"/>
    <d v="2026-09-07T00:00:00"/>
    <x v="2"/>
    <s v="In-Training"/>
    <x v="0"/>
    <x v="0"/>
    <s v="KR Mens PG "/>
    <x v="2"/>
    <x v="0"/>
    <x v="3"/>
    <x v="0"/>
    <x v="0"/>
  </r>
  <r>
    <n v="2521624"/>
    <s v="Anisha Kumari"/>
    <d v="2026-07-09T00:00:00"/>
    <x v="1"/>
    <s v="FTE"/>
    <s v="Chennai"/>
    <s v="ADM26MF011"/>
    <s v="Abinaya R"/>
    <d v="2026-11-02T00:00:00"/>
    <x v="0"/>
    <s v="In-Training"/>
    <x v="0"/>
    <x v="0"/>
    <s v="KRISHNA NIVAS LADIES PG "/>
    <x v="2"/>
    <x v="0"/>
    <x v="0"/>
    <x v="0"/>
    <x v="0"/>
  </r>
  <r>
    <n v="2521630"/>
    <s v="Pavithra Thangaraj"/>
    <d v="2026-07-09T00:00:00"/>
    <x v="1"/>
    <s v="FTE"/>
    <s v="Chennai"/>
    <s v="ADM26DNAT003"/>
    <s v="Athira P"/>
    <d v="2026-10-23T00:00:00"/>
    <x v="3"/>
    <s v="In-Training"/>
    <x v="0"/>
    <x v="0"/>
    <s v="New Manikandan Ladies PG (branch 8)"/>
    <x v="2"/>
    <x v="0"/>
    <x v="0"/>
    <x v="0"/>
    <x v="0"/>
  </r>
  <r>
    <n v="2521633"/>
    <s v="Nuthangi Naga Poojitha"/>
    <d v="2026-07-09T00:00:00"/>
    <x v="1"/>
    <s v="FTE"/>
    <s v="Chennai"/>
    <s v="QEA26QEPT023"/>
    <s v="Sweta Thoppil"/>
    <d v="2026-10-19T00:00:00"/>
    <x v="3"/>
    <s v="In-Training"/>
    <x v="0"/>
    <x v="0"/>
    <s v="Vishvas Ladies PG for Women, Siruseri"/>
    <x v="2"/>
    <x v="0"/>
    <x v="3"/>
    <x v="0"/>
    <x v="0"/>
  </r>
  <r>
    <n v="2521643"/>
    <s v="Jyoti Dundappa Dundagi"/>
    <d v="2026-07-09T00:00:00"/>
    <x v="0"/>
    <s v="FTE"/>
    <s v="Chennai"/>
    <s v="ADM26MF011"/>
    <s v="Abinaya R"/>
    <d v="2026-11-02T00:00:00"/>
    <x v="0"/>
    <s v="In-Training"/>
    <x v="0"/>
    <x v="0"/>
    <s v="Sri Venkateshwara PG Men, Navalur"/>
    <x v="2"/>
    <x v="0"/>
    <x v="2"/>
    <x v="0"/>
    <x v="0"/>
  </r>
  <r>
    <n v="2521644"/>
    <s v="Gouri Shankar Mahendrakar"/>
    <d v="2026-07-09T00:00:00"/>
    <x v="1"/>
    <s v="FTE"/>
    <s v="Chennai"/>
    <s v="QEA26QEPT023"/>
    <s v="Sweta Thoppil"/>
    <d v="2026-10-19T00:00:00"/>
    <x v="3"/>
    <s v="In-Training"/>
    <x v="0"/>
    <x v="0"/>
    <s v="SNS PG for Ladies"/>
    <x v="2"/>
    <x v="0"/>
    <x v="0"/>
    <x v="0"/>
    <x v="0"/>
  </r>
  <r>
    <n v="2521653"/>
    <s v="Mauliza Nayak"/>
    <d v="2026-07-09T00:00:00"/>
    <x v="1"/>
    <s v="FTE"/>
    <s v="Chennai"/>
    <s v="ADM26MF011"/>
    <s v="Abinaya R"/>
    <d v="2026-11-02T00:00:00"/>
    <x v="0"/>
    <s v="In-Training"/>
    <x v="0"/>
    <x v="0"/>
    <s v="SNS Ladies pg"/>
    <x v="2"/>
    <x v="1"/>
    <x v="0"/>
    <x v="0"/>
    <x v="0"/>
  </r>
  <r>
    <n v="2521657"/>
    <s v="Parupalli Lavanya"/>
    <d v="2026-07-09T00:00:00"/>
    <x v="1"/>
    <s v="FTE"/>
    <s v="Chennai"/>
    <s v="ADM26MF010"/>
    <s v="Thomas Naveen. J"/>
    <d v="2026-11-02T00:00:00"/>
    <x v="0"/>
    <s v="In-Training"/>
    <x v="0"/>
    <x v="0"/>
    <s v="SRS LADIES PG EGATTUR"/>
    <x v="2"/>
    <x v="0"/>
    <x v="0"/>
    <x v="0"/>
    <x v="0"/>
  </r>
  <r>
    <n v="2521661"/>
    <s v="Pavan Raj R"/>
    <d v="2026-07-09T00:00:00"/>
    <x v="0"/>
    <s v="FTE"/>
    <s v="Chennai"/>
    <s v="QEA26QEPT023"/>
    <s v="Sweta Thoppil"/>
    <d v="2026-10-19T00:00:00"/>
    <x v="3"/>
    <s v="In-Training"/>
    <x v="0"/>
    <x v="0"/>
    <s v="CNR GENTS PG BRANCH-1 SIRUSERI SIPCOT, Mamoothiamman, 3rd St, Egattur, Tamil Nadu 603103"/>
    <x v="2"/>
    <x v="0"/>
    <x v="3"/>
    <x v="0"/>
    <x v="0"/>
  </r>
  <r>
    <n v="2521700"/>
    <s v="Megha Roy"/>
    <d v="2026-07-09T00:00:00"/>
    <x v="1"/>
    <s v="FTE"/>
    <s v="Chennai"/>
    <s v="QEA26QEPT023"/>
    <s v="Sweta Thoppil"/>
    <d v="2026-10-19T00:00:00"/>
    <x v="3"/>
    <s v="In-Training"/>
    <x v="0"/>
    <x v="0"/>
    <s v="1/115, Panzhadiamman Kovilstreet, Egattur, Navalur, Chennai-600130, Tamil Nadu"/>
    <x v="2"/>
    <x v="0"/>
    <x v="0"/>
    <x v="0"/>
    <x v="0"/>
  </r>
  <r>
    <n v="2521701"/>
    <s v="Prachi Soni"/>
    <d v="2026-07-09T00:00:00"/>
    <x v="1"/>
    <s v="FTE"/>
    <s v="Chennai"/>
    <s v="ADM26MF010"/>
    <s v="Thomas Naveen. J"/>
    <d v="2026-11-02T00:00:00"/>
    <x v="0"/>
    <s v="In-Training"/>
    <x v="0"/>
    <x v="0"/>
    <s v="PARIYAR ST , EGATTUR , UTHANDI, EGATTUR ,TAMIL NADU , 600130"/>
    <x v="2"/>
    <x v="0"/>
    <x v="0"/>
    <x v="0"/>
    <x v="0"/>
  </r>
  <r>
    <n v="2521705"/>
    <s v="Impana N"/>
    <d v="2026-07-09T00:00:00"/>
    <x v="1"/>
    <s v="FTE"/>
    <s v="Chennai"/>
    <s v="QEA26QEPT023"/>
    <s v="Sweta Thoppil"/>
    <d v="2026-10-19T00:00:00"/>
    <x v="3"/>
    <s v="In-Training"/>
    <x v="0"/>
    <x v="0"/>
    <s v="SNS PG FOR LADIES"/>
    <x v="2"/>
    <x v="0"/>
    <x v="0"/>
    <x v="0"/>
    <x v="0"/>
  </r>
  <r>
    <n v="2521708"/>
    <s v="Amrutha N"/>
    <d v="2026-07-09T00:00:00"/>
    <x v="1"/>
    <s v="FTE"/>
    <s v="Chennai"/>
    <s v="ADM26MF011"/>
    <s v="Abinaya R"/>
    <d v="2026-11-02T00:00:00"/>
    <x v="0"/>
    <s v="In-Training"/>
    <x v="0"/>
    <x v="0"/>
    <s v="SRS Luxury PG For Ladies SIPCOT- SIRUSERI"/>
    <x v="2"/>
    <x v="0"/>
    <x v="3"/>
    <x v="0"/>
    <x v="0"/>
  </r>
  <r>
    <n v="2521709"/>
    <s v="Neha Vyshnavi Satram"/>
    <d v="2026-07-09T00:00:00"/>
    <x v="1"/>
    <s v="FTE"/>
    <s v="Chennai"/>
    <s v="QEA26QEPT023"/>
    <s v="Sweta Thoppil"/>
    <d v="2026-10-19T00:00:00"/>
    <x v="3"/>
    <s v="In-Training"/>
    <x v="0"/>
    <x v="0"/>
    <s v="Sai Grand Womens PG, Branch 3, Egattur"/>
    <x v="2"/>
    <x v="0"/>
    <x v="0"/>
    <x v="0"/>
    <x v="0"/>
  </r>
  <r>
    <n v="2521714"/>
    <s v="Doradla Shyama Jyothi"/>
    <d v="2026-07-09T00:00:00"/>
    <x v="1"/>
    <s v="FTE"/>
    <s v="Chennai"/>
    <s v="ADM26MF011"/>
    <s v="Abinaya R"/>
    <d v="2026-11-02T00:00:00"/>
    <x v="0"/>
    <s v="In-Training"/>
    <x v="0"/>
    <x v="0"/>
    <s v="SRI LAKSHMI SRINIVASA LADIES PG"/>
    <x v="2"/>
    <x v="0"/>
    <x v="0"/>
    <x v="0"/>
    <x v="0"/>
  </r>
  <r>
    <n v="2521724"/>
    <s v="Sudharsana Ramalingam"/>
    <d v="2026-07-09T00:00:00"/>
    <x v="1"/>
    <s v="FTE"/>
    <s v="Chennai"/>
    <s v="QEA26NFTPA001"/>
    <s v="Lourdhu Selvin Raj X"/>
    <d v="2026-11-11T00:00:00"/>
    <x v="0"/>
    <s v="In-Training"/>
    <x v="0"/>
    <x v="0"/>
    <s v="MSR LUXURY PG FOR LADIES-BRANCH 3 , EGATTUR."/>
    <x v="2"/>
    <x v="1"/>
    <x v="3"/>
    <x v="0"/>
    <x v="0"/>
  </r>
  <r>
    <n v="2521725"/>
    <s v="Neya Charlote S A"/>
    <d v="2026-07-09T00:00:00"/>
    <x v="1"/>
    <s v="FTE"/>
    <s v="Chennai"/>
    <s v="QEA26NFTPA001"/>
    <s v="Lourdhu Selvin Raj X"/>
    <d v="2026-11-11T00:00:00"/>
    <x v="0"/>
    <s v="In-Training"/>
    <x v="0"/>
    <x v="0"/>
    <s v="MSR Luxury PG for Ladies - Branch 3, Egattur"/>
    <x v="2"/>
    <x v="1"/>
    <x v="3"/>
    <x v="0"/>
    <x v="0"/>
  </r>
  <r>
    <n v="2521726"/>
    <s v="Kamesh M"/>
    <d v="2026-07-09T00:00:00"/>
    <x v="0"/>
    <s v="FTE"/>
    <s v="Chennai"/>
    <s v="QEA26NFTPA002"/>
    <s v="Lourdhu Selvin Raj X"/>
    <d v="2026-11-11T00:00:00"/>
    <x v="0"/>
    <s v="In-Training"/>
    <x v="0"/>
    <x v="0"/>
    <s v="Vishwas Pg and General Apartments, SIPCOT"/>
    <x v="2"/>
    <x v="1"/>
    <x v="0"/>
    <x v="0"/>
    <x v="0"/>
  </r>
  <r>
    <n v="2521737"/>
    <s v="Kashinath Rajesh"/>
    <d v="2026-07-09T00:00:00"/>
    <x v="0"/>
    <s v="FTE"/>
    <s v="Chennai"/>
    <s v="QEA26SD001"/>
    <s v="Ajiesya D P"/>
    <d v="2026-11-03T00:00:00"/>
    <x v="0"/>
    <s v="In-Training"/>
    <x v="0"/>
    <x v="0"/>
    <s v="Soma Mens Stay (PG Hostel)"/>
    <x v="2"/>
    <x v="1"/>
    <x v="3"/>
    <x v="0"/>
    <x v="0"/>
  </r>
  <r>
    <n v="2521745"/>
    <s v="Thirandi Ramya"/>
    <d v="2026-07-09T00:00:00"/>
    <x v="1"/>
    <s v="FTE"/>
    <s v="Chennai"/>
    <s v="QEA26SD001"/>
    <s v="Ajiesya D P"/>
    <d v="2026-11-03T00:00:00"/>
    <x v="0"/>
    <s v="In-Training"/>
    <x v="0"/>
    <x v="0"/>
    <s v="MSR LUXURY PG for Ladies Branch- 2"/>
    <x v="2"/>
    <x v="0"/>
    <x v="0"/>
    <x v="0"/>
    <x v="0"/>
  </r>
  <r>
    <n v="2521752"/>
    <s v="Bachu Sai Smitha"/>
    <d v="2026-07-09T00:00:00"/>
    <x v="1"/>
    <s v="FTE"/>
    <s v="Chennai"/>
    <s v="QEA26SD001"/>
    <s v="Ajiesya D P"/>
    <d v="2026-11-03T00:00:00"/>
    <x v="0"/>
    <s v="In-Training"/>
    <x v="0"/>
    <x v="0"/>
    <s v="Shanmugas ladies PG, Egattur"/>
    <x v="2"/>
    <x v="0"/>
    <x v="0"/>
    <x v="0"/>
    <x v="0"/>
  </r>
  <r>
    <n v="2521758"/>
    <s v="Sreerama Venkata Sai Raghavendra Rohan"/>
    <d v="2026-07-09T00:00:00"/>
    <x v="0"/>
    <s v="FTE"/>
    <s v="Chennai"/>
    <s v="QEA26SD001"/>
    <s v="Ajiesya D P"/>
    <d v="2026-11-03T00:00:00"/>
    <x v="0"/>
    <s v="In-Training"/>
    <x v="0"/>
    <x v="0"/>
    <s v="City Park Layout, 116 A2, 2nd Cross St, Siruseri, Kalipattur, Tamil Nadu 603103"/>
    <x v="2"/>
    <x v="0"/>
    <x v="3"/>
    <x v="0"/>
    <x v="0"/>
  </r>
  <r>
    <n v="2521760"/>
    <s v="Lasya Priya Marella"/>
    <d v="2026-07-09T00:00:00"/>
    <x v="1"/>
    <s v="FTE"/>
    <s v="Chennai"/>
    <s v="QEA26DS001"/>
    <s v="Lourdhu Selvin Raj X"/>
    <d v="2026-10-30T00:00:00"/>
    <x v="3"/>
    <s v="In-Training"/>
    <x v="0"/>
    <x v="0"/>
    <s v="Vishvas Ladies PG, Egattur"/>
    <x v="2"/>
    <x v="1"/>
    <x v="3"/>
    <x v="0"/>
    <x v="0"/>
  </r>
  <r>
    <n v="2521761"/>
    <s v="Jyesta Sai Manogna"/>
    <d v="2026-07-09T00:00:00"/>
    <x v="1"/>
    <s v="FTE"/>
    <s v="Chennai"/>
    <s v="QEA26SD001"/>
    <s v="Ajiesya D P"/>
    <d v="2026-11-03T00:00:00"/>
    <x v="0"/>
    <s v="In-Training"/>
    <x v="0"/>
    <x v="0"/>
    <s v="Sri Lakshmi Srinivasa Ladies Pg,Egattur"/>
    <x v="2"/>
    <x v="0"/>
    <x v="0"/>
    <x v="0"/>
    <x v="0"/>
  </r>
  <r>
    <n v="2521787"/>
    <s v="Poola Charan Kumar"/>
    <d v="2026-07-09T00:00:00"/>
    <x v="0"/>
    <s v="FTE"/>
    <s v="Chennai"/>
    <s v="QEA26QEPT023"/>
    <s v="Sweta Thoppil"/>
    <d v="2026-10-19T00:00:00"/>
    <x v="3"/>
    <s v="In-Training"/>
    <x v="0"/>
    <x v="0"/>
    <s v="CNR Gents PG, Egattur"/>
    <x v="2"/>
    <x v="0"/>
    <x v="0"/>
    <x v="0"/>
    <x v="0"/>
  </r>
  <r>
    <n v="2521800"/>
    <s v="Manoj Priyan Jeyaraman"/>
    <d v="2026-07-09T00:00:00"/>
    <x v="0"/>
    <s v="FTE"/>
    <s v="Chennai"/>
    <s v="QEA26QEPT023"/>
    <s v="Sweta Thoppil"/>
    <d v="2026-10-19T00:00:00"/>
    <x v="3"/>
    <s v="In-Training"/>
    <x v="0"/>
    <x v="0"/>
    <s v="Pasanga Paradise PG - Branch 1, Egattur"/>
    <x v="2"/>
    <x v="0"/>
    <x v="0"/>
    <x v="0"/>
    <x v="0"/>
  </r>
  <r>
    <n v="2521839"/>
    <s v="Manish Kumar Shukla"/>
    <d v="2026-07-09T00:00:00"/>
    <x v="0"/>
    <s v="FTE"/>
    <s v="Chennai"/>
    <s v="QEA26SD001"/>
    <s v="Ajiesya D P"/>
    <d v="2026-11-03T00:00:00"/>
    <x v="0"/>
    <s v="In-Training"/>
    <x v="0"/>
    <x v="0"/>
    <s v="Truliv Sofia"/>
    <x v="2"/>
    <x v="1"/>
    <x v="3"/>
    <x v="0"/>
    <x v="0"/>
  </r>
  <r>
    <n v="2521842"/>
    <s v="Aman Kumar Singh"/>
    <d v="2026-07-09T00:00:00"/>
    <x v="0"/>
    <s v="FTE"/>
    <s v="Chennai"/>
    <s v="QEA26SD001"/>
    <s v="Ajiesya D P"/>
    <d v="2026-11-03T00:00:00"/>
    <x v="0"/>
    <s v="In-Training"/>
    <x v="0"/>
    <x v="0"/>
    <s v="Ardenwood Co-Living"/>
    <x v="2"/>
    <x v="1"/>
    <x v="0"/>
    <x v="0"/>
    <x v="0"/>
  </r>
  <r>
    <n v="2521844"/>
    <s v="Divyansh Karan"/>
    <d v="2026-07-09T00:00:00"/>
    <x v="0"/>
    <s v="FTE"/>
    <s v="Chennai"/>
    <s v="QEA26SD001"/>
    <s v="Ajiesya D P"/>
    <d v="2026-11-03T00:00:00"/>
    <x v="0"/>
    <s v="In-Training"/>
    <x v="0"/>
    <x v="0"/>
    <s v="Ardenwood Co-Living Egattur"/>
    <x v="2"/>
    <x v="0"/>
    <x v="0"/>
    <x v="0"/>
    <x v="0"/>
  </r>
  <r>
    <n v="2521846"/>
    <s v="Akhil Kompally"/>
    <d v="2026-07-09T00:00:00"/>
    <x v="0"/>
    <s v="FTE"/>
    <s v="Chennai"/>
    <s v="QEA26DS001"/>
    <s v="Lourdhu Selvin Raj X"/>
    <d v="2026-10-30T00:00:00"/>
    <x v="3"/>
    <s v="In-Training"/>
    <x v="0"/>
    <x v="0"/>
    <s v="Plot 48, TVH Terra Hub"/>
    <x v="2"/>
    <x v="0"/>
    <x v="3"/>
    <x v="0"/>
    <x v="0"/>
  </r>
  <r>
    <n v="2522899"/>
    <s v="Badam  Navya Sri Bala"/>
    <d v="2026-07-14T00:00:00"/>
    <x v="1"/>
    <s v="FTE"/>
    <s v="Chennai"/>
    <s v="QEA26ST001"/>
    <s v="Angel Maria Faustina Gomez"/>
    <d v="2026-10-15T00:00:00"/>
    <x v="3"/>
    <s v="In-Training"/>
    <x v="0"/>
    <x v="0"/>
    <s v="Smiles Inn Branch 3"/>
    <x v="2"/>
    <x v="0"/>
    <x v="0"/>
    <x v="0"/>
    <x v="0"/>
  </r>
  <r>
    <n v="2523375"/>
    <s v="Bala S"/>
    <d v="2026-07-16T00:00:00"/>
    <x v="0"/>
    <s v="FTE"/>
    <s v="Chennai"/>
    <s v="PG26JFR004"/>
    <s v="Thomas Naveen. J"/>
    <d v="2026-11-16T00:00:00"/>
    <x v="0"/>
    <s v="In-Training"/>
    <x v="0"/>
    <x v="0"/>
    <s v="shasara PG"/>
    <x v="2"/>
    <x v="0"/>
    <x v="2"/>
    <x v="0"/>
    <x v="0"/>
  </r>
  <r>
    <n v="2524554"/>
    <s v="Anirudh Gopal Magnur"/>
    <d v="2026-07-21T00:00:00"/>
    <x v="0"/>
    <s v="FTE"/>
    <s v="Chennai"/>
    <s v="QEA26QEPT024"/>
    <s v="Ajiesya D P"/>
    <d v="2026-11-04T00:00:00"/>
    <x v="0"/>
    <s v="In-Training"/>
    <x v="0"/>
    <x v="0"/>
    <s v="Sri Venkateswara Deluxe Gents PG"/>
    <x v="2"/>
    <x v="0"/>
    <x v="3"/>
    <x v="0"/>
    <x v="0"/>
  </r>
  <r>
    <n v="2524660"/>
    <s v="Varshaa LNU"/>
    <d v="2026-07-21T00:00:00"/>
    <x v="1"/>
    <s v="FTE"/>
    <s v="Chennai"/>
    <s v="QEA26SD001"/>
    <s v="Ajiesya D P"/>
    <d v="2026-11-03T00:00:00"/>
    <x v="0"/>
    <s v="In-Training"/>
    <x v="0"/>
    <x v="0"/>
    <s v="Smiles Inn Ladies Pg, Near TVS Service, Egattur"/>
    <x v="2"/>
    <x v="1"/>
    <x v="0"/>
    <x v="0"/>
    <x v="0"/>
  </r>
  <r>
    <n v="2524982"/>
    <s v="Yasmeen Khatoon"/>
    <d v="2026-07-23T00:00:00"/>
    <x v="1"/>
    <s v="FTE"/>
    <s v="Chennai"/>
    <s v="ADM26ISMO010"/>
    <s v="Thomas Naveen. J"/>
    <d v="2026-10-06T00:00:00"/>
    <x v="3"/>
    <s v="In-Training"/>
    <x v="0"/>
    <x v="0"/>
    <s v="JVR luxury ladies pg"/>
    <x v="2"/>
    <x v="0"/>
    <x v="3"/>
    <x v="0"/>
    <x v="0"/>
  </r>
  <r>
    <n v="2525002"/>
    <s v="Munmun Kumari"/>
    <d v="2026-07-23T00:00:00"/>
    <x v="1"/>
    <s v="FTE"/>
    <s v="Chennai"/>
    <s v="ADM26ISMO010"/>
    <s v="Thomas Naveen. J"/>
    <d v="2026-10-06T00:00:00"/>
    <x v="3"/>
    <s v="In-Training"/>
    <x v="0"/>
    <x v="0"/>
    <s v="JVR luxury ladies PG"/>
    <x v="2"/>
    <x v="0"/>
    <x v="3"/>
    <x v="0"/>
    <x v="0"/>
  </r>
  <r>
    <n v="2526147"/>
    <s v="Mohd Muzammil"/>
    <d v="2026-07-28T00:00:00"/>
    <x v="0"/>
    <s v="FTE"/>
    <s v="Chennai"/>
    <s v="QEA26DS001"/>
    <s v="Lourdhu Selvin Raj X"/>
    <d v="2026-10-30T00:00:00"/>
    <x v="3"/>
    <s v="In-Training"/>
    <x v="0"/>
    <x v="0"/>
    <s v="NKS MENS PG, city park layout, 78 A, Third Cross Road, near siruseri, sipcot IT park, Egattur"/>
    <x v="2"/>
    <x v="0"/>
    <x v="3"/>
    <x v="0"/>
    <x v="0"/>
  </r>
  <r>
    <n v="2529593"/>
    <s v="Tharun V"/>
    <d v="2026-08-11T00:00:00"/>
    <x v="0"/>
    <s v="FTE"/>
    <s v="Chennai"/>
    <s v="CIS26MCPT025"/>
    <s v="Vignesh S"/>
    <d v="2026-12-03T00:00:00"/>
    <x v="1"/>
    <s v="In-Training"/>
    <x v="0"/>
    <x v="0"/>
    <s v="SS (Siva Sai) Gents PG"/>
    <x v="2"/>
    <x v="0"/>
    <x v="3"/>
    <x v="0"/>
    <x v="0"/>
  </r>
  <r>
    <n v="2529624"/>
    <s v="Siddharth Vijay Waghmare"/>
    <d v="2026-08-11T00:00:00"/>
    <x v="0"/>
    <s v="FTE"/>
    <s v="Chennai"/>
    <s v="CIS26MCPT026"/>
    <s v="Mohamed Harish"/>
    <d v="2026-12-08T00:00:00"/>
    <x v="1"/>
    <s v="In-Training"/>
    <x v="0"/>
    <x v="0"/>
    <s v="Chakara Mens PG Branch 1,Egattur"/>
    <x v="2"/>
    <x v="0"/>
    <x v="3"/>
    <x v="0"/>
    <x v="0"/>
  </r>
  <r>
    <n v="2529743"/>
    <s v="Goli Sai Lohithya"/>
    <d v="2026-08-11T00:00:00"/>
    <x v="1"/>
    <s v="FTE"/>
    <s v="Chennai"/>
    <s v="EPS26SAP033"/>
    <s v="Ajith Ganesan"/>
    <d v="2026-11-04T00:00:00"/>
    <x v="0"/>
    <s v="In-Training"/>
    <x v="0"/>
    <x v="0"/>
    <s v="Sri Rama Sai hostel"/>
    <x v="2"/>
    <x v="0"/>
    <x v="3"/>
    <x v="0"/>
    <x v="0"/>
  </r>
  <r>
    <n v="2530136"/>
    <s v="Harshwardhan Rajendra Pachpute"/>
    <d v="2026-08-13T00:00:00"/>
    <x v="0"/>
    <s v="FTE"/>
    <s v="Chennai"/>
    <s v="EPS26SAP034"/>
    <s v="Gayathri Ramachandran"/>
    <d v="2026-11-05T00:00:00"/>
    <x v="0"/>
    <s v="In-Training"/>
    <x v="0"/>
    <x v="0"/>
    <s v="SVD PG, SIPCOT"/>
    <x v="2"/>
    <x v="0"/>
    <x v="0"/>
    <x v="0"/>
    <x v="0"/>
  </r>
  <r>
    <n v="2530158"/>
    <s v="Jezneel Chryso Paulin John Christopher"/>
    <d v="2026-08-13T00:00:00"/>
    <x v="1"/>
    <s v="FTE"/>
    <s v="Chennai"/>
    <s v="CIS26DWP026"/>
    <s v="Shunmugasundari A"/>
    <d v="2026-10-19T00:00:00"/>
    <x v="3"/>
    <s v="In-Training"/>
    <x v="0"/>
    <x v="0"/>
    <s v="Sri Krishna Nivas PG - Egattur "/>
    <x v="2"/>
    <x v="1"/>
    <x v="0"/>
    <x v="0"/>
    <x v="0"/>
  </r>
  <r>
    <n v="2530182"/>
    <s v="Anne Debora P"/>
    <d v="2026-08-13T00:00:00"/>
    <x v="1"/>
    <s v="FTE"/>
    <s v="Chennai"/>
    <s v="CIS26DWP026"/>
    <s v="Shunmugasundari A"/>
    <d v="2026-10-19T00:00:00"/>
    <x v="3"/>
    <s v="In-Training"/>
    <x v="0"/>
    <x v="0"/>
    <s v="Krishna Nivas Ladies PG- Egattur"/>
    <x v="2"/>
    <x v="1"/>
    <x v="0"/>
    <x v="0"/>
    <x v="0"/>
  </r>
  <r>
    <n v="2530188"/>
    <s v="Vaibhavlakshmi S P"/>
    <d v="2026-08-13T00:00:00"/>
    <x v="1"/>
    <s v="FTE"/>
    <s v="Chennai"/>
    <s v="CIS26DWP026"/>
    <s v="Shunmugasundari A"/>
    <d v="2026-10-19T00:00:00"/>
    <x v="3"/>
    <s v="In-Training"/>
    <x v="0"/>
    <x v="0"/>
    <s v="Krishna Nivas Ladies PG - Egattur"/>
    <x v="2"/>
    <x v="1"/>
    <x v="0"/>
    <x v="0"/>
    <x v="0"/>
  </r>
  <r>
    <n v="2530191"/>
    <s v="Rasagya Sharma"/>
    <d v="2026-08-13T00:00:00"/>
    <x v="0"/>
    <s v="FTE"/>
    <s v="Chennai"/>
    <s v="EPS26OSPPRO001"/>
    <s v="Gayathri Ramachandran"/>
    <d v="2026-12-07T00:00:00"/>
    <x v="1"/>
    <s v="In-Training"/>
    <x v="0"/>
    <x v="0"/>
    <s v="Truliv Sofia, plot-276 10th street, Srinivasan Nagar, Siruseri"/>
    <x v="2"/>
    <x v="0"/>
    <x v="3"/>
    <x v="0"/>
    <x v="0"/>
  </r>
  <r>
    <n v="2530193"/>
    <s v="Sruthi Raghunathan"/>
    <d v="2026-08-13T00:00:00"/>
    <x v="1"/>
    <s v="FTE"/>
    <s v="Chennai"/>
    <s v="CIS26DWP026"/>
    <s v="Shunmugasundari A"/>
    <d v="2026-10-19T00:00:00"/>
    <x v="3"/>
    <s v="In-Training"/>
    <x v="0"/>
    <x v="0"/>
    <s v="Krishna Nivas Ladies PG - Egattur"/>
    <x v="2"/>
    <x v="1"/>
    <x v="2"/>
    <x v="0"/>
    <x v="0"/>
  </r>
  <r>
    <n v="2530218"/>
    <s v="Suraj Panayanchira Sunilkumar"/>
    <d v="2026-08-13T00:00:00"/>
    <x v="0"/>
    <s v="FTE"/>
    <s v="Chennai"/>
    <s v="EPS26OSPPRO001"/>
    <s v="Gayathri Ramachandran"/>
    <d v="2026-12-07T00:00:00"/>
    <x v="1"/>
    <s v="In-Training"/>
    <x v="0"/>
    <x v="0"/>
    <s v="Truliv Sofia, Kazhipattur, Siruseri, Chennai, Tamil Nadu "/>
    <x v="2"/>
    <x v="0"/>
    <x v="3"/>
    <x v="0"/>
    <x v="0"/>
  </r>
  <r>
    <n v="2531280"/>
    <s v="Rethanya C"/>
    <d v="2026-08-18T00:00:00"/>
    <x v="1"/>
    <s v="FTE"/>
    <s v="Chennai"/>
    <s v="EPS26SAP033"/>
    <s v="Ajith Ganesan"/>
    <d v="2026-11-04T00:00:00"/>
    <x v="0"/>
    <s v="In-Training"/>
    <x v="0"/>
    <x v="0"/>
    <s v="Aditi Womens Hostel"/>
    <x v="2"/>
    <x v="1"/>
    <x v="3"/>
    <x v="0"/>
    <x v="0"/>
  </r>
  <r>
    <n v="2531343"/>
    <s v="Toom Abinayasri"/>
    <d v="2026-08-18T00:00:00"/>
    <x v="1"/>
    <s v="FTE"/>
    <s v="Chennai"/>
    <s v="EPS26SAP036"/>
    <s v="Vishnupriya Dakshnamurthy"/>
    <d v="2026-11-09T00:00:00"/>
    <x v="0"/>
    <s v="In-Training"/>
    <x v="0"/>
    <x v="0"/>
    <s v="vaishnavi pg"/>
    <x v="2"/>
    <x v="0"/>
    <x v="3"/>
    <x v="0"/>
    <x v="0"/>
  </r>
  <r>
    <n v="2531403"/>
    <s v="Manimaran Ganeshkumar"/>
    <d v="2026-08-18T00:00:00"/>
    <x v="0"/>
    <s v="FTE"/>
    <s v="Chennai"/>
    <s v="EPS26SAP034"/>
    <s v="Gayathri Ramachandran"/>
    <d v="2026-11-05T00:00:00"/>
    <x v="0"/>
    <s v="In-Training"/>
    <x v="0"/>
    <x v="0"/>
    <s v="Narayanan PG"/>
    <x v="2"/>
    <x v="1"/>
    <x v="2"/>
    <x v="0"/>
    <x v="0"/>
  </r>
  <r>
    <n v="2531413"/>
    <s v="Keerthana Shree M U"/>
    <d v="2026-08-18T00:00:00"/>
    <x v="1"/>
    <s v="FTE"/>
    <s v="Chennai"/>
    <s v="EPS26SAP034"/>
    <s v="Gayathri Ramachandran"/>
    <d v="2026-11-05T00:00:00"/>
    <x v="0"/>
    <s v="In-Training"/>
    <x v="0"/>
    <x v="0"/>
    <s v="SRIUNIQS STAYS FOR LADIES,PAZHANDI AMMAN KOVIL STREET,EGATTUR,SIRUSERI,CHENNAI-600130"/>
    <x v="2"/>
    <x v="0"/>
    <x v="0"/>
    <x v="0"/>
    <x v="0"/>
  </r>
  <r>
    <n v="2531441"/>
    <s v="Neha Hanmant Tadalapure"/>
    <d v="2026-08-18T00:00:00"/>
    <x v="1"/>
    <s v="FTE"/>
    <s v="Chennai"/>
    <s v="EPS26WD006"/>
    <s v="Vishnupriya Dakshnamurthy"/>
    <d v="2026-11-27T00:00:00"/>
    <x v="0"/>
    <s v="In-Training"/>
    <x v="0"/>
    <x v="0"/>
    <s v="SRS Luxury PG for ladies Branch III, Egattur"/>
    <x v="2"/>
    <x v="0"/>
    <x v="0"/>
    <x v="0"/>
    <x v="0"/>
  </r>
  <r>
    <n v="2531817"/>
    <s v="Devika Sobana Raj Valsala Kumary"/>
    <d v="2026-08-20T00:00:00"/>
    <x v="1"/>
    <s v="FTE"/>
    <s v="Chennai"/>
    <s v="EPS26OSP011"/>
    <s v="Gayathri Ramachandran"/>
    <s v=""/>
    <x v="1"/>
    <s v="Training - ON Hold"/>
    <x v="0"/>
    <x v="0"/>
    <s v="Vishvas PG(Ladies)"/>
    <x v="2"/>
    <x v="1"/>
    <x v="3"/>
    <x v="0"/>
    <x v="0"/>
  </r>
  <r>
    <n v="2531980"/>
    <s v="Sakthi Sri Devi G"/>
    <d v="2026-08-20T00:00:00"/>
    <x v="1"/>
    <s v="FTE"/>
    <s v="Chennai"/>
    <s v="EPS26OSP011"/>
    <s v="Gayathri Ramachandran"/>
    <s v=""/>
    <x v="1"/>
    <s v="Training - ON Hold"/>
    <x v="0"/>
    <x v="0"/>
    <s v="Smiles inn Ladies PG"/>
    <x v="2"/>
    <x v="1"/>
    <x v="3"/>
    <x v="0"/>
    <x v="0"/>
  </r>
  <r>
    <n v="2531982"/>
    <s v="Chandrika Lakshmipalem"/>
    <d v="2026-08-20T00:00:00"/>
    <x v="1"/>
    <s v="FTE"/>
    <s v="Chennai"/>
    <s v="CS26CS011"/>
    <s v="Kishorekumar P"/>
    <d v="2026-11-17T00:00:00"/>
    <x v="0"/>
    <s v="In-Training"/>
    <x v="0"/>
    <x v="0"/>
    <s v="Krishna nivas ladies pg-egattur"/>
    <x v="2"/>
    <x v="1"/>
    <x v="0"/>
    <x v="0"/>
    <x v="0"/>
  </r>
  <r>
    <n v="2531983"/>
    <s v="Srijan Sasmal"/>
    <d v="2026-08-20T00:00:00"/>
    <x v="0"/>
    <s v="FTE"/>
    <s v="Chennai"/>
    <s v="CS26CS012"/>
    <s v="Laksiya Vijayendran"/>
    <d v="2026-11-17T00:00:00"/>
    <x v="0"/>
    <s v="In-Training"/>
    <x v="0"/>
    <x v="0"/>
    <s v="SVD Gents PG"/>
    <x v="2"/>
    <x v="0"/>
    <x v="3"/>
    <x v="0"/>
    <x v="0"/>
  </r>
  <r>
    <n v="2531987"/>
    <s v="Swetha Chinnabathini"/>
    <d v="2026-08-20T00:00:00"/>
    <x v="1"/>
    <s v="FTE"/>
    <s v="Chennai"/>
    <s v="EPS26OSP011"/>
    <s v="Gayathri Ramachandran"/>
    <s v=""/>
    <x v="1"/>
    <s v="Training - ON Hold"/>
    <x v="0"/>
    <x v="0"/>
    <s v="Vaishnavi Elite og-Egattur"/>
    <x v="2"/>
    <x v="0"/>
    <x v="8"/>
    <x v="4"/>
    <x v="0"/>
  </r>
  <r>
    <n v="2532970"/>
    <s v="Pedasingu Sanjana"/>
    <d v="2026-08-25T00:00:00"/>
    <x v="1"/>
    <s v="FTE"/>
    <s v="Chennai"/>
    <s v="CIS26AT008"/>
    <s v="Uma Venkatachalam"/>
    <d v="2026-12-09T00:00:00"/>
    <x v="1"/>
    <s v="In-Training"/>
    <x v="0"/>
    <x v="0"/>
    <s v="MSR Luxury Ladies PG - Branch 3, Siruseri"/>
    <x v="2"/>
    <x v="0"/>
    <x v="3"/>
    <x v="0"/>
    <x v="0"/>
  </r>
  <r>
    <n v="2532981"/>
    <s v="Venkatesh Naroju"/>
    <d v="2026-08-25T00:00:00"/>
    <x v="0"/>
    <s v="FTE"/>
    <s v="Chennai"/>
    <s v="CIS26AT008"/>
    <s v="Uma Venkatachalam"/>
    <d v="2026-12-09T00:00:00"/>
    <x v="1"/>
    <s v="In-Training"/>
    <x v="0"/>
    <x v="0"/>
    <s v="Geetika Grand Gents PG, SIPCOT, Egattur, Tamil Nadu, 603103"/>
    <x v="2"/>
    <x v="0"/>
    <x v="3"/>
    <x v="0"/>
    <x v="0"/>
  </r>
  <r>
    <n v="2532989"/>
    <s v="Vasireddy Anurag Reddy"/>
    <d v="2026-08-25T00:00:00"/>
    <x v="0"/>
    <s v="FTE"/>
    <s v="Chennai"/>
    <s v="ADM27DFSA001"/>
    <s v="Thomas Naveen. J"/>
    <d v="2026-12-30T00:00:00"/>
    <x v="1"/>
    <s v="In-Training"/>
    <x v="0"/>
    <x v="0"/>
    <s v="Geethika Grand Gents PG, Near TCS, Egattur, Siruseri IT Park, Chennai"/>
    <x v="2"/>
    <x v="0"/>
    <x v="3"/>
    <x v="0"/>
    <x v="0"/>
  </r>
  <r>
    <n v="2533032"/>
    <s v="Yenduri K N S Karthik"/>
    <d v="2026-08-25T00:00:00"/>
    <x v="0"/>
    <s v="FTE"/>
    <s v="Chennai"/>
    <s v="ADM27DFSA001"/>
    <s v="Thomas Naveen. J"/>
    <d v="2026-12-30T00:00:00"/>
    <x v="1"/>
    <s v="In-Training"/>
    <x v="0"/>
    <x v="0"/>
    <s v="GVK Deluxe PG Navalur"/>
    <x v="2"/>
    <x v="0"/>
    <x v="2"/>
    <x v="0"/>
    <x v="0"/>
  </r>
  <r>
    <n v="2533033"/>
    <s v="Thangudu Swetha"/>
    <d v="2026-08-25T00:00:00"/>
    <x v="1"/>
    <s v="FTE"/>
    <s v="Chennai"/>
    <s v="ADM27DFSA001"/>
    <s v="Thomas Naveen. J"/>
    <d v="2026-12-30T00:00:00"/>
    <x v="1"/>
    <s v="In-Training"/>
    <x v="0"/>
    <x v="0"/>
    <s v="Vaishnavi elite og"/>
    <x v="2"/>
    <x v="0"/>
    <x v="3"/>
    <x v="0"/>
    <x v="0"/>
  </r>
  <r>
    <n v="2533040"/>
    <s v="Hari Prasad Thota"/>
    <d v="2026-08-25T00:00:00"/>
    <x v="0"/>
    <s v="FTE"/>
    <s v="Chennai"/>
    <s v="ADM27DFSA001"/>
    <s v="Thomas Naveen. J"/>
    <d v="2026-12-30T00:00:00"/>
    <x v="1"/>
    <s v="In-Training"/>
    <x v="0"/>
    <x v="0"/>
    <s v="GVK MENS PG, Vinayagar street,02, Rajiv Gandhi Salai, Navalur, Tamil Nadu"/>
    <x v="2"/>
    <x v="1"/>
    <x v="2"/>
    <x v="0"/>
    <x v="0"/>
  </r>
  <r>
    <n v="2533046"/>
    <s v="Shaik Shahina"/>
    <d v="2026-08-25T00:00:00"/>
    <x v="1"/>
    <s v="FTE"/>
    <s v="Chennai"/>
    <s v="CIS26AT008"/>
    <s v="Uma Venkatachalam"/>
    <d v="2026-12-09T00:00:00"/>
    <x v="1"/>
    <s v="In-Training"/>
    <x v="0"/>
    <x v="0"/>
    <s v="SRS Luxury ladies pg, branch-1, Egattur"/>
    <x v="2"/>
    <x v="0"/>
    <x v="0"/>
    <x v="0"/>
    <x v="0"/>
  </r>
  <r>
    <n v="2533077"/>
    <s v="Ganesh Karri"/>
    <d v="2026-08-25T00:00:00"/>
    <x v="0"/>
    <s v="FTE"/>
    <s v="Chennai"/>
    <s v="ADM27DFSA001"/>
    <s v="Thomas Naveen. J"/>
    <d v="2026-12-30T00:00:00"/>
    <x v="1"/>
    <s v="In-Training"/>
    <x v="0"/>
    <x v="0"/>
    <s v="Geethika Grand Gents PG"/>
    <x v="2"/>
    <x v="0"/>
    <x v="3"/>
    <x v="0"/>
    <x v="0"/>
  </r>
  <r>
    <n v="2492921"/>
    <s v="Saradhi Dellesh Karthik"/>
    <d v="2026-08-20T00:00:00"/>
    <x v="0"/>
    <s v="CSD"/>
    <s v="Chennai"/>
    <s v="INTFE26FE001"/>
    <s v="Grace Esther S"/>
    <d v="2026-10-15T00:00:00"/>
    <x v="3"/>
    <s v="In-Training"/>
    <x v="0"/>
    <x v="0"/>
    <s v="Siva sai gents pg"/>
    <x v="2"/>
    <x v="0"/>
    <x v="3"/>
    <x v="0"/>
    <x v="0"/>
  </r>
  <r>
    <n v="2507435"/>
    <s v="N Amzad Ali"/>
    <d v="2026-04-30T00:00:00"/>
    <x v="0"/>
    <s v="FTE"/>
    <s v="Chennai"/>
    <s v="ISG26JSAAT002"/>
    <s v="Ashiya Begam S"/>
    <d v="2026-09-07T00:00:00"/>
    <x v="2"/>
    <s v="In-Training-Remedial"/>
    <x v="0"/>
    <x v="0"/>
    <s v="Sai Grands Mens PG ,Karapakam"/>
    <x v="2"/>
    <x v="0"/>
    <x v="8"/>
    <x v="4"/>
    <x v="0"/>
  </r>
  <r>
    <n v="2511246"/>
    <s v="Siddharth R Acharya"/>
    <d v="2026-05-21T00:00:00"/>
    <x v="0"/>
    <s v="FTE"/>
    <s v="Chennai"/>
    <s v="CIS26MCPT010"/>
    <s v="Mohamed Harish"/>
    <d v="2026-09-10T00:00:00"/>
    <x v="2"/>
    <s v="In-Training"/>
    <x v="0"/>
    <x v="4"/>
    <s v="Venkataram Mens Hostel Branch 3 ,Egattur ,Siruseri, Tamil Nadu - 603103"/>
    <x v="2"/>
    <x v="0"/>
    <x v="0"/>
    <x v="0"/>
    <x v="0"/>
  </r>
  <r>
    <n v="2511250"/>
    <s v="Chaitali Tatyasaheb Jadhav"/>
    <d v="2026-05-21T00:00:00"/>
    <x v="1"/>
    <s v="FTE"/>
    <s v="Chennai"/>
    <s v="CIS26MCPT010"/>
    <s v="Mohamed Harish"/>
    <d v="2026-09-10T00:00:00"/>
    <x v="2"/>
    <s v="In-Training"/>
    <x v="0"/>
    <x v="0"/>
    <s v="Sai Teja Ladies PG, Egattur"/>
    <x v="2"/>
    <x v="0"/>
    <x v="0"/>
    <x v="0"/>
    <x v="0"/>
  </r>
  <r>
    <n v="2511259"/>
    <s v="Harsh Kumar"/>
    <d v="2026-05-21T00:00:00"/>
    <x v="0"/>
    <s v="FTE"/>
    <s v="Chennai"/>
    <s v="CIS26MCPT010"/>
    <s v="Mohamed Harish"/>
    <d v="2026-09-10T00:00:00"/>
    <x v="2"/>
    <s v="In-Training"/>
    <x v="0"/>
    <x v="0"/>
    <s v="Shiva Sai Gents PG"/>
    <x v="2"/>
    <x v="0"/>
    <x v="3"/>
    <x v="0"/>
    <x v="0"/>
  </r>
  <r>
    <n v="2511271"/>
    <s v="Aniket Sanjivan Satale"/>
    <d v="2026-05-21T00:00:00"/>
    <x v="0"/>
    <s v="FTE"/>
    <s v="Chennai"/>
    <s v="CIS26MCPT010"/>
    <s v="Mohamed Harish"/>
    <d v="2026-09-10T00:00:00"/>
    <x v="2"/>
    <s v="In-Training"/>
    <x v="0"/>
    <x v="0"/>
    <s v="S V LUXURIOUS Gents PG Dr Ambedakar street periyar st,Navalur Chennai Tamilnadu 600130"/>
    <x v="2"/>
    <x v="1"/>
    <x v="2"/>
    <x v="0"/>
    <x v="0"/>
  </r>
  <r>
    <n v="2511285"/>
    <s v="Indrajit Acharjya"/>
    <d v="2026-05-21T00:00:00"/>
    <x v="0"/>
    <s v="FTE"/>
    <s v="Chennai"/>
    <s v="CIS26MCPT010"/>
    <s v="Mohamed Harish"/>
    <d v="2026-09-15T00:00:00"/>
    <x v="2"/>
    <s v="In-Training"/>
    <x v="0"/>
    <x v="0"/>
    <s v="SS(Siva Sai) Gents PG"/>
    <x v="2"/>
    <x v="0"/>
    <x v="3"/>
    <x v="0"/>
    <x v="0"/>
  </r>
  <r>
    <n v="2511290"/>
    <s v="Suraj Kumar Yadav"/>
    <d v="2026-05-21T00:00:00"/>
    <x v="0"/>
    <s v="FTE"/>
    <s v="Chennai"/>
    <s v="CIS26MCPT010"/>
    <s v="Mohamed Harish"/>
    <d v="2026-09-15T00:00:00"/>
    <x v="2"/>
    <s v="In-Training"/>
    <x v="0"/>
    <x v="0"/>
    <s v="Ssgents pg Egattur"/>
    <x v="2"/>
    <x v="0"/>
    <x v="0"/>
    <x v="0"/>
    <x v="0"/>
  </r>
  <r>
    <n v="2511301"/>
    <s v="Mohamed Yhahiya Hidayathulla"/>
    <d v="2026-05-21T00:00:00"/>
    <x v="0"/>
    <s v="FTE"/>
    <s v="Chennai"/>
    <s v="CIS26MCPT010"/>
    <s v="Mohamed Harish"/>
    <d v="2026-09-15T00:00:00"/>
    <x v="2"/>
    <s v="In-Training"/>
    <x v="0"/>
    <x v="0"/>
    <s v="ambika nest mens hostel"/>
    <x v="2"/>
    <x v="0"/>
    <x v="0"/>
    <x v="0"/>
    <x v="0"/>
  </r>
  <r>
    <n v="2512287"/>
    <s v="Shwetha Sri L"/>
    <d v="2026-05-28T00:00:00"/>
    <x v="1"/>
    <s v="FTE"/>
    <s v="Chennai"/>
    <s v="CIS26MCPT012"/>
    <s v="Uma Venkatachalam"/>
    <d v="2026-09-17T00:00:00"/>
    <x v="2"/>
    <s v="In-Training"/>
    <x v="0"/>
    <x v="0"/>
    <s v="Mayura Ladies Pg,Navalur"/>
    <x v="2"/>
    <x v="1"/>
    <x v="2"/>
    <x v="0"/>
    <x v="0"/>
  </r>
  <r>
    <n v="2512292"/>
    <s v="Rushikesh Chetan Dange"/>
    <d v="2026-05-28T00:00:00"/>
    <x v="0"/>
    <s v="FTE"/>
    <s v="Chennai"/>
    <s v="CIS26MCPT011"/>
    <s v="Uma Venkatachalam"/>
    <d v="2026-09-17T00:00:00"/>
    <x v="2"/>
    <s v="In-Training"/>
    <x v="0"/>
    <x v="0"/>
    <s v="Vishvas mens pg"/>
    <x v="2"/>
    <x v="0"/>
    <x v="3"/>
    <x v="0"/>
    <x v="0"/>
  </r>
  <r>
    <n v="2512299"/>
    <s v="Gujjula Lakshmi Aishwarya"/>
    <d v="2026-05-28T00:00:00"/>
    <x v="1"/>
    <s v="FTE"/>
    <s v="Chennai"/>
    <s v="CIS26MCPT012"/>
    <s v="Uma Venkatachalam"/>
    <d v="2026-09-17T00:00:00"/>
    <x v="2"/>
    <s v="In-Training"/>
    <x v="0"/>
    <x v="0"/>
    <s v="Smiles Inn PG services for ladies "/>
    <x v="2"/>
    <x v="0"/>
    <x v="3"/>
    <x v="0"/>
    <x v="0"/>
  </r>
  <r>
    <n v="2512306"/>
    <s v="Neya K M"/>
    <d v="2026-05-28T00:00:00"/>
    <x v="1"/>
    <s v="FTE"/>
    <s v="Chennai"/>
    <s v="CIS26MCPT011"/>
    <s v="Uma Venkatachalam"/>
    <d v="2026-09-17T00:00:00"/>
    <x v="2"/>
    <s v="In-Training"/>
    <x v="0"/>
    <x v="0"/>
    <s v="Maiyura Ladies Hostel"/>
    <x v="2"/>
    <x v="0"/>
    <x v="2"/>
    <x v="0"/>
    <x v="0"/>
  </r>
  <r>
    <n v="2512311"/>
    <s v="Yamini Rongala"/>
    <d v="2026-05-28T00:00:00"/>
    <x v="1"/>
    <s v="FTE"/>
    <s v="Chennai"/>
    <s v="CIS26MCPT011"/>
    <s v="Uma Venkatachalam"/>
    <d v="2026-09-17T00:00:00"/>
    <x v="2"/>
    <s v="In-Training"/>
    <x v="0"/>
    <x v="0"/>
    <s v="Sri Srinivasa ladies Pg, Periyar street, Egattur"/>
    <x v="2"/>
    <x v="0"/>
    <x v="0"/>
    <x v="0"/>
    <x v="0"/>
  </r>
  <r>
    <n v="2512324"/>
    <s v="Rajeshwari Sundarraj"/>
    <d v="2026-05-28T00:00:00"/>
    <x v="1"/>
    <s v="FTE"/>
    <s v="Chennai"/>
    <s v="CIS26MCPT012"/>
    <s v="Uma Venkatachalam"/>
    <d v="2026-09-17T00:00:00"/>
    <x v="2"/>
    <s v="In-Training"/>
    <x v="0"/>
    <x v="4"/>
    <s v="New Manikandan Ladies PG branch-10,Navalur"/>
    <x v="2"/>
    <x v="0"/>
    <x v="2"/>
    <x v="0"/>
    <x v="0"/>
  </r>
  <r>
    <n v="2512326"/>
    <s v="Vanapalli Parmila"/>
    <d v="2026-05-28T00:00:00"/>
    <x v="1"/>
    <s v="FTE"/>
    <s v="Chennai"/>
    <s v="CIS26MCPT012"/>
    <s v="Uma Venkatachalam"/>
    <d v="2026-09-17T00:00:00"/>
    <x v="2"/>
    <s v="In-Training"/>
    <x v="0"/>
    <x v="0"/>
    <s v="Sri srinivasa ladies pg "/>
    <x v="2"/>
    <x v="0"/>
    <x v="0"/>
    <x v="0"/>
    <x v="0"/>
  </r>
  <r>
    <n v="2512329"/>
    <s v="Sai Sirisha Lakshmi Gudhe"/>
    <d v="2026-05-28T00:00:00"/>
    <x v="1"/>
    <s v="FTE"/>
    <s v="Chennai"/>
    <s v="CIS26MCPT012"/>
    <s v="Uma Venkatachalam"/>
    <d v="2026-09-17T00:00:00"/>
    <x v="2"/>
    <s v="In-Training"/>
    <x v="0"/>
    <x v="0"/>
    <s v="sri lakshmi venkateswara ladies pg, egattur"/>
    <x v="2"/>
    <x v="0"/>
    <x v="0"/>
    <x v="0"/>
    <x v="0"/>
  </r>
  <r>
    <n v="2512330"/>
    <s v="Nagadamudi Bangaru Lakshmi Lahari"/>
    <d v="2026-05-28T00:00:00"/>
    <x v="1"/>
    <s v="FTE"/>
    <s v="Chennai"/>
    <s v="CIS26MCPT011"/>
    <s v="Uma Venkatachalam"/>
    <d v="2026-09-17T00:00:00"/>
    <x v="2"/>
    <s v="In-Training"/>
    <x v="0"/>
    <x v="0"/>
    <s v="Vaishnavi Womens PG Egattur"/>
    <x v="2"/>
    <x v="0"/>
    <x v="0"/>
    <x v="0"/>
    <x v="0"/>
  </r>
  <r>
    <n v="2512332"/>
    <s v="Shanmathi A"/>
    <d v="2026-05-28T00:00:00"/>
    <x v="1"/>
    <s v="FTE"/>
    <s v="Chennai"/>
    <s v="CIS26MCPT011"/>
    <s v="Uma Venkatachalam"/>
    <d v="2026-09-17T00:00:00"/>
    <x v="2"/>
    <s v="In-Training"/>
    <x v="0"/>
    <x v="0"/>
    <s v="Smiles Inn PG services for Ladies "/>
    <x v="2"/>
    <x v="0"/>
    <x v="0"/>
    <x v="0"/>
    <x v="0"/>
  </r>
  <r>
    <n v="2512354"/>
    <s v="Khamithkar Srujana"/>
    <d v="2026-05-28T00:00:00"/>
    <x v="1"/>
    <s v="FTE"/>
    <s v="Chennai"/>
    <s v="CIS26MCPT012"/>
    <s v="Uma Venkatachalam"/>
    <d v="2026-09-17T00:00:00"/>
    <x v="2"/>
    <s v="In-Training"/>
    <x v="0"/>
    <x v="0"/>
    <s v="Krishna Nivas Ladies Pg, Sheshadri Avenue, Rajiv Gandhi salai, Egattur,Chennai"/>
    <x v="2"/>
    <x v="0"/>
    <x v="0"/>
    <x v="0"/>
    <x v="0"/>
  </r>
  <r>
    <n v="2516789"/>
    <s v="Dakala Reddy Harsha Yadhav"/>
    <d v="2026-06-18T00:00:00"/>
    <x v="0"/>
    <s v="FTE"/>
    <s v="Chennai"/>
    <s v="CIS26MW001"/>
    <s v="Ashiya Begam S"/>
    <d v="2026-09-11T00:00:00"/>
    <x v="2"/>
    <s v="In-Training"/>
    <x v="0"/>
    <x v="0"/>
    <s v="SVD Gents PG, Egattur"/>
    <x v="2"/>
    <x v="0"/>
    <x v="0"/>
    <x v="0"/>
    <x v="0"/>
  </r>
  <r>
    <n v="2516807"/>
    <s v="Meghana N S"/>
    <d v="2026-06-18T00:00:00"/>
    <x v="1"/>
    <s v="FTE"/>
    <s v="Chennai"/>
    <s v="CIS26NET003"/>
    <s v="Uma Venkatachalam"/>
    <d v="2026-09-04T00:00:00"/>
    <x v="2"/>
    <s v="In-Training"/>
    <x v="0"/>
    <x v="0"/>
    <s v="4/203 , Muthu Rekha Building,Gangai Amman kovil street,Egattur, Landmark, Siruseri, Chennai, Tamil Nadu 603103·"/>
    <x v="2"/>
    <x v="0"/>
    <x v="3"/>
    <x v="0"/>
    <x v="0"/>
  </r>
  <r>
    <n v="2516845"/>
    <s v="Indra H R"/>
    <d v="2026-06-18T00:00:00"/>
    <x v="0"/>
    <s v="FTE"/>
    <s v="Chennai"/>
    <s v="CIS26MW001"/>
    <s v="Ashiya Begam S"/>
    <d v="2026-09-11T00:00:00"/>
    <x v="2"/>
    <s v="In-Training"/>
    <x v="0"/>
    <x v="0"/>
    <s v="Sri Venkateshwara deluxe pg, siruseri , Egattur"/>
    <x v="2"/>
    <x v="0"/>
    <x v="0"/>
    <x v="0"/>
    <x v="0"/>
  </r>
  <r>
    <n v="2518805"/>
    <s v="Ayesha Khanam"/>
    <d v="2026-06-30T00:00:00"/>
    <x v="1"/>
    <s v="FTE"/>
    <s v="Chennai"/>
    <s v="CIS26SB001"/>
    <s v="Kishorekumar P"/>
    <d v="2026-10-14T00:00:00"/>
    <x v="3"/>
    <s v="In-Training"/>
    <x v="0"/>
    <x v="0"/>
    <s v="Krishna Nivas Pg for ladies"/>
    <x v="2"/>
    <x v="0"/>
    <x v="0"/>
    <x v="0"/>
    <x v="0"/>
  </r>
  <r>
    <n v="2518821"/>
    <s v="Gopaldasu Suresh"/>
    <d v="2026-06-30T00:00:00"/>
    <x v="0"/>
    <s v="FTE"/>
    <s v="Chennai"/>
    <s v="CIS26SB001"/>
    <s v="Kishorekumar P"/>
    <d v="2026-10-14T00:00:00"/>
    <x v="3"/>
    <s v="In-Training"/>
    <x v="0"/>
    <x v="0"/>
    <s v="SPT Gents PG Egattur Near Sahasra PG"/>
    <x v="2"/>
    <x v="0"/>
    <x v="0"/>
    <x v="0"/>
    <x v="0"/>
  </r>
  <r>
    <n v="2518827"/>
    <s v="Sriram Vijaykumar"/>
    <d v="2026-06-30T00:00:00"/>
    <x v="0"/>
    <s v="FTE"/>
    <s v="Chennai"/>
    <s v="CIS26SB001"/>
    <s v="Kishorekumar P"/>
    <d v="2026-10-14T00:00:00"/>
    <x v="3"/>
    <s v="In-Training"/>
    <x v="0"/>
    <x v="0"/>
    <s v="SPT Gents PG for men, Egattur"/>
    <x v="2"/>
    <x v="1"/>
    <x v="0"/>
    <x v="0"/>
    <x v="0"/>
  </r>
  <r>
    <n v="2518829"/>
    <s v="Lakshmi Sriram Emani"/>
    <d v="2026-06-30T00:00:00"/>
    <x v="0"/>
    <s v="FTE"/>
    <s v="Chennai"/>
    <s v="CIS26SB001"/>
    <s v="Kishorekumar P"/>
    <d v="2026-10-14T00:00:00"/>
    <x v="3"/>
    <s v="In-Training"/>
    <x v="0"/>
    <x v="0"/>
    <s v="SPT Gents PG for men "/>
    <x v="2"/>
    <x v="0"/>
    <x v="0"/>
    <x v="0"/>
    <x v="0"/>
  </r>
  <r>
    <n v="2519580"/>
    <s v="P Divitha"/>
    <d v="2026-07-02T00:00:00"/>
    <x v="1"/>
    <s v="FTE"/>
    <s v="Chennai"/>
    <s v="CIS26UNIX003"/>
    <s v="Haritha P"/>
    <d v="2026-09-24T00:00:00"/>
    <x v="2"/>
    <s v="In-Training"/>
    <x v="0"/>
    <x v="0"/>
    <s v="parin luxury ladies pg "/>
    <x v="2"/>
    <x v="0"/>
    <x v="0"/>
    <x v="0"/>
    <x v="0"/>
  </r>
  <r>
    <n v="2519588"/>
    <s v="Geerla Achyutha"/>
    <d v="2026-07-02T00:00:00"/>
    <x v="0"/>
    <s v="FTE"/>
    <s v="Chennai"/>
    <s v="CIS26UNIX003"/>
    <s v="Haritha P"/>
    <d v="2026-09-24T00:00:00"/>
    <x v="2"/>
    <s v="In-Training"/>
    <x v="0"/>
    <x v="0"/>
    <s v="SS(Shiva Sai) gents pg, Mamoothiamman,3rd st, Sipcot, Siruseri, Chennai, Tamilnadu, 603103"/>
    <x v="2"/>
    <x v="0"/>
    <x v="0"/>
    <x v="0"/>
    <x v="0"/>
  </r>
  <r>
    <n v="2519591"/>
    <s v="P R Ajithkumar"/>
    <d v="2026-07-02T00:00:00"/>
    <x v="0"/>
    <s v="FTE"/>
    <s v="Chennai"/>
    <s v="CIS26UNIX004"/>
    <s v="Haritha P"/>
    <d v="2026-09-24T00:00:00"/>
    <x v="2"/>
    <s v="In-Training"/>
    <x v="0"/>
    <x v="0"/>
    <s v="Sahasra Pg for Gents, Navalur"/>
    <x v="2"/>
    <x v="1"/>
    <x v="2"/>
    <x v="0"/>
    <x v="0"/>
  </r>
  <r>
    <n v="2519596"/>
    <s v="Rajasaravanan Sankaranarayanan"/>
    <d v="2026-07-02T00:00:00"/>
    <x v="0"/>
    <s v="FTE"/>
    <s v="Chennai"/>
    <s v="CIS26MCPT013"/>
    <s v="Lawrance M"/>
    <d v="2026-10-29T00:00:00"/>
    <x v="3"/>
    <s v="In-Training"/>
    <x v="0"/>
    <x v="0"/>
    <s v="R and R gents pg"/>
    <x v="2"/>
    <x v="1"/>
    <x v="0"/>
    <x v="0"/>
    <x v="0"/>
  </r>
  <r>
    <n v="2519612"/>
    <s v="Sidharth K"/>
    <d v="2026-07-02T00:00:00"/>
    <x v="0"/>
    <s v="FTE"/>
    <s v="Chennai"/>
    <s v="CIS26UNIX003"/>
    <s v="Haritha P"/>
    <d v="2026-09-24T00:00:00"/>
    <x v="2"/>
    <s v="In-Training"/>
    <x v="0"/>
    <x v="0"/>
    <s v="Truliv Sofia, Srinivasa Nagar"/>
    <x v="2"/>
    <x v="0"/>
    <x v="3"/>
    <x v="0"/>
    <x v="0"/>
  </r>
  <r>
    <n v="2519628"/>
    <s v="Shanmukha Reddy Mettu"/>
    <d v="2026-07-02T00:00:00"/>
    <x v="0"/>
    <s v="FTE"/>
    <s v="Chennai"/>
    <s v="CIS26UNIX003"/>
    <s v="Haritha P"/>
    <d v="2026-09-24T00:00:00"/>
    <x v="2"/>
    <s v="In-Training"/>
    <x v="0"/>
    <x v="0"/>
    <s v="Siva Sai Gents PG"/>
    <x v="2"/>
    <x v="1"/>
    <x v="0"/>
    <x v="0"/>
    <x v="0"/>
  </r>
  <r>
    <n v="2519644"/>
    <s v="Harini Prakash"/>
    <d v="2026-07-02T00:00:00"/>
    <x v="1"/>
    <s v="FTE"/>
    <s v="Chennai"/>
    <s v="CIS26DWP021"/>
    <s v="Laksiya Vijayendran"/>
    <d v="2026-09-07T00:00:00"/>
    <x v="2"/>
    <s v="In-Training"/>
    <x v="0"/>
    <x v="0"/>
    <s v="srs ladies hostel -Branch -1,Siruseri"/>
    <x v="2"/>
    <x v="1"/>
    <x v="5"/>
    <x v="2"/>
    <x v="2"/>
  </r>
  <r>
    <n v="2519655"/>
    <s v="Deepa R"/>
    <d v="2026-07-02T00:00:00"/>
    <x v="1"/>
    <s v="FTE"/>
    <s v="Chennai"/>
    <s v="CIS26UNIX003"/>
    <s v="Haritha P"/>
    <d v="2026-09-24T00:00:00"/>
    <x v="2"/>
    <s v="In-Training"/>
    <x v="0"/>
    <x v="0"/>
    <s v="Parin Luxury Ladies PG-Egattur Branch"/>
    <x v="2"/>
    <x v="0"/>
    <x v="0"/>
    <x v="0"/>
    <x v="0"/>
  </r>
  <r>
    <n v="2519677"/>
    <s v="Pratheepraj Premkumar"/>
    <d v="2026-07-02T00:00:00"/>
    <x v="0"/>
    <s v="FTE"/>
    <s v="Chennai"/>
    <s v="CIS26MCPT013"/>
    <s v="Lawrance M"/>
    <d v="2026-10-29T00:00:00"/>
    <x v="3"/>
    <s v="In-Training"/>
    <x v="0"/>
    <x v="0"/>
    <s v="Tru liv sofia pg siruseri"/>
    <x v="2"/>
    <x v="0"/>
    <x v="3"/>
    <x v="0"/>
    <x v="0"/>
  </r>
  <r>
    <n v="2519683"/>
    <s v="Vidupulapati Udaysrinivas"/>
    <d v="2026-07-02T00:00:00"/>
    <x v="0"/>
    <s v="FTE"/>
    <s v="Chennai"/>
    <s v="CIS26UNIX003"/>
    <s v="Haritha P"/>
    <d v="2026-09-24T00:00:00"/>
    <x v="2"/>
    <s v="In-Training"/>
    <x v="0"/>
    <x v="0"/>
    <s v="SPT pg for gents,egattur"/>
    <x v="2"/>
    <x v="0"/>
    <x v="0"/>
    <x v="0"/>
    <x v="0"/>
  </r>
  <r>
    <n v="2519704"/>
    <s v="Bogireddy Vindhya"/>
    <d v="2026-07-02T00:00:00"/>
    <x v="1"/>
    <s v="FTE"/>
    <s v="Chennai"/>
    <s v="CIS26UNIX003"/>
    <s v="Haritha P"/>
    <d v="2026-09-24T00:00:00"/>
    <x v="2"/>
    <s v="In-Training"/>
    <x v="0"/>
    <x v="0"/>
    <s v="Vaishnavi ladies pg, Egattur"/>
    <x v="2"/>
    <x v="0"/>
    <x v="0"/>
    <x v="0"/>
    <x v="0"/>
  </r>
  <r>
    <n v="2519709"/>
    <s v="Ritvik Raj"/>
    <d v="2026-07-02T00:00:00"/>
    <x v="0"/>
    <s v="FTE"/>
    <s v="Chennai"/>
    <s v="CIS26UNIX003"/>
    <s v="Haritha P"/>
    <d v="2026-09-24T00:00:00"/>
    <x v="2"/>
    <s v="In-Training"/>
    <x v="0"/>
    <x v="0"/>
    <s v="Sri Saravana Mens Hostel"/>
    <x v="2"/>
    <x v="0"/>
    <x v="0"/>
    <x v="0"/>
    <x v="0"/>
  </r>
  <r>
    <n v="2519711"/>
    <s v="K Hariharan"/>
    <d v="2026-07-02T00:00:00"/>
    <x v="0"/>
    <s v="FTE"/>
    <s v="Chennai"/>
    <s v="CIS26UNIX004"/>
    <s v="Haritha P"/>
    <d v="2026-09-24T00:00:00"/>
    <x v="2"/>
    <s v="In-Training"/>
    <x v="0"/>
    <x v="0"/>
    <s v="Sai Grand Gents PG - Egattur"/>
    <x v="2"/>
    <x v="0"/>
    <x v="3"/>
    <x v="0"/>
    <x v="0"/>
  </r>
  <r>
    <n v="2519735"/>
    <s v="Chandru Samuel A"/>
    <d v="2026-07-02T00:00:00"/>
    <x v="0"/>
    <s v="FTE"/>
    <s v="Chennai"/>
    <s v="CIS26MCPT013"/>
    <s v="Lawrance M"/>
    <d v="2026-10-29T00:00:00"/>
    <x v="3"/>
    <s v="In-Training"/>
    <x v="0"/>
    <x v="0"/>
    <s v="R &amp; R Gents PG - Branch 2, Egattur"/>
    <x v="2"/>
    <x v="1"/>
    <x v="3"/>
    <x v="0"/>
    <x v="0"/>
  </r>
  <r>
    <n v="2519781"/>
    <s v="Dumpala Vamsidhar Reddy"/>
    <d v="2026-07-02T00:00:00"/>
    <x v="0"/>
    <s v="FTE"/>
    <s v="Chennai"/>
    <s v="CIS26UNIX003"/>
    <s v="Haritha P"/>
    <d v="2026-09-24T00:00:00"/>
    <x v="2"/>
    <s v="In-Training"/>
    <x v="0"/>
    <x v="0"/>
    <s v="ANISH PG"/>
    <x v="2"/>
    <x v="0"/>
    <x v="3"/>
    <x v="0"/>
    <x v="0"/>
  </r>
  <r>
    <n v="2520953"/>
    <s v="Atharv Santosh Kulkarni"/>
    <d v="2026-07-07T00:00:00"/>
    <x v="0"/>
    <s v="FTE"/>
    <s v="Chennai"/>
    <s v="CS26CS008"/>
    <s v="Kishorekumar P"/>
    <d v="2026-10-28T00:00:00"/>
    <x v="3"/>
    <s v="In-Training"/>
    <x v="0"/>
    <x v="0"/>
    <s v="Ardenwood Co-living"/>
    <x v="2"/>
    <x v="0"/>
    <x v="3"/>
    <x v="0"/>
    <x v="0"/>
  </r>
  <r>
    <n v="2520971"/>
    <s v="Markeeri Teja"/>
    <d v="2026-07-07T00:00:00"/>
    <x v="1"/>
    <s v="FTE"/>
    <s v="Chennai"/>
    <s v="HPC26DN005"/>
    <s v="Viveka Preethi"/>
    <d v="2026-10-01T00:00:00"/>
    <x v="3"/>
    <s v="In-Training"/>
    <x v="0"/>
    <x v="0"/>
    <s v="Vaishnavi ladies pg,Egattur"/>
    <x v="2"/>
    <x v="0"/>
    <x v="3"/>
    <x v="0"/>
    <x v="0"/>
  </r>
  <r>
    <n v="2521045"/>
    <s v="Erukala Dinesh Karthik"/>
    <d v="2026-07-07T00:00:00"/>
    <x v="0"/>
    <s v="FTE"/>
    <s v="Chennai"/>
    <s v="SNBG26SN002"/>
    <s v="Lawrance M"/>
    <d v="2026-10-08T00:00:00"/>
    <x v="3"/>
    <s v="In-Training"/>
    <x v="0"/>
    <x v="0"/>
    <s v="Siva Sai Gents PG - SIPCOT"/>
    <x v="2"/>
    <x v="0"/>
    <x v="3"/>
    <x v="0"/>
    <x v="0"/>
  </r>
  <r>
    <n v="2521054"/>
    <s v="Sikilammetla Suman"/>
    <d v="2026-07-07T00:00:00"/>
    <x v="0"/>
    <s v="FTE"/>
    <s v="Chennai"/>
    <s v="SNBG26SN003"/>
    <s v="Lawrance M"/>
    <d v="2026-09-16T00:00:00"/>
    <x v="2"/>
    <s v="In-Training"/>
    <x v="0"/>
    <x v="0"/>
    <s v="CNR Gents PG  BRANCH -1, Egattur"/>
    <x v="2"/>
    <x v="0"/>
    <x v="3"/>
    <x v="0"/>
    <x v="0"/>
  </r>
  <r>
    <n v="2521055"/>
    <s v="M Vikasini"/>
    <d v="2026-07-07T00:00:00"/>
    <x v="1"/>
    <s v="FTE"/>
    <s v="Chennai"/>
    <s v="CS26CS007"/>
    <s v="Lawrance M"/>
    <d v="2026-09-07T00:00:00"/>
    <x v="2"/>
    <s v="In-Training"/>
    <x v="1"/>
    <x v="1"/>
    <s v="MSR Luxury PG for Ladies (Branch III)"/>
    <x v="2"/>
    <x v="0"/>
    <x v="0"/>
    <x v="0"/>
    <x v="1"/>
  </r>
  <r>
    <n v="2521063"/>
    <s v="Safrin Bargana A"/>
    <d v="2026-07-07T00:00:00"/>
    <x v="1"/>
    <s v="FTE"/>
    <s v="Chennai"/>
    <s v="HPC26DN005"/>
    <s v="Viveka Preethi"/>
    <d v="2026-10-01T00:00:00"/>
    <x v="3"/>
    <s v="In-Training"/>
    <x v="0"/>
    <x v="0"/>
    <s v="Krishna Nivas Ladies PG, Egattur"/>
    <x v="2"/>
    <x v="0"/>
    <x v="0"/>
    <x v="0"/>
    <x v="0"/>
  </r>
  <r>
    <n v="2521065"/>
    <s v="Dadiboina Deepika"/>
    <d v="2026-07-07T00:00:00"/>
    <x v="1"/>
    <s v="FTE"/>
    <s v="Chennai"/>
    <s v="SNBG26SN003"/>
    <s v="Lawrance M"/>
    <d v="2026-10-08T00:00:00"/>
    <x v="3"/>
    <s v="In-Training"/>
    <x v="0"/>
    <x v="0"/>
    <s v="4/201, Sai teja ladies hostel"/>
    <x v="2"/>
    <x v="0"/>
    <x v="0"/>
    <x v="0"/>
    <x v="0"/>
  </r>
  <r>
    <n v="2521075"/>
    <s v="Shaik Abdul Sahil"/>
    <d v="2026-07-07T00:00:00"/>
    <x v="0"/>
    <s v="FTE"/>
    <s v="Chennai"/>
    <s v="CIS26SN001"/>
    <s v="Ashiya Begam S"/>
    <d v="2026-10-08T00:00:00"/>
    <x v="3"/>
    <s v="In-Training"/>
    <x v="0"/>
    <x v="0"/>
    <s v="CNR Gents Pg Branch 1, Egattur"/>
    <x v="2"/>
    <x v="0"/>
    <x v="3"/>
    <x v="0"/>
    <x v="0"/>
  </r>
  <r>
    <n v="2521078"/>
    <s v="Kokiladevi P"/>
    <d v="2026-07-07T00:00:00"/>
    <x v="1"/>
    <s v="FTE"/>
    <s v="Chennai"/>
    <s v="HPC26DN005"/>
    <s v="Viveka Preethi"/>
    <d v="2026-10-01T00:00:00"/>
    <x v="3"/>
    <s v="In-Training"/>
    <x v="0"/>
    <x v="0"/>
    <s v="Krishna Nivas Ladies PG ,Egatur."/>
    <x v="2"/>
    <x v="1"/>
    <x v="0"/>
    <x v="0"/>
    <x v="0"/>
  </r>
  <r>
    <n v="2521079"/>
    <s v="Nalamothu Rishith"/>
    <d v="2026-07-07T00:00:00"/>
    <x v="0"/>
    <s v="FTE"/>
    <s v="Chennai"/>
    <s v="CIS26SN001"/>
    <s v="Ashiya Begam S"/>
    <d v="2026-09-16T00:00:00"/>
    <x v="2"/>
    <s v="In-Training"/>
    <x v="0"/>
    <x v="0"/>
    <s v=" CNR GENTS PG BRANCH-1"/>
    <x v="2"/>
    <x v="0"/>
    <x v="3"/>
    <x v="0"/>
    <x v="0"/>
  </r>
  <r>
    <n v="2521095"/>
    <s v="Eamani Srilakshmi"/>
    <d v="2026-07-07T00:00:00"/>
    <x v="1"/>
    <s v="FTE"/>
    <s v="Chennai"/>
    <s v="SNBG26SN002"/>
    <s v="Lawrance M"/>
    <d v="2026-09-16T00:00:00"/>
    <x v="2"/>
    <s v="In-Training"/>
    <x v="0"/>
    <x v="0"/>
    <s v="Queens Luxury Ladies PG,  Egattur"/>
    <x v="2"/>
    <x v="0"/>
    <x v="3"/>
    <x v="0"/>
    <x v="0"/>
  </r>
  <r>
    <n v="2521099"/>
    <s v="Gandikota Laxmi Praveena"/>
    <d v="2026-07-07T00:00:00"/>
    <x v="1"/>
    <s v="FTE"/>
    <s v="Chennai"/>
    <s v="SNBG26SN003"/>
    <s v="Lawrance M"/>
    <d v="2026-09-16T00:00:00"/>
    <x v="2"/>
    <s v="In-Training"/>
    <x v="0"/>
    <x v="0"/>
    <s v="Queens Luxury Ladies PG"/>
    <x v="2"/>
    <x v="0"/>
    <x v="3"/>
    <x v="0"/>
    <x v="0"/>
  </r>
  <r>
    <n v="2521102"/>
    <s v="Chaitanya Surya Sai Deepthi Ummidi"/>
    <d v="2026-07-07T00:00:00"/>
    <x v="1"/>
    <s v="FTE"/>
    <s v="Chennai"/>
    <s v="SNBG26SN002"/>
    <s v="Lawrance M"/>
    <d v="2026-10-08T00:00:00"/>
    <x v="3"/>
    <s v="In-Training"/>
    <x v="0"/>
    <x v="0"/>
    <s v="Vaishnavi PG For Ladies, Egattur"/>
    <x v="2"/>
    <x v="1"/>
    <x v="0"/>
    <x v="0"/>
    <x v="0"/>
  </r>
  <r>
    <n v="2521115"/>
    <s v="Shamlik Sarfaraz"/>
    <d v="2026-07-07T00:00:00"/>
    <x v="0"/>
    <s v="FTE"/>
    <s v="Chennai"/>
    <s v="SNBG26SN002"/>
    <s v="Lawrance M"/>
    <d v="2026-09-16T00:00:00"/>
    <x v="2"/>
    <s v="In-Training"/>
    <x v="0"/>
    <x v="0"/>
    <s v="Siva Sai Gents PG ,Egattur"/>
    <x v="2"/>
    <x v="0"/>
    <x v="3"/>
    <x v="0"/>
    <x v="0"/>
  </r>
  <r>
    <n v="2521162"/>
    <s v="Sai Preethi Bijjala"/>
    <d v="2026-07-07T00:00:00"/>
    <x v="1"/>
    <s v="FTE"/>
    <s v="Chennai"/>
    <s v="CIS26UNIX004"/>
    <s v="Haritha P"/>
    <d v="2026-09-24T00:00:00"/>
    <x v="2"/>
    <s v="In-Training"/>
    <x v="0"/>
    <x v="0"/>
    <s v="Krishna Nivas Pg for ladies - Egattur"/>
    <x v="2"/>
    <x v="0"/>
    <x v="0"/>
    <x v="0"/>
    <x v="0"/>
  </r>
  <r>
    <n v="2521167"/>
    <s v="P Dedeepya"/>
    <d v="2026-07-07T00:00:00"/>
    <x v="1"/>
    <s v="FTE"/>
    <s v="Chennai"/>
    <s v="CIS26UNIX004"/>
    <s v="Haritha P"/>
    <d v="2026-09-24T00:00:00"/>
    <x v="2"/>
    <s v="In-Training"/>
    <x v="0"/>
    <x v="0"/>
    <s v="Sai Grand womens PG, siruseri"/>
    <x v="2"/>
    <x v="0"/>
    <x v="3"/>
    <x v="0"/>
    <x v="0"/>
  </r>
  <r>
    <n v="2521212"/>
    <s v="Harshith Kumar P"/>
    <d v="2026-07-07T00:00:00"/>
    <x v="0"/>
    <s v="FTE"/>
    <s v="Chennai"/>
    <s v="CS26CS007"/>
    <s v="Lawrance M"/>
    <d v="2026-09-07T00:00:00"/>
    <x v="2"/>
    <s v="In-Training"/>
    <x v="0"/>
    <x v="0"/>
    <s v="Sri srinivasa mens pg"/>
    <x v="2"/>
    <x v="0"/>
    <x v="2"/>
    <x v="0"/>
    <x v="0"/>
  </r>
  <r>
    <n v="2521238"/>
    <s v="Kondapalli Sai Kumar"/>
    <d v="2026-07-07T00:00:00"/>
    <x v="0"/>
    <s v="FTE"/>
    <s v="Chennai"/>
    <s v="CIS26UNIX004"/>
    <s v="Haritha P"/>
    <d v="2026-09-24T00:00:00"/>
    <x v="2"/>
    <s v="In-Training"/>
    <x v="0"/>
    <x v="0"/>
    <s v="CNR Gents PG -Branch 1 , Siruseri"/>
    <x v="2"/>
    <x v="0"/>
    <x v="0"/>
    <x v="0"/>
    <x v="0"/>
  </r>
  <r>
    <n v="2521245"/>
    <s v="Deepana D"/>
    <d v="2026-07-07T00:00:00"/>
    <x v="1"/>
    <s v="FTE"/>
    <s v="Chennai"/>
    <s v="CS26CS007"/>
    <s v="Lawrance M"/>
    <d v="2026-09-07T00:00:00"/>
    <x v="2"/>
    <s v="In-Training"/>
    <x v="0"/>
    <x v="0"/>
    <s v="New Manikandan Ladies Hostel, Branch 14"/>
    <x v="2"/>
    <x v="0"/>
    <x v="0"/>
    <x v="0"/>
    <x v="0"/>
  </r>
  <r>
    <n v="2521248"/>
    <s v="Kiruthika T"/>
    <d v="2026-07-07T00:00:00"/>
    <x v="1"/>
    <s v="FTE"/>
    <s v="Chennai"/>
    <s v="CS26CS007"/>
    <s v="Lawrance M"/>
    <d v="2026-09-07T00:00:00"/>
    <x v="2"/>
    <s v="In-Training"/>
    <x v="0"/>
    <x v="0"/>
    <s v="Anandham Womens Hostel (Behind Accenture)"/>
    <x v="2"/>
    <x v="0"/>
    <x v="8"/>
    <x v="4"/>
    <x v="0"/>
  </r>
  <r>
    <n v="2521254"/>
    <s v="Gayathri V"/>
    <d v="2026-07-07T00:00:00"/>
    <x v="1"/>
    <s v="FTE"/>
    <s v="Chennai"/>
    <s v="CS26CS007"/>
    <s v="Lawrance M"/>
    <d v="2026-09-07T00:00:00"/>
    <x v="2"/>
    <s v="In-Training"/>
    <x v="0"/>
    <x v="0"/>
    <s v="New Manikandan   ladies hostel,   branch 14"/>
    <x v="2"/>
    <x v="0"/>
    <x v="0"/>
    <x v="0"/>
    <x v="0"/>
  </r>
  <r>
    <n v="2521273"/>
    <s v="Vanimireddy Himaja"/>
    <d v="2026-07-07T00:00:00"/>
    <x v="1"/>
    <s v="FTE"/>
    <s v="Chennai"/>
    <s v="CIS26SN001"/>
    <s v="Ashiya Begam S"/>
    <d v="2026-09-16T00:00:00"/>
    <x v="2"/>
    <s v="In-Training"/>
    <x v="0"/>
    <x v="0"/>
    <s v="SRS Ladies PG - Branch 5 , Egattur"/>
    <x v="2"/>
    <x v="1"/>
    <x v="0"/>
    <x v="0"/>
    <x v="0"/>
  </r>
  <r>
    <n v="2521275"/>
    <s v="Prasanna Suresh Gandhi"/>
    <d v="2026-07-07T00:00:00"/>
    <x v="0"/>
    <s v="FTE"/>
    <s v="Chennai"/>
    <s v="CS26CS007"/>
    <s v="Lawrance M"/>
    <d v="2026-09-07T00:00:00"/>
    <x v="2"/>
    <s v="In-Training"/>
    <x v="0"/>
    <x v="0"/>
    <s v="KR Mens PG"/>
    <x v="2"/>
    <x v="0"/>
    <x v="3"/>
    <x v="0"/>
    <x v="0"/>
  </r>
  <r>
    <n v="2521282"/>
    <s v="Krittika R"/>
    <d v="2026-07-07T00:00:00"/>
    <x v="1"/>
    <s v="FTE"/>
    <s v="Chennai"/>
    <s v="HPC26DN005"/>
    <s v="Viveka Preethi"/>
    <d v="2026-10-01T00:00:00"/>
    <x v="3"/>
    <s v="In-Training"/>
    <x v="0"/>
    <x v="0"/>
    <s v="Krishna Nivas Ladies Pg"/>
    <x v="2"/>
    <x v="0"/>
    <x v="0"/>
    <x v="0"/>
    <x v="0"/>
  </r>
  <r>
    <n v="2521305"/>
    <s v="Raveena Pm"/>
    <d v="2026-07-07T00:00:00"/>
    <x v="1"/>
    <s v="FTE"/>
    <s v="Chennai"/>
    <s v="CS26CS007"/>
    <s v="Lawrance M"/>
    <d v="2026-09-07T00:00:00"/>
    <x v="2"/>
    <s v="In-Training"/>
    <x v="0"/>
    <x v="0"/>
    <s v="New Manikandan ladies hostel, branch 14"/>
    <x v="2"/>
    <x v="0"/>
    <x v="0"/>
    <x v="0"/>
    <x v="0"/>
  </r>
  <r>
    <n v="2521370"/>
    <s v="Maddila Keerthana"/>
    <d v="2026-07-07T00:00:00"/>
    <x v="1"/>
    <s v="FTE"/>
    <s v="Chennai"/>
    <s v="SNBG26SN002"/>
    <s v="Lawrance M"/>
    <d v="2026-10-08T00:00:00"/>
    <x v="3"/>
    <s v="In-Training"/>
    <x v="0"/>
    <x v="0"/>
    <s v="4/187, Periyar Street, Old Mahabalipuram Road, Egattur, Chennai, Tamil Nadu 600130"/>
    <x v="2"/>
    <x v="0"/>
    <x v="0"/>
    <x v="0"/>
    <x v="0"/>
  </r>
  <r>
    <n v="2521715"/>
    <s v="Hrutuja Umakant Aher"/>
    <d v="2026-07-09T00:00:00"/>
    <x v="1"/>
    <s v="FTE"/>
    <s v="Chennai"/>
    <s v="ADM26MF010"/>
    <s v="Thomas Naveen. J"/>
    <d v="2026-11-02T00:00:00"/>
    <x v="0"/>
    <s v="In-Training"/>
    <x v="0"/>
    <x v="0"/>
    <s v="SRS Luxury PG- Branch 1,Egattur"/>
    <x v="2"/>
    <x v="0"/>
    <x v="0"/>
    <x v="0"/>
    <x v="0"/>
  </r>
  <r>
    <n v="2521789"/>
    <s v="Vadde Vamshi"/>
    <d v="2026-07-09T00:00:00"/>
    <x v="0"/>
    <s v="FTE"/>
    <s v="Chennai"/>
    <s v="AIA26DSAT004"/>
    <s v="Pavithra Kandasamy"/>
    <d v="2026-10-09T00:00:00"/>
    <x v="3"/>
    <s v="In-Training"/>
    <x v="0"/>
    <x v="0"/>
    <s v="Sai deluxe pg , navallur "/>
    <x v="2"/>
    <x v="0"/>
    <x v="2"/>
    <x v="0"/>
    <x v="0"/>
  </r>
  <r>
    <n v="2523385"/>
    <s v="Aishwarya Shivappa Singaragoppa"/>
    <d v="2026-07-16T00:00:00"/>
    <x v="1"/>
    <s v="FTE"/>
    <s v="Chennai"/>
    <s v="CS26CS009"/>
    <s v="Laksiya Vijayendran"/>
    <d v="2026-10-14T00:00:00"/>
    <x v="3"/>
    <s v="In-Training"/>
    <x v="0"/>
    <x v="0"/>
    <s v="MSR Luxury Ladies PG-Branch 3, Egattur"/>
    <x v="2"/>
    <x v="0"/>
    <x v="0"/>
    <x v="0"/>
    <x v="0"/>
  </r>
  <r>
    <n v="2523391"/>
    <s v="Manikanth Parasaram Madiwalar"/>
    <d v="2026-07-16T00:00:00"/>
    <x v="0"/>
    <s v="FTE"/>
    <s v="Chennai"/>
    <s v="CS26CS010"/>
    <s v="Laksiya Vijayendran"/>
    <d v="2026-10-19T00:00:00"/>
    <x v="3"/>
    <s v="In-Training"/>
    <x v="0"/>
    <x v="0"/>
    <s v="Meera gents pg egattur"/>
    <x v="2"/>
    <x v="0"/>
    <x v="2"/>
    <x v="0"/>
    <x v="0"/>
  </r>
  <r>
    <n v="2523396"/>
    <s v="Nagaraj P"/>
    <d v="2026-07-16T00:00:00"/>
    <x v="0"/>
    <s v="FTE"/>
    <s v="Chennai"/>
    <s v="CS26CS010"/>
    <s v="Laksiya Vijayendran"/>
    <d v="2026-10-19T00:00:00"/>
    <x v="3"/>
    <s v="In-Training"/>
    <x v="0"/>
    <x v="0"/>
    <s v="Narayana gents pg"/>
    <x v="2"/>
    <x v="1"/>
    <x v="2"/>
    <x v="0"/>
    <x v="0"/>
  </r>
  <r>
    <n v="2523431"/>
    <s v="Malyala Sathwik"/>
    <d v="2026-07-16T00:00:00"/>
    <x v="0"/>
    <s v="FTE"/>
    <s v="Chennai"/>
    <s v="CS26CS010"/>
    <s v="Laksiya Vijayendran"/>
    <d v="2026-10-19T00:00:00"/>
    <x v="3"/>
    <s v="In-Training"/>
    <x v="0"/>
    <x v="0"/>
    <s v="lakshmi srinivas elite pg,egattur"/>
    <x v="2"/>
    <x v="0"/>
    <x v="0"/>
    <x v="0"/>
    <x v="0"/>
  </r>
  <r>
    <n v="2523447"/>
    <s v="Saravanan A"/>
    <d v="2026-07-16T00:00:00"/>
    <x v="0"/>
    <s v="FTE"/>
    <s v="Chennai"/>
    <s v="CS26CS010"/>
    <s v="Laksiya Vijayendran"/>
    <d v="2026-10-19T00:00:00"/>
    <x v="3"/>
    <s v="In-Training"/>
    <x v="0"/>
    <x v="0"/>
    <s v="13 A, Narayanan Gents PG, Srivijayaganapathy nagar, mayana salai, navalur - 600130"/>
    <x v="2"/>
    <x v="0"/>
    <x v="2"/>
    <x v="0"/>
    <x v="0"/>
  </r>
  <r>
    <n v="2524478"/>
    <s v="Shrushti Arun Shelke"/>
    <d v="2026-07-21T00:00:00"/>
    <x v="1"/>
    <s v="FTE"/>
    <s v="Chennai"/>
    <s v="ADM26MF012"/>
    <s v="Lourdhu Selvin Raj X"/>
    <d v="2026-11-17T00:00:00"/>
    <x v="0"/>
    <s v="In-Training"/>
    <x v="0"/>
    <x v="0"/>
    <s v="MSR Luxury PG for Ladies (Branch 3), Siruseri, Tamil Nadu."/>
    <x v="2"/>
    <x v="0"/>
    <x v="3"/>
    <x v="0"/>
    <x v="0"/>
  </r>
  <r>
    <n v="2524505"/>
    <s v="Prashant Saniv Savle"/>
    <d v="2026-07-21T00:00:00"/>
    <x v="0"/>
    <s v="FTE"/>
    <s v="Chennai"/>
    <s v="QEA26QEPT024"/>
    <s v="Ajiesya D P"/>
    <d v="2026-11-04T00:00:00"/>
    <x v="0"/>
    <s v="In-Training"/>
    <x v="0"/>
    <x v="0"/>
    <s v="SREE VENKATESHWARA LUXURY PG FOR GENTS"/>
    <x v="2"/>
    <x v="1"/>
    <x v="2"/>
    <x v="0"/>
    <x v="0"/>
  </r>
  <r>
    <n v="2524509"/>
    <s v="Sakshi Suresh Jadhav"/>
    <d v="2026-07-21T00:00:00"/>
    <x v="1"/>
    <s v="FTE"/>
    <s v="Chennai"/>
    <s v="IOA26RPA005"/>
    <s v="Adarsh J Nair"/>
    <d v="2026-10-14T00:00:00"/>
    <x v="3"/>
    <s v="In-Training"/>
    <x v="0"/>
    <x v="0"/>
    <s v="Sai Grand Ladies PG, 4/187, Periyaar Street, Egattur"/>
    <x v="2"/>
    <x v="0"/>
    <x v="3"/>
    <x v="0"/>
    <x v="0"/>
  </r>
  <r>
    <n v="2524538"/>
    <s v="Dasareddy Gari Siva Dharani"/>
    <d v="2026-07-21T00:00:00"/>
    <x v="1"/>
    <s v="FTE"/>
    <s v="Chennai"/>
    <s v="IOA26RPA005"/>
    <s v="Adarsh J Nair"/>
    <d v="2026-10-14T00:00:00"/>
    <x v="3"/>
    <s v="In-Training"/>
    <x v="0"/>
    <x v="0"/>
    <s v="Vaishnavi Pg for Ladies, Egattur"/>
    <x v="2"/>
    <x v="0"/>
    <x v="0"/>
    <x v="0"/>
    <x v="0"/>
  </r>
  <r>
    <n v="2524545"/>
    <s v="Somnath Umakant Swami"/>
    <d v="2026-07-21T00:00:00"/>
    <x v="0"/>
    <s v="FTE"/>
    <s v="Chennai"/>
    <s v="QEA26QEPT024"/>
    <s v="Ajiesya D P"/>
    <d v="2026-11-04T00:00:00"/>
    <x v="0"/>
    <s v="In-Training"/>
    <x v="0"/>
    <x v="0"/>
    <s v="Soma mens Stay "/>
    <x v="2"/>
    <x v="0"/>
    <x v="0"/>
    <x v="0"/>
    <x v="0"/>
  </r>
  <r>
    <n v="2524548"/>
    <s v="Nishtha Gupta"/>
    <d v="2026-07-21T00:00:00"/>
    <x v="1"/>
    <s v="FTE"/>
    <s v="Chennai"/>
    <s v="IOA26RPA005"/>
    <s v="Adarsh J Nair"/>
    <d v="2026-10-14T00:00:00"/>
    <x v="3"/>
    <s v="In-Training"/>
    <x v="0"/>
    <x v="0"/>
    <s v="Sai Grand Womens pg hostel, Periyar Street, Old Mahabalipuram Road, Egattur, Chennai, Tamil Nadu."/>
    <x v="2"/>
    <x v="0"/>
    <x v="0"/>
    <x v="0"/>
    <x v="0"/>
  </r>
  <r>
    <n v="2524563"/>
    <s v="Jagtap Omkar Malhari"/>
    <d v="2026-07-21T00:00:00"/>
    <x v="0"/>
    <s v="FTE"/>
    <s v="Chennai"/>
    <s v="QEA26QEPT024"/>
    <s v="Ajiesya D P"/>
    <d v="2026-10-30T00:00:00"/>
    <x v="3"/>
    <s v="In-Training"/>
    <x v="0"/>
    <x v="0"/>
    <s v="Soma Mens Stay PG, Egattur"/>
    <x v="2"/>
    <x v="0"/>
    <x v="0"/>
    <x v="0"/>
    <x v="0"/>
  </r>
  <r>
    <n v="2524646"/>
    <s v="Naveen Kumar Nimmakayala"/>
    <d v="2026-07-21T00:00:00"/>
    <x v="0"/>
    <s v="FTE"/>
    <s v="Chennai"/>
    <s v="IOA26RPA005"/>
    <s v="Adarsh J Nair"/>
    <d v="2026-10-14T00:00:00"/>
    <x v="3"/>
    <s v="In-Training"/>
    <x v="1"/>
    <x v="2"/>
    <s v="sibi home,Rajan Nagar,kelambakkam"/>
    <x v="2"/>
    <x v="0"/>
    <x v="37"/>
    <x v="2"/>
    <x v="1"/>
  </r>
  <r>
    <n v="2524648"/>
    <s v="Devesh Bharat Deore"/>
    <d v="2026-07-21T00:00:00"/>
    <x v="0"/>
    <s v="FTE"/>
    <s v="Chennai"/>
    <s v="QEA26QEPT024"/>
    <s v="Ajiesya D P"/>
    <d v="2026-10-30T00:00:00"/>
    <x v="3"/>
    <s v="In-Training"/>
    <x v="0"/>
    <x v="0"/>
    <s v="Soma Mens Stay PG"/>
    <x v="2"/>
    <x v="0"/>
    <x v="3"/>
    <x v="0"/>
    <x v="0"/>
  </r>
  <r>
    <n v="2524650"/>
    <s v="Prakash Kumar"/>
    <d v="2026-07-21T00:00:00"/>
    <x v="0"/>
    <s v="FTE"/>
    <s v="Chennai"/>
    <s v="QEA26QEPT024"/>
    <s v="Ajiesya D P"/>
    <d v="2026-10-30T00:00:00"/>
    <x v="3"/>
    <s v="In-Training"/>
    <x v="0"/>
    <x v="0"/>
    <s v="Siddu mens premium pg"/>
    <x v="2"/>
    <x v="0"/>
    <x v="3"/>
    <x v="0"/>
    <x v="0"/>
  </r>
  <r>
    <n v="2526142"/>
    <s v="Uday Rai"/>
    <d v="2026-07-28T00:00:00"/>
    <x v="0"/>
    <s v="FTE"/>
    <s v="Chennai"/>
    <s v="EPS26WD005"/>
    <s v="Vishnupriya Dakshnamurthy"/>
    <d v="2026-11-06T00:00:00"/>
    <x v="0"/>
    <s v="In-Training"/>
    <x v="0"/>
    <x v="0"/>
    <s v="Ardenwood Co-living"/>
    <x v="2"/>
    <x v="0"/>
    <x v="3"/>
    <x v="0"/>
    <x v="0"/>
  </r>
  <r>
    <n v="2526600"/>
    <s v="Chetan Dipak Patil"/>
    <d v="2026-07-30T00:00:00"/>
    <x v="0"/>
    <s v="FTE"/>
    <s v="Chennai"/>
    <s v="QEA26JP001"/>
    <s v="Ajiesya D P"/>
    <s v=""/>
    <x v="1"/>
    <s v="Training - ON Hold"/>
    <x v="0"/>
    <x v="0"/>
    <s v="GKR PG , Egattur"/>
    <x v="2"/>
    <x v="0"/>
    <x v="0"/>
    <x v="0"/>
    <x v="0"/>
  </r>
  <r>
    <n v="2526602"/>
    <s v="Lagad Sampada Santosh"/>
    <d v="2026-07-30T00:00:00"/>
    <x v="1"/>
    <s v="FTE"/>
    <s v="Chennai"/>
    <s v="QEA26JP002"/>
    <s v="Ajiesya D P"/>
    <s v=""/>
    <x v="1"/>
    <s v="Training - ON Hold"/>
    <x v="0"/>
    <x v="0"/>
    <s v="Vishvas Ladies PG, Siruseri"/>
    <x v="2"/>
    <x v="0"/>
    <x v="3"/>
    <x v="0"/>
    <x v="0"/>
  </r>
  <r>
    <n v="2526615"/>
    <s v="Janarthanan T"/>
    <d v="2026-07-30T00:00:00"/>
    <x v="0"/>
    <s v="FTE"/>
    <s v="Chennai"/>
    <s v="QEA26JP002"/>
    <s v="Ajiesya D P"/>
    <s v=""/>
    <x v="1"/>
    <s v="Training - ON Hold"/>
    <x v="0"/>
    <x v="0"/>
    <s v="Bro Space PG"/>
    <x v="2"/>
    <x v="0"/>
    <x v="2"/>
    <x v="0"/>
    <x v="0"/>
  </r>
  <r>
    <n v="2529493"/>
    <s v="Vaibhav Santosh Babar"/>
    <d v="2026-08-11T00:00:00"/>
    <x v="0"/>
    <s v="FTE"/>
    <s v="Chennai"/>
    <s v="CIS26MCPT025"/>
    <s v="Vignesh S"/>
    <d v="2026-12-03T00:00:00"/>
    <x v="1"/>
    <s v="In-Training"/>
    <x v="0"/>
    <x v="0"/>
    <s v="Vishvas Professional Stays Mens PG Siruseri SIPCOT"/>
    <x v="2"/>
    <x v="0"/>
    <x v="0"/>
    <x v="0"/>
    <x v="0"/>
  </r>
  <r>
    <n v="2529499"/>
    <s v="Ramya Varshini GH"/>
    <d v="2026-08-11T00:00:00"/>
    <x v="1"/>
    <s v="FTE"/>
    <s v="Chennai"/>
    <s v="CIS26MCPT024"/>
    <s v="Ashiya Begam S"/>
    <d v="2026-12-03T00:00:00"/>
    <x v="1"/>
    <s v="In-Training"/>
    <x v="0"/>
    <x v="0"/>
    <s v="Smiles Inn PG for Womens, Egattur"/>
    <x v="2"/>
    <x v="0"/>
    <x v="0"/>
    <x v="0"/>
    <x v="0"/>
  </r>
  <r>
    <n v="2529516"/>
    <s v="Rohan Dnyanoba Dharpale"/>
    <d v="2026-08-11T00:00:00"/>
    <x v="0"/>
    <s v="FTE"/>
    <s v="Chennai"/>
    <s v="CIS26MCPT022"/>
    <s v="Laksiya Vijayendran"/>
    <d v="2026-12-03T00:00:00"/>
    <x v="1"/>
    <s v="In-Training"/>
    <x v="0"/>
    <x v="0"/>
    <s v="CNR PG Branch 2"/>
    <x v="2"/>
    <x v="0"/>
    <x v="3"/>
    <x v="0"/>
    <x v="0"/>
  </r>
  <r>
    <n v="2529517"/>
    <s v="Pranav Sunil Sabale"/>
    <d v="2026-08-11T00:00:00"/>
    <x v="0"/>
    <s v="FTE"/>
    <s v="Chennai"/>
    <s v="CIS26MCPT023"/>
    <s v="Kishorekumar P"/>
    <d v="2026-12-03T00:00:00"/>
    <x v="1"/>
    <s v="In-Training"/>
    <x v="0"/>
    <x v="0"/>
    <s v="SS ( Siva Sai ) Gents PG"/>
    <x v="2"/>
    <x v="0"/>
    <x v="0"/>
    <x v="0"/>
    <x v="0"/>
  </r>
  <r>
    <n v="2529522"/>
    <s v="Swaroop Kumar Naidu Marrapu"/>
    <d v="2026-08-11T00:00:00"/>
    <x v="0"/>
    <s v="FTE"/>
    <s v="Chennai"/>
    <s v="CIS26MCPT025"/>
    <s v="Vignesh S"/>
    <d v="2026-12-03T00:00:00"/>
    <x v="1"/>
    <s v="In-Training"/>
    <x v="0"/>
    <x v="0"/>
    <s v="Siddus Premium Mens PG, Egattur"/>
    <x v="2"/>
    <x v="0"/>
    <x v="0"/>
    <x v="0"/>
    <x v="0"/>
  </r>
  <r>
    <n v="2529523"/>
    <s v="Tanmay Kumar Singatkar"/>
    <d v="2026-08-11T00:00:00"/>
    <x v="0"/>
    <s v="FTE"/>
    <s v="Chennai"/>
    <s v="CIS26MCPT025"/>
    <s v="Vignesh S"/>
    <d v="2026-12-03T00:00:00"/>
    <x v="1"/>
    <s v="In-Training"/>
    <x v="0"/>
    <x v="0"/>
    <s v="Soma Mens Stay(Hostel PG)"/>
    <x v="2"/>
    <x v="0"/>
    <x v="3"/>
    <x v="0"/>
    <x v="0"/>
  </r>
  <r>
    <n v="2529526"/>
    <s v="Giriaswin R"/>
    <d v="2026-08-11T00:00:00"/>
    <x v="0"/>
    <s v="FTE"/>
    <s v="Chennai"/>
    <s v="CIS26MCPT024"/>
    <s v="Ashiya Begam S"/>
    <d v="2026-12-03T00:00:00"/>
    <x v="1"/>
    <s v="In-Training"/>
    <x v="0"/>
    <x v="0"/>
    <s v="Shivam Living, Egattur"/>
    <x v="2"/>
    <x v="0"/>
    <x v="0"/>
    <x v="0"/>
    <x v="0"/>
  </r>
  <r>
    <n v="2529527"/>
    <s v="Rohan Bapusaheb Pabale"/>
    <d v="2026-08-11T00:00:00"/>
    <x v="0"/>
    <s v="FTE"/>
    <s v="Chennai"/>
    <s v="CIS26MCPT025"/>
    <s v="Vignesh S"/>
    <d v="2026-12-03T00:00:00"/>
    <x v="1"/>
    <s v="In-Training"/>
    <x v="0"/>
    <x v="0"/>
    <s v="Vishvas pg &amp; general appartments, SIPCOT IT Park."/>
    <x v="2"/>
    <x v="0"/>
    <x v="0"/>
    <x v="0"/>
    <x v="0"/>
  </r>
  <r>
    <n v="2529531"/>
    <s v="Debolina Chatterjee"/>
    <d v="2026-08-11T00:00:00"/>
    <x v="1"/>
    <s v="FTE"/>
    <s v="Chennai"/>
    <s v="CIS26MCPT022"/>
    <s v="Laksiya Vijayendran"/>
    <d v="2026-12-03T00:00:00"/>
    <x v="1"/>
    <s v="In-Training"/>
    <x v="0"/>
    <x v="0"/>
    <s v="Krishna Nivas Ladies PG"/>
    <x v="2"/>
    <x v="0"/>
    <x v="0"/>
    <x v="0"/>
    <x v="0"/>
  </r>
  <r>
    <n v="2529543"/>
    <s v="Pranav Pravin Bargir"/>
    <d v="2026-08-11T00:00:00"/>
    <x v="0"/>
    <s v="FTE"/>
    <s v="Chennai"/>
    <s v="CIS26MCPT023"/>
    <s v="Kishorekumar P"/>
    <d v="2026-12-03T00:00:00"/>
    <x v="1"/>
    <s v="In-Training"/>
    <x v="0"/>
    <x v="0"/>
    <s v="Soma Mens Stay (PG Hostel), Egattur"/>
    <x v="2"/>
    <x v="0"/>
    <x v="0"/>
    <x v="0"/>
    <x v="0"/>
  </r>
  <r>
    <n v="2529551"/>
    <s v="Jyothi Swaroop J"/>
    <d v="2026-08-11T00:00:00"/>
    <x v="0"/>
    <s v="FTE"/>
    <s v="Chennai"/>
    <s v="CIS26MCPT025"/>
    <s v="Vignesh S"/>
    <d v="2026-12-03T00:00:00"/>
    <x v="1"/>
    <s v="In-Training"/>
    <x v="0"/>
    <x v="0"/>
    <s v="SPT GENTS PG "/>
    <x v="2"/>
    <x v="0"/>
    <x v="0"/>
    <x v="0"/>
    <x v="0"/>
  </r>
  <r>
    <n v="2529555"/>
    <s v="Navyashree K S"/>
    <d v="2026-08-11T00:00:00"/>
    <x v="1"/>
    <s v="FTE"/>
    <s v="Chennai"/>
    <s v="CIS26MCPT023"/>
    <s v="Kishorekumar P"/>
    <d v="2026-12-03T00:00:00"/>
    <x v="1"/>
    <s v="In-Training"/>
    <x v="0"/>
    <x v="0"/>
    <s v="Sri Sai unique stay for ladies,egattur"/>
    <x v="2"/>
    <x v="0"/>
    <x v="0"/>
    <x v="0"/>
    <x v="0"/>
  </r>
  <r>
    <n v="2529601"/>
    <s v="Abhishek Nivaratti Shinde"/>
    <d v="2026-08-11T00:00:00"/>
    <x v="0"/>
    <s v="FTE"/>
    <s v="Chennai"/>
    <s v="CIS26MCPT024"/>
    <s v="Ashiya Begam S"/>
    <d v="2026-12-03T00:00:00"/>
    <x v="1"/>
    <s v="In-Training"/>
    <x v="0"/>
    <x v="0"/>
    <s v="SREE VENKTESHWARA LUXURY PG FOR GENTS ONLY"/>
    <x v="2"/>
    <x v="0"/>
    <x v="2"/>
    <x v="0"/>
    <x v="0"/>
  </r>
  <r>
    <n v="2529635"/>
    <s v="Prajwal M Pattar"/>
    <d v="2026-08-11T00:00:00"/>
    <x v="0"/>
    <s v="FTE"/>
    <s v="Chennai"/>
    <s v="CIS26MCPT023"/>
    <s v="Kishorekumar P"/>
    <d v="2026-12-03T00:00:00"/>
    <x v="1"/>
    <s v="In-Training"/>
    <x v="0"/>
    <x v="0"/>
    <s v="KMR DELUXE PG FOR GENTS Navalur"/>
    <x v="2"/>
    <x v="0"/>
    <x v="2"/>
    <x v="0"/>
    <x v="0"/>
  </r>
  <r>
    <n v="2529637"/>
    <s v="Priya LNU"/>
    <d v="2026-08-11T00:00:00"/>
    <x v="1"/>
    <s v="FTE"/>
    <s v="Chennai"/>
    <s v="CIS26MCPT022"/>
    <s v="Laksiya Vijayendran"/>
    <d v="2026-12-03T00:00:00"/>
    <x v="1"/>
    <s v="In-Training"/>
    <x v="0"/>
    <x v="0"/>
    <s v="Sri Srinivasa Ladies PG"/>
    <x v="2"/>
    <x v="0"/>
    <x v="0"/>
    <x v="0"/>
    <x v="0"/>
  </r>
  <r>
    <n v="2529638"/>
    <s v="Tejas Santosh Wanare"/>
    <d v="2026-08-11T00:00:00"/>
    <x v="0"/>
    <s v="FTE"/>
    <s v="Chennai"/>
    <s v="CIS26MCPT026"/>
    <s v="Mohamed Harish"/>
    <d v="2026-12-08T00:00:00"/>
    <x v="1"/>
    <s v="In-Training"/>
    <x v="0"/>
    <x v="0"/>
    <s v="Soma Mens Stay - Sipcot, Siruseri"/>
    <x v="2"/>
    <x v="0"/>
    <x v="3"/>
    <x v="0"/>
    <x v="0"/>
  </r>
  <r>
    <n v="2529676"/>
    <s v="Sai Vinay Sanka"/>
    <d v="2026-08-11T00:00:00"/>
    <x v="0"/>
    <s v="FTE"/>
    <s v="Chennai"/>
    <s v="CIS26AZ001"/>
    <s v="Ashiya Begam S"/>
    <d v="2026-11-09T00:00:00"/>
    <x v="0"/>
    <s v="In-Training"/>
    <x v="0"/>
    <x v="0"/>
    <s v="Brindhavanam HOMELY HEAVEN PG FOR MEN"/>
    <x v="2"/>
    <x v="0"/>
    <x v="2"/>
    <x v="0"/>
    <x v="0"/>
  </r>
  <r>
    <n v="2529700"/>
    <s v="Tummala Lakshmi Narasamma"/>
    <d v="2026-08-11T00:00:00"/>
    <x v="1"/>
    <s v="FTE"/>
    <s v="Chennai"/>
    <s v="CIS26AZ001"/>
    <s v="Ashiya Begam S"/>
    <d v="2026-11-09T00:00:00"/>
    <x v="0"/>
    <s v="In-Training"/>
    <x v="0"/>
    <x v="0"/>
    <s v="SRS Ladies PG-Branch 1 Egattur"/>
    <x v="2"/>
    <x v="0"/>
    <x v="3"/>
    <x v="0"/>
    <x v="0"/>
  </r>
  <r>
    <n v="2529746"/>
    <s v="Suresh Karri"/>
    <d v="2026-08-11T00:00:00"/>
    <x v="0"/>
    <s v="FTE"/>
    <s v="Chennai"/>
    <s v="CIS26AZ001"/>
    <s v="Ashiya Begam S"/>
    <d v="2026-11-09T00:00:00"/>
    <x v="0"/>
    <s v="In-Training"/>
    <x v="0"/>
    <x v="0"/>
    <s v="Geethikas gents PG"/>
    <x v="2"/>
    <x v="0"/>
    <x v="0"/>
    <x v="0"/>
    <x v="0"/>
  </r>
  <r>
    <n v="2529777"/>
    <s v="Rohit Kishor Dhandar"/>
    <d v="2026-08-11T00:00:00"/>
    <x v="0"/>
    <s v="FTE"/>
    <s v="Chennai"/>
    <s v="CIS26MCPT026"/>
    <s v="Mohamed Harish"/>
    <d v="2026-12-08T00:00:00"/>
    <x v="1"/>
    <s v="In-Training"/>
    <x v="0"/>
    <x v="0"/>
    <s v="Chandra Gents Pg"/>
    <x v="2"/>
    <x v="0"/>
    <x v="0"/>
    <x v="0"/>
    <x v="0"/>
  </r>
  <r>
    <n v="2529783"/>
    <s v="Pathan Naveed Khan"/>
    <d v="2026-08-11T00:00:00"/>
    <x v="0"/>
    <s v="FTE"/>
    <s v="Chennai"/>
    <s v="CIS26MCPT026"/>
    <s v="Mohamed Harish"/>
    <d v="2026-12-08T00:00:00"/>
    <x v="1"/>
    <s v="In-Training"/>
    <x v="0"/>
    <x v="0"/>
    <s v="Chandra Gents Pg"/>
    <x v="2"/>
    <x v="0"/>
    <x v="0"/>
    <x v="0"/>
    <x v="0"/>
  </r>
  <r>
    <n v="2529789"/>
    <s v="Sneha Bose"/>
    <d v="2026-08-11T00:00:00"/>
    <x v="1"/>
    <s v="FTE"/>
    <s v="Chennai"/>
    <s v="CIS26MCPT022"/>
    <s v="Laksiya Vijayendran"/>
    <d v="2026-12-03T00:00:00"/>
    <x v="1"/>
    <s v="In-Training"/>
    <x v="0"/>
    <x v="0"/>
    <s v="SRS Ladies Hostel"/>
    <x v="2"/>
    <x v="0"/>
    <x v="0"/>
    <x v="0"/>
    <x v="0"/>
  </r>
  <r>
    <n v="2530135"/>
    <s v="Aditya Dhiraj Powar"/>
    <d v="2026-08-13T00:00:00"/>
    <x v="0"/>
    <s v="FTE"/>
    <s v="Chennai"/>
    <s v="EPS26SAP034"/>
    <s v="Gayathri Ramachandran"/>
    <d v="2026-11-05T00:00:00"/>
    <x v="0"/>
    <s v="In-Training"/>
    <x v="0"/>
    <x v="0"/>
    <s v="Sai Venkata Hanuman Gents PG, Egattur"/>
    <x v="2"/>
    <x v="0"/>
    <x v="0"/>
    <x v="0"/>
    <x v="0"/>
  </r>
  <r>
    <n v="2530181"/>
    <s v="Paul John Thaliyath"/>
    <d v="2026-08-13T00:00:00"/>
    <x v="0"/>
    <s v="FTE"/>
    <s v="Chennai"/>
    <s v="EPS26OSPPRO001"/>
    <s v="Gayathri Ramachandran"/>
    <d v="2026-12-07T00:00:00"/>
    <x v="1"/>
    <s v="In-Training"/>
    <x v="0"/>
    <x v="0"/>
    <s v="Truliv Sofia"/>
    <x v="2"/>
    <x v="1"/>
    <x v="3"/>
    <x v="0"/>
    <x v="0"/>
  </r>
  <r>
    <n v="2531409"/>
    <s v="Mahavidhya Mohankumar"/>
    <d v="2026-08-18T00:00:00"/>
    <x v="1"/>
    <s v="FTE"/>
    <s v="Chennai"/>
    <s v="EPS26SAP037"/>
    <s v="Gayathri Ramachandran"/>
    <d v="2026-11-04T00:00:00"/>
    <x v="0"/>
    <s v="In-Training"/>
    <x v="0"/>
    <x v="0"/>
    <s v="SRS luxury PG for ladies"/>
    <x v="2"/>
    <x v="0"/>
    <x v="0"/>
    <x v="0"/>
    <x v="0"/>
  </r>
  <r>
    <n v="2531446"/>
    <s v="Turlapati Sri Rithvik"/>
    <d v="2026-08-18T00:00:00"/>
    <x v="0"/>
    <s v="FTE"/>
    <s v="Chennai"/>
    <s v="CIS26AT007"/>
    <s v="Uma Venkatachalam"/>
    <d v="2026-12-09T00:00:00"/>
    <x v="1"/>
    <s v="In-Training"/>
    <x v="0"/>
    <x v="0"/>
    <s v="Geethika grand gents PG"/>
    <x v="2"/>
    <x v="0"/>
    <x v="0"/>
    <x v="0"/>
    <x v="0"/>
  </r>
  <r>
    <n v="2531796"/>
    <s v="Palanaguppam Ramana Sai Reddy"/>
    <d v="2026-08-20T00:00:00"/>
    <x v="0"/>
    <s v="Intern"/>
    <s v="Chennai"/>
    <s v="INTFE26FE001"/>
    <s v="Grace Esther S"/>
    <d v="2026-10-15T00:00:00"/>
    <x v="3"/>
    <s v="In-Training"/>
    <x v="0"/>
    <x v="0"/>
    <s v="Siddus Mens PG, SIPCOT, Siruseri."/>
    <x v="2"/>
    <x v="0"/>
    <x v="3"/>
    <x v="0"/>
    <x v="0"/>
  </r>
  <r>
    <n v="2531805"/>
    <s v="Neekunj Chaturvedi"/>
    <d v="2026-08-20T00:00:00"/>
    <x v="0"/>
    <s v="Intern"/>
    <s v="Chennai"/>
    <s v="INTFE26FE001"/>
    <s v="Grace Esther S"/>
    <d v="2026-10-15T00:00:00"/>
    <x v="3"/>
    <s v="In-Training"/>
    <x v="0"/>
    <x v="0"/>
    <s v="Siddu premium mens PG"/>
    <x v="2"/>
    <x v="0"/>
    <x v="3"/>
    <x v="0"/>
    <x v="0"/>
  </r>
  <r>
    <n v="2531807"/>
    <s v="Tanishq Yadav"/>
    <d v="2026-08-20T00:00:00"/>
    <x v="0"/>
    <s v="Intern"/>
    <s v="Chennai"/>
    <s v="INTFE26FE001"/>
    <s v="Grace Esther S"/>
    <d v="2026-10-15T00:00:00"/>
    <x v="3"/>
    <s v="In-Training"/>
    <x v="0"/>
    <x v="0"/>
    <s v="Siva Sai PG , Sipcot , Siruseri , Chennai "/>
    <x v="2"/>
    <x v="0"/>
    <x v="3"/>
    <x v="0"/>
    <x v="0"/>
  </r>
  <r>
    <n v="2531813"/>
    <s v="Shreyas Bedi"/>
    <d v="2026-08-20T00:00:00"/>
    <x v="0"/>
    <s v="Intern"/>
    <s v="Chennai"/>
    <s v="INTFE26FE001"/>
    <s v="Grace Esther S"/>
    <d v="2026-10-15T00:00:00"/>
    <x v="3"/>
    <s v="In-Training"/>
    <x v="0"/>
    <x v="0"/>
    <s v="BLR Gents Luxury PG, Tera Hub"/>
    <x v="2"/>
    <x v="0"/>
    <x v="3"/>
    <x v="0"/>
    <x v="0"/>
  </r>
  <r>
    <n v="2531819"/>
    <s v="Sarvesh Sanjay Patil"/>
    <d v="2026-08-20T00:00:00"/>
    <x v="0"/>
    <s v="FTE"/>
    <s v="Chennai"/>
    <s v="CS26CS011"/>
    <s v="Kishorekumar P"/>
    <d v="2026-11-17T00:00:00"/>
    <x v="0"/>
    <s v="In-Training"/>
    <x v="1"/>
    <x v="2"/>
    <s v="Yube 1 greenhouse Ramanyam waterfront No. 37, Mettu Street, Kalipattur, Siruseri, Chennai, Tamil Nadu – 603103"/>
    <x v="2"/>
    <x v="0"/>
    <x v="3"/>
    <x v="0"/>
    <x v="1"/>
  </r>
  <r>
    <n v="2531824"/>
    <s v="Sahil Chandrakant Chirme"/>
    <d v="2026-08-20T00:00:00"/>
    <x v="0"/>
    <s v="FTE"/>
    <s v="Chennai"/>
    <s v="CS26CS012"/>
    <s v="Laksiya Vijayendran"/>
    <d v="2026-11-17T00:00:00"/>
    <x v="0"/>
    <s v="In-Training"/>
    <x v="0"/>
    <x v="0"/>
    <s v="Yube1 Greenhouse , 37, Mettu Street, Kalipattur, Siruseri, Tamil Nadu 603103"/>
    <x v="2"/>
    <x v="0"/>
    <x v="3"/>
    <x v="0"/>
    <x v="0"/>
  </r>
  <r>
    <n v="2531851"/>
    <s v="Achintya Manoj Warrier"/>
    <d v="2026-08-20T00:00:00"/>
    <x v="0"/>
    <s v="FTE"/>
    <s v="Chennai"/>
    <s v="CS26CS011"/>
    <s v="Kishorekumar P"/>
    <d v="2026-11-17T00:00:00"/>
    <x v="0"/>
    <s v="In-Training"/>
    <x v="1"/>
    <x v="2"/>
    <s v="Yube1 Greenhouse"/>
    <x v="2"/>
    <x v="1"/>
    <x v="3"/>
    <x v="0"/>
    <x v="1"/>
  </r>
  <r>
    <n v="2531858"/>
    <s v="Naveen Kumar Marada"/>
    <d v="2026-08-20T00:00:00"/>
    <x v="0"/>
    <s v="FTE"/>
    <s v="Chennai"/>
    <s v="CS26CS012"/>
    <s v="Laksiya Vijayendran"/>
    <d v="2026-11-17T00:00:00"/>
    <x v="0"/>
    <s v="In-Training"/>
    <x v="0"/>
    <x v="0"/>
    <s v="CNR Gents pg branch-1, Egattur, siruseri sipcot"/>
    <x v="2"/>
    <x v="0"/>
    <x v="3"/>
    <x v="0"/>
    <x v="0"/>
  </r>
  <r>
    <n v="2531955"/>
    <s v="Hemnaveetha C E"/>
    <d v="2026-08-20T00:00:00"/>
    <x v="1"/>
    <s v="FTE"/>
    <s v="Chennai"/>
    <s v="CS26CS011"/>
    <s v="Kishorekumar P"/>
    <d v="2026-11-17T00:00:00"/>
    <x v="0"/>
    <s v="In-Training"/>
    <x v="0"/>
    <x v="0"/>
    <s v="Sai Grand Womens PG - Ambedkar Street, Egattur"/>
    <x v="2"/>
    <x v="0"/>
    <x v="3"/>
    <x v="0"/>
    <x v="0"/>
  </r>
  <r>
    <n v="2531970"/>
    <s v="MD Tabrez Shamim"/>
    <d v="2026-08-20T00:00:00"/>
    <x v="0"/>
    <s v="FTE"/>
    <s v="Chennai"/>
    <s v="CS26CS011"/>
    <s v="Kishorekumar P"/>
    <d v="2026-11-17T00:00:00"/>
    <x v="0"/>
    <s v="In-Training"/>
    <x v="0"/>
    <x v="0"/>
    <s v="SVD Gents PG, Sipcot, Siruseri"/>
    <x v="2"/>
    <x v="0"/>
    <x v="3"/>
    <x v="0"/>
    <x v="0"/>
  </r>
  <r>
    <n v="2531988"/>
    <s v="Ramya V"/>
    <d v="2026-08-20T00:00:00"/>
    <x v="1"/>
    <s v="FTE"/>
    <s v="Chennai"/>
    <s v="EPS26OSP011"/>
    <s v="Gayathri Ramachandran"/>
    <s v=""/>
    <x v="1"/>
    <s v="Training - ON Hold"/>
    <x v="0"/>
    <x v="0"/>
    <s v="Smiles inn PG BRANCH 3 EGATTUR"/>
    <x v="2"/>
    <x v="1"/>
    <x v="3"/>
    <x v="0"/>
    <x v="0"/>
  </r>
  <r>
    <n v="2531996"/>
    <s v="Mrityunjay Aditya"/>
    <d v="2026-08-20T00:00:00"/>
    <x v="0"/>
    <s v="FTE"/>
    <s v="Chennai"/>
    <s v="CS26CS011"/>
    <s v="Kishorekumar P"/>
    <d v="2026-11-17T00:00:00"/>
    <x v="0"/>
    <s v="In-Training"/>
    <x v="0"/>
    <x v="0"/>
    <s v="SVD Mens PG"/>
    <x v="2"/>
    <x v="0"/>
    <x v="3"/>
    <x v="0"/>
    <x v="0"/>
  </r>
  <r>
    <n v="2531999"/>
    <s v="Ammannagari Manoja"/>
    <d v="2026-08-20T00:00:00"/>
    <x v="1"/>
    <s v="FTE"/>
    <s v="Chennai"/>
    <s v="CS26CS012"/>
    <s v="Laksiya Vijayendran"/>
    <d v="2026-11-17T00:00:00"/>
    <x v="0"/>
    <s v="In-Training"/>
    <x v="0"/>
    <x v="0"/>
    <s v="SRS Luxury Ladies PG branch II -Egattur"/>
    <x v="2"/>
    <x v="1"/>
    <x v="3"/>
    <x v="0"/>
    <x v="0"/>
  </r>
  <r>
    <n v="2532898"/>
    <s v="Sampath Ruttala"/>
    <d v="2026-08-25T00:00:00"/>
    <x v="1"/>
    <s v="FTE"/>
    <s v="Chennai"/>
    <s v="CIS26MBG007"/>
    <s v="Lawrance M"/>
    <d v="2026-12-11T00:00:00"/>
    <x v="1"/>
    <s v="In-Training"/>
    <x v="0"/>
    <x v="0"/>
    <s v="Silver Star Ladies PG, Egattur"/>
    <x v="2"/>
    <x v="0"/>
    <x v="3"/>
    <x v="0"/>
    <x v="0"/>
  </r>
  <r>
    <n v="2532905"/>
    <s v="Muskaan Fatima"/>
    <d v="2026-08-25T00:00:00"/>
    <x v="1"/>
    <s v="FTE"/>
    <s v="Chennai"/>
    <s v="CIS26MBG006"/>
    <s v="Angel Maria Faustina Gomez"/>
    <d v="2026-12-11T00:00:00"/>
    <x v="1"/>
    <s v="In-Training"/>
    <x v="0"/>
    <x v="4"/>
    <s v="SAI GRAND WOMENS HOSTEL, EGATTUR"/>
    <x v="2"/>
    <x v="0"/>
    <x v="0"/>
    <x v="0"/>
    <x v="0"/>
  </r>
  <r>
    <n v="2532909"/>
    <s v="Rahul Dasi"/>
    <d v="2026-08-25T00:00:00"/>
    <x v="0"/>
    <s v="FTE"/>
    <s v="Chennai"/>
    <s v="IOT26CSJ002"/>
    <s v="Pavithra Kandasamy"/>
    <d v="2026-11-11T00:00:00"/>
    <x v="0"/>
    <s v="In-Training"/>
    <x v="0"/>
    <x v="0"/>
    <s v="Geethika Grand Gents PG"/>
    <x v="2"/>
    <x v="0"/>
    <x v="3"/>
    <x v="0"/>
    <x v="0"/>
  </r>
  <r>
    <n v="2532914"/>
    <s v="Jeenathul Aafrin Syed Ibramsha"/>
    <d v="2026-08-25T00:00:00"/>
    <x v="1"/>
    <s v="FTE"/>
    <s v="Chennai"/>
    <s v="CIS26MBG003"/>
    <s v="Kishorekumar P"/>
    <d v="2026-12-11T00:00:00"/>
    <x v="1"/>
    <s v="In-Training"/>
    <x v="0"/>
    <x v="0"/>
    <s v="SRS Womens PG hostel, Branch - 6"/>
    <x v="2"/>
    <x v="1"/>
    <x v="2"/>
    <x v="0"/>
    <x v="0"/>
  </r>
  <r>
    <n v="2532934"/>
    <s v="Girappagari Hemanandan Reddy"/>
    <d v="2026-08-25T00:00:00"/>
    <x v="0"/>
    <s v="FTE"/>
    <s v="Chennai"/>
    <s v="CIS26MBG006"/>
    <s v="Angel Maria Faustina Gomez"/>
    <d v="2026-12-11T00:00:00"/>
    <x v="1"/>
    <s v="In-Training"/>
    <x v="0"/>
    <x v="0"/>
    <s v="Siddus Premium Mens PG Siruseri SIPCOT IT"/>
    <x v="2"/>
    <x v="0"/>
    <x v="3"/>
    <x v="0"/>
    <x v="0"/>
  </r>
  <r>
    <n v="2532940"/>
    <s v="Gayathri M"/>
    <d v="2026-08-25T00:00:00"/>
    <x v="1"/>
    <s v="FTE"/>
    <s v="Chennai"/>
    <s v="CIS26MBG003"/>
    <s v="Kishorekumar P"/>
    <d v="2026-12-11T00:00:00"/>
    <x v="1"/>
    <s v="In-Training"/>
    <x v="0"/>
    <x v="0"/>
    <s v="SRS Luxury PG for Ladies - Branch 6, Egattur"/>
    <x v="2"/>
    <x v="0"/>
    <x v="2"/>
    <x v="0"/>
    <x v="0"/>
  </r>
  <r>
    <n v="2532947"/>
    <s v="G Vamshi Kumar"/>
    <d v="2026-08-25T00:00:00"/>
    <x v="0"/>
    <s v="FTE"/>
    <s v="Chennai"/>
    <s v="CIS26MBG003"/>
    <s v="Kishorekumar P"/>
    <d v="2026-12-11T00:00:00"/>
    <x v="1"/>
    <s v="In-Training"/>
    <x v="0"/>
    <x v="0"/>
    <s v="Geethika Grand Gents PG"/>
    <x v="2"/>
    <x v="0"/>
    <x v="3"/>
    <x v="0"/>
    <x v="0"/>
  </r>
  <r>
    <n v="2532948"/>
    <s v="Sekharapalli Vishnu Vardhan"/>
    <d v="2026-08-25T00:00:00"/>
    <x v="0"/>
    <s v="FTE"/>
    <s v="Chennai"/>
    <s v="CIS26MBG005"/>
    <s v="Angel Maria Faustina Gomez"/>
    <d v="2026-12-11T00:00:00"/>
    <x v="1"/>
    <s v="In-Training"/>
    <x v="0"/>
    <x v="0"/>
    <s v="Siddus premium mens pg, B block"/>
    <x v="2"/>
    <x v="0"/>
    <x v="3"/>
    <x v="0"/>
    <x v="0"/>
  </r>
  <r>
    <n v="2532951"/>
    <s v="Anudeep Avula"/>
    <d v="2026-08-25T00:00:00"/>
    <x v="0"/>
    <s v="FTE"/>
    <s v="Chennai"/>
    <s v="CIS26MBG003"/>
    <s v="Kishorekumar P"/>
    <d v="2026-12-11T00:00:00"/>
    <x v="1"/>
    <s v="In-Training"/>
    <x v="0"/>
    <x v="0"/>
    <s v="GVK delux mens pg "/>
    <x v="2"/>
    <x v="0"/>
    <x v="2"/>
    <x v="0"/>
    <x v="0"/>
  </r>
  <r>
    <n v="2532955"/>
    <s v="Mamidipally Keerthi Reddy"/>
    <d v="2026-08-25T00:00:00"/>
    <x v="1"/>
    <s v="FTE"/>
    <s v="Chennai"/>
    <s v="CIS26AT007"/>
    <s v="Uma Venkatachalam"/>
    <d v="2026-12-09T00:00:00"/>
    <x v="1"/>
    <s v="In-Training"/>
    <x v="0"/>
    <x v="0"/>
    <s v="Sai grand ladies pg -branch 3 ambedkar street,Egattur"/>
    <x v="2"/>
    <x v="0"/>
    <x v="0"/>
    <x v="0"/>
    <x v="0"/>
  </r>
  <r>
    <n v="2532958"/>
    <s v="Jaldu Kavya Sree Lakshmi"/>
    <d v="2026-08-25T00:00:00"/>
    <x v="1"/>
    <s v="FTE"/>
    <s v="Chennai"/>
    <s v="CIS26MBG007"/>
    <s v="Lawrance M"/>
    <d v="2026-12-11T00:00:00"/>
    <x v="1"/>
    <s v="In-Training"/>
    <x v="0"/>
    <x v="0"/>
    <s v="MSR LUXURY PG FOR LADIES, BRANCH-3, AMMAN KOVLI STREET ,EGATTUR"/>
    <x v="2"/>
    <x v="0"/>
    <x v="3"/>
    <x v="0"/>
    <x v="0"/>
  </r>
  <r>
    <n v="2532964"/>
    <s v="Lekkala Samyuktha"/>
    <d v="2026-08-25T00:00:00"/>
    <x v="1"/>
    <s v="FTE"/>
    <s v="Chennai"/>
    <s v="CIS26AT007"/>
    <s v="Uma Venkatachalam"/>
    <d v="2026-12-09T00:00:00"/>
    <x v="1"/>
    <s v="In-Training"/>
    <x v="0"/>
    <x v="0"/>
    <s v="Queens Luxury PG"/>
    <x v="2"/>
    <x v="0"/>
    <x v="0"/>
    <x v="0"/>
    <x v="0"/>
  </r>
  <r>
    <n v="2532967"/>
    <s v="Yarragudi Vijaya Kumari"/>
    <d v="2026-08-25T00:00:00"/>
    <x v="1"/>
    <s v="FTE"/>
    <s v="Chennai"/>
    <s v="CIS26MBG006"/>
    <s v="Angel Maria Faustina Gomez"/>
    <d v="2026-12-11T00:00:00"/>
    <x v="1"/>
    <s v="In-Training"/>
    <x v="0"/>
    <x v="0"/>
    <s v="Sri Lakshmi Srinivasa Ladies Pg"/>
    <x v="2"/>
    <x v="0"/>
    <x v="0"/>
    <x v="0"/>
    <x v="0"/>
  </r>
  <r>
    <n v="2532971"/>
    <s v="Ponduri Sai Praneetha"/>
    <d v="2026-08-25T00:00:00"/>
    <x v="1"/>
    <s v="FTE"/>
    <s v="Chennai"/>
    <s v="CIS26MBG004"/>
    <s v="Kishorekumar P"/>
    <d v="2026-12-11T00:00:00"/>
    <x v="1"/>
    <s v="In-Training"/>
    <x v="0"/>
    <x v="0"/>
    <s v="Vaishnavi PG For Ladies- Branch 2, Egattur"/>
    <x v="2"/>
    <x v="0"/>
    <x v="0"/>
    <x v="0"/>
    <x v="0"/>
  </r>
  <r>
    <n v="2532973"/>
    <s v="Borra Charan Vamsi"/>
    <d v="2026-08-25T00:00:00"/>
    <x v="0"/>
    <s v="FTE"/>
    <s v="Chennai"/>
    <s v="CIS26AT008"/>
    <s v="Uma Venkatachalam"/>
    <d v="2026-12-09T00:00:00"/>
    <x v="1"/>
    <s v="In-Training"/>
    <x v="0"/>
    <x v="0"/>
    <s v="siddhus perimum pg,sipcot"/>
    <x v="2"/>
    <x v="0"/>
    <x v="3"/>
    <x v="0"/>
    <x v="0"/>
  </r>
  <r>
    <n v="2532984"/>
    <s v="Keerthi Mekala"/>
    <d v="2026-08-25T00:00:00"/>
    <x v="1"/>
    <s v="FTE"/>
    <s v="Chennai"/>
    <s v="CIS26MBG004"/>
    <s v="Kishorekumar P"/>
    <d v="2026-12-11T00:00:00"/>
    <x v="1"/>
    <s v="In-Training"/>
    <x v="0"/>
    <x v="0"/>
    <s v="SRS Branch I,Gangai Ammai Kovili Street , Egattur ."/>
    <x v="2"/>
    <x v="0"/>
    <x v="0"/>
    <x v="0"/>
    <x v="0"/>
  </r>
  <r>
    <n v="2532987"/>
    <s v="Gogineni Charan Sai"/>
    <d v="2026-08-25T00:00:00"/>
    <x v="0"/>
    <s v="FTE"/>
    <s v="Chennai"/>
    <s v="CIS26MBG004"/>
    <s v="Kishorekumar P"/>
    <d v="2026-12-11T00:00:00"/>
    <x v="1"/>
    <s v="In-Training"/>
    <x v="0"/>
    <x v="0"/>
    <s v="siva sai gents pg -eggattur"/>
    <x v="2"/>
    <x v="0"/>
    <x v="0"/>
    <x v="0"/>
    <x v="0"/>
  </r>
  <r>
    <n v="2532996"/>
    <s v="Balaji Boda"/>
    <d v="2026-08-25T00:00:00"/>
    <x v="0"/>
    <s v="FTE"/>
    <s v="Chennai"/>
    <s v="CIS26SN002"/>
    <s v="Ashiya Begam S"/>
    <d v="2026-12-02T00:00:00"/>
    <x v="1"/>
    <s v="In-Training"/>
    <x v="0"/>
    <x v="0"/>
    <s v="BLR Mens PG"/>
    <x v="2"/>
    <x v="0"/>
    <x v="3"/>
    <x v="0"/>
    <x v="0"/>
  </r>
  <r>
    <n v="2533001"/>
    <s v="Vivek Allu"/>
    <d v="2026-08-25T00:00:00"/>
    <x v="0"/>
    <s v="FTE"/>
    <s v="Chennai"/>
    <s v="IOT26CSJ002"/>
    <s v="Pavithra Kandasamy"/>
    <d v="2026-11-11T00:00:00"/>
    <x v="0"/>
    <s v="In-Training"/>
    <x v="0"/>
    <x v="0"/>
    <s v="GVR mens pg"/>
    <x v="2"/>
    <x v="0"/>
    <x v="2"/>
    <x v="0"/>
    <x v="0"/>
  </r>
  <r>
    <n v="2533111"/>
    <s v="Shreya Naresh Panat"/>
    <d v="2026-08-25T00:00:00"/>
    <x v="1"/>
    <s v="FTE"/>
    <s v="Chennai"/>
    <s v="CIS26MBG007"/>
    <s v="Lawrance M"/>
    <d v="2026-12-11T00:00:00"/>
    <x v="1"/>
    <s v="In-Training"/>
    <x v="0"/>
    <x v="0"/>
    <s v="SRS Luxury PG For Ladies, Egattur"/>
    <x v="2"/>
    <x v="0"/>
    <x v="3"/>
    <x v="0"/>
    <x v="0"/>
  </r>
  <r>
    <n v="2533156"/>
    <s v="Bhagya Lakshmi Makina"/>
    <d v="2026-08-25T00:00:00"/>
    <x v="1"/>
    <s v="FTE"/>
    <s v="Chennai"/>
    <s v="CIS26MBG007"/>
    <s v="Lawrance M"/>
    <d v="2026-12-11T00:00:00"/>
    <x v="1"/>
    <s v="In-Training"/>
    <x v="0"/>
    <x v="0"/>
    <s v="Krishna Nivas Ladies PG, Egattur"/>
    <x v="2"/>
    <x v="0"/>
    <x v="3"/>
    <x v="0"/>
    <x v="0"/>
  </r>
  <r>
    <n v="2533183"/>
    <s v="Balaji S"/>
    <d v="2026-08-25T00:00:00"/>
    <x v="0"/>
    <s v="FTE"/>
    <s v="Chennai"/>
    <s v="CIS26MBG003"/>
    <s v="Kishorekumar P"/>
    <d v="2026-12-11T00:00:00"/>
    <x v="1"/>
    <s v="In-Training"/>
    <x v="0"/>
    <x v="0"/>
    <s v="Ambika Nest PG, Siruseri"/>
    <x v="2"/>
    <x v="0"/>
    <x v="3"/>
    <x v="0"/>
    <x v="0"/>
  </r>
  <r>
    <n v="2533191"/>
    <s v="Padmaja Katuri"/>
    <d v="2026-08-25T00:00:00"/>
    <x v="1"/>
    <s v="FTE"/>
    <s v="Chennai"/>
    <s v="CIS26MBG006"/>
    <s v="Angel Maria Faustina Gomez"/>
    <d v="2026-12-11T00:00:00"/>
    <x v="1"/>
    <s v="In-Training"/>
    <x v="0"/>
    <x v="0"/>
    <s v="SRS ladies PG - Branch 6, Egattur"/>
    <x v="2"/>
    <x v="0"/>
    <x v="0"/>
    <x v="0"/>
    <x v="0"/>
  </r>
  <r>
    <n v="2533592"/>
    <s v="Berbin M S"/>
    <d v="2026-08-27T00:00:00"/>
    <x v="0"/>
    <s v="FTE"/>
    <s v="Chennai"/>
    <s v="EPS26SAP038"/>
    <s v="Ajith Ganesan"/>
    <d v="2026-10-27T00:00:00"/>
    <x v="3"/>
    <s v="In-Training"/>
    <x v="0"/>
    <x v="0"/>
    <s v="Truliv Sofia"/>
    <x v="2"/>
    <x v="1"/>
    <x v="3"/>
    <x v="0"/>
    <x v="0"/>
  </r>
  <r>
    <n v="2521217"/>
    <s v="Parag Rajiv Aher"/>
    <d v="2026-07-07T00:00:00"/>
    <x v="0"/>
    <s v="FTE"/>
    <s v="Chennai"/>
    <s v="CS26CS007"/>
    <s v="Lawrance M"/>
    <d v="2026-09-07T00:00:00"/>
    <x v="2"/>
    <s v="In-Training"/>
    <x v="0"/>
    <x v="0"/>
    <s v="Yube 1 Stays GreenHouse ,Kalipattur"/>
    <x v="2"/>
    <x v="0"/>
    <x v="3"/>
    <x v="0"/>
    <x v="0"/>
  </r>
  <r>
    <n v="2524522"/>
    <s v="Lakshay Gupta"/>
    <d v="2026-07-21T00:00:00"/>
    <x v="0"/>
    <s v="FTE"/>
    <s v="Chennai"/>
    <s v="QEA26QEPT024"/>
    <s v="Ajiesya D P"/>
    <d v="2026-11-04T00:00:00"/>
    <x v="0"/>
    <s v="In-Training"/>
    <x v="0"/>
    <x v="0"/>
    <s v="Siddu’s Premium Men’s PG SIRUSERI SIPCOT IT"/>
    <x v="2"/>
    <x v="0"/>
    <x v="0"/>
    <x v="0"/>
    <x v="0"/>
  </r>
  <r>
    <n v="2525031"/>
    <s v="Pravinkumar S"/>
    <d v="2026-07-23T00:00:00"/>
    <x v="0"/>
    <s v="FTE"/>
    <s v="Chennai"/>
    <s v="ADM26ISMO010"/>
    <s v="Thomas Naveen. J"/>
    <d v="2026-10-06T00:00:00"/>
    <x v="3"/>
    <s v="In-Training"/>
    <x v="0"/>
    <x v="0"/>
    <s v="SOMA PG STAYS , EGATUR"/>
    <x v="2"/>
    <x v="0"/>
    <x v="0"/>
    <x v="0"/>
    <x v="0"/>
  </r>
  <r>
    <n v="2531405"/>
    <s v="Olivia Crystal Palatla"/>
    <d v="2026-08-18T00:00:00"/>
    <x v="1"/>
    <s v="FTE"/>
    <s v="Chennai"/>
    <s v="EPS26SAP036"/>
    <s v="Vishnupriya Dakshnamurthy"/>
    <d v="2026-11-09T00:00:00"/>
    <x v="0"/>
    <s v="In-Training"/>
    <x v="0"/>
    <x v="0"/>
    <s v="Vaishnavi Elite PG-Egattur"/>
    <x v="2"/>
    <x v="0"/>
    <x v="0"/>
    <x v="0"/>
    <x v="0"/>
  </r>
  <r>
    <n v="2512357"/>
    <s v="Thella Sushma"/>
    <d v="2026-05-28T00:00:00"/>
    <x v="1"/>
    <s v="FTE"/>
    <s v="Chennai"/>
    <s v="CIS26MCPT011"/>
    <s v="Uma Venkatachalam"/>
    <d v="2026-09-17T00:00:00"/>
    <x v="2"/>
    <s v="In-Training"/>
    <x v="0"/>
    <x v="0"/>
    <s v="Krishna nivas ladies pg "/>
    <x v="2"/>
    <x v="0"/>
    <x v="0"/>
    <x v="0"/>
    <x v="0"/>
  </r>
  <r>
    <n v="2519698"/>
    <s v="Akash S Patil"/>
    <d v="2026-07-02T00:00:00"/>
    <x v="0"/>
    <s v="FTE"/>
    <s v="Chennai"/>
    <s v="CIS26UNIX003"/>
    <s v="Haritha P"/>
    <d v="2026-09-24T00:00:00"/>
    <x v="2"/>
    <s v="In-Training"/>
    <x v="0"/>
    <x v="0"/>
    <s v="Siva sai gents pg , sipcot"/>
    <x v="2"/>
    <x v="0"/>
    <x v="0"/>
    <x v="0"/>
    <x v="0"/>
  </r>
  <r>
    <n v="2524644"/>
    <s v="Samardeep Singh"/>
    <d v="2026-07-21T00:00:00"/>
    <x v="0"/>
    <s v="FTE"/>
    <s v="Chennai"/>
    <s v="QEA26QEPT024"/>
    <s v="Ajiesya D P"/>
    <d v="2026-10-30T00:00:00"/>
    <x v="3"/>
    <s v="In-Training"/>
    <x v="0"/>
    <x v="0"/>
    <s v="Siddu’s Premium Men’s PG SIRUSERI SIPCOT IT PARK"/>
    <x v="2"/>
    <x v="0"/>
    <x v="0"/>
    <x v="0"/>
    <x v="0"/>
  </r>
  <r>
    <n v="2529513"/>
    <s v="Anurag Pravinrao Deshmukh"/>
    <d v="2026-08-11T00:00:00"/>
    <x v="0"/>
    <s v="FTE"/>
    <s v="Chennai"/>
    <s v="CIS26MCPT021"/>
    <s v="Uma Venkatachalam"/>
    <d v="2026-12-08T00:00:00"/>
    <x v="1"/>
    <s v="In-Training"/>
    <x v="0"/>
    <x v="0"/>
    <s v="Mettu street "/>
    <x v="2"/>
    <x v="0"/>
    <x v="0"/>
    <x v="0"/>
    <x v="0"/>
  </r>
  <r>
    <n v="2529525"/>
    <s v="Rohit Richard Amedas"/>
    <d v="2026-08-11T00:00:00"/>
    <x v="0"/>
    <s v="FTE"/>
    <s v="Chennai"/>
    <s v="CIS26MCPT022"/>
    <s v="Laksiya Vijayendran"/>
    <d v="2026-12-03T00:00:00"/>
    <x v="1"/>
    <s v="In-Training"/>
    <x v="0"/>
    <x v="0"/>
    <s v="CNR branch 2"/>
    <x v="2"/>
    <x v="0"/>
    <x v="3"/>
    <x v="0"/>
    <x v="0"/>
  </r>
  <r>
    <n v="2529532"/>
    <s v="Kolluru Vikki"/>
    <d v="2026-08-11T00:00:00"/>
    <x v="0"/>
    <s v="FTE"/>
    <s v="Chennai"/>
    <s v="CIS26MCPT023"/>
    <s v="Kishorekumar P"/>
    <d v="2026-12-03T00:00:00"/>
    <x v="1"/>
    <s v="In-Training"/>
    <x v="0"/>
    <x v="0"/>
    <s v="SPT PG for Gents, Egattur"/>
    <x v="2"/>
    <x v="0"/>
    <x v="0"/>
    <x v="0"/>
    <x v="0"/>
  </r>
  <r>
    <n v="2529764"/>
    <s v="Vedika Pankaj Toke"/>
    <d v="2026-08-11T00:00:00"/>
    <x v="1"/>
    <s v="FTE"/>
    <s v="Chennai"/>
    <s v="CIS26MCPT021"/>
    <s v="Uma Venkatachalam"/>
    <d v="2026-12-08T00:00:00"/>
    <x v="1"/>
    <s v="In-Training"/>
    <x v="0"/>
    <x v="0"/>
    <s v="SRS ladies Pg"/>
    <x v="2"/>
    <x v="0"/>
    <x v="0"/>
    <x v="0"/>
    <x v="0"/>
  </r>
  <r>
    <n v="2533024"/>
    <s v="Appalabhaktula Kumar Naga Abhinav Shyam"/>
    <d v="2026-08-25T00:00:00"/>
    <x v="0"/>
    <s v="FTE"/>
    <s v="Chennai"/>
    <s v="CIS26AT008"/>
    <s v="Uma Venkatachalam"/>
    <d v="2026-12-09T00:00:00"/>
    <x v="1"/>
    <s v="In-Training"/>
    <x v="0"/>
    <x v="0"/>
    <s v="Geethika grand gents pg"/>
    <x v="2"/>
    <x v="0"/>
    <x v="3"/>
    <x v="0"/>
    <x v="0"/>
  </r>
  <r>
    <n v="2525083"/>
    <s v="Jnanendu Karak"/>
    <d v="2026-07-23T00:00:00"/>
    <x v="0"/>
    <s v="FTE"/>
    <s v="Chennai"/>
    <s v="EPS26WD005"/>
    <s v="Vishnupriya Dakshnamurthy"/>
    <d v="2026-11-06T00:00:00"/>
    <x v="0"/>
    <s v="In-Training"/>
    <x v="0"/>
    <x v="0"/>
    <s v="Kalyani Gents Pg Navalur"/>
    <x v="2"/>
    <x v="0"/>
    <x v="3"/>
    <x v="0"/>
    <x v="0"/>
  </r>
  <r>
    <n v="2516866"/>
    <s v="Veluri Uma Bharathi"/>
    <d v="2026-06-18T00:00:00"/>
    <x v="1"/>
    <s v="FTE"/>
    <s v="Chennai"/>
    <s v="CIS26MW001"/>
    <s v="Ashiya Begam S"/>
    <d v="2026-09-11T00:00:00"/>
    <x v="2"/>
    <s v="In-Training"/>
    <x v="0"/>
    <x v="0"/>
    <s v="Sri Lakshmi ladies luxury pg"/>
    <x v="2"/>
    <x v="0"/>
    <x v="0"/>
    <x v="0"/>
    <x v="0"/>
  </r>
  <r>
    <n v="2531808"/>
    <s v="Ajay Sharma Selvam"/>
    <d v="2026-08-20T00:00:00"/>
    <x v="0"/>
    <s v="Intern"/>
    <s v="Chennai"/>
    <s v="INTFE26FE001"/>
    <s v="Grace Esther S"/>
    <d v="2026-10-15T00:00:00"/>
    <x v="3"/>
    <s v="In-Training"/>
    <x v="0"/>
    <x v="0"/>
    <s v="Sri Venkata Sai hanuman gents PG branch 2"/>
    <x v="2"/>
    <x v="1"/>
    <x v="0"/>
    <x v="0"/>
    <x v="0"/>
  </r>
  <r>
    <n v="2529628"/>
    <s v="Santhosh Javalagere Talepalli"/>
    <d v="2026-08-11T00:00:00"/>
    <x v="0"/>
    <s v="FTE"/>
    <s v="Chennai"/>
    <s v="CIS26MCPT022"/>
    <s v="Laksiya Vijayendran"/>
    <d v="2026-12-03T00:00:00"/>
    <x v="1"/>
    <s v="In-Training"/>
    <x v="0"/>
    <x v="0"/>
    <s v="KMR gents pg near navalur chennai "/>
    <x v="2"/>
    <x v="0"/>
    <x v="2"/>
    <x v="0"/>
    <x v="0"/>
  </r>
  <r>
    <n v="2531812"/>
    <s v="Harsha Sri Karthikeya Thumuluri"/>
    <d v="2026-08-20T00:00:00"/>
    <x v="0"/>
    <s v="Intern"/>
    <s v="Chennai"/>
    <s v="INTFE26FE001"/>
    <s v="Grace Esther S"/>
    <d v="2026-10-15T00:00:00"/>
    <x v="3"/>
    <s v="In-Training"/>
    <x v="0"/>
    <x v="0"/>
    <s v="Siva sai gents pg"/>
    <x v="2"/>
    <x v="0"/>
    <x v="3"/>
    <x v="0"/>
    <x v="0"/>
  </r>
  <r>
    <n v="2521811"/>
    <s v="Yash Kumar Pathak"/>
    <d v="2026-07-09T00:00:00"/>
    <x v="0"/>
    <s v="FTE"/>
    <s v="Chennai"/>
    <s v="ADM26MF010"/>
    <s v="Thomas Naveen. J"/>
    <d v="2026-11-02T00:00:00"/>
    <x v="0"/>
    <s v="In-Training"/>
    <x v="0"/>
    <x v="0"/>
    <s v="Chakra Gents PG-Branch 1, Egattur"/>
    <x v="2"/>
    <x v="0"/>
    <x v="3"/>
    <x v="0"/>
    <x v="0"/>
  </r>
  <r>
    <n v="2532919"/>
    <s v="Macharla Goutham Manikantha"/>
    <d v="2026-08-25T00:00:00"/>
    <x v="0"/>
    <s v="FTE"/>
    <s v="Chennai"/>
    <s v="ADM27DFSA001"/>
    <s v="Thomas Naveen. J"/>
    <d v="2026-12-30T00:00:00"/>
    <x v="1"/>
    <s v="In-Training"/>
    <x v="0"/>
    <x v="0"/>
    <s v="siddu`s premium mens pg"/>
    <x v="2"/>
    <x v="0"/>
    <x v="0"/>
    <x v="0"/>
    <x v="0"/>
  </r>
  <r>
    <n v="2529498"/>
    <s v="Amin Nashir Shaikh"/>
    <d v="2026-08-11T00:00:00"/>
    <x v="0"/>
    <s v="FTE"/>
    <s v="Chennai"/>
    <s v="CIS26MCPT026"/>
    <s v="Mohamed Harish"/>
    <d v="2026-12-08T00:00:00"/>
    <x v="1"/>
    <s v="In-Training"/>
    <x v="0"/>
    <x v="0"/>
    <s v="Chakra Gents PG"/>
    <x v="2"/>
    <x v="1"/>
    <x v="3"/>
    <x v="0"/>
    <x v="0"/>
  </r>
  <r>
    <n v="2526126"/>
    <s v="Sumit Dubey"/>
    <d v="2026-07-28T00:00:00"/>
    <x v="0"/>
    <s v="FTE"/>
    <s v="Chennai"/>
    <s v="EPS26WD005"/>
    <s v="Vishnupriya Dakshnamurthy"/>
    <d v="2026-11-06T00:00:00"/>
    <x v="0"/>
    <s v="In-Training"/>
    <x v="0"/>
    <x v="0"/>
    <s v="Truliv Sofia"/>
    <x v="2"/>
    <x v="0"/>
    <x v="3"/>
    <x v="0"/>
    <x v="0"/>
  </r>
  <r>
    <n v="2521121"/>
    <s v="Atmakuri Guru S S V S Murali Krishna"/>
    <d v="2026-07-07T00:00:00"/>
    <x v="0"/>
    <s v="FTE"/>
    <s v="Chennai"/>
    <s v="SNBG26SN003"/>
    <s v="Lawrance M"/>
    <d v="2026-09-16T00:00:00"/>
    <x v="2"/>
    <s v="In-Training"/>
    <x v="0"/>
    <x v="0"/>
    <s v="Siddu’s Premium Men’s PG"/>
    <x v="2"/>
    <x v="0"/>
    <x v="0"/>
    <x v="0"/>
    <x v="0"/>
  </r>
  <r>
    <n v="2531841"/>
    <s v="Ruturaj Tatoba Mahekar"/>
    <d v="2026-08-20T00:00:00"/>
    <x v="0"/>
    <s v="FTE"/>
    <s v="Chennai"/>
    <s v="CS26CS012"/>
    <s v="Laksiya Vijayendran"/>
    <d v="2026-11-17T00:00:00"/>
    <x v="0"/>
    <s v="In-Training"/>
    <x v="1"/>
    <x v="2"/>
    <s v="Yube1 Greenhouse kaipattur"/>
    <x v="2"/>
    <x v="0"/>
    <x v="3"/>
    <x v="0"/>
    <x v="1"/>
  </r>
  <r>
    <n v="2532982"/>
    <s v="Lohith Harshadithya Yaragarla"/>
    <d v="2026-08-25T00:00:00"/>
    <x v="0"/>
    <s v="FTE"/>
    <s v="Chennai"/>
    <s v="CIS26MBG006"/>
    <s v="Angel Maria Faustina Gomez"/>
    <d v="2026-12-11T00:00:00"/>
    <x v="1"/>
    <s v="In-Training"/>
    <x v="0"/>
    <x v="0"/>
    <s v="Siddu’s Premium Men’s PG SIRUSERI SIPCOT IT"/>
    <x v="2"/>
    <x v="1"/>
    <x v="3"/>
    <x v="0"/>
    <x v="0"/>
  </r>
  <r>
    <n v="2522817"/>
    <s v="KOMMALAPATI SRI Chandra"/>
    <d v="2026-07-14T00:00:00"/>
    <x v="0"/>
    <s v="FTE"/>
    <s v="Chennai"/>
    <s v="QEA26ST001"/>
    <s v="Angel Maria Faustina Gomez"/>
    <d v="2026-10-15T00:00:00"/>
    <x v="3"/>
    <s v="In-Training"/>
    <x v="0"/>
    <x v="0"/>
    <s v="SS SIVA SAI GENTS PG"/>
    <x v="12"/>
    <x v="0"/>
    <x v="0"/>
    <x v="0"/>
    <x v="0"/>
  </r>
  <r>
    <n v="2526150"/>
    <s v="Inaganti Nikhil"/>
    <d v="2026-07-28T00:00:00"/>
    <x v="0"/>
    <s v="FTE"/>
    <s v="Chennai"/>
    <s v="QEA26DS001"/>
    <s v="Lourdhu Selvin Raj X"/>
    <d v="2026-10-30T00:00:00"/>
    <x v="3"/>
    <s v="In-Training"/>
    <x v="0"/>
    <x v="0"/>
    <s v="GTR Stays"/>
    <x v="12"/>
    <x v="1"/>
    <x v="3"/>
    <x v="0"/>
    <x v="0"/>
  </r>
  <r>
    <n v="2516853"/>
    <s v="Baby Sree B"/>
    <d v="2026-06-18T00:00:00"/>
    <x v="1"/>
    <s v="FTE"/>
    <s v="Chennai"/>
    <s v="CIS26MW001"/>
    <s v="Ashiya Begam S"/>
    <d v="2026-09-11T00:00:00"/>
    <x v="2"/>
    <s v="In-Training"/>
    <x v="0"/>
    <x v="0"/>
    <s v="Sri Lakshmi Srinivasa Ladies PG"/>
    <x v="12"/>
    <x v="0"/>
    <x v="3"/>
    <x v="0"/>
    <x v="0"/>
  </r>
  <r>
    <n v="2518828"/>
    <s v="Kuruba Siddartha"/>
    <d v="2026-06-30T00:00:00"/>
    <x v="0"/>
    <s v="FTE"/>
    <s v="Chennai"/>
    <s v="CIS26SB001"/>
    <s v="Kishorekumar P"/>
    <d v="2026-10-14T00:00:00"/>
    <x v="3"/>
    <s v="In-Training"/>
    <x v="0"/>
    <x v="0"/>
    <s v="SPT PG - Egatur"/>
    <x v="12"/>
    <x v="0"/>
    <x v="3"/>
    <x v="0"/>
    <x v="0"/>
  </r>
  <r>
    <n v="2519710"/>
    <s v="Eshank Pal"/>
    <d v="2026-07-02T00:00:00"/>
    <x v="0"/>
    <s v="FTE"/>
    <s v="Chennai"/>
    <s v="CIS26UNIX004"/>
    <s v="Haritha P"/>
    <d v="2026-09-24T00:00:00"/>
    <x v="2"/>
    <s v="In-Training"/>
    <x v="0"/>
    <x v="0"/>
    <s v="NKS MENS PG, SIPCOT IT PARK, EGATTUR"/>
    <x v="12"/>
    <x v="0"/>
    <x v="3"/>
    <x v="0"/>
    <x v="0"/>
  </r>
  <r>
    <n v="2523417"/>
    <s v="Police Niranjan Reddy"/>
    <d v="2026-07-16T00:00:00"/>
    <x v="0"/>
    <s v="FTE"/>
    <s v="Chennai"/>
    <s v="CS26CS009"/>
    <s v="Laksiya Vijayendran"/>
    <d v="2026-10-14T00:00:00"/>
    <x v="3"/>
    <s v="In-Training"/>
    <x v="0"/>
    <x v="0"/>
    <s v="SPT PG for gents, Beside Sahasra PG for mens,Eggatur"/>
    <x v="12"/>
    <x v="0"/>
    <x v="0"/>
    <x v="0"/>
    <x v="0"/>
  </r>
  <r>
    <n v="2532949"/>
    <s v="Ketha Siva Kishore"/>
    <d v="2026-08-25T00:00:00"/>
    <x v="0"/>
    <s v="FTE"/>
    <s v="Chennai"/>
    <s v="CIS26MBG006"/>
    <s v="Angel Maria Faustina Gomez"/>
    <d v="2026-12-11T00:00:00"/>
    <x v="1"/>
    <s v="In-Training"/>
    <x v="0"/>
    <x v="0"/>
    <s v="Soma Mens Stay (pg hostel) Mammothiamman Street, opposite to chennai, Egattur, Tamil Nadu 603103"/>
    <x v="12"/>
    <x v="0"/>
    <x v="0"/>
    <x v="0"/>
    <x v="0"/>
  </r>
  <r>
    <n v="2533029"/>
    <s v="Hariprasath S"/>
    <d v="2026-08-25T00:00:00"/>
    <x v="0"/>
    <s v="FTE"/>
    <s v="Chennai"/>
    <s v="CIS26MBG003"/>
    <s v="Kishorekumar P"/>
    <d v="2026-12-11T00:00:00"/>
    <x v="1"/>
    <s v="In-Training"/>
    <x v="0"/>
    <x v="0"/>
    <s v="Narayanan Gents Pg, Navalur, Chennai-600130, Tamil Nadu"/>
    <x v="12"/>
    <x v="0"/>
    <x v="2"/>
    <x v="0"/>
    <x v="0"/>
  </r>
  <r>
    <n v="2533069"/>
    <s v="Lanka Ramya Sree"/>
    <d v="2026-08-25T00:00:00"/>
    <x v="1"/>
    <s v="FTE"/>
    <s v="Chennai"/>
    <s v="CIS26SN002"/>
    <s v="Ashiya Begam S"/>
    <d v="2026-12-02T00:00:00"/>
    <x v="1"/>
    <s v="In-Training"/>
    <x v="0"/>
    <x v="0"/>
    <s v="Smiles Inn PG,Egattur"/>
    <x v="12"/>
    <x v="0"/>
    <x v="0"/>
    <x v="0"/>
    <x v="0"/>
  </r>
  <r>
    <n v="2520954"/>
    <s v="Shaik Ashfaq Hussain"/>
    <d v="2026-07-07T00:00:00"/>
    <x v="0"/>
    <s v="FTE"/>
    <s v="Chennai"/>
    <s v="EPS26WD004"/>
    <s v="Ajith Ganesan"/>
    <d v="2026-10-15T00:00:00"/>
    <x v="3"/>
    <s v="In-Training"/>
    <x v="0"/>
    <x v="0"/>
    <s v="Egattur spt gents pg "/>
    <x v="12"/>
    <x v="0"/>
    <x v="0"/>
    <x v="0"/>
    <x v="0"/>
  </r>
  <r>
    <n v="2530169"/>
    <s v="Helan U"/>
    <d v="2026-08-13T00:00:00"/>
    <x v="1"/>
    <s v="FTE"/>
    <s v="Chennai"/>
    <s v="CIS26DWP026"/>
    <s v="Shunmugasundari A"/>
    <d v="2026-10-19T00:00:00"/>
    <x v="3"/>
    <s v="In-Training"/>
    <x v="0"/>
    <x v="0"/>
    <s v="Sri Krishna Nivas ,Egattur"/>
    <x v="12"/>
    <x v="1"/>
    <x v="0"/>
    <x v="0"/>
    <x v="0"/>
  </r>
  <r>
    <n v="2530209"/>
    <s v="Beeram Lakshmi Samatha Reddy"/>
    <d v="2026-08-13T00:00:00"/>
    <x v="1"/>
    <s v="FTE"/>
    <s v="Chennai"/>
    <s v="EPS26OSP010"/>
    <s v="Vishnupriya Dakshnamurthy"/>
    <d v="2026-12-01T00:00:00"/>
    <x v="1"/>
    <s v="In-Training"/>
    <x v="0"/>
    <x v="0"/>
    <s v="VENGAMAMBA LADIES HOSTEL"/>
    <x v="12"/>
    <x v="0"/>
    <x v="0"/>
    <x v="0"/>
    <x v="0"/>
  </r>
  <r>
    <n v="2521043"/>
    <s v="Kadagala Satish"/>
    <d v="2026-07-07T00:00:00"/>
    <x v="0"/>
    <s v="FTE"/>
    <s v="Chennai"/>
    <s v="CIS26SN001"/>
    <s v="Ashiya Begam S"/>
    <d v="2026-10-08T00:00:00"/>
    <x v="3"/>
    <s v="In-Training"/>
    <x v="0"/>
    <x v="0"/>
    <s v="SPT Mens PG,Egattur,600130"/>
    <x v="12"/>
    <x v="0"/>
    <x v="0"/>
    <x v="0"/>
    <x v="0"/>
  </r>
  <r>
    <n v="2529578"/>
    <s v="Manoj Sunil Thange"/>
    <d v="2026-08-11T00:00:00"/>
    <x v="0"/>
    <s v="FTE"/>
    <s v="Chennai"/>
    <s v="CIS26MCPT022"/>
    <s v="Laksiya Vijayendran"/>
    <d v="2026-12-03T00:00:00"/>
    <x v="1"/>
    <s v="In-Training"/>
    <x v="0"/>
    <x v="0"/>
    <s v="Anish Luxury Gents PG, Egattur"/>
    <x v="12"/>
    <x v="0"/>
    <x v="0"/>
    <x v="0"/>
    <x v="0"/>
  </r>
  <r>
    <n v="2524519"/>
    <s v="Aniket Dnyaneshwar Auty"/>
    <d v="2026-07-21T00:00:00"/>
    <x v="0"/>
    <s v="FTE"/>
    <s v="Chennai"/>
    <s v="QEA26QEPT024"/>
    <s v="Ajiesya D P"/>
    <d v="2026-11-04T00:00:00"/>
    <x v="0"/>
    <s v="In-Training"/>
    <x v="0"/>
    <x v="0"/>
    <s v="CNR GENTS PG BRANCH 1 SIRUSERI SIPCOT "/>
    <x v="12"/>
    <x v="1"/>
    <x v="3"/>
    <x v="0"/>
    <x v="0"/>
  </r>
  <r>
    <n v="2521654"/>
    <s v="Kavya Yeddu"/>
    <d v="2026-07-09T00:00:00"/>
    <x v="1"/>
    <s v="FTE"/>
    <s v="Chennai"/>
    <s v="ADM26MF011"/>
    <s v="Abinaya R"/>
    <d v="2026-11-02T00:00:00"/>
    <x v="0"/>
    <s v="In-Training"/>
    <x v="0"/>
    <x v="0"/>
    <s v="Vengamabha Ladies Hostel, Egattur."/>
    <x v="12"/>
    <x v="0"/>
    <x v="0"/>
    <x v="0"/>
    <x v="0"/>
  </r>
  <r>
    <n v="2522843"/>
    <s v="ALLURI  Pooja"/>
    <d v="2026-07-14T00:00:00"/>
    <x v="1"/>
    <s v="FTE"/>
    <s v="Chennai"/>
    <s v="QEA26ST001"/>
    <s v="Angel Maria Faustina Gomez"/>
    <d v="2026-10-15T00:00:00"/>
    <x v="3"/>
    <s v="In-Training"/>
    <x v="0"/>
    <x v="0"/>
    <s v="Smiles Inn PG - Branch 1, Egatoor"/>
    <x v="12"/>
    <x v="0"/>
    <x v="3"/>
    <x v="0"/>
    <x v="0"/>
  </r>
  <r>
    <n v="2532941"/>
    <s v="Dhinesh Kannan"/>
    <d v="2026-08-25T00:00:00"/>
    <x v="0"/>
    <s v="FTE"/>
    <s v="Chennai"/>
    <s v="CIS26MBG004"/>
    <s v="Kishorekumar P"/>
    <d v="2026-12-11T00:00:00"/>
    <x v="1"/>
    <s v="In-Training"/>
    <x v="0"/>
    <x v="0"/>
    <s v="Geethika grand gents pg ,2nd lane,ckn nivas,egattur"/>
    <x v="12"/>
    <x v="1"/>
    <x v="0"/>
    <x v="0"/>
    <x v="0"/>
  </r>
  <r>
    <n v="2533068"/>
    <s v="Naraharipeta Reddy Monisha"/>
    <d v="2026-08-25T00:00:00"/>
    <x v="1"/>
    <s v="FTE"/>
    <s v="Chennai"/>
    <s v="ADM27DFSA001"/>
    <s v="Thomas Naveen. J"/>
    <d v="2026-12-30T00:00:00"/>
    <x v="1"/>
    <s v="In-Training"/>
    <x v="0"/>
    <x v="0"/>
    <s v="SRS BRANCH 6, HP Petrol Pump, Thendral street, TVH Taus, Navallur, Chennai , 600130"/>
    <x v="12"/>
    <x v="0"/>
    <x v="2"/>
    <x v="0"/>
    <x v="0"/>
  </r>
  <r>
    <n v="2531407"/>
    <s v="Gayathri J"/>
    <d v="2026-08-18T00:00:00"/>
    <x v="1"/>
    <s v="FTE"/>
    <s v="Chennai"/>
    <s v="EPS26SAP036"/>
    <s v="Vishnupriya Dakshnamurthy"/>
    <d v="2026-11-09T00:00:00"/>
    <x v="0"/>
    <s v="In-Training"/>
    <x v="1"/>
    <x v="3"/>
    <s v="SANTHA TOWERS PARUTHIPATTU AVADI"/>
    <x v="12"/>
    <x v="1"/>
    <x v="38"/>
    <x v="1"/>
    <x v="1"/>
  </r>
  <r>
    <n v="2512334"/>
    <s v="Pavan Kumar Mahto"/>
    <d v="2026-05-28T00:00:00"/>
    <x v="0"/>
    <s v="FTE"/>
    <s v="Chennai"/>
    <s v="CIS26MCPT012"/>
    <s v="Uma Venkatachalam"/>
    <d v="2026-09-17T00:00:00"/>
    <x v="2"/>
    <s v="In-Training"/>
    <x v="0"/>
    <x v="0"/>
    <s v="SREE VENKATSHWARA MENS PG-NAVALUR"/>
    <x v="12"/>
    <x v="0"/>
    <x v="2"/>
    <x v="0"/>
    <x v="0"/>
  </r>
  <r>
    <n v="2521289"/>
    <s v="Karri Jnan Kumar"/>
    <d v="2026-07-07T00:00:00"/>
    <x v="0"/>
    <s v="FTE"/>
    <s v="Chennai"/>
    <s v="SNBG26SN002"/>
    <s v="Lawrance M"/>
    <d v="2026-09-16T00:00:00"/>
    <x v="2"/>
    <s v="In-Training"/>
    <x v="0"/>
    <x v="0"/>
    <s v="CHAKRA GENTS PG BRANCH 3"/>
    <x v="12"/>
    <x v="0"/>
    <x v="3"/>
    <x v="0"/>
    <x v="0"/>
  </r>
  <r>
    <n v="2523381"/>
    <s v="Dhivakar LNU"/>
    <d v="2026-07-16T00:00:00"/>
    <x v="0"/>
    <s v="FTE"/>
    <s v="Chennai"/>
    <s v="CS26CS009"/>
    <s v="Laksiya Vijayendran"/>
    <d v="2026-10-14T00:00:00"/>
    <x v="3"/>
    <s v="In-Training"/>
    <x v="0"/>
    <x v="0"/>
    <s v="Saravan Mens PG, Egattur"/>
    <x v="12"/>
    <x v="1"/>
    <x v="0"/>
    <x v="0"/>
    <x v="0"/>
  </r>
  <r>
    <n v="2524603"/>
    <s v="Arjun Dattatray Aware"/>
    <d v="2026-07-21T00:00:00"/>
    <x v="0"/>
    <s v="FTE"/>
    <s v="Chennai"/>
    <s v="QEA26QEPT024"/>
    <s v="Ajiesya D P"/>
    <d v="2026-10-30T00:00:00"/>
    <x v="3"/>
    <s v="In-Training"/>
    <x v="0"/>
    <x v="0"/>
    <s v="Pasanga Paradise PG - Branch 1, Egattur"/>
    <x v="12"/>
    <x v="0"/>
    <x v="3"/>
    <x v="0"/>
    <x v="0"/>
  </r>
  <r>
    <n v="2524632"/>
    <s v="Anushya K"/>
    <d v="2026-07-21T00:00:00"/>
    <x v="1"/>
    <s v="FTE"/>
    <s v="Chennai"/>
    <s v="ADM26MF012"/>
    <s v="Lourdhu Selvin Raj X"/>
    <d v="2026-11-17T00:00:00"/>
    <x v="0"/>
    <s v="In-Training"/>
    <x v="0"/>
    <x v="0"/>
    <s v="Moksha ladies hostel "/>
    <x v="12"/>
    <x v="0"/>
    <x v="0"/>
    <x v="0"/>
    <x v="0"/>
  </r>
  <r>
    <n v="2524510"/>
    <s v="Shubham Prabhakar Pawar"/>
    <d v="2026-07-21T00:00:00"/>
    <x v="0"/>
    <s v="FTE"/>
    <s v="Chennai"/>
    <s v="QEA26QEPT024"/>
    <s v="Ajiesya D P"/>
    <d v="2026-11-04T00:00:00"/>
    <x v="0"/>
    <s v="In-Training"/>
    <x v="0"/>
    <x v="0"/>
    <s v="CNR PG Branch 1, Egatur"/>
    <x v="12"/>
    <x v="0"/>
    <x v="0"/>
    <x v="0"/>
    <x v="0"/>
  </r>
  <r>
    <n v="2521077"/>
    <s v="Narala Sai Simha Reddy"/>
    <d v="2026-07-07T00:00:00"/>
    <x v="0"/>
    <s v="FTE"/>
    <s v="Chennai"/>
    <s v="CIS26SN001"/>
    <s v="Ashiya Begam S"/>
    <d v="2026-09-16T00:00:00"/>
    <x v="2"/>
    <s v="In-Training"/>
    <x v="0"/>
    <x v="0"/>
    <s v="SPT PG FOR MENS "/>
    <x v="12"/>
    <x v="0"/>
    <x v="0"/>
    <x v="0"/>
    <x v="0"/>
  </r>
  <r>
    <n v="2521821"/>
    <s v="Jai Chand Nelakuditi"/>
    <d v="2026-07-09T00:00:00"/>
    <x v="0"/>
    <s v="FTE"/>
    <s v="Chennai"/>
    <s v="ADM26DNAT003"/>
    <s v="Athira P"/>
    <d v="2026-10-23T00:00:00"/>
    <x v="3"/>
    <s v="In-Training"/>
    <x v="0"/>
    <x v="0"/>
    <s v="SS (Siva sai) PG"/>
    <x v="12"/>
    <x v="0"/>
    <x v="3"/>
    <x v="0"/>
    <x v="0"/>
  </r>
  <r>
    <n v="2521712"/>
    <s v="Swapnil Pandurang Ranawade"/>
    <d v="2026-07-09T00:00:00"/>
    <x v="0"/>
    <s v="FTE"/>
    <s v="Chennai"/>
    <s v="AIA26DSAT004"/>
    <s v="Pavithra Kandasamy"/>
    <d v="2026-10-09T00:00:00"/>
    <x v="3"/>
    <s v="In-Training"/>
    <x v="0"/>
    <x v="0"/>
    <s v="SS PG ,Egattur"/>
    <x v="12"/>
    <x v="0"/>
    <x v="3"/>
    <x v="0"/>
    <x v="0"/>
  </r>
  <r>
    <n v="2532903"/>
    <s v="Kolumula Akanksha Reddy"/>
    <d v="2026-08-25T00:00:00"/>
    <x v="1"/>
    <s v="FTE"/>
    <s v="Chennai"/>
    <s v="CIS26MBG007"/>
    <s v="Lawrance M"/>
    <d v="2026-12-11T00:00:00"/>
    <x v="1"/>
    <s v="In-Training"/>
    <x v="0"/>
    <x v="0"/>
    <s v="Unique pg womens, Egattur, gangiyamman kovil street, Buddhar St, Chennai, 600130, TN, IN"/>
    <x v="12"/>
    <x v="0"/>
    <x v="3"/>
    <x v="0"/>
    <x v="0"/>
  </r>
  <r>
    <n v="2522867"/>
    <s v="HARSHITH  Raparthi"/>
    <d v="2026-07-14T00:00:00"/>
    <x v="0"/>
    <s v="FTE"/>
    <s v="Chennai"/>
    <s v="QEA26ST001"/>
    <s v="Angel Maria Faustina Gomez"/>
    <d v="2026-10-15T00:00:00"/>
    <x v="3"/>
    <s v="In-Training"/>
    <x v="0"/>
    <x v="4"/>
    <s v="Sri venkata sai hanuman mens PG - Branch 2, Egattur"/>
    <x v="12"/>
    <x v="0"/>
    <x v="0"/>
    <x v="0"/>
    <x v="0"/>
  </r>
  <r>
    <n v="2530177"/>
    <s v="Gowtham R"/>
    <d v="2026-08-13T00:00:00"/>
    <x v="0"/>
    <s v="FTE"/>
    <s v="Chennai"/>
    <s v="EPS26OSP010"/>
    <s v="Vishnupriya Dakshnamurthy"/>
    <d v="2026-12-01T00:00:00"/>
    <x v="1"/>
    <s v="In-Training"/>
    <x v="1"/>
    <x v="1"/>
    <s v="Bluemoon Callisto"/>
    <x v="12"/>
    <x v="1"/>
    <x v="19"/>
    <x v="4"/>
    <x v="1"/>
  </r>
  <r>
    <n v="2485951"/>
    <s v="Chaitanya,Prakash Ghatbandhe"/>
    <d v="2026-02-19T00:00:00"/>
    <x v="0"/>
    <s v="FTE"/>
    <s v="Chennai"/>
    <s v="QEA26QEPT023"/>
    <s v="Sweta Thoppil"/>
    <d v="2026-10-19T00:00:00"/>
    <x v="3"/>
    <s v="In-Training"/>
    <x v="0"/>
    <x v="0"/>
    <s v=" Pasanga Paradise PG - Branch 1, Egattur"/>
    <x v="12"/>
    <x v="0"/>
    <x v="0"/>
    <x v="0"/>
    <x v="0"/>
  </r>
  <r>
    <n v="2511314"/>
    <s v="Harshavarthini S"/>
    <d v="2026-05-21T00:00:00"/>
    <x v="1"/>
    <s v="FTE"/>
    <s v="Chennai"/>
    <s v="CIS26MCPT010"/>
    <s v="Mohamed Harish"/>
    <d v="2026-09-15T00:00:00"/>
    <x v="2"/>
    <s v="In-Training"/>
    <x v="0"/>
    <x v="0"/>
    <s v="MSR LUXURY PG BRANCH 3"/>
    <x v="12"/>
    <x v="0"/>
    <x v="3"/>
    <x v="0"/>
    <x v="0"/>
  </r>
  <r>
    <n v="2511316"/>
    <s v="Mahendar Babu Aluwala"/>
    <d v="2026-05-21T00:00:00"/>
    <x v="0"/>
    <s v="FTE"/>
    <s v="Chennai"/>
    <s v="CIS26MCPT010"/>
    <s v="Mohamed Harish"/>
    <d v="2026-09-15T00:00:00"/>
    <x v="2"/>
    <s v="In-Training"/>
    <x v="0"/>
    <x v="0"/>
    <s v="Siva Sai Gents PG, Sipcot"/>
    <x v="12"/>
    <x v="0"/>
    <x v="3"/>
    <x v="0"/>
    <x v="0"/>
  </r>
  <r>
    <n v="2520935"/>
    <s v="Shwon Ghosh"/>
    <d v="2026-07-07T00:00:00"/>
    <x v="0"/>
    <s v="FTE"/>
    <s v="Chennai"/>
    <s v="CM26SFDC006"/>
    <s v="Gayathri Ramachandran"/>
    <d v="2026-11-11T00:00:00"/>
    <x v="0"/>
    <s v="In-Training"/>
    <x v="0"/>
    <x v="0"/>
    <s v="Siddu Mens Pg,Egatur"/>
    <x v="12"/>
    <x v="0"/>
    <x v="3"/>
    <x v="0"/>
    <x v="0"/>
  </r>
  <r>
    <n v="2520936"/>
    <s v="Anurag Kushwaha"/>
    <d v="2026-07-07T00:00:00"/>
    <x v="0"/>
    <s v="FTE"/>
    <s v="Chennai"/>
    <s v="EPS26WD004"/>
    <s v="Ajith Ganesan"/>
    <d v="2026-10-15T00:00:00"/>
    <x v="3"/>
    <s v="In-Training"/>
    <x v="0"/>
    <x v="0"/>
    <s v="Sri Srinivasa mens PG, Navallur"/>
    <x v="12"/>
    <x v="0"/>
    <x v="2"/>
    <x v="0"/>
    <x v="0"/>
  </r>
  <r>
    <n v="2520958"/>
    <s v="Chaithanya Shaji"/>
    <d v="2026-07-07T00:00:00"/>
    <x v="1"/>
    <s v="FTE"/>
    <s v="Chennai"/>
    <s v="HPC26DN005"/>
    <s v="Viveka Preethi"/>
    <d v="2026-10-01T00:00:00"/>
    <x v="3"/>
    <s v="In-Training"/>
    <x v="0"/>
    <x v="0"/>
    <s v="Smiles Inn Pg for Ladies - Near Hameed Fathima Jumma Masjid, Egattur"/>
    <x v="12"/>
    <x v="0"/>
    <x v="0"/>
    <x v="0"/>
    <x v="0"/>
  </r>
  <r>
    <n v="2520967"/>
    <s v="Tanish Jhamtani"/>
    <d v="2026-07-07T00:00:00"/>
    <x v="0"/>
    <s v="FTE"/>
    <s v="Chennai"/>
    <s v="EPS26WD004"/>
    <s v="Ajith Ganesan"/>
    <d v="2026-10-15T00:00:00"/>
    <x v="3"/>
    <s v="In-Training"/>
    <x v="0"/>
    <x v="0"/>
    <s v="CNR Gents PG Branch-1, Egatur"/>
    <x v="12"/>
    <x v="0"/>
    <x v="0"/>
    <x v="0"/>
    <x v="0"/>
  </r>
  <r>
    <n v="2520984"/>
    <s v="Devansh Upadhyay"/>
    <d v="2026-07-07T00:00:00"/>
    <x v="0"/>
    <s v="FTE"/>
    <s v="Chennai"/>
    <s v="HPC26DN005"/>
    <s v="Viveka Preethi"/>
    <d v="2026-10-01T00:00:00"/>
    <x v="3"/>
    <s v="In-Training"/>
    <x v="0"/>
    <x v="0"/>
    <s v="Kr Mens PG, City Park Layout Siruseri"/>
    <x v="12"/>
    <x v="0"/>
    <x v="3"/>
    <x v="0"/>
    <x v="0"/>
  </r>
  <r>
    <n v="2520989"/>
    <s v="Abir Sinha"/>
    <d v="2026-07-07T00:00:00"/>
    <x v="0"/>
    <s v="FTE"/>
    <s v="Chennai"/>
    <s v="HPC26DN005"/>
    <s v="Viveka Preethi"/>
    <d v="2026-10-01T00:00:00"/>
    <x v="3"/>
    <s v="In-Training"/>
    <x v="0"/>
    <x v="0"/>
    <s v="SIDDUS PREMIUM MENS PG"/>
    <x v="12"/>
    <x v="0"/>
    <x v="3"/>
    <x v="0"/>
    <x v="0"/>
  </r>
  <r>
    <n v="2521031"/>
    <s v="Ungarala Jaswik Kumar"/>
    <d v="2026-07-07T00:00:00"/>
    <x v="0"/>
    <s v="FTE"/>
    <s v="Chennai"/>
    <s v="SNBG26SN004"/>
    <s v="Kishorekumar P"/>
    <d v="2026-10-08T00:00:00"/>
    <x v="3"/>
    <s v="In-Training"/>
    <x v="0"/>
    <x v="0"/>
    <s v="siva sai gents pg"/>
    <x v="12"/>
    <x v="0"/>
    <x v="3"/>
    <x v="0"/>
    <x v="0"/>
  </r>
  <r>
    <n v="2521032"/>
    <s v="Sree Varsha Maddineni"/>
    <d v="2026-07-07T00:00:00"/>
    <x v="1"/>
    <s v="FTE"/>
    <s v="Chennai"/>
    <s v="CIS26SN001"/>
    <s v="Ashiya Begam S"/>
    <d v="2026-09-16T00:00:00"/>
    <x v="2"/>
    <s v="In-Training"/>
    <x v="0"/>
    <x v="0"/>
    <s v="Vaishnavi PG for Ladies in OMR"/>
    <x v="12"/>
    <x v="0"/>
    <x v="3"/>
    <x v="0"/>
    <x v="0"/>
  </r>
  <r>
    <n v="2521044"/>
    <s v="Kandepalli Yogasri"/>
    <d v="2026-07-07T00:00:00"/>
    <x v="1"/>
    <s v="FTE"/>
    <s v="Chennai"/>
    <s v="SNBG26SN003"/>
    <s v="Lawrance M"/>
    <d v="2026-10-08T00:00:00"/>
    <x v="3"/>
    <s v="In-Training"/>
    <x v="0"/>
    <x v="0"/>
    <s v="Sai Grand Womens PG Branch - 1"/>
    <x v="12"/>
    <x v="0"/>
    <x v="0"/>
    <x v="0"/>
    <x v="0"/>
  </r>
  <r>
    <n v="2521051"/>
    <s v="Nallanagula Divya Sri"/>
    <d v="2026-07-07T00:00:00"/>
    <x v="1"/>
    <s v="FTE"/>
    <s v="Chennai"/>
    <s v="SNBG26SN002"/>
    <s v="Lawrance M"/>
    <d v="2026-10-08T00:00:00"/>
    <x v="3"/>
    <s v="In-Training"/>
    <x v="0"/>
    <x v="0"/>
    <s v="Sai Grands Women PG-Branch 2 ,Egattur"/>
    <x v="12"/>
    <x v="0"/>
    <x v="3"/>
    <x v="0"/>
    <x v="0"/>
  </r>
  <r>
    <n v="2521057"/>
    <s v="Gopu Sravani"/>
    <d v="2026-07-07T00:00:00"/>
    <x v="1"/>
    <s v="FTE"/>
    <s v="Chennai"/>
    <s v="CIS26SN001"/>
    <s v="Ashiya Begam S"/>
    <d v="2026-09-16T00:00:00"/>
    <x v="2"/>
    <s v="In-Training"/>
    <x v="0"/>
    <x v="0"/>
    <s v="Vaishnavi PG for Ladies in OMR"/>
    <x v="12"/>
    <x v="0"/>
    <x v="3"/>
    <x v="0"/>
    <x v="0"/>
  </r>
  <r>
    <n v="2521064"/>
    <s v="M A Imran Hafeez"/>
    <d v="2026-07-07T00:00:00"/>
    <x v="0"/>
    <s v="FTE"/>
    <s v="Chennai"/>
    <s v="SNBG26SN003"/>
    <s v="Lawrance M"/>
    <d v="2026-10-08T00:00:00"/>
    <x v="3"/>
    <s v="In-Training"/>
    <x v="0"/>
    <x v="0"/>
    <s v="KR mens pg "/>
    <x v="12"/>
    <x v="0"/>
    <x v="0"/>
    <x v="0"/>
    <x v="0"/>
  </r>
  <r>
    <n v="2521105"/>
    <s v="Avudai Nayagam"/>
    <d v="2026-07-07T00:00:00"/>
    <x v="0"/>
    <s v="FTE"/>
    <s v="Chennai"/>
    <s v="HPC26DN005"/>
    <s v="Viveka Preethi"/>
    <d v="2026-10-01T00:00:00"/>
    <x v="3"/>
    <s v="In-Training"/>
    <x v="0"/>
    <x v="0"/>
    <s v="SR Guest House"/>
    <x v="12"/>
    <x v="1"/>
    <x v="3"/>
    <x v="0"/>
    <x v="0"/>
  </r>
  <r>
    <n v="2521110"/>
    <s v="Sripadha Kakani"/>
    <d v="2026-07-07T00:00:00"/>
    <x v="0"/>
    <s v="FTE"/>
    <s v="Chennai"/>
    <s v="SNBG26SN004"/>
    <s v="Kishorekumar P"/>
    <d v="2026-10-08T00:00:00"/>
    <x v="3"/>
    <s v="In-Training"/>
    <x v="0"/>
    <x v="0"/>
    <s v="Ardenwood PG, Egattur"/>
    <x v="12"/>
    <x v="0"/>
    <x v="0"/>
    <x v="0"/>
    <x v="0"/>
  </r>
  <r>
    <n v="2521111"/>
    <s v="B Hariesh"/>
    <d v="2026-07-07T00:00:00"/>
    <x v="0"/>
    <s v="FTE"/>
    <s v="Chennai"/>
    <s v="SNBG26SN004"/>
    <s v="Kishorekumar P"/>
    <d v="2026-10-08T00:00:00"/>
    <x v="3"/>
    <s v="In-Training"/>
    <x v="0"/>
    <x v="0"/>
    <s v="Vishwas Menss Pg "/>
    <x v="12"/>
    <x v="0"/>
    <x v="0"/>
    <x v="0"/>
    <x v="0"/>
  </r>
  <r>
    <n v="2521122"/>
    <s v="Mandha Sahithi Reddy"/>
    <d v="2026-07-07T00:00:00"/>
    <x v="1"/>
    <s v="FTE"/>
    <s v="Chennai"/>
    <s v="SNBG26SN002"/>
    <s v="Lawrance M"/>
    <d v="2026-09-16T00:00:00"/>
    <x v="2"/>
    <s v="In-Training"/>
    <x v="0"/>
    <x v="0"/>
    <s v="Sai Grand Womens PG, Egattur"/>
    <x v="12"/>
    <x v="0"/>
    <x v="3"/>
    <x v="0"/>
    <x v="0"/>
  </r>
  <r>
    <n v="2521128"/>
    <s v="Akhila Datrak"/>
    <d v="2026-07-07T00:00:00"/>
    <x v="1"/>
    <s v="FTE"/>
    <s v="Chennai"/>
    <s v="CIS26SN001"/>
    <s v="Ashiya Begam S"/>
    <d v="2026-09-16T00:00:00"/>
    <x v="2"/>
    <s v="In-Training"/>
    <x v="0"/>
    <x v="0"/>
    <s v="Queens Luxury Ladies PG"/>
    <x v="12"/>
    <x v="0"/>
    <x v="3"/>
    <x v="0"/>
    <x v="0"/>
  </r>
  <r>
    <n v="2521135"/>
    <s v="Samminga Poojitha"/>
    <d v="2026-07-07T00:00:00"/>
    <x v="1"/>
    <s v="FTE"/>
    <s v="Chennai"/>
    <s v="SNBG26SN004"/>
    <s v="Kishorekumar P"/>
    <d v="2026-10-08T00:00:00"/>
    <x v="3"/>
    <s v="In-Training"/>
    <x v="0"/>
    <x v="0"/>
    <s v="Sai Grand Womens PG "/>
    <x v="12"/>
    <x v="0"/>
    <x v="3"/>
    <x v="0"/>
    <x v="0"/>
  </r>
  <r>
    <n v="2521189"/>
    <s v="Likith G"/>
    <d v="2026-07-07T00:00:00"/>
    <x v="0"/>
    <s v="FTE"/>
    <s v="Chennai"/>
    <s v="EPS26WD004"/>
    <s v="Ajith Ganesan"/>
    <d v="2026-10-15T00:00:00"/>
    <x v="3"/>
    <s v="In-Training"/>
    <x v="0"/>
    <x v="0"/>
    <s v="Xion 16 mens pg"/>
    <x v="12"/>
    <x v="0"/>
    <x v="3"/>
    <x v="0"/>
    <x v="0"/>
  </r>
  <r>
    <n v="2521281"/>
    <s v="Samantula Vasudha"/>
    <d v="2026-07-07T00:00:00"/>
    <x v="1"/>
    <s v="FTE"/>
    <s v="Chennai"/>
    <s v="CIS26SN001"/>
    <s v="Ashiya Begam S"/>
    <d v="2026-10-08T00:00:00"/>
    <x v="3"/>
    <s v="In-Training"/>
    <x v="0"/>
    <x v="0"/>
    <s v="Sai Grand Womens PG (Ambedkar Street)"/>
    <x v="12"/>
    <x v="0"/>
    <x v="3"/>
    <x v="0"/>
    <x v="0"/>
  </r>
  <r>
    <n v="2521621"/>
    <s v="Uday Janardhan Shaharwale"/>
    <d v="2026-07-09T00:00:00"/>
    <x v="0"/>
    <s v="FTE"/>
    <s v="Chennai"/>
    <s v="AIA26DSAT004"/>
    <s v="Pavithra Kandasamy"/>
    <d v="2026-10-09T00:00:00"/>
    <x v="3"/>
    <s v="In-Training"/>
    <x v="0"/>
    <x v="0"/>
    <s v="Shiva Sai (SS) gents pg, 7th cross street, phase 3, Egatur, Siruseri, Tamil Nadu 603103"/>
    <x v="12"/>
    <x v="0"/>
    <x v="0"/>
    <x v="0"/>
    <x v="0"/>
  </r>
  <r>
    <n v="2521631"/>
    <s v="B Likith Vardhan Reddy"/>
    <d v="2026-07-09T00:00:00"/>
    <x v="0"/>
    <s v="FTE"/>
    <s v="Chennai"/>
    <s v="QEA26QEPT023"/>
    <s v="Sweta Thoppil"/>
    <d v="2026-10-19T00:00:00"/>
    <x v="3"/>
    <s v="In-Training"/>
    <x v="0"/>
    <x v="0"/>
    <s v=" S S Gents Pg  No 95 A, S S Gents Pg, City Park Sipcot, Mamoothy Amman Kovil 3rd  Street, Sirucheri, Chennai-603103, Tamil Nadu  https://jsdl.in/DT-20SESSXI1XT"/>
    <x v="12"/>
    <x v="0"/>
    <x v="3"/>
    <x v="0"/>
    <x v="0"/>
  </r>
  <r>
    <n v="2521636"/>
    <s v="Mohammed Shabrin"/>
    <d v="2026-07-09T00:00:00"/>
    <x v="1"/>
    <s v="FTE"/>
    <s v="Chennai"/>
    <s v="ADM26MF010"/>
    <s v="Thomas Naveen. J"/>
    <d v="2026-11-02T00:00:00"/>
    <x v="0"/>
    <s v="In-Training"/>
    <x v="0"/>
    <x v="0"/>
    <s v="SRS WOMENS PG - BRANCH 1,EGATTUR"/>
    <x v="12"/>
    <x v="0"/>
    <x v="0"/>
    <x v="0"/>
    <x v="0"/>
  </r>
  <r>
    <n v="2521648"/>
    <s v="Akshatha LNU"/>
    <d v="2026-07-09T00:00:00"/>
    <x v="1"/>
    <s v="FTE"/>
    <s v="Chennai"/>
    <s v="ADM26MF010"/>
    <s v="Thomas Naveen. J"/>
    <d v="2026-11-02T00:00:00"/>
    <x v="0"/>
    <s v="In-Training"/>
    <x v="0"/>
    <x v="0"/>
    <s v="SRS Luxury  ladies PG ,Doctor Ambedkar Street ,Sipcot,Egattur"/>
    <x v="12"/>
    <x v="0"/>
    <x v="0"/>
    <x v="0"/>
    <x v="0"/>
  </r>
  <r>
    <n v="2521651"/>
    <s v="Leela Amrutha Eeri"/>
    <d v="2026-07-09T00:00:00"/>
    <x v="1"/>
    <s v="FTE"/>
    <s v="Chennai"/>
    <s v="ADM26MF011"/>
    <s v="Abinaya R"/>
    <d v="2026-11-02T00:00:00"/>
    <x v="0"/>
    <s v="In-Training"/>
    <x v="0"/>
    <x v="0"/>
    <s v="Moksha Ladies Hostel Siruseri Sipcot, Egattur"/>
    <x v="12"/>
    <x v="0"/>
    <x v="0"/>
    <x v="0"/>
    <x v="0"/>
  </r>
  <r>
    <n v="2521652"/>
    <s v="Bharatala Lokesh"/>
    <d v="2026-07-09T00:00:00"/>
    <x v="0"/>
    <s v="FTE"/>
    <s v="Chennai"/>
    <s v="QEA26QEPT023"/>
    <s v="Sweta Thoppil"/>
    <d v="2026-10-19T00:00:00"/>
    <x v="3"/>
    <s v="In-Training"/>
    <x v="0"/>
    <x v="0"/>
    <s v="Siva Sai Gents pg,Siruseri."/>
    <x v="12"/>
    <x v="0"/>
    <x v="3"/>
    <x v="0"/>
    <x v="0"/>
  </r>
  <r>
    <n v="2521663"/>
    <s v="Dangeti Vidya Madhuri"/>
    <d v="2026-07-09T00:00:00"/>
    <x v="1"/>
    <s v="FTE"/>
    <s v="Chennai"/>
    <s v="ADM26MF011"/>
    <s v="Abinaya R"/>
    <d v="2026-11-02T00:00:00"/>
    <x v="0"/>
    <s v="In-Training"/>
    <x v="0"/>
    <x v="0"/>
    <s v="Moksha Ladies Hostel -Siruseri Sipcot , Egattur"/>
    <x v="12"/>
    <x v="1"/>
    <x v="0"/>
    <x v="0"/>
    <x v="0"/>
  </r>
  <r>
    <n v="2521667"/>
    <s v="Shaik Muneera Begum"/>
    <d v="2026-07-09T00:00:00"/>
    <x v="1"/>
    <s v="FTE"/>
    <s v="Chennai"/>
    <s v="ADM26MF010"/>
    <s v="Thomas Naveen. J"/>
    <d v="2026-11-02T00:00:00"/>
    <x v="0"/>
    <s v="In-Training"/>
    <x v="0"/>
    <x v="0"/>
    <s v="KRISHNA NIVAS LADIES PG"/>
    <x v="12"/>
    <x v="0"/>
    <x v="0"/>
    <x v="0"/>
    <x v="0"/>
  </r>
  <r>
    <n v="2521674"/>
    <s v="Kavya Nagulapalli"/>
    <d v="2026-07-09T00:00:00"/>
    <x v="1"/>
    <s v="FTE"/>
    <s v="Chennai"/>
    <s v="ADM26MF011"/>
    <s v="Abinaya R"/>
    <d v="2026-11-02T00:00:00"/>
    <x v="0"/>
    <s v="In-Training"/>
    <x v="0"/>
    <x v="0"/>
    <s v="SMILES INN PG"/>
    <x v="12"/>
    <x v="0"/>
    <x v="3"/>
    <x v="0"/>
    <x v="0"/>
  </r>
  <r>
    <n v="2521684"/>
    <s v="Pankaj Digambar Narwade"/>
    <d v="2026-07-09T00:00:00"/>
    <x v="0"/>
    <s v="FTE"/>
    <s v="Chennai"/>
    <s v="ADM26MF010"/>
    <s v="Thomas Naveen. J"/>
    <d v="2026-11-02T00:00:00"/>
    <x v="0"/>
    <s v="In-Training"/>
    <x v="0"/>
    <x v="0"/>
    <s v="SS PG Room No 404 , 7th Cross Street , Phase 3, OMRONE , Egattur , Chennai , Chengalpattu, Tamil Nadu, 603103"/>
    <x v="12"/>
    <x v="0"/>
    <x v="3"/>
    <x v="0"/>
    <x v="0"/>
  </r>
  <r>
    <n v="2521686"/>
    <s v="Maddukuri K B M Sivakumar"/>
    <d v="2026-07-09T00:00:00"/>
    <x v="0"/>
    <s v="FTE"/>
    <s v="Chennai"/>
    <s v="QEA26QEPT023"/>
    <s v="Sweta Thoppil"/>
    <d v="2026-10-19T00:00:00"/>
    <x v="3"/>
    <s v="In-Training"/>
    <x v="0"/>
    <x v="0"/>
    <s v="Siva Sai Gents Pg, Plot No.95A,Mamoothiamman, 3rd st, Sipcot, Siruseri, Chennai, Tamil Nadu 603103"/>
    <x v="12"/>
    <x v="0"/>
    <x v="3"/>
    <x v="0"/>
    <x v="0"/>
  </r>
  <r>
    <n v="2521694"/>
    <s v="Swapna Chandrashekar Hegade"/>
    <d v="2026-07-09T00:00:00"/>
    <x v="1"/>
    <s v="FTE"/>
    <s v="Chennai"/>
    <s v="QEA26QEPT023"/>
    <s v="Sweta Thoppil"/>
    <d v="2026-10-19T00:00:00"/>
    <x v="3"/>
    <s v="In-Training"/>
    <x v="0"/>
    <x v="0"/>
    <s v="Sai Grand Womens PG - Branch 2, Egattur"/>
    <x v="12"/>
    <x v="0"/>
    <x v="0"/>
    <x v="0"/>
    <x v="0"/>
  </r>
  <r>
    <n v="2521695"/>
    <s v="Vedashree M J"/>
    <d v="2026-07-09T00:00:00"/>
    <x v="1"/>
    <s v="FTE"/>
    <s v="Chennai"/>
    <s v="ADM26MF011"/>
    <s v="Abinaya R"/>
    <d v="2026-11-02T00:00:00"/>
    <x v="0"/>
    <s v="In-Training"/>
    <x v="0"/>
    <x v="0"/>
    <s v="SRS Luxury PG For Ladies SIPCOT- SIRUSERI"/>
    <x v="12"/>
    <x v="0"/>
    <x v="3"/>
    <x v="0"/>
    <x v="0"/>
  </r>
  <r>
    <n v="2521722"/>
    <s v="Yarragonda Sai Lasya Reddy"/>
    <d v="2026-07-09T00:00:00"/>
    <x v="1"/>
    <s v="FTE"/>
    <s v="Chennai"/>
    <s v="QEA26DS001"/>
    <s v="Lourdhu Selvin Raj X"/>
    <d v="2026-10-30T00:00:00"/>
    <x v="3"/>
    <s v="In-Training"/>
    <x v="0"/>
    <x v="0"/>
    <s v="Vaishnavi Elite PG"/>
    <x v="12"/>
    <x v="0"/>
    <x v="0"/>
    <x v="0"/>
    <x v="0"/>
  </r>
  <r>
    <n v="2521735"/>
    <s v="Mirza Nikhath Fathima"/>
    <d v="2026-07-09T00:00:00"/>
    <x v="1"/>
    <s v="FTE"/>
    <s v="Chennai"/>
    <s v="QEA26SD001"/>
    <s v="Ajiesya D P"/>
    <d v="2026-11-03T00:00:00"/>
    <x v="0"/>
    <s v="In-Training"/>
    <x v="0"/>
    <x v="0"/>
    <s v="Krishna Nivas Ladies PG"/>
    <x v="12"/>
    <x v="0"/>
    <x v="0"/>
    <x v="0"/>
    <x v="0"/>
  </r>
  <r>
    <n v="2521756"/>
    <s v="Gayam Sravani"/>
    <d v="2026-07-09T00:00:00"/>
    <x v="1"/>
    <s v="FTE"/>
    <s v="Chennai"/>
    <s v="QEA26SD001"/>
    <s v="Ajiesya D P"/>
    <d v="2026-11-03T00:00:00"/>
    <x v="0"/>
    <s v="In-Training"/>
    <x v="0"/>
    <x v="0"/>
    <s v="Krishna Nivas Ladies Hostel, Egattur, Chennai"/>
    <x v="12"/>
    <x v="0"/>
    <x v="0"/>
    <x v="0"/>
    <x v="0"/>
  </r>
  <r>
    <n v="2521757"/>
    <s v="Navaneetha Kompally"/>
    <d v="2026-07-09T00:00:00"/>
    <x v="1"/>
    <s v="FTE"/>
    <s v="Chennai"/>
    <s v="QEA26DS001"/>
    <s v="Lourdhu Selvin Raj X"/>
    <d v="2026-10-30T00:00:00"/>
    <x v="3"/>
    <s v="In-Training"/>
    <x v="0"/>
    <x v="0"/>
    <s v="Sri Rama Sai luxury ladies pg - branch 2 , Egattur"/>
    <x v="12"/>
    <x v="0"/>
    <x v="3"/>
    <x v="0"/>
    <x v="0"/>
  </r>
  <r>
    <n v="2521762"/>
    <s v="Pedapudi Meghana"/>
    <d v="2026-07-09T00:00:00"/>
    <x v="1"/>
    <s v="FTE"/>
    <s v="Chennai"/>
    <s v="QEA26SD001"/>
    <s v="Ajiesya D P"/>
    <d v="2026-11-03T00:00:00"/>
    <x v="0"/>
    <s v="In-Training"/>
    <x v="0"/>
    <x v="0"/>
    <s v="Krishna Nivas Ladies PG "/>
    <x v="12"/>
    <x v="0"/>
    <x v="0"/>
    <x v="0"/>
    <x v="0"/>
  </r>
  <r>
    <n v="2521768"/>
    <s v="Guduri Pranathi"/>
    <d v="2026-07-09T00:00:00"/>
    <x v="1"/>
    <s v="FTE"/>
    <s v="Chennai"/>
    <s v="QEA26SD001"/>
    <s v="Ajiesya D P"/>
    <d v="2026-11-03T00:00:00"/>
    <x v="0"/>
    <s v="In-Training"/>
    <x v="0"/>
    <x v="0"/>
    <s v="MSR LUXURY PG FOR WOMEN - Branch 3, Egattur."/>
    <x v="12"/>
    <x v="0"/>
    <x v="0"/>
    <x v="0"/>
    <x v="0"/>
  </r>
  <r>
    <n v="2521785"/>
    <s v="Amanitha K S"/>
    <d v="2026-07-09T00:00:00"/>
    <x v="1"/>
    <s v="FTE"/>
    <s v="Chennai"/>
    <s v="QEA26QEPT023"/>
    <s v="Sweta Thoppil"/>
    <d v="2026-10-19T00:00:00"/>
    <x v="3"/>
    <s v="In-Training"/>
    <x v="0"/>
    <x v="0"/>
    <s v="SRS PG"/>
    <x v="12"/>
    <x v="0"/>
    <x v="3"/>
    <x v="0"/>
    <x v="0"/>
  </r>
  <r>
    <n v="2521829"/>
    <s v="Prince Mishra"/>
    <d v="2026-07-09T00:00:00"/>
    <x v="0"/>
    <s v="FTE"/>
    <s v="Chennai"/>
    <s v="AIA26DSAT004"/>
    <s v="Pavithra Kandasamy"/>
    <d v="2026-10-09T00:00:00"/>
    <x v="3"/>
    <s v="In-Training"/>
    <x v="0"/>
    <x v="0"/>
    <s v="SS Gents PG, SIPCOT IT Park"/>
    <x v="12"/>
    <x v="0"/>
    <x v="3"/>
    <x v="0"/>
    <x v="0"/>
  </r>
  <r>
    <n v="2521835"/>
    <s v="Harshivpranav R S"/>
    <d v="2026-07-09T00:00:00"/>
    <x v="0"/>
    <s v="FTE"/>
    <s v="Chennai"/>
    <s v="QEA26NFTPA001"/>
    <s v="Lourdhu Selvin Raj X"/>
    <d v="2026-11-11T00:00:00"/>
    <x v="0"/>
    <s v="In-Training"/>
    <x v="0"/>
    <x v="0"/>
    <s v="Vishvas Pg and General Apartments , SIPCOT"/>
    <x v="12"/>
    <x v="0"/>
    <x v="3"/>
    <x v="0"/>
    <x v="0"/>
  </r>
  <r>
    <n v="2521837"/>
    <s v="Arnesh R"/>
    <d v="2026-07-09T00:00:00"/>
    <x v="0"/>
    <s v="FTE"/>
    <s v="Chennai"/>
    <s v="QEA26NFTPA001"/>
    <s v="Lourdhu Selvin Raj X"/>
    <d v="2026-11-11T00:00:00"/>
    <x v="0"/>
    <s v="In-Training"/>
    <x v="0"/>
    <x v="0"/>
    <s v="Vishvas Professional Stays-Seruseri"/>
    <x v="12"/>
    <x v="0"/>
    <x v="3"/>
    <x v="0"/>
    <x v="0"/>
  </r>
  <r>
    <n v="2522847"/>
    <s v="SHAIK  Imran"/>
    <d v="2026-07-14T00:00:00"/>
    <x v="0"/>
    <s v="FTE"/>
    <s v="Chennai"/>
    <s v="QEA26ST001"/>
    <s v="Angel Maria Faustina Gomez"/>
    <d v="2026-10-15T00:00:00"/>
    <x v="3"/>
    <s v="In-Training"/>
    <x v="0"/>
    <x v="0"/>
    <s v="SS (Siva Sai) Gents PG"/>
    <x v="12"/>
    <x v="0"/>
    <x v="3"/>
    <x v="0"/>
    <x v="0"/>
  </r>
  <r>
    <n v="2522905"/>
    <s v="CHAGANTI  Chaithanya"/>
    <d v="2026-07-14T00:00:00"/>
    <x v="0"/>
    <s v="FTE"/>
    <s v="Chennai"/>
    <s v="QEA26ST001"/>
    <s v="Angel Maria Faustina Gomez"/>
    <d v="2026-10-15T00:00:00"/>
    <x v="3"/>
    <s v="In-Training"/>
    <x v="0"/>
    <x v="0"/>
    <s v="sri venkata sai hanuman gents pg branch -2 ,4/162A, Anna Street,Siruseri"/>
    <x v="12"/>
    <x v="1"/>
    <x v="3"/>
    <x v="0"/>
    <x v="0"/>
  </r>
  <r>
    <n v="2523382"/>
    <s v="Makarand Rameshwar Hawale"/>
    <d v="2026-07-16T00:00:00"/>
    <x v="0"/>
    <s v="FTE"/>
    <s v="Chennai"/>
    <s v="PG26JFR004"/>
    <s v="Thomas Naveen. J"/>
    <d v="2026-11-16T00:00:00"/>
    <x v="0"/>
    <s v="In-Training"/>
    <x v="0"/>
    <x v="0"/>
    <s v="Soma PG Siruseri"/>
    <x v="12"/>
    <x v="0"/>
    <x v="0"/>
    <x v="0"/>
    <x v="0"/>
  </r>
  <r>
    <n v="2523418"/>
    <s v="Saurabh Shriram Jagare"/>
    <d v="2026-07-16T00:00:00"/>
    <x v="0"/>
    <s v="FTE"/>
    <s v="Chennai"/>
    <s v="PG26JFR004"/>
    <s v="Thomas Naveen. J"/>
    <d v="2026-11-16T00:00:00"/>
    <x v="0"/>
    <s v="In-Training"/>
    <x v="0"/>
    <x v="0"/>
    <s v="KR Mens PG - Branch 1, Egattur"/>
    <x v="12"/>
    <x v="0"/>
    <x v="3"/>
    <x v="0"/>
    <x v="0"/>
  </r>
  <r>
    <n v="2525034"/>
    <s v="Neelisetti N N V K Durga Manikanta"/>
    <d v="2026-07-23T00:00:00"/>
    <x v="0"/>
    <s v="FTE"/>
    <s v="Chennai"/>
    <s v="ADM26ISMO010"/>
    <s v="Thomas Naveen. J"/>
    <d v="2026-10-06T00:00:00"/>
    <x v="3"/>
    <s v="In-Training"/>
    <x v="0"/>
    <x v="0"/>
    <s v="Soma Mens PG, Egattur"/>
    <x v="12"/>
    <x v="0"/>
    <x v="3"/>
    <x v="0"/>
    <x v="0"/>
  </r>
  <r>
    <n v="2525061"/>
    <s v="Vuppala Sai Supriya"/>
    <d v="2026-07-23T00:00:00"/>
    <x v="1"/>
    <s v="FTE"/>
    <s v="Chennai"/>
    <s v="ADM26ISMO010"/>
    <s v="Thomas Naveen. J"/>
    <d v="2026-10-06T00:00:00"/>
    <x v="3"/>
    <s v="In-Training"/>
    <x v="0"/>
    <x v="0"/>
    <s v="Vaishnavi PG , Egattur"/>
    <x v="12"/>
    <x v="0"/>
    <x v="3"/>
    <x v="0"/>
    <x v="0"/>
  </r>
  <r>
    <n v="2525077"/>
    <s v="Siddu Vishnu Priya"/>
    <d v="2026-07-23T00:00:00"/>
    <x v="1"/>
    <s v="FTE"/>
    <s v="Chennai"/>
    <s v="CIS26DWP023"/>
    <s v="Geebiga B"/>
    <d v="2026-09-17T00:00:00"/>
    <x v="2"/>
    <s v="In-Training"/>
    <x v="0"/>
    <x v="0"/>
    <s v="Sri Vaishnavi PG, Siruseri"/>
    <x v="12"/>
    <x v="0"/>
    <x v="3"/>
    <x v="0"/>
    <x v="0"/>
  </r>
  <r>
    <n v="2525101"/>
    <s v="Ashutosh Sharad Deshmukh"/>
    <d v="2026-07-23T00:00:00"/>
    <x v="0"/>
    <s v="FTE"/>
    <s v="Chennai"/>
    <s v="EPS26WD005"/>
    <s v="Vishnupriya Dakshnamurthy"/>
    <d v="2026-11-06T00:00:00"/>
    <x v="0"/>
    <s v="In-Training"/>
    <x v="0"/>
    <x v="0"/>
    <s v="Shri venkata sai hanuman gents pg br-2"/>
    <x v="12"/>
    <x v="0"/>
    <x v="3"/>
    <x v="0"/>
    <x v="0"/>
  </r>
  <r>
    <n v="2526148"/>
    <s v="Thatikonda Vigneshwar"/>
    <d v="2026-07-28T00:00:00"/>
    <x v="0"/>
    <s v="FTE"/>
    <s v="Chennai"/>
    <s v="QEA26DS001"/>
    <s v="Lourdhu Selvin Raj X"/>
    <d v="2026-10-30T00:00:00"/>
    <x v="3"/>
    <s v="In-Training"/>
    <x v="0"/>
    <x v="0"/>
    <s v="GTR stays,Egattur"/>
    <x v="12"/>
    <x v="0"/>
    <x v="3"/>
    <x v="0"/>
    <x v="0"/>
  </r>
  <r>
    <n v="2529562"/>
    <s v="Rohan Arun Bhavare"/>
    <d v="2026-08-11T00:00:00"/>
    <x v="0"/>
    <s v="FTE"/>
    <s v="Chennai"/>
    <s v="CIS26MCPT025"/>
    <s v="Vignesh S"/>
    <d v="2026-12-03T00:00:00"/>
    <x v="1"/>
    <s v="In-Training"/>
    <x v="0"/>
    <x v="0"/>
    <s v="SS (Siva Sai) Gents PG, Siruseri"/>
    <x v="12"/>
    <x v="0"/>
    <x v="3"/>
    <x v="0"/>
    <x v="0"/>
  </r>
  <r>
    <n v="2529648"/>
    <s v="Utbhab Debnath"/>
    <d v="2026-08-11T00:00:00"/>
    <x v="0"/>
    <s v="FTE"/>
    <s v="Chennai"/>
    <s v="CIS26MCPT021"/>
    <s v="Uma Venkatachalam"/>
    <d v="2026-12-08T00:00:00"/>
    <x v="1"/>
    <s v="In-Training"/>
    <x v="0"/>
    <x v="0"/>
    <s v="GTR Strays for gents, Siruseri"/>
    <x v="12"/>
    <x v="0"/>
    <x v="3"/>
    <x v="0"/>
    <x v="0"/>
  </r>
  <r>
    <n v="2529649"/>
    <s v="Navjyot Singh"/>
    <d v="2026-08-11T00:00:00"/>
    <x v="0"/>
    <s v="FTE"/>
    <s v="Chennai"/>
    <s v="CIS26MCPT025"/>
    <s v="Vignesh S"/>
    <d v="2026-12-03T00:00:00"/>
    <x v="1"/>
    <s v="In-Training"/>
    <x v="0"/>
    <x v="0"/>
    <s v="kr mens pg"/>
    <x v="12"/>
    <x v="0"/>
    <x v="3"/>
    <x v="0"/>
    <x v="0"/>
  </r>
  <r>
    <n v="2529656"/>
    <s v="Balaji K"/>
    <d v="2026-08-11T00:00:00"/>
    <x v="0"/>
    <s v="FTE"/>
    <s v="Chennai"/>
    <s v="EPS26SAP031"/>
    <s v="Akashraj R"/>
    <d v="2026-11-04T00:00:00"/>
    <x v="0"/>
    <s v="In-Training"/>
    <x v="0"/>
    <x v="0"/>
    <s v="NKS Mens PG"/>
    <x v="12"/>
    <x v="1"/>
    <x v="0"/>
    <x v="0"/>
    <x v="0"/>
  </r>
  <r>
    <n v="2530195"/>
    <s v="Vankayala Manish"/>
    <d v="2026-08-13T00:00:00"/>
    <x v="0"/>
    <s v="FTE"/>
    <s v="Chennai"/>
    <s v="EPS26OSP010"/>
    <s v="Vishnupriya Dakshnamurthy"/>
    <d v="2026-12-01T00:00:00"/>
    <x v="1"/>
    <s v="In-Training"/>
    <x v="0"/>
    <x v="0"/>
    <s v="ardenwood coliving siruseri"/>
    <x v="12"/>
    <x v="0"/>
    <x v="3"/>
    <x v="0"/>
    <x v="0"/>
  </r>
  <r>
    <n v="2530196"/>
    <s v="Adawet Rath"/>
    <d v="2026-08-13T00:00:00"/>
    <x v="0"/>
    <s v="FTE"/>
    <s v="Chennai"/>
    <s v="EPS26OSPPRO001"/>
    <s v="Gayathri Ramachandran"/>
    <d v="2026-12-07T00:00:00"/>
    <x v="1"/>
    <s v="In-Training"/>
    <x v="0"/>
    <x v="0"/>
    <s v="Room Number 402 Atrumah TVH Terrahub PG For Boys (5th street) no 57 Egattur village road Uthandi Navalur Egattur 600130"/>
    <x v="12"/>
    <x v="0"/>
    <x v="3"/>
    <x v="0"/>
    <x v="0"/>
  </r>
  <r>
    <n v="2530199"/>
    <s v="Shamshuddeen Nadaf"/>
    <d v="2026-08-13T00:00:00"/>
    <x v="0"/>
    <s v="FTE"/>
    <s v="Chennai"/>
    <s v="EPS26OSP010"/>
    <s v="Vishnupriya Dakshnamurthy"/>
    <d v="2026-12-01T00:00:00"/>
    <x v="1"/>
    <s v="In-Training"/>
    <x v="0"/>
    <x v="0"/>
    <s v="Siddus Premium Mens PG A building "/>
    <x v="12"/>
    <x v="0"/>
    <x v="3"/>
    <x v="0"/>
    <x v="0"/>
  </r>
  <r>
    <n v="2530204"/>
    <s v="Amarnadh Narne"/>
    <d v="2026-08-13T00:00:00"/>
    <x v="0"/>
    <s v="FTE"/>
    <s v="Chennai"/>
    <s v="EPS26OSPPRO001"/>
    <s v="Gayathri Ramachandran"/>
    <d v="2026-12-07T00:00:00"/>
    <x v="1"/>
    <s v="In-Training"/>
    <x v="0"/>
    <x v="0"/>
    <s v="Nks Mens Pg "/>
    <x v="12"/>
    <x v="1"/>
    <x v="2"/>
    <x v="0"/>
    <x v="0"/>
  </r>
  <r>
    <n v="2530222"/>
    <s v="Bonda Anish"/>
    <d v="2026-08-13T00:00:00"/>
    <x v="0"/>
    <s v="FTE"/>
    <s v="Chennai"/>
    <s v="EPS26OSP010"/>
    <s v="Vishnupriya Dakshnamurthy"/>
    <d v="2026-12-01T00:00:00"/>
    <x v="1"/>
    <s v="In-Training"/>
    <x v="0"/>
    <x v="0"/>
    <s v="Ardenwood coliving"/>
    <x v="12"/>
    <x v="1"/>
    <x v="3"/>
    <x v="0"/>
    <x v="0"/>
  </r>
  <r>
    <n v="2531357"/>
    <s v="Hari Krishnan M"/>
    <d v="2026-08-18T00:00:00"/>
    <x v="0"/>
    <s v="FTE"/>
    <s v="Chennai"/>
    <s v="EPS26WD006"/>
    <s v="Vishnupriya Dakshnamurthy"/>
    <d v="2026-11-27T00:00:00"/>
    <x v="0"/>
    <s v="In-Training"/>
    <x v="0"/>
    <x v="0"/>
    <s v="NARAYANA MENS PG, NAVALUR"/>
    <x v="12"/>
    <x v="1"/>
    <x v="2"/>
    <x v="0"/>
    <x v="0"/>
  </r>
  <r>
    <n v="2531392"/>
    <s v="Harini Gunasekaran"/>
    <d v="2026-08-18T00:00:00"/>
    <x v="1"/>
    <s v="FTE"/>
    <s v="Chennai"/>
    <s v="EPS26SAP036"/>
    <s v="Vishnupriya Dakshnamurthy"/>
    <d v="2026-11-09T00:00:00"/>
    <x v="0"/>
    <s v="In-Training"/>
    <x v="0"/>
    <x v="0"/>
    <s v="SRS Luxury PG for Woman - Branch 1, Egattur"/>
    <x v="12"/>
    <x v="1"/>
    <x v="0"/>
    <x v="0"/>
    <x v="0"/>
  </r>
  <r>
    <n v="2531424"/>
    <s v="Arya S Nair"/>
    <d v="2026-08-18T00:00:00"/>
    <x v="1"/>
    <s v="FTE"/>
    <s v="Chennai"/>
    <s v="EPS26SAP036"/>
    <s v="Vishnupriya Dakshnamurthy"/>
    <d v="2026-11-09T00:00:00"/>
    <x v="0"/>
    <s v="In-Training"/>
    <x v="0"/>
    <x v="0"/>
    <s v="Vaishnavi Elite Pg for Ladies, Egattur"/>
    <x v="12"/>
    <x v="0"/>
    <x v="3"/>
    <x v="0"/>
    <x v="0"/>
  </r>
  <r>
    <n v="2531832"/>
    <s v="Lokesh Rajmal Thakare"/>
    <d v="2026-08-20T00:00:00"/>
    <x v="0"/>
    <s v="FTE"/>
    <s v="Chennai"/>
    <s v="CS26CS012"/>
    <s v="Laksiya Vijayendran"/>
    <d v="2026-11-17T00:00:00"/>
    <x v="0"/>
    <s v="In-Training"/>
    <x v="0"/>
    <x v="0"/>
    <s v="Aadhilakshi PG for Gents, Egattur"/>
    <x v="12"/>
    <x v="0"/>
    <x v="3"/>
    <x v="0"/>
    <x v="0"/>
  </r>
  <r>
    <n v="2531848"/>
    <s v="Jathin Kumar Sahu"/>
    <d v="2026-08-20T00:00:00"/>
    <x v="0"/>
    <s v="FTE"/>
    <s v="Chennai"/>
    <s v="CS26CS012"/>
    <s v="Laksiya Vijayendran"/>
    <d v="2026-11-17T00:00:00"/>
    <x v="0"/>
    <s v="In-Training"/>
    <x v="0"/>
    <x v="0"/>
    <s v="Aadhi lakshmi pg, siruseri"/>
    <x v="12"/>
    <x v="0"/>
    <x v="3"/>
    <x v="0"/>
    <x v="0"/>
  </r>
  <r>
    <n v="2531968"/>
    <s v="Cherie Josephine A"/>
    <d v="2026-08-20T00:00:00"/>
    <x v="1"/>
    <s v="FTE"/>
    <s v="Chennai"/>
    <s v="EPS26OSP011"/>
    <s v="Gayathri Ramachandran"/>
    <s v=""/>
    <x v="1"/>
    <s v="Training - ON Hold"/>
    <x v="0"/>
    <x v="0"/>
    <s v="Vaishnavi Pg for ladies"/>
    <x v="12"/>
    <x v="1"/>
    <x v="3"/>
    <x v="0"/>
    <x v="0"/>
  </r>
  <r>
    <n v="2532921"/>
    <s v="Sriya Amudalapalli"/>
    <d v="2026-08-25T00:00:00"/>
    <x v="1"/>
    <s v="FTE"/>
    <s v="Chennai"/>
    <s v="ADM27DFSA001"/>
    <s v="Thomas Naveen. J"/>
    <d v="2026-12-30T00:00:00"/>
    <x v="1"/>
    <s v="In-Training"/>
    <x v="0"/>
    <x v="0"/>
    <s v="Sai Grand Womens PG, Dr Ambedkar St, Egattur, Chennai, Tamil Nadu 603103"/>
    <x v="12"/>
    <x v="0"/>
    <x v="3"/>
    <x v="0"/>
    <x v="0"/>
  </r>
  <r>
    <n v="2532975"/>
    <s v="Vishnupriya Nuvvula"/>
    <d v="2026-08-25T00:00:00"/>
    <x v="1"/>
    <s v="FTE"/>
    <s v="Chennai"/>
    <s v="CIS26MBG005"/>
    <s v="Angel Maria Faustina Gomez"/>
    <d v="2026-12-11T00:00:00"/>
    <x v="1"/>
    <s v="In-Training"/>
    <x v="0"/>
    <x v="0"/>
    <s v="Sri sai unique ladies pg, Egattur"/>
    <x v="12"/>
    <x v="1"/>
    <x v="0"/>
    <x v="0"/>
    <x v="0"/>
  </r>
  <r>
    <n v="2532977"/>
    <s v="Yerragundu Jagadeeswar Reddy"/>
    <d v="2026-08-25T00:00:00"/>
    <x v="0"/>
    <s v="FTE"/>
    <s v="Chennai"/>
    <s v="CIS26MBG005"/>
    <s v="Angel Maria Faustina Gomez"/>
    <d v="2026-12-11T00:00:00"/>
    <x v="1"/>
    <s v="In-Training"/>
    <x v="0"/>
    <x v="0"/>
    <s v="Siddus mens pg"/>
    <x v="12"/>
    <x v="0"/>
    <x v="3"/>
    <x v="0"/>
    <x v="0"/>
  </r>
  <r>
    <n v="2533006"/>
    <s v="Vatsavayi Mahendra Varma"/>
    <d v="2026-08-25T00:00:00"/>
    <x v="0"/>
    <s v="FTE"/>
    <s v="Chennai"/>
    <s v="CIS26AT008"/>
    <s v="Uma Venkatachalam"/>
    <d v="2026-12-09T00:00:00"/>
    <x v="1"/>
    <s v="In-Training"/>
    <x v="0"/>
    <x v="0"/>
    <s v="Chandra gents pg, Egattur"/>
    <x v="12"/>
    <x v="0"/>
    <x v="0"/>
    <x v="0"/>
    <x v="0"/>
  </r>
  <r>
    <n v="2533018"/>
    <s v="Bandigari Bayapa Reddy"/>
    <d v="2026-08-25T00:00:00"/>
    <x v="0"/>
    <s v="FTE"/>
    <s v="Chennai"/>
    <s v="ADM27DFSA001"/>
    <s v="Thomas Naveen. J"/>
    <d v="2026-12-30T00:00:00"/>
    <x v="1"/>
    <s v="In-Training"/>
    <x v="0"/>
    <x v="0"/>
    <s v="Siddus Premium PG, Egattur"/>
    <x v="12"/>
    <x v="0"/>
    <x v="3"/>
    <x v="0"/>
    <x v="0"/>
  </r>
  <r>
    <n v="2533026"/>
    <s v="Vundemodalu Divija"/>
    <d v="2026-08-25T00:00:00"/>
    <x v="1"/>
    <s v="FTE"/>
    <s v="Chennai"/>
    <s v="CIS26AT008"/>
    <s v="Uma Venkatachalam"/>
    <d v="2026-12-09T00:00:00"/>
    <x v="1"/>
    <s v="In-Training"/>
    <x v="0"/>
    <x v="0"/>
    <s v="Sri sai unique ladies pg,Egatur"/>
    <x v="12"/>
    <x v="0"/>
    <x v="0"/>
    <x v="0"/>
    <x v="0"/>
  </r>
  <r>
    <n v="2533058"/>
    <s v="Vinothini S"/>
    <d v="2026-08-25T00:00:00"/>
    <x v="1"/>
    <s v="FTE"/>
    <s v="Chennai"/>
    <s v="ADM27DFSA001"/>
    <s v="Thomas Naveen. J"/>
    <d v="2026-12-30T00:00:00"/>
    <x v="1"/>
    <s v="In-Training"/>
    <x v="0"/>
    <x v="0"/>
    <s v="Sai Grand Womens Hostel, Egattur"/>
    <x v="12"/>
    <x v="0"/>
    <x v="0"/>
    <x v="0"/>
    <x v="0"/>
  </r>
  <r>
    <n v="2533070"/>
    <s v="Subhash Gowthamveer Turugopu"/>
    <d v="2026-08-25T00:00:00"/>
    <x v="0"/>
    <s v="FTE"/>
    <s v="Chennai"/>
    <s v="ADM27DFSA001"/>
    <s v="Thomas Naveen. J"/>
    <d v="2026-12-30T00:00:00"/>
    <x v="1"/>
    <s v="In-Training"/>
    <x v="0"/>
    <x v="0"/>
    <s v="Siddus premium mens PG,No 89C,city park layout,3rd left street,Egattur,Siruseri,Chennai"/>
    <x v="12"/>
    <x v="0"/>
    <x v="3"/>
    <x v="0"/>
    <x v="0"/>
  </r>
  <r>
    <n v="2533148"/>
    <s v="Thiru Mugilan C"/>
    <d v="2026-08-25T00:00:00"/>
    <x v="0"/>
    <s v="FTE"/>
    <s v="Chennai"/>
    <s v="CIS26MBG003"/>
    <s v="Kishorekumar P"/>
    <d v="2026-12-11T00:00:00"/>
    <x v="1"/>
    <s v="In-Training"/>
    <x v="0"/>
    <x v="0"/>
    <s v="SR Guest house, Egattur"/>
    <x v="12"/>
    <x v="0"/>
    <x v="0"/>
    <x v="0"/>
    <x v="0"/>
  </r>
  <r>
    <n v="2533576"/>
    <s v="Omkar Ravindra Matsagar"/>
    <d v="2026-08-27T00:00:00"/>
    <x v="0"/>
    <s v="FTE"/>
    <s v="Chennai"/>
    <s v="EPS26SAP038"/>
    <s v="Ajith Ganesan"/>
    <d v="2026-10-27T00:00:00"/>
    <x v="3"/>
    <s v="In-Training"/>
    <x v="0"/>
    <x v="0"/>
    <s v="SR guest house"/>
    <x v="12"/>
    <x v="0"/>
    <x v="3"/>
    <x v="0"/>
    <x v="0"/>
  </r>
  <r>
    <n v="2511281"/>
    <s v="Naga Neeraj Bolisetti"/>
    <d v="2026-05-21T00:00:00"/>
    <x v="0"/>
    <s v="FTE"/>
    <s v="Chennai"/>
    <s v="CIS26MCPT010"/>
    <s v="Mohamed Harish"/>
    <d v="2026-09-15T00:00:00"/>
    <x v="2"/>
    <s v="In-Training"/>
    <x v="0"/>
    <x v="0"/>
    <s v="Sai Grand Gens PG, Egattur"/>
    <x v="12"/>
    <x v="0"/>
    <x v="0"/>
    <x v="0"/>
    <x v="0"/>
  </r>
  <r>
    <n v="2512298"/>
    <s v="Saurabh Sanjay Jaiswal"/>
    <d v="2026-05-28T00:00:00"/>
    <x v="0"/>
    <s v="FTE"/>
    <s v="Chennai"/>
    <s v="CIS26MCPT012"/>
    <s v="Uma Venkatachalam"/>
    <d v="2026-09-17T00:00:00"/>
    <x v="2"/>
    <s v="In-Training"/>
    <x v="0"/>
    <x v="0"/>
    <s v="shree venakanteshwara luxury pg for gents, Navalur"/>
    <x v="12"/>
    <x v="0"/>
    <x v="2"/>
    <x v="0"/>
    <x v="0"/>
  </r>
  <r>
    <n v="2512303"/>
    <s v="Rushikesh Vitthal Divate"/>
    <d v="2026-05-28T00:00:00"/>
    <x v="0"/>
    <s v="FTE"/>
    <s v="Chennai"/>
    <s v="CIS26MCPT012"/>
    <s v="Uma Venkatachalam"/>
    <d v="2026-09-17T00:00:00"/>
    <x v="2"/>
    <s v="In-Training"/>
    <x v="0"/>
    <x v="0"/>
    <s v="Shree Venkateshwar Luxury PG - Branch 1, Navallur"/>
    <x v="12"/>
    <x v="0"/>
    <x v="2"/>
    <x v="0"/>
    <x v="0"/>
  </r>
  <r>
    <n v="2512307"/>
    <s v="Amar Amol Garad"/>
    <d v="2026-05-28T00:00:00"/>
    <x v="0"/>
    <s v="FTE"/>
    <s v="Chennai"/>
    <s v="CIS26MCPT011"/>
    <s v="Uma Venkatachalam"/>
    <d v="2026-09-17T00:00:00"/>
    <x v="2"/>
    <s v="In-Training"/>
    <x v="0"/>
    <x v="0"/>
    <s v="shree venkateshwar luxury pg for gents"/>
    <x v="12"/>
    <x v="0"/>
    <x v="2"/>
    <x v="0"/>
    <x v="0"/>
  </r>
  <r>
    <n v="2512308"/>
    <s v="Elakiya Panneerselvam"/>
    <d v="2026-05-28T00:00:00"/>
    <x v="1"/>
    <s v="FTE"/>
    <s v="Chennai"/>
    <s v="CIS26MCPT011"/>
    <s v="Uma Venkatachalam"/>
    <d v="2026-09-17T00:00:00"/>
    <x v="2"/>
    <s v="In-Training"/>
    <x v="0"/>
    <x v="0"/>
    <s v="New Manikandan Ladies Hostel - Branch 14"/>
    <x v="12"/>
    <x v="1"/>
    <x v="3"/>
    <x v="0"/>
    <x v="0"/>
  </r>
  <r>
    <n v="2512321"/>
    <s v="Saranya M P"/>
    <d v="2026-05-28T00:00:00"/>
    <x v="1"/>
    <s v="FTE"/>
    <s v="Chennai"/>
    <s v="CIS26MCPT011"/>
    <s v="Uma Venkatachalam"/>
    <d v="2026-09-17T00:00:00"/>
    <x v="2"/>
    <s v="In-Training"/>
    <x v="0"/>
    <x v="0"/>
    <s v="New Manigandan Ladies PG/hostel - 14th branch, Kalipattur "/>
    <x v="12"/>
    <x v="0"/>
    <x v="3"/>
    <x v="0"/>
    <x v="0"/>
  </r>
  <r>
    <n v="2512322"/>
    <s v="Ajita M"/>
    <d v="2026-05-28T00:00:00"/>
    <x v="1"/>
    <s v="FTE"/>
    <s v="Chennai"/>
    <s v="CIS26MCPT012"/>
    <s v="Uma Venkatachalam"/>
    <d v="2026-09-17T00:00:00"/>
    <x v="2"/>
    <s v="In-Training"/>
    <x v="0"/>
    <x v="0"/>
    <s v="New Manikandan Ladies Hostel Branch-14, Kazhipatur."/>
    <x v="12"/>
    <x v="1"/>
    <x v="3"/>
    <x v="0"/>
    <x v="0"/>
  </r>
  <r>
    <n v="2512352"/>
    <s v="Syed Simran"/>
    <d v="2026-05-28T00:00:00"/>
    <x v="1"/>
    <s v="FTE"/>
    <s v="Chennai"/>
    <s v="CIS26MCPT011"/>
    <s v="Uma Venkatachalam"/>
    <d v="2026-09-17T00:00:00"/>
    <x v="2"/>
    <s v="In-Training"/>
    <x v="0"/>
    <x v="0"/>
    <s v="sri sudiksha ladies PG , karapakkam"/>
    <x v="12"/>
    <x v="0"/>
    <x v="8"/>
    <x v="4"/>
    <x v="0"/>
  </r>
  <r>
    <n v="2516771"/>
    <s v="Bollu Divya Sree"/>
    <d v="2026-06-18T00:00:00"/>
    <x v="1"/>
    <s v="FTE"/>
    <s v="Chennai"/>
    <s v="CIS26MW001"/>
    <s v="Ashiya Begam S"/>
    <d v="2026-09-11T00:00:00"/>
    <x v="2"/>
    <s v="In-Training"/>
    <x v="0"/>
    <x v="0"/>
    <s v="Vaishnavi Ladies PG  - Dr. Ambedkar Street- Egattur"/>
    <x v="12"/>
    <x v="0"/>
    <x v="3"/>
    <x v="0"/>
    <x v="0"/>
  </r>
  <r>
    <n v="2516797"/>
    <s v="Marachi Aishwarya"/>
    <d v="2026-06-18T00:00:00"/>
    <x v="1"/>
    <s v="FTE"/>
    <s v="Chennai"/>
    <s v="CIS26MW001"/>
    <s v="Ashiya Begam S"/>
    <d v="2026-09-11T00:00:00"/>
    <x v="2"/>
    <s v="In-Training"/>
    <x v="0"/>
    <x v="0"/>
    <s v="Sai teja PG,Egattur"/>
    <x v="12"/>
    <x v="0"/>
    <x v="3"/>
    <x v="0"/>
    <x v="0"/>
  </r>
  <r>
    <n v="2516822"/>
    <s v="Ananya Praseed Kumar"/>
    <d v="2026-06-18T00:00:00"/>
    <x v="1"/>
    <s v="FTE"/>
    <s v="Chennai"/>
    <s v="CIS26MW001"/>
    <s v="Ashiya Begam S"/>
    <d v="2026-09-11T00:00:00"/>
    <x v="2"/>
    <s v="In-Training"/>
    <x v="0"/>
    <x v="0"/>
    <s v="Smiles Inn PG for Ladies"/>
    <x v="12"/>
    <x v="1"/>
    <x v="0"/>
    <x v="0"/>
    <x v="0"/>
  </r>
  <r>
    <n v="2516825"/>
    <s v="Akash Kumar Verma"/>
    <d v="2026-06-18T00:00:00"/>
    <x v="0"/>
    <s v="FTE"/>
    <s v="Chennai"/>
    <s v="CIS26DCO002"/>
    <s v="Yuvasree Thiruvengadam"/>
    <d v="2026-09-25T00:00:00"/>
    <x v="2"/>
    <s v="In-Training"/>
    <x v="0"/>
    <x v="0"/>
    <s v="CNR PG(BOYS) SIPCOT SIRUSERI IT PARK TAMIL NADU CHENNAI"/>
    <x v="12"/>
    <x v="0"/>
    <x v="3"/>
    <x v="0"/>
    <x v="0"/>
  </r>
  <r>
    <n v="2516874"/>
    <s v="Anjana K"/>
    <d v="2026-06-18T00:00:00"/>
    <x v="1"/>
    <s v="FTE"/>
    <s v="Chennai"/>
    <s v="CIS26MW001"/>
    <s v="Ashiya Begam S"/>
    <d v="2026-09-11T00:00:00"/>
    <x v="2"/>
    <s v="In-Training"/>
    <x v="0"/>
    <x v="0"/>
    <s v="Smiles Inn PG for ladies"/>
    <x v="12"/>
    <x v="0"/>
    <x v="0"/>
    <x v="0"/>
    <x v="0"/>
  </r>
  <r>
    <n v="2518811"/>
    <s v="Nivetha T"/>
    <d v="2026-06-30T00:00:00"/>
    <x v="1"/>
    <s v="FTE"/>
    <s v="Chennai"/>
    <s v="CIS26SB001"/>
    <s v="Kishorekumar P"/>
    <d v="2026-10-14T00:00:00"/>
    <x v="3"/>
    <s v="In-Training"/>
    <x v="0"/>
    <x v="0"/>
    <s v="Silver Star Stay Ladies PG, Egattur "/>
    <x v="12"/>
    <x v="1"/>
    <x v="3"/>
    <x v="0"/>
    <x v="0"/>
  </r>
  <r>
    <n v="2518816"/>
    <s v="Jolly Jebastin J"/>
    <d v="2026-06-30T00:00:00"/>
    <x v="0"/>
    <s v="FTE"/>
    <s v="Chennai"/>
    <s v="CIS26SB001"/>
    <s v="Kishorekumar P"/>
    <d v="2026-10-14T00:00:00"/>
    <x v="3"/>
    <s v="In-Training"/>
    <x v="0"/>
    <x v="0"/>
    <s v="Pasanga Paradise PG - Branch 2, Egattur"/>
    <x v="12"/>
    <x v="1"/>
    <x v="0"/>
    <x v="0"/>
    <x v="0"/>
  </r>
  <r>
    <n v="2519594"/>
    <s v="Aluru Vasu"/>
    <d v="2026-07-02T00:00:00"/>
    <x v="0"/>
    <s v="FTE"/>
    <s v="Chennai"/>
    <s v="CIS26UNIX003"/>
    <s v="Haritha P"/>
    <d v="2026-09-24T00:00:00"/>
    <x v="2"/>
    <s v="In-Training"/>
    <x v="0"/>
    <x v="0"/>
    <s v="SPT PG FOR GENTS, Egattur"/>
    <x v="12"/>
    <x v="0"/>
    <x v="0"/>
    <x v="0"/>
    <x v="0"/>
  </r>
  <r>
    <n v="2519642"/>
    <s v="Nikhilan A"/>
    <d v="2026-07-02T00:00:00"/>
    <x v="0"/>
    <s v="FTE"/>
    <s v="Chennai"/>
    <s v="CIS26UNIX004"/>
    <s v="Haritha P"/>
    <d v="2026-09-24T00:00:00"/>
    <x v="2"/>
    <s v="In-Training"/>
    <x v="0"/>
    <x v="0"/>
    <s v="Pasanga Paradise PG - Branch 1, Egattur"/>
    <x v="12"/>
    <x v="1"/>
    <x v="3"/>
    <x v="0"/>
    <x v="0"/>
  </r>
  <r>
    <n v="2519715"/>
    <s v="Botta Venu"/>
    <d v="2026-07-02T00:00:00"/>
    <x v="0"/>
    <s v="FTE"/>
    <s v="Chennai"/>
    <s v="CIS26UNIX004"/>
    <s v="Haritha P"/>
    <d v="2026-09-24T00:00:00"/>
    <x v="2"/>
    <s v="In-Training"/>
    <x v="0"/>
    <x v="0"/>
    <s v="SPT PG FOR GENTS, Egattur"/>
    <x v="12"/>
    <x v="1"/>
    <x v="0"/>
    <x v="0"/>
    <x v="0"/>
  </r>
  <r>
    <n v="2520925"/>
    <s v="Prince LNU"/>
    <d v="2026-07-07T00:00:00"/>
    <x v="0"/>
    <s v="FTE"/>
    <s v="Chennai"/>
    <s v="CS26CS008"/>
    <s v="Kishorekumar P"/>
    <d v="2026-10-28T00:00:00"/>
    <x v="3"/>
    <s v="In-Training"/>
    <x v="0"/>
    <x v="0"/>
    <s v="Ardenwood Co-living"/>
    <x v="12"/>
    <x v="0"/>
    <x v="3"/>
    <x v="0"/>
    <x v="0"/>
  </r>
  <r>
    <n v="2520943"/>
    <s v="Sandeep Laxman Jalandra"/>
    <d v="2026-07-07T00:00:00"/>
    <x v="0"/>
    <s v="FTE"/>
    <s v="Chennai"/>
    <s v="CS26CS008"/>
    <s v="Kishorekumar P"/>
    <d v="2026-10-28T00:00:00"/>
    <x v="3"/>
    <s v="In-Training"/>
    <x v="0"/>
    <x v="0"/>
    <s v="CNR GENTS PG BRANCH-1 SIRUSERI SIPCOT"/>
    <x v="12"/>
    <x v="0"/>
    <x v="3"/>
    <x v="0"/>
    <x v="0"/>
  </r>
  <r>
    <n v="2520952"/>
    <s v="Jammula Jaswanth"/>
    <d v="2026-07-07T00:00:00"/>
    <x v="0"/>
    <s v="FTE"/>
    <s v="Chennai"/>
    <s v="PG26JFR003"/>
    <s v="Vijay K"/>
    <d v="2026-10-27T00:00:00"/>
    <x v="3"/>
    <s v="In-Training"/>
    <x v="0"/>
    <x v="0"/>
    <s v="Geethika grand pg,siruseri,603103"/>
    <x v="12"/>
    <x v="0"/>
    <x v="3"/>
    <x v="0"/>
    <x v="0"/>
  </r>
  <r>
    <n v="2520973"/>
    <s v="K S Subramanya Char"/>
    <d v="2026-07-07T00:00:00"/>
    <x v="0"/>
    <s v="FTE"/>
    <s v="Chennai"/>
    <s v="CS26CS008"/>
    <s v="Kishorekumar P"/>
    <d v="2026-10-28T00:00:00"/>
    <x v="3"/>
    <s v="In-Training"/>
    <x v="0"/>
    <x v="0"/>
    <s v="Truliv Sofia, Siruseri"/>
    <x v="12"/>
    <x v="0"/>
    <x v="3"/>
    <x v="0"/>
    <x v="0"/>
  </r>
  <r>
    <n v="2520977"/>
    <s v="Sanket Hemraj Appa"/>
    <d v="2026-07-07T00:00:00"/>
    <x v="0"/>
    <s v="FTE"/>
    <s v="Chennai"/>
    <s v="CS26CS008"/>
    <s v="Kishorekumar P"/>
    <d v="2026-10-28T00:00:00"/>
    <x v="3"/>
    <s v="In-Training"/>
    <x v="0"/>
    <x v="0"/>
    <s v="KR MENS PG"/>
    <x v="12"/>
    <x v="1"/>
    <x v="3"/>
    <x v="0"/>
    <x v="0"/>
  </r>
  <r>
    <n v="2520983"/>
    <s v="Ayush Pratap Singh"/>
    <d v="2026-07-07T00:00:00"/>
    <x v="0"/>
    <s v="FTE"/>
    <s v="Chennai"/>
    <s v="CS26CS008"/>
    <s v="Kishorekumar P"/>
    <d v="2026-10-28T00:00:00"/>
    <x v="3"/>
    <s v="In-Training"/>
    <x v="0"/>
    <x v="0"/>
    <s v="Ardenwood PG, Siruseri IT Park"/>
    <x v="12"/>
    <x v="0"/>
    <x v="3"/>
    <x v="0"/>
    <x v="0"/>
  </r>
  <r>
    <n v="2520998"/>
    <s v="Shyam Kaushik"/>
    <d v="2026-07-07T00:00:00"/>
    <x v="0"/>
    <s v="FTE"/>
    <s v="Chennai"/>
    <s v="CS26CS008"/>
    <s v="Kishorekumar P"/>
    <d v="2026-10-28T00:00:00"/>
    <x v="3"/>
    <s v="In-Training"/>
    <x v="0"/>
    <x v="0"/>
    <s v="Ardenwood pg Siruseri It park"/>
    <x v="12"/>
    <x v="0"/>
    <x v="0"/>
    <x v="0"/>
    <x v="0"/>
  </r>
  <r>
    <n v="2521089"/>
    <s v="Budigem Dhashvanth Sai"/>
    <d v="2026-07-07T00:00:00"/>
    <x v="0"/>
    <s v="FTE"/>
    <s v="Chennai"/>
    <s v="CS26CS007"/>
    <s v="Lawrance M"/>
    <d v="2026-09-07T00:00:00"/>
    <x v="2"/>
    <s v="In-Training"/>
    <x v="0"/>
    <x v="0"/>
    <s v="sri venkata sai hanuman gents pg  - Branch 2"/>
    <x v="12"/>
    <x v="0"/>
    <x v="0"/>
    <x v="0"/>
    <x v="0"/>
  </r>
  <r>
    <n v="2521098"/>
    <s v="Vishwangar R"/>
    <d v="2026-07-07T00:00:00"/>
    <x v="0"/>
    <s v="FTE"/>
    <s v="Chennai"/>
    <s v="CIS26SN001"/>
    <s v="Ashiya Begam S"/>
    <d v="2026-09-16T00:00:00"/>
    <x v="2"/>
    <s v="In-Training"/>
    <x v="0"/>
    <x v="0"/>
    <s v="Vishvas Professional Stays"/>
    <x v="12"/>
    <x v="0"/>
    <x v="0"/>
    <x v="0"/>
    <x v="0"/>
  </r>
  <r>
    <n v="2521103"/>
    <s v="Naveenkumar M"/>
    <d v="2026-07-07T00:00:00"/>
    <x v="0"/>
    <s v="FTE"/>
    <s v="Chennai"/>
    <s v="CS26CS007"/>
    <s v="Lawrance M"/>
    <d v="2026-09-07T00:00:00"/>
    <x v="2"/>
    <s v="In-Training"/>
    <x v="0"/>
    <x v="0"/>
    <s v="Vishvas pg &amp; general appartments"/>
    <x v="12"/>
    <x v="0"/>
    <x v="0"/>
    <x v="0"/>
    <x v="0"/>
  </r>
  <r>
    <n v="2521113"/>
    <s v="Munagala Aishwarya Reddy"/>
    <d v="2026-07-07T00:00:00"/>
    <x v="1"/>
    <s v="FTE"/>
    <s v="Chennai"/>
    <s v="SNBG26SN004"/>
    <s v="Kishorekumar P"/>
    <d v="2026-09-16T00:00:00"/>
    <x v="2"/>
    <s v="In-Training"/>
    <x v="0"/>
    <x v="0"/>
    <s v="Queens Luxury ladies PG"/>
    <x v="12"/>
    <x v="0"/>
    <x v="2"/>
    <x v="0"/>
    <x v="0"/>
  </r>
  <r>
    <n v="2521118"/>
    <s v="Sri Ram Sankar T S"/>
    <d v="2026-07-07T00:00:00"/>
    <x v="0"/>
    <s v="FTE"/>
    <s v="Chennai"/>
    <s v="CIS26SN001"/>
    <s v="Ashiya Begam S"/>
    <d v="2026-10-08T00:00:00"/>
    <x v="3"/>
    <s v="In-Training"/>
    <x v="0"/>
    <x v="0"/>
    <s v="4th Floor, Vishvas Professional Stays, Plot No 34B, City Park, Egattur, Chennai, Tamil Nadu - 603130."/>
    <x v="12"/>
    <x v="1"/>
    <x v="3"/>
    <x v="0"/>
    <x v="0"/>
  </r>
  <r>
    <n v="2521190"/>
    <s v="Harshraj Sharma"/>
    <d v="2026-07-07T00:00:00"/>
    <x v="0"/>
    <s v="FTE"/>
    <s v="Chennai"/>
    <s v="CM26SFDC006"/>
    <s v="Gayathri Ramachandran"/>
    <d v="2026-11-11T00:00:00"/>
    <x v="0"/>
    <s v="In-Training"/>
    <x v="0"/>
    <x v="0"/>
    <s v="SPT PG FOR GENTS, Siruseri"/>
    <x v="12"/>
    <x v="0"/>
    <x v="3"/>
    <x v="0"/>
    <x v="0"/>
  </r>
  <r>
    <n v="2521272"/>
    <s v="Vayilapalli Dileep"/>
    <d v="2026-07-07T00:00:00"/>
    <x v="0"/>
    <s v="FTE"/>
    <s v="Chennai"/>
    <s v="SNBG26SN003"/>
    <s v="Lawrance M"/>
    <d v="2026-09-16T00:00:00"/>
    <x v="2"/>
    <s v="In-Training"/>
    <x v="0"/>
    <x v="0"/>
    <s v="CHAKRA GENTS PG BRANCH 3, TVH TERA HUB, 6 th Street, Rajiv Gandhi Salai, SIPCOT, Siruseri, Chennai, Tamil Nadu 603103"/>
    <x v="12"/>
    <x v="0"/>
    <x v="3"/>
    <x v="0"/>
    <x v="0"/>
  </r>
  <r>
    <n v="2521285"/>
    <s v="Sravanthi Pasagadugula"/>
    <d v="2026-07-07T00:00:00"/>
    <x v="1"/>
    <s v="FTE"/>
    <s v="Chennai"/>
    <s v="SNBG26SN003"/>
    <s v="Lawrance M"/>
    <d v="2026-09-16T00:00:00"/>
    <x v="2"/>
    <s v="In-Training"/>
    <x v="0"/>
    <x v="0"/>
    <s v="Sai Grand Womens PG (Ambedkar street), Dr Ambedkar St, Egattur"/>
    <x v="12"/>
    <x v="0"/>
    <x v="3"/>
    <x v="0"/>
    <x v="0"/>
  </r>
  <r>
    <n v="2521287"/>
    <s v="Killamsetti Jayaram"/>
    <d v="2026-07-07T00:00:00"/>
    <x v="0"/>
    <s v="FTE"/>
    <s v="Chennai"/>
    <s v="SNBG26SN002"/>
    <s v="Lawrance M"/>
    <d v="2026-09-16T00:00:00"/>
    <x v="2"/>
    <s v="In-Training"/>
    <x v="0"/>
    <x v="0"/>
    <s v="CHAKRA GENTS PG BRANCH 3"/>
    <x v="12"/>
    <x v="0"/>
    <x v="3"/>
    <x v="0"/>
    <x v="0"/>
  </r>
  <r>
    <n v="2521300"/>
    <s v="Killamsetty Reshma"/>
    <d v="2026-07-07T00:00:00"/>
    <x v="1"/>
    <s v="FTE"/>
    <s v="Chennai"/>
    <s v="SNBG26SN002"/>
    <s v="Lawrance M"/>
    <d v="2026-09-16T00:00:00"/>
    <x v="2"/>
    <s v="In-Training"/>
    <x v="0"/>
    <x v="0"/>
    <s v="Sai Grand Womens PG (Ambedkar street), Dr Ambedkar St, Egattur"/>
    <x v="12"/>
    <x v="0"/>
    <x v="3"/>
    <x v="0"/>
    <x v="0"/>
  </r>
  <r>
    <n v="2521641"/>
    <s v="Pasupuleti Vijayalakshmi"/>
    <d v="2026-07-09T00:00:00"/>
    <x v="1"/>
    <s v="FTE"/>
    <s v="Chennai"/>
    <s v="AIA26DSAT004"/>
    <s v="Pavithra Kandasamy"/>
    <d v="2026-10-09T00:00:00"/>
    <x v="3"/>
    <s v="In-Training"/>
    <x v="0"/>
    <x v="0"/>
    <s v="SMILES INN LADIES PG-  BRANCH 2,EGATTUR"/>
    <x v="12"/>
    <x v="1"/>
    <x v="0"/>
    <x v="0"/>
    <x v="0"/>
  </r>
  <r>
    <n v="2521659"/>
    <s v="Deephika R"/>
    <d v="2026-07-09T00:00:00"/>
    <x v="1"/>
    <s v="FTE"/>
    <s v="Chennai"/>
    <s v="AIA26DSAT004"/>
    <s v="Pavithra Kandasamy"/>
    <d v="2026-10-09T00:00:00"/>
    <x v="3"/>
    <s v="In-Training"/>
    <x v="1"/>
    <x v="2"/>
    <s v="Plaza Verdant Phase 2, Perumbakkam"/>
    <x v="12"/>
    <x v="1"/>
    <x v="17"/>
    <x v="4"/>
    <x v="1"/>
  </r>
  <r>
    <n v="2521678"/>
    <s v="Abhijeet Shrihari Yenkar"/>
    <d v="2026-07-09T00:00:00"/>
    <x v="0"/>
    <s v="FTE"/>
    <s v="Chennai"/>
    <s v="AIA26DSAT004"/>
    <s v="Pavithra Kandasamy"/>
    <d v="2026-10-09T00:00:00"/>
    <x v="3"/>
    <s v="In-Training"/>
    <x v="0"/>
    <x v="0"/>
    <s v="SS ( siva sai ) Gents PG Sirsuri IT Park"/>
    <x v="12"/>
    <x v="0"/>
    <x v="3"/>
    <x v="0"/>
    <x v="0"/>
  </r>
  <r>
    <n v="2521751"/>
    <s v="Nanditha Yenugadhati"/>
    <d v="2026-07-09T00:00:00"/>
    <x v="1"/>
    <s v="FTE"/>
    <s v="Chennai"/>
    <s v="QEA26DS001"/>
    <s v="Lourdhu Selvin Raj X"/>
    <d v="2026-10-30T00:00:00"/>
    <x v="3"/>
    <s v="In-Training"/>
    <x v="0"/>
    <x v="0"/>
    <s v="SRS girls pg, ambedkar street, egattur "/>
    <x v="12"/>
    <x v="0"/>
    <x v="0"/>
    <x v="0"/>
    <x v="0"/>
  </r>
  <r>
    <n v="2521823"/>
    <s v="Yernaidu Pothala"/>
    <d v="2026-07-09T00:00:00"/>
    <x v="0"/>
    <s v="FTE"/>
    <s v="Chennai"/>
    <s v="AIA26DSAT004"/>
    <s v="Pavithra Kandasamy"/>
    <d v="2026-10-09T00:00:00"/>
    <x v="3"/>
    <s v="In-Training"/>
    <x v="0"/>
    <x v="0"/>
    <s v="Gaya gents Stays PG for men"/>
    <x v="12"/>
    <x v="1"/>
    <x v="2"/>
    <x v="0"/>
    <x v="0"/>
  </r>
  <r>
    <n v="2522852"/>
    <s v="Tamilkumaran S M"/>
    <d v="2026-07-14T00:00:00"/>
    <x v="0"/>
    <s v="FTE"/>
    <s v="Chennai"/>
    <s v="CIS26MCPT017"/>
    <s v="Haritha P"/>
    <d v="2026-11-09T00:00:00"/>
    <x v="0"/>
    <s v="In-Training"/>
    <x v="0"/>
    <x v="0"/>
    <s v="Chakra mens pg, Doctor Ambedkar street, Egattur, Uthandi, Chengalpattu, Tamil Nadu - 600130"/>
    <x v="12"/>
    <x v="1"/>
    <x v="3"/>
    <x v="0"/>
    <x v="0"/>
  </r>
  <r>
    <n v="2523376"/>
    <s v="Sarvesh Sharad Gurav"/>
    <d v="2026-07-16T00:00:00"/>
    <x v="0"/>
    <s v="FTE"/>
    <s v="Chennai"/>
    <s v="CS26CS009"/>
    <s v="Laksiya Vijayendran"/>
    <d v="2026-10-14T00:00:00"/>
    <x v="3"/>
    <s v="In-Training"/>
    <x v="0"/>
    <x v="0"/>
    <s v="Soma Mens Stay"/>
    <x v="12"/>
    <x v="0"/>
    <x v="0"/>
    <x v="0"/>
    <x v="0"/>
  </r>
  <r>
    <n v="2523378"/>
    <s v="Pavithra R K"/>
    <d v="2026-07-16T00:00:00"/>
    <x v="1"/>
    <s v="FTE"/>
    <s v="Chennai"/>
    <s v="CS26CS009"/>
    <s v="Laksiya Vijayendran"/>
    <d v="2026-10-14T00:00:00"/>
    <x v="3"/>
    <s v="In-Training"/>
    <x v="0"/>
    <x v="0"/>
    <s v="JVR Luxury ladies PG - kazhipattur."/>
    <x v="12"/>
    <x v="0"/>
    <x v="3"/>
    <x v="0"/>
    <x v="0"/>
  </r>
  <r>
    <n v="2523383"/>
    <s v="Mekala Narayana"/>
    <d v="2026-07-16T00:00:00"/>
    <x v="0"/>
    <s v="FTE"/>
    <s v="Chennai"/>
    <s v="CS26CS009"/>
    <s v="Laksiya Vijayendran"/>
    <d v="2026-10-14T00:00:00"/>
    <x v="3"/>
    <s v="In-Training"/>
    <x v="0"/>
    <x v="0"/>
    <s v="Meghana PG, inside SIPCOT IT park, Egattur"/>
    <x v="12"/>
    <x v="1"/>
    <x v="0"/>
    <x v="0"/>
    <x v="0"/>
  </r>
  <r>
    <n v="2523392"/>
    <s v="Mohammad Abdul Khaliq"/>
    <d v="2026-07-16T00:00:00"/>
    <x v="0"/>
    <s v="FTE"/>
    <s v="Chennai"/>
    <s v="CS26CS009"/>
    <s v="Laksiya Vijayendran"/>
    <d v="2026-10-14T00:00:00"/>
    <x v="3"/>
    <s v="In-Training"/>
    <x v="0"/>
    <x v="0"/>
    <s v="SS(Siva Sai) Gents PG, City park, plot#95A, Mamoothiamman, 3rd St, Sipcot, Siruseri, Chennai, Tamil Nadu - 603130"/>
    <x v="12"/>
    <x v="0"/>
    <x v="3"/>
    <x v="0"/>
    <x v="0"/>
  </r>
  <r>
    <n v="2523393"/>
    <s v="Irfana Athiba M"/>
    <d v="2026-07-16T00:00:00"/>
    <x v="1"/>
    <s v="FTE"/>
    <s v="Chennai"/>
    <s v="CS26CS010"/>
    <s v="Laksiya Vijayendran"/>
    <d v="2026-10-19T00:00:00"/>
    <x v="3"/>
    <s v="In-Training"/>
    <x v="0"/>
    <x v="0"/>
    <s v="SRS LUXURY PG FOR LADIES-BRANCH 6,EGATTUR"/>
    <x v="12"/>
    <x v="0"/>
    <x v="0"/>
    <x v="0"/>
    <x v="0"/>
  </r>
  <r>
    <n v="2523397"/>
    <s v="Namboo Shree S"/>
    <d v="2026-07-16T00:00:00"/>
    <x v="1"/>
    <s v="FTE"/>
    <s v="Chennai"/>
    <s v="CS26CS010"/>
    <s v="Laksiya Vijayendran"/>
    <d v="2026-10-19T00:00:00"/>
    <x v="3"/>
    <s v="In-Training"/>
    <x v="0"/>
    <x v="0"/>
    <s v="Branch 2, SRS luxury PG for Womens, HP petrol pump, vembuliamman koil street, behind navalur, Egattur, Chennai."/>
    <x v="12"/>
    <x v="1"/>
    <x v="0"/>
    <x v="0"/>
    <x v="0"/>
  </r>
  <r>
    <n v="2523408"/>
    <s v="Anuj Rajesh Pisole"/>
    <d v="2026-07-16T00:00:00"/>
    <x v="0"/>
    <s v="FTE"/>
    <s v="Chennai"/>
    <s v="CS26CS009"/>
    <s v="Laksiya Vijayendran"/>
    <d v="2026-10-14T00:00:00"/>
    <x v="3"/>
    <s v="In-Training"/>
    <x v="0"/>
    <x v="0"/>
    <s v="CNR GENTS PG BRANCH - 1"/>
    <x v="12"/>
    <x v="0"/>
    <x v="0"/>
    <x v="0"/>
    <x v="0"/>
  </r>
  <r>
    <n v="2523430"/>
    <s v="Bhaskara Subrahmanya Jogesh Dhulipudi"/>
    <d v="2026-07-16T00:00:00"/>
    <x v="0"/>
    <s v="FTE"/>
    <s v="Chennai"/>
    <s v="CS26CS009"/>
    <s v="Laksiya Vijayendran"/>
    <d v="2026-10-14T00:00:00"/>
    <x v="3"/>
    <s v="In-Training"/>
    <x v="0"/>
    <x v="0"/>
    <s v="City park, Plot#95A, Mamoothiamman, 3rd St, Sipcot, Siruseri, Chennai, Tamil Nadu 603103  "/>
    <x v="12"/>
    <x v="0"/>
    <x v="3"/>
    <x v="0"/>
    <x v="0"/>
  </r>
  <r>
    <n v="2523455"/>
    <s v="Kirubaharan D"/>
    <d v="2026-07-16T00:00:00"/>
    <x v="0"/>
    <s v="FTE"/>
    <s v="Chennai"/>
    <s v="CS26CS010"/>
    <s v="Laksiya Vijayendran"/>
    <d v="2026-10-19T00:00:00"/>
    <x v="3"/>
    <s v="In-Training"/>
    <x v="0"/>
    <x v="0"/>
    <s v="No 15 A1, SR Mens PG, Rajiv Gandhi Salai, Citypark Layout, Egattur, Chennai, Tamil Nadu"/>
    <x v="12"/>
    <x v="1"/>
    <x v="0"/>
    <x v="0"/>
    <x v="0"/>
  </r>
  <r>
    <n v="2524481"/>
    <s v="Vemaneni Bhanu Prakash"/>
    <d v="2026-07-21T00:00:00"/>
    <x v="1"/>
    <s v="FTE"/>
    <s v="Chennai"/>
    <s v="IOA26RPA005"/>
    <s v="Adarsh J Nair"/>
    <d v="2026-10-14T00:00:00"/>
    <x v="3"/>
    <s v="In-Training"/>
    <x v="0"/>
    <x v="0"/>
    <s v="Sai Grand Mens Pg, Egattur"/>
    <x v="12"/>
    <x v="0"/>
    <x v="0"/>
    <x v="0"/>
    <x v="0"/>
  </r>
  <r>
    <n v="2524520"/>
    <s v="Samrudhee Popat Karkande"/>
    <d v="2026-07-21T00:00:00"/>
    <x v="1"/>
    <s v="FTE"/>
    <s v="Chennai"/>
    <s v="ADM26MF012"/>
    <s v="Lourdhu Selvin Raj X"/>
    <d v="2026-11-17T00:00:00"/>
    <x v="0"/>
    <s v="In-Training"/>
    <x v="0"/>
    <x v="0"/>
    <s v="queens luxury ladies pg,egattur"/>
    <x v="12"/>
    <x v="0"/>
    <x v="3"/>
    <x v="0"/>
    <x v="0"/>
  </r>
  <r>
    <n v="2524525"/>
    <s v="Vasudha Koorma"/>
    <d v="2026-07-21T00:00:00"/>
    <x v="1"/>
    <s v="FTE"/>
    <s v="Chennai"/>
    <s v="IOA26RPA005"/>
    <s v="Adarsh J Nair"/>
    <d v="2026-10-14T00:00:00"/>
    <x v="3"/>
    <s v="In-Training"/>
    <x v="0"/>
    <x v="0"/>
    <s v="Lavender Girls Pg - Siruseri, Egattur"/>
    <x v="12"/>
    <x v="0"/>
    <x v="2"/>
    <x v="0"/>
    <x v="0"/>
  </r>
  <r>
    <n v="2524552"/>
    <s v="Pravin Dattatray Shinde"/>
    <d v="2026-07-21T00:00:00"/>
    <x v="0"/>
    <s v="FTE"/>
    <s v="Chennai"/>
    <s v="QEA26QEPT024"/>
    <s v="Ajiesya D P"/>
    <d v="2026-11-04T00:00:00"/>
    <x v="0"/>
    <s v="In-Training"/>
    <x v="0"/>
    <x v="0"/>
    <s v="Sri Sarvana Mens Hostel ,Egattur"/>
    <x v="12"/>
    <x v="0"/>
    <x v="0"/>
    <x v="0"/>
    <x v="0"/>
  </r>
  <r>
    <n v="2524647"/>
    <s v="Anuja Abhimanyu Gore"/>
    <d v="2026-07-21T00:00:00"/>
    <x v="1"/>
    <s v="FTE"/>
    <s v="Chennai"/>
    <s v="ADM26MF012"/>
    <s v="Lourdhu Selvin Raj X"/>
    <d v="2026-11-17T00:00:00"/>
    <x v="0"/>
    <s v="In-Training"/>
    <x v="0"/>
    <x v="0"/>
    <s v="Queens PG, Egatur"/>
    <x v="12"/>
    <x v="0"/>
    <x v="3"/>
    <x v="0"/>
    <x v="0"/>
  </r>
  <r>
    <n v="2524661"/>
    <s v="Suja S"/>
    <d v="2026-07-21T00:00:00"/>
    <x v="1"/>
    <s v="FTE"/>
    <s v="Chennai"/>
    <s v="ADM26DFSA007"/>
    <s v="Sweta Thoppil"/>
    <d v="2026-11-10T00:00:00"/>
    <x v="0"/>
    <s v="In-Training"/>
    <x v="0"/>
    <x v="0"/>
    <s v="Sri Rama Sai Luxury PG for Women (ladies hostel) - Branch 2, HP Petrol pump, Vembuliamman Kovil street, behind navalur, Egattur"/>
    <x v="12"/>
    <x v="1"/>
    <x v="0"/>
    <x v="0"/>
    <x v="0"/>
  </r>
  <r>
    <n v="2524970"/>
    <s v="Tanzeela Naaz A I"/>
    <d v="2026-07-23T00:00:00"/>
    <x v="1"/>
    <s v="FTE"/>
    <s v="Chennai"/>
    <s v="CIS26DWP023"/>
    <s v="Geebiga B"/>
    <d v="2026-09-17T00:00:00"/>
    <x v="2"/>
    <s v="In-Training"/>
    <x v="0"/>
    <x v="0"/>
    <s v="Parin Luxury Ladies pg Egattur"/>
    <x v="12"/>
    <x v="1"/>
    <x v="3"/>
    <x v="0"/>
    <x v="0"/>
  </r>
  <r>
    <n v="2525035"/>
    <s v="Laya Thota"/>
    <d v="2026-07-23T00:00:00"/>
    <x v="1"/>
    <s v="FTE"/>
    <s v="Chennai"/>
    <s v="ADM26ISMO010"/>
    <s v="Thomas Naveen. J"/>
    <d v="2026-10-06T00:00:00"/>
    <x v="3"/>
    <s v="In-Training"/>
    <x v="0"/>
    <x v="0"/>
    <s v="Vaishnavi PG for Ladies"/>
    <x v="12"/>
    <x v="1"/>
    <x v="3"/>
    <x v="0"/>
    <x v="0"/>
  </r>
  <r>
    <n v="2525094"/>
    <s v="Aditya Mohan Mane"/>
    <d v="2026-07-23T00:00:00"/>
    <x v="0"/>
    <s v="FTE"/>
    <s v="Chennai"/>
    <s v="EPS26WD005"/>
    <s v="Vishnupriya Dakshnamurthy"/>
    <d v="2026-11-06T00:00:00"/>
    <x v="0"/>
    <s v="In-Training"/>
    <x v="0"/>
    <x v="0"/>
    <s v="Sri Venkata Sai Hanuman Gents PG - Branch 2, Siruseri"/>
    <x v="12"/>
    <x v="0"/>
    <x v="0"/>
    <x v="0"/>
    <x v="0"/>
  </r>
  <r>
    <n v="2525152"/>
    <s v="Shubham Santosh Gadhave"/>
    <d v="2026-07-23T00:00:00"/>
    <x v="0"/>
    <s v="FTE"/>
    <s v="Chennai"/>
    <s v="EPS26WD005"/>
    <s v="Vishnupriya Dakshnamurthy"/>
    <d v="2026-11-06T00:00:00"/>
    <x v="0"/>
    <s v="In-Training"/>
    <x v="0"/>
    <x v="0"/>
    <s v="Sri vyankata sai hanuman Gents PG - Branch 2, Egattur"/>
    <x v="12"/>
    <x v="0"/>
    <x v="0"/>
    <x v="0"/>
    <x v="0"/>
  </r>
  <r>
    <n v="2526130"/>
    <s v="Mohammed Shanid Sulthan"/>
    <d v="2026-07-28T00:00:00"/>
    <x v="0"/>
    <s v="FTE"/>
    <s v="Chennai"/>
    <s v="EPS26WD006"/>
    <s v="Vishnupriya Dakshnamurthy"/>
    <d v="2026-11-27T00:00:00"/>
    <x v="0"/>
    <s v="In-Training"/>
    <x v="0"/>
    <x v="0"/>
    <s v="SR GUEST HOUSE"/>
    <x v="12"/>
    <x v="0"/>
    <x v="0"/>
    <x v="0"/>
    <x v="0"/>
  </r>
  <r>
    <n v="2526135"/>
    <s v="Vikash L"/>
    <d v="2026-07-28T00:00:00"/>
    <x v="0"/>
    <s v="FTE"/>
    <s v="Chennai"/>
    <s v="CIS26DWP024"/>
    <s v="Lakavath Udhaya Bhavana"/>
    <d v="2026-09-21T00:00:00"/>
    <x v="2"/>
    <s v="In-Training"/>
    <x v="0"/>
    <x v="0"/>
    <s v="Sr guest house "/>
    <x v="12"/>
    <x v="0"/>
    <x v="3"/>
    <x v="0"/>
    <x v="0"/>
  </r>
  <r>
    <n v="2526168"/>
    <s v="Shanmugapriya P"/>
    <d v="2026-07-28T00:00:00"/>
    <x v="1"/>
    <s v="FTE"/>
    <s v="Chennai"/>
    <s v="CIS26DWP024"/>
    <s v="Lakavath Udhaya Bhavana"/>
    <d v="2026-09-21T00:00:00"/>
    <x v="2"/>
    <s v="In-Training"/>
    <x v="0"/>
    <x v="4"/>
    <s v="SRS luxury ladies pg branch 5 Thendral street Egattur"/>
    <x v="12"/>
    <x v="1"/>
    <x v="0"/>
    <x v="0"/>
    <x v="0"/>
  </r>
  <r>
    <n v="2529504"/>
    <s v="Akiri Sai Deepika"/>
    <d v="2026-08-11T00:00:00"/>
    <x v="1"/>
    <s v="FTE"/>
    <s v="Chennai"/>
    <s v="CIS26MCPT024"/>
    <s v="Ashiya Begam S"/>
    <d v="2026-12-03T00:00:00"/>
    <x v="1"/>
    <s v="In-Training"/>
    <x v="0"/>
    <x v="0"/>
    <s v="Krishna Nivas Pg Branch 1, Egattur"/>
    <x v="12"/>
    <x v="0"/>
    <x v="0"/>
    <x v="0"/>
    <x v="0"/>
  </r>
  <r>
    <n v="2529506"/>
    <s v="Samarth Somnath Unde"/>
    <d v="2026-08-11T00:00:00"/>
    <x v="0"/>
    <s v="FTE"/>
    <s v="Chennai"/>
    <s v="CIS26MCPT023"/>
    <s v="Kishorekumar P"/>
    <d v="2026-12-03T00:00:00"/>
    <x v="1"/>
    <s v="In-Training"/>
    <x v="0"/>
    <x v="0"/>
    <s v="Sri Saravana Mens Hostel | Mens Pg in Egattur | Mens Pg Accommodation in Egattur | Mens Hostel in Egattur"/>
    <x v="12"/>
    <x v="0"/>
    <x v="0"/>
    <x v="0"/>
    <x v="0"/>
  </r>
  <r>
    <n v="2529515"/>
    <s v="Adithi Sreedhara"/>
    <d v="2026-08-11T00:00:00"/>
    <x v="1"/>
    <s v="FTE"/>
    <s v="Chennai"/>
    <s v="CIS26MCPT025"/>
    <s v="Vignesh S"/>
    <d v="2026-12-03T00:00:00"/>
    <x v="1"/>
    <s v="In-Training"/>
    <x v="0"/>
    <x v="0"/>
    <s v="Queens Luxury Pg"/>
    <x v="12"/>
    <x v="0"/>
    <x v="0"/>
    <x v="0"/>
    <x v="0"/>
  </r>
  <r>
    <n v="2529520"/>
    <s v="Suyash Shailesh Tiwari"/>
    <d v="2026-08-11T00:00:00"/>
    <x v="0"/>
    <s v="FTE"/>
    <s v="Chennai"/>
    <s v="CIS26MCPT023"/>
    <s v="Kishorekumar P"/>
    <d v="2026-12-03T00:00:00"/>
    <x v="1"/>
    <s v="In-Training"/>
    <x v="0"/>
    <x v="0"/>
    <s v="Vishvas pg &amp; general appartments"/>
    <x v="12"/>
    <x v="0"/>
    <x v="3"/>
    <x v="0"/>
    <x v="0"/>
  </r>
  <r>
    <n v="2529549"/>
    <s v="Jayant Mukund Khatavkar"/>
    <d v="2026-08-11T00:00:00"/>
    <x v="0"/>
    <s v="FTE"/>
    <s v="Chennai"/>
    <s v="CIS26MCPT023"/>
    <s v="Kishorekumar P"/>
    <d v="2026-12-03T00:00:00"/>
    <x v="1"/>
    <s v="In-Training"/>
    <x v="0"/>
    <x v="0"/>
    <s v="Anish Luxury Gents PG"/>
    <x v="12"/>
    <x v="0"/>
    <x v="3"/>
    <x v="0"/>
    <x v="0"/>
  </r>
  <r>
    <n v="2529558"/>
    <s v="Perugu Radha"/>
    <d v="2026-08-11T00:00:00"/>
    <x v="1"/>
    <s v="FTE"/>
    <s v="Chennai"/>
    <s v="CIS26MCPT022"/>
    <s v="Laksiya Vijayendran"/>
    <d v="2026-12-03T00:00:00"/>
    <x v="1"/>
    <s v="In-Training"/>
    <x v="0"/>
    <x v="0"/>
    <s v="Aura Nest Ladies PG"/>
    <x v="12"/>
    <x v="0"/>
    <x v="0"/>
    <x v="0"/>
    <x v="0"/>
  </r>
  <r>
    <n v="2529559"/>
    <s v="Chaitanya Prabhu"/>
    <d v="2026-08-11T00:00:00"/>
    <x v="0"/>
    <s v="FTE"/>
    <s v="Chennai"/>
    <s v="CIS26MCPT022"/>
    <s v="Laksiya Vijayendran"/>
    <d v="2026-12-03T00:00:00"/>
    <x v="1"/>
    <s v="In-Training"/>
    <x v="0"/>
    <x v="0"/>
    <s v="Sri sai venkata hanuman mens pg  New Branch , Egattur"/>
    <x v="12"/>
    <x v="0"/>
    <x v="0"/>
    <x v="0"/>
    <x v="0"/>
  </r>
  <r>
    <n v="2529563"/>
    <s v="Nandhakumar J"/>
    <d v="2026-08-11T00:00:00"/>
    <x v="0"/>
    <s v="FTE"/>
    <s v="Chennai"/>
    <s v="CIS26MCPT021"/>
    <s v="Uma Venkatachalam"/>
    <d v="2026-12-08T00:00:00"/>
    <x v="1"/>
    <s v="In-Training"/>
    <x v="0"/>
    <x v="0"/>
    <s v="NKS Mens PG, Siruseri It Sipcot City park layout,78 A,Third Cross road,Egattur"/>
    <x v="12"/>
    <x v="0"/>
    <x v="3"/>
    <x v="0"/>
    <x v="0"/>
  </r>
  <r>
    <n v="2529566"/>
    <s v="Vivek Uttreshwar Giram"/>
    <d v="2026-08-11T00:00:00"/>
    <x v="0"/>
    <s v="FTE"/>
    <s v="Chennai"/>
    <s v="CIS26MCPT024"/>
    <s v="Ashiya Begam S"/>
    <d v="2026-12-03T00:00:00"/>
    <x v="1"/>
    <s v="In-Training"/>
    <x v="0"/>
    <x v="0"/>
    <s v="Soma Mens Stay PG"/>
    <x v="12"/>
    <x v="0"/>
    <x v="0"/>
    <x v="0"/>
    <x v="0"/>
  </r>
  <r>
    <n v="2529568"/>
    <s v="Harshal Sambhaji Gade"/>
    <d v="2026-08-11T00:00:00"/>
    <x v="0"/>
    <s v="FTE"/>
    <s v="Chennai"/>
    <s v="CIS26MCPT022"/>
    <s v="Laksiya Vijayendran"/>
    <d v="2026-12-03T00:00:00"/>
    <x v="1"/>
    <s v="In-Training"/>
    <x v="0"/>
    <x v="0"/>
    <s v="soma mens stay"/>
    <x v="12"/>
    <x v="0"/>
    <x v="3"/>
    <x v="0"/>
    <x v="0"/>
  </r>
  <r>
    <n v="2529579"/>
    <s v="Asma S"/>
    <d v="2026-08-11T00:00:00"/>
    <x v="1"/>
    <s v="FTE"/>
    <s v="Chennai"/>
    <s v="CIS26MCPT021"/>
    <s v="Uma Venkatachalam"/>
    <d v="2026-12-08T00:00:00"/>
    <x v="1"/>
    <s v="In-Training"/>
    <x v="0"/>
    <x v="0"/>
    <s v="Sai Teja Luxury Womens Hostel"/>
    <x v="12"/>
    <x v="1"/>
    <x v="0"/>
    <x v="0"/>
    <x v="0"/>
  </r>
  <r>
    <n v="2529591"/>
    <s v="Samiksha Nagaraju Thatipamula"/>
    <d v="2026-08-11T00:00:00"/>
    <x v="1"/>
    <s v="FTE"/>
    <s v="Chennai"/>
    <s v="CIS26MCPT025"/>
    <s v="Vignesh S"/>
    <d v="2026-12-03T00:00:00"/>
    <x v="1"/>
    <s v="In-Training"/>
    <x v="0"/>
    <x v="0"/>
    <s v="Room No: 414, Aura Nest PG for Ladies, #86, 3rd Cross Road, Muthamma Street, Near TCS New Building, City Park Layout, Siruseri, Chennai, 603103"/>
    <x v="12"/>
    <x v="0"/>
    <x v="0"/>
    <x v="0"/>
    <x v="0"/>
  </r>
  <r>
    <n v="2529618"/>
    <s v="Summit Baruah"/>
    <d v="2026-08-11T00:00:00"/>
    <x v="0"/>
    <s v="FTE"/>
    <s v="Chennai"/>
    <s v="CIS26MCPT026"/>
    <s v="Mohamed Harish"/>
    <d v="2026-12-08T00:00:00"/>
    <x v="1"/>
    <s v="In-Training"/>
    <x v="0"/>
    <x v="0"/>
    <s v="SR Guest House, Egattur"/>
    <x v="12"/>
    <x v="0"/>
    <x v="0"/>
    <x v="0"/>
    <x v="0"/>
  </r>
  <r>
    <n v="2529623"/>
    <s v="Sagar Chandrashekhar Saner"/>
    <d v="2026-08-11T00:00:00"/>
    <x v="0"/>
    <s v="FTE"/>
    <s v="Chennai"/>
    <s v="CIS26MCPT026"/>
    <s v="Mohamed Harish"/>
    <d v="2026-12-08T00:00:00"/>
    <x v="1"/>
    <s v="In-Training"/>
    <x v="0"/>
    <x v="0"/>
    <s v="SNG PG Siruseri"/>
    <x v="12"/>
    <x v="0"/>
    <x v="3"/>
    <x v="0"/>
    <x v="0"/>
  </r>
  <r>
    <n v="2529626"/>
    <s v="Pooja E"/>
    <d v="2026-08-11T00:00:00"/>
    <x v="1"/>
    <s v="FTE"/>
    <s v="Chennai"/>
    <s v="CIS26MCPT021"/>
    <s v="Uma Venkatachalam"/>
    <d v="2026-12-08T00:00:00"/>
    <x v="1"/>
    <s v="In-Training"/>
    <x v="0"/>
    <x v="0"/>
    <s v="Sai Teja luxury Womens hostel"/>
    <x v="12"/>
    <x v="1"/>
    <x v="3"/>
    <x v="0"/>
    <x v="0"/>
  </r>
  <r>
    <n v="2529681"/>
    <s v="Narendra Talari"/>
    <d v="2026-08-11T00:00:00"/>
    <x v="0"/>
    <s v="FTE"/>
    <s v="Chennai"/>
    <s v="CIS26AZ001"/>
    <s v="Ashiya Begam S"/>
    <d v="2026-11-09T00:00:00"/>
    <x v="0"/>
    <s v="In-Training"/>
    <x v="0"/>
    <x v="0"/>
    <s v="sri venkateswara deluxe,Egattur"/>
    <x v="12"/>
    <x v="0"/>
    <x v="3"/>
    <x v="0"/>
    <x v="0"/>
  </r>
  <r>
    <n v="2529708"/>
    <s v="Nusum Srilakshmi Lavanya"/>
    <d v="2026-08-11T00:00:00"/>
    <x v="1"/>
    <s v="FTE"/>
    <s v="Chennai"/>
    <s v="CIS26AZ001"/>
    <s v="Ashiya Begam S"/>
    <d v="2026-11-09T00:00:00"/>
    <x v="0"/>
    <s v="In-Training"/>
    <x v="0"/>
    <x v="0"/>
    <s v="sri sai unique ladies pg, egattur"/>
    <x v="12"/>
    <x v="0"/>
    <x v="0"/>
    <x v="0"/>
    <x v="0"/>
  </r>
  <r>
    <n v="2529726"/>
    <s v="Aparna Sree Sowmya Dhulipala"/>
    <d v="2026-08-11T00:00:00"/>
    <x v="1"/>
    <s v="FTE"/>
    <s v="Chennai"/>
    <s v="CIS26AZ001"/>
    <s v="Ashiya Begam S"/>
    <d v="2026-11-09T00:00:00"/>
    <x v="0"/>
    <s v="In-Training"/>
    <x v="0"/>
    <x v="0"/>
    <s v="Sai Grand womens pg, beside subway Egattur."/>
    <x v="12"/>
    <x v="1"/>
    <x v="0"/>
    <x v="0"/>
    <x v="0"/>
  </r>
  <r>
    <n v="2529748"/>
    <s v="Hemanth Naga Sai Ganesuni"/>
    <d v="2026-08-11T00:00:00"/>
    <x v="0"/>
    <s v="FTE"/>
    <s v="Chennai"/>
    <s v="CIS26AZ001"/>
    <s v="Ashiya Begam S"/>
    <d v="2026-11-09T00:00:00"/>
    <x v="0"/>
    <s v="In-Training"/>
    <x v="0"/>
    <x v="4"/>
    <s v="sri venkateshara delux mens PG, Egattur"/>
    <x v="12"/>
    <x v="1"/>
    <x v="0"/>
    <x v="0"/>
    <x v="0"/>
  </r>
  <r>
    <n v="2529771"/>
    <s v="Tejas Chandrakant Kadam"/>
    <d v="2026-08-11T00:00:00"/>
    <x v="0"/>
    <s v="FTE"/>
    <s v="Chennai"/>
    <s v="CIS26MCPT025"/>
    <s v="Vignesh S"/>
    <d v="2026-12-03T00:00:00"/>
    <x v="1"/>
    <s v="In-Training"/>
    <x v="0"/>
    <x v="0"/>
    <s v="SHREE VENKATESHWARA LUXURY PG FOR GENTS, Sambalal Street, Behind Vegetable Market, Navlur, Tamil Nadu."/>
    <x v="12"/>
    <x v="0"/>
    <x v="2"/>
    <x v="0"/>
    <x v="0"/>
  </r>
  <r>
    <n v="2529784"/>
    <s v="Malla Mounika Krishna"/>
    <d v="2026-08-11T00:00:00"/>
    <x v="1"/>
    <s v="FTE"/>
    <s v="Chennai"/>
    <s v="CIS26MCPT021"/>
    <s v="Uma Venkatachalam"/>
    <d v="2026-12-08T00:00:00"/>
    <x v="1"/>
    <s v="In-Training"/>
    <x v="0"/>
    <x v="0"/>
    <s v="SRI SAI UNIQUE PG LADIES HOSTEL, GANGAMMA AMMAN KOVALI STREET,EGATTUR, CHENNAI"/>
    <x v="12"/>
    <x v="0"/>
    <x v="3"/>
    <x v="0"/>
    <x v="0"/>
  </r>
  <r>
    <n v="2529785"/>
    <s v="Sumit Yogesh Sinare"/>
    <d v="2026-08-11T00:00:00"/>
    <x v="0"/>
    <s v="FTE"/>
    <s v="Chennai"/>
    <s v="CIS26MCPT022"/>
    <s v="Laksiya Vijayendran"/>
    <d v="2026-12-03T00:00:00"/>
    <x v="1"/>
    <s v="In-Training"/>
    <x v="0"/>
    <x v="0"/>
    <s v="Shree Venkateshwara Luxury PG for gents"/>
    <x v="12"/>
    <x v="0"/>
    <x v="2"/>
    <x v="0"/>
    <x v="0"/>
  </r>
  <r>
    <n v="2529786"/>
    <s v="Sirigineedi Geetha Sushma"/>
    <d v="2026-08-11T00:00:00"/>
    <x v="1"/>
    <s v="FTE"/>
    <s v="Chennai"/>
    <s v="CIS26MCPT026"/>
    <s v="Mohamed Harish"/>
    <d v="2026-12-08T00:00:00"/>
    <x v="1"/>
    <s v="In-Training"/>
    <x v="0"/>
    <x v="0"/>
    <s v="Aura nest PG Women, Egattur"/>
    <x v="12"/>
    <x v="1"/>
    <x v="0"/>
    <x v="0"/>
    <x v="0"/>
  </r>
  <r>
    <n v="2529792"/>
    <s v="Shaik Shehanaj"/>
    <d v="2026-08-11T00:00:00"/>
    <x v="1"/>
    <s v="FTE"/>
    <s v="Chennai"/>
    <s v="CIS26MCPT026"/>
    <s v="Mohamed Harish"/>
    <d v="2026-12-08T00:00:00"/>
    <x v="1"/>
    <s v="In-Training"/>
    <x v="0"/>
    <x v="4"/>
    <s v="Egattur"/>
    <x v="12"/>
    <x v="1"/>
    <x v="3"/>
    <x v="0"/>
    <x v="0"/>
  </r>
  <r>
    <n v="2529802"/>
    <s v="Mulla Sai Nadha Swamy"/>
    <d v="2026-08-11T00:00:00"/>
    <x v="0"/>
    <s v="FTE"/>
    <s v="Chennai"/>
    <s v="CIS26AZ001"/>
    <s v="Ashiya Begam S"/>
    <d v="2026-11-09T00:00:00"/>
    <x v="0"/>
    <s v="In-Training"/>
    <x v="0"/>
    <x v="0"/>
    <s v="4th stree , Aadhilakshmi PG for gents ,Egattur,"/>
    <x v="12"/>
    <x v="0"/>
    <x v="0"/>
    <x v="0"/>
    <x v="0"/>
  </r>
  <r>
    <n v="2529808"/>
    <s v="Maddimanu Deepthi"/>
    <d v="2026-08-11T00:00:00"/>
    <x v="1"/>
    <s v="FTE"/>
    <s v="Chennai"/>
    <s v="CIS26AZ001"/>
    <s v="Ashiya Begam S"/>
    <d v="2026-11-09T00:00:00"/>
    <x v="0"/>
    <s v="In-Training"/>
    <x v="0"/>
    <x v="0"/>
    <s v="Sri Sai Unique Ladies PG"/>
    <x v="12"/>
    <x v="0"/>
    <x v="3"/>
    <x v="0"/>
    <x v="0"/>
  </r>
  <r>
    <n v="2531277"/>
    <s v="Saurav Shrikrishna Adhao"/>
    <d v="2026-08-18T00:00:00"/>
    <x v="0"/>
    <s v="FTE"/>
    <s v="Chennai"/>
    <s v="CIS26MCPT026"/>
    <s v="Mohamed Harish"/>
    <d v="2026-12-08T00:00:00"/>
    <x v="1"/>
    <s v="In-Training"/>
    <x v="0"/>
    <x v="0"/>
    <s v="SS(Shiva Sai) Gents PG"/>
    <x v="12"/>
    <x v="0"/>
    <x v="3"/>
    <x v="0"/>
    <x v="0"/>
  </r>
  <r>
    <n v="2531402"/>
    <s v="Farhana Mohamed Abdul Wahab"/>
    <d v="2026-08-18T00:00:00"/>
    <x v="1"/>
    <s v="FTE"/>
    <s v="Chennai"/>
    <s v="EPS26WD006"/>
    <s v="Vishnupriya Dakshnamurthy"/>
    <d v="2026-11-27T00:00:00"/>
    <x v="0"/>
    <s v="In-Training"/>
    <x v="0"/>
    <x v="0"/>
    <s v="SRS luxury ladies PG - Branch 6, Egattur"/>
    <x v="12"/>
    <x v="1"/>
    <x v="0"/>
    <x v="0"/>
    <x v="0"/>
  </r>
  <r>
    <n v="2531410"/>
    <s v="Vagdevi Kilaru"/>
    <d v="2026-08-18T00:00:00"/>
    <x v="1"/>
    <s v="FTE"/>
    <s v="Chennai"/>
    <s v="CIS26AT007"/>
    <s v="Uma Venkatachalam"/>
    <d v="2026-12-09T00:00:00"/>
    <x v="1"/>
    <s v="In-Training"/>
    <x v="0"/>
    <x v="0"/>
    <s v="Sri Sai Unique Ladies PGm"/>
    <x v="12"/>
    <x v="0"/>
    <x v="0"/>
    <x v="0"/>
    <x v="0"/>
  </r>
  <r>
    <n v="2531412"/>
    <s v="Shreenidhi Hariprasad"/>
    <d v="2026-08-18T00:00:00"/>
    <x v="0"/>
    <s v="FTE"/>
    <s v="Chennai"/>
    <s v="EPS26SAP037"/>
    <s v="Gayathri Ramachandran"/>
    <d v="2026-11-04T00:00:00"/>
    <x v="0"/>
    <s v="In-Training"/>
    <x v="0"/>
    <x v="0"/>
    <s v="Siva Sai Gents PG "/>
    <x v="12"/>
    <x v="0"/>
    <x v="3"/>
    <x v="0"/>
    <x v="0"/>
  </r>
  <r>
    <n v="2531421"/>
    <s v="Vasanth K V"/>
    <d v="2026-08-18T00:00:00"/>
    <x v="0"/>
    <s v="FTE"/>
    <s v="Chennai"/>
    <s v="EPS26WD006"/>
    <s v="Vishnupriya Dakshnamurthy"/>
    <d v="2026-11-27T00:00:00"/>
    <x v="0"/>
    <s v="In-Training"/>
    <x v="0"/>
    <x v="0"/>
    <s v="Narayana Gents PG"/>
    <x v="12"/>
    <x v="1"/>
    <x v="2"/>
    <x v="0"/>
    <x v="0"/>
  </r>
  <r>
    <n v="2531448"/>
    <s v="Gummidi Sampath Kumar"/>
    <d v="2026-08-18T00:00:00"/>
    <x v="0"/>
    <s v="FTE"/>
    <s v="Chennai"/>
    <s v="CIS26AT007"/>
    <s v="Uma Venkatachalam"/>
    <d v="2026-12-09T00:00:00"/>
    <x v="1"/>
    <s v="In-Training"/>
    <x v="0"/>
    <x v="0"/>
    <s v="Adhi Lakshmi PG Gents, Tvh terrahub, Egattur, Siruseri"/>
    <x v="12"/>
    <x v="0"/>
    <x v="3"/>
    <x v="0"/>
    <x v="0"/>
  </r>
  <r>
    <n v="2531816"/>
    <s v="Parigi Rajshekar"/>
    <d v="2026-08-20T00:00:00"/>
    <x v="0"/>
    <s v="FTE"/>
    <s v="Chennai"/>
    <s v="CS26CS012"/>
    <s v="Laksiya Vijayendran"/>
    <d v="2026-11-17T00:00:00"/>
    <x v="0"/>
    <s v="In-Training"/>
    <x v="0"/>
    <x v="0"/>
    <s v="Sri venkata sai hanuman gents pg -Branch-2,Egattur"/>
    <x v="12"/>
    <x v="0"/>
    <x v="0"/>
    <x v="0"/>
    <x v="0"/>
  </r>
  <r>
    <n v="2531852"/>
    <s v="Shreyas Shidgonda Patil"/>
    <d v="2026-08-20T00:00:00"/>
    <x v="0"/>
    <s v="FTE"/>
    <s v="Chennai"/>
    <s v="CS26CS011"/>
    <s v="Kishorekumar P"/>
    <d v="2026-11-17T00:00:00"/>
    <x v="0"/>
    <s v="In-Training"/>
    <x v="0"/>
    <x v="0"/>
    <s v="SS (Siva Sai) gents PG, Egattur, "/>
    <x v="12"/>
    <x v="0"/>
    <x v="0"/>
    <x v="0"/>
    <x v="0"/>
  </r>
  <r>
    <n v="2531854"/>
    <s v="Daksina Veera Rohit Muthukumar"/>
    <d v="2026-08-20T00:00:00"/>
    <x v="0"/>
    <s v="FTE"/>
    <s v="Chennai"/>
    <s v="EPS26OSP011"/>
    <s v="Gayathri Ramachandran"/>
    <s v=""/>
    <x v="1"/>
    <s v="Training - ON Hold"/>
    <x v="0"/>
    <x v="0"/>
    <s v="NKS MENS PG"/>
    <x v="12"/>
    <x v="1"/>
    <x v="3"/>
    <x v="0"/>
    <x v="0"/>
  </r>
  <r>
    <n v="2531962"/>
    <s v="Niranjana Priya Selvakumar"/>
    <d v="2026-08-20T00:00:00"/>
    <x v="1"/>
    <s v="FTE"/>
    <s v="Chennai"/>
    <s v="EPS26OSP011"/>
    <s v="Gayathri Ramachandran"/>
    <s v=""/>
    <x v="1"/>
    <s v="Training - ON Hold"/>
    <x v="0"/>
    <x v="0"/>
    <s v="Smiles Inn PG Services For Ladies, Egattur"/>
    <x v="12"/>
    <x v="1"/>
    <x v="39"/>
    <x v="10"/>
    <x v="2"/>
  </r>
  <r>
    <n v="2531979"/>
    <s v="Manoj Kumar G"/>
    <d v="2026-08-20T00:00:00"/>
    <x v="0"/>
    <s v="FTE"/>
    <s v="Chennai"/>
    <s v="EPS26OSP011"/>
    <s v="Gayathri Ramachandran"/>
    <s v=""/>
    <x v="1"/>
    <s v="Training - ON Hold"/>
    <x v="0"/>
    <x v="0"/>
    <s v="NKS MENS PG "/>
    <x v="12"/>
    <x v="0"/>
    <x v="0"/>
    <x v="0"/>
    <x v="0"/>
  </r>
  <r>
    <n v="2531985"/>
    <s v="Abhijith Purathel Anilkumar"/>
    <d v="2026-08-20T00:00:00"/>
    <x v="0"/>
    <s v="FTE"/>
    <s v="Chennai"/>
    <s v="EPS26OSP011"/>
    <s v="Gayathri Ramachandran"/>
    <s v=""/>
    <x v="1"/>
    <s v="Training - ON Hold"/>
    <x v="0"/>
    <x v="0"/>
    <s v="NKS Mens PG"/>
    <x v="12"/>
    <x v="0"/>
    <x v="3"/>
    <x v="0"/>
    <x v="0"/>
  </r>
  <r>
    <n v="2531990"/>
    <s v="Manasa D"/>
    <d v="2026-08-20T00:00:00"/>
    <x v="1"/>
    <s v="FTE"/>
    <s v="Chennai"/>
    <s v="EPS26OSP011"/>
    <s v="Gayathri Ramachandran"/>
    <s v=""/>
    <x v="1"/>
    <s v="Training - ON Hold"/>
    <x v="0"/>
    <x v="0"/>
    <s v="Nakshatra womens pg, Navalur."/>
    <x v="12"/>
    <x v="0"/>
    <x v="2"/>
    <x v="0"/>
    <x v="0"/>
  </r>
  <r>
    <n v="2531991"/>
    <s v="Challa Akshitha"/>
    <d v="2026-08-20T00:00:00"/>
    <x v="1"/>
    <s v="FTE"/>
    <s v="Chennai"/>
    <s v="CS26CS012"/>
    <s v="Laksiya Vijayendran"/>
    <d v="2026-11-17T00:00:00"/>
    <x v="0"/>
    <s v="In-Training"/>
    <x v="0"/>
    <x v="0"/>
    <s v="Smiles inn PG services for Ladies, Egattur,Siruseri"/>
    <x v="12"/>
    <x v="0"/>
    <x v="3"/>
    <x v="0"/>
    <x v="0"/>
  </r>
  <r>
    <n v="2531997"/>
    <s v="Punith Choudhary"/>
    <d v="2026-08-20T00:00:00"/>
    <x v="0"/>
    <s v="FTE"/>
    <s v="Chennai"/>
    <s v="EPS26OSP011"/>
    <s v="Gayathri Ramachandran"/>
    <s v=""/>
    <x v="1"/>
    <s v="Training - ON Hold"/>
    <x v="0"/>
    <x v="0"/>
    <s v="Siddus Premium Men PG"/>
    <x v="12"/>
    <x v="1"/>
    <x v="3"/>
    <x v="0"/>
    <x v="0"/>
  </r>
  <r>
    <n v="2532889"/>
    <s v="Sumit Pathak"/>
    <d v="2026-08-25T00:00:00"/>
    <x v="0"/>
    <s v="FTE"/>
    <s v="Chennai"/>
    <s v="CIS26DWP032"/>
    <s v="Aiswarya A Kumar"/>
    <d v="2026-11-04T00:00:00"/>
    <x v="0"/>
    <s v="In-Training"/>
    <x v="0"/>
    <x v="0"/>
    <s v="Soma Mens Stay"/>
    <x v="12"/>
    <x v="0"/>
    <x v="3"/>
    <x v="0"/>
    <x v="0"/>
  </r>
  <r>
    <n v="2532899"/>
    <s v="Bellamkonda Srilatha"/>
    <d v="2026-08-25T00:00:00"/>
    <x v="1"/>
    <s v="FTE"/>
    <s v="Chennai"/>
    <s v="CIS26MBG007"/>
    <s v="Lawrance M"/>
    <d v="2026-12-11T00:00:00"/>
    <x v="1"/>
    <s v="In-Training"/>
    <x v="0"/>
    <x v="0"/>
    <s v="Uniq Ladies pg"/>
    <x v="12"/>
    <x v="0"/>
    <x v="3"/>
    <x v="0"/>
    <x v="0"/>
  </r>
  <r>
    <n v="2532915"/>
    <s v="Nusum Mounika"/>
    <d v="2026-08-25T00:00:00"/>
    <x v="1"/>
    <s v="FTE"/>
    <s v="Chennai"/>
    <s v="CIS26MBG004"/>
    <s v="Kishorekumar P"/>
    <d v="2026-12-11T00:00:00"/>
    <x v="1"/>
    <s v="In-Training"/>
    <x v="0"/>
    <x v="0"/>
    <s v="SRS branch-6, Navalur."/>
    <x v="12"/>
    <x v="0"/>
    <x v="2"/>
    <x v="0"/>
    <x v="0"/>
  </r>
  <r>
    <n v="2532965"/>
    <s v="Pravallika Kintada"/>
    <d v="2026-08-25T00:00:00"/>
    <x v="1"/>
    <s v="FTE"/>
    <s v="Chennai"/>
    <s v="IOT26CSJ002"/>
    <s v="Pavithra Kandasamy"/>
    <d v="2026-11-11T00:00:00"/>
    <x v="0"/>
    <s v="In-Training"/>
    <x v="0"/>
    <x v="0"/>
    <s v="SRS LUXURY PG FOR WOMEN"/>
    <x v="12"/>
    <x v="0"/>
    <x v="3"/>
    <x v="0"/>
    <x v="0"/>
  </r>
  <r>
    <n v="2532983"/>
    <s v="Venturi Satya Sri Devi"/>
    <d v="2026-08-25T00:00:00"/>
    <x v="1"/>
    <s v="FTE"/>
    <s v="Chennai"/>
    <s v="CIS26MBG006"/>
    <s v="Angel Maria Faustina Gomez"/>
    <d v="2026-12-11T00:00:00"/>
    <x v="1"/>
    <s v="In-Training"/>
    <x v="0"/>
    <x v="0"/>
    <s v="SRS Luxury PG For Woman, Branch 6, Navallur."/>
    <x v="12"/>
    <x v="0"/>
    <x v="2"/>
    <x v="0"/>
    <x v="0"/>
  </r>
  <r>
    <n v="2532985"/>
    <s v="Mukunda Sagar Varma Amireddy"/>
    <d v="2026-08-25T00:00:00"/>
    <x v="0"/>
    <s v="FTE"/>
    <s v="Chennai"/>
    <s v="CIS26MBG004"/>
    <s v="Kishorekumar P"/>
    <d v="2026-12-11T00:00:00"/>
    <x v="1"/>
    <s v="In-Training"/>
    <x v="0"/>
    <x v="0"/>
    <s v="Chandra Gents Pg"/>
    <x v="12"/>
    <x v="0"/>
    <x v="0"/>
    <x v="0"/>
    <x v="0"/>
  </r>
  <r>
    <n v="2533000"/>
    <s v="Aripalli Varsha"/>
    <d v="2026-08-25T00:00:00"/>
    <x v="1"/>
    <s v="FTE"/>
    <s v="Chennai"/>
    <s v="CIS26SN002"/>
    <s v="Ashiya Begam S"/>
    <d v="2026-12-02T00:00:00"/>
    <x v="1"/>
    <s v="In-Training"/>
    <x v="0"/>
    <x v="0"/>
    <s v="Vaishnavi elite PG, Egattur"/>
    <x v="12"/>
    <x v="0"/>
    <x v="0"/>
    <x v="0"/>
    <x v="0"/>
  </r>
  <r>
    <n v="2533002"/>
    <s v="Vallem Venkata Vaishnavi"/>
    <d v="2026-08-25T00:00:00"/>
    <x v="1"/>
    <s v="FTE"/>
    <s v="Chennai"/>
    <s v="CIS26MBG007"/>
    <s v="Lawrance M"/>
    <d v="2026-12-11T00:00:00"/>
    <x v="1"/>
    <s v="In-Training"/>
    <x v="0"/>
    <x v="0"/>
    <s v="Sri Sai unique ladies pg,gangai amman Kovil, Egattur, sirusei, tamilnadu, 603103."/>
    <x v="12"/>
    <x v="0"/>
    <x v="0"/>
    <x v="0"/>
    <x v="0"/>
  </r>
  <r>
    <n v="2533027"/>
    <s v="Mudde Vijay"/>
    <d v="2026-08-25T00:00:00"/>
    <x v="0"/>
    <s v="FTE"/>
    <s v="Chennai"/>
    <s v="CIS26AT008"/>
    <s v="Uma Venkatachalam"/>
    <d v="2026-12-09T00:00:00"/>
    <x v="1"/>
    <s v="In-Training"/>
    <x v="0"/>
    <x v="0"/>
    <s v="Chandra Gents Pg"/>
    <x v="12"/>
    <x v="0"/>
    <x v="0"/>
    <x v="0"/>
    <x v="0"/>
  </r>
  <r>
    <n v="2533028"/>
    <s v="Velagani Venkata Durga Prasad"/>
    <d v="2026-08-25T00:00:00"/>
    <x v="0"/>
    <s v="FTE"/>
    <s v="Chennai"/>
    <s v="IOT26CSJ002"/>
    <s v="Pavithra Kandasamy"/>
    <d v="2026-11-11T00:00:00"/>
    <x v="0"/>
    <s v="In-Training"/>
    <x v="0"/>
    <x v="0"/>
    <s v="Chandra Gents PG, 4th street TVH TerraHub, Near Mohammed Satak College, Siruseri."/>
    <x v="12"/>
    <x v="0"/>
    <x v="0"/>
    <x v="0"/>
    <x v="0"/>
  </r>
  <r>
    <n v="2533057"/>
    <s v="Venkatesh Chadaram"/>
    <d v="2026-08-25T00:00:00"/>
    <x v="0"/>
    <s v="FTE"/>
    <s v="Chennai"/>
    <s v="CIS26MBG006"/>
    <s v="Angel Maria Faustina Gomez"/>
    <d v="2026-12-11T00:00:00"/>
    <x v="1"/>
    <s v="In-Training"/>
    <x v="0"/>
    <x v="0"/>
    <s v="soma mens stay"/>
    <x v="12"/>
    <x v="0"/>
    <x v="3"/>
    <x v="0"/>
    <x v="0"/>
  </r>
  <r>
    <n v="2533059"/>
    <s v="Narayanam Teja Sai Saranya"/>
    <d v="2026-08-25T00:00:00"/>
    <x v="1"/>
    <s v="FTE"/>
    <s v="Chennai"/>
    <s v="IOT26CSJ002"/>
    <s v="Pavithra Kandasamy"/>
    <d v="2026-11-11T00:00:00"/>
    <x v="0"/>
    <s v="In-Training"/>
    <x v="0"/>
    <x v="0"/>
    <s v="Krishna Nivas Ladies PG, Egatur"/>
    <x v="12"/>
    <x v="0"/>
    <x v="0"/>
    <x v="0"/>
    <x v="0"/>
  </r>
  <r>
    <n v="2533065"/>
    <s v="Sri Venkat Nichenametla"/>
    <d v="2026-08-25T00:00:00"/>
    <x v="0"/>
    <s v="FTE"/>
    <s v="Chennai"/>
    <s v="CIS26MBG006"/>
    <s v="Angel Maria Faustina Gomez"/>
    <d v="2026-12-11T00:00:00"/>
    <x v="1"/>
    <s v="In-Training"/>
    <x v="0"/>
    <x v="0"/>
    <s v="siddhus premium gents pg"/>
    <x v="12"/>
    <x v="1"/>
    <x v="0"/>
    <x v="0"/>
    <x v="0"/>
  </r>
  <r>
    <n v="2533071"/>
    <s v="Badri Vasavi Sri Vidya Jyoshini"/>
    <d v="2026-08-25T00:00:00"/>
    <x v="1"/>
    <s v="FTE"/>
    <s v="Chennai"/>
    <s v="CIS26SN002"/>
    <s v="Ashiya Begam S"/>
    <d v="2026-12-02T00:00:00"/>
    <x v="1"/>
    <s v="In-Training"/>
    <x v="0"/>
    <x v="0"/>
    <s v="Vaishnavi PG - Egattur"/>
    <x v="12"/>
    <x v="0"/>
    <x v="0"/>
    <x v="0"/>
    <x v="0"/>
  </r>
  <r>
    <n v="2533072"/>
    <s v="Sayyapureddy Gnana Prasanna"/>
    <d v="2026-08-25T00:00:00"/>
    <x v="1"/>
    <s v="FTE"/>
    <s v="Chennai"/>
    <s v="CIS26SN002"/>
    <s v="Ashiya Begam S"/>
    <d v="2026-12-02T00:00:00"/>
    <x v="1"/>
    <s v="In-Training"/>
    <x v="0"/>
    <x v="0"/>
    <s v="Vaishnavi Elite og, 206, Egattur, Chennai, Tamil Nadu - 600130"/>
    <x v="12"/>
    <x v="0"/>
    <x v="0"/>
    <x v="0"/>
    <x v="0"/>
  </r>
  <r>
    <n v="2533141"/>
    <s v="Srimattirumalapeddinti Sai Bala Harini"/>
    <d v="2026-08-25T00:00:00"/>
    <x v="1"/>
    <s v="FTE"/>
    <s v="Chennai"/>
    <s v="CIS26SN002"/>
    <s v="Ashiya Begam S"/>
    <d v="2026-12-02T00:00:00"/>
    <x v="1"/>
    <s v="In-Training"/>
    <x v="0"/>
    <x v="0"/>
    <s v="206,4th floor,New Vaishnavi elite pg,egattur,siruseri,tambaram district"/>
    <x v="12"/>
    <x v="0"/>
    <x v="0"/>
    <x v="0"/>
    <x v="0"/>
  </r>
  <r>
    <n v="2533178"/>
    <s v="Sai Viswanadh Vanapalli"/>
    <d v="2026-08-25T00:00:00"/>
    <x v="0"/>
    <s v="FTE"/>
    <s v="Chennai"/>
    <s v="CIS26AT008"/>
    <s v="Uma Venkatachalam"/>
    <d v="2026-12-09T00:00:00"/>
    <x v="1"/>
    <s v="In-Training"/>
    <x v="0"/>
    <x v="0"/>
    <s v="SVD GENTS PG, city park layout, near SIPCOT IT Park, sipcot, Egattur, Siruseri, Tamil Nadu 603103  "/>
    <x v="12"/>
    <x v="0"/>
    <x v="3"/>
    <x v="0"/>
    <x v="0"/>
  </r>
  <r>
    <n v="2533181"/>
    <s v="Nidamanuri Sohith Kumar"/>
    <d v="2026-08-25T00:00:00"/>
    <x v="0"/>
    <s v="FTE"/>
    <s v="Chennai"/>
    <s v="IOT26CSJ002"/>
    <s v="Pavithra Kandasamy"/>
    <d v="2026-11-11T00:00:00"/>
    <x v="0"/>
    <s v="In-Training"/>
    <x v="0"/>
    <x v="0"/>
    <s v="SVD GENTS PG"/>
    <x v="12"/>
    <x v="0"/>
    <x v="3"/>
    <x v="0"/>
    <x v="0"/>
  </r>
  <r>
    <n v="2533264"/>
    <s v="Katlagal Bathul Sultana"/>
    <d v="2026-08-25T00:00:00"/>
    <x v="1"/>
    <s v="FTE"/>
    <s v="Chennai"/>
    <s v="ADM27DFSA001"/>
    <s v="Thomas Naveen. J"/>
    <d v="2026-12-30T00:00:00"/>
    <x v="1"/>
    <s v="In-Training"/>
    <x v="0"/>
    <x v="0"/>
    <s v="Sri Sai Unique PG"/>
    <x v="12"/>
    <x v="0"/>
    <x v="3"/>
    <x v="0"/>
    <x v="0"/>
  </r>
  <r>
    <n v="2519592"/>
    <s v="Palanivel P"/>
    <d v="2026-07-02T00:00:00"/>
    <x v="0"/>
    <s v="FTE"/>
    <s v="Chennai"/>
    <s v="CIS26UNIX004"/>
    <s v="Haritha P"/>
    <d v="2026-09-24T00:00:00"/>
    <x v="2"/>
    <s v="In-Training"/>
    <x v="0"/>
    <x v="0"/>
    <s v="Brospace phoneix pg -navalur"/>
    <x v="12"/>
    <x v="0"/>
    <x v="2"/>
    <x v="0"/>
    <x v="0"/>
  </r>
  <r>
    <n v="2521114"/>
    <s v="Salugari Manoj"/>
    <d v="2026-07-07T00:00:00"/>
    <x v="0"/>
    <s v="FTE"/>
    <s v="Chennai"/>
    <s v="CIS26SN001"/>
    <s v="Ashiya Begam S"/>
    <d v="2026-10-08T00:00:00"/>
    <x v="3"/>
    <s v="In-Training"/>
    <x v="0"/>
    <x v="0"/>
    <s v="KR MEN’s PG"/>
    <x v="12"/>
    <x v="0"/>
    <x v="0"/>
    <x v="0"/>
    <x v="0"/>
  </r>
  <r>
    <n v="2521258"/>
    <s v="Vinod S R"/>
    <d v="2026-07-07T00:00:00"/>
    <x v="0"/>
    <s v="FTE"/>
    <s v="Chennai"/>
    <s v="CIS26SN001"/>
    <s v="Ashiya Begam S"/>
    <d v="2026-09-16T00:00:00"/>
    <x v="2"/>
    <s v="In-Training"/>
    <x v="0"/>
    <x v="0"/>
    <s v="Lakshmi Srinivas Mens Elite PG "/>
    <x v="12"/>
    <x v="0"/>
    <x v="0"/>
    <x v="0"/>
    <x v="0"/>
  </r>
  <r>
    <n v="2531961"/>
    <s v="Sai Suryaa Narayan A M"/>
    <d v="2026-08-20T00:00:00"/>
    <x v="0"/>
    <s v="FTE"/>
    <s v="Chennai"/>
    <s v="EPS26OSP011"/>
    <s v="Gayathri Ramachandran"/>
    <s v=""/>
    <x v="1"/>
    <s v="Training - ON Hold"/>
    <x v="0"/>
    <x v="0"/>
    <s v="NKS mens pg"/>
    <x v="12"/>
    <x v="0"/>
    <x v="3"/>
    <x v="0"/>
    <x v="0"/>
  </r>
  <r>
    <n v="2533180"/>
    <s v="Dameswara Rao Kosireddy"/>
    <d v="2026-08-25T00:00:00"/>
    <x v="0"/>
    <s v="FTE"/>
    <s v="Chennai"/>
    <s v="ADM27DFSA001"/>
    <s v="Thomas Naveen. J"/>
    <d v="2026-12-30T00:00:00"/>
    <x v="1"/>
    <s v="In-Training"/>
    <x v="0"/>
    <x v="0"/>
    <s v="SVD GENTS PG"/>
    <x v="12"/>
    <x v="0"/>
    <x v="3"/>
    <x v="0"/>
    <x v="0"/>
  </r>
  <r>
    <n v="2520927"/>
    <s v="Deekshitha N S"/>
    <d v="2026-07-07T00:00:00"/>
    <x v="1"/>
    <s v="FTE"/>
    <s v="Chennai"/>
    <s v="CIS26MCPT013"/>
    <s v="Lawrance M"/>
    <d v="2026-10-29T00:00:00"/>
    <x v="3"/>
    <s v="In-Training"/>
    <x v="0"/>
    <x v="0"/>
    <s v="Vaishnavi Ladies PG - Branch 1, Egattur"/>
    <x v="12"/>
    <x v="0"/>
    <x v="0"/>
    <x v="0"/>
    <x v="0"/>
  </r>
  <r>
    <n v="2525098"/>
    <s v="Rakshitha R"/>
    <d v="2026-07-23T00:00:00"/>
    <x v="1"/>
    <s v="FTE"/>
    <s v="Chennai"/>
    <s v="CIS26DWP023"/>
    <s v="Geebiga B"/>
    <d v="2026-09-17T00:00:00"/>
    <x v="2"/>
    <s v="In-Training"/>
    <x v="0"/>
    <x v="0"/>
    <s v="Parins Luxury Ladies PG, Egattur "/>
    <x v="12"/>
    <x v="1"/>
    <x v="0"/>
    <x v="0"/>
    <x v="0"/>
  </r>
  <r>
    <n v="2529554"/>
    <s v="Mehan K"/>
    <d v="2026-08-11T00:00:00"/>
    <x v="0"/>
    <s v="FTE"/>
    <s v="Chennai"/>
    <s v="CIS26MCPT021"/>
    <s v="Uma Venkatachalam"/>
    <d v="2026-12-08T00:00:00"/>
    <x v="1"/>
    <s v="In-Training"/>
    <x v="0"/>
    <x v="0"/>
    <s v="GTR MANS PG"/>
    <x v="12"/>
    <x v="0"/>
    <x v="2"/>
    <x v="0"/>
    <x v="0"/>
  </r>
  <r>
    <n v="2529639"/>
    <s v="Mukund Ramesh Tambe"/>
    <d v="2026-08-11T00:00:00"/>
    <x v="0"/>
    <s v="FTE"/>
    <s v="Chennai"/>
    <s v="CIS26MCPT023"/>
    <s v="Kishorekumar P"/>
    <d v="2026-12-03T00:00:00"/>
    <x v="1"/>
    <s v="In-Training"/>
    <x v="0"/>
    <x v="0"/>
    <s v="Shri Sarvana Mens PG"/>
    <x v="12"/>
    <x v="0"/>
    <x v="0"/>
    <x v="0"/>
    <x v="0"/>
  </r>
  <r>
    <n v="2529788"/>
    <s v="Abhishek Appasaheb Salunke"/>
    <d v="2026-08-11T00:00:00"/>
    <x v="0"/>
    <s v="FTE"/>
    <s v="Chennai"/>
    <s v="CIS26MCPT024"/>
    <s v="Ashiya Begam S"/>
    <d v="2026-12-03T00:00:00"/>
    <x v="1"/>
    <s v="In-Training"/>
    <x v="0"/>
    <x v="0"/>
    <s v="Shree Venkateshwara luxury pg for gents"/>
    <x v="12"/>
    <x v="0"/>
    <x v="2"/>
    <x v="0"/>
    <x v="0"/>
  </r>
  <r>
    <n v="2531967"/>
    <s v="Swarnadeepika S"/>
    <d v="2026-08-20T00:00:00"/>
    <x v="1"/>
    <s v="FTE"/>
    <s v="Chennai"/>
    <s v="EPS26OSP011"/>
    <s v="Gayathri Ramachandran"/>
    <s v=""/>
    <x v="1"/>
    <s v="Training - ON Hold"/>
    <x v="0"/>
    <x v="0"/>
    <s v="Vaishnavi Ladies PG"/>
    <x v="12"/>
    <x v="1"/>
    <x v="3"/>
    <x v="0"/>
    <x v="0"/>
  </r>
  <r>
    <n v="2518814"/>
    <s v="Ravi Teja Paila"/>
    <d v="2026-06-30T00:00:00"/>
    <x v="0"/>
    <s v="FTE"/>
    <s v="Chennai"/>
    <s v="CIS26SB001"/>
    <s v="Kishorekumar P"/>
    <d v="2026-10-14T00:00:00"/>
    <x v="3"/>
    <s v="In-Training"/>
    <x v="0"/>
    <x v="0"/>
    <s v="Geethika Grands PG for Gents - Sipcot"/>
    <x v="12"/>
    <x v="0"/>
    <x v="3"/>
    <x v="0"/>
    <x v="0"/>
  </r>
  <r>
    <n v="2531352"/>
    <s v="Ashish Sarki"/>
    <d v="2026-08-18T00:00:00"/>
    <x v="0"/>
    <s v="FTE"/>
    <s v="Chennai"/>
    <s v="EPS26SAP036"/>
    <s v="Vishnupriya Dakshnamurthy"/>
    <d v="2026-11-09T00:00:00"/>
    <x v="0"/>
    <s v="In-Training"/>
    <x v="0"/>
    <x v="0"/>
    <s v="SIDDUS PREMIUM MENS PG"/>
    <x v="12"/>
    <x v="0"/>
    <x v="3"/>
    <x v="0"/>
    <x v="0"/>
  </r>
  <r>
    <n v="2518826"/>
    <s v="Kanigir Sai Kiran"/>
    <d v="2026-06-30T00:00:00"/>
    <x v="0"/>
    <s v="FTE"/>
    <s v="Chennai"/>
    <s v="CIS26SB001"/>
    <s v="Kishorekumar P"/>
    <d v="2026-10-14T00:00:00"/>
    <x v="3"/>
    <s v="In-Training"/>
    <x v="0"/>
    <x v="0"/>
    <s v="Geethika grand gents pg, Sipcot"/>
    <x v="12"/>
    <x v="0"/>
    <x v="3"/>
    <x v="0"/>
    <x v="0"/>
  </r>
  <r>
    <n v="2531422"/>
    <s v="Madhur Kumar Upadhyay"/>
    <d v="2026-08-18T00:00:00"/>
    <x v="0"/>
    <s v="FTE"/>
    <s v="Chennai"/>
    <s v="EPS26SAP037"/>
    <s v="Gayathri Ramachandran"/>
    <d v="2026-11-04T00:00:00"/>
    <x v="0"/>
    <s v="In-Training"/>
    <x v="0"/>
    <x v="0"/>
    <s v="Siddus premium mens pg, SIPCOT IT PARK"/>
    <x v="12"/>
    <x v="0"/>
    <x v="3"/>
    <x v="0"/>
    <x v="0"/>
  </r>
  <r>
    <n v="2530217"/>
    <s v="Rohin S"/>
    <d v="2026-08-13T00:00:00"/>
    <x v="0"/>
    <s v="FTE"/>
    <s v="Chennai"/>
    <s v="EPS26OSP010"/>
    <s v="Vishnupriya Dakshnamurthy"/>
    <d v="2026-12-01T00:00:00"/>
    <x v="1"/>
    <s v="In-Training"/>
    <x v="0"/>
    <x v="0"/>
    <s v="sng pg"/>
    <x v="12"/>
    <x v="1"/>
    <x v="3"/>
    <x v="0"/>
    <x v="0"/>
  </r>
  <r>
    <n v="2525151"/>
    <s v="Sahil Sandeep Balfe"/>
    <d v="2026-07-23T00:00:00"/>
    <x v="0"/>
    <s v="FTE"/>
    <s v="Chennai"/>
    <s v="EPS26WD005"/>
    <s v="Vishnupriya Dakshnamurthy"/>
    <d v="2026-11-06T00:00:00"/>
    <x v="0"/>
    <s v="In-Training"/>
    <x v="0"/>
    <x v="0"/>
    <s v="Shri Venka Sai Hanuman Gents PG"/>
    <x v="13"/>
    <x v="0"/>
    <x v="0"/>
    <x v="0"/>
    <x v="0"/>
  </r>
  <r>
    <n v="2531799"/>
    <s v="Angel Sara Varghese"/>
    <d v="2026-08-20T00:00:00"/>
    <x v="1"/>
    <s v="Intern"/>
    <s v="Chennai"/>
    <s v="INTFE26FE001"/>
    <s v="Grace Esther S"/>
    <d v="2026-10-15T00:00:00"/>
    <x v="3"/>
    <s v="In-Training"/>
    <x v="0"/>
    <x v="0"/>
    <s v="Sai Grand - Ambedkar Street"/>
    <x v="13"/>
    <x v="0"/>
    <x v="3"/>
    <x v="0"/>
    <x v="0"/>
  </r>
  <r>
    <n v="2532969"/>
    <s v="Seethini Bhavana"/>
    <d v="2026-08-25T00:00:00"/>
    <x v="1"/>
    <s v="FTE"/>
    <s v="Chennai"/>
    <s v="CIS26AT008"/>
    <s v="Uma Venkatachalam"/>
    <d v="2026-12-09T00:00:00"/>
    <x v="1"/>
    <s v="In-Training"/>
    <x v="0"/>
    <x v="0"/>
    <s v="aura nest ladies pg, siruseri, sipcot it park"/>
    <x v="13"/>
    <x v="0"/>
    <x v="3"/>
    <x v="0"/>
    <x v="0"/>
  </r>
  <r>
    <n v="2533227"/>
    <s v="Samruddhi Anil Avasare"/>
    <d v="2026-08-25T00:00:00"/>
    <x v="1"/>
    <s v="FTE"/>
    <s v="Chennai"/>
    <s v="CIS26MBG003"/>
    <s v="Kishorekumar P"/>
    <d v="2026-12-11T00:00:00"/>
    <x v="1"/>
    <s v="In-Training"/>
    <x v="0"/>
    <x v="0"/>
    <s v="City park 86,muthamma street,Third cross road,siruseri,chennai,tamilnadu 603103"/>
    <x v="13"/>
    <x v="0"/>
    <x v="3"/>
    <x v="0"/>
    <x v="0"/>
  </r>
  <r>
    <n v="2532926"/>
    <s v="Yamini Chowdary Vadlamudi"/>
    <d v="2026-08-25T00:00:00"/>
    <x v="1"/>
    <s v="FTE"/>
    <s v="Chennai"/>
    <s v="CIS26AT008"/>
    <s v="Uma Venkatachalam"/>
    <d v="2026-12-09T00:00:00"/>
    <x v="1"/>
    <s v="In-Training"/>
    <x v="0"/>
    <x v="0"/>
    <s v="aura nest pg -sipcot it park,siruseri"/>
    <x v="13"/>
    <x v="0"/>
    <x v="3"/>
    <x v="0"/>
    <x v="0"/>
  </r>
  <r>
    <n v="2479396"/>
    <s v="Daggupati Nirali"/>
    <d v="2026-08-20T00:00:00"/>
    <x v="1"/>
    <s v="CSD"/>
    <s v="Chennai"/>
    <s v="INTFE26FE001"/>
    <s v="Grace Esther S"/>
    <d v="2026-10-15T00:00:00"/>
    <x v="3"/>
    <s v="In-Training"/>
    <x v="0"/>
    <x v="0"/>
    <s v="Sai Grand Womens Pg-3,Siruseri"/>
    <x v="13"/>
    <x v="0"/>
    <x v="3"/>
    <x v="0"/>
    <x v="0"/>
  </r>
  <r>
    <n v="2521662"/>
    <s v="Akash Sharma"/>
    <d v="2026-07-09T00:00:00"/>
    <x v="0"/>
    <s v="FTE"/>
    <s v="Chennai"/>
    <s v="ADM26MF010"/>
    <s v="Thomas Naveen. J"/>
    <d v="2026-11-02T00:00:00"/>
    <x v="0"/>
    <s v="In-Training"/>
    <x v="0"/>
    <x v="0"/>
    <s v="Anish Luxury Gents PG "/>
    <x v="13"/>
    <x v="0"/>
    <x v="3"/>
    <x v="0"/>
    <x v="0"/>
  </r>
  <r>
    <n v="2519708"/>
    <s v="Krish Agrawal"/>
    <d v="2026-07-02T00:00:00"/>
    <x v="0"/>
    <s v="FTE"/>
    <s v="Chennai"/>
    <s v="CIS26UNIX004"/>
    <s v="Haritha P"/>
    <d v="2026-09-24T00:00:00"/>
    <x v="2"/>
    <s v="In-Training"/>
    <x v="0"/>
    <x v="0"/>
    <s v="ardenwood pg "/>
    <x v="13"/>
    <x v="1"/>
    <x v="3"/>
    <x v="0"/>
    <x v="0"/>
  </r>
  <r>
    <n v="2531984"/>
    <s v="Kanika S"/>
    <d v="2026-08-20T00:00:00"/>
    <x v="1"/>
    <s v="FTE"/>
    <s v="Chennai"/>
    <s v="CS26CS012"/>
    <s v="Laksiya Vijayendran"/>
    <d v="2026-11-17T00:00:00"/>
    <x v="0"/>
    <s v="In-Training"/>
    <x v="0"/>
    <x v="0"/>
    <s v="New manikandan Ladies hostel PG-Branch14,kalipattur"/>
    <x v="13"/>
    <x v="1"/>
    <x v="3"/>
    <x v="0"/>
    <x v="0"/>
  </r>
  <r>
    <n v="2520937"/>
    <s v="Satish Adapa"/>
    <d v="2026-07-07T00:00:00"/>
    <x v="0"/>
    <s v="FTE"/>
    <s v="Chennai"/>
    <s v="EPS26WD004"/>
    <s v="Ajith Ganesan"/>
    <d v="2026-10-15T00:00:00"/>
    <x v="3"/>
    <s v="In-Training"/>
    <x v="0"/>
    <x v="0"/>
    <s v="KR Mens PG"/>
    <x v="13"/>
    <x v="0"/>
    <x v="3"/>
    <x v="0"/>
    <x v="0"/>
  </r>
  <r>
    <n v="2520981"/>
    <s v="Danish Shabab Kamaliwale"/>
    <d v="2026-07-07T00:00:00"/>
    <x v="0"/>
    <s v="FTE"/>
    <s v="Chennai"/>
    <s v="CS26CS007"/>
    <s v="Lawrance M"/>
    <d v="2026-09-07T00:00:00"/>
    <x v="2"/>
    <s v="In-Training"/>
    <x v="0"/>
    <x v="0"/>
    <s v="Geethika grand gents pg, CNK nivas city park, 2nd lane, Mamoothiamman St, Sipcot, Egattur, Tamil Nadu 603103"/>
    <x v="13"/>
    <x v="0"/>
    <x v="3"/>
    <x v="0"/>
    <x v="0"/>
  </r>
  <r>
    <n v="2521059"/>
    <s v="Kalla Rama Sri Sai Sandeep"/>
    <d v="2026-07-07T00:00:00"/>
    <x v="0"/>
    <s v="FTE"/>
    <s v="Chennai"/>
    <s v="SNBG26SN002"/>
    <s v="Lawrance M"/>
    <d v="2026-09-16T00:00:00"/>
    <x v="2"/>
    <s v="In-Training"/>
    <x v="0"/>
    <x v="0"/>
    <s v="SP MENS PG"/>
    <x v="13"/>
    <x v="1"/>
    <x v="3"/>
    <x v="0"/>
    <x v="0"/>
  </r>
  <r>
    <n v="2521076"/>
    <s v="Vathumilli Lakshmi Sri Sai Ganesh"/>
    <d v="2026-07-07T00:00:00"/>
    <x v="0"/>
    <s v="FTE"/>
    <s v="Chennai"/>
    <s v="SNBG26SN004"/>
    <s v="Kishorekumar P"/>
    <d v="2026-10-08T00:00:00"/>
    <x v="3"/>
    <s v="In-Training"/>
    <x v="0"/>
    <x v="0"/>
    <s v="SP Mens PG - Egattur"/>
    <x v="13"/>
    <x v="0"/>
    <x v="0"/>
    <x v="0"/>
    <x v="0"/>
  </r>
  <r>
    <n v="2521083"/>
    <s v="Krishnakumar N"/>
    <d v="2026-07-07T00:00:00"/>
    <x v="0"/>
    <s v="FTE"/>
    <s v="Chennai"/>
    <s v="HPC26DN005"/>
    <s v="Viveka Preethi"/>
    <d v="2026-10-01T00:00:00"/>
    <x v="3"/>
    <s v="In-Training"/>
    <x v="0"/>
    <x v="0"/>
    <s v="KR Mens PG"/>
    <x v="13"/>
    <x v="1"/>
    <x v="3"/>
    <x v="0"/>
    <x v="0"/>
  </r>
  <r>
    <n v="2521101"/>
    <s v="Jitesh Singh"/>
    <d v="2026-07-07T00:00:00"/>
    <x v="0"/>
    <s v="FTE"/>
    <s v="Chennai"/>
    <s v="CS26CS007"/>
    <s v="Lawrance M"/>
    <d v="2026-09-07T00:00:00"/>
    <x v="2"/>
    <s v="In-Training"/>
    <x v="0"/>
    <x v="0"/>
    <s v="Zolo Mayfield - PG in Padur | Unisex PG"/>
    <x v="13"/>
    <x v="0"/>
    <x v="5"/>
    <x v="2"/>
    <x v="2"/>
  </r>
  <r>
    <n v="2521138"/>
    <s v="Seemakurti Chandana Priya"/>
    <d v="2026-07-07T00:00:00"/>
    <x v="1"/>
    <s v="FTE"/>
    <s v="Chennai"/>
    <s v="SNBG26SN003"/>
    <s v="Lawrance M"/>
    <d v="2026-10-08T00:00:00"/>
    <x v="3"/>
    <s v="In-Training"/>
    <x v="0"/>
    <x v="0"/>
    <s v="Sai Grand Womans PG"/>
    <x v="13"/>
    <x v="1"/>
    <x v="0"/>
    <x v="0"/>
    <x v="0"/>
  </r>
  <r>
    <n v="2521182"/>
    <s v="Suhasini Shivaji Chavan"/>
    <d v="2026-07-07T00:00:00"/>
    <x v="1"/>
    <s v="FTE"/>
    <s v="Chennai"/>
    <s v="EPS26WD004"/>
    <s v="Ajith Ganesan"/>
    <d v="2026-10-15T00:00:00"/>
    <x v="3"/>
    <s v="In-Training"/>
    <x v="0"/>
    <x v="0"/>
    <s v="SRS Luxury Ladies PG-branch 5,Egattur"/>
    <x v="13"/>
    <x v="0"/>
    <x v="0"/>
    <x v="0"/>
    <x v="0"/>
  </r>
  <r>
    <n v="2521719"/>
    <s v="Harshitha Yarra"/>
    <d v="2026-07-09T00:00:00"/>
    <x v="1"/>
    <s v="FTE"/>
    <s v="Chennai"/>
    <s v="QEA26SD001"/>
    <s v="Ajiesya D P"/>
    <d v="2026-11-03T00:00:00"/>
    <x v="0"/>
    <s v="In-Training"/>
    <x v="0"/>
    <x v="0"/>
    <s v="SRS Luxury pg, branch 1, Egattur"/>
    <x v="13"/>
    <x v="1"/>
    <x v="0"/>
    <x v="0"/>
    <x v="0"/>
  </r>
  <r>
    <n v="2521831"/>
    <s v="Abhi Verma"/>
    <d v="2026-07-09T00:00:00"/>
    <x v="0"/>
    <s v="FTE"/>
    <s v="Chennai"/>
    <s v="ADM26MF011"/>
    <s v="Abinaya R"/>
    <d v="2026-11-02T00:00:00"/>
    <x v="0"/>
    <s v="In-Training"/>
    <x v="0"/>
    <x v="0"/>
    <s v="BROSPACE Phoenix Premium Mens PG Hostel"/>
    <x v="13"/>
    <x v="0"/>
    <x v="2"/>
    <x v="0"/>
    <x v="0"/>
  </r>
  <r>
    <n v="2524480"/>
    <s v="Laxman Hadagali"/>
    <d v="2026-07-21T00:00:00"/>
    <x v="0"/>
    <s v="FTE"/>
    <s v="Chennai"/>
    <s v="ADM26MF012"/>
    <s v="Lourdhu Selvin Raj X"/>
    <d v="2026-11-17T00:00:00"/>
    <x v="0"/>
    <s v="In-Training"/>
    <x v="0"/>
    <x v="0"/>
    <s v="Chakra Gents PG - Branch 2 "/>
    <x v="13"/>
    <x v="0"/>
    <x v="3"/>
    <x v="0"/>
    <x v="0"/>
  </r>
  <r>
    <n v="2524493"/>
    <s v="Yelugoti Dinesh Reddy"/>
    <d v="2026-07-21T00:00:00"/>
    <x v="0"/>
    <s v="FTE"/>
    <s v="Chennai"/>
    <s v="ADM26MF012"/>
    <s v="Lourdhu Selvin Raj X"/>
    <d v="2026-11-17T00:00:00"/>
    <x v="0"/>
    <s v="In-Training"/>
    <x v="0"/>
    <x v="0"/>
    <s v="Siddus premium pG, Egatur"/>
    <x v="13"/>
    <x v="0"/>
    <x v="3"/>
    <x v="0"/>
    <x v="0"/>
  </r>
  <r>
    <n v="2524568"/>
    <s v="Beeram Pavan Kalyan Reddy"/>
    <d v="2026-07-21T00:00:00"/>
    <x v="0"/>
    <s v="FTE"/>
    <s v="Chennai"/>
    <s v="ADM26DFSA007"/>
    <s v="Sweta Thoppil"/>
    <d v="2026-11-10T00:00:00"/>
    <x v="0"/>
    <s v="In-Training"/>
    <x v="0"/>
    <x v="0"/>
    <s v="Siddus Premium Mens PG, No 89C,Egattur"/>
    <x v="13"/>
    <x v="1"/>
    <x v="3"/>
    <x v="0"/>
    <x v="0"/>
  </r>
  <r>
    <n v="2524578"/>
    <s v="Vignesh Muniyandi"/>
    <d v="2026-07-21T00:00:00"/>
    <x v="0"/>
    <s v="FTE"/>
    <s v="Chennai"/>
    <s v="ADM26DFSA007"/>
    <s v="Sweta Thoppil"/>
    <d v="2026-11-10T00:00:00"/>
    <x v="0"/>
    <s v="In-Training"/>
    <x v="0"/>
    <x v="0"/>
    <s v="Siddus Permium Mens PG, Egattur"/>
    <x v="13"/>
    <x v="0"/>
    <x v="0"/>
    <x v="0"/>
    <x v="0"/>
  </r>
  <r>
    <n v="2524592"/>
    <s v="Thotamsetty Lalith Srinivas"/>
    <d v="2026-07-21T00:00:00"/>
    <x v="0"/>
    <s v="FTE"/>
    <s v="Chennai"/>
    <s v="ADM26DFSA007"/>
    <s v="Sweta Thoppil"/>
    <d v="2026-11-10T00:00:00"/>
    <x v="0"/>
    <s v="In-Training"/>
    <x v="0"/>
    <x v="0"/>
    <s v="Siddus Premium Mens PG,No 89C, city park layout, 3rd left street, Egattur, Siruseri, Chennai, Tamil Nadu 603103"/>
    <x v="13"/>
    <x v="0"/>
    <x v="0"/>
    <x v="0"/>
    <x v="0"/>
  </r>
  <r>
    <n v="2525028"/>
    <s v="Sumit Vishwakarma"/>
    <d v="2026-07-23T00:00:00"/>
    <x v="0"/>
    <s v="FTE"/>
    <s v="Chennai"/>
    <s v="ADM26ISMO010"/>
    <s v="Thomas Naveen. J"/>
    <d v="2026-10-06T00:00:00"/>
    <x v="3"/>
    <s v="In-Training"/>
    <x v="0"/>
    <x v="0"/>
    <s v="503, Brospace Phoenix premium mens PG indra gandhi street navalur"/>
    <x v="13"/>
    <x v="1"/>
    <x v="2"/>
    <x v="0"/>
    <x v="0"/>
  </r>
  <r>
    <n v="2525082"/>
    <s v="Karthikeyani K"/>
    <d v="2026-07-23T00:00:00"/>
    <x v="1"/>
    <s v="FTE"/>
    <s v="Chennai"/>
    <s v="CIS26DWP023"/>
    <s v="Geebiga B"/>
    <d v="2026-09-17T00:00:00"/>
    <x v="2"/>
    <s v="In-Training"/>
    <x v="0"/>
    <x v="0"/>
    <s v="Moksha Ladies PG"/>
    <x v="13"/>
    <x v="0"/>
    <x v="3"/>
    <x v="0"/>
    <x v="0"/>
  </r>
  <r>
    <n v="2529536"/>
    <s v="Akshata Santosh Waikar"/>
    <d v="2026-08-11T00:00:00"/>
    <x v="1"/>
    <s v="FTE"/>
    <s v="Chennai"/>
    <s v="CIS26MCPT025"/>
    <s v="Vignesh S"/>
    <d v="2026-12-03T00:00:00"/>
    <x v="1"/>
    <s v="In-Training"/>
    <x v="0"/>
    <x v="0"/>
    <s v="JVR luxury ladies PG.3/53, mattu street , kalipattur"/>
    <x v="13"/>
    <x v="0"/>
    <x v="40"/>
    <x v="5"/>
    <x v="0"/>
  </r>
  <r>
    <n v="2529675"/>
    <s v="Tumati Akshita"/>
    <d v="2026-08-11T00:00:00"/>
    <x v="1"/>
    <s v="FTE"/>
    <s v="Chennai"/>
    <s v="EPS26SAP033"/>
    <s v="Ajith Ganesan"/>
    <d v="2026-11-04T00:00:00"/>
    <x v="0"/>
    <s v="In-Training"/>
    <x v="0"/>
    <x v="0"/>
    <s v="Sai grand pg, dr ambedkar street , road beside subway , egattur ."/>
    <x v="13"/>
    <x v="0"/>
    <x v="3"/>
    <x v="0"/>
    <x v="0"/>
  </r>
  <r>
    <n v="2531312"/>
    <s v="Rani Chandrashekhar Mehetre"/>
    <d v="2026-08-18T00:00:00"/>
    <x v="1"/>
    <s v="FTE"/>
    <s v="Chennai"/>
    <s v="CIS26DWP030"/>
    <s v="Prokriti Biswas"/>
    <d v="2026-10-29T00:00:00"/>
    <x v="3"/>
    <s v="In-Training"/>
    <x v="0"/>
    <x v="0"/>
    <s v="Aura nest pg siruseri it park"/>
    <x v="13"/>
    <x v="1"/>
    <x v="0"/>
    <x v="0"/>
    <x v="0"/>
  </r>
  <r>
    <n v="2531425"/>
    <s v="L Lynette Infancia"/>
    <d v="2026-08-18T00:00:00"/>
    <x v="1"/>
    <s v="FTE"/>
    <s v="Chennai"/>
    <s v="EPS26SAP036"/>
    <s v="Vishnupriya Dakshnamurthy"/>
    <d v="2026-11-09T00:00:00"/>
    <x v="0"/>
    <s v="In-Training"/>
    <x v="0"/>
    <x v="0"/>
    <s v="R and R ladies PG"/>
    <x v="13"/>
    <x v="0"/>
    <x v="2"/>
    <x v="0"/>
    <x v="0"/>
  </r>
  <r>
    <n v="2533050"/>
    <s v="Naresh Kumaran S"/>
    <d v="2026-08-25T00:00:00"/>
    <x v="0"/>
    <s v="FTE"/>
    <s v="Chennai"/>
    <s v="ADM27DFSA001"/>
    <s v="Thomas Naveen. J"/>
    <d v="2026-12-30T00:00:00"/>
    <x v="1"/>
    <s v="In-Training"/>
    <x v="0"/>
    <x v="0"/>
    <s v="Sri venkata sai hunuman gents PG - Branck 2, siruseri"/>
    <x v="13"/>
    <x v="1"/>
    <x v="3"/>
    <x v="0"/>
    <x v="0"/>
  </r>
  <r>
    <n v="2533132"/>
    <s v="Naveensakthi S"/>
    <d v="2026-08-25T00:00:00"/>
    <x v="0"/>
    <s v="FTE"/>
    <s v="Chennai"/>
    <s v="CIS26MBG004"/>
    <s v="Kishorekumar P"/>
    <d v="2026-12-11T00:00:00"/>
    <x v="1"/>
    <s v="In-Training"/>
    <x v="0"/>
    <x v="0"/>
    <s v="KR Mens Pg, siruseri"/>
    <x v="13"/>
    <x v="0"/>
    <x v="3"/>
    <x v="0"/>
    <x v="0"/>
  </r>
  <r>
    <n v="2507395"/>
    <s v="Yugesvaran M"/>
    <d v="2026-04-30T00:00:00"/>
    <x v="0"/>
    <s v="FTE"/>
    <s v="Chennai"/>
    <s v="ISG26JSAAT002"/>
    <s v="Ashiya Begam S"/>
    <d v="2026-09-07T00:00:00"/>
    <x v="2"/>
    <s v="In-Training-Remedial"/>
    <x v="1"/>
    <x v="2"/>
    <s v="Urbanise Revolution One, E Block, Padur"/>
    <x v="13"/>
    <x v="1"/>
    <x v="5"/>
    <x v="2"/>
    <x v="1"/>
  </r>
  <r>
    <n v="2507496"/>
    <s v="Disha Gopal Mahajan"/>
    <d v="2026-04-30T00:00:00"/>
    <x v="1"/>
    <s v="FTE"/>
    <s v="Chennai"/>
    <s v="ISG26JSAAT002"/>
    <s v="Ashiya Begam S"/>
    <d v="2026-09-07T00:00:00"/>
    <x v="2"/>
    <s v="In-Training-Remedial"/>
    <x v="0"/>
    <x v="0"/>
    <s v="JVR Luxury Ladies PG , kazipattur chennai"/>
    <x v="13"/>
    <x v="0"/>
    <x v="41"/>
    <x v="2"/>
    <x v="2"/>
  </r>
  <r>
    <n v="2512289"/>
    <s v="Rathish S"/>
    <d v="2026-05-28T00:00:00"/>
    <x v="0"/>
    <s v="FTE"/>
    <s v="Chennai"/>
    <s v="CIS26MCPT012"/>
    <s v="Uma Venkatachalam"/>
    <d v="2026-09-17T00:00:00"/>
    <x v="2"/>
    <s v="In-Training"/>
    <x v="0"/>
    <x v="0"/>
    <s v="Jaya gents stays"/>
    <x v="13"/>
    <x v="0"/>
    <x v="2"/>
    <x v="0"/>
    <x v="0"/>
  </r>
  <r>
    <n v="2512296"/>
    <s v="Hariharan K"/>
    <d v="2026-05-28T00:00:00"/>
    <x v="0"/>
    <s v="FTE"/>
    <s v="Chennai"/>
    <s v="CIS26MCPT012"/>
    <s v="Uma Venkatachalam"/>
    <d v="2026-09-17T00:00:00"/>
    <x v="2"/>
    <s v="In-Training"/>
    <x v="0"/>
    <x v="0"/>
    <s v="JAYA STAYs MENS PG -  Navalur, Chennai-600130, Tamil Nadu"/>
    <x v="13"/>
    <x v="0"/>
    <x v="2"/>
    <x v="0"/>
    <x v="0"/>
  </r>
  <r>
    <n v="2512348"/>
    <s v="Monika V"/>
    <d v="2026-05-28T00:00:00"/>
    <x v="1"/>
    <s v="FTE"/>
    <s v="Chennai"/>
    <s v="CIS26MCPT012"/>
    <s v="Uma Venkatachalam"/>
    <d v="2026-09-17T00:00:00"/>
    <x v="2"/>
    <s v="In-Training"/>
    <x v="1"/>
    <x v="2"/>
    <s v="Radiance Ivy Apartment, Egattur"/>
    <x v="13"/>
    <x v="0"/>
    <x v="0"/>
    <x v="0"/>
    <x v="1"/>
  </r>
  <r>
    <n v="2512358"/>
    <s v="R S Vishal"/>
    <d v="2026-05-28T00:00:00"/>
    <x v="0"/>
    <s v="FTE"/>
    <s v="Chennai"/>
    <s v="CIS26MCPT011"/>
    <s v="Uma Venkatachalam"/>
    <d v="2026-09-17T00:00:00"/>
    <x v="2"/>
    <s v="In-Training"/>
    <x v="0"/>
    <x v="0"/>
    <s v="Jaya stays mens PG"/>
    <x v="13"/>
    <x v="1"/>
    <x v="2"/>
    <x v="0"/>
    <x v="0"/>
  </r>
  <r>
    <n v="2516749"/>
    <s v="Vishnu Priya Chadulla"/>
    <d v="2026-06-18T00:00:00"/>
    <x v="1"/>
    <s v="FTE"/>
    <s v="Chennai"/>
    <s v="CIS26MW001"/>
    <s v="Ashiya Begam S"/>
    <d v="2026-09-11T00:00:00"/>
    <x v="2"/>
    <s v="In-Training"/>
    <x v="0"/>
    <x v="0"/>
    <s v="Sri Lakshmi Srinivasa Ladies Pg - Egattur"/>
    <x v="13"/>
    <x v="0"/>
    <x v="3"/>
    <x v="0"/>
    <x v="0"/>
  </r>
  <r>
    <n v="2516827"/>
    <s v="Sumanth Chanduluru"/>
    <d v="2026-06-18T00:00:00"/>
    <x v="0"/>
    <s v="FTE"/>
    <s v="Chennai"/>
    <s v="CIS26MW001"/>
    <s v="Ashiya Begam S"/>
    <d v="2026-09-11T00:00:00"/>
    <x v="2"/>
    <s v="In-Training"/>
    <x v="0"/>
    <x v="0"/>
    <s v="Anish Luxury Gents PG, Egattur"/>
    <x v="13"/>
    <x v="0"/>
    <x v="0"/>
    <x v="0"/>
    <x v="0"/>
  </r>
  <r>
    <n v="2519633"/>
    <s v="Kannan V"/>
    <d v="2026-07-02T00:00:00"/>
    <x v="0"/>
    <s v="FTE"/>
    <s v="Chennai"/>
    <s v="CIS26DWP021"/>
    <s v="Laksiya Vijayendran"/>
    <d v="2026-09-07T00:00:00"/>
    <x v="2"/>
    <s v="In-Training"/>
    <x v="0"/>
    <x v="0"/>
    <s v="BROSPACE Phoenix premium Men PG - Navalur"/>
    <x v="13"/>
    <x v="1"/>
    <x v="2"/>
    <x v="0"/>
    <x v="0"/>
  </r>
  <r>
    <n v="2520945"/>
    <s v="Likhith Kumar Arigala"/>
    <d v="2026-07-07T00:00:00"/>
    <x v="0"/>
    <s v="FTE"/>
    <s v="Chennai"/>
    <s v="CM26SFDC006"/>
    <s v="Gayathri Ramachandran"/>
    <d v="2026-11-11T00:00:00"/>
    <x v="0"/>
    <s v="In-Training"/>
    <x v="0"/>
    <x v="0"/>
    <s v="Kr men’s PG ,Egattur"/>
    <x v="13"/>
    <x v="0"/>
    <x v="3"/>
    <x v="0"/>
    <x v="0"/>
  </r>
  <r>
    <n v="2520972"/>
    <s v="Sindhu D B"/>
    <d v="2026-07-07T00:00:00"/>
    <x v="1"/>
    <s v="FTE"/>
    <s v="Chennai"/>
    <s v="HPC26DN005"/>
    <s v="Viveka Preethi"/>
    <d v="2026-10-01T00:00:00"/>
    <x v="3"/>
    <s v="In-Training"/>
    <x v="0"/>
    <x v="0"/>
    <s v="SRS LADIES PG Branch 5, Egattur"/>
    <x v="13"/>
    <x v="0"/>
    <x v="0"/>
    <x v="0"/>
    <x v="0"/>
  </r>
  <r>
    <n v="2520982"/>
    <s v="Sahir Abidali Inamadar"/>
    <d v="2026-07-07T00:00:00"/>
    <x v="0"/>
    <s v="FTE"/>
    <s v="Chennai"/>
    <s v="CS26CS008"/>
    <s v="Kishorekumar P"/>
    <d v="2026-10-28T00:00:00"/>
    <x v="3"/>
    <s v="In-Training"/>
    <x v="0"/>
    <x v="0"/>
    <s v="Ardenwood Co-living , Egattur"/>
    <x v="13"/>
    <x v="0"/>
    <x v="3"/>
    <x v="0"/>
    <x v="0"/>
  </r>
  <r>
    <n v="2520985"/>
    <s v="Suchithra M M"/>
    <d v="2026-07-07T00:00:00"/>
    <x v="1"/>
    <s v="FTE"/>
    <s v="Chennai"/>
    <s v="PG26JFR003"/>
    <s v="Vijay K"/>
    <d v="2026-10-27T00:00:00"/>
    <x v="3"/>
    <s v="In-Training"/>
    <x v="0"/>
    <x v="0"/>
    <s v="SRS Luxury Ladies PG - Branch 5, Egattur"/>
    <x v="13"/>
    <x v="0"/>
    <x v="0"/>
    <x v="0"/>
    <x v="0"/>
  </r>
  <r>
    <n v="2521048"/>
    <s v="Hithaishi Yenupuri"/>
    <d v="2026-07-07T00:00:00"/>
    <x v="1"/>
    <s v="FTE"/>
    <s v="Chennai"/>
    <s v="CIS26SN001"/>
    <s v="Ashiya Begam S"/>
    <d v="2026-10-08T00:00:00"/>
    <x v="3"/>
    <s v="In-Training"/>
    <x v="0"/>
    <x v="0"/>
    <s v="Sai Grand Women pg - anbagam building, koil amman street, behind gangai amman temple, egattur "/>
    <x v="13"/>
    <x v="0"/>
    <x v="0"/>
    <x v="0"/>
    <x v="0"/>
  </r>
  <r>
    <n v="2521131"/>
    <s v="Ungarala Leela Krishna Manikanta"/>
    <d v="2026-07-07T00:00:00"/>
    <x v="0"/>
    <s v="FTE"/>
    <s v="Chennai"/>
    <s v="SNBG26SN003"/>
    <s v="Lawrance M"/>
    <d v="2026-10-08T00:00:00"/>
    <x v="3"/>
    <s v="In-Training"/>
    <x v="0"/>
    <x v="0"/>
    <s v="SP Mens PG,Egattur"/>
    <x v="13"/>
    <x v="0"/>
    <x v="3"/>
    <x v="0"/>
    <x v="0"/>
  </r>
  <r>
    <n v="2521166"/>
    <s v="Lavanya Panchakshari Tumminakatte"/>
    <d v="2026-07-07T00:00:00"/>
    <x v="1"/>
    <s v="FTE"/>
    <s v="Chennai"/>
    <s v="CIS26UNIX004"/>
    <s v="Haritha P"/>
    <d v="2026-09-24T00:00:00"/>
    <x v="2"/>
    <s v="In-Training"/>
    <x v="0"/>
    <x v="0"/>
    <s v="SRS Luxury Ladies PG - Branch 5 , Navalur"/>
    <x v="13"/>
    <x v="0"/>
    <x v="0"/>
    <x v="0"/>
    <x v="0"/>
  </r>
  <r>
    <n v="2521224"/>
    <s v="Ankit Kumar Dwivedi"/>
    <d v="2026-07-07T00:00:00"/>
    <x v="0"/>
    <s v="FTE"/>
    <s v="Chennai"/>
    <s v="EPS26WD004"/>
    <s v="Ajith Ganesan"/>
    <d v="2026-10-15T00:00:00"/>
    <x v="3"/>
    <s v="In-Training"/>
    <x v="0"/>
    <x v="0"/>
    <s v="NKS MENS PG"/>
    <x v="13"/>
    <x v="0"/>
    <x v="3"/>
    <x v="0"/>
    <x v="0"/>
  </r>
  <r>
    <n v="2521283"/>
    <s v="Vigneshwaran LNU"/>
    <d v="2026-07-07T00:00:00"/>
    <x v="0"/>
    <s v="FTE"/>
    <s v="Chennai"/>
    <s v="CS26CS007"/>
    <s v="Lawrance M"/>
    <d v="2026-09-07T00:00:00"/>
    <x v="2"/>
    <s v="In-Training"/>
    <x v="0"/>
    <x v="0"/>
    <s v="KR Mens PG"/>
    <x v="13"/>
    <x v="0"/>
    <x v="3"/>
    <x v="0"/>
    <x v="0"/>
  </r>
  <r>
    <n v="2521672"/>
    <s v="Amrut Shreedhar Kadli"/>
    <d v="2026-07-09T00:00:00"/>
    <x v="0"/>
    <s v="FTE"/>
    <s v="Chennai"/>
    <s v="AIA26DSAT004"/>
    <s v="Pavithra Kandasamy"/>
    <d v="2026-10-09T00:00:00"/>
    <x v="3"/>
    <s v="In-Training"/>
    <x v="0"/>
    <x v="0"/>
    <s v="Chakra Gents PG"/>
    <x v="13"/>
    <x v="0"/>
    <x v="3"/>
    <x v="0"/>
    <x v="0"/>
  </r>
  <r>
    <n v="2521681"/>
    <s v="Sameer Ahmad Patnool"/>
    <d v="2026-07-09T00:00:00"/>
    <x v="0"/>
    <s v="FTE"/>
    <s v="Chennai"/>
    <s v="ADM26MF011"/>
    <s v="Abinaya R"/>
    <d v="2026-11-02T00:00:00"/>
    <x v="0"/>
    <s v="In-Training"/>
    <x v="0"/>
    <x v="0"/>
    <s v="Anish luxury gents PG, Siruseri Sipcot IT park, Egattur, 603103"/>
    <x v="13"/>
    <x v="0"/>
    <x v="3"/>
    <x v="0"/>
    <x v="0"/>
  </r>
  <r>
    <n v="2524513"/>
    <s v="Sonia Mondal"/>
    <d v="2026-07-21T00:00:00"/>
    <x v="1"/>
    <s v="FTE"/>
    <s v="Chennai"/>
    <s v="QEA26QEPT024"/>
    <s v="Ajiesya D P"/>
    <d v="2026-11-04T00:00:00"/>
    <x v="0"/>
    <s v="In-Training"/>
    <x v="0"/>
    <x v="0"/>
    <s v="Sai Grand Womens PG (Ambedkar Street), Egatur."/>
    <x v="13"/>
    <x v="0"/>
    <x v="0"/>
    <x v="0"/>
    <x v="0"/>
  </r>
  <r>
    <n v="2525060"/>
    <s v="Geddamuri Purna Narayanamma"/>
    <d v="2026-07-23T00:00:00"/>
    <x v="1"/>
    <s v="FTE"/>
    <s v="Chennai"/>
    <s v="ADM26ISMO010"/>
    <s v="Thomas Naveen. J"/>
    <d v="2026-10-06T00:00:00"/>
    <x v="3"/>
    <s v="In-Training"/>
    <x v="0"/>
    <x v="0"/>
    <s v="New Manikandan Ladies Hostel - Branch 5,Egattur"/>
    <x v="13"/>
    <x v="0"/>
    <x v="3"/>
    <x v="0"/>
    <x v="0"/>
  </r>
  <r>
    <n v="2525090"/>
    <s v="Aditya Sachin Thete"/>
    <d v="2026-07-23T00:00:00"/>
    <x v="0"/>
    <s v="FTE"/>
    <s v="Chennai"/>
    <s v="EPS26WD005"/>
    <s v="Vishnupriya Dakshnamurthy"/>
    <d v="2026-11-06T00:00:00"/>
    <x v="0"/>
    <s v="In-Training"/>
    <x v="0"/>
    <x v="0"/>
    <s v="Sri venkata sai hanuman gents pg(branch-2) siruseri chennai"/>
    <x v="13"/>
    <x v="1"/>
    <x v="0"/>
    <x v="0"/>
    <x v="0"/>
  </r>
  <r>
    <n v="2526131"/>
    <s v="MD Faiz Abdul Wahid Yadgir"/>
    <d v="2026-07-28T00:00:00"/>
    <x v="0"/>
    <s v="FTE"/>
    <s v="Chennai"/>
    <s v="EPS26WD006"/>
    <s v="Vishnupriya Dakshnamurthy"/>
    <d v="2026-11-27T00:00:00"/>
    <x v="0"/>
    <s v="In-Training"/>
    <x v="0"/>
    <x v="0"/>
    <s v="Geethika Grand Gents PG."/>
    <x v="13"/>
    <x v="0"/>
    <x v="0"/>
    <x v="0"/>
    <x v="0"/>
  </r>
  <r>
    <n v="2529509"/>
    <s v="Shruti Ravindra Shimpi"/>
    <d v="2026-08-11T00:00:00"/>
    <x v="1"/>
    <s v="FTE"/>
    <s v="Chennai"/>
    <s v="CIS26MCPT025"/>
    <s v="Vignesh S"/>
    <d v="2026-12-03T00:00:00"/>
    <x v="1"/>
    <s v="In-Training"/>
    <x v="0"/>
    <x v="0"/>
    <s v="Aura Nest PG, Egattur"/>
    <x v="13"/>
    <x v="0"/>
    <x v="0"/>
    <x v="0"/>
    <x v="0"/>
  </r>
  <r>
    <n v="2529541"/>
    <s v="Revati Sree P"/>
    <d v="2026-08-11T00:00:00"/>
    <x v="1"/>
    <s v="FTE"/>
    <s v="Chennai"/>
    <s v="CIS26MCPT023"/>
    <s v="Kishorekumar P"/>
    <d v="2026-12-03T00:00:00"/>
    <x v="1"/>
    <s v="In-Training"/>
    <x v="0"/>
    <x v="0"/>
    <s v="Aura Nest PG - Sipcot"/>
    <x v="13"/>
    <x v="0"/>
    <x v="8"/>
    <x v="4"/>
    <x v="0"/>
  </r>
  <r>
    <n v="2531272"/>
    <s v="Priyadharshini D"/>
    <d v="2026-08-18T00:00:00"/>
    <x v="1"/>
    <s v="FTE"/>
    <s v="Chennai"/>
    <s v="CIS26DWP030"/>
    <s v="Prokriti Biswas"/>
    <d v="2026-10-29T00:00:00"/>
    <x v="3"/>
    <s v="In-Training"/>
    <x v="0"/>
    <x v="0"/>
    <s v="SRS Luxury ladies PG - Branch 1, Egattur"/>
    <x v="13"/>
    <x v="1"/>
    <x v="0"/>
    <x v="0"/>
    <x v="0"/>
  </r>
  <r>
    <n v="2531373"/>
    <s v="Myneni Aaswitha"/>
    <d v="2026-08-18T00:00:00"/>
    <x v="1"/>
    <s v="FTE"/>
    <s v="Chennai"/>
    <s v="CIS26AT007"/>
    <s v="Uma Venkatachalam"/>
    <d v="2026-12-09T00:00:00"/>
    <x v="1"/>
    <s v="In-Training"/>
    <x v="0"/>
    <x v="0"/>
    <s v="Sai Grand Ladies pg - Branch 2, Ambekar Street"/>
    <x v="13"/>
    <x v="0"/>
    <x v="0"/>
    <x v="0"/>
    <x v="0"/>
  </r>
  <r>
    <n v="2531427"/>
    <s v="Aditi K R"/>
    <d v="2026-08-18T00:00:00"/>
    <x v="1"/>
    <s v="FTE"/>
    <s v="Chennai"/>
    <s v="EPS26SAP036"/>
    <s v="Vishnupriya Dakshnamurthy"/>
    <d v="2026-11-09T00:00:00"/>
    <x v="0"/>
    <s v="In-Training"/>
    <x v="0"/>
    <x v="0"/>
    <s v="R&amp;R Ladies PG- Branch 4"/>
    <x v="13"/>
    <x v="0"/>
    <x v="0"/>
    <x v="0"/>
    <x v="0"/>
  </r>
  <r>
    <n v="2531795"/>
    <s v="Rakesh Kumar V S"/>
    <d v="2026-08-20T00:00:00"/>
    <x v="0"/>
    <s v="Intern"/>
    <s v="Chennai"/>
    <s v="INTFE26FE001"/>
    <s v="Grace Esther S"/>
    <d v="2026-10-15T00:00:00"/>
    <x v="3"/>
    <s v="In-Training"/>
    <x v="0"/>
    <x v="0"/>
    <s v="Shivam Living pg"/>
    <x v="13"/>
    <x v="1"/>
    <x v="0"/>
    <x v="0"/>
    <x v="0"/>
  </r>
  <r>
    <n v="2531803"/>
    <s v="Shyam Sundhar S"/>
    <d v="2026-08-20T00:00:00"/>
    <x v="0"/>
    <s v="Intern"/>
    <s v="Chennai"/>
    <s v="INTFE26FE001"/>
    <s v="Grace Esther S"/>
    <d v="2026-10-15T00:00:00"/>
    <x v="3"/>
    <s v="In-Training"/>
    <x v="0"/>
    <x v="0"/>
    <s v="Shivam Living Grandeur"/>
    <x v="13"/>
    <x v="1"/>
    <x v="0"/>
    <x v="0"/>
    <x v="0"/>
  </r>
  <r>
    <n v="2531850"/>
    <s v="Parella Ganesh"/>
    <d v="2026-08-20T00:00:00"/>
    <x v="0"/>
    <s v="FTE"/>
    <s v="Chennai"/>
    <s v="CS26CS012"/>
    <s v="Laksiya Vijayendran"/>
    <d v="2026-11-17T00:00:00"/>
    <x v="0"/>
    <s v="In-Training"/>
    <x v="0"/>
    <x v="0"/>
    <s v="Geethika Grand PG"/>
    <x v="13"/>
    <x v="0"/>
    <x v="0"/>
    <x v="0"/>
    <x v="0"/>
  </r>
  <r>
    <n v="2531860"/>
    <s v="S P Divyanka"/>
    <d v="2026-08-20T00:00:00"/>
    <x v="1"/>
    <s v="FTE"/>
    <s v="Chennai"/>
    <s v="CS26CS011"/>
    <s v="Kishorekumar P"/>
    <d v="2026-11-17T00:00:00"/>
    <x v="0"/>
    <s v="In-Training"/>
    <x v="0"/>
    <x v="0"/>
    <s v="New Manikandan Ladies PG - Branch 14, Kazhipattur"/>
    <x v="13"/>
    <x v="0"/>
    <x v="3"/>
    <x v="0"/>
    <x v="0"/>
  </r>
  <r>
    <n v="2531862"/>
    <s v="S A Sangavi"/>
    <d v="2026-08-20T00:00:00"/>
    <x v="1"/>
    <s v="FTE"/>
    <s v="Chennai"/>
    <s v="CS26CS011"/>
    <s v="Kishorekumar P"/>
    <d v="2026-11-17T00:00:00"/>
    <x v="0"/>
    <s v="In-Training"/>
    <x v="0"/>
    <x v="4"/>
    <s v="New Manikandan Ladies Hostel - Branch 14, Kazhipattur"/>
    <x v="13"/>
    <x v="1"/>
    <x v="3"/>
    <x v="0"/>
    <x v="0"/>
  </r>
  <r>
    <n v="2531954"/>
    <s v="Ambapali Datta"/>
    <d v="2026-08-20T00:00:00"/>
    <x v="1"/>
    <s v="FTE"/>
    <s v="Chennai"/>
    <s v="CS26CS011"/>
    <s v="Kishorekumar P"/>
    <d v="2026-11-17T00:00:00"/>
    <x v="0"/>
    <s v="In-Training"/>
    <x v="0"/>
    <x v="0"/>
    <s v="Aura Nest PG For Ladies"/>
    <x v="13"/>
    <x v="0"/>
    <x v="3"/>
    <x v="0"/>
    <x v="0"/>
  </r>
  <r>
    <n v="2531976"/>
    <s v="Pooja S"/>
    <d v="2026-08-20T00:00:00"/>
    <x v="1"/>
    <s v="FTE"/>
    <s v="Chennai"/>
    <s v="CS26CS012"/>
    <s v="Laksiya Vijayendran"/>
    <d v="2026-11-17T00:00:00"/>
    <x v="0"/>
    <s v="In-Training"/>
    <x v="0"/>
    <x v="0"/>
    <s v="Aura nest pf for ladies"/>
    <x v="13"/>
    <x v="0"/>
    <x v="3"/>
    <x v="0"/>
    <x v="0"/>
  </r>
  <r>
    <n v="2531995"/>
    <s v="Kanimozhi P"/>
    <d v="2026-08-20T00:00:00"/>
    <x v="1"/>
    <s v="FTE"/>
    <s v="Chennai"/>
    <s v="CS26CS011"/>
    <s v="Kishorekumar P"/>
    <d v="2026-11-17T00:00:00"/>
    <x v="0"/>
    <s v="In-Training"/>
    <x v="0"/>
    <x v="0"/>
    <s v="New Manikandan PG - Branch 14, Kazhipattur"/>
    <x v="13"/>
    <x v="0"/>
    <x v="3"/>
    <x v="0"/>
    <x v="0"/>
  </r>
  <r>
    <n v="2532901"/>
    <s v="Pranav Ganesh Shahakar"/>
    <d v="2026-08-25T00:00:00"/>
    <x v="0"/>
    <s v="FTE"/>
    <s v="Chennai"/>
    <s v="CIS26MBG007"/>
    <s v="Lawrance M"/>
    <d v="2026-12-11T00:00:00"/>
    <x v="1"/>
    <s v="In-Training"/>
    <x v="0"/>
    <x v="0"/>
    <s v="Soma Mens Stay"/>
    <x v="13"/>
    <x v="0"/>
    <x v="0"/>
    <x v="0"/>
    <x v="0"/>
  </r>
  <r>
    <n v="2532925"/>
    <s v="Himasree Ramini"/>
    <d v="2026-08-25T00:00:00"/>
    <x v="1"/>
    <s v="FTE"/>
    <s v="Chennai"/>
    <s v="CIS26AT008"/>
    <s v="Uma Venkatachalam"/>
    <d v="2026-12-09T00:00:00"/>
    <x v="1"/>
    <s v="In-Training"/>
    <x v="0"/>
    <x v="0"/>
    <s v="AuraNest Pg for Ladies"/>
    <x v="13"/>
    <x v="0"/>
    <x v="3"/>
    <x v="0"/>
    <x v="0"/>
  </r>
  <r>
    <n v="2533003"/>
    <s v="Kodam Adhvaith"/>
    <d v="2026-08-25T00:00:00"/>
    <x v="0"/>
    <s v="FTE"/>
    <s v="Chennai"/>
    <s v="CIS26MBG003"/>
    <s v="Kishorekumar P"/>
    <d v="2026-12-11T00:00:00"/>
    <x v="1"/>
    <s v="In-Training"/>
    <x v="1"/>
    <x v="2"/>
    <s v="olampia opalane "/>
    <x v="13"/>
    <x v="0"/>
    <x v="2"/>
    <x v="0"/>
    <x v="1"/>
  </r>
  <r>
    <n v="2533005"/>
    <s v="Sriman Narayana Mandala"/>
    <d v="2026-08-25T00:00:00"/>
    <x v="0"/>
    <s v="FTE"/>
    <s v="Chennai"/>
    <s v="CIS26MBG004"/>
    <s v="Kishorekumar P"/>
    <d v="2026-12-11T00:00:00"/>
    <x v="1"/>
    <s v="In-Training"/>
    <x v="0"/>
    <x v="0"/>
    <s v="Olympia opaline apartment , moonstone olympia opaline , navalur ."/>
    <x v="13"/>
    <x v="0"/>
    <x v="2"/>
    <x v="0"/>
    <x v="0"/>
  </r>
  <r>
    <n v="2533039"/>
    <s v="Yuvaraj LNU"/>
    <d v="2026-08-25T00:00:00"/>
    <x v="0"/>
    <s v="FTE"/>
    <s v="Chennai"/>
    <s v="CIS26MBG007"/>
    <s v="Lawrance M"/>
    <d v="2026-12-11T00:00:00"/>
    <x v="1"/>
    <s v="In-Training"/>
    <x v="0"/>
    <x v="0"/>
    <s v="Sri Venkateshwara hanuman Pg ,Navalur"/>
    <x v="13"/>
    <x v="1"/>
    <x v="2"/>
    <x v="0"/>
    <x v="0"/>
  </r>
  <r>
    <n v="2533043"/>
    <s v="Bhavani M"/>
    <d v="2026-08-25T00:00:00"/>
    <x v="1"/>
    <s v="FTE"/>
    <s v="Chennai"/>
    <s v="CIS26MBG006"/>
    <s v="Angel Maria Faustina Gomez"/>
    <d v="2026-12-11T00:00:00"/>
    <x v="1"/>
    <s v="In-Training"/>
    <x v="0"/>
    <x v="0"/>
    <s v="Moksha Ladies Hostel"/>
    <x v="13"/>
    <x v="0"/>
    <x v="0"/>
    <x v="0"/>
    <x v="0"/>
  </r>
  <r>
    <n v="2533048"/>
    <s v="Abitha M"/>
    <d v="2026-08-25T00:00:00"/>
    <x v="1"/>
    <s v="FTE"/>
    <s v="Chennai"/>
    <s v="CIS26AT008"/>
    <s v="Uma Venkatachalam"/>
    <d v="2026-12-09T00:00:00"/>
    <x v="1"/>
    <s v="In-Training"/>
    <x v="0"/>
    <x v="0"/>
    <s v="Moksha Ladies Hostel - SIPCOT Siruseri"/>
    <x v="13"/>
    <x v="0"/>
    <x v="0"/>
    <x v="0"/>
    <x v="0"/>
  </r>
  <r>
    <n v="2533056"/>
    <s v="Sankrishna Kuchana"/>
    <d v="2026-08-25T00:00:00"/>
    <x v="0"/>
    <s v="FTE"/>
    <s v="Chennai"/>
    <s v="IOT26CSJ002"/>
    <s v="Pavithra Kandasamy"/>
    <d v="2026-11-11T00:00:00"/>
    <x v="0"/>
    <s v="In-Training"/>
    <x v="1"/>
    <x v="2"/>
    <s v="olympia opaline moonstone"/>
    <x v="13"/>
    <x v="0"/>
    <x v="2"/>
    <x v="0"/>
    <x v="1"/>
  </r>
  <r>
    <n v="2533189"/>
    <s v="Mohan R"/>
    <d v="2026-08-25T00:00:00"/>
    <x v="0"/>
    <s v="FTE"/>
    <s v="Chennai"/>
    <s v="CIS26MBG005"/>
    <s v="Angel Maria Faustina Gomez"/>
    <d v="2026-12-11T00:00:00"/>
    <x v="1"/>
    <s v="In-Training"/>
    <x v="0"/>
    <x v="0"/>
    <s v="KR Mens PG, Pudupakkam"/>
    <x v="13"/>
    <x v="0"/>
    <x v="3"/>
    <x v="0"/>
    <x v="0"/>
  </r>
  <r>
    <n v="2520980"/>
    <s v="Prathamesh Rajkumar Salunke"/>
    <d v="2026-07-07T00:00:00"/>
    <x v="0"/>
    <s v="FTE"/>
    <s v="Chennai"/>
    <s v="CS26CS007"/>
    <s v="Lawrance M"/>
    <d v="2026-09-07T00:00:00"/>
    <x v="2"/>
    <s v="In-Training"/>
    <x v="0"/>
    <x v="0"/>
    <s v="Geethika grand gents pg, CNK nivas city park, 2nd lane, Mamoothiamman St, Sipcot, Egattur."/>
    <x v="13"/>
    <x v="1"/>
    <x v="0"/>
    <x v="0"/>
    <x v="0"/>
  </r>
  <r>
    <n v="2521665"/>
    <s v="Medisetti Veerendra"/>
    <d v="2026-07-09T00:00:00"/>
    <x v="0"/>
    <s v="FTE"/>
    <s v="Chennai"/>
    <s v="ADM26MF011"/>
    <s v="Abinaya R"/>
    <d v="2026-11-02T00:00:00"/>
    <x v="0"/>
    <s v="In-Training"/>
    <x v="0"/>
    <x v="0"/>
    <s v="Anish mens luxary PG - Sipcot, Near to Moksha ladies PG"/>
    <x v="13"/>
    <x v="0"/>
    <x v="3"/>
    <x v="0"/>
    <x v="0"/>
  </r>
  <r>
    <n v="2524634"/>
    <s v="Desaboyina Mahendra Sri Sai Karthik"/>
    <d v="2026-07-21T00:00:00"/>
    <x v="0"/>
    <s v="FTE"/>
    <s v="Chennai"/>
    <s v="ADM26MF012"/>
    <s v="Lourdhu Selvin Raj X"/>
    <d v="2026-11-17T00:00:00"/>
    <x v="0"/>
    <s v="In-Training"/>
    <x v="0"/>
    <x v="0"/>
    <s v="Anish Luxuary Gents PG, sipcot park siruseri"/>
    <x v="13"/>
    <x v="0"/>
    <x v="3"/>
    <x v="0"/>
    <x v="0"/>
  </r>
  <r>
    <n v="2524636"/>
    <s v="Marra Sai Ganesh"/>
    <d v="2026-07-21T00:00:00"/>
    <x v="0"/>
    <s v="FTE"/>
    <s v="Chennai"/>
    <s v="ADM26MF012"/>
    <s v="Lourdhu Selvin Raj X"/>
    <d v="2026-11-17T00:00:00"/>
    <x v="0"/>
    <s v="In-Training"/>
    <x v="0"/>
    <x v="0"/>
    <s v="Siddus mens premium pg"/>
    <x v="13"/>
    <x v="0"/>
    <x v="3"/>
    <x v="0"/>
    <x v="0"/>
  </r>
  <r>
    <n v="2521717"/>
    <s v="Akash Patel"/>
    <d v="2026-07-09T00:00:00"/>
    <x v="0"/>
    <s v="FTE"/>
    <s v="Chennai"/>
    <s v="QEA26SD001"/>
    <s v="Ajiesya D P"/>
    <d v="2026-11-03T00:00:00"/>
    <x v="0"/>
    <s v="In-Training"/>
    <x v="0"/>
    <x v="0"/>
    <s v="ZOLO MAYFIELD (TVH OURANYA BAY)"/>
    <x v="14"/>
    <x v="0"/>
    <x v="5"/>
    <x v="2"/>
    <x v="2"/>
  </r>
  <r>
    <n v="2531818"/>
    <s v="Ashish Sriniwas Prasad"/>
    <d v="2026-08-20T00:00:00"/>
    <x v="0"/>
    <s v="FTE"/>
    <s v="Chennai"/>
    <s v="CS26CS012"/>
    <s v="Laksiya Vijayendran"/>
    <d v="2026-11-17T00:00:00"/>
    <x v="0"/>
    <s v="In-Training"/>
    <x v="0"/>
    <x v="0"/>
    <s v="Aadhi Lakshmi Gents PG, Siruseri"/>
    <x v="14"/>
    <x v="0"/>
    <x v="3"/>
    <x v="0"/>
    <x v="0"/>
  </r>
  <r>
    <n v="2521738"/>
    <s v="Aryan LNU"/>
    <d v="2026-07-09T00:00:00"/>
    <x v="0"/>
    <s v="FTE"/>
    <s v="Chennai"/>
    <s v="QEA26SD001"/>
    <s v="Ajiesya D P"/>
    <d v="2026-11-03T00:00:00"/>
    <x v="0"/>
    <s v="In-Training"/>
    <x v="1"/>
    <x v="2"/>
    <s v="TVH Taus"/>
    <x v="15"/>
    <x v="1"/>
    <x v="0"/>
    <x v="0"/>
    <x v="1"/>
  </r>
  <r>
    <n v="2521741"/>
    <s v="Chavi Maru"/>
    <d v="2026-07-09T00:00:00"/>
    <x v="1"/>
    <s v="FTE"/>
    <s v="Chennai"/>
    <s v="QEA26SD001"/>
    <s v="Ajiesya D P"/>
    <d v="2026-11-03T00:00:00"/>
    <x v="0"/>
    <s v="In-Training"/>
    <x v="0"/>
    <x v="0"/>
    <s v="TVH Taus"/>
    <x v="15"/>
    <x v="1"/>
    <x v="0"/>
    <x v="0"/>
    <x v="0"/>
  </r>
  <r>
    <n v="2521730"/>
    <s v="Allu Yeswanth Kumar"/>
    <d v="2026-07-09T00:00:00"/>
    <x v="0"/>
    <s v="FTE"/>
    <s v="Chennai"/>
    <s v="QEA26SD001"/>
    <s v="Ajiesya D P"/>
    <d v="2026-11-03T00:00:00"/>
    <x v="0"/>
    <s v="In-Training"/>
    <x v="1"/>
    <x v="2"/>
    <s v="Tvh Taus,Flatno-7701,WING 1,Block 7,Egattur"/>
    <x v="15"/>
    <x v="1"/>
    <x v="0"/>
    <x v="0"/>
    <x v="1"/>
  </r>
  <r>
    <n v="2521743"/>
    <s v="Avinash Anand"/>
    <d v="2026-07-09T00:00:00"/>
    <x v="0"/>
    <s v="FTE"/>
    <s v="Chennai"/>
    <s v="QEA26SD001"/>
    <s v="Ajiesya D P"/>
    <d v="2026-11-03T00:00:00"/>
    <x v="0"/>
    <s v="In-Training"/>
    <x v="1"/>
    <x v="2"/>
    <s v="TVH Taus, Egattur"/>
    <x v="15"/>
    <x v="0"/>
    <x v="0"/>
    <x v="0"/>
    <x v="1"/>
  </r>
  <r>
    <n v="2521746"/>
    <s v="Abhay Gupta"/>
    <d v="2026-07-09T00:00:00"/>
    <x v="0"/>
    <s v="FTE"/>
    <s v="Chennai"/>
    <s v="QEA26SD001"/>
    <s v="Ajiesya D P"/>
    <d v="2026-11-03T00:00:00"/>
    <x v="0"/>
    <s v="In-Training"/>
    <x v="1"/>
    <x v="2"/>
    <s v="TVH Taus, Egattur"/>
    <x v="15"/>
    <x v="0"/>
    <x v="0"/>
    <x v="0"/>
    <x v="1"/>
  </r>
  <r>
    <n v="2532953"/>
    <s v="Padmapriya R"/>
    <d v="2026-08-25T00:00:00"/>
    <x v="1"/>
    <s v="FTE"/>
    <s v="Chennai"/>
    <s v="CIS26MBG007"/>
    <s v="Lawrance M"/>
    <d v="2026-12-11T00:00:00"/>
    <x v="1"/>
    <s v="In-Training"/>
    <x v="1"/>
    <x v="2"/>
    <s v="TVH Taus, Navalur"/>
    <x v="15"/>
    <x v="0"/>
    <x v="2"/>
    <x v="0"/>
    <x v="1"/>
  </r>
  <r>
    <n v="2531359"/>
    <s v="Pallavi S"/>
    <d v="2026-08-18T00:00:00"/>
    <x v="1"/>
    <s v="FTE"/>
    <s v="Chennai"/>
    <s v="EPS26SAP036"/>
    <s v="Vishnupriya Dakshnamurthy"/>
    <d v="2026-11-09T00:00:00"/>
    <x v="0"/>
    <s v="In-Training"/>
    <x v="1"/>
    <x v="2"/>
    <s v="TVH OURANYA BAY"/>
    <x v="16"/>
    <x v="0"/>
    <x v="5"/>
    <x v="2"/>
    <x v="1"/>
  </r>
  <r>
    <n v="2533226"/>
    <s v="Anushreea DE"/>
    <d v="2026-08-25T00:00:00"/>
    <x v="1"/>
    <s v="FTE"/>
    <s v="Chennai"/>
    <s v="CIS26MBG003"/>
    <s v="Kishorekumar P"/>
    <d v="2026-12-11T00:00:00"/>
    <x v="1"/>
    <s v="In-Training"/>
    <x v="0"/>
    <x v="0"/>
    <s v="Ambika Nest Womens Hostel"/>
    <x v="0"/>
    <x v="0"/>
    <x v="3"/>
    <x v="0"/>
    <x v="0"/>
  </r>
  <r>
    <n v="2531810"/>
    <s v="Mangipudi Venkata Sai Abhiram"/>
    <d v="2026-08-20T00:00:00"/>
    <x v="0"/>
    <s v="Intern"/>
    <s v="Chennai"/>
    <s v="INTFE26FE001"/>
    <s v="Grace Esther S"/>
    <d v="2026-10-15T00:00:00"/>
    <x v="3"/>
    <s v="In-Training"/>
    <x v="0"/>
    <x v="0"/>
    <s v="B-311, Siddus Premium PG, Siruseri"/>
    <x v="2"/>
    <x v="0"/>
    <x v="3"/>
    <x v="0"/>
    <x v="0"/>
  </r>
  <r>
    <n v="2533176"/>
    <s v="Pavan Venkata Satya Sai Ajay Talla"/>
    <d v="2026-08-25T00:00:00"/>
    <x v="0"/>
    <s v="FTE"/>
    <s v="Chennai"/>
    <s v="CIS26AT008"/>
    <s v="Uma Venkatachalam"/>
    <d v="2026-12-09T00:00:00"/>
    <x v="1"/>
    <s v="In-Training"/>
    <x v="0"/>
    <x v="0"/>
    <s v="Siddus Premium Menss PG"/>
    <x v="0"/>
    <x v="0"/>
    <x v="3"/>
    <x v="0"/>
    <x v="0"/>
  </r>
  <r>
    <n v="2531975"/>
    <s v="Roslin Nihara M"/>
    <d v="2026-08-20T00:00:00"/>
    <x v="1"/>
    <s v="FTE"/>
    <s v="Chennai"/>
    <s v="EPS26OSP011"/>
    <s v="Gayathri Ramachandran"/>
    <s v=""/>
    <x v="1"/>
    <s v="Training - ON Hold"/>
    <x v="1"/>
    <x v="1"/>
    <s v=" "/>
    <x v="17"/>
    <x v="1"/>
    <x v="1"/>
    <x v="1"/>
    <x v="1"/>
  </r>
  <r>
    <n v="2524489"/>
    <s v="Sabarinathan Anbusezhiyan"/>
    <d v="2026-07-21T00:00:00"/>
    <x v="0"/>
    <s v="FTE"/>
    <s v="Chennai"/>
    <s v="ADM26MF012"/>
    <s v="Lourdhu Selvin Raj X"/>
    <d v="2026-11-17T00:00:00"/>
    <x v="0"/>
    <s v="In-Training"/>
    <x v="1"/>
    <x v="3"/>
    <s v="Mallesh Aashira apartment , perumbakkam."/>
    <x v="1"/>
    <x v="1"/>
    <x v="8"/>
    <x v="4"/>
    <x v="1"/>
  </r>
  <r>
    <n v="2521206"/>
    <s v="Megha Krishnaji Salunke"/>
    <d v="2026-07-07T00:00:00"/>
    <x v="1"/>
    <s v="FTE"/>
    <s v="Chennai"/>
    <s v="EPS26WD004"/>
    <s v="Ajith Ganesan"/>
    <d v="2026-10-15T00:00:00"/>
    <x v="3"/>
    <s v="In-Training"/>
    <x v="0"/>
    <x v="0"/>
    <s v="SRS Luxury ladies PG, Branch 5, Egattur, Navalur."/>
    <x v="0"/>
    <x v="0"/>
    <x v="0"/>
    <x v="0"/>
    <x v="0"/>
  </r>
  <r>
    <n v="2529772"/>
    <s v="Mahalakshmi B"/>
    <d v="2026-08-11T00:00:00"/>
    <x v="1"/>
    <s v="FTE"/>
    <s v="Chennai"/>
    <s v="CIS26MCPT021"/>
    <s v="Uma Venkatachalam"/>
    <d v="2026-12-08T00:00:00"/>
    <x v="1"/>
    <s v="In-Training"/>
    <x v="0"/>
    <x v="0"/>
    <s v="Indiras Women pg ,Navalur"/>
    <x v="0"/>
    <x v="1"/>
    <x v="2"/>
    <x v="0"/>
    <x v="0"/>
  </r>
  <r>
    <n v="2511278"/>
    <s v="Mohan M"/>
    <d v="2026-05-21T00:00:00"/>
    <x v="0"/>
    <s v="FTE"/>
    <s v="Chennai"/>
    <s v="CIS26MCPT010"/>
    <s v="Mohamed Harish"/>
    <d v="2026-09-15T00:00:00"/>
    <x v="2"/>
    <s v="In-Training"/>
    <x v="1"/>
    <x v="1"/>
    <s v="flat no 3,ramalingam nagar, chinammal nagar"/>
    <x v="0"/>
    <x v="0"/>
    <x v="42"/>
    <x v="1"/>
    <x v="1"/>
  </r>
  <r>
    <n v="2519585"/>
    <s v="Vishal Prasad Sharma"/>
    <d v="2026-07-02T00:00:00"/>
    <x v="0"/>
    <s v="FTE"/>
    <s v="Chennai"/>
    <s v="CIS26UNIX003"/>
    <s v="Haritha P"/>
    <d v="2026-09-24T00:00:00"/>
    <x v="2"/>
    <s v="In-Training"/>
    <x v="0"/>
    <x v="0"/>
    <s v="Sahasra Deluxe PG for men"/>
    <x v="0"/>
    <x v="0"/>
    <x v="0"/>
    <x v="0"/>
    <x v="0"/>
  </r>
  <r>
    <n v="2519647"/>
    <s v="Vishal Malleshappa Inchal"/>
    <d v="2026-07-02T00:00:00"/>
    <x v="0"/>
    <s v="FTE"/>
    <s v="Chennai"/>
    <s v="CIS26MCPT013"/>
    <s v="Lawrance M"/>
    <d v="2026-10-29T00:00:00"/>
    <x v="3"/>
    <s v="In-Training"/>
    <x v="0"/>
    <x v="0"/>
    <s v="Vishwas Pg Sipcot  IT park"/>
    <x v="0"/>
    <x v="0"/>
    <x v="3"/>
    <x v="0"/>
    <x v="0"/>
  </r>
  <r>
    <n v="2529540"/>
    <s v="Mujahid Sarfaraz Khan"/>
    <d v="2026-08-11T00:00:00"/>
    <x v="0"/>
    <s v="FTE"/>
    <s v="Chennai"/>
    <s v="CIS26MCPT026"/>
    <s v="Mohamed Harish"/>
    <d v="2026-12-08T00:00:00"/>
    <x v="1"/>
    <s v="In-Training"/>
    <x v="0"/>
    <x v="0"/>
    <s v="Sahasra Deluxe PG for men, Green Park Lane, near Sipcot It Park, Egattur"/>
    <x v="0"/>
    <x v="0"/>
    <x v="0"/>
    <x v="0"/>
    <x v="0"/>
  </r>
  <r>
    <n v="2529782"/>
    <s v="Kirti Dewaskar"/>
    <d v="2026-08-11T00:00:00"/>
    <x v="1"/>
    <s v="FTE"/>
    <s v="Chennai"/>
    <s v="CIS26MCPT021"/>
    <s v="Uma Venkatachalam"/>
    <d v="2026-12-08T00:00:00"/>
    <x v="1"/>
    <s v="In-Training"/>
    <x v="0"/>
    <x v="0"/>
    <s v="Krishna Nivas Egattur"/>
    <x v="0"/>
    <x v="0"/>
    <x v="0"/>
    <x v="0"/>
    <x v="0"/>
  </r>
  <r>
    <n v="2530206"/>
    <s v="Jai Vignesh Elumalai"/>
    <d v="2026-08-13T00:00:00"/>
    <x v="0"/>
    <s v="FTE"/>
    <s v="Chennai"/>
    <s v="EPS26OSPPRO001"/>
    <s v="Gayathri Ramachandran"/>
    <d v="2026-12-07T00:00:00"/>
    <x v="1"/>
    <s v="In-Training"/>
    <x v="0"/>
    <x v="0"/>
    <s v="MARKS gents pg navalur "/>
    <x v="0"/>
    <x v="1"/>
    <x v="2"/>
    <x v="0"/>
    <x v="0"/>
  </r>
  <r>
    <n v="2531313"/>
    <s v="KV Sanjay Ragesh"/>
    <d v="2026-08-18T00:00:00"/>
    <x v="0"/>
    <s v="FTE"/>
    <s v="Chennai"/>
    <s v="CIS26DWP030"/>
    <s v="Prokriti Biswas"/>
    <d v="2026-10-29T00:00:00"/>
    <x v="3"/>
    <s v="In-Training"/>
    <x v="1"/>
    <x v="1"/>
    <s v="personal home"/>
    <x v="0"/>
    <x v="0"/>
    <x v="43"/>
    <x v="1"/>
    <x v="1"/>
  </r>
  <r>
    <n v="2533224"/>
    <s v="Battu Sisira Neha"/>
    <d v="2026-08-25T00:00:00"/>
    <x v="1"/>
    <s v="FTE"/>
    <s v="Chennai"/>
    <s v="CIS26MBG006"/>
    <s v="Angel Maria Faustina Gomez"/>
    <d v="2026-12-11T00:00:00"/>
    <x v="1"/>
    <s v="In-Training"/>
    <x v="0"/>
    <x v="0"/>
    <s v="SRS Luxury Ladies Hostel, Branch-1, Egattur"/>
    <x v="0"/>
    <x v="0"/>
    <x v="0"/>
    <x v="0"/>
    <x v="0"/>
  </r>
  <r>
    <n v="2522857"/>
    <s v="Srilekha G"/>
    <d v="2026-07-14T00:00:00"/>
    <x v="1"/>
    <s v="FTE"/>
    <s v="Chennai"/>
    <s v="CIS26MCPT017"/>
    <s v="Haritha P"/>
    <d v="2026-11-09T00:00:00"/>
    <x v="0"/>
    <s v="In-Training"/>
    <x v="1"/>
    <x v="1"/>
    <s v="No C6/3 todhunter nagar saidapet chennai-15"/>
    <x v="0"/>
    <x v="1"/>
    <x v="44"/>
    <x v="1"/>
    <x v="1"/>
  </r>
  <r>
    <n v="2529607"/>
    <s v="Abhay Atish Birhade"/>
    <d v="2026-08-11T00:00:00"/>
    <x v="0"/>
    <s v="FTE"/>
    <s v="Chennai"/>
    <s v="CIS26MCPT023"/>
    <s v="Kishorekumar P"/>
    <d v="2026-12-03T00:00:00"/>
    <x v="1"/>
    <s v="In-Training"/>
    <x v="0"/>
    <x v="0"/>
    <s v="CNR PG BRANCH 2Mamoothiamman, 2nd St, Siruseri, Egattur, Tamil Nadu 603103"/>
    <x v="0"/>
    <x v="0"/>
    <x v="3"/>
    <x v="0"/>
    <x v="0"/>
  </r>
  <r>
    <n v="2529521"/>
    <s v="Smitesh Santosh Panchal"/>
    <d v="2026-08-11T00:00:00"/>
    <x v="0"/>
    <s v="FTE"/>
    <s v="Chennai"/>
    <s v="CIS26MCPT025"/>
    <s v="Vignesh S"/>
    <d v="2026-12-03T00:00:00"/>
    <x v="1"/>
    <s v="In-Training"/>
    <x v="0"/>
    <x v="0"/>
    <s v="Sai Grand Men Pg "/>
    <x v="0"/>
    <x v="0"/>
    <x v="0"/>
    <x v="0"/>
    <x v="0"/>
  </r>
  <r>
    <n v="2524654"/>
    <s v="Nikhil Subhash Kachole"/>
    <d v="2026-07-21T00:00:00"/>
    <x v="0"/>
    <s v="FTE"/>
    <s v="Chennai"/>
    <s v="QEA26QEPT024"/>
    <s v="Ajiesya D P"/>
    <d v="2026-10-30T00:00:00"/>
    <x v="3"/>
    <s v="In-Training"/>
    <x v="0"/>
    <x v="0"/>
    <s v="Sri Sarvana Mens Hostel Egattur"/>
    <x v="0"/>
    <x v="0"/>
    <x v="0"/>
    <x v="0"/>
    <x v="0"/>
  </r>
  <r>
    <n v="2512316"/>
    <s v="Sabarivasan K"/>
    <d v="2026-05-28T00:00:00"/>
    <x v="0"/>
    <s v="FTE"/>
    <s v="Chennai"/>
    <s v="CIS26MCPT011"/>
    <s v="Uma Venkatachalam"/>
    <d v="2026-09-17T00:00:00"/>
    <x v="2"/>
    <s v="In-Training"/>
    <x v="1"/>
    <x v="2"/>
    <s v="mambakkam"/>
    <x v="15"/>
    <x v="1"/>
    <x v="37"/>
    <x v="2"/>
    <x v="1"/>
  </r>
  <r>
    <n v="2521689"/>
    <s v="Manish Shrikant Nucche"/>
    <d v="2026-07-09T00:00:00"/>
    <x v="0"/>
    <s v="FTE"/>
    <s v="Chennai"/>
    <s v="ADM26MF010"/>
    <s v="Thomas Naveen. J"/>
    <d v="2026-11-02T00:00:00"/>
    <x v="0"/>
    <s v="In-Training"/>
    <x v="0"/>
    <x v="0"/>
    <s v="No 89C, city park layout, 3rd left street, Egattur, Siruseri, Chennai, Tamil Nadu 603103"/>
    <x v="1"/>
    <x v="0"/>
    <x v="0"/>
    <x v="0"/>
    <x v="0"/>
  </r>
  <r>
    <n v="2524534"/>
    <s v="Mansi Balu Urshil"/>
    <d v="2026-07-21T00:00:00"/>
    <x v="1"/>
    <s v="FTE"/>
    <s v="Chennai"/>
    <s v="QEA26QEPT024"/>
    <s v="Ajiesya D P"/>
    <d v="2026-11-04T00:00:00"/>
    <x v="0"/>
    <s v="In-Training"/>
    <x v="0"/>
    <x v="0"/>
    <s v="S.No.92/12, Gangai Amman Kovil Street, Old Mahabalipuram Road, Egattur, Siruseri, Tamil Nadu 600130"/>
    <x v="0"/>
    <x v="1"/>
    <x v="3"/>
    <x v="0"/>
    <x v="0"/>
  </r>
  <r>
    <n v="2519665"/>
    <s v="Hardik Shital Chougule"/>
    <d v="2026-07-02T00:00:00"/>
    <x v="0"/>
    <s v="FTE"/>
    <s v="Chennai"/>
    <s v="CIS26UNIX003"/>
    <s v="Haritha P"/>
    <d v="2026-09-24T00:00:00"/>
    <x v="2"/>
    <s v="In-Training"/>
    <x v="0"/>
    <x v="0"/>
    <s v="Sahasra Deluxe PG for men, Egattur"/>
    <x v="0"/>
    <x v="0"/>
    <x v="0"/>
    <x v="0"/>
    <x v="0"/>
  </r>
  <r>
    <n v="2530220"/>
    <s v="Chinmay M Kumbar"/>
    <d v="2026-08-13T00:00:00"/>
    <x v="0"/>
    <s v="FTE"/>
    <s v="Chennai"/>
    <s v="EPS26OSP010"/>
    <s v="Vishnupriya Dakshnamurthy"/>
    <d v="2026-12-01T00:00:00"/>
    <x v="1"/>
    <s v="In-Training"/>
    <x v="0"/>
    <x v="0"/>
    <s v="Siddus Premium Mens PG"/>
    <x v="12"/>
    <x v="0"/>
    <x v="0"/>
    <x v="0"/>
    <x v="0"/>
  </r>
  <r>
    <n v="2521265"/>
    <s v="Koudigayala Rachana"/>
    <d v="2026-07-07T00:00:00"/>
    <x v="1"/>
    <s v="FTE"/>
    <s v="Chennai"/>
    <s v="CS26CS006"/>
    <s v="Lawrance M"/>
    <d v="2026-09-09T00:00:00"/>
    <x v="2"/>
    <s v="In-Training-Remedial"/>
    <x v="0"/>
    <x v="0"/>
    <s v="SRS Luxury stays for women-Branch 2, Egattur"/>
    <x v="12"/>
    <x v="0"/>
    <x v="3"/>
    <x v="0"/>
    <x v="0"/>
  </r>
  <r>
    <n v="2529791"/>
    <s v="Abineet Omkar Yadav"/>
    <d v="2026-08-11T00:00:00"/>
    <x v="0"/>
    <s v="FTE"/>
    <s v="Chennai"/>
    <s v="CIS26MCPT021"/>
    <s v="Uma Venkatachalam"/>
    <d v="2026-12-08T00:00:00"/>
    <x v="1"/>
    <s v="In-Training"/>
    <x v="0"/>
    <x v="0"/>
    <s v="Anish luxury pg,sipcot it park egattur"/>
    <x v="12"/>
    <x v="0"/>
    <x v="0"/>
    <x v="0"/>
    <x v="0"/>
  </r>
  <r>
    <n v="2521291"/>
    <s v="Manoj Chittiri"/>
    <d v="2026-07-07T00:00:00"/>
    <x v="0"/>
    <s v="FTE"/>
    <s v="Chennai"/>
    <s v="CS26CS006"/>
    <s v="Lawrance M"/>
    <d v="2026-09-07T00:00:00"/>
    <x v="2"/>
    <s v="In-Training-Remedial"/>
    <x v="0"/>
    <x v="0"/>
    <s v="SRNIVAS LAKSHIMI ELITE MENS PG , Egattur"/>
    <x v="12"/>
    <x v="0"/>
    <x v="0"/>
    <x v="0"/>
    <x v="0"/>
  </r>
  <r>
    <n v="2523432"/>
    <s v="Manikanta Singh M G"/>
    <d v="2026-07-16T00:00:00"/>
    <x v="0"/>
    <s v="FTE"/>
    <s v="Chennai"/>
    <s v="CS26CS010"/>
    <s v="Laksiya Vijayendran"/>
    <d v="2026-10-19T00:00:00"/>
    <x v="3"/>
    <s v="In-Training"/>
    <x v="0"/>
    <x v="0"/>
    <s v="Somas Mens Stay "/>
    <x v="17"/>
    <x v="1"/>
    <x v="3"/>
    <x v="0"/>
    <x v="0"/>
  </r>
  <r>
    <n v="2512340"/>
    <s v="Shilpa Shree N"/>
    <d v="2026-05-28T00:00:00"/>
    <x v="1"/>
    <s v="FTE"/>
    <s v="Chennai"/>
    <s v="CIS26MCPT012"/>
    <s v="Uma Venkatachalam"/>
    <d v="2026-09-17T00:00:00"/>
    <x v="2"/>
    <s v="In-Training"/>
    <x v="0"/>
    <x v="0"/>
    <s v="Sai Grand Womens PG"/>
    <x v="17"/>
    <x v="0"/>
    <x v="0"/>
    <x v="0"/>
    <x v="0"/>
  </r>
  <r>
    <n v="2533207"/>
    <s v="Sindhu Tumu"/>
    <d v="2026-08-25T00:00:00"/>
    <x v="1"/>
    <s v="FTE"/>
    <s v="Chennai"/>
    <s v="CIS26MBG007"/>
    <s v="Lawrance M"/>
    <d v="2026-12-11T00:00:00"/>
    <x v="1"/>
    <s v="In-Training"/>
    <x v="0"/>
    <x v="0"/>
    <s v="New manikandan ladies hostel branch-14 ,egattur"/>
    <x v="17"/>
    <x v="0"/>
    <x v="0"/>
    <x v="0"/>
    <x v="0"/>
  </r>
  <r>
    <n v="2533215"/>
    <s v="Lakshmi Sree Chegondi"/>
    <d v="2026-08-25T00:00:00"/>
    <x v="1"/>
    <s v="FTE"/>
    <s v="Chennai"/>
    <s v="IOT26CSJ002"/>
    <s v="Pavithra Kandasamy"/>
    <d v="2026-11-11T00:00:00"/>
    <x v="0"/>
    <s v="In-Training"/>
    <x v="0"/>
    <x v="0"/>
    <s v="AJ Ladies Hostel"/>
    <x v="17"/>
    <x v="0"/>
    <x v="0"/>
    <x v="0"/>
    <x v="0"/>
  </r>
  <r>
    <n v="2529760"/>
    <s v="Lakshya Rawat"/>
    <d v="2026-08-11T00:00:00"/>
    <x v="0"/>
    <s v="FTE"/>
    <s v="Chennai"/>
    <s v="CIS26MCPT021"/>
    <s v="Uma Venkatachalam"/>
    <d v="2026-12-08T00:00:00"/>
    <x v="1"/>
    <s v="In-Training"/>
    <x v="0"/>
    <x v="0"/>
    <s v="Vishnu pg "/>
    <x v="17"/>
    <x v="0"/>
    <x v="5"/>
    <x v="2"/>
    <x v="2"/>
  </r>
  <r>
    <n v="2523372"/>
    <s v="Aditya Prabhakar Deshmukh"/>
    <d v="2026-07-16T00:00:00"/>
    <x v="0"/>
    <s v="FTE"/>
    <s v="Chennai"/>
    <s v="CS26CS009"/>
    <s v="Laksiya Vijayendran"/>
    <d v="2026-10-14T00:00:00"/>
    <x v="3"/>
    <s v="In-Training"/>
    <x v="0"/>
    <x v="0"/>
    <s v=" Soma Mens Stay"/>
    <x v="17"/>
    <x v="1"/>
    <x v="3"/>
    <x v="0"/>
    <x v="0"/>
  </r>
  <r>
    <n v="2521697"/>
    <s v="Pooja Anil Bhanage"/>
    <d v="2026-07-09T00:00:00"/>
    <x v="1"/>
    <s v="FTE"/>
    <s v="Chennai"/>
    <s v="QEA26QEPT023"/>
    <s v="Sweta Thoppil"/>
    <d v="2026-10-19T00:00:00"/>
    <x v="3"/>
    <s v="In-Training"/>
    <x v="0"/>
    <x v="4"/>
    <s v="Ambika Nest Womens Hostel"/>
    <x v="17"/>
    <x v="0"/>
    <x v="3"/>
    <x v="0"/>
    <x v="0"/>
  </r>
  <r>
    <n v="2525032"/>
    <s v="Terli Roja"/>
    <d v="2026-07-23T00:00:00"/>
    <x v="1"/>
    <s v="FTE"/>
    <s v="Chennai"/>
    <s v="ADM26ISMO010"/>
    <s v="Thomas Naveen. J"/>
    <d v="2026-10-06T00:00:00"/>
    <x v="3"/>
    <s v="In-Training"/>
    <x v="0"/>
    <x v="4"/>
    <s v="sri Lakshmi srinuvasa pg,egatur"/>
    <x v="17"/>
    <x v="0"/>
    <x v="0"/>
    <x v="0"/>
    <x v="0"/>
  </r>
  <r>
    <n v="2525062"/>
    <s v="Kakara Nanda Mounika"/>
    <d v="2026-07-23T00:00:00"/>
    <x v="1"/>
    <s v="FTE"/>
    <s v="Chennai"/>
    <s v="ADM26ISMO010"/>
    <s v="Thomas Naveen. J"/>
    <d v="2026-10-06T00:00:00"/>
    <x v="3"/>
    <s v="In-Training"/>
    <x v="0"/>
    <x v="4"/>
    <s v="MSR Luxury PG - Branch 1, Egatur"/>
    <x v="17"/>
    <x v="0"/>
    <x v="0"/>
    <x v="0"/>
    <x v="0"/>
  </r>
  <r>
    <n v="2531823"/>
    <s v="Avula Amarnath Reddy"/>
    <d v="2026-08-20T00:00:00"/>
    <x v="0"/>
    <s v="FTE"/>
    <s v="Chennai"/>
    <s v="CS26CS012"/>
    <s v="Laksiya Vijayendran"/>
    <d v="2026-11-17T00:00:00"/>
    <x v="0"/>
    <s v="In-Training"/>
    <x v="0"/>
    <x v="4"/>
    <s v="Sai Grand Gents Hostel"/>
    <x v="17"/>
    <x v="0"/>
    <x v="0"/>
    <x v="0"/>
    <x v="0"/>
  </r>
  <r>
    <n v="2533075"/>
    <s v="Bathinigari Kranthi Kumar Reddy"/>
    <d v="2026-08-25T00:00:00"/>
    <x v="0"/>
    <s v="FTE"/>
    <s v="Chennai"/>
    <s v="CIS26MBG004"/>
    <s v="Kishorekumar P"/>
    <d v="2026-12-11T00:00:00"/>
    <x v="1"/>
    <s v="In-Training"/>
    <x v="0"/>
    <x v="4"/>
    <s v="Anish luxury gents PG "/>
    <x v="17"/>
    <x v="0"/>
    <x v="3"/>
    <x v="0"/>
    <x v="0"/>
  </r>
  <r>
    <n v="2484070"/>
    <s v="Umar Ashif M"/>
    <d v="2026-02-14T00:00:00"/>
    <x v="0"/>
    <s v="FTE"/>
    <s v="Chennai"/>
    <s v="QEA26QEPT023"/>
    <s v="Sweta Thoppil"/>
    <d v="2026-10-19T00:00:00"/>
    <x v="3"/>
    <s v="In-Training"/>
    <x v="1"/>
    <x v="1"/>
    <s v="Own house,Perumbakkam"/>
    <x v="17"/>
    <x v="1"/>
    <x v="16"/>
    <x v="1"/>
    <x v="1"/>
  </r>
  <r>
    <n v="2525027"/>
    <s v="Ranjitha Padmanaban"/>
    <d v="2026-07-23T00:00:00"/>
    <x v="1"/>
    <s v="FTE"/>
    <s v="Chennai"/>
    <s v="ADM26ISMO010"/>
    <s v="Thomas Naveen. J"/>
    <d v="2026-10-06T00:00:00"/>
    <x v="3"/>
    <s v="In-Training"/>
    <x v="1"/>
    <x v="1"/>
    <s v="Not Applicable"/>
    <x v="17"/>
    <x v="1"/>
    <x v="3"/>
    <x v="0"/>
    <x v="1"/>
  </r>
  <r>
    <n v="2531361"/>
    <s v="Madhumitha V"/>
    <d v="2026-08-18T00:00:00"/>
    <x v="1"/>
    <s v="FTE"/>
    <s v="Chennai"/>
    <s v="EPS26SAP036"/>
    <s v="Vishnupriya Dakshnamurthy"/>
    <d v="2026-11-09T00:00:00"/>
    <x v="0"/>
    <s v="In-Training"/>
    <x v="1"/>
    <x v="1"/>
    <s v="NO.5, BALAKRISHNAN STREET, NEHRU NAGAR, ERUKANCHERRY, CHENNAI - 600118"/>
    <x v="17"/>
    <x v="1"/>
    <x v="45"/>
    <x v="1"/>
    <x v="1"/>
  </r>
  <r>
    <n v="2531377"/>
    <s v="Sujitha S"/>
    <d v="2026-08-18T00:00:00"/>
    <x v="1"/>
    <s v="FTE"/>
    <s v="Chennai"/>
    <s v="EPS26SAP036"/>
    <s v="Vishnupriya Dakshnamurthy"/>
    <d v="2026-11-09T00:00:00"/>
    <x v="0"/>
    <s v="In-Training"/>
    <x v="1"/>
    <x v="1"/>
    <s v="NIL"/>
    <x v="0"/>
    <x v="1"/>
    <x v="46"/>
    <x v="1"/>
    <x v="1"/>
  </r>
  <r>
    <n v="2531391"/>
    <s v="Gomathi G"/>
    <d v="2026-08-18T00:00:00"/>
    <x v="1"/>
    <s v="FTE"/>
    <s v="Chennai"/>
    <s v="EPS26SAP036"/>
    <s v="Vishnupriya Dakshnamurthy"/>
    <d v="2026-11-09T00:00:00"/>
    <x v="0"/>
    <s v="In-Training"/>
    <x v="1"/>
    <x v="1"/>
    <s v="No.12 Sakthivel nagar, kolathur"/>
    <x v="17"/>
    <x v="0"/>
    <x v="47"/>
    <x v="1"/>
    <x v="1"/>
  </r>
  <r>
    <n v="2531398"/>
    <s v="Deepa S"/>
    <d v="2026-08-18T00:00:00"/>
    <x v="1"/>
    <s v="FTE"/>
    <s v="Chennai"/>
    <s v="EPS26SAP036"/>
    <s v="Vishnupriya Dakshnamurthy"/>
    <d v="2026-11-09T00:00:00"/>
    <x v="0"/>
    <s v="In-Training"/>
    <x v="1"/>
    <x v="1"/>
    <s v="Home"/>
    <x v="17"/>
    <x v="1"/>
    <x v="48"/>
    <x v="1"/>
    <x v="1"/>
  </r>
  <r>
    <n v="2531406"/>
    <s v="Lavanya C"/>
    <d v="2026-08-18T00:00:00"/>
    <x v="1"/>
    <s v="FTE"/>
    <s v="Chennai"/>
    <s v="EPS26SAP036"/>
    <s v="Vishnupriya Dakshnamurthy"/>
    <d v="2026-11-09T00:00:00"/>
    <x v="0"/>
    <s v="In-Training"/>
    <x v="1"/>
    <x v="1"/>
    <s v="Lakshmi Illam"/>
    <x v="17"/>
    <x v="1"/>
    <x v="38"/>
    <x v="1"/>
    <x v="1"/>
  </r>
  <r>
    <n v="2531416"/>
    <s v="Madhangi LNU"/>
    <d v="2026-08-18T00:00:00"/>
    <x v="1"/>
    <s v="FTE"/>
    <s v="Chennai"/>
    <s v="EPS26SAP036"/>
    <s v="Vishnupriya Dakshnamurthy"/>
    <d v="2026-11-09T00:00:00"/>
    <x v="0"/>
    <s v="In-Training"/>
    <x v="1"/>
    <x v="1"/>
    <s v="No.3 Koil cross street, Gandhi Nagar, Ambattur"/>
    <x v="17"/>
    <x v="1"/>
    <x v="28"/>
    <x v="1"/>
    <x v="1"/>
  </r>
  <r>
    <n v="2531417"/>
    <s v="R Rakshitha"/>
    <d v="2026-08-18T00:00:00"/>
    <x v="1"/>
    <s v="FTE"/>
    <s v="Chennai"/>
    <s v="EPS26SAP036"/>
    <s v="Vishnupriya Dakshnamurthy"/>
    <d v="2026-11-09T00:00:00"/>
    <x v="0"/>
    <s v="In-Training"/>
    <x v="1"/>
    <x v="1"/>
    <s v="Arunachala Apartments"/>
    <x v="17"/>
    <x v="1"/>
    <x v="15"/>
    <x v="1"/>
    <x v="1"/>
  </r>
  <r>
    <n v="2531865"/>
    <s v="S Soundarajan"/>
    <d v="2026-08-20T00:00:00"/>
    <x v="0"/>
    <s v="FTE"/>
    <s v="Chennai"/>
    <s v="EPS26OSP011"/>
    <s v="Gayathri Ramachandran"/>
    <s v=""/>
    <x v="1"/>
    <s v="Training - ON Hold"/>
    <x v="1"/>
    <x v="1"/>
    <s v="Home"/>
    <x v="17"/>
    <x v="1"/>
    <x v="49"/>
    <x v="1"/>
    <x v="1"/>
  </r>
  <r>
    <n v="2532923"/>
    <s v="Karthik Krishnan"/>
    <d v="2026-08-25T00:00:00"/>
    <x v="0"/>
    <s v="FTE"/>
    <s v="Chennai"/>
    <s v="ADM27DFSA001"/>
    <s v="Thomas Naveen. J"/>
    <d v="2026-12-30T00:00:00"/>
    <x v="1"/>
    <s v="In-Training"/>
    <x v="1"/>
    <x v="1"/>
    <s v="NIL"/>
    <x v="17"/>
    <x v="1"/>
    <x v="10"/>
    <x v="1"/>
    <x v="1"/>
  </r>
  <r>
    <n v="2533054"/>
    <s v="Jayani Nirupa V"/>
    <d v="2026-08-25T00:00:00"/>
    <x v="1"/>
    <s v="FTE"/>
    <s v="Chennai"/>
    <s v="ADM27DFSA001"/>
    <s v="Thomas Naveen. J"/>
    <d v="2026-12-30T00:00:00"/>
    <x v="1"/>
    <s v="In-Training"/>
    <x v="1"/>
    <x v="1"/>
    <s v="Sri Sai Villa"/>
    <x v="17"/>
    <x v="0"/>
    <x v="8"/>
    <x v="4"/>
    <x v="1"/>
  </r>
  <r>
    <n v="2505092"/>
    <s v="Somprakash Das"/>
    <d v="2026-04-21T00:00:00"/>
    <x v="0"/>
    <s v="FTE"/>
    <s v="Chennai"/>
    <s v="ADM26ISMO010"/>
    <s v="Thomas Naveen. J"/>
    <d v="2026-10-06T00:00:00"/>
    <x v="3"/>
    <s v="In-Training"/>
    <x v="0"/>
    <x v="0"/>
    <s v="Sri Lakshmi Narayana Gents PG, 86, Sambalal St, Navalur, Tamil Nadu- 600130"/>
    <x v="17"/>
    <x v="0"/>
    <x v="2"/>
    <x v="0"/>
    <x v="0"/>
  </r>
  <r>
    <n v="2511296"/>
    <s v="Hitendra Arvind Singh"/>
    <d v="2026-05-21T00:00:00"/>
    <x v="0"/>
    <s v="FTE"/>
    <s v="Chennai"/>
    <s v="CIS26MCPT010"/>
    <s v="Mohamed Harish"/>
    <d v="2026-09-15T00:00:00"/>
    <x v="2"/>
    <s v="In-Training"/>
    <x v="0"/>
    <x v="0"/>
    <s v="CNR Gents PG Branch 2, SIPCOT"/>
    <x v="17"/>
    <x v="0"/>
    <x v="3"/>
    <x v="0"/>
    <x v="0"/>
  </r>
  <r>
    <n v="2520932"/>
    <s v="Vujiri Sandeep"/>
    <d v="2026-07-07T00:00:00"/>
    <x v="0"/>
    <s v="FTE"/>
    <s v="Chennai"/>
    <s v="EPS26WD004"/>
    <s v="Ajith Ganesan"/>
    <d v="2026-10-15T00:00:00"/>
    <x v="3"/>
    <s v="In-Training"/>
    <x v="0"/>
    <x v="0"/>
    <s v="SIVA SAI MENS PG"/>
    <x v="17"/>
    <x v="0"/>
    <x v="3"/>
    <x v="0"/>
    <x v="0"/>
  </r>
  <r>
    <n v="2521037"/>
    <s v="Srimathidevi Palanisamy"/>
    <d v="2026-07-07T00:00:00"/>
    <x v="1"/>
    <s v="FTE"/>
    <s v="Chennai"/>
    <s v="CIS26SN001"/>
    <s v="Ashiya Begam S"/>
    <d v="2026-10-08T00:00:00"/>
    <x v="3"/>
    <s v="In-Training"/>
    <x v="0"/>
    <x v="0"/>
    <s v="MSR Luxury PG for Ladies - Branch 1, Egattur"/>
    <x v="17"/>
    <x v="0"/>
    <x v="0"/>
    <x v="0"/>
    <x v="0"/>
  </r>
  <r>
    <n v="2521038"/>
    <s v="Santhiya Subramaniam"/>
    <d v="2026-07-07T00:00:00"/>
    <x v="1"/>
    <s v="FTE"/>
    <s v="Chennai"/>
    <s v="CIS26SN001"/>
    <s v="Ashiya Begam S"/>
    <d v="2026-10-08T00:00:00"/>
    <x v="3"/>
    <s v="In-Training"/>
    <x v="0"/>
    <x v="0"/>
    <s v="MSR LUXURY PG FOR LADIES - Branch 1, Egattur"/>
    <x v="17"/>
    <x v="0"/>
    <x v="0"/>
    <x v="0"/>
    <x v="0"/>
  </r>
  <r>
    <n v="2521040"/>
    <s v="Jupelli Shiva Shankara Vara Prasad"/>
    <d v="2026-07-07T00:00:00"/>
    <x v="0"/>
    <s v="FTE"/>
    <s v="Chennai"/>
    <s v="SNBG26SN004"/>
    <s v="Kishorekumar P"/>
    <d v="2026-10-08T00:00:00"/>
    <x v="3"/>
    <s v="In-Training"/>
    <x v="0"/>
    <x v="0"/>
    <s v="SPT Mens PG Hostel, Room Number:G6, Egattur."/>
    <x v="17"/>
    <x v="0"/>
    <x v="0"/>
    <x v="0"/>
    <x v="0"/>
  </r>
  <r>
    <n v="2521042"/>
    <s v="Kotipalli Siva Naga Pavan"/>
    <d v="2026-07-07T00:00:00"/>
    <x v="0"/>
    <s v="FTE"/>
    <s v="Chennai"/>
    <s v="SNBG26SN002"/>
    <s v="Lawrance M"/>
    <d v="2026-09-16T00:00:00"/>
    <x v="2"/>
    <s v="In-Training"/>
    <x v="0"/>
    <x v="0"/>
    <s v="SS (Siva Sai Mens) PG - Siruseri"/>
    <x v="17"/>
    <x v="0"/>
    <x v="3"/>
    <x v="0"/>
    <x v="0"/>
  </r>
  <r>
    <n v="2521053"/>
    <s v="Allanki Arun"/>
    <d v="2026-07-07T00:00:00"/>
    <x v="0"/>
    <s v="FTE"/>
    <s v="Chennai"/>
    <s v="CIS26SN001"/>
    <s v="Ashiya Begam S"/>
    <d v="2026-09-16T00:00:00"/>
    <x v="2"/>
    <s v="In-Training"/>
    <x v="0"/>
    <x v="0"/>
    <s v="Sahasra Deluxe PG for men, Egattur."/>
    <x v="17"/>
    <x v="0"/>
    <x v="0"/>
    <x v="0"/>
    <x v="0"/>
  </r>
  <r>
    <n v="2521061"/>
    <s v="Kandabhattu S S V K Satish Raju"/>
    <d v="2026-07-07T00:00:00"/>
    <x v="0"/>
    <s v="FTE"/>
    <s v="Chennai"/>
    <s v="SNBG26SN004"/>
    <s v="Kishorekumar P"/>
    <d v="2026-10-08T00:00:00"/>
    <x v="3"/>
    <s v="In-Training"/>
    <x v="0"/>
    <x v="0"/>
    <s v="Siva Sai GENTS PG"/>
    <x v="17"/>
    <x v="1"/>
    <x v="3"/>
    <x v="0"/>
    <x v="0"/>
  </r>
  <r>
    <n v="2521067"/>
    <s v="Malladi Siva Rama Krishna"/>
    <d v="2026-07-07T00:00:00"/>
    <x v="0"/>
    <s v="FTE"/>
    <s v="Chennai"/>
    <s v="CIS26SN001"/>
    <s v="Ashiya Begam S"/>
    <d v="2026-09-16T00:00:00"/>
    <x v="2"/>
    <s v="In-Training"/>
    <x v="0"/>
    <x v="0"/>
    <s v="SS (Siva Sai) Gents PG"/>
    <x v="17"/>
    <x v="0"/>
    <x v="0"/>
    <x v="0"/>
    <x v="0"/>
  </r>
  <r>
    <n v="2521073"/>
    <s v="Repaka V D S Subha Pavan"/>
    <d v="2026-07-07T00:00:00"/>
    <x v="0"/>
    <s v="FTE"/>
    <s v="Chennai"/>
    <s v="SNBG26SN002"/>
    <s v="Lawrance M"/>
    <d v="2026-10-08T00:00:00"/>
    <x v="3"/>
    <s v="In-Training"/>
    <x v="0"/>
    <x v="0"/>
    <s v="SS[Siva Sai] Gents PG"/>
    <x v="17"/>
    <x v="0"/>
    <x v="3"/>
    <x v="0"/>
    <x v="0"/>
  </r>
  <r>
    <n v="2521117"/>
    <s v="Polisetti Durga Varaprasad"/>
    <d v="2026-07-07T00:00:00"/>
    <x v="0"/>
    <s v="FTE"/>
    <s v="Chennai"/>
    <s v="SNBG26SN004"/>
    <s v="Kishorekumar P"/>
    <d v="2026-10-08T00:00:00"/>
    <x v="3"/>
    <s v="In-Training"/>
    <x v="0"/>
    <x v="0"/>
    <s v="Siva Sai Gents PG"/>
    <x v="17"/>
    <x v="0"/>
    <x v="3"/>
    <x v="0"/>
    <x v="0"/>
  </r>
  <r>
    <n v="2521187"/>
    <s v="Amisha Nath"/>
    <d v="2026-07-07T00:00:00"/>
    <x v="1"/>
    <s v="FTE"/>
    <s v="Chennai"/>
    <s v="HPC26DN005"/>
    <s v="Viveka Preethi"/>
    <d v="2026-10-01T00:00:00"/>
    <x v="3"/>
    <s v="In-Training"/>
    <x v="0"/>
    <x v="0"/>
    <s v="SMILES INN SERVICE PG FOR LADIES"/>
    <x v="17"/>
    <x v="0"/>
    <x v="0"/>
    <x v="0"/>
    <x v="0"/>
  </r>
  <r>
    <n v="2521242"/>
    <s v="Sighakolli Venkata Ram Vijesh"/>
    <d v="2026-07-07T00:00:00"/>
    <x v="0"/>
    <s v="FTE"/>
    <s v="Chennai"/>
    <s v="SNBG26SN004"/>
    <s v="Kishorekumar P"/>
    <d v="2026-10-08T00:00:00"/>
    <x v="3"/>
    <s v="In-Training"/>
    <x v="0"/>
    <x v="0"/>
    <s v="Sahasra PG, Egattur, Chennai"/>
    <x v="17"/>
    <x v="0"/>
    <x v="0"/>
    <x v="0"/>
    <x v="0"/>
  </r>
  <r>
    <n v="2521253"/>
    <s v="Sravani M"/>
    <d v="2026-07-07T00:00:00"/>
    <x v="1"/>
    <s v="FTE"/>
    <s v="Chennai"/>
    <s v="SNBG26SN004"/>
    <s v="Kishorekumar P"/>
    <d v="2026-09-16T00:00:00"/>
    <x v="2"/>
    <s v="In-Training"/>
    <x v="0"/>
    <x v="0"/>
    <s v="Queens luxury ladies pg, Egatthur"/>
    <x v="17"/>
    <x v="0"/>
    <x v="0"/>
    <x v="0"/>
    <x v="0"/>
  </r>
  <r>
    <n v="2521276"/>
    <s v="Veera Sai Sandeep"/>
    <d v="2026-07-07T00:00:00"/>
    <x v="0"/>
    <s v="FTE"/>
    <s v="Chennai"/>
    <s v="SNBG26SN002"/>
    <s v="Lawrance M"/>
    <d v="2026-09-16T00:00:00"/>
    <x v="2"/>
    <s v="In-Training"/>
    <x v="0"/>
    <x v="0"/>
    <s v="SS(Shiva Sai ) gents PG, siruseri"/>
    <x v="17"/>
    <x v="0"/>
    <x v="3"/>
    <x v="0"/>
    <x v="0"/>
  </r>
  <r>
    <n v="2521320"/>
    <s v="MD Ishtiyaque"/>
    <d v="2026-07-07T00:00:00"/>
    <x v="0"/>
    <s v="FTE"/>
    <s v="Chennai"/>
    <s v="EPS26WD004"/>
    <s v="Ajith Ganesan"/>
    <d v="2026-10-15T00:00:00"/>
    <x v="3"/>
    <s v="In-Training"/>
    <x v="0"/>
    <x v="0"/>
    <s v="Riverok villas omr chennai"/>
    <x v="17"/>
    <x v="0"/>
    <x v="2"/>
    <x v="0"/>
    <x v="0"/>
  </r>
  <r>
    <n v="2521658"/>
    <s v="Divya Dhanapal"/>
    <d v="2026-07-09T00:00:00"/>
    <x v="1"/>
    <s v="FTE"/>
    <s v="Chennai"/>
    <s v="ADM26DNAT003"/>
    <s v="Athira P"/>
    <d v="2026-10-23T00:00:00"/>
    <x v="3"/>
    <s v="In-Training"/>
    <x v="0"/>
    <x v="0"/>
    <s v="SRS Ladies PG - Branch - 2, Egattur"/>
    <x v="17"/>
    <x v="0"/>
    <x v="0"/>
    <x v="0"/>
    <x v="0"/>
  </r>
  <r>
    <n v="2521704"/>
    <s v="Prashant Ramesh Goti"/>
    <d v="2026-07-09T00:00:00"/>
    <x v="0"/>
    <s v="FTE"/>
    <s v="Chennai"/>
    <s v="QEA26QEPT023"/>
    <s v="Sweta Thoppil"/>
    <d v="2026-10-19T00:00:00"/>
    <x v="3"/>
    <s v="In-Training"/>
    <x v="0"/>
    <x v="0"/>
    <s v="R and R Gents Pg G2 "/>
    <x v="17"/>
    <x v="0"/>
    <x v="0"/>
    <x v="0"/>
    <x v="0"/>
  </r>
  <r>
    <n v="2521718"/>
    <s v="Karishma Banu Shaik"/>
    <d v="2026-07-09T00:00:00"/>
    <x v="1"/>
    <s v="FTE"/>
    <s v="Chennai"/>
    <s v="QEA26NFTPA002"/>
    <s v="Lourdhu Selvin Raj X"/>
    <d v="2026-11-11T00:00:00"/>
    <x v="0"/>
    <s v="In-Training"/>
    <x v="0"/>
    <x v="0"/>
    <s v="Smiles Inn Ladies Pg  - Branch 1, Egattur"/>
    <x v="17"/>
    <x v="0"/>
    <x v="0"/>
    <x v="0"/>
    <x v="0"/>
  </r>
  <r>
    <n v="2521720"/>
    <s v="Akshaya M S"/>
    <d v="2026-07-09T00:00:00"/>
    <x v="1"/>
    <s v="FTE"/>
    <s v="Chennai"/>
    <s v="QEA26NFTPA001"/>
    <s v="Lourdhu Selvin Raj X"/>
    <d v="2026-11-11T00:00:00"/>
    <x v="0"/>
    <s v="In-Training"/>
    <x v="0"/>
    <x v="0"/>
    <s v="MSR Luxury PG for Ladies- Branch 1, Egattur"/>
    <x v="17"/>
    <x v="0"/>
    <x v="3"/>
    <x v="0"/>
    <x v="0"/>
  </r>
  <r>
    <n v="2521721"/>
    <s v="Pooja D R"/>
    <d v="2026-07-09T00:00:00"/>
    <x v="1"/>
    <s v="FTE"/>
    <s v="Chennai"/>
    <s v="QEA26NFTPA002"/>
    <s v="Lourdhu Selvin Raj X"/>
    <d v="2026-11-11T00:00:00"/>
    <x v="0"/>
    <s v="In-Training"/>
    <x v="0"/>
    <x v="0"/>
    <s v="New Manikandan PG-Branch 14,Kazhipattur"/>
    <x v="17"/>
    <x v="0"/>
    <x v="3"/>
    <x v="0"/>
    <x v="0"/>
  </r>
  <r>
    <n v="2521742"/>
    <s v="Meda Venkata Lakshmi Divya"/>
    <d v="2026-07-09T00:00:00"/>
    <x v="1"/>
    <s v="FTE"/>
    <s v="Chennai"/>
    <s v="QEA26SD001"/>
    <s v="Ajiesya D P"/>
    <d v="2026-11-03T00:00:00"/>
    <x v="0"/>
    <s v="In-Training"/>
    <x v="0"/>
    <x v="0"/>
    <s v="KRISHNA NIVAS LADIES PG"/>
    <x v="17"/>
    <x v="0"/>
    <x v="0"/>
    <x v="0"/>
    <x v="0"/>
  </r>
  <r>
    <n v="2521807"/>
    <s v="V Amarnath"/>
    <d v="2026-07-09T00:00:00"/>
    <x v="0"/>
    <s v="FTE"/>
    <s v="Chennai"/>
    <s v="ADM26MF011"/>
    <s v="Abinaya R"/>
    <d v="2026-11-02T00:00:00"/>
    <x v="0"/>
    <s v="In-Training"/>
    <x v="0"/>
    <x v="0"/>
    <s v="SAI VENKATA HAMUNA PG,PERIYAR STREET,EGATTUR"/>
    <x v="17"/>
    <x v="1"/>
    <x v="0"/>
    <x v="0"/>
    <x v="0"/>
  </r>
  <r>
    <n v="2521841"/>
    <s v="Gamidi Vamsikrishna"/>
    <d v="2026-07-09T00:00:00"/>
    <x v="0"/>
    <s v="FTE"/>
    <s v="Chennai"/>
    <s v="QEA26SD001"/>
    <s v="Ajiesya D P"/>
    <d v="2026-11-03T00:00:00"/>
    <x v="0"/>
    <s v="In-Training"/>
    <x v="0"/>
    <x v="0"/>
    <s v="Meera Gents PG, Egatur"/>
    <x v="17"/>
    <x v="0"/>
    <x v="0"/>
    <x v="0"/>
    <x v="0"/>
  </r>
  <r>
    <n v="2521845"/>
    <s v="Lagadapati Ravi Teja"/>
    <d v="2026-07-09T00:00:00"/>
    <x v="0"/>
    <s v="FTE"/>
    <s v="Chennai"/>
    <s v="QEA26SD001"/>
    <s v="Ajiesya D P"/>
    <d v="2026-11-03T00:00:00"/>
    <x v="0"/>
    <s v="In-Training"/>
    <x v="0"/>
    <x v="0"/>
    <s v="Meera Gents PG, Egattur"/>
    <x v="17"/>
    <x v="0"/>
    <x v="2"/>
    <x v="0"/>
    <x v="0"/>
  </r>
  <r>
    <n v="2522821"/>
    <s v="S  Kavin"/>
    <d v="2026-07-14T00:00:00"/>
    <x v="0"/>
    <s v="FTE"/>
    <s v="Chennai"/>
    <s v="QEA26ST001"/>
    <s v="Angel Maria Faustina Gomez"/>
    <d v="2026-10-15T00:00:00"/>
    <x v="3"/>
    <s v="In-Training"/>
    <x v="0"/>
    <x v="0"/>
    <s v="Thirumala mens pg,  Navalur"/>
    <x v="17"/>
    <x v="0"/>
    <x v="2"/>
    <x v="0"/>
    <x v="0"/>
  </r>
  <r>
    <n v="2522879"/>
    <s v="Krishna Vamsi Veera Venkata Gavara"/>
    <d v="2026-07-14T00:00:00"/>
    <x v="0"/>
    <s v="FTE"/>
    <s v="Chennai"/>
    <s v="QEA26ST001"/>
    <s v="Angel Maria Faustina Gomez"/>
    <d v="2026-10-15T00:00:00"/>
    <x v="3"/>
    <s v="In-Training"/>
    <x v="0"/>
    <x v="0"/>
    <s v="Sri Venkata Sai Hanuman Gents PG, Anna Street, Egattur"/>
    <x v="17"/>
    <x v="0"/>
    <x v="0"/>
    <x v="0"/>
    <x v="0"/>
  </r>
  <r>
    <n v="2523380"/>
    <s v="Cyrill Victor"/>
    <d v="2026-07-16T00:00:00"/>
    <x v="0"/>
    <s v="FTE"/>
    <s v="Chennai"/>
    <s v="PG26JFR004"/>
    <s v="Thomas Naveen. J"/>
    <d v="2026-11-16T00:00:00"/>
    <x v="0"/>
    <s v="In-Training"/>
    <x v="0"/>
    <x v="0"/>
    <s v="Sahasra Deluxe PG"/>
    <x v="17"/>
    <x v="1"/>
    <x v="3"/>
    <x v="0"/>
    <x v="0"/>
  </r>
  <r>
    <n v="2524518"/>
    <s v="Sahana V Iyer"/>
    <d v="2026-07-21T00:00:00"/>
    <x v="1"/>
    <s v="FTE"/>
    <s v="Chennai"/>
    <s v="IOA26RPA005"/>
    <s v="Adarsh J Nair"/>
    <d v="2026-10-14T00:00:00"/>
    <x v="3"/>
    <s v="In-Training"/>
    <x v="0"/>
    <x v="0"/>
    <s v="Smiles Inn PG Services for ladies"/>
    <x v="17"/>
    <x v="0"/>
    <x v="0"/>
    <x v="0"/>
    <x v="0"/>
  </r>
  <r>
    <n v="2524655"/>
    <s v="Harshitha P"/>
    <d v="2026-07-21T00:00:00"/>
    <x v="1"/>
    <s v="FTE"/>
    <s v="Chennai"/>
    <s v="IOA26RPA005"/>
    <s v="Adarsh J Nair"/>
    <d v="2026-10-14T00:00:00"/>
    <x v="3"/>
    <s v="In-Training"/>
    <x v="0"/>
    <x v="0"/>
    <s v="Ambika Nest Womens Hostel"/>
    <x v="17"/>
    <x v="0"/>
    <x v="3"/>
    <x v="0"/>
    <x v="0"/>
  </r>
  <r>
    <n v="2524990"/>
    <s v="Kadavakallu Srivani"/>
    <d v="2026-07-23T00:00:00"/>
    <x v="1"/>
    <s v="FTE"/>
    <s v="Chennai"/>
    <s v="ADM26ISMO010"/>
    <s v="Thomas Naveen. J"/>
    <d v="2026-10-06T00:00:00"/>
    <x v="3"/>
    <s v="In-Training"/>
    <x v="0"/>
    <x v="0"/>
    <s v="sri lakshmi srinuvasa ladies pg"/>
    <x v="17"/>
    <x v="0"/>
    <x v="0"/>
    <x v="0"/>
    <x v="0"/>
  </r>
  <r>
    <n v="2525063"/>
    <s v="Keerthi C V"/>
    <d v="2026-07-23T00:00:00"/>
    <x v="1"/>
    <s v="FTE"/>
    <s v="Chennai"/>
    <s v="ADM26ISMO010"/>
    <s v="Thomas Naveen. J"/>
    <d v="2026-10-06T00:00:00"/>
    <x v="3"/>
    <s v="In-Training"/>
    <x v="0"/>
    <x v="0"/>
    <s v="Ambika Nest Womens PG"/>
    <x v="17"/>
    <x v="0"/>
    <x v="3"/>
    <x v="0"/>
    <x v="0"/>
  </r>
  <r>
    <n v="2526149"/>
    <s v="Abhinay Karthik Kaveti"/>
    <d v="2026-07-28T00:00:00"/>
    <x v="0"/>
    <s v="FTE"/>
    <s v="Chennai"/>
    <s v="QEA26DS001"/>
    <s v="Lourdhu Selvin Raj X"/>
    <d v="2026-10-30T00:00:00"/>
    <x v="3"/>
    <s v="In-Training"/>
    <x v="0"/>
    <x v="0"/>
    <s v="Sahasra delux mens pg,Egattur"/>
    <x v="17"/>
    <x v="0"/>
    <x v="3"/>
    <x v="0"/>
    <x v="0"/>
  </r>
  <r>
    <n v="2529490"/>
    <s v="Ragul A"/>
    <d v="2026-08-11T00:00:00"/>
    <x v="0"/>
    <s v="FTE"/>
    <s v="Chennai"/>
    <s v="CIS26MCPT021"/>
    <s v="Uma Venkatachalam"/>
    <d v="2026-12-08T00:00:00"/>
    <x v="1"/>
    <s v="In-Training"/>
    <x v="0"/>
    <x v="0"/>
    <s v="Ayyapa Jothi Ganesh Ram house"/>
    <x v="17"/>
    <x v="1"/>
    <x v="8"/>
    <x v="4"/>
    <x v="0"/>
  </r>
  <r>
    <n v="2529801"/>
    <s v="Vimal Sridhar K"/>
    <d v="2026-08-11T00:00:00"/>
    <x v="0"/>
    <s v="FTE"/>
    <s v="Chennai"/>
    <s v="EPS26SAP031"/>
    <s v="Akashraj R"/>
    <d v="2026-11-04T00:00:00"/>
    <x v="0"/>
    <s v="In-Training"/>
    <x v="0"/>
    <x v="0"/>
    <s v="Sahasra Deluxe PG for Men, Egattur"/>
    <x v="17"/>
    <x v="0"/>
    <x v="0"/>
    <x v="0"/>
    <x v="0"/>
  </r>
  <r>
    <n v="2529803"/>
    <s v="Thamizhselvan Senthilmurugan"/>
    <d v="2026-08-11T00:00:00"/>
    <x v="0"/>
    <s v="FTE"/>
    <s v="Chennai"/>
    <s v="EPS26SAP031"/>
    <s v="Akashraj R"/>
    <d v="2026-11-04T00:00:00"/>
    <x v="0"/>
    <s v="In-Training"/>
    <x v="0"/>
    <x v="0"/>
    <s v="Sahasra Deluxe PG for men"/>
    <x v="17"/>
    <x v="0"/>
    <x v="0"/>
    <x v="0"/>
    <x v="0"/>
  </r>
  <r>
    <n v="2530208"/>
    <s v="Naveen Prabhu M M"/>
    <d v="2026-08-13T00:00:00"/>
    <x v="0"/>
    <s v="FTE"/>
    <s v="Chennai"/>
    <s v="EPS26OSP010"/>
    <s v="Vishnupriya Dakshnamurthy"/>
    <d v="2026-12-01T00:00:00"/>
    <x v="1"/>
    <s v="In-Training"/>
    <x v="0"/>
    <x v="0"/>
    <s v="GVK mens pg"/>
    <x v="17"/>
    <x v="0"/>
    <x v="3"/>
    <x v="0"/>
    <x v="0"/>
  </r>
  <r>
    <n v="2530214"/>
    <s v="Jai Akash Subramanian Aruna"/>
    <d v="2026-08-13T00:00:00"/>
    <x v="0"/>
    <s v="FTE"/>
    <s v="Chennai"/>
    <s v="EPS26OSP010"/>
    <s v="Vishnupriya Dakshnamurthy"/>
    <d v="2026-12-01T00:00:00"/>
    <x v="1"/>
    <s v="In-Training"/>
    <x v="0"/>
    <x v="0"/>
    <s v="gvk pg "/>
    <x v="17"/>
    <x v="1"/>
    <x v="2"/>
    <x v="0"/>
    <x v="0"/>
  </r>
  <r>
    <n v="2532943"/>
    <s v="Swetha M"/>
    <d v="2026-08-25T00:00:00"/>
    <x v="1"/>
    <s v="FTE"/>
    <s v="Chennai"/>
    <s v="ADM27DFSA001"/>
    <s v="Thomas Naveen. J"/>
    <d v="2026-12-30T00:00:00"/>
    <x v="1"/>
    <s v="In-Training"/>
    <x v="0"/>
    <x v="0"/>
    <s v="Sri Narayana Swamy PG - Branch 2, Navalur"/>
    <x v="17"/>
    <x v="0"/>
    <x v="2"/>
    <x v="0"/>
    <x v="0"/>
  </r>
  <r>
    <n v="2532979"/>
    <s v="Harini Vetriselvan"/>
    <d v="2026-08-25T00:00:00"/>
    <x v="1"/>
    <s v="FTE"/>
    <s v="Chennai"/>
    <s v="CIS26MBG003"/>
    <s v="Kishorekumar P"/>
    <d v="2026-12-11T00:00:00"/>
    <x v="1"/>
    <s v="In-Training"/>
    <x v="0"/>
    <x v="0"/>
    <s v="Indira ladies pg"/>
    <x v="17"/>
    <x v="1"/>
    <x v="2"/>
    <x v="0"/>
    <x v="0"/>
  </r>
  <r>
    <n v="2533014"/>
    <s v="Gunasundhari N"/>
    <d v="2026-08-25T00:00:00"/>
    <x v="1"/>
    <s v="FTE"/>
    <s v="Chennai"/>
    <s v="ADM27DFSA001"/>
    <s v="Thomas Naveen. J"/>
    <d v="2026-12-30T00:00:00"/>
    <x v="1"/>
    <s v="In-Training"/>
    <x v="0"/>
    <x v="0"/>
    <s v="MSR LUXURY PG BRANCH III, GANGAI AMMAN KOIL STREET, OMR, EGATTUR, SIRUSERI, CHENNAI-600130"/>
    <x v="17"/>
    <x v="0"/>
    <x v="0"/>
    <x v="0"/>
    <x v="0"/>
  </r>
  <r>
    <n v="2533157"/>
    <s v="Anuhya Kondapalli"/>
    <d v="2026-08-25T00:00:00"/>
    <x v="1"/>
    <s v="FTE"/>
    <s v="Chennai"/>
    <s v="CIS26MBG006"/>
    <s v="Angel Maria Faustina Gomez"/>
    <d v="2026-12-11T00:00:00"/>
    <x v="1"/>
    <s v="In-Training"/>
    <x v="0"/>
    <x v="0"/>
    <s v="Aj ladies hostel "/>
    <x v="17"/>
    <x v="0"/>
    <x v="0"/>
    <x v="0"/>
    <x v="0"/>
  </r>
  <r>
    <n v="2533577"/>
    <s v="Ebenezer Josephraj"/>
    <d v="2026-08-27T00:00:00"/>
    <x v="0"/>
    <s v="FTE"/>
    <s v="Chennai"/>
    <s v="EPS26SAP038"/>
    <s v="Ajith Ganesan"/>
    <d v="2026-10-27T00:00:00"/>
    <x v="3"/>
    <s v="In-Training"/>
    <x v="0"/>
    <x v="0"/>
    <s v="Sri Lakshmi Narayana Gents PG, Navalur"/>
    <x v="17"/>
    <x v="0"/>
    <x v="2"/>
    <x v="0"/>
    <x v="0"/>
  </r>
  <r>
    <n v="2521834"/>
    <s v="Mahesh Mekala"/>
    <d v="2026-07-09T00:00:00"/>
    <x v="0"/>
    <s v="FTE"/>
    <s v="Chennai"/>
    <s v="QEA26SD001"/>
    <s v="Ajiesya D P"/>
    <d v="2026-11-03T00:00:00"/>
    <x v="0"/>
    <s v="In-Training"/>
    <x v="1"/>
    <x v="3"/>
    <s v="AKKARAI BACE, SAI BABA GARDEN, AKKARAI"/>
    <x v="17"/>
    <x v="0"/>
    <x v="50"/>
    <x v="1"/>
    <x v="1"/>
  </r>
  <r>
    <n v="2533206"/>
    <s v="Ruchitha Nevas Pasupula"/>
    <d v="2026-08-25T00:00:00"/>
    <x v="1"/>
    <s v="FTE"/>
    <s v="Chennai"/>
    <s v="CIS26MBG003"/>
    <s v="Kishorekumar P"/>
    <d v="2026-12-11T00:00:00"/>
    <x v="1"/>
    <s v="In-Training"/>
    <x v="1"/>
    <x v="3"/>
    <s v="NA"/>
    <x v="17"/>
    <x v="1"/>
    <x v="51"/>
    <x v="1"/>
    <x v="1"/>
  </r>
  <r>
    <n v="2512319"/>
    <s v="Dinesh R"/>
    <d v="2026-05-28T00:00:00"/>
    <x v="0"/>
    <s v="FTE"/>
    <s v="Chennai"/>
    <s v="CIS26MCPT011"/>
    <s v="Uma Venkatachalam"/>
    <d v="2026-09-17T00:00:00"/>
    <x v="2"/>
    <s v="In-Training"/>
    <x v="1"/>
    <x v="2"/>
    <s v="N/A"/>
    <x v="17"/>
    <x v="1"/>
    <x v="24"/>
    <x v="7"/>
    <x v="1"/>
  </r>
  <r>
    <n v="2524492"/>
    <s v="Monica M"/>
    <d v="2026-07-21T00:00:00"/>
    <x v="1"/>
    <s v="FTE"/>
    <s v="Chennai"/>
    <s v="ADM26DFSA007"/>
    <s v="Sweta Thoppil"/>
    <d v="2026-11-10T00:00:00"/>
    <x v="0"/>
    <s v="In-Training"/>
    <x v="1"/>
    <x v="2"/>
    <s v="No-63/43, 1st street, Ramakrishna nagar, ennore, Chennai-57"/>
    <x v="17"/>
    <x v="1"/>
    <x v="52"/>
    <x v="9"/>
    <x v="2"/>
  </r>
  <r>
    <n v="2530219"/>
    <s v="Venkata Thejeswar Reddy Yerasu"/>
    <d v="2026-08-13T00:00:00"/>
    <x v="0"/>
    <s v="FTE"/>
    <s v="Chennai"/>
    <s v="EPS26OSP010"/>
    <s v="Vishnupriya Dakshnamurthy"/>
    <d v="2026-12-01T00:00:00"/>
    <x v="1"/>
    <s v="In-Training"/>
    <x v="1"/>
    <x v="2"/>
    <s v="1st street backside of the JS Global School, NO1 lake view point, Rajiv Gandhi salai,Ponniamman ,sholinganallur"/>
    <x v="17"/>
    <x v="0"/>
    <x v="8"/>
    <x v="4"/>
    <x v="1"/>
  </r>
  <r>
    <n v="2507421"/>
    <s v="Sanjay Kumar E"/>
    <d v="2026-04-30T00:00:00"/>
    <x v="0"/>
    <s v="FTE"/>
    <s v="Chennai"/>
    <s v="ISG26JSAAT002"/>
    <s v="Ashiya Begam S"/>
    <d v="2026-09-07T00:00:00"/>
    <x v="2"/>
    <s v="In-Training-Remedial"/>
    <x v="1"/>
    <x v="1"/>
    <s v="8A , manikandan 2nd street,porur"/>
    <x v="17"/>
    <x v="1"/>
    <x v="38"/>
    <x v="1"/>
    <x v="1"/>
  </r>
  <r>
    <n v="2511225"/>
    <s v="Chinmayi H P"/>
    <d v="2026-05-21T00:00:00"/>
    <x v="1"/>
    <s v="FTE"/>
    <s v="Chennai"/>
    <s v="CIS26MCPT010"/>
    <s v="Mohamed Harish"/>
    <d v="2026-09-10T00:00:00"/>
    <x v="2"/>
    <s v="In-Training"/>
    <x v="0"/>
    <x v="0"/>
    <s v="MSR LUXURY PG BRANCH 2"/>
    <x v="17"/>
    <x v="1"/>
    <x v="3"/>
    <x v="0"/>
    <x v="0"/>
  </r>
  <r>
    <n v="2511269"/>
    <s v="Saran Veerabathiran"/>
    <d v="2026-05-21T00:00:00"/>
    <x v="0"/>
    <s v="FTE"/>
    <s v="Chennai"/>
    <s v="CIS26MCPT010"/>
    <s v="Mohamed Harish"/>
    <d v="2026-09-10T00:00:00"/>
    <x v="2"/>
    <s v="In-Training"/>
    <x v="1"/>
    <x v="2"/>
    <s v="Plot no:2, Peramanur Village, Maraimalai Nagar"/>
    <x v="17"/>
    <x v="1"/>
    <x v="53"/>
    <x v="10"/>
    <x v="1"/>
  </r>
  <r>
    <n v="2511315"/>
    <s v="Mohammed Thanish K"/>
    <d v="2026-05-21T00:00:00"/>
    <x v="0"/>
    <s v="FTE"/>
    <s v="Chennai"/>
    <s v="CIS26MCPT010"/>
    <s v="Mohamed Harish"/>
    <d v="2026-09-15T00:00:00"/>
    <x v="2"/>
    <s v="In-Training"/>
    <x v="1"/>
    <x v="1"/>
    <s v="own house, Medavakkam."/>
    <x v="17"/>
    <x v="1"/>
    <x v="18"/>
    <x v="1"/>
    <x v="1"/>
  </r>
  <r>
    <n v="2512294"/>
    <s v="Abhishek Nitin Tiwari"/>
    <d v="2026-05-28T00:00:00"/>
    <x v="0"/>
    <s v="FTE"/>
    <s v="Chennai"/>
    <s v="CIS26MCPT011"/>
    <s v="Uma Venkatachalam"/>
    <d v="2026-09-17T00:00:00"/>
    <x v="2"/>
    <s v="In-Training"/>
    <x v="0"/>
    <x v="0"/>
    <s v="cnr mens pg branch 1 sipcot"/>
    <x v="17"/>
    <x v="0"/>
    <x v="3"/>
    <x v="0"/>
    <x v="0"/>
  </r>
  <r>
    <n v="2512313"/>
    <s v="Preeti Ramappa Chavati"/>
    <d v="2026-05-28T00:00:00"/>
    <x v="1"/>
    <s v="FTE"/>
    <s v="Chennai"/>
    <s v="CIS26MCPT011"/>
    <s v="Uma Venkatachalam"/>
    <d v="2026-09-17T00:00:00"/>
    <x v="2"/>
    <s v="In-Training"/>
    <x v="0"/>
    <x v="0"/>
    <s v="ja sree ladies pg"/>
    <x v="17"/>
    <x v="0"/>
    <x v="2"/>
    <x v="0"/>
    <x v="0"/>
  </r>
  <r>
    <n v="2512327"/>
    <s v="Kasik Chakravarthi"/>
    <d v="2026-05-28T00:00:00"/>
    <x v="0"/>
    <s v="FTE"/>
    <s v="Chennai"/>
    <s v="CIS26MCPT012"/>
    <s v="Uma Venkatachalam"/>
    <d v="2026-09-17T00:00:00"/>
    <x v="2"/>
    <s v="In-Training"/>
    <x v="1"/>
    <x v="1"/>
    <s v="No:3/13, 1st main road, Sathya nagar, Ramapuram road, Manapakkam, Chennai-600125"/>
    <x v="17"/>
    <x v="1"/>
    <x v="1"/>
    <x v="1"/>
    <x v="1"/>
  </r>
  <r>
    <n v="2512335"/>
    <s v="Sujal Bhushanrao Karne"/>
    <d v="2026-05-28T00:00:00"/>
    <x v="0"/>
    <s v="FTE"/>
    <s v="Chennai"/>
    <s v="CIS26MCPT012"/>
    <s v="Uma Venkatachalam"/>
    <d v="2026-09-17T00:00:00"/>
    <x v="2"/>
    <s v="In-Training"/>
    <x v="0"/>
    <x v="0"/>
    <s v="CNR GENTS PG BRANCH 1"/>
    <x v="17"/>
    <x v="0"/>
    <x v="3"/>
    <x v="0"/>
    <x v="0"/>
  </r>
  <r>
    <n v="2512344"/>
    <s v="Mithila K S"/>
    <d v="2026-05-28T00:00:00"/>
    <x v="1"/>
    <s v="FTE"/>
    <s v="Chennai"/>
    <s v="CIS26MCPT012"/>
    <s v="Uma Venkatachalam"/>
    <d v="2026-09-17T00:00:00"/>
    <x v="2"/>
    <s v="In-Training"/>
    <x v="0"/>
    <x v="0"/>
    <s v="Jothi ladies hostel branch 4,Navalur"/>
    <x v="17"/>
    <x v="0"/>
    <x v="2"/>
    <x v="0"/>
    <x v="0"/>
  </r>
  <r>
    <n v="2512355"/>
    <s v="Bhargavi R"/>
    <d v="2026-05-28T00:00:00"/>
    <x v="1"/>
    <s v="FTE"/>
    <s v="Chennai"/>
    <s v="CIS26MCPT011"/>
    <s v="Uma Venkatachalam"/>
    <d v="2026-09-17T00:00:00"/>
    <x v="2"/>
    <s v="In-Training"/>
    <x v="0"/>
    <x v="0"/>
    <s v="Jothi Ladies PG 4th branch, Navalur"/>
    <x v="17"/>
    <x v="0"/>
    <x v="2"/>
    <x v="0"/>
    <x v="0"/>
  </r>
  <r>
    <n v="2516748"/>
    <s v="Abhay Ram J"/>
    <d v="2026-06-18T00:00:00"/>
    <x v="0"/>
    <s v="FTE"/>
    <s v="Chennai"/>
    <s v="CIS26NET003"/>
    <s v="Uma Venkatachalam"/>
    <d v="2026-09-04T00:00:00"/>
    <x v="2"/>
    <s v="In-Training"/>
    <x v="0"/>
    <x v="0"/>
    <s v="Soma Pg,Siruseri"/>
    <x v="17"/>
    <x v="1"/>
    <x v="3"/>
    <x v="0"/>
    <x v="0"/>
  </r>
  <r>
    <n v="2516836"/>
    <s v="Shreya Sarvan Masanam"/>
    <d v="2026-06-18T00:00:00"/>
    <x v="1"/>
    <s v="FTE"/>
    <s v="Chennai"/>
    <s v="CIS26MW001"/>
    <s v="Ashiya Begam S"/>
    <d v="2026-09-11T00:00:00"/>
    <x v="2"/>
    <s v="In-Training"/>
    <x v="0"/>
    <x v="0"/>
    <s v="SRS luxury Pg ladies - Branch 1, Egattur"/>
    <x v="17"/>
    <x v="0"/>
    <x v="3"/>
    <x v="0"/>
    <x v="0"/>
  </r>
  <r>
    <n v="2519590"/>
    <s v="Purushothama J N"/>
    <d v="2026-07-02T00:00:00"/>
    <x v="0"/>
    <s v="FTE"/>
    <s v="Chennai"/>
    <s v="CIS26MCPT013"/>
    <s v="Lawrance M"/>
    <d v="2026-10-29T00:00:00"/>
    <x v="3"/>
    <s v="In-Training"/>
    <x v="0"/>
    <x v="0"/>
    <s v="Jothi Mens Hostel"/>
    <x v="17"/>
    <x v="0"/>
    <x v="2"/>
    <x v="0"/>
    <x v="0"/>
  </r>
  <r>
    <n v="2519616"/>
    <s v="Peddakaam Jayachandra Reddy"/>
    <d v="2026-07-02T00:00:00"/>
    <x v="0"/>
    <s v="FTE"/>
    <s v="Chennai"/>
    <s v="CIS26UNIX004"/>
    <s v="Haritha P"/>
    <d v="2026-09-24T00:00:00"/>
    <x v="2"/>
    <s v="In-Training"/>
    <x v="0"/>
    <x v="0"/>
    <s v="KNR Boys PG, Ambedkar colony, Egattur"/>
    <x v="17"/>
    <x v="0"/>
    <x v="0"/>
    <x v="0"/>
    <x v="0"/>
  </r>
  <r>
    <n v="2519631"/>
    <s v="Ajay Kumar Reddy Gajjala"/>
    <d v="2026-07-02T00:00:00"/>
    <x v="0"/>
    <s v="FTE"/>
    <s v="Chennai"/>
    <s v="CIS26UNIX004"/>
    <s v="Haritha P"/>
    <d v="2026-09-24T00:00:00"/>
    <x v="2"/>
    <s v="In-Training"/>
    <x v="0"/>
    <x v="0"/>
    <s v="KNR PG, Dr.Ambedkar Street, Egattur"/>
    <x v="17"/>
    <x v="0"/>
    <x v="0"/>
    <x v="0"/>
    <x v="0"/>
  </r>
  <r>
    <n v="2519632"/>
    <s v="Anitha A"/>
    <d v="2026-07-02T00:00:00"/>
    <x v="1"/>
    <s v="FTE"/>
    <s v="Chennai"/>
    <s v="CIS26MCPT013"/>
    <s v="Lawrance M"/>
    <d v="2026-10-29T00:00:00"/>
    <x v="3"/>
    <s v="In-Training"/>
    <x v="0"/>
    <x v="0"/>
    <s v="Nwe phonix   girls hostel"/>
    <x v="17"/>
    <x v="0"/>
    <x v="3"/>
    <x v="0"/>
    <x v="0"/>
  </r>
  <r>
    <n v="2519636"/>
    <s v="Mugilan R"/>
    <d v="2026-07-02T00:00:00"/>
    <x v="0"/>
    <s v="FTE"/>
    <s v="Chennai"/>
    <s v="CIS26DWP021"/>
    <s v="Laksiya Vijayendran"/>
    <d v="2026-09-07T00:00:00"/>
    <x v="2"/>
    <s v="In-Training"/>
    <x v="0"/>
    <x v="0"/>
    <s v="Geethika Grand Gents PG"/>
    <x v="17"/>
    <x v="1"/>
    <x v="0"/>
    <x v="0"/>
    <x v="0"/>
  </r>
  <r>
    <n v="2519656"/>
    <s v="Hajara Kamila M"/>
    <d v="2026-07-02T00:00:00"/>
    <x v="1"/>
    <s v="FTE"/>
    <s v="Chennai"/>
    <s v="CIS26DWP021"/>
    <s v="Laksiya Vijayendran"/>
    <d v="2026-09-07T00:00:00"/>
    <x v="2"/>
    <s v="In-Training"/>
    <x v="1"/>
    <x v="3"/>
    <s v="42/78, 3rd main road, Venkateswara Nagar, Velachery."/>
    <x v="17"/>
    <x v="0"/>
    <x v="54"/>
    <x v="1"/>
    <x v="1"/>
  </r>
  <r>
    <n v="2519658"/>
    <s v="Vinayak Namdev Patil"/>
    <d v="2026-07-02T00:00:00"/>
    <x v="0"/>
    <s v="FTE"/>
    <s v="Chennai"/>
    <s v="CIS26MCPT013"/>
    <s v="Lawrance M"/>
    <d v="2026-10-29T00:00:00"/>
    <x v="3"/>
    <s v="In-Training"/>
    <x v="0"/>
    <x v="0"/>
    <s v="CNR PG -Branch 2 ,sirseri"/>
    <x v="17"/>
    <x v="0"/>
    <x v="3"/>
    <x v="0"/>
    <x v="0"/>
  </r>
  <r>
    <n v="2519684"/>
    <s v="Haritha S"/>
    <d v="2026-07-02T00:00:00"/>
    <x v="1"/>
    <s v="FTE"/>
    <s v="Chennai"/>
    <s v="CIS26MCPT013"/>
    <s v="Lawrance M"/>
    <d v="2026-10-29T00:00:00"/>
    <x v="3"/>
    <s v="In-Training"/>
    <x v="0"/>
    <x v="0"/>
    <s v="New Phoenix PG"/>
    <x v="17"/>
    <x v="1"/>
    <x v="3"/>
    <x v="0"/>
    <x v="0"/>
  </r>
  <r>
    <n v="2519689"/>
    <s v="Sarathi R M"/>
    <d v="2026-07-02T00:00:00"/>
    <x v="0"/>
    <s v="FTE"/>
    <s v="Chennai"/>
    <s v="CIS26DWP021"/>
    <s v="Laksiya Vijayendran"/>
    <d v="2026-09-07T00:00:00"/>
    <x v="2"/>
    <s v="In-Training"/>
    <x v="1"/>
    <x v="2"/>
    <s v="Sambaths home No.16 Taramani"/>
    <x v="17"/>
    <x v="0"/>
    <x v="55"/>
    <x v="11"/>
    <x v="1"/>
  </r>
  <r>
    <n v="2519700"/>
    <s v="Udagundla Bala Ranganath"/>
    <d v="2026-07-02T00:00:00"/>
    <x v="0"/>
    <s v="FTE"/>
    <s v="Chennai"/>
    <s v="CIS26UNIX003"/>
    <s v="Haritha P"/>
    <d v="2026-09-24T00:00:00"/>
    <x v="2"/>
    <s v="In-Training"/>
    <x v="0"/>
    <x v="0"/>
    <s v="sri venkata hanuman gents pg branch-1,Egattur"/>
    <x v="17"/>
    <x v="1"/>
    <x v="3"/>
    <x v="0"/>
    <x v="0"/>
  </r>
  <r>
    <n v="2519716"/>
    <s v="Rahul Raj D"/>
    <d v="2026-07-02T00:00:00"/>
    <x v="0"/>
    <s v="FTE"/>
    <s v="Chennai"/>
    <s v="CIS26MCPT013"/>
    <s v="Lawrance M"/>
    <d v="2026-10-29T00:00:00"/>
    <x v="3"/>
    <s v="In-Training"/>
    <x v="1"/>
    <x v="1"/>
    <s v="Home"/>
    <x v="17"/>
    <x v="1"/>
    <x v="16"/>
    <x v="1"/>
    <x v="1"/>
  </r>
  <r>
    <n v="2521047"/>
    <s v="Kaviya P"/>
    <d v="2026-07-07T00:00:00"/>
    <x v="1"/>
    <s v="FTE"/>
    <s v="Chennai"/>
    <s v="CS26CS007"/>
    <s v="Lawrance M"/>
    <d v="2026-09-07T00:00:00"/>
    <x v="2"/>
    <s v="In-Training"/>
    <x v="0"/>
    <x v="0"/>
    <s v="MSR Luxury PG for Ladies - Branch 1"/>
    <x v="17"/>
    <x v="0"/>
    <x v="0"/>
    <x v="0"/>
    <x v="0"/>
  </r>
  <r>
    <n v="2521119"/>
    <s v="Arepalli Meghana"/>
    <d v="2026-07-07T00:00:00"/>
    <x v="1"/>
    <s v="FTE"/>
    <s v="Chennai"/>
    <s v="CIS26SN001"/>
    <s v="Ashiya Begam S"/>
    <d v="2026-10-08T00:00:00"/>
    <x v="3"/>
    <s v="In-Training"/>
    <x v="0"/>
    <x v="0"/>
    <s v="MSR Branch III ladies Luxury PG"/>
    <x v="17"/>
    <x v="0"/>
    <x v="3"/>
    <x v="0"/>
    <x v="0"/>
  </r>
  <r>
    <n v="2521129"/>
    <s v="Nithikaa S J"/>
    <d v="2026-07-07T00:00:00"/>
    <x v="1"/>
    <s v="FTE"/>
    <s v="Chennai"/>
    <s v="CIS26SN001"/>
    <s v="Ashiya Begam S"/>
    <d v="2026-09-16T00:00:00"/>
    <x v="2"/>
    <s v="In-Training"/>
    <x v="1"/>
    <x v="1"/>
    <s v="S J Villa, Ambattur"/>
    <x v="17"/>
    <x v="1"/>
    <x v="56"/>
    <x v="1"/>
    <x v="1"/>
  </r>
  <r>
    <n v="2521136"/>
    <s v="Mohanavalli T"/>
    <d v="2026-07-07T00:00:00"/>
    <x v="1"/>
    <s v="FTE"/>
    <s v="Chennai"/>
    <s v="CS26CS007"/>
    <s v="Lawrance M"/>
    <d v="2026-09-07T00:00:00"/>
    <x v="2"/>
    <s v="In-Training"/>
    <x v="0"/>
    <x v="0"/>
    <s v="Smiles Inn PG Services For Ladies"/>
    <x v="17"/>
    <x v="0"/>
    <x v="3"/>
    <x v="0"/>
    <x v="0"/>
  </r>
  <r>
    <n v="2521177"/>
    <s v="Rushikesh Sudhakar Rajmane"/>
    <d v="2026-07-07T00:00:00"/>
    <x v="0"/>
    <s v="FTE"/>
    <s v="Chennai"/>
    <s v="CIS26UNIX004"/>
    <s v="Haritha P"/>
    <d v="2026-09-24T00:00:00"/>
    <x v="2"/>
    <s v="In-Training"/>
    <x v="0"/>
    <x v="0"/>
    <s v="Vishvas Men PG,Egatture"/>
    <x v="17"/>
    <x v="0"/>
    <x v="0"/>
    <x v="0"/>
    <x v="0"/>
  </r>
  <r>
    <n v="2521183"/>
    <s v="Lerisa A Kalghatgi"/>
    <d v="2026-07-07T00:00:00"/>
    <x v="1"/>
    <s v="FTE"/>
    <s v="Chennai"/>
    <s v="CIS26MCPT013"/>
    <s v="Lawrance M"/>
    <d v="2026-10-29T00:00:00"/>
    <x v="3"/>
    <s v="In-Training"/>
    <x v="0"/>
    <x v="0"/>
    <s v="ambika Nest Ladies PG, Siruseri"/>
    <x v="17"/>
    <x v="0"/>
    <x v="3"/>
    <x v="0"/>
    <x v="0"/>
  </r>
  <r>
    <n v="2521278"/>
    <s v="Pilla Pavan"/>
    <d v="2026-07-07T00:00:00"/>
    <x v="0"/>
    <s v="FTE"/>
    <s v="Chennai"/>
    <s v="SNBG26SN002"/>
    <s v="Lawrance M"/>
    <d v="2026-10-08T00:00:00"/>
    <x v="3"/>
    <s v="In-Training"/>
    <x v="0"/>
    <x v="0"/>
    <s v="Sahasra Deluxe PG for men Green park lane, near Sipcot It Park, Egattur, Tamil Nadu 603103"/>
    <x v="17"/>
    <x v="0"/>
    <x v="0"/>
    <x v="0"/>
    <x v="0"/>
  </r>
  <r>
    <n v="2521306"/>
    <s v="Prajusha R"/>
    <d v="2026-07-07T00:00:00"/>
    <x v="1"/>
    <s v="FTE"/>
    <s v="Chennai"/>
    <s v="CIS26SN001"/>
    <s v="Ashiya Begam S"/>
    <d v="2026-09-16T00:00:00"/>
    <x v="2"/>
    <s v="In-Training"/>
    <x v="0"/>
    <x v="0"/>
    <s v="Queens Luxury ladies pg,Egattur"/>
    <x v="17"/>
    <x v="1"/>
    <x v="3"/>
    <x v="0"/>
    <x v="0"/>
  </r>
  <r>
    <n v="2521703"/>
    <s v="Anjali Sikandar Bhande"/>
    <d v="2026-07-09T00:00:00"/>
    <x v="1"/>
    <s v="FTE"/>
    <s v="Chennai"/>
    <s v="ADM26MF010"/>
    <s v="Thomas Naveen. J"/>
    <d v="2026-11-02T00:00:00"/>
    <x v="0"/>
    <s v="In-Training"/>
    <x v="0"/>
    <x v="0"/>
    <s v="AMBIKA WOMENS HOSTEL"/>
    <x v="17"/>
    <x v="0"/>
    <x v="3"/>
    <x v="0"/>
    <x v="0"/>
  </r>
  <r>
    <n v="2522803"/>
    <s v="Praveena S"/>
    <d v="2026-07-14T00:00:00"/>
    <x v="1"/>
    <s v="FTE"/>
    <s v="Chennai"/>
    <s v="CIS26MCPT017"/>
    <s v="Haritha P"/>
    <d v="2026-11-09T00:00:00"/>
    <x v="0"/>
    <s v="In-Training"/>
    <x v="1"/>
    <x v="1"/>
    <s v="AP 1371 31ST STREET 6TH SECTOR KK NAGAR CHENNAI - 78"/>
    <x v="17"/>
    <x v="1"/>
    <x v="57"/>
    <x v="1"/>
    <x v="1"/>
  </r>
  <r>
    <n v="2522807"/>
    <s v="Deva Murugan"/>
    <d v="2026-07-14T00:00:00"/>
    <x v="0"/>
    <s v="FTE"/>
    <s v="Chennai"/>
    <s v="CIS26MCPT017"/>
    <s v="Haritha P"/>
    <d v="2026-11-09T00:00:00"/>
    <x v="0"/>
    <s v="In-Training"/>
    <x v="0"/>
    <x v="0"/>
    <s v="Pasanga Paradise PG - Branch 1, Egattur"/>
    <x v="17"/>
    <x v="1"/>
    <x v="0"/>
    <x v="0"/>
    <x v="0"/>
  </r>
  <r>
    <n v="2522849"/>
    <s v="Monika S"/>
    <d v="2026-07-14T00:00:00"/>
    <x v="1"/>
    <s v="FTE"/>
    <s v="Chennai"/>
    <s v="CIS26MCPT017"/>
    <s v="Haritha P"/>
    <d v="2026-11-09T00:00:00"/>
    <x v="0"/>
    <s v="In-Training"/>
    <x v="0"/>
    <x v="0"/>
    <s v="MSR Luxury Ladies PG - Branch 1, Egattur, Siruseri"/>
    <x v="17"/>
    <x v="1"/>
    <x v="3"/>
    <x v="0"/>
    <x v="0"/>
  </r>
  <r>
    <n v="2522853"/>
    <s v="Swathi Selvaraj"/>
    <d v="2026-07-14T00:00:00"/>
    <x v="1"/>
    <s v="FTE"/>
    <s v="Chennai"/>
    <s v="CIS26MCPT017"/>
    <s v="Haritha P"/>
    <d v="2026-11-09T00:00:00"/>
    <x v="0"/>
    <s v="In-Training"/>
    <x v="0"/>
    <x v="0"/>
    <s v="MSR Luxury PG for Women"/>
    <x v="17"/>
    <x v="0"/>
    <x v="3"/>
    <x v="0"/>
    <x v="0"/>
  </r>
  <r>
    <n v="2522858"/>
    <s v="Sri Hareeni G"/>
    <d v="2026-07-14T00:00:00"/>
    <x v="1"/>
    <s v="FTE"/>
    <s v="Chennai"/>
    <s v="CIS26MCPT017"/>
    <s v="Haritha P"/>
    <d v="2026-11-09T00:00:00"/>
    <x v="0"/>
    <s v="In-Training"/>
    <x v="0"/>
    <x v="0"/>
    <s v="MSR Luxury PG"/>
    <x v="17"/>
    <x v="0"/>
    <x v="0"/>
    <x v="0"/>
    <x v="0"/>
  </r>
  <r>
    <n v="2522859"/>
    <s v="Jothilakshmi B"/>
    <d v="2026-07-14T00:00:00"/>
    <x v="1"/>
    <s v="FTE"/>
    <s v="Chennai"/>
    <s v="CIS26MCPT017"/>
    <s v="Haritha P"/>
    <d v="2026-11-09T00:00:00"/>
    <x v="0"/>
    <s v="In-Training"/>
    <x v="1"/>
    <x v="1"/>
    <s v="NO:02 AA Block Visalatchi Garden Mylapore Chennai-04"/>
    <x v="17"/>
    <x v="0"/>
    <x v="58"/>
    <x v="1"/>
    <x v="1"/>
  </r>
  <r>
    <n v="2522865"/>
    <s v="Amal A"/>
    <d v="2026-07-14T00:00:00"/>
    <x v="0"/>
    <s v="FTE"/>
    <s v="Chennai"/>
    <s v="CIS26MCPT017"/>
    <s v="Haritha P"/>
    <d v="2026-11-09T00:00:00"/>
    <x v="0"/>
    <s v="In-Training"/>
    <x v="0"/>
    <x v="0"/>
    <s v="Venkata Ramana Mens Hostel Near Church No 59 Street Vijay Ganapathi Nagar Navalur"/>
    <x v="17"/>
    <x v="1"/>
    <x v="2"/>
    <x v="0"/>
    <x v="0"/>
  </r>
  <r>
    <n v="2523373"/>
    <s v="Aditya Narayan Ghatol"/>
    <d v="2026-07-16T00:00:00"/>
    <x v="0"/>
    <s v="FTE"/>
    <s v="Chennai"/>
    <s v="CS26CS009"/>
    <s v="Laksiya Vijayendran"/>
    <d v="2026-10-14T00:00:00"/>
    <x v="3"/>
    <s v="In-Training"/>
    <x v="0"/>
    <x v="0"/>
    <s v="Soma Mens Stay Branch 1, Sipcot IT Park"/>
    <x v="17"/>
    <x v="0"/>
    <x v="3"/>
    <x v="0"/>
    <x v="0"/>
  </r>
  <r>
    <n v="2523384"/>
    <s v="Pathma Shree S R"/>
    <d v="2026-07-16T00:00:00"/>
    <x v="1"/>
    <s v="FTE"/>
    <s v="Chennai"/>
    <s v="CS26CS009"/>
    <s v="Laksiya Vijayendran"/>
    <d v="2026-10-14T00:00:00"/>
    <x v="3"/>
    <s v="In-Training"/>
    <x v="0"/>
    <x v="0"/>
    <s v="Sai Grand Womens PG Hostel(Branch 1) -4/187, Periyar Street, OMR, Egattur, Chennai, Tamil Nadu 600130"/>
    <x v="17"/>
    <x v="1"/>
    <x v="0"/>
    <x v="0"/>
    <x v="0"/>
  </r>
  <r>
    <n v="2523386"/>
    <s v="Shanmugapriya Lnu"/>
    <d v="2026-07-16T00:00:00"/>
    <x v="1"/>
    <s v="FTE"/>
    <s v="Chennai"/>
    <s v="CS26CS009"/>
    <s v="Laksiya Vijayendran"/>
    <d v="2026-10-14T00:00:00"/>
    <x v="3"/>
    <s v="In-Training"/>
    <x v="1"/>
    <x v="1"/>
    <s v="Home"/>
    <x v="17"/>
    <x v="1"/>
    <x v="10"/>
    <x v="1"/>
    <x v="1"/>
  </r>
  <r>
    <n v="2523423"/>
    <s v="Subrahmanya Lnu"/>
    <d v="2026-07-16T00:00:00"/>
    <x v="0"/>
    <s v="FTE"/>
    <s v="Chennai"/>
    <s v="CS26CS009"/>
    <s v="Laksiya Vijayendran"/>
    <d v="2026-10-14T00:00:00"/>
    <x v="3"/>
    <s v="In-Training"/>
    <x v="0"/>
    <x v="0"/>
    <s v="Soma Mens StayPlot No. 15 B6, City Park Layout, 2nd LaneMammothiamman Street, EgatturSiruseri, ChennaiTamil Nadu – 603103"/>
    <x v="17"/>
    <x v="0"/>
    <x v="3"/>
    <x v="0"/>
    <x v="0"/>
  </r>
  <r>
    <n v="2523425"/>
    <s v="Nalinkumar L"/>
    <d v="2026-07-16T00:00:00"/>
    <x v="0"/>
    <s v="FTE"/>
    <s v="Chennai"/>
    <s v="CS26CS009"/>
    <s v="Laksiya Vijayendran"/>
    <d v="2026-10-14T00:00:00"/>
    <x v="3"/>
    <s v="In-Training"/>
    <x v="1"/>
    <x v="1"/>
    <s v="Plot no.143, Samayapuram 7th cross street, 5th main road, Irandamkattalai, Chennai - 600128"/>
    <x v="17"/>
    <x v="1"/>
    <x v="24"/>
    <x v="1"/>
    <x v="1"/>
  </r>
  <r>
    <n v="2524653"/>
    <s v="Sriharan Karthikeyan"/>
    <d v="2026-07-21T00:00:00"/>
    <x v="0"/>
    <s v="FTE"/>
    <s v="Chennai"/>
    <s v="IOA26RPA005"/>
    <s v="Adarsh J Nair"/>
    <d v="2026-10-14T00:00:00"/>
    <x v="3"/>
    <s v="In-Training"/>
    <x v="0"/>
    <x v="0"/>
    <s v="Sahas PG,Egattur"/>
    <x v="17"/>
    <x v="0"/>
    <x v="0"/>
    <x v="0"/>
    <x v="0"/>
  </r>
  <r>
    <n v="2524659"/>
    <s v="Dwarasila Jyoshna"/>
    <d v="2026-07-21T00:00:00"/>
    <x v="1"/>
    <s v="FTE"/>
    <s v="Chennai"/>
    <s v="IOA26RPA005"/>
    <s v="Adarsh J Nair"/>
    <d v="2026-10-14T00:00:00"/>
    <x v="3"/>
    <s v="In-Training"/>
    <x v="0"/>
    <x v="0"/>
    <s v="M.S.R Pg for ladies- Branch 1,Egattur"/>
    <x v="17"/>
    <x v="0"/>
    <x v="3"/>
    <x v="0"/>
    <x v="0"/>
  </r>
  <r>
    <n v="2525146"/>
    <s v="Sahil Ganesh Mali"/>
    <d v="2026-07-23T00:00:00"/>
    <x v="0"/>
    <s v="FTE"/>
    <s v="Chennai"/>
    <s v="EPS26WD005"/>
    <s v="Vishnupriya Dakshnamurthy"/>
    <d v="2026-11-06T00:00:00"/>
    <x v="0"/>
    <s v="In-Training"/>
    <x v="0"/>
    <x v="0"/>
    <s v="Siddus Premium Mens PG"/>
    <x v="17"/>
    <x v="0"/>
    <x v="3"/>
    <x v="0"/>
    <x v="0"/>
  </r>
  <r>
    <n v="2525148"/>
    <s v="Ayush Swapnil Shah"/>
    <d v="2026-07-23T00:00:00"/>
    <x v="0"/>
    <s v="FTE"/>
    <s v="Chennai"/>
    <s v="EPS26WD005"/>
    <s v="Vishnupriya Dakshnamurthy"/>
    <d v="2026-11-06T00:00:00"/>
    <x v="0"/>
    <s v="In-Training"/>
    <x v="0"/>
    <x v="0"/>
    <s v="Siddus Mens PG "/>
    <x v="17"/>
    <x v="0"/>
    <x v="3"/>
    <x v="0"/>
    <x v="0"/>
  </r>
  <r>
    <n v="2525149"/>
    <s v="Aryan Pandharinath Dhumal"/>
    <d v="2026-07-23T00:00:00"/>
    <x v="0"/>
    <s v="FTE"/>
    <s v="Chennai"/>
    <s v="EPS26WD005"/>
    <s v="Vishnupriya Dakshnamurthy"/>
    <d v="2026-11-06T00:00:00"/>
    <x v="0"/>
    <s v="In-Training"/>
    <x v="0"/>
    <x v="0"/>
    <s v="Siddus Mens PG"/>
    <x v="17"/>
    <x v="0"/>
    <x v="3"/>
    <x v="0"/>
    <x v="0"/>
  </r>
  <r>
    <n v="2526161"/>
    <s v="Ancilin P"/>
    <d v="2026-07-28T00:00:00"/>
    <x v="1"/>
    <s v="FTE"/>
    <s v="Chennai"/>
    <s v="CIS26DWP024"/>
    <s v="Lakavath Udhaya Bhavana"/>
    <d v="2026-09-21T00:00:00"/>
    <x v="2"/>
    <s v="In-Training"/>
    <x v="0"/>
    <x v="4"/>
    <s v="Queens luxury ladies PG, Egattur"/>
    <x v="17"/>
    <x v="1"/>
    <x v="0"/>
    <x v="0"/>
    <x v="0"/>
  </r>
  <r>
    <n v="2526174"/>
    <s v="Abinaya Ramesh"/>
    <d v="2026-07-28T00:00:00"/>
    <x v="1"/>
    <s v="FTE"/>
    <s v="Chennai"/>
    <s v="CIS26DWP024"/>
    <s v="Lakavath Udhaya Bhavana"/>
    <d v="2026-09-21T00:00:00"/>
    <x v="2"/>
    <s v="In-Training"/>
    <x v="0"/>
    <x v="4"/>
    <s v="Ambikanest Womens Hostel"/>
    <x v="17"/>
    <x v="0"/>
    <x v="3"/>
    <x v="0"/>
    <x v="0"/>
  </r>
  <r>
    <n v="2526592"/>
    <s v="Krishnaraj G"/>
    <d v="2026-07-30T00:00:00"/>
    <x v="0"/>
    <s v="FTE"/>
    <s v="Chennai"/>
    <s v="QEA26JP001"/>
    <s v="Ajiesya D P"/>
    <s v=""/>
    <x v="1"/>
    <s v="Training - ON Hold"/>
    <x v="0"/>
    <x v="0"/>
    <s v="Balu Gents PG, Shri ram priya avenue, Natham Link road Navalur, Sipcot, Egattur, Siruseri, Tamil Nadu 600130"/>
    <x v="17"/>
    <x v="0"/>
    <x v="0"/>
    <x v="0"/>
    <x v="0"/>
  </r>
  <r>
    <n v="2529508"/>
    <s v="Deepika S"/>
    <d v="2026-08-11T00:00:00"/>
    <x v="1"/>
    <s v="FTE"/>
    <s v="Chennai"/>
    <s v="CIS26MCPT022"/>
    <s v="Laksiya Vijayendran"/>
    <d v="2026-12-03T00:00:00"/>
    <x v="1"/>
    <s v="In-Training"/>
    <x v="0"/>
    <x v="0"/>
    <s v="MSR LUXURY LADIES PG BRANCH-1, EGATTUR"/>
    <x v="17"/>
    <x v="0"/>
    <x v="3"/>
    <x v="0"/>
    <x v="0"/>
  </r>
  <r>
    <n v="2529535"/>
    <s v="Nasika Parvin Raja Mohamed"/>
    <d v="2026-08-11T00:00:00"/>
    <x v="1"/>
    <s v="FTE"/>
    <s v="Chennai"/>
    <s v="CIS26MCPT025"/>
    <s v="Vignesh S"/>
    <d v="2026-12-03T00:00:00"/>
    <x v="1"/>
    <s v="In-Training"/>
    <x v="0"/>
    <x v="0"/>
    <s v="MSR Luxury PG for Ladies - Branch 1, Egattur"/>
    <x v="17"/>
    <x v="1"/>
    <x v="3"/>
    <x v="0"/>
    <x v="0"/>
  </r>
  <r>
    <n v="2529545"/>
    <s v="Sumitha Prakash"/>
    <d v="2026-08-11T00:00:00"/>
    <x v="1"/>
    <s v="FTE"/>
    <s v="Chennai"/>
    <s v="CIS26MCPT021"/>
    <s v="Uma Venkatachalam"/>
    <d v="2026-12-08T00:00:00"/>
    <x v="1"/>
    <s v="In-Training"/>
    <x v="1"/>
    <x v="1"/>
    <s v="HOME"/>
    <x v="17"/>
    <x v="1"/>
    <x v="28"/>
    <x v="1"/>
    <x v="1"/>
  </r>
  <r>
    <n v="2529548"/>
    <s v="Uthaya Kumar T"/>
    <d v="2026-08-11T00:00:00"/>
    <x v="0"/>
    <s v="FTE"/>
    <s v="Chennai"/>
    <s v="CIS26MCPT026"/>
    <s v="Mohamed Harish"/>
    <d v="2026-12-08T00:00:00"/>
    <x v="1"/>
    <s v="In-Training"/>
    <x v="0"/>
    <x v="0"/>
    <s v="Sahasra Deluxe PG for Men"/>
    <x v="17"/>
    <x v="0"/>
    <x v="0"/>
    <x v="0"/>
    <x v="0"/>
  </r>
  <r>
    <n v="2529574"/>
    <s v="Pritesh Ramchandra Patil"/>
    <d v="2026-08-11T00:00:00"/>
    <x v="0"/>
    <s v="FTE"/>
    <s v="Chennai"/>
    <s v="CIS26MCPT025"/>
    <s v="Vignesh S"/>
    <d v="2026-12-03T00:00:00"/>
    <x v="1"/>
    <s v="In-Training"/>
    <x v="0"/>
    <x v="0"/>
    <s v="CNR GENTS PG BRANCH-1,Egattur"/>
    <x v="17"/>
    <x v="0"/>
    <x v="0"/>
    <x v="0"/>
    <x v="0"/>
  </r>
  <r>
    <n v="2529576"/>
    <s v="Tharun B"/>
    <d v="2026-08-11T00:00:00"/>
    <x v="0"/>
    <s v="FTE"/>
    <s v="Chennai"/>
    <s v="CIS26MCPT024"/>
    <s v="Ashiya Begam S"/>
    <d v="2026-12-03T00:00:00"/>
    <x v="1"/>
    <s v="In-Training"/>
    <x v="1"/>
    <x v="2"/>
    <s v="12/14 Rama rao garden 1st street royapettah chennai-14"/>
    <x v="17"/>
    <x v="1"/>
    <x v="59"/>
    <x v="9"/>
    <x v="2"/>
  </r>
  <r>
    <n v="2529582"/>
    <s v="Akhil R"/>
    <d v="2026-08-11T00:00:00"/>
    <x v="0"/>
    <s v="FTE"/>
    <s v="Chennai"/>
    <s v="CIS26MCPT026"/>
    <s v="Mohamed Harish"/>
    <d v="2026-12-08T00:00:00"/>
    <x v="1"/>
    <s v="In-Training"/>
    <x v="0"/>
    <x v="0"/>
    <s v="Sahasra deluxe pg for men"/>
    <x v="17"/>
    <x v="0"/>
    <x v="0"/>
    <x v="0"/>
    <x v="0"/>
  </r>
  <r>
    <n v="2529587"/>
    <s v="Jeet Saha"/>
    <d v="2026-08-11T00:00:00"/>
    <x v="0"/>
    <s v="FTE"/>
    <s v="Chennai"/>
    <s v="CIS26MCPT026"/>
    <s v="Mohamed Harish"/>
    <d v="2026-12-08T00:00:00"/>
    <x v="1"/>
    <s v="In-Training"/>
    <x v="0"/>
    <x v="0"/>
    <s v="The Shivam Living PG for MENs"/>
    <x v="17"/>
    <x v="0"/>
    <x v="0"/>
    <x v="0"/>
    <x v="0"/>
  </r>
  <r>
    <n v="2529590"/>
    <s v="Bhadane Lalit Sanjay"/>
    <d v="2026-08-11T00:00:00"/>
    <x v="0"/>
    <s v="FTE"/>
    <s v="Chennai"/>
    <s v="CIS26MCPT024"/>
    <s v="Ashiya Begam S"/>
    <d v="2026-12-03T00:00:00"/>
    <x v="1"/>
    <s v="In-Training"/>
    <x v="0"/>
    <x v="0"/>
    <s v="CNR Gents PG - Branch 1 , Egattur"/>
    <x v="17"/>
    <x v="0"/>
    <x v="0"/>
    <x v="0"/>
    <x v="0"/>
  </r>
  <r>
    <n v="2529594"/>
    <s v="Priyanshu Bisht"/>
    <d v="2026-08-11T00:00:00"/>
    <x v="0"/>
    <s v="FTE"/>
    <s v="Chennai"/>
    <s v="CIS26MCPT021"/>
    <s v="Uma Venkatachalam"/>
    <d v="2026-12-08T00:00:00"/>
    <x v="1"/>
    <s v="In-Training"/>
    <x v="1"/>
    <x v="2"/>
    <s v="Vishnu PG and Villas"/>
    <x v="17"/>
    <x v="0"/>
    <x v="5"/>
    <x v="2"/>
    <x v="1"/>
  </r>
  <r>
    <n v="2529605"/>
    <s v="Yash Nitin Shirsath"/>
    <d v="2026-08-11T00:00:00"/>
    <x v="0"/>
    <s v="FTE"/>
    <s v="Chennai"/>
    <s v="CIS26MCPT025"/>
    <s v="Vignesh S"/>
    <d v="2026-12-03T00:00:00"/>
    <x v="1"/>
    <s v="In-Training"/>
    <x v="0"/>
    <x v="0"/>
    <s v="CNR Gents PG - Branch 1, Egattur"/>
    <x v="17"/>
    <x v="0"/>
    <x v="0"/>
    <x v="0"/>
    <x v="0"/>
  </r>
  <r>
    <n v="2529606"/>
    <s v="Mohamed Anish J"/>
    <d v="2026-08-11T00:00:00"/>
    <x v="0"/>
    <s v="FTE"/>
    <s v="Chennai"/>
    <s v="CIS26MCPT021"/>
    <s v="Uma Venkatachalam"/>
    <d v="2026-12-08T00:00:00"/>
    <x v="1"/>
    <s v="In-Training"/>
    <x v="1"/>
    <x v="3"/>
    <s v="5/112 Annai Indira Nagar, Thoraipakkam ,Chennai"/>
    <x v="17"/>
    <x v="1"/>
    <x v="3"/>
    <x v="0"/>
    <x v="1"/>
  </r>
  <r>
    <n v="2529612"/>
    <s v="Tuhin Saha"/>
    <d v="2026-08-11T00:00:00"/>
    <x v="0"/>
    <s v="FTE"/>
    <s v="Chennai"/>
    <s v="CIS26MCPT024"/>
    <s v="Ashiya Begam S"/>
    <d v="2026-12-03T00:00:00"/>
    <x v="1"/>
    <s v="In-Training"/>
    <x v="0"/>
    <x v="0"/>
    <s v="SVR Gents Hostel/PG - Egattur"/>
    <x v="17"/>
    <x v="0"/>
    <x v="3"/>
    <x v="0"/>
    <x v="0"/>
  </r>
  <r>
    <n v="2529622"/>
    <s v="Vishwa Peniel J"/>
    <d v="2026-08-11T00:00:00"/>
    <x v="0"/>
    <s v="FTE"/>
    <s v="Chennai"/>
    <s v="CIS26MCPT026"/>
    <s v="Mohamed Harish"/>
    <d v="2026-12-08T00:00:00"/>
    <x v="1"/>
    <s v="In-Training"/>
    <x v="1"/>
    <x v="2"/>
    <s v="Porur"/>
    <x v="17"/>
    <x v="1"/>
    <x v="60"/>
    <x v="7"/>
    <x v="2"/>
  </r>
  <r>
    <n v="2529634"/>
    <s v="Nagarjun G P"/>
    <d v="2026-08-11T00:00:00"/>
    <x v="0"/>
    <s v="FTE"/>
    <s v="Chennai"/>
    <s v="CIS26MCPT023"/>
    <s v="Kishorekumar P"/>
    <d v="2026-12-03T00:00:00"/>
    <x v="1"/>
    <s v="In-Training"/>
    <x v="0"/>
    <x v="0"/>
    <s v="Balu Gents PG "/>
    <x v="17"/>
    <x v="1"/>
    <x v="0"/>
    <x v="0"/>
    <x v="0"/>
  </r>
  <r>
    <n v="2529640"/>
    <s v="Mohammad Kais"/>
    <d v="2026-08-11T00:00:00"/>
    <x v="0"/>
    <s v="FTE"/>
    <s v="Chennai"/>
    <s v="CIS26MCPT021"/>
    <s v="Uma Venkatachalam"/>
    <d v="2026-12-08T00:00:00"/>
    <x v="1"/>
    <s v="In-Training"/>
    <x v="0"/>
    <x v="0"/>
    <s v="SS Siva Sai pg., mammothiaman, egattur, plot#95A, sipcot , siruseri,603103"/>
    <x v="17"/>
    <x v="0"/>
    <x v="3"/>
    <x v="0"/>
    <x v="0"/>
  </r>
  <r>
    <n v="2529647"/>
    <s v="Suryaa D"/>
    <d v="2026-08-11T00:00:00"/>
    <x v="0"/>
    <s v="FTE"/>
    <s v="Chennai"/>
    <s v="CIS26MCPT026"/>
    <s v="Mohamed Harish"/>
    <d v="2026-12-08T00:00:00"/>
    <x v="1"/>
    <s v="In-Training"/>
    <x v="1"/>
    <x v="2"/>
    <s v="Appartment(no name), Sholinganallur"/>
    <x v="17"/>
    <x v="0"/>
    <x v="8"/>
    <x v="4"/>
    <x v="1"/>
  </r>
  <r>
    <n v="2529652"/>
    <s v="Rishabh Mishra"/>
    <d v="2026-08-11T00:00:00"/>
    <x v="0"/>
    <s v="FTE"/>
    <s v="Chennai"/>
    <s v="CIS26MCPT025"/>
    <s v="Vignesh S"/>
    <d v="2026-12-03T00:00:00"/>
    <x v="1"/>
    <s v="In-Training"/>
    <x v="0"/>
    <x v="0"/>
    <s v="R&amp;R Gents PG G1 Branch, Egattur, Chengalpattu District, TamilNadu"/>
    <x v="17"/>
    <x v="0"/>
    <x v="0"/>
    <x v="0"/>
    <x v="0"/>
  </r>
  <r>
    <n v="2529697"/>
    <s v="Divakar A"/>
    <d v="2026-08-11T00:00:00"/>
    <x v="0"/>
    <s v="FTE"/>
    <s v="Chennai"/>
    <s v="EPS26SAP034"/>
    <s v="Gayathri Ramachandran"/>
    <d v="2026-11-05T00:00:00"/>
    <x v="0"/>
    <s v="In-Training"/>
    <x v="0"/>
    <x v="0"/>
    <s v="Sahasra Deluxe PG for Men,Egattur"/>
    <x v="17"/>
    <x v="1"/>
    <x v="0"/>
    <x v="0"/>
    <x v="0"/>
  </r>
  <r>
    <n v="2530187"/>
    <s v="Mary Lumina Fernando M"/>
    <d v="2026-08-13T00:00:00"/>
    <x v="1"/>
    <s v="FTE"/>
    <s v="Chennai"/>
    <s v="CIS26DWP026"/>
    <s v="Shunmugasundari A"/>
    <d v="2026-10-19T00:00:00"/>
    <x v="3"/>
    <s v="In-Training"/>
    <x v="0"/>
    <x v="0"/>
    <s v="Krishna Nivas Ladies PG, Egattur."/>
    <x v="17"/>
    <x v="1"/>
    <x v="0"/>
    <x v="0"/>
    <x v="0"/>
  </r>
  <r>
    <n v="2531822"/>
    <s v="Rahul Raj R"/>
    <d v="2026-08-20T00:00:00"/>
    <x v="0"/>
    <s v="FTE"/>
    <s v="Chennai"/>
    <s v="EPS26OSP011"/>
    <s v="Gayathri Ramachandran"/>
    <s v=""/>
    <x v="1"/>
    <s v="Training - ON Hold"/>
    <x v="1"/>
    <x v="1"/>
    <s v="Home"/>
    <x v="17"/>
    <x v="0"/>
    <x v="24"/>
    <x v="1"/>
    <x v="1"/>
  </r>
  <r>
    <n v="2531840"/>
    <s v="Aishwarya Appasaheb Waje"/>
    <d v="2026-08-20T00:00:00"/>
    <x v="1"/>
    <s v="FTE"/>
    <s v="Chennai"/>
    <s v="CS26CS012"/>
    <s v="Laksiya Vijayendran"/>
    <d v="2026-11-17T00:00:00"/>
    <x v="0"/>
    <s v="In-Training"/>
    <x v="0"/>
    <x v="0"/>
    <s v="MSR Luxury PG for Ladies - Branch 2, Siruseri"/>
    <x v="17"/>
    <x v="0"/>
    <x v="3"/>
    <x v="0"/>
    <x v="0"/>
  </r>
  <r>
    <n v="2531845"/>
    <s v="Priyanka Kalidas Sundalam"/>
    <d v="2026-08-20T00:00:00"/>
    <x v="1"/>
    <s v="FTE"/>
    <s v="Chennai"/>
    <s v="CS26CS011"/>
    <s v="Kishorekumar P"/>
    <d v="2026-11-17T00:00:00"/>
    <x v="0"/>
    <s v="In-Training"/>
    <x v="0"/>
    <x v="0"/>
    <s v="MSR luxury ladies PG branch 2, Siruseri, Egattur"/>
    <x v="17"/>
    <x v="0"/>
    <x v="3"/>
    <x v="0"/>
    <x v="0"/>
  </r>
  <r>
    <n v="2531866"/>
    <s v="M Madhan"/>
    <d v="2026-08-20T00:00:00"/>
    <x v="0"/>
    <s v="FTE"/>
    <s v="Chennai"/>
    <s v="CS26CS011"/>
    <s v="Kishorekumar P"/>
    <d v="2026-11-17T00:00:00"/>
    <x v="0"/>
    <s v="In-Training"/>
    <x v="0"/>
    <x v="0"/>
    <s v="GKR Premium PG Egattur"/>
    <x v="17"/>
    <x v="0"/>
    <x v="3"/>
    <x v="0"/>
    <x v="0"/>
  </r>
  <r>
    <n v="2531971"/>
    <s v="Shriya Ramachandran"/>
    <d v="2026-08-20T00:00:00"/>
    <x v="1"/>
    <s v="FTE"/>
    <s v="Chennai"/>
    <s v="EPS26OSP011"/>
    <s v="Gayathri Ramachandran"/>
    <s v=""/>
    <x v="1"/>
    <s v="Training - ON Hold"/>
    <x v="0"/>
    <x v="4"/>
    <s v="New Manikandan Ladies Hostel, 36, Mettur Street, Kazhipattur, Tamil Nadu 603103"/>
    <x v="17"/>
    <x v="0"/>
    <x v="2"/>
    <x v="0"/>
    <x v="0"/>
  </r>
  <r>
    <n v="2531972"/>
    <s v="Manish Kumar Kasaraboina"/>
    <d v="2026-08-20T00:00:00"/>
    <x v="0"/>
    <s v="FTE"/>
    <s v="Chennai"/>
    <s v="CS26CS012"/>
    <s v="Laksiya Vijayendran"/>
    <d v="2026-11-17T00:00:00"/>
    <x v="0"/>
    <s v="In-Training"/>
    <x v="0"/>
    <x v="0"/>
    <s v="sahasra Deluxe PG for men , Egattur"/>
    <x v="17"/>
    <x v="0"/>
    <x v="0"/>
    <x v="0"/>
    <x v="0"/>
  </r>
  <r>
    <n v="2531973"/>
    <s v="Hani S"/>
    <d v="2026-08-20T00:00:00"/>
    <x v="1"/>
    <s v="FTE"/>
    <s v="Chennai"/>
    <s v="EPS26OSP011"/>
    <s v="Gayathri Ramachandran"/>
    <s v=""/>
    <x v="1"/>
    <s v="Training - ON Hold"/>
    <x v="1"/>
    <x v="2"/>
    <s v="PARIMALA ELLAM"/>
    <x v="17"/>
    <x v="1"/>
    <x v="61"/>
    <x v="8"/>
    <x v="2"/>
  </r>
  <r>
    <n v="2531974"/>
    <s v="Ravindhar Byaram"/>
    <d v="2026-08-20T00:00:00"/>
    <x v="0"/>
    <s v="FTE"/>
    <s v="Chennai"/>
    <s v="CS26CS011"/>
    <s v="Kishorekumar P"/>
    <d v="2026-11-17T00:00:00"/>
    <x v="0"/>
    <s v="In-Training"/>
    <x v="0"/>
    <x v="0"/>
    <s v="Sahasra Deluxe Mens PG"/>
    <x v="17"/>
    <x v="0"/>
    <x v="3"/>
    <x v="0"/>
    <x v="0"/>
  </r>
  <r>
    <n v="2531986"/>
    <s v="Udaya Teja Narasani"/>
    <d v="2026-08-20T00:00:00"/>
    <x v="0"/>
    <s v="FTE"/>
    <s v="Chennai"/>
    <s v="CS26CS012"/>
    <s v="Laksiya Vijayendran"/>
    <d v="2026-11-17T00:00:00"/>
    <x v="0"/>
    <s v="In-Training"/>
    <x v="0"/>
    <x v="0"/>
    <s v="25, St Thomas St,near Navalur, Tollgate, Egattur, Chennai"/>
    <x v="17"/>
    <x v="0"/>
    <x v="2"/>
    <x v="0"/>
    <x v="0"/>
  </r>
  <r>
    <n v="2532912"/>
    <s v="Sripada V P S D Gayathri"/>
    <d v="2026-08-25T00:00:00"/>
    <x v="1"/>
    <s v="FTE"/>
    <s v="Chennai"/>
    <s v="CIS26SN002"/>
    <s v="Ashiya Begam S"/>
    <d v="2026-12-02T00:00:00"/>
    <x v="1"/>
    <s v="In-Training"/>
    <x v="0"/>
    <x v="0"/>
    <s v="VAISHNAVI ELITE OG , 206,EGATTUR, CHENNAI,TAMILNADU"/>
    <x v="17"/>
    <x v="0"/>
    <x v="0"/>
    <x v="0"/>
    <x v="0"/>
  </r>
  <r>
    <n v="2532950"/>
    <s v="Natla Vaishnavi"/>
    <d v="2026-08-25T00:00:00"/>
    <x v="1"/>
    <s v="FTE"/>
    <s v="Chennai"/>
    <s v="CIS26MBG004"/>
    <s v="Kishorekumar P"/>
    <d v="2026-12-11T00:00:00"/>
    <x v="1"/>
    <s v="In-Training"/>
    <x v="0"/>
    <x v="0"/>
    <s v="MSR ladies PG branch 2,Egattur"/>
    <x v="17"/>
    <x v="0"/>
    <x v="0"/>
    <x v="0"/>
    <x v="0"/>
  </r>
  <r>
    <n v="2532995"/>
    <s v="Venkata Rao Dasari"/>
    <d v="2026-08-25T00:00:00"/>
    <x v="0"/>
    <s v="FTE"/>
    <s v="Chennai"/>
    <s v="CIS26MBG004"/>
    <s v="Kishorekumar P"/>
    <d v="2026-12-11T00:00:00"/>
    <x v="1"/>
    <s v="In-Training"/>
    <x v="0"/>
    <x v="0"/>
    <s v="Jai Shree gents PG, Sri kumaran Nagar, Saravana Nagar, Perungudi, Chennai"/>
    <x v="17"/>
    <x v="1"/>
    <x v="19"/>
    <x v="4"/>
    <x v="0"/>
  </r>
  <r>
    <n v="2533004"/>
    <s v="Harshitha Kandula"/>
    <d v="2026-08-25T00:00:00"/>
    <x v="1"/>
    <s v="FTE"/>
    <s v="Chennai"/>
    <s v="CIS26MBG004"/>
    <s v="Kishorekumar P"/>
    <d v="2026-12-11T00:00:00"/>
    <x v="1"/>
    <s v="In-Training"/>
    <x v="0"/>
    <x v="0"/>
    <s v="Krishnanivas ladies pg -egattur"/>
    <x v="17"/>
    <x v="0"/>
    <x v="0"/>
    <x v="0"/>
    <x v="0"/>
  </r>
  <r>
    <n v="2533023"/>
    <s v="Girija Sai Siri Cherukuri"/>
    <d v="2026-08-25T00:00:00"/>
    <x v="1"/>
    <s v="FTE"/>
    <s v="Chennai"/>
    <s v="IOT26CSJ002"/>
    <s v="Pavithra Kandasamy"/>
    <d v="2026-11-11T00:00:00"/>
    <x v="0"/>
    <s v="In-Training"/>
    <x v="0"/>
    <x v="0"/>
    <s v="206,Vaishnavi Elite PG-Chennai,Egattur"/>
    <x v="17"/>
    <x v="0"/>
    <x v="0"/>
    <x v="0"/>
    <x v="0"/>
  </r>
  <r>
    <n v="2533045"/>
    <s v="Sahithi Mandadapu"/>
    <d v="2026-08-25T00:00:00"/>
    <x v="1"/>
    <s v="FTE"/>
    <s v="Chennai"/>
    <s v="CIS26AT007"/>
    <s v="Uma Venkatachalam"/>
    <d v="2026-12-09T00:00:00"/>
    <x v="1"/>
    <s v="In-Training"/>
    <x v="0"/>
    <x v="0"/>
    <s v="Vaishnavi elite pg "/>
    <x v="17"/>
    <x v="0"/>
    <x v="3"/>
    <x v="0"/>
    <x v="0"/>
  </r>
  <r>
    <n v="2533155"/>
    <s v="Yallala Veera Nishitha"/>
    <d v="2026-08-25T00:00:00"/>
    <x v="1"/>
    <s v="FTE"/>
    <s v="Chennai"/>
    <s v="CIS26MBG006"/>
    <s v="Angel Maria Faustina Gomez"/>
    <d v="2026-12-11T00:00:00"/>
    <x v="1"/>
    <s v="In-Training"/>
    <x v="0"/>
    <x v="0"/>
    <s v="MSR luxury ladies pg branch 2 ,Egattur"/>
    <x v="17"/>
    <x v="0"/>
    <x v="0"/>
    <x v="0"/>
    <x v="0"/>
  </r>
  <r>
    <n v="2533169"/>
    <s v="Harshitha Guguloth"/>
    <d v="2026-08-25T00:00:00"/>
    <x v="1"/>
    <s v="FTE"/>
    <s v="Chennai"/>
    <s v="CIS26AT008"/>
    <s v="Uma Venkatachalam"/>
    <d v="2026-12-09T00:00:00"/>
    <x v="1"/>
    <s v="In-Training"/>
    <x v="0"/>
    <x v="0"/>
    <s v="R&amp;R ladies PG -L1 Branch, Egattur"/>
    <x v="17"/>
    <x v="1"/>
    <x v="0"/>
    <x v="0"/>
    <x v="0"/>
  </r>
  <r>
    <n v="2533179"/>
    <s v="Miriyala Jaya Satya Susmitha"/>
    <d v="2026-08-25T00:00:00"/>
    <x v="1"/>
    <s v="FTE"/>
    <s v="Chennai"/>
    <s v="IOT26CSJ002"/>
    <s v="Pavithra Kandasamy"/>
    <d v="2026-11-11T00:00:00"/>
    <x v="0"/>
    <s v="In-Training"/>
    <x v="0"/>
    <x v="0"/>
    <s v="AJ LADIES HOSTEL"/>
    <x v="17"/>
    <x v="0"/>
    <x v="2"/>
    <x v="0"/>
    <x v="0"/>
  </r>
  <r>
    <n v="2533184"/>
    <s v="Shradha Surendra Joshi"/>
    <d v="2026-08-25T00:00:00"/>
    <x v="1"/>
    <s v="FTE"/>
    <s v="Chennai"/>
    <s v="CIS26MBG003"/>
    <s v="Kishorekumar P"/>
    <d v="2026-12-11T00:00:00"/>
    <x v="1"/>
    <s v="In-Training"/>
    <x v="0"/>
    <x v="0"/>
    <s v="MSR Luxury ladies PG branch 3,,Egattur"/>
    <x v="17"/>
    <x v="0"/>
    <x v="0"/>
    <x v="0"/>
    <x v="0"/>
  </r>
  <r>
    <n v="2533585"/>
    <s v="Indhu Varshni M S"/>
    <d v="2026-08-27T00:00:00"/>
    <x v="1"/>
    <s v="FTE"/>
    <s v="Chennai"/>
    <s v="EPS26SAP038"/>
    <s v="Ajith Ganesan"/>
    <d v="2026-10-27T00:00:00"/>
    <x v="3"/>
    <s v="In-Training"/>
    <x v="0"/>
    <x v="0"/>
    <s v="Sri Narayanaswami PG Branch 2, Nethaji street, Navalur, Tamil Nadu, 603103"/>
    <x v="17"/>
    <x v="0"/>
    <x v="2"/>
    <x v="0"/>
    <x v="0"/>
  </r>
  <r>
    <n v="2524473"/>
    <s v="Sangeetha Sivalingam"/>
    <d v="2026-07-21T00:00:00"/>
    <x v="1"/>
    <s v="FTE"/>
    <s v="Chennai"/>
    <s v="ADM26MF012"/>
    <s v="Lourdhu Selvin Raj X"/>
    <d v="2026-11-17T00:00:00"/>
    <x v="0"/>
    <s v="In-Training"/>
    <x v="1"/>
    <x v="1"/>
    <s v="Home"/>
    <x v="17"/>
    <x v="1"/>
    <x v="24"/>
    <x v="1"/>
    <x v="1"/>
  </r>
  <r>
    <n v="2521082"/>
    <s v="Kunchanapalli Arjun Kumar"/>
    <d v="2026-07-07T00:00:00"/>
    <x v="0"/>
    <s v="FTE"/>
    <s v="Chennai"/>
    <s v="SNBG26SN004"/>
    <s v="Kishorekumar P"/>
    <d v="2026-09-16T00:00:00"/>
    <x v="2"/>
    <s v="In-Training"/>
    <x v="0"/>
    <x v="0"/>
    <s v="Siva Sai gents PG "/>
    <x v="17"/>
    <x v="0"/>
    <x v="3"/>
    <x v="0"/>
    <x v="0"/>
  </r>
  <r>
    <n v="2533200"/>
    <s v="Balasri Swaroopa Saka"/>
    <d v="2026-08-25T00:00:00"/>
    <x v="1"/>
    <s v="FTE"/>
    <s v="Chennai"/>
    <s v="CIS26AT008"/>
    <s v="Uma Venkatachalam"/>
    <d v="2026-12-09T00:00:00"/>
    <x v="1"/>
    <s v="In-Training"/>
    <x v="0"/>
    <x v="0"/>
    <s v="New Manikandhan Ladies PG"/>
    <x v="17"/>
    <x v="0"/>
    <x v="0"/>
    <x v="0"/>
    <x v="0"/>
  </r>
  <r>
    <n v="2524635"/>
    <s v="Arunthava Raj A"/>
    <d v="2026-07-21T00:00:00"/>
    <x v="0"/>
    <s v="FTE"/>
    <s v="Chennai"/>
    <s v="ADM26DFSA007"/>
    <s v="Sweta Thoppil"/>
    <d v="2026-11-10T00:00:00"/>
    <x v="0"/>
    <s v="In-Training"/>
    <x v="1"/>
    <x v="2"/>
    <s v="4/453, plot no 2 "/>
    <x v="17"/>
    <x v="1"/>
    <x v="62"/>
    <x v="11"/>
    <x v="1"/>
  </r>
  <r>
    <n v="2507499"/>
    <s v="Tamilvanan Karthikeyan"/>
    <d v="2026-04-30T00:00:00"/>
    <x v="0"/>
    <s v="FTE"/>
    <s v="Chennai"/>
    <s v="ISG26JSAAT002"/>
    <s v="Ashiya Begam S"/>
    <d v="2026-09-07T00:00:00"/>
    <x v="2"/>
    <s v="In-Training-Remedial"/>
    <x v="0"/>
    <x v="0"/>
    <s v="SRI GANGA MENS PG "/>
    <x v="17"/>
    <x v="0"/>
    <x v="0"/>
    <x v="0"/>
    <x v="0"/>
  </r>
  <r>
    <n v="2520924"/>
    <s v="Deepakraj Moorthy"/>
    <d v="2026-07-07T00:00:00"/>
    <x v="0"/>
    <s v="FTE"/>
    <s v="Chennai"/>
    <s v="CIS26MCPT013"/>
    <s v="Lawrance M"/>
    <d v="2026-10-29T00:00:00"/>
    <x v="3"/>
    <s v="In-Training"/>
    <x v="1"/>
    <x v="2"/>
    <s v="irumbuliyur, east Tambaram"/>
    <x v="17"/>
    <x v="0"/>
    <x v="10"/>
    <x v="7"/>
    <x v="1"/>
  </r>
  <r>
    <n v="2529494"/>
    <s v="Nikhil Sanjay Jadhav"/>
    <d v="2026-08-11T00:00:00"/>
    <x v="0"/>
    <s v="FTE"/>
    <s v="Chennai"/>
    <s v="CIS26MCPT021"/>
    <s v="Uma Venkatachalam"/>
    <d v="2026-12-08T00:00:00"/>
    <x v="1"/>
    <s v="In-Training"/>
    <x v="0"/>
    <x v="0"/>
    <s v="Vishwas PG"/>
    <x v="17"/>
    <x v="0"/>
    <x v="3"/>
    <x v="0"/>
    <x v="0"/>
  </r>
  <r>
    <n v="2533203"/>
    <s v="Shaik Kyrunbee"/>
    <d v="2026-08-25T00:00:00"/>
    <x v="1"/>
    <s v="FTE"/>
    <s v="Chennai"/>
    <s v="CIS26AT007"/>
    <s v="Uma Venkatachalam"/>
    <d v="2026-12-09T00:00:00"/>
    <x v="1"/>
    <s v="In-Training"/>
    <x v="0"/>
    <x v="0"/>
    <s v="R and R PG -L1 branch, Egattur"/>
    <x v="17"/>
    <x v="0"/>
    <x v="3"/>
    <x v="0"/>
    <x v="0"/>
  </r>
  <r>
    <n v="2533221"/>
    <s v="Bandi Varshitha"/>
    <d v="2026-08-25T00:00:00"/>
    <x v="1"/>
    <s v="FTE"/>
    <s v="Chennai"/>
    <s v="CIS26MBG005"/>
    <s v="Angel Maria Faustina Gomez"/>
    <d v="2026-12-11T00:00:00"/>
    <x v="1"/>
    <s v="In-Training"/>
    <x v="0"/>
    <x v="0"/>
    <s v="Smiles Inn PG Services For Ladies"/>
    <x v="17"/>
    <x v="0"/>
    <x v="3"/>
    <x v="0"/>
    <x v="0"/>
  </r>
  <r>
    <n v="2529799"/>
    <s v="Gedela Dilleswara Rao"/>
    <d v="2026-08-11T00:00:00"/>
    <x v="0"/>
    <s v="FTE"/>
    <s v="Chennai"/>
    <s v="EPS26SAP033"/>
    <s v="Ajith Ganesan"/>
    <d v="2026-11-04T00:00:00"/>
    <x v="0"/>
    <s v="In-Training"/>
    <x v="0"/>
    <x v="0"/>
    <s v="Anish Luxary Gents PG"/>
    <x v="17"/>
    <x v="0"/>
    <x v="3"/>
    <x v="0"/>
    <x v="0"/>
  </r>
  <r>
    <n v="2518812"/>
    <s v="Prakash Santra"/>
    <d v="2026-06-30T00:00:00"/>
    <x v="0"/>
    <s v="FTE"/>
    <s v="Chennai"/>
    <s v="CIS26SB001"/>
    <s v="Kishorekumar P"/>
    <d v="2026-10-14T00:00:00"/>
    <x v="3"/>
    <s v="In-Training"/>
    <x v="0"/>
    <x v="0"/>
    <s v="Lakshmi Srinivasa Mens Elite PG"/>
    <x v="17"/>
    <x v="0"/>
    <x v="0"/>
    <x v="0"/>
    <x v="0"/>
  </r>
  <r>
    <n v="2521692"/>
    <s v="Kartik Subhash Surwase"/>
    <d v="2026-07-09T00:00:00"/>
    <x v="0"/>
    <s v="FTE"/>
    <s v="Chennai"/>
    <s v="ADM26MF010"/>
    <s v="Thomas Naveen. J"/>
    <d v="2026-11-02T00:00:00"/>
    <x v="0"/>
    <s v="In-Training"/>
    <x v="0"/>
    <x v="0"/>
    <s v="Sai saravana gents hostel, egatur"/>
    <x v="17"/>
    <x v="0"/>
    <x v="0"/>
    <x v="0"/>
    <x v="0"/>
  </r>
  <r>
    <n v="2511223"/>
    <s v="Potharla Joshna"/>
    <d v="2026-05-21T00:00:00"/>
    <x v="1"/>
    <s v="FTE"/>
    <s v="Chennai"/>
    <s v="CIS26MCPT010"/>
    <s v="Mohamed Harish"/>
    <d v="2026-09-10T00:00:00"/>
    <x v="2"/>
    <s v="In-Training"/>
    <x v="0"/>
    <x v="0"/>
    <s v="Sri sai uniq ladies hostel, Egattur, chennai"/>
    <x v="17"/>
    <x v="0"/>
    <x v="0"/>
    <x v="0"/>
    <x v="0"/>
  </r>
  <r>
    <n v="2512342"/>
    <s v="Asin Sahana Fathima T"/>
    <d v="2026-05-28T00:00:00"/>
    <x v="1"/>
    <s v="FTE"/>
    <s v="Chennai"/>
    <s v="CIS26MCPT012"/>
    <s v="Uma Venkatachalam"/>
    <d v="2026-09-17T00:00:00"/>
    <x v="2"/>
    <s v="In-Training"/>
    <x v="0"/>
    <x v="0"/>
    <s v="New Manikandans Ladies PG, Branch 10, sambalal street,Navallur,chennai."/>
    <x v="17"/>
    <x v="1"/>
    <x v="2"/>
    <x v="0"/>
    <x v="0"/>
  </r>
  <r>
    <n v="2524641"/>
    <s v="Sahana N Puthran"/>
    <d v="2026-07-21T00:00:00"/>
    <x v="1"/>
    <s v="FTE"/>
    <s v="Chennai"/>
    <s v="QEA26QEPT024"/>
    <s v="Ajiesya D P"/>
    <d v="2026-10-30T00:00:00"/>
    <x v="3"/>
    <s v="In-Training"/>
    <x v="0"/>
    <x v="0"/>
    <s v="Sai Grand PG"/>
    <x v="0"/>
    <x v="0"/>
    <x v="3"/>
    <x v="0"/>
    <x v="0"/>
  </r>
  <r>
    <n v="2526594"/>
    <s v="Rahul M"/>
    <d v="2026-07-30T00:00:00"/>
    <x v="0"/>
    <s v="FTE"/>
    <s v="Chennai"/>
    <s v="QEA26JP001"/>
    <s v="Ajiesya D P"/>
    <s v=""/>
    <x v="1"/>
    <s v="Training - ON Hold"/>
    <x v="1"/>
    <x v="1"/>
    <s v="NIL"/>
    <x v="1"/>
    <x v="1"/>
    <x v="10"/>
    <x v="1"/>
    <x v="1"/>
  </r>
  <r>
    <n v="2529608"/>
    <s v="Jeevanandham K"/>
    <d v="2026-08-11T00:00:00"/>
    <x v="0"/>
    <s v="FTE"/>
    <s v="Chennai"/>
    <s v="CIS26MCPT023"/>
    <s v="Kishorekumar P"/>
    <d v="2026-12-03T00:00:00"/>
    <x v="1"/>
    <s v="In-Training"/>
    <x v="1"/>
    <x v="3"/>
    <s v="NA"/>
    <x v="17"/>
    <x v="1"/>
    <x v="18"/>
    <x v="1"/>
    <x v="1"/>
  </r>
  <r>
    <n v="2531348"/>
    <s v="Harini S"/>
    <d v="2026-08-18T00:00:00"/>
    <x v="1"/>
    <s v="FTE"/>
    <s v="Chennai"/>
    <s v="EPS26SAP037"/>
    <s v="Gayathri Ramachandran"/>
    <d v="2026-11-04T00:00:00"/>
    <x v="0"/>
    <s v="In-Training"/>
    <x v="1"/>
    <x v="1"/>
    <s v="No. 143, 1st street, eshwaran Nagar, Thiruverkadu-600077"/>
    <x v="17"/>
    <x v="1"/>
    <x v="63"/>
    <x v="1"/>
    <x v="1"/>
  </r>
  <r>
    <n v="2526141"/>
    <s v="Pranavbalaji P"/>
    <d v="2026-07-28T00:00:00"/>
    <x v="0"/>
    <s v="FTE"/>
    <s v="Chennai"/>
    <s v="CIS26DWP024"/>
    <s v="Lakavath Udhaya Bhavana"/>
    <d v="2026-09-21T00:00:00"/>
    <x v="2"/>
    <s v="In-Training"/>
    <x v="1"/>
    <x v="1"/>
    <s v="No 77/11G SANIMOORTHI KOVIL STREET, THIRUVOTTIYUR CHENNAI-600019."/>
    <x v="0"/>
    <x v="1"/>
    <x v="16"/>
    <x v="1"/>
    <x v="1"/>
  </r>
  <r>
    <n v="2531859"/>
    <s v="Bitla Nithish"/>
    <d v="2026-08-20T00:00:00"/>
    <x v="0"/>
    <s v="FTE"/>
    <s v="Chennai"/>
    <s v="CS26CS012"/>
    <s v="Laksiya Vijayendran"/>
    <d v="2026-11-17T00:00:00"/>
    <x v="0"/>
    <s v="In-Training"/>
    <x v="0"/>
    <x v="0"/>
    <s v="Geethika Premium Gents PG"/>
    <x v="14"/>
    <x v="0"/>
    <x v="3"/>
    <x v="0"/>
    <x v="0"/>
  </r>
  <r>
    <n v="2524607"/>
    <s v="Shivam Chaudhary"/>
    <d v="2026-07-21T00:00:00"/>
    <x v="0"/>
    <s v="FTE"/>
    <s v="Chennai"/>
    <s v="QEA26QEPT024"/>
    <s v="Ajiesya D P"/>
    <d v="2026-10-30T00:00:00"/>
    <x v="3"/>
    <s v="In-Training"/>
    <x v="0"/>
    <x v="0"/>
    <s v="Soma Men Stays"/>
    <x v="12"/>
    <x v="1"/>
    <x v="0"/>
    <x v="0"/>
    <x v="0"/>
  </r>
  <r>
    <n v="2516888"/>
    <s v="C Saketh"/>
    <d v="2026-06-18T00:00:00"/>
    <x v="0"/>
    <s v="FTE"/>
    <s v="Chennai"/>
    <s v="CIS26NET003"/>
    <s v="Uma Venkatachalam"/>
    <d v="2026-09-04T00:00:00"/>
    <x v="2"/>
    <s v="In-Training-Remedial"/>
    <x v="1"/>
    <x v="2"/>
    <s v="Radiance shine, Old Mahabalipuram Road, Kazhipattur, Chennai"/>
    <x v="4"/>
    <x v="0"/>
    <x v="3"/>
    <x v="0"/>
    <x v="1"/>
  </r>
  <r>
    <n v="2532974"/>
    <s v="Dhivyasubashini K"/>
    <d v="2026-08-25T00:00:00"/>
    <x v="1"/>
    <s v="FTE"/>
    <s v="Chennai"/>
    <s v="ADM27DFSA001"/>
    <s v="Thomas Naveen. J"/>
    <d v="2026-12-30T00:00:00"/>
    <x v="1"/>
    <s v="In-Training"/>
    <x v="0"/>
    <x v="0"/>
    <s v="New Manikandan Ladies Hostel - Branch 14, Kalipattur"/>
    <x v="0"/>
    <x v="0"/>
    <x v="64"/>
    <x v="0"/>
    <x v="0"/>
  </r>
  <r>
    <n v="2521791"/>
    <s v="Gutti Reddy Prakash"/>
    <d v="2026-07-09T00:00:00"/>
    <x v="0"/>
    <s v="FTE"/>
    <s v="Chennai"/>
    <s v="AIA26DSAT004"/>
    <s v="Pavithra Kandasamy"/>
    <d v="2026-10-09T00:00:00"/>
    <x v="3"/>
    <s v="In-Training"/>
    <x v="0"/>
    <x v="0"/>
    <s v="GVK Deluxe PG for gents, Navalur"/>
    <x v="0"/>
    <x v="0"/>
    <x v="2"/>
    <x v="0"/>
    <x v="0"/>
  </r>
  <r>
    <n v="2529571"/>
    <s v="Yogesh Ajaysing Gour"/>
    <d v="2026-08-11T00:00:00"/>
    <x v="0"/>
    <s v="FTE"/>
    <s v="Chennai"/>
    <s v="CIS26MCPT025"/>
    <s v="Vignesh S"/>
    <d v="2026-12-03T00:00:00"/>
    <x v="1"/>
    <s v="In-Training"/>
    <x v="0"/>
    <x v="0"/>
    <s v="CNR Gents PG Branch 1, Sipcot, Siruseri."/>
    <x v="17"/>
    <x v="0"/>
    <x v="3"/>
    <x v="0"/>
    <x v="0"/>
  </r>
  <r>
    <n v="2531966"/>
    <s v="Aasritha Devi Vuddanti"/>
    <d v="2026-08-20T00:00:00"/>
    <x v="1"/>
    <s v="FTE"/>
    <s v="Chennai"/>
    <s v="CS26CS012"/>
    <s v="Laksiya Vijayendran"/>
    <d v="2026-11-17T00:00:00"/>
    <x v="0"/>
    <s v="In-Training"/>
    <x v="0"/>
    <x v="0"/>
    <s v="Krishna Nivas Ladies PG, Egattur"/>
    <x v="2"/>
    <x v="0"/>
    <x v="0"/>
    <x v="0"/>
    <x v="0"/>
  </r>
  <r>
    <n v="2516760"/>
    <s v="Jayasri Dirisala"/>
    <d v="2026-06-18T00:00:00"/>
    <x v="1"/>
    <s v="FTE"/>
    <s v="Chennai"/>
    <s v="CIS26MW001"/>
    <s v="Ashiya Begam S"/>
    <d v="2026-09-11T00:00:00"/>
    <x v="2"/>
    <s v="In-Training"/>
    <x v="0"/>
    <x v="0"/>
    <s v="Sai grand womens Pg  Ambedkar Street -Egattur Chennai"/>
    <x v="0"/>
    <x v="0"/>
    <x v="3"/>
    <x v="0"/>
    <x v="0"/>
  </r>
  <r>
    <n v="2522848"/>
    <s v="Shashank S"/>
    <d v="2026-07-14T00:00:00"/>
    <x v="0"/>
    <s v="FTE"/>
    <s v="Chennai"/>
    <s v="CIS26MCPT017"/>
    <s v="Haritha P"/>
    <d v="2026-11-09T00:00:00"/>
    <x v="0"/>
    <s v="In-Training"/>
    <x v="0"/>
    <x v="0"/>
    <s v="SIPCOT IT Park, 114 Razia House, City Park Layout Siruseri, Sipcot, Kalipattur, Egattur, Tamil Nadu 603103"/>
    <x v="1"/>
    <x v="1"/>
    <x v="3"/>
    <x v="0"/>
    <x v="0"/>
  </r>
  <r>
    <n v="2524544"/>
    <s v="Deepak Paraste"/>
    <d v="2026-07-21T00:00:00"/>
    <x v="0"/>
    <s v="FTE"/>
    <s v="Chennai"/>
    <s v="IOA26RPA005"/>
    <s v="Adarsh J Nair"/>
    <d v="2026-10-14T00:00:00"/>
    <x v="3"/>
    <s v="In-Training"/>
    <x v="0"/>
    <x v="0"/>
    <s v="KSR PG, near anish pg and mensa house, eggattur"/>
    <x v="1"/>
    <x v="0"/>
    <x v="3"/>
    <x v="0"/>
    <x v="0"/>
  </r>
  <r>
    <n v="2529619"/>
    <s v="Sohul Suresh"/>
    <d v="2026-08-11T00:00:00"/>
    <x v="0"/>
    <s v="FTE"/>
    <s v="Chennai"/>
    <s v="CIS26MCPT022"/>
    <s v="Laksiya Vijayendran"/>
    <d v="2026-12-03T00:00:00"/>
    <x v="1"/>
    <s v="In-Training"/>
    <x v="0"/>
    <x v="0"/>
    <s v="YASHVITHA GENTS PG "/>
    <x v="1"/>
    <x v="0"/>
    <x v="3"/>
    <x v="0"/>
    <x v="0"/>
  </r>
  <r>
    <n v="2533595"/>
    <s v="Kollapaneni Pranadeep"/>
    <d v="2026-08-27T00:00:00"/>
    <x v="0"/>
    <s v="FTE"/>
    <s v="Chennai"/>
    <s v="ADM27DFSA001"/>
    <s v="Thomas Naveen. J"/>
    <d v="2026-12-30T00:00:00"/>
    <x v="1"/>
    <s v="In-Training"/>
    <x v="0"/>
    <x v="0"/>
    <s v="Stay@Ease Corporate Living Solution - Siruseri"/>
    <x v="1"/>
    <x v="0"/>
    <x v="3"/>
    <x v="0"/>
    <x v="0"/>
  </r>
  <r>
    <n v="2511277"/>
    <s v="Varshith S"/>
    <d v="2026-05-21T00:00:00"/>
    <x v="0"/>
    <s v="FTE"/>
    <s v="Chennai"/>
    <s v="CIS26MCPT010"/>
    <s v="Mohamed Harish"/>
    <d v="2026-09-15T00:00:00"/>
    <x v="2"/>
    <s v="In-Training"/>
    <x v="0"/>
    <x v="0"/>
    <s v="Sri Sarvana PG"/>
    <x v="1"/>
    <x v="0"/>
    <x v="0"/>
    <x v="0"/>
    <x v="0"/>
  </r>
  <r>
    <n v="2524986"/>
    <s v="Vishal Gangadhar Darkunde"/>
    <d v="2026-07-23T00:00:00"/>
    <x v="0"/>
    <s v="FTE"/>
    <s v="Chennai"/>
    <s v="ADM26ISMO010"/>
    <s v="Thomas Naveen. J"/>
    <d v="2026-10-06T00:00:00"/>
    <x v="3"/>
    <s v="In-Training"/>
    <x v="0"/>
    <x v="0"/>
    <s v="Siddus Premium PG"/>
    <x v="17"/>
    <x v="1"/>
    <x v="3"/>
    <x v="0"/>
    <x v="0"/>
  </r>
  <r>
    <n v="2529573"/>
    <s v="Pratiksha Anil Shinde"/>
    <d v="2026-08-11T00:00:00"/>
    <x v="1"/>
    <s v="FTE"/>
    <s v="Chennai"/>
    <s v="CIS26MCPT022"/>
    <s v="Laksiya Vijayendran"/>
    <d v="2026-12-03T00:00:00"/>
    <x v="1"/>
    <s v="In-Training"/>
    <x v="0"/>
    <x v="0"/>
    <s v="Trulive hercules navalur "/>
    <x v="14"/>
    <x v="1"/>
    <x v="2"/>
    <x v="0"/>
    <x v="0"/>
  </r>
  <r>
    <n v="2523433"/>
    <s v="Ameen LNU"/>
    <d v="2026-07-16T00:00:00"/>
    <x v="0"/>
    <s v="FTE"/>
    <s v="Chennai"/>
    <s v="CS26CS010"/>
    <s v="Laksiya Vijayendran"/>
    <d v="2026-10-19T00:00:00"/>
    <x v="3"/>
    <s v="In-Training"/>
    <x v="0"/>
    <x v="0"/>
    <s v="Geethika Premium Gents PG Egattur"/>
    <x v="14"/>
    <x v="1"/>
    <x v="0"/>
    <x v="0"/>
    <x v="0"/>
  </r>
  <r>
    <n v="2524499"/>
    <s v="Divakar S"/>
    <d v="2026-07-21T00:00:00"/>
    <x v="0"/>
    <s v="FTE"/>
    <s v="Chennai"/>
    <s v="ADM26MF012"/>
    <s v="Lourdhu Selvin Raj X"/>
    <d v="2026-11-17T00:00:00"/>
    <x v="0"/>
    <s v="In-Training"/>
    <x v="0"/>
    <x v="0"/>
    <s v="Siddus premium men’s pg - siruseri"/>
    <x v="2"/>
    <x v="0"/>
    <x v="3"/>
    <x v="0"/>
    <x v="0"/>
  </r>
  <r>
    <n v="2524550"/>
    <s v="Gayathri M"/>
    <d v="2026-07-21T00:00:00"/>
    <x v="1"/>
    <s v="FTE"/>
    <s v="Chennai"/>
    <s v="IOA26RPA005"/>
    <s v="Adarsh J Nair"/>
    <d v="2026-10-14T00:00:00"/>
    <x v="3"/>
    <s v="In-Training"/>
    <x v="0"/>
    <x v="0"/>
    <s v="Sri Rama Sai Ladies PG - Branch 2, Egattur"/>
    <x v="2"/>
    <x v="1"/>
    <x v="2"/>
    <x v="0"/>
    <x v="0"/>
  </r>
  <r>
    <n v="2512325"/>
    <s v="Jameela Safrin"/>
    <d v="2026-05-28T00:00:00"/>
    <x v="1"/>
    <s v="FTE"/>
    <s v="Chennai"/>
    <s v="CIS26MCPT011"/>
    <s v="Uma Venkatachalam"/>
    <d v="2026-09-17T00:00:00"/>
    <x v="2"/>
    <s v="In-Training"/>
    <x v="0"/>
    <x v="0"/>
    <s v="SRS luxury pg for ladies "/>
    <x v="2"/>
    <x v="0"/>
    <x v="0"/>
    <x v="0"/>
    <x v="0"/>
  </r>
  <r>
    <n v="2516745"/>
    <s v="Gonehal Matada Akash Raj"/>
    <d v="2026-06-18T00:00:00"/>
    <x v="0"/>
    <s v="FTE"/>
    <s v="Chennai"/>
    <s v="CIS26MW001"/>
    <s v="Ashiya Begam S"/>
    <d v="2026-09-11T00:00:00"/>
    <x v="2"/>
    <s v="In-Training"/>
    <x v="0"/>
    <x v="0"/>
    <s v="Sree Venkateshwara luxury pg for gents "/>
    <x v="2"/>
    <x v="0"/>
    <x v="2"/>
    <x v="0"/>
    <x v="0"/>
  </r>
  <r>
    <n v="2532946"/>
    <s v="Yogashree P"/>
    <d v="2026-08-25T00:00:00"/>
    <x v="1"/>
    <s v="FTE"/>
    <s v="Chennai"/>
    <s v="CIS26DWP032"/>
    <s v="Aiswarya A Kumar"/>
    <d v="2026-11-04T00:00:00"/>
    <x v="0"/>
    <s v="In-Training"/>
    <x v="1"/>
    <x v="1"/>
    <s v="Plot.103, Korattur"/>
    <x v="1"/>
    <x v="1"/>
    <x v="65"/>
    <x v="1"/>
    <x v="1"/>
  </r>
  <r>
    <n v="2532932"/>
    <s v="Vishalakshi Sudhakar Muthulakshmi"/>
    <d v="2026-08-25T00:00:00"/>
    <x v="1"/>
    <s v="FTE"/>
    <s v="Chennai"/>
    <s v="IOT26CSJ002"/>
    <s v="Pavithra Kandasamy"/>
    <d v="2026-11-11T00:00:00"/>
    <x v="0"/>
    <s v="In-Training"/>
    <x v="1"/>
    <x v="1"/>
    <s v="ALLIANCE HUMMING GARDEN VILLA NO 171"/>
    <x v="17"/>
    <x v="0"/>
    <x v="37"/>
    <x v="2"/>
    <x v="1"/>
  </r>
  <r>
    <n v="2524989"/>
    <s v="Pravallika Varikuti"/>
    <d v="2026-07-23T00:00:00"/>
    <x v="1"/>
    <s v="FTE"/>
    <s v="Chennai"/>
    <s v="ADM26ISMO010"/>
    <s v="Thomas Naveen. J"/>
    <d v="2026-10-06T00:00:00"/>
    <x v="3"/>
    <s v="In-Training"/>
    <x v="0"/>
    <x v="0"/>
    <s v="vyshnavi pg for ladies in OMR, doctor ambedkar street, sipcot, egattur, chengalpattu ,Tamilnadu"/>
    <x v="17"/>
    <x v="0"/>
    <x v="3"/>
    <x v="0"/>
    <x v="0"/>
  </r>
  <r>
    <n v="2507278"/>
    <s v="Ankith L"/>
    <d v="2026-04-30T00:00:00"/>
    <x v="0"/>
    <s v="FTE"/>
    <s v="Chennai"/>
    <s v="ADM26MF009"/>
    <s v="Nithyakalyani Muthukumar"/>
    <d v="2026-09-04T00:00:00"/>
    <x v="2"/>
    <s v="In-Training-Remedial"/>
    <x v="0"/>
    <x v="0"/>
    <s v="cnr branch 1 pg "/>
    <x v="2"/>
    <x v="0"/>
    <x v="3"/>
    <x v="0"/>
    <x v="0"/>
  </r>
  <r>
    <n v="2507397"/>
    <s v="Visali Kuppan"/>
    <d v="2026-04-30T00:00:00"/>
    <x v="1"/>
    <s v="FTE"/>
    <s v="Chennai"/>
    <s v="ADM26MF009"/>
    <s v="Nithyakalyani Muthukumar"/>
    <d v="2026-09-03T00:00:00"/>
    <x v="2"/>
    <s v="In-Training-Remedial"/>
    <x v="1"/>
    <x v="2"/>
    <s v="RAMAPURAM CHENNAI"/>
    <x v="0"/>
    <x v="1"/>
    <x v="66"/>
    <x v="8"/>
    <x v="2"/>
  </r>
  <r>
    <n v="2507425"/>
    <s v="Gopalakrishna Danaboina"/>
    <d v="2026-04-30T00:00:00"/>
    <x v="0"/>
    <s v="FTE"/>
    <s v="Chennai"/>
    <s v="ADM26MF009"/>
    <s v="Nithyakalyani Muthukumar"/>
    <d v="2026-09-04T00:00:00"/>
    <x v="2"/>
    <s v="In-Training-Remedial"/>
    <x v="0"/>
    <x v="0"/>
    <s v="Sahasra Men's pg, semmancheri, chennai, tamilnadu, 600119  "/>
    <x v="0"/>
    <x v="0"/>
    <x v="2"/>
    <x v="0"/>
    <x v="0"/>
  </r>
  <r>
    <n v="2507493"/>
    <s v="Sourav Sikdar"/>
    <d v="2026-04-30T00:00:00"/>
    <x v="0"/>
    <s v="FTE"/>
    <s v="Chennai"/>
    <s v="ADM26MF009"/>
    <s v="Nithyakalyani Muthukumar"/>
    <d v="2026-09-04T00:00:00"/>
    <x v="2"/>
    <s v="In-Training-Remedial"/>
    <x v="0"/>
    <x v="0"/>
    <s v="Mirchi pg "/>
    <x v="2"/>
    <x v="0"/>
    <x v="3"/>
    <x v="0"/>
    <x v="0"/>
  </r>
  <r>
    <n v="2507506"/>
    <s v="Rudra Naga Gani Varalakshmi Harika"/>
    <d v="2026-04-30T00:00:00"/>
    <x v="1"/>
    <s v="FTE"/>
    <s v="Chennai"/>
    <s v="ADM26MF009"/>
    <s v="Nithyakalyani Muthukumar"/>
    <d v="2026-09-09T00:00:00"/>
    <x v="2"/>
    <s v="In-Training-Remedial"/>
    <x v="0"/>
    <x v="0"/>
    <s v=" Dheekshith Ladies Pg, 4/189,  Periyar St,  Uthandi, Egattur, Chennai-603103, Tamil Nadu  "/>
    <x v="1"/>
    <x v="0"/>
    <x v="0"/>
    <x v="0"/>
    <x v="0"/>
  </r>
  <r>
    <n v="2516778"/>
    <s v="D Venkat Hemanth Kumar"/>
    <d v="2026-06-18T00:00:00"/>
    <x v="0"/>
    <s v="FTE"/>
    <s v="Chennai"/>
    <s v="CIS26DCO002"/>
    <s v="Yuvasree Thiruvengadam"/>
    <d v="2026-09-25T00:00:00"/>
    <x v="2"/>
    <s v="In-Training"/>
    <x v="0"/>
    <x v="0"/>
    <s v="SPT Gents PG"/>
    <x v="0"/>
    <x v="0"/>
    <x v="0"/>
    <x v="0"/>
    <x v="0"/>
  </r>
  <r>
    <n v="2516809"/>
    <s v="Rishad V N"/>
    <d v="2026-06-18T00:00:00"/>
    <x v="0"/>
    <s v="FTE"/>
    <s v="Chennai"/>
    <s v="CIS26DCO002"/>
    <s v="Yuvasree Thiruvengadam"/>
    <d v="2026-09-25T00:00:00"/>
    <x v="2"/>
    <s v="In-Training"/>
    <x v="0"/>
    <x v="0"/>
    <s v="Soma Mens Stay PG"/>
    <x v="17"/>
    <x v="0"/>
    <x v="3"/>
    <x v="0"/>
    <x v="0"/>
  </r>
  <r>
    <n v="2516819"/>
    <s v="Marakattu Sumalatha"/>
    <d v="2026-06-18T00:00:00"/>
    <x v="1"/>
    <s v="FTE"/>
    <s v="Chennai"/>
    <s v="CIS26DCO002"/>
    <s v="Yuvasree Thiruvengadam"/>
    <d v="2026-09-25T00:00:00"/>
    <x v="2"/>
    <s v="In-Training"/>
    <x v="0"/>
    <x v="0"/>
    <s v="Sri Lakshmi Luxury Ladies pg,Egattur"/>
    <x v="0"/>
    <x v="0"/>
    <x v="2"/>
    <x v="0"/>
    <x v="0"/>
  </r>
  <r>
    <n v="2516852"/>
    <s v="Sinchana D K"/>
    <d v="2026-06-18T00:00:00"/>
    <x v="1"/>
    <s v="FTE"/>
    <s v="Chennai"/>
    <s v="CIS26DCO002"/>
    <s v="Yuvasree Thiruvengadam"/>
    <d v="2026-09-25T00:00:00"/>
    <x v="2"/>
    <s v="In-Training"/>
    <x v="0"/>
    <x v="0"/>
    <s v="Sai Grand Womens PG, Anbakam Building, Gangai Amman Kovil Street, Egattur, Siruseri, Chennai"/>
    <x v="0"/>
    <x v="0"/>
    <x v="3"/>
    <x v="0"/>
    <x v="0"/>
  </r>
  <r>
    <n v="2520931"/>
    <s v="Adikesava Reddy Peddu"/>
    <d v="2026-07-07T00:00:00"/>
    <x v="0"/>
    <s v="FTE"/>
    <s v="Chennai"/>
    <s v="CM26SFDC006"/>
    <s v="Gayathri Ramachandran"/>
    <d v="2026-11-11T00:00:00"/>
    <x v="0"/>
    <s v="In-Training"/>
    <x v="0"/>
    <x v="0"/>
    <s v="Sahasra deluxe Men's PG"/>
    <x v="17"/>
    <x v="0"/>
    <x v="3"/>
    <x v="0"/>
    <x v="0"/>
  </r>
  <r>
    <n v="2520944"/>
    <s v="Kanbuddi Gouri Shiva Shankar Reddy"/>
    <d v="2026-07-07T00:00:00"/>
    <x v="0"/>
    <s v="FTE"/>
    <s v="Chennai"/>
    <s v="CM26SFDC006"/>
    <s v="Gayathri Ramachandran"/>
    <d v="2026-11-11T00:00:00"/>
    <x v="0"/>
    <s v="In-Training"/>
    <x v="0"/>
    <x v="0"/>
    <s v="CNR GENTS PG BRANCH 1,EGATTUR"/>
    <x v="2"/>
    <x v="0"/>
    <x v="3"/>
    <x v="0"/>
    <x v="0"/>
  </r>
  <r>
    <n v="2521107"/>
    <s v="Mude Jansi"/>
    <d v="2026-07-07T00:00:00"/>
    <x v="1"/>
    <s v="FTE"/>
    <s v="Chennai"/>
    <s v="CIS26SN001"/>
    <s v="Ashiya Begam S"/>
    <d v="2026-09-16T00:00:00"/>
    <x v="2"/>
    <s v="In-Training"/>
    <x v="0"/>
    <x v="0"/>
    <s v="Aditi Womens Hostel, Egattur"/>
    <x v="0"/>
    <x v="0"/>
    <x v="0"/>
    <x v="0"/>
    <x v="0"/>
  </r>
  <r>
    <n v="2523434"/>
    <s v="Anuroop LNU"/>
    <d v="2026-07-16T00:00:00"/>
    <x v="0"/>
    <s v="FTE"/>
    <s v="Chennai"/>
    <s v="CS26CS010"/>
    <s v="Laksiya Vijayendran"/>
    <d v="2026-10-19T00:00:00"/>
    <x v="3"/>
    <s v="In-Training"/>
    <x v="0"/>
    <x v="0"/>
    <s v="SPT GENTS PG EGATTUR "/>
    <x v="2"/>
    <x v="0"/>
    <x v="0"/>
    <x v="0"/>
    <x v="0"/>
  </r>
  <r>
    <n v="2529556"/>
    <s v="Posa Venkatesh"/>
    <d v="2026-08-11T00:00:00"/>
    <x v="0"/>
    <s v="FTE"/>
    <s v="Chennai"/>
    <s v="CIS26MCPT021"/>
    <s v="Uma Venkatachalam"/>
    <d v="2026-12-08T00:00:00"/>
    <x v="1"/>
    <s v="In-Training"/>
    <x v="0"/>
    <x v="0"/>
    <s v="SIPCOT  NEAR SS SHIVA SAI GENTS PG "/>
    <x v="1"/>
    <x v="0"/>
    <x v="3"/>
    <x v="0"/>
    <x v="0"/>
  </r>
  <r>
    <n v="2530175"/>
    <s v="Arava Tharun Prasad Reddy"/>
    <d v="2026-08-13T00:00:00"/>
    <x v="0"/>
    <s v="FTE"/>
    <s v="Chennai"/>
    <s v="EPS26OSP010"/>
    <s v="Vishnupriya Dakshnamurthy"/>
    <d v="2026-12-01T00:00:00"/>
    <x v="1"/>
    <s v="In-Training"/>
    <x v="0"/>
    <x v="0"/>
    <s v="CONWAY STANZA NAVALUR"/>
    <x v="17"/>
    <x v="1"/>
    <x v="2"/>
    <x v="0"/>
    <x v="0"/>
  </r>
  <r>
    <n v="2531835"/>
    <s v="Tarun Kumar"/>
    <d v="2026-08-20T00:00:00"/>
    <x v="0"/>
    <s v="FTE"/>
    <s v="Chennai"/>
    <s v="CS26CS011"/>
    <s v="Kishorekumar P"/>
    <d v="2026-11-17T00:00:00"/>
    <x v="0"/>
    <s v="In-Training"/>
    <x v="0"/>
    <x v="0"/>
    <s v="Lakshmi Srinivasa Mens Elite PG, Egattur"/>
    <x v="2"/>
    <x v="0"/>
    <x v="0"/>
    <x v="0"/>
    <x v="0"/>
  </r>
  <r>
    <n v="2531853"/>
    <s v="Saurabh Jaiswal"/>
    <d v="2026-08-20T00:00:00"/>
    <x v="0"/>
    <s v="FTE"/>
    <s v="Chennai"/>
    <s v="CS26CS011"/>
    <s v="Kishorekumar P"/>
    <d v="2026-11-17T00:00:00"/>
    <x v="0"/>
    <s v="In-Training"/>
    <x v="0"/>
    <x v="0"/>
    <s v="Lakshmi srinivasa elite mens pg "/>
    <x v="2"/>
    <x v="0"/>
    <x v="0"/>
    <x v="0"/>
    <x v="0"/>
  </r>
  <r>
    <n v="2532894"/>
    <s v="Sangati Harshitha"/>
    <d v="2026-08-25T00:00:00"/>
    <x v="1"/>
    <s v="FTE"/>
    <s v="Chennai"/>
    <s v="CIS26DWP032"/>
    <s v="Aiswarya A Kumar"/>
    <d v="2026-11-04T00:00:00"/>
    <x v="0"/>
    <s v="In-Training"/>
    <x v="0"/>
    <x v="0"/>
    <s v="Sai Grand Women's pg,Egattur"/>
    <x v="2"/>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B2C4ED-9EDA-4D8A-BC16-C0FDB4BF071C}" name="PivotTable8" cacheId="8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B20" firstHeaderRow="1" firstDataRow="1" firstDataCol="1" rowPageCount="1" colPageCount="1"/>
  <pivotFields count="19">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4">
        <item h="1" x="1"/>
        <item x="0"/>
        <item m="1" x="2"/>
        <item t="default"/>
      </items>
    </pivotField>
    <pivotField compact="0" outline="0" showAll="0"/>
    <pivotField compact="0" outline="0" showAll="0"/>
    <pivotField compact="0" outline="0" showAll="0"/>
    <pivotField compact="0" outline="0" showAll="0"/>
    <pivotField compact="0" outline="0" showAll="0">
      <items count="70">
        <item x="50"/>
        <item x="56"/>
        <item x="48"/>
        <item x="65"/>
        <item x="7"/>
        <item x="57"/>
        <item x="26"/>
        <item x="31"/>
        <item x="11"/>
        <item x="49"/>
        <item x="6"/>
        <item x="24"/>
        <item x="0"/>
        <item x="46"/>
        <item x="39"/>
        <item m="1" x="68"/>
        <item x="36"/>
        <item x="21"/>
        <item x="25"/>
        <item x="41"/>
        <item x="37"/>
        <item x="35"/>
        <item x="51"/>
        <item x="61"/>
        <item x="28"/>
        <item x="45"/>
        <item x="12"/>
        <item x="53"/>
        <item x="18"/>
        <item x="20"/>
        <item x="58"/>
        <item x="2"/>
        <item x="5"/>
        <item x="16"/>
        <item x="38"/>
        <item x="40"/>
        <item x="14"/>
        <item x="42"/>
        <item x="1"/>
        <item x="47"/>
        <item x="59"/>
        <item x="44"/>
        <item x="17"/>
        <item x="8"/>
        <item x="29"/>
        <item x="30"/>
        <item x="3"/>
        <item x="22"/>
        <item x="10"/>
        <item x="60"/>
        <item x="55"/>
        <item x="23"/>
        <item x="4"/>
        <item x="62"/>
        <item x="52"/>
        <item x="13"/>
        <item x="19"/>
        <item x="32"/>
        <item x="9"/>
        <item x="15"/>
        <item x="64"/>
        <item x="54"/>
        <item m="1" x="67"/>
        <item x="27"/>
        <item x="43"/>
        <item x="63"/>
        <item x="33"/>
        <item x="34"/>
        <item x="66"/>
        <item t="default"/>
      </items>
    </pivotField>
    <pivotField axis="axisRow" compact="0" outline="0" showAll="0">
      <items count="13">
        <item x="3"/>
        <item x="9"/>
        <item x="2"/>
        <item x="8"/>
        <item x="6"/>
        <item x="4"/>
        <item x="0"/>
        <item x="7"/>
        <item x="11"/>
        <item x="10"/>
        <item x="5"/>
        <item x="1"/>
        <item t="default"/>
      </items>
    </pivotField>
    <pivotField compact="0" outline="0" showAll="0"/>
  </pivotFields>
  <rowFields count="1">
    <field x="17"/>
  </rowFields>
  <rowItems count="6">
    <i>
      <x v="2"/>
    </i>
    <i>
      <x v="5"/>
    </i>
    <i>
      <x v="6"/>
    </i>
    <i>
      <x v="9"/>
    </i>
    <i>
      <x v="10"/>
    </i>
    <i t="grand">
      <x/>
    </i>
  </rowItems>
  <colItems count="1">
    <i/>
  </colItems>
  <pageFields count="1">
    <pageField fld="11" item="1" hier="-1"/>
  </pageField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5BF721-D89D-4FE2-9874-04811967A711}" name="PivotTable2" cacheId="865"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4:N49" firstHeaderRow="1" firstDataRow="3" firstDataCol="1" rowPageCount="1" colPageCount="1"/>
  <pivotFields count="19">
    <pivotField compact="0" numFmtId="1" outline="0" showAll="0"/>
    <pivotField dataField="1" compact="0" outline="0" showAll="0"/>
    <pivotField compact="0" numFmtId="14" outline="0" showAll="0"/>
    <pivotField axis="axisCol" compact="0" outline="0" showAll="0">
      <items count="4">
        <item x="1"/>
        <item x="0"/>
        <item m="1" x="2"/>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6">
        <item x="2"/>
        <item m="1" x="4"/>
        <item x="3"/>
        <item x="0"/>
        <item x="1"/>
        <item t="default"/>
      </items>
    </pivotField>
    <pivotField compact="0" outline="0" showAll="0"/>
    <pivotField axis="axisPage" compact="0" outline="0" showAll="0">
      <items count="4">
        <item x="0"/>
        <item h="1" m="1" x="2"/>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1"/>
        <item x="0"/>
        <item m="1" x="3"/>
        <item t="default"/>
      </items>
    </pivotField>
  </pivotFields>
  <rowFields count="1">
    <field x="18"/>
  </rowFields>
  <rowItems count="3">
    <i>
      <x/>
    </i>
    <i>
      <x v="2"/>
    </i>
    <i t="grand">
      <x/>
    </i>
  </rowItems>
  <colFields count="2">
    <field x="9"/>
    <field x="3"/>
  </colFields>
  <colItems count="13">
    <i>
      <x/>
      <x/>
    </i>
    <i r="1">
      <x v="1"/>
    </i>
    <i t="default">
      <x/>
    </i>
    <i>
      <x v="2"/>
      <x/>
    </i>
    <i r="1">
      <x v="1"/>
    </i>
    <i t="default">
      <x v="2"/>
    </i>
    <i>
      <x v="3"/>
      <x/>
    </i>
    <i r="1">
      <x v="1"/>
    </i>
    <i t="default">
      <x v="3"/>
    </i>
    <i>
      <x v="4"/>
      <x/>
    </i>
    <i r="1">
      <x v="1"/>
    </i>
    <i t="default">
      <x v="4"/>
    </i>
    <i t="grand">
      <x/>
    </i>
  </colItems>
  <pageFields count="1">
    <pageField fld="11" item="0" hier="-1"/>
  </pageField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293135-741B-4789-BC55-8E7378814DF0}" name="PivotTable10" cacheId="8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1:E27" firstHeaderRow="1" firstDataRow="1" firstDataCol="1"/>
  <pivotFields count="19">
    <pivotField compact="0" numFmtId="1" outline="0" showAll="0"/>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m="1" x="9"/>
        <item m="1" x="8"/>
        <item m="1" x="7"/>
        <item x="4"/>
        <item x="1"/>
        <item m="1" x="10"/>
        <item x="0"/>
        <item m="1" x="6"/>
        <item x="2"/>
        <item m="1"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6">
    <i>
      <x v="3"/>
    </i>
    <i>
      <x v="4"/>
    </i>
    <i>
      <x v="6"/>
    </i>
    <i>
      <x v="8"/>
    </i>
    <i>
      <x v="10"/>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3C21D7-5FDE-45AB-9AA9-6EBE8B688756}" name="PivotTable11" cacheId="8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4:H33" firstHeaderRow="1" firstDataRow="1" firstDataCol="1"/>
  <pivotFields count="19">
    <pivotField compact="0" numFmtId="1" outline="0" showAll="0"/>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9">
        <item x="0"/>
        <item x="1"/>
        <item x="2"/>
        <item x="12"/>
        <item x="13"/>
        <item x="14"/>
        <item x="15"/>
        <item x="16"/>
        <item x="3"/>
        <item x="4"/>
        <item x="6"/>
        <item x="5"/>
        <item x="7"/>
        <item x="8"/>
        <item x="9"/>
        <item x="10"/>
        <item x="11"/>
        <item x="17"/>
        <item t="default"/>
      </items>
    </pivotField>
    <pivotField compact="0" outline="0" showAll="0"/>
    <pivotField compact="0" outline="0" showAll="0"/>
    <pivotField compact="0" outline="0" showAll="0"/>
    <pivotField compact="0" outline="0" showAll="0"/>
  </pivotFields>
  <rowFields count="1">
    <field x="14"/>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Name" fld="1" subtotal="count" baseField="0" baseItem="0"/>
  </dataFields>
  <formats count="4">
    <format dxfId="17">
      <pivotArea outline="0" fieldPosition="0">
        <references count="1">
          <reference field="14" count="0" selected="0"/>
        </references>
      </pivotArea>
    </format>
    <format dxfId="18">
      <pivotArea field="14" type="button" dataOnly="0" labelOnly="1" outline="0" axis="axisRow" fieldPosition="0"/>
    </format>
    <format dxfId="19">
      <pivotArea dataOnly="0" labelOnly="1" outline="0" fieldPosition="0">
        <references count="1">
          <reference field="14" count="0"/>
        </references>
      </pivotArea>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DB9F77-5C11-47A7-8029-7ADC599E6EA1}" name="PivotTable6" cacheId="865"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5:B39" firstHeaderRow="1" firstDataRow="1" firstDataCol="1"/>
  <pivotFields count="19">
    <pivotField compact="0" numFmtId="1" outline="0" showAll="0"/>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m="1" x="3"/>
        <item x="1"/>
        <item t="default"/>
      </items>
    </pivotField>
  </pivotFields>
  <rowFields count="1">
    <field x="18"/>
  </rowFields>
  <rowItems count="4">
    <i>
      <x/>
    </i>
    <i>
      <x v="1"/>
    </i>
    <i>
      <x v="3"/>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5A9E0E-82E8-45D1-8635-8AD8A503B330}" name="PivotTable9" cacheId="8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4:E17" firstHeaderRow="1" firstDataRow="1" firstDataCol="1"/>
  <pivotFields count="19">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m="1" x="2"/>
        <item t="default"/>
      </items>
    </pivotField>
    <pivotField compact="0" outline="0" showAll="0"/>
    <pivotField compact="0" outline="0" showAll="0"/>
    <pivotField compact="0" outline="0" showAll="0"/>
  </pivotFields>
  <rowFields count="1">
    <field x="15"/>
  </rowFields>
  <rowItems count="3">
    <i>
      <x/>
    </i>
    <i>
      <x v="1"/>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FBCC0E-6D30-4087-A329-8A19C6740834}" name="PivotTable7" cacheId="8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D7" firstHeaderRow="1" firstDataRow="2" firstDataCol="1"/>
  <pivotFields count="19">
    <pivotField compact="0" outline="0" showAll="0"/>
    <pivotField dataField="1" compact="0" outline="0" showAll="0"/>
    <pivotField compact="0" outline="0" showAll="0"/>
    <pivotField axis="axisRow" compact="0" outline="0" showAll="0">
      <items count="4">
        <item x="1"/>
        <item x="0"/>
        <item m="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m="1"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Fields count="1">
    <field x="11"/>
  </colFields>
  <colItems count="3">
    <i>
      <x/>
    </i>
    <i>
      <x v="2"/>
    </i>
    <i t="grand">
      <x/>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55A702-D281-4A56-80AD-1925BAA2B266}" name="PivotTable2" cacheId="8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27:G33" firstHeaderRow="1" firstDataRow="1" firstDataCol="1" rowPageCount="1" colPageCount="1"/>
  <pivotFields count="19">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4">
        <item h="1" x="1"/>
        <item x="0"/>
        <item m="1" x="2"/>
        <item t="default"/>
      </items>
    </pivotField>
    <pivotField compact="0" outline="0" showAll="0"/>
    <pivotField compact="0" outline="0" showAll="0"/>
    <pivotField compact="0" outline="0" showAll="0"/>
    <pivotField compact="0" outline="0" showAll="0"/>
    <pivotField compact="0" outline="0" showAll="0">
      <items count="70">
        <item x="50"/>
        <item x="56"/>
        <item x="48"/>
        <item x="65"/>
        <item x="7"/>
        <item x="57"/>
        <item x="26"/>
        <item x="31"/>
        <item x="11"/>
        <item x="49"/>
        <item x="6"/>
        <item x="24"/>
        <item x="0"/>
        <item x="46"/>
        <item x="39"/>
        <item m="1" x="68"/>
        <item x="36"/>
        <item x="21"/>
        <item x="25"/>
        <item x="41"/>
        <item x="37"/>
        <item x="35"/>
        <item x="51"/>
        <item x="61"/>
        <item x="28"/>
        <item x="45"/>
        <item x="12"/>
        <item x="53"/>
        <item x="18"/>
        <item x="20"/>
        <item x="58"/>
        <item x="2"/>
        <item x="5"/>
        <item x="16"/>
        <item x="38"/>
        <item x="40"/>
        <item x="14"/>
        <item x="42"/>
        <item x="1"/>
        <item x="47"/>
        <item x="59"/>
        <item x="44"/>
        <item x="17"/>
        <item x="8"/>
        <item x="29"/>
        <item x="30"/>
        <item x="3"/>
        <item x="22"/>
        <item x="10"/>
        <item x="60"/>
        <item x="55"/>
        <item x="23"/>
        <item x="4"/>
        <item x="62"/>
        <item x="52"/>
        <item x="13"/>
        <item x="19"/>
        <item x="32"/>
        <item x="9"/>
        <item x="15"/>
        <item x="64"/>
        <item x="54"/>
        <item m="1" x="67"/>
        <item x="27"/>
        <item x="43"/>
        <item x="63"/>
        <item x="33"/>
        <item x="34"/>
        <item x="66"/>
        <item t="default"/>
      </items>
    </pivotField>
    <pivotField axis="axisRow" compact="0" outline="0" showAll="0">
      <items count="13">
        <item x="3"/>
        <item x="9"/>
        <item x="2"/>
        <item x="8"/>
        <item x="6"/>
        <item x="4"/>
        <item x="0"/>
        <item x="7"/>
        <item x="11"/>
        <item x="10"/>
        <item x="5"/>
        <item x="1"/>
        <item t="default"/>
      </items>
    </pivotField>
    <pivotField compact="0" outline="0" showAll="0"/>
  </pivotFields>
  <rowFields count="1">
    <field x="17"/>
  </rowFields>
  <rowItems count="6">
    <i>
      <x v="2"/>
    </i>
    <i>
      <x v="5"/>
    </i>
    <i>
      <x v="6"/>
    </i>
    <i>
      <x v="9"/>
    </i>
    <i>
      <x v="10"/>
    </i>
    <i t="grand">
      <x/>
    </i>
  </rowItems>
  <colItems count="1">
    <i/>
  </colItems>
  <pageFields count="1">
    <pageField fld="11" item="1" hier="-1"/>
  </pageFields>
  <dataFields count="1">
    <dataField name="Count of Name" fld="1" subtotal="count" baseField="0" baseItem="0"/>
  </dataFields>
  <formats count="6">
    <format dxfId="11">
      <pivotArea outline="0" collapsedLevelsAreSubtotals="1" fieldPosition="0"/>
    </format>
    <format dxfId="12">
      <pivotArea dataOnly="0" labelOnly="1" outline="0" fieldPosition="0">
        <references count="1">
          <reference field="11" count="1">
            <x v="1"/>
          </reference>
        </references>
      </pivotArea>
    </format>
    <format dxfId="13">
      <pivotArea dataOnly="0" labelOnly="1" outline="0" axis="axisValues" fieldPosition="0"/>
    </format>
    <format dxfId="14">
      <pivotArea outline="0" collapsedLevelsAreSubtotals="1" fieldPosition="0"/>
    </format>
    <format dxfId="15">
      <pivotArea dataOnly="0" labelOnly="1" outline="0" fieldPosition="0">
        <references count="1">
          <reference field="11" count="1">
            <x v="1"/>
          </reference>
        </references>
      </pivotArea>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914E9C-AF84-427E-90E7-572DB2598385}" name="PivotTable1" cacheId="8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F16:I20" firstHeaderRow="1" firstDataRow="2" firstDataCol="1"/>
  <pivotFields count="19">
    <pivotField compact="0" outline="0" showAll="0"/>
    <pivotField dataField="1" compact="0" outline="0" showAll="0"/>
    <pivotField compact="0" outline="0" showAll="0"/>
    <pivotField axis="axisRow" compact="0" outline="0" showAll="0">
      <items count="4">
        <item x="1"/>
        <item x="0"/>
        <item m="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m="1"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Fields count="1">
    <field x="11"/>
  </colFields>
  <colItems count="3">
    <i>
      <x/>
    </i>
    <i>
      <x v="2"/>
    </i>
    <i t="grand">
      <x/>
    </i>
  </colItems>
  <dataFields count="1">
    <dataField name="Count of Name" fld="1" subtotal="count" baseField="0" baseItem="0"/>
  </dataFields>
  <formats count="10">
    <format dxfId="1">
      <pivotArea outline="0" collapsedLevelsAreSubtotals="1" fieldPosition="0"/>
    </format>
    <format dxfId="2">
      <pivotArea field="11" type="button" dataOnly="0" labelOnly="1" outline="0" axis="axisCol" fieldPosition="0"/>
    </format>
    <format dxfId="3">
      <pivotArea type="topRight" dataOnly="0" labelOnly="1" outline="0" fieldPosition="0"/>
    </format>
    <format dxfId="4">
      <pivotArea dataOnly="0" labelOnly="1" outline="0" fieldPosition="0">
        <references count="1">
          <reference field="11" count="0"/>
        </references>
      </pivotArea>
    </format>
    <format dxfId="5">
      <pivotArea dataOnly="0" labelOnly="1" grandCol="1" outline="0" fieldPosition="0"/>
    </format>
    <format dxfId="6">
      <pivotArea outline="0" collapsedLevelsAreSubtotals="1" fieldPosition="0"/>
    </format>
    <format dxfId="7">
      <pivotArea field="11" type="button" dataOnly="0" labelOnly="1" outline="0" axis="axisCol" fieldPosition="0"/>
    </format>
    <format dxfId="8">
      <pivotArea type="topRight" dataOnly="0" labelOnly="1" outline="0" fieldPosition="0"/>
    </format>
    <format dxfId="9">
      <pivotArea dataOnly="0" labelOnly="1" outline="0" fieldPosition="0">
        <references count="1">
          <reference field="11" count="0"/>
        </references>
      </pivotArea>
    </format>
    <format dxfId="1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14FA7-F7A7-46E6-8DB8-DA64F1382C09}">
  <dimension ref="A1:N72"/>
  <sheetViews>
    <sheetView topLeftCell="A21" workbookViewId="0">
      <selection activeCell="I38" sqref="I38"/>
    </sheetView>
  </sheetViews>
  <sheetFormatPr defaultRowHeight="15"/>
  <cols>
    <col min="1" max="1" width="15.42578125" bestFit="1" customWidth="1"/>
    <col min="2" max="2" width="14.42578125" customWidth="1"/>
    <col min="3" max="3" width="6.42578125" customWidth="1"/>
    <col min="4" max="4" width="33.7109375" bestFit="1" customWidth="1"/>
    <col min="5" max="5" width="14.42578125" customWidth="1"/>
    <col min="6" max="6" width="9.28515625" bestFit="1" customWidth="1"/>
    <col min="7" max="7" width="15.5703125" bestFit="1" customWidth="1"/>
    <col min="8" max="8" width="14.42578125" bestFit="1" customWidth="1"/>
    <col min="9" max="9" width="11.42578125" bestFit="1" customWidth="1"/>
    <col min="14" max="14" width="15.42578125" bestFit="1" customWidth="1"/>
    <col min="15" max="15" width="17.5703125" bestFit="1" customWidth="1"/>
    <col min="16" max="16" width="9" bestFit="1" customWidth="1"/>
    <col min="17" max="17" width="9.28515625" bestFit="1" customWidth="1"/>
    <col min="18" max="18" width="9.42578125" bestFit="1" customWidth="1"/>
    <col min="19" max="19" width="11.42578125" bestFit="1" customWidth="1"/>
    <col min="20" max="20" width="14" bestFit="1" customWidth="1"/>
    <col min="21" max="21" width="13.7109375" bestFit="1" customWidth="1"/>
    <col min="22" max="22" width="11.28515625" bestFit="1" customWidth="1"/>
    <col min="23" max="23" width="14.28515625" bestFit="1" customWidth="1"/>
    <col min="24" max="24" width="13.7109375" bestFit="1" customWidth="1"/>
    <col min="25" max="25" width="11.28515625" bestFit="1" customWidth="1"/>
    <col min="26" max="26" width="14.28515625" bestFit="1" customWidth="1"/>
    <col min="27" max="27" width="11.42578125" bestFit="1" customWidth="1"/>
  </cols>
  <sheetData>
    <row r="1" spans="1:8">
      <c r="A1" s="71" t="s">
        <v>0</v>
      </c>
      <c r="B1" s="71"/>
    </row>
    <row r="3" spans="1:8">
      <c r="A3" s="5" t="s">
        <v>1</v>
      </c>
      <c r="B3" s="5" t="s">
        <v>2</v>
      </c>
    </row>
    <row r="4" spans="1:8">
      <c r="A4" s="5" t="s">
        <v>3</v>
      </c>
      <c r="B4" t="s">
        <v>4</v>
      </c>
      <c r="C4" t="s">
        <v>5</v>
      </c>
      <c r="D4" t="s">
        <v>6</v>
      </c>
    </row>
    <row r="5" spans="1:8">
      <c r="A5" t="s">
        <v>7</v>
      </c>
      <c r="B5">
        <v>681</v>
      </c>
      <c r="C5">
        <v>54</v>
      </c>
      <c r="D5">
        <v>735</v>
      </c>
      <c r="E5" s="49">
        <f>D5/D7</f>
        <v>0.4258400926998841</v>
      </c>
    </row>
    <row r="6" spans="1:8">
      <c r="A6" t="s">
        <v>8</v>
      </c>
      <c r="B6">
        <v>921</v>
      </c>
      <c r="C6">
        <v>70</v>
      </c>
      <c r="D6">
        <v>991</v>
      </c>
      <c r="E6" s="49">
        <f>D6/D7</f>
        <v>0.5741599073001159</v>
      </c>
    </row>
    <row r="7" spans="1:8">
      <c r="A7" t="s">
        <v>6</v>
      </c>
      <c r="B7">
        <v>1602</v>
      </c>
      <c r="C7">
        <v>124</v>
      </c>
      <c r="D7">
        <v>1726</v>
      </c>
    </row>
    <row r="8" spans="1:8">
      <c r="B8" s="49">
        <f>B7/D7</f>
        <v>0.92815758980301277</v>
      </c>
      <c r="C8" s="49">
        <f>C7/D7</f>
        <v>7.1842410196987255E-2</v>
      </c>
      <c r="D8" s="49">
        <v>1</v>
      </c>
      <c r="E8" s="49">
        <v>1</v>
      </c>
    </row>
    <row r="9" spans="1:8">
      <c r="B9" s="49"/>
      <c r="C9" s="49"/>
      <c r="D9" s="49"/>
      <c r="E9" s="49"/>
    </row>
    <row r="10" spans="1:8">
      <c r="B10" s="49"/>
      <c r="C10" s="49"/>
      <c r="D10" s="49"/>
      <c r="E10" s="49"/>
    </row>
    <row r="11" spans="1:8">
      <c r="B11" s="49"/>
      <c r="C11" s="49"/>
      <c r="D11" s="49"/>
      <c r="E11" s="49"/>
    </row>
    <row r="12" spans="1:8">
      <c r="A12" s="5" t="s">
        <v>2</v>
      </c>
      <c r="B12" t="s">
        <v>4</v>
      </c>
    </row>
    <row r="13" spans="1:8">
      <c r="A13" s="71" t="s">
        <v>9</v>
      </c>
      <c r="B13" s="71"/>
      <c r="D13" s="71" t="s">
        <v>10</v>
      </c>
      <c r="E13" s="71"/>
      <c r="G13" s="37" t="s">
        <v>11</v>
      </c>
      <c r="H13" s="37"/>
    </row>
    <row r="14" spans="1:8">
      <c r="A14" s="5" t="s">
        <v>12</v>
      </c>
      <c r="B14" t="s">
        <v>1</v>
      </c>
      <c r="D14" s="5" t="s">
        <v>13</v>
      </c>
      <c r="E14" t="s">
        <v>1</v>
      </c>
      <c r="G14" s="32" t="s">
        <v>14</v>
      </c>
      <c r="H14" s="4" t="s">
        <v>1</v>
      </c>
    </row>
    <row r="15" spans="1:8">
      <c r="A15" t="s">
        <v>15</v>
      </c>
      <c r="B15">
        <v>17</v>
      </c>
      <c r="D15" t="s">
        <v>16</v>
      </c>
      <c r="E15">
        <v>1346</v>
      </c>
      <c r="G15" s="4">
        <v>1</v>
      </c>
      <c r="H15" s="4">
        <v>461</v>
      </c>
    </row>
    <row r="16" spans="1:8">
      <c r="A16" t="s">
        <v>17</v>
      </c>
      <c r="B16">
        <v>28</v>
      </c>
      <c r="D16" t="s">
        <v>18</v>
      </c>
      <c r="E16">
        <v>380</v>
      </c>
      <c r="G16" s="4">
        <v>2</v>
      </c>
      <c r="H16" s="4">
        <v>383</v>
      </c>
    </row>
    <row r="17" spans="1:8">
      <c r="A17" t="s">
        <v>19</v>
      </c>
      <c r="B17">
        <v>1551</v>
      </c>
      <c r="D17" t="s">
        <v>6</v>
      </c>
      <c r="E17">
        <v>1726</v>
      </c>
      <c r="G17" s="4">
        <v>3</v>
      </c>
      <c r="H17" s="4">
        <v>327</v>
      </c>
    </row>
    <row r="18" spans="1:8">
      <c r="A18" t="s">
        <v>20</v>
      </c>
      <c r="B18">
        <v>1</v>
      </c>
      <c r="G18" s="4">
        <v>4</v>
      </c>
      <c r="H18" s="4">
        <v>256</v>
      </c>
    </row>
    <row r="19" spans="1:8">
      <c r="A19" t="s">
        <v>21</v>
      </c>
      <c r="B19">
        <v>5</v>
      </c>
      <c r="G19" s="4">
        <v>5</v>
      </c>
      <c r="H19" s="4">
        <v>82</v>
      </c>
    </row>
    <row r="20" spans="1:8">
      <c r="A20" t="s">
        <v>6</v>
      </c>
      <c r="B20">
        <v>1602</v>
      </c>
      <c r="D20" s="71" t="s">
        <v>22</v>
      </c>
      <c r="E20" s="71"/>
      <c r="G20" s="4">
        <v>6</v>
      </c>
      <c r="H20" s="4">
        <v>5</v>
      </c>
    </row>
    <row r="21" spans="1:8">
      <c r="D21" s="5" t="s">
        <v>23</v>
      </c>
      <c r="E21" t="s">
        <v>1</v>
      </c>
      <c r="G21" s="4">
        <v>7</v>
      </c>
      <c r="H21" s="4">
        <v>7</v>
      </c>
    </row>
    <row r="22" spans="1:8">
      <c r="D22" t="s">
        <v>24</v>
      </c>
      <c r="E22">
        <v>36</v>
      </c>
      <c r="G22" s="4">
        <v>8</v>
      </c>
      <c r="H22" s="4">
        <v>1</v>
      </c>
    </row>
    <row r="23" spans="1:8">
      <c r="D23" t="s">
        <v>25</v>
      </c>
      <c r="E23">
        <v>58</v>
      </c>
      <c r="G23" s="4">
        <v>10</v>
      </c>
      <c r="H23" s="4">
        <v>6</v>
      </c>
    </row>
    <row r="24" spans="1:8">
      <c r="D24" t="s">
        <v>26</v>
      </c>
      <c r="E24">
        <v>1566</v>
      </c>
      <c r="G24" s="4">
        <v>11</v>
      </c>
      <c r="H24" s="4">
        <v>2</v>
      </c>
    </row>
    <row r="25" spans="1:8">
      <c r="D25" t="s">
        <v>27</v>
      </c>
      <c r="E25">
        <v>54</v>
      </c>
      <c r="G25" s="4">
        <v>12</v>
      </c>
      <c r="H25" s="4">
        <v>1</v>
      </c>
    </row>
    <row r="26" spans="1:8">
      <c r="D26" t="s">
        <v>28</v>
      </c>
      <c r="E26">
        <v>12</v>
      </c>
      <c r="G26" s="4">
        <v>13</v>
      </c>
      <c r="H26" s="4">
        <v>1</v>
      </c>
    </row>
    <row r="27" spans="1:8">
      <c r="D27" t="s">
        <v>6</v>
      </c>
      <c r="E27">
        <v>1726</v>
      </c>
      <c r="G27" s="4">
        <v>17</v>
      </c>
      <c r="H27" s="4">
        <v>1</v>
      </c>
    </row>
    <row r="28" spans="1:8">
      <c r="G28" s="4">
        <v>18</v>
      </c>
      <c r="H28" s="4">
        <v>2</v>
      </c>
    </row>
    <row r="29" spans="1:8">
      <c r="G29" s="4">
        <v>19</v>
      </c>
      <c r="H29" s="4">
        <v>1</v>
      </c>
    </row>
    <row r="30" spans="1:8">
      <c r="A30" s="72" t="s">
        <v>29</v>
      </c>
      <c r="B30" s="72"/>
      <c r="C30" s="72"/>
      <c r="D30" s="72"/>
      <c r="G30" s="4">
        <v>21</v>
      </c>
      <c r="H30" s="4">
        <v>1</v>
      </c>
    </row>
    <row r="31" spans="1:8">
      <c r="A31" s="43" t="s">
        <v>30</v>
      </c>
      <c r="B31" s="43" t="s">
        <v>31</v>
      </c>
      <c r="C31" s="43" t="s">
        <v>32</v>
      </c>
      <c r="D31" s="43" t="s">
        <v>33</v>
      </c>
      <c r="G31" s="4">
        <v>23</v>
      </c>
      <c r="H31" s="4">
        <v>2</v>
      </c>
    </row>
    <row r="32" spans="1:8">
      <c r="A32" s="38">
        <f>COUNTIF(Base!J:J,"Sep 2026")+COUNTIF(Base!J:J,"Oct 2026")+COUNTIF(Base!J:J,"Nov 2026")+COUNTIF(Base!J:J,"Dec 2026")+40</f>
        <v>1766</v>
      </c>
      <c r="B32" s="38">
        <f>COUNTIF(Base!J:J,"Oct 2026")+COUNTIF(Base!J:J,"Nov 2026")+COUNTIF(Base!J:J,"Dec 2026")+40</f>
        <v>1414</v>
      </c>
      <c r="C32" s="38">
        <f>COUNTIF(Base!J:J,"Nov 2026")+COUNTIF(Base!J:J,"Dec 2026")+40</f>
        <v>971</v>
      </c>
      <c r="D32" s="38">
        <f>COUNTIF(Base!J:J,"Dec 2026")+40</f>
        <v>531</v>
      </c>
      <c r="G32" s="4" t="s">
        <v>34</v>
      </c>
      <c r="H32" s="4">
        <v>187</v>
      </c>
    </row>
    <row r="33" spans="1:14">
      <c r="G33" t="s">
        <v>6</v>
      </c>
      <c r="H33">
        <v>1726</v>
      </c>
    </row>
    <row r="35" spans="1:14">
      <c r="A35" s="5" t="s">
        <v>35</v>
      </c>
      <c r="B35" t="s">
        <v>1</v>
      </c>
    </row>
    <row r="36" spans="1:14">
      <c r="A36" t="s">
        <v>36</v>
      </c>
      <c r="B36">
        <v>25</v>
      </c>
    </row>
    <row r="37" spans="1:14">
      <c r="A37" t="s">
        <v>37</v>
      </c>
      <c r="B37">
        <v>1586</v>
      </c>
    </row>
    <row r="38" spans="1:14">
      <c r="A38" t="s">
        <v>38</v>
      </c>
      <c r="B38">
        <v>115</v>
      </c>
    </row>
    <row r="39" spans="1:14">
      <c r="A39" t="s">
        <v>6</v>
      </c>
      <c r="B39">
        <v>1726</v>
      </c>
      <c r="H39" s="41"/>
    </row>
    <row r="40" spans="1:14">
      <c r="H40" s="42"/>
    </row>
    <row r="41" spans="1:14">
      <c r="H41" s="42"/>
    </row>
    <row r="42" spans="1:14">
      <c r="A42" s="5" t="s">
        <v>2</v>
      </c>
      <c r="B42" t="s">
        <v>4</v>
      </c>
    </row>
    <row r="44" spans="1:14">
      <c r="A44" s="5" t="s">
        <v>1</v>
      </c>
      <c r="B44" s="5" t="s">
        <v>39</v>
      </c>
      <c r="C44" s="5" t="s">
        <v>3</v>
      </c>
    </row>
    <row r="45" spans="1:14">
      <c r="B45" t="s">
        <v>30</v>
      </c>
      <c r="D45" t="s">
        <v>40</v>
      </c>
      <c r="E45" t="s">
        <v>31</v>
      </c>
      <c r="G45" t="s">
        <v>41</v>
      </c>
      <c r="H45" t="s">
        <v>32</v>
      </c>
      <c r="J45" t="s">
        <v>42</v>
      </c>
      <c r="K45" t="s">
        <v>33</v>
      </c>
      <c r="M45" t="s">
        <v>43</v>
      </c>
      <c r="N45" t="s">
        <v>6</v>
      </c>
    </row>
    <row r="46" spans="1:14">
      <c r="A46" s="5" t="s">
        <v>35</v>
      </c>
      <c r="B46" t="s">
        <v>7</v>
      </c>
      <c r="C46" t="s">
        <v>8</v>
      </c>
      <c r="E46" t="s">
        <v>7</v>
      </c>
      <c r="F46" t="s">
        <v>8</v>
      </c>
      <c r="H46" t="s">
        <v>7</v>
      </c>
      <c r="I46" t="s">
        <v>8</v>
      </c>
      <c r="K46" t="s">
        <v>7</v>
      </c>
      <c r="L46" t="s">
        <v>8</v>
      </c>
    </row>
    <row r="47" spans="1:14">
      <c r="A47" t="s">
        <v>36</v>
      </c>
      <c r="B47">
        <v>4</v>
      </c>
      <c r="C47">
        <v>4</v>
      </c>
      <c r="D47">
        <v>8</v>
      </c>
      <c r="F47">
        <v>1</v>
      </c>
      <c r="G47">
        <v>1</v>
      </c>
      <c r="I47">
        <v>3</v>
      </c>
      <c r="J47">
        <v>3</v>
      </c>
      <c r="K47">
        <v>4</v>
      </c>
      <c r="L47">
        <v>2</v>
      </c>
      <c r="M47">
        <v>6</v>
      </c>
      <c r="N47">
        <v>18</v>
      </c>
    </row>
    <row r="48" spans="1:14">
      <c r="A48" t="s">
        <v>37</v>
      </c>
      <c r="B48">
        <v>134</v>
      </c>
      <c r="C48">
        <v>185</v>
      </c>
      <c r="D48">
        <v>319</v>
      </c>
      <c r="E48">
        <v>169</v>
      </c>
      <c r="F48">
        <v>252</v>
      </c>
      <c r="G48">
        <v>421</v>
      </c>
      <c r="H48">
        <v>176</v>
      </c>
      <c r="I48">
        <v>218</v>
      </c>
      <c r="J48">
        <v>394</v>
      </c>
      <c r="K48">
        <v>194</v>
      </c>
      <c r="L48">
        <v>256</v>
      </c>
      <c r="M48">
        <v>450</v>
      </c>
      <c r="N48">
        <v>1584</v>
      </c>
    </row>
    <row r="49" spans="1:14">
      <c r="A49" t="s">
        <v>6</v>
      </c>
      <c r="B49">
        <v>138</v>
      </c>
      <c r="C49">
        <v>189</v>
      </c>
      <c r="D49">
        <v>327</v>
      </c>
      <c r="E49">
        <v>169</v>
      </c>
      <c r="F49">
        <v>253</v>
      </c>
      <c r="G49">
        <v>422</v>
      </c>
      <c r="H49">
        <v>176</v>
      </c>
      <c r="I49">
        <v>221</v>
      </c>
      <c r="J49">
        <v>397</v>
      </c>
      <c r="K49">
        <v>198</v>
      </c>
      <c r="L49">
        <v>258</v>
      </c>
      <c r="M49">
        <v>456</v>
      </c>
      <c r="N49">
        <v>1602</v>
      </c>
    </row>
    <row r="66" spans="4:14">
      <c r="D66" s="45" t="s">
        <v>35</v>
      </c>
      <c r="E66" s="45" t="s">
        <v>30</v>
      </c>
      <c r="F66" s="45" t="s">
        <v>31</v>
      </c>
      <c r="G66" s="45" t="s">
        <v>32</v>
      </c>
      <c r="H66" s="45" t="s">
        <v>33</v>
      </c>
      <c r="I66" s="45" t="s">
        <v>6</v>
      </c>
    </row>
    <row r="67" spans="4:14">
      <c r="D67" t="s">
        <v>36</v>
      </c>
      <c r="E67">
        <v>18</v>
      </c>
      <c r="F67">
        <v>10</v>
      </c>
      <c r="G67">
        <v>9</v>
      </c>
      <c r="H67">
        <v>6</v>
      </c>
      <c r="I67">
        <v>18</v>
      </c>
    </row>
    <row r="68" spans="4:14">
      <c r="D68" t="s">
        <v>37</v>
      </c>
      <c r="E68">
        <v>1584</v>
      </c>
      <c r="F68">
        <v>1265</v>
      </c>
      <c r="G68">
        <v>844</v>
      </c>
      <c r="H68">
        <v>450</v>
      </c>
      <c r="I68">
        <v>1584</v>
      </c>
    </row>
    <row r="69" spans="4:14">
      <c r="D69" s="46" t="s">
        <v>6</v>
      </c>
      <c r="E69" s="46">
        <v>1602</v>
      </c>
      <c r="F69" s="46">
        <v>1275</v>
      </c>
      <c r="G69" s="46">
        <v>853</v>
      </c>
      <c r="H69" s="46">
        <v>456</v>
      </c>
      <c r="I69" s="46">
        <v>1602</v>
      </c>
    </row>
    <row r="72" spans="4:14">
      <c r="N72" s="47"/>
    </row>
  </sheetData>
  <mergeCells count="5">
    <mergeCell ref="A1:B1"/>
    <mergeCell ref="A13:B13"/>
    <mergeCell ref="D13:E13"/>
    <mergeCell ref="D20:E20"/>
    <mergeCell ref="A30:D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DCFB-72C4-4C46-B546-5B281196BB19}">
  <dimension ref="D14:AJ48"/>
  <sheetViews>
    <sheetView tabSelected="1" topLeftCell="C1" workbookViewId="0">
      <selection activeCell="A10" sqref="A10:XFD13"/>
    </sheetView>
  </sheetViews>
  <sheetFormatPr defaultRowHeight="15"/>
  <cols>
    <col min="4" max="4" width="11.42578125" style="6" bestFit="1" customWidth="1"/>
    <col min="5" max="5" width="13.5703125" bestFit="1" customWidth="1"/>
    <col min="6" max="6" width="15.42578125" bestFit="1" customWidth="1"/>
    <col min="7" max="7" width="19.140625" style="57" bestFit="1" customWidth="1"/>
    <col min="8" max="8" width="11.140625" style="57" bestFit="1" customWidth="1"/>
    <col min="9" max="9" width="11.42578125" style="57" bestFit="1" customWidth="1"/>
    <col min="10" max="10" width="13.42578125" style="57" bestFit="1" customWidth="1"/>
    <col min="11" max="11" width="11" bestFit="1" customWidth="1"/>
    <col min="12" max="12" width="9.140625" bestFit="1" customWidth="1"/>
    <col min="13" max="13" width="13.7109375" bestFit="1" customWidth="1"/>
    <col min="14" max="14" width="11.28515625" style="4" bestFit="1" customWidth="1"/>
    <col min="15" max="15" width="9.42578125" bestFit="1" customWidth="1"/>
    <col min="16" max="16" width="13.7109375" bestFit="1" customWidth="1"/>
    <col min="17" max="17" width="11.28515625" style="4" bestFit="1" customWidth="1"/>
    <col min="18" max="18" width="9.42578125" style="4" bestFit="1" customWidth="1"/>
    <col min="19" max="19" width="11.42578125" style="4" bestFit="1" customWidth="1"/>
    <col min="20" max="21" width="9.140625" style="4"/>
    <col min="23" max="23" width="13.140625" customWidth="1"/>
    <col min="24" max="24" width="9.28515625" style="57" bestFit="1" customWidth="1"/>
    <col min="25" max="25" width="5.42578125" style="57" bestFit="1" customWidth="1"/>
    <col min="26" max="26" width="14.140625" style="57" bestFit="1" customWidth="1"/>
    <col min="27" max="27" width="9" style="57" bestFit="1" customWidth="1"/>
    <col min="28" max="28" width="5.42578125" style="57" bestFit="1" customWidth="1"/>
    <col min="29" max="29" width="14" style="57" bestFit="1" customWidth="1"/>
    <col min="30" max="30" width="9.28515625" style="57" bestFit="1" customWidth="1"/>
    <col min="31" max="31" width="5.42578125" style="57" bestFit="1" customWidth="1"/>
    <col min="32" max="32" width="14.28515625" style="57" bestFit="1" customWidth="1"/>
    <col min="33" max="33" width="9.42578125" style="57" bestFit="1" customWidth="1"/>
    <col min="34" max="34" width="5.42578125" style="57" bestFit="1" customWidth="1"/>
    <col min="35" max="35" width="14.28515625" style="57" bestFit="1" customWidth="1"/>
    <col min="36" max="36" width="11.42578125" style="57" bestFit="1" customWidth="1"/>
  </cols>
  <sheetData>
    <row r="14" spans="6:7">
      <c r="F14" s="71" t="s">
        <v>0</v>
      </c>
      <c r="G14" s="71"/>
    </row>
    <row r="16" spans="6:7">
      <c r="F16" s="5" t="s">
        <v>1</v>
      </c>
      <c r="G16" s="58" t="s">
        <v>2</v>
      </c>
    </row>
    <row r="17" spans="6:10">
      <c r="F17" s="5" t="s">
        <v>3</v>
      </c>
      <c r="G17" s="57" t="s">
        <v>4</v>
      </c>
      <c r="H17" s="57" t="s">
        <v>5</v>
      </c>
      <c r="I17" s="57" t="s">
        <v>6</v>
      </c>
    </row>
    <row r="18" spans="6:10">
      <c r="F18" t="s">
        <v>7</v>
      </c>
      <c r="G18" s="57">
        <v>681</v>
      </c>
      <c r="H18" s="57">
        <v>54</v>
      </c>
      <c r="I18" s="57">
        <v>735</v>
      </c>
      <c r="J18" s="59">
        <f>I18/I20</f>
        <v>0.4258400926998841</v>
      </c>
    </row>
    <row r="19" spans="6:10">
      <c r="F19" t="s">
        <v>8</v>
      </c>
      <c r="G19" s="57">
        <v>921</v>
      </c>
      <c r="H19" s="57">
        <v>70</v>
      </c>
      <c r="I19" s="57">
        <v>991</v>
      </c>
      <c r="J19" s="59">
        <f>I19/I20</f>
        <v>0.5741599073001159</v>
      </c>
    </row>
    <row r="20" spans="6:10">
      <c r="F20" t="s">
        <v>6</v>
      </c>
      <c r="G20" s="57">
        <v>1602</v>
      </c>
      <c r="H20" s="57">
        <v>124</v>
      </c>
      <c r="I20" s="57">
        <v>1726</v>
      </c>
    </row>
    <row r="21" spans="6:10">
      <c r="G21" s="59">
        <f>G20/I20</f>
        <v>0.92815758980301277</v>
      </c>
      <c r="H21" s="59">
        <f>H20/I20</f>
        <v>7.1842410196987255E-2</v>
      </c>
      <c r="I21" s="59"/>
      <c r="J21" s="59"/>
    </row>
    <row r="25" spans="6:10">
      <c r="F25" t="s">
        <v>2</v>
      </c>
      <c r="G25" s="57" t="s">
        <v>4</v>
      </c>
    </row>
    <row r="26" spans="6:10">
      <c r="F26" s="77" t="s">
        <v>9</v>
      </c>
      <c r="G26" s="77"/>
    </row>
    <row r="27" spans="6:10">
      <c r="F27" s="5" t="s">
        <v>12</v>
      </c>
      <c r="G27" s="57" t="s">
        <v>1</v>
      </c>
    </row>
    <row r="28" spans="6:10">
      <c r="F28" t="s">
        <v>15</v>
      </c>
      <c r="G28" s="57">
        <v>17</v>
      </c>
    </row>
    <row r="29" spans="6:10">
      <c r="F29" t="s">
        <v>17</v>
      </c>
      <c r="G29" s="57">
        <v>28</v>
      </c>
    </row>
    <row r="30" spans="6:10">
      <c r="F30" t="s">
        <v>19</v>
      </c>
      <c r="G30" s="57">
        <v>1551</v>
      </c>
    </row>
    <row r="31" spans="6:10">
      <c r="F31" t="s">
        <v>20</v>
      </c>
      <c r="G31" s="57">
        <v>1</v>
      </c>
    </row>
    <row r="32" spans="6:10">
      <c r="F32" t="s">
        <v>21</v>
      </c>
      <c r="G32" s="57">
        <v>5</v>
      </c>
    </row>
    <row r="33" spans="6:36">
      <c r="F33" t="s">
        <v>6</v>
      </c>
      <c r="G33" s="57">
        <v>1602</v>
      </c>
    </row>
    <row r="41" spans="6:36">
      <c r="F41" s="51" t="s">
        <v>3</v>
      </c>
      <c r="G41" s="55" t="s">
        <v>4</v>
      </c>
      <c r="H41" s="55" t="s">
        <v>5</v>
      </c>
      <c r="I41" s="55" t="s">
        <v>44</v>
      </c>
      <c r="J41" s="65" t="s">
        <v>45</v>
      </c>
      <c r="M41" s="51" t="s">
        <v>46</v>
      </c>
      <c r="N41" s="54" t="s">
        <v>47</v>
      </c>
      <c r="P41" s="51" t="s">
        <v>35</v>
      </c>
      <c r="Q41" s="54" t="s">
        <v>30</v>
      </c>
      <c r="R41" s="54" t="s">
        <v>31</v>
      </c>
      <c r="S41" s="54" t="s">
        <v>32</v>
      </c>
      <c r="T41" s="54" t="s">
        <v>33</v>
      </c>
      <c r="U41" s="54" t="s">
        <v>44</v>
      </c>
      <c r="W41" s="78" t="s">
        <v>48</v>
      </c>
      <c r="X41" s="75" t="s">
        <v>30</v>
      </c>
      <c r="Y41" s="75"/>
      <c r="Z41" s="73" t="s">
        <v>40</v>
      </c>
      <c r="AA41" s="75" t="s">
        <v>31</v>
      </c>
      <c r="AB41" s="75"/>
      <c r="AC41" s="73" t="s">
        <v>41</v>
      </c>
      <c r="AD41" s="75" t="s">
        <v>32</v>
      </c>
      <c r="AE41" s="75"/>
      <c r="AF41" s="73" t="s">
        <v>42</v>
      </c>
      <c r="AG41" s="75" t="s">
        <v>33</v>
      </c>
      <c r="AH41" s="75"/>
      <c r="AI41" s="73" t="s">
        <v>43</v>
      </c>
      <c r="AJ41" s="75" t="s">
        <v>6</v>
      </c>
    </row>
    <row r="42" spans="6:36">
      <c r="F42" s="52" t="s">
        <v>7</v>
      </c>
      <c r="G42" s="56">
        <v>681</v>
      </c>
      <c r="H42" s="56">
        <v>54</v>
      </c>
      <c r="I42" s="56">
        <v>735</v>
      </c>
      <c r="J42" s="66">
        <f>I42/I44</f>
        <v>0.4258400926998841</v>
      </c>
      <c r="K42" s="53"/>
      <c r="M42" s="50" t="s">
        <v>15</v>
      </c>
      <c r="N42" s="48">
        <v>17</v>
      </c>
      <c r="P42" s="50" t="s">
        <v>36</v>
      </c>
      <c r="Q42" s="38">
        <v>8</v>
      </c>
      <c r="R42" s="38">
        <v>1</v>
      </c>
      <c r="S42" s="38">
        <v>3</v>
      </c>
      <c r="T42" s="38">
        <v>6</v>
      </c>
      <c r="U42" s="38">
        <v>18</v>
      </c>
      <c r="W42" s="79"/>
      <c r="X42" s="62" t="s">
        <v>7</v>
      </c>
      <c r="Y42" s="62" t="s">
        <v>8</v>
      </c>
      <c r="Z42" s="74"/>
      <c r="AA42" s="62" t="s">
        <v>7</v>
      </c>
      <c r="AB42" s="62" t="s">
        <v>8</v>
      </c>
      <c r="AC42" s="74"/>
      <c r="AD42" s="62" t="s">
        <v>7</v>
      </c>
      <c r="AE42" s="62" t="s">
        <v>8</v>
      </c>
      <c r="AF42" s="74"/>
      <c r="AG42" s="62" t="s">
        <v>7</v>
      </c>
      <c r="AH42" s="62" t="s">
        <v>8</v>
      </c>
      <c r="AI42" s="74"/>
      <c r="AJ42" s="76"/>
    </row>
    <row r="43" spans="6:36">
      <c r="F43" s="52" t="s">
        <v>8</v>
      </c>
      <c r="G43" s="56">
        <v>921</v>
      </c>
      <c r="H43" s="56">
        <v>70</v>
      </c>
      <c r="I43" s="56">
        <v>991</v>
      </c>
      <c r="J43" s="66">
        <f>I43/I44</f>
        <v>0.5741599073001159</v>
      </c>
      <c r="K43" s="53"/>
      <c r="M43" s="50" t="s">
        <v>17</v>
      </c>
      <c r="N43" s="48">
        <v>28</v>
      </c>
      <c r="P43" s="50" t="s">
        <v>37</v>
      </c>
      <c r="Q43" s="38">
        <v>319</v>
      </c>
      <c r="R43" s="38">
        <v>421</v>
      </c>
      <c r="S43" s="38">
        <v>394</v>
      </c>
      <c r="T43" s="38">
        <v>450</v>
      </c>
      <c r="U43" s="38">
        <v>1584</v>
      </c>
      <c r="W43" t="s">
        <v>36</v>
      </c>
      <c r="X43" s="57">
        <v>4</v>
      </c>
      <c r="Y43" s="57">
        <v>4</v>
      </c>
      <c r="Z43" s="63">
        <v>8</v>
      </c>
      <c r="AB43" s="57">
        <v>1</v>
      </c>
      <c r="AC43" s="63">
        <v>1</v>
      </c>
      <c r="AE43" s="57">
        <v>3</v>
      </c>
      <c r="AF43" s="63">
        <v>3</v>
      </c>
      <c r="AG43" s="57">
        <v>4</v>
      </c>
      <c r="AH43" s="57">
        <v>2</v>
      </c>
      <c r="AI43" s="63">
        <v>6</v>
      </c>
      <c r="AJ43" s="57">
        <v>18</v>
      </c>
    </row>
    <row r="44" spans="6:36">
      <c r="F44" s="51" t="s">
        <v>44</v>
      </c>
      <c r="G44" s="55">
        <v>1602</v>
      </c>
      <c r="H44" s="55">
        <v>124</v>
      </c>
      <c r="I44" s="55">
        <v>1726</v>
      </c>
      <c r="J44" s="67">
        <v>1</v>
      </c>
      <c r="K44" s="53"/>
      <c r="M44" s="50" t="s">
        <v>19</v>
      </c>
      <c r="N44" s="48">
        <v>1551</v>
      </c>
      <c r="P44" s="51" t="s">
        <v>44</v>
      </c>
      <c r="Q44" s="54">
        <v>327</v>
      </c>
      <c r="R44" s="54">
        <v>422</v>
      </c>
      <c r="S44" s="54">
        <v>397</v>
      </c>
      <c r="T44" s="54">
        <v>456</v>
      </c>
      <c r="U44" s="54">
        <v>1602</v>
      </c>
      <c r="W44" t="s">
        <v>37</v>
      </c>
      <c r="X44" s="57">
        <v>134</v>
      </c>
      <c r="Y44" s="57">
        <v>185</v>
      </c>
      <c r="Z44" s="63">
        <v>319</v>
      </c>
      <c r="AA44" s="57">
        <v>169</v>
      </c>
      <c r="AB44" s="57">
        <v>252</v>
      </c>
      <c r="AC44" s="63">
        <v>421</v>
      </c>
      <c r="AD44" s="57">
        <v>176</v>
      </c>
      <c r="AE44" s="57">
        <v>218</v>
      </c>
      <c r="AF44" s="63">
        <v>394</v>
      </c>
      <c r="AG44" s="57">
        <v>194</v>
      </c>
      <c r="AH44" s="57">
        <v>256</v>
      </c>
      <c r="AI44" s="63">
        <v>450</v>
      </c>
      <c r="AJ44" s="57">
        <v>1584</v>
      </c>
    </row>
    <row r="45" spans="6:36">
      <c r="F45" s="51" t="s">
        <v>45</v>
      </c>
      <c r="G45" s="61">
        <f>G44/I44</f>
        <v>0.92815758980301277</v>
      </c>
      <c r="H45" s="61">
        <f>H44/I44</f>
        <v>7.1842410196987255E-2</v>
      </c>
      <c r="I45" s="61">
        <v>1</v>
      </c>
      <c r="J45" s="67" t="s">
        <v>49</v>
      </c>
      <c r="K45" s="53"/>
      <c r="M45" s="50" t="s">
        <v>20</v>
      </c>
      <c r="N45" s="48">
        <v>1</v>
      </c>
      <c r="W45" s="46" t="s">
        <v>6</v>
      </c>
      <c r="X45" s="64">
        <v>138</v>
      </c>
      <c r="Y45" s="64">
        <v>189</v>
      </c>
      <c r="Z45" s="64">
        <v>327</v>
      </c>
      <c r="AA45" s="64">
        <v>169</v>
      </c>
      <c r="AB45" s="64">
        <v>253</v>
      </c>
      <c r="AC45" s="64">
        <v>422</v>
      </c>
      <c r="AD45" s="64">
        <v>176</v>
      </c>
      <c r="AE45" s="64">
        <v>221</v>
      </c>
      <c r="AF45" s="64">
        <v>397</v>
      </c>
      <c r="AG45" s="64">
        <v>198</v>
      </c>
      <c r="AH45" s="64">
        <v>258</v>
      </c>
      <c r="AI45" s="64">
        <v>456</v>
      </c>
      <c r="AJ45" s="64">
        <v>1602</v>
      </c>
    </row>
    <row r="46" spans="6:36">
      <c r="F46" s="53"/>
      <c r="G46" s="60" t="s">
        <v>50</v>
      </c>
      <c r="H46" s="60"/>
      <c r="I46" s="60"/>
      <c r="J46" s="60"/>
      <c r="K46" s="53"/>
      <c r="M46" s="50" t="s">
        <v>21</v>
      </c>
      <c r="N46" s="48">
        <v>5</v>
      </c>
    </row>
    <row r="47" spans="6:36">
      <c r="H47" s="60"/>
      <c r="I47" s="60"/>
      <c r="J47" s="60"/>
      <c r="K47" s="53"/>
      <c r="M47" s="51" t="s">
        <v>44</v>
      </c>
      <c r="N47" s="54">
        <v>1602</v>
      </c>
    </row>
    <row r="48" spans="6:36">
      <c r="H48" s="60"/>
      <c r="I48" s="60"/>
      <c r="J48" s="60"/>
      <c r="K48" s="53"/>
    </row>
  </sheetData>
  <mergeCells count="12">
    <mergeCell ref="X41:Y41"/>
    <mergeCell ref="F14:G14"/>
    <mergeCell ref="F26:G26"/>
    <mergeCell ref="Z41:Z42"/>
    <mergeCell ref="AC41:AC42"/>
    <mergeCell ref="W41:W42"/>
    <mergeCell ref="AI41:AI42"/>
    <mergeCell ref="AJ41:AJ42"/>
    <mergeCell ref="AG41:AH41"/>
    <mergeCell ref="AD41:AE41"/>
    <mergeCell ref="AA41:AB41"/>
    <mergeCell ref="AF41:AF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EF4B-B384-4D49-9B8F-E1283EAB8238}">
  <dimension ref="A1:S1727"/>
  <sheetViews>
    <sheetView topLeftCell="I1" zoomScale="69" workbookViewId="0">
      <selection activeCell="N4" sqref="N4"/>
    </sheetView>
  </sheetViews>
  <sheetFormatPr defaultRowHeight="15" customHeight="1"/>
  <cols>
    <col min="2" max="2" width="25.85546875" customWidth="1"/>
    <col min="3" max="3" width="23.85546875" style="18" bestFit="1" customWidth="1"/>
    <col min="7" max="7" width="16" bestFit="1" customWidth="1"/>
    <col min="8" max="8" width="23.7109375" customWidth="1"/>
    <col min="9" max="9" width="21.140625" style="8" bestFit="1" customWidth="1"/>
    <col min="10" max="10" width="14.42578125" customWidth="1"/>
    <col min="11" max="12" width="18.42578125" customWidth="1"/>
    <col min="13" max="13" width="32.42578125" customWidth="1"/>
    <col min="14" max="14" width="33.7109375" customWidth="1"/>
    <col min="15" max="15" width="29.140625" style="4" customWidth="1"/>
    <col min="16" max="16" width="29.140625" customWidth="1"/>
    <col min="17" max="17" width="27.28515625" customWidth="1"/>
    <col min="18" max="18" width="24.5703125" customWidth="1"/>
  </cols>
  <sheetData>
    <row r="1" spans="1:19" ht="15.75">
      <c r="A1" s="1" t="s">
        <v>51</v>
      </c>
      <c r="B1" s="1" t="s">
        <v>52</v>
      </c>
      <c r="C1" s="17" t="s">
        <v>53</v>
      </c>
      <c r="D1" s="1" t="s">
        <v>3</v>
      </c>
      <c r="E1" s="1" t="s">
        <v>54</v>
      </c>
      <c r="F1" s="1" t="s">
        <v>55</v>
      </c>
      <c r="G1" s="1" t="s">
        <v>56</v>
      </c>
      <c r="H1" s="1" t="s">
        <v>57</v>
      </c>
      <c r="I1" s="7" t="s">
        <v>58</v>
      </c>
      <c r="J1" s="1" t="s">
        <v>39</v>
      </c>
      <c r="K1" s="1" t="s">
        <v>59</v>
      </c>
      <c r="L1" s="2" t="s">
        <v>2</v>
      </c>
      <c r="M1" s="2" t="s">
        <v>23</v>
      </c>
      <c r="N1" s="2" t="s">
        <v>60</v>
      </c>
      <c r="O1" s="2" t="s">
        <v>14</v>
      </c>
      <c r="P1" s="2" t="s">
        <v>13</v>
      </c>
      <c r="Q1" s="2" t="s">
        <v>61</v>
      </c>
      <c r="R1" s="2" t="s">
        <v>12</v>
      </c>
      <c r="S1" s="2" t="s">
        <v>35</v>
      </c>
    </row>
    <row r="2" spans="1:19">
      <c r="A2" s="3">
        <v>2529534</v>
      </c>
      <c r="B2" t="str">
        <f>VLOOKUP(A2,File!$A:$J,2,FALSE)</f>
        <v>Dharanakumar V</v>
      </c>
      <c r="C2" s="29">
        <f>VLOOKUP(A2,File!$A:$J,5,FALSE)</f>
        <v>46245</v>
      </c>
      <c r="D2" s="29" t="str">
        <f>VLOOKUP(A2,File!$A:$J,3,FALSE)</f>
        <v>Male</v>
      </c>
      <c r="E2" s="29" t="str">
        <f>VLOOKUP(A2,File!$A:$J,4,FALSE)</f>
        <v>FTE</v>
      </c>
      <c r="F2" s="29" t="str">
        <f>VLOOKUP(A2,File!$A:$J,6,FALSE)</f>
        <v>Chennai</v>
      </c>
      <c r="G2" s="29" t="str">
        <f>VLOOKUP(A2,File!$A:$J,7,FALSE)</f>
        <v>CIS26MCPT025</v>
      </c>
      <c r="H2" s="29" t="str">
        <f>VLOOKUP(A2,File!$A:$J,8,FALSE)</f>
        <v>Vignesh S</v>
      </c>
      <c r="I2" s="31">
        <f>VLOOKUP(A2,File!$A:$J,9,FALSE)</f>
        <v>46359</v>
      </c>
      <c r="J2" s="31" t="str">
        <f>VLOOKUP(A2,File!$A:$K,11,FALSE)</f>
        <v>Dec 2026</v>
      </c>
      <c r="K2" s="31" t="str">
        <f>VLOOKUP(A2,File!$A:$K,10,FALSE)</f>
        <v>In-Training</v>
      </c>
      <c r="L2" s="31" t="s">
        <v>5</v>
      </c>
      <c r="M2" t="str">
        <f>VLOOKUP(A2,Response!$A:$M,7,)</f>
        <v>Permanent Residence (House/Home)</v>
      </c>
      <c r="N2" t="str">
        <f>VLOOKUP(A2,Response!$A:$M,8,)</f>
        <v>-</v>
      </c>
      <c r="O2" s="4">
        <f>VLOOKUP(A2,Response!$A:$M,10,)</f>
        <v>1</v>
      </c>
      <c r="P2" t="str">
        <f>VLOOKUP(A2,Response!$A:$M,12,)</f>
        <v>Yes</v>
      </c>
      <c r="Q2" t="str">
        <f>VLOOKUP(A2,Response!$A:$M,11,)</f>
        <v>Karapakkam</v>
      </c>
      <c r="S2" t="s">
        <v>38</v>
      </c>
    </row>
    <row r="3" spans="1:19">
      <c r="A3" s="3">
        <v>2531975</v>
      </c>
      <c r="B3" t="str">
        <f>VLOOKUP(A3,File!$A:$J,2,FALSE)</f>
        <v>Roslin Nihara M</v>
      </c>
      <c r="C3" s="29">
        <f>VLOOKUP(A3,File!$A:$J,5,FALSE)</f>
        <v>46254</v>
      </c>
      <c r="D3" s="29" t="str">
        <f>VLOOKUP(A3,File!$A:$J,3,FALSE)</f>
        <v>Female</v>
      </c>
      <c r="E3" s="29" t="str">
        <f>VLOOKUP(A3,File!$A:$J,4,FALSE)</f>
        <v>FTE</v>
      </c>
      <c r="F3" s="29" t="str">
        <f>VLOOKUP(A3,File!$A:$J,6,FALSE)</f>
        <v>Chennai</v>
      </c>
      <c r="G3" s="29" t="str">
        <f>VLOOKUP(A3,File!$A:$J,7,FALSE)</f>
        <v>EPS26OSP011</v>
      </c>
      <c r="H3" s="29" t="str">
        <f>VLOOKUP(A3,File!$A:$J,8,FALSE)</f>
        <v>Gayathri Ramachandran</v>
      </c>
      <c r="I3" s="31" t="str">
        <f>VLOOKUP(A3,File!$A:$J,9,FALSE)</f>
        <v/>
      </c>
      <c r="J3" s="44" t="s">
        <v>33</v>
      </c>
      <c r="K3" s="31" t="str">
        <f>VLOOKUP(A3,File!$A:$K,10,FALSE)</f>
        <v>Training - ON Hold</v>
      </c>
      <c r="L3" s="31" t="s">
        <v>5</v>
      </c>
      <c r="M3" t="str">
        <f>VLOOKUP(A3,Response!$A:$M,7,)</f>
        <v>Permanent Residence (House/Home)</v>
      </c>
      <c r="N3" t="str">
        <f>VLOOKUP(A3,Response!$A:$M,8,)</f>
        <v xml:space="preserve"> </v>
      </c>
      <c r="O3" s="4" t="str">
        <f>VLOOKUP(A3,Response!$A:$M,10,)</f>
        <v>GF</v>
      </c>
      <c r="P3" t="str">
        <f>VLOOKUP(A3,Response!$A:$M,12,)</f>
        <v>Yes</v>
      </c>
      <c r="Q3" t="str">
        <f>VLOOKUP(A3,Response!$A:$M,11,)</f>
        <v>RAMAPURAM</v>
      </c>
      <c r="S3" t="s">
        <v>38</v>
      </c>
    </row>
    <row r="4" spans="1:19">
      <c r="A4" s="3">
        <v>2530216</v>
      </c>
      <c r="B4" t="str">
        <f>VLOOKUP(A4,File!$A:$J,2,FALSE)</f>
        <v>Lipika C</v>
      </c>
      <c r="C4" s="29">
        <f>VLOOKUP(A4,File!$A:$J,5,FALSE)</f>
        <v>46247</v>
      </c>
      <c r="D4" s="29" t="str">
        <f>VLOOKUP(A4,File!$A:$J,3,FALSE)</f>
        <v>Female</v>
      </c>
      <c r="E4" s="29" t="str">
        <f>VLOOKUP(A4,File!$A:$J,4,FALSE)</f>
        <v>FTE</v>
      </c>
      <c r="F4" s="29" t="str">
        <f>VLOOKUP(A4,File!$A:$J,6,FALSE)</f>
        <v>Chennai</v>
      </c>
      <c r="G4" s="29" t="str">
        <f>VLOOKUP(A4,File!$A:$J,7,FALSE)</f>
        <v>EPS26OSPPRO001</v>
      </c>
      <c r="H4" s="29" t="str">
        <f>VLOOKUP(A4,File!$A:$J,8,FALSE)</f>
        <v>Gayathri Ramachandran</v>
      </c>
      <c r="I4" s="31">
        <f>VLOOKUP(A4,File!$A:$J,9,FALSE)</f>
        <v>46363</v>
      </c>
      <c r="J4" s="31" t="str">
        <f>VLOOKUP(A4,File!$A:$K,11,FALSE)</f>
        <v>Dec 2026</v>
      </c>
      <c r="K4" s="31" t="str">
        <f>VLOOKUP(A4,File!$A:$K,10,FALSE)</f>
        <v>In-Training</v>
      </c>
      <c r="L4" s="31" t="s">
        <v>4</v>
      </c>
      <c r="M4" t="str">
        <f>VLOOKUP(A4,Response!$A:$M,7,)</f>
        <v>PG (Paying Guest)</v>
      </c>
      <c r="N4" t="str">
        <f>VLOOKUP(A4,Response!$A:$M,8,)</f>
        <v xml:space="preserve"> Aura Nest Pg For Ladies  </v>
      </c>
      <c r="O4" s="4">
        <f>VLOOKUP(A4,Response!$A:$M,10,)</f>
        <v>2</v>
      </c>
      <c r="P4" t="str">
        <f>VLOOKUP(A4,Response!$A:$M,12,)</f>
        <v>Yes</v>
      </c>
      <c r="Q4" t="str">
        <f>VLOOKUP(A4,Response!$A:$M,11,)</f>
        <v>Egattur</v>
      </c>
      <c r="R4" t="s">
        <v>19</v>
      </c>
      <c r="S4" s="39" t="s">
        <v>37</v>
      </c>
    </row>
    <row r="5" spans="1:19">
      <c r="A5" s="3">
        <v>2521623</v>
      </c>
      <c r="B5" t="str">
        <f>VLOOKUP(A5,File!$A:$J,2,FALSE)</f>
        <v>Sana Sumera</v>
      </c>
      <c r="C5" s="29">
        <f>VLOOKUP(A5,File!$A:$J,5,FALSE)</f>
        <v>46212</v>
      </c>
      <c r="D5" s="29" t="str">
        <f>VLOOKUP(A5,File!$A:$J,3,FALSE)</f>
        <v>Female</v>
      </c>
      <c r="E5" s="29" t="str">
        <f>VLOOKUP(A5,File!$A:$J,4,FALSE)</f>
        <v>FTE</v>
      </c>
      <c r="F5" s="29" t="str">
        <f>VLOOKUP(A5,File!$A:$J,6,FALSE)</f>
        <v>Chennai</v>
      </c>
      <c r="G5" s="29" t="str">
        <f>VLOOKUP(A5,File!$A:$J,7,FALSE)</f>
        <v>QEA26QEPT023</v>
      </c>
      <c r="H5" s="29" t="str">
        <f>VLOOKUP(A5,File!$A:$J,8,FALSE)</f>
        <v>Sweta Thoppil</v>
      </c>
      <c r="I5" s="31">
        <f>VLOOKUP(A5,File!$A:$J,9,FALSE)</f>
        <v>46314</v>
      </c>
      <c r="J5" s="31" t="str">
        <f>VLOOKUP(A5,File!$A:$K,11,FALSE)</f>
        <v>Oct 2026</v>
      </c>
      <c r="K5" s="31" t="str">
        <f>VLOOKUP(A5,File!$A:$K,10,FALSE)</f>
        <v>In-Training</v>
      </c>
      <c r="L5" s="31" t="s">
        <v>4</v>
      </c>
      <c r="M5" t="str">
        <f>VLOOKUP(A5,Response!$A:$M,7,)</f>
        <v>Hostel</v>
      </c>
      <c r="N5" t="str">
        <f>VLOOKUP(A5,Response!$A:$M,8,)</f>
        <v xml:space="preserve"> Aura Nest Pg For Ladies  </v>
      </c>
      <c r="O5" s="4">
        <f>VLOOKUP(A5,Response!$A:$M,10,)</f>
        <v>2</v>
      </c>
      <c r="P5" t="str">
        <f>VLOOKUP(A5,Response!$A:$M,12,)</f>
        <v>No</v>
      </c>
      <c r="Q5" t="str">
        <f>VLOOKUP(A5,Response!$A:$M,11,)</f>
        <v>Egattur</v>
      </c>
      <c r="R5" t="s">
        <v>19</v>
      </c>
      <c r="S5" s="39" t="s">
        <v>37</v>
      </c>
    </row>
    <row r="6" spans="1:19">
      <c r="A6" s="3">
        <v>2521079</v>
      </c>
      <c r="B6" t="str">
        <f>VLOOKUP(A6,File!$A:$J,2,FALSE)</f>
        <v>Nalamothu Rishith</v>
      </c>
      <c r="C6" s="29">
        <f>VLOOKUP(A6,File!$A:$J,5,FALSE)</f>
        <v>46210</v>
      </c>
      <c r="D6" s="29" t="str">
        <f>VLOOKUP(A6,File!$A:$J,3,FALSE)</f>
        <v>Male</v>
      </c>
      <c r="E6" s="29" t="str">
        <f>VLOOKUP(A6,File!$A:$J,4,FALSE)</f>
        <v>FTE</v>
      </c>
      <c r="F6" s="29" t="str">
        <f>VLOOKUP(A6,File!$A:$J,6,FALSE)</f>
        <v>Chennai</v>
      </c>
      <c r="G6" s="29" t="str">
        <f>VLOOKUP(A6,File!$A:$J,7,FALSE)</f>
        <v>CIS26SN001</v>
      </c>
      <c r="H6" s="29" t="str">
        <f>VLOOKUP(A6,File!$A:$J,8,FALSE)</f>
        <v>Ashiya Begam S</v>
      </c>
      <c r="I6" s="31">
        <f>VLOOKUP(A6,File!$A:$J,9,FALSE)</f>
        <v>46281</v>
      </c>
      <c r="J6" s="31" t="str">
        <f>VLOOKUP(A6,File!$A:$K,11,FALSE)</f>
        <v>Sep 2026</v>
      </c>
      <c r="K6" s="31" t="str">
        <f>VLOOKUP(A6,File!$A:$K,10,FALSE)</f>
        <v>In-Training</v>
      </c>
      <c r="L6" s="31" t="s">
        <v>4</v>
      </c>
      <c r="M6" t="str">
        <f>VLOOKUP(A6,Response!$A:$M,7,)</f>
        <v>PG (Paying Guest)</v>
      </c>
      <c r="N6" t="str">
        <f>VLOOKUP(A6,Response!$A:$M,8,)</f>
        <v xml:space="preserve"> CNR GENTS PG BRANCH-1</v>
      </c>
      <c r="O6" s="4">
        <f>VLOOKUP(A6,Response!$A:$M,10,)</f>
        <v>3</v>
      </c>
      <c r="P6" t="str">
        <f>VLOOKUP(A6,Response!$A:$M,12,)</f>
        <v>No</v>
      </c>
      <c r="Q6" t="str">
        <f>VLOOKUP(A6,Response!$A:$M,11,)</f>
        <v>Siruseri</v>
      </c>
      <c r="R6" t="s">
        <v>19</v>
      </c>
      <c r="S6" s="39" t="s">
        <v>37</v>
      </c>
    </row>
    <row r="7" spans="1:19">
      <c r="A7" s="3">
        <v>2507506</v>
      </c>
      <c r="B7" t="str">
        <f>VLOOKUP(A7,File!$A:$J,2,FALSE)</f>
        <v>Rudra Naga Gani Varalakshmi Harika</v>
      </c>
      <c r="C7" s="29">
        <f>VLOOKUP(A7,File!$A:$J,5,FALSE)</f>
        <v>46142</v>
      </c>
      <c r="D7" s="29" t="str">
        <f>VLOOKUP(A7,File!$A:$J,3,FALSE)</f>
        <v>Female</v>
      </c>
      <c r="E7" s="29" t="str">
        <f>VLOOKUP(A7,File!$A:$J,4,FALSE)</f>
        <v>FTE</v>
      </c>
      <c r="F7" s="29" t="str">
        <f>VLOOKUP(A7,File!$A:$J,6,FALSE)</f>
        <v>Chennai</v>
      </c>
      <c r="G7" s="29" t="str">
        <f>VLOOKUP(A7,File!$A:$J,7,FALSE)</f>
        <v>ADM26MF009</v>
      </c>
      <c r="H7" s="29" t="str">
        <f>VLOOKUP(A7,File!$A:$J,8,FALSE)</f>
        <v>Nithyakalyani Muthukumar</v>
      </c>
      <c r="I7" s="31">
        <f>VLOOKUP(A7,File!$A:$J,9,FALSE)</f>
        <v>46274</v>
      </c>
      <c r="J7" s="31" t="str">
        <f>VLOOKUP(A7,File!$A:$K,11,FALSE)</f>
        <v>Sep 2026</v>
      </c>
      <c r="K7" s="31" t="str">
        <f>VLOOKUP(A7,File!$A:$K,10,FALSE)</f>
        <v>In-Training-Remedial</v>
      </c>
      <c r="L7" s="31" t="s">
        <v>4</v>
      </c>
      <c r="M7" t="str">
        <f>VLOOKUP(A7,Response!$A:$M,7,)</f>
        <v>PG (Paying Guest)</v>
      </c>
      <c r="N7" t="str">
        <f>VLOOKUP(A7,Response!$A:$M,8,)</f>
        <v xml:space="preserve"> Dheekshith Ladies Pg.</v>
      </c>
      <c r="O7" s="4">
        <f>VLOOKUP(A7,Response!$A:$M,10,)</f>
        <v>2</v>
      </c>
      <c r="P7" t="str">
        <f>VLOOKUP(A7,Response!$A:$M,12,)</f>
        <v>No</v>
      </c>
      <c r="Q7" t="str">
        <f>VLOOKUP(A7,Response!$A:$M,11,)</f>
        <v>Egattur</v>
      </c>
      <c r="R7" t="s">
        <v>19</v>
      </c>
      <c r="S7" s="39" t="s">
        <v>37</v>
      </c>
    </row>
    <row r="8" spans="1:19">
      <c r="A8" s="3">
        <v>2485951</v>
      </c>
      <c r="B8" t="str">
        <f>VLOOKUP(A8,File!$A:$J,2,FALSE)</f>
        <v>Chaitanya,Prakash Ghatbandhe</v>
      </c>
      <c r="C8" s="29">
        <f>VLOOKUP(A8,File!$A:$J,5,FALSE)</f>
        <v>46072</v>
      </c>
      <c r="D8" s="29" t="str">
        <f>VLOOKUP(A8,File!$A:$J,3,FALSE)</f>
        <v>Male</v>
      </c>
      <c r="E8" s="29" t="str">
        <f>VLOOKUP(A8,File!$A:$J,4,FALSE)</f>
        <v>FTE</v>
      </c>
      <c r="F8" s="29" t="str">
        <f>VLOOKUP(A8,File!$A:$J,6,FALSE)</f>
        <v>Chennai</v>
      </c>
      <c r="G8" s="29" t="str">
        <f>VLOOKUP(A8,File!$A:$J,7,FALSE)</f>
        <v>QEA26QEPT023</v>
      </c>
      <c r="H8" s="29" t="str">
        <f>VLOOKUP(A8,File!$A:$J,8,FALSE)</f>
        <v>Sweta Thoppil</v>
      </c>
      <c r="I8" s="31">
        <f>VLOOKUP(A8,File!$A:$J,9,FALSE)</f>
        <v>46314</v>
      </c>
      <c r="J8" s="31" t="str">
        <f>VLOOKUP(A8,File!$A:$K,11,FALSE)</f>
        <v>Oct 2026</v>
      </c>
      <c r="K8" s="31" t="str">
        <f>VLOOKUP(A8,File!$A:$K,10,FALSE)</f>
        <v>In-Training</v>
      </c>
      <c r="L8" s="31" t="s">
        <v>4</v>
      </c>
      <c r="M8" t="str">
        <f>VLOOKUP(A8,Response!$A:$M,7,)</f>
        <v>PG (Paying Guest)</v>
      </c>
      <c r="N8" t="str">
        <f>VLOOKUP(A8,Response!$A:$M,8,)</f>
        <v xml:space="preserve"> Pasanga Paradise PG - Branch 1, Egattur</v>
      </c>
      <c r="O8" s="4">
        <f>VLOOKUP(A8,Response!$A:$M,10,)</f>
        <v>4</v>
      </c>
      <c r="P8" t="str">
        <f>VLOOKUP(A8,Response!$A:$M,12,)</f>
        <v>No</v>
      </c>
      <c r="Q8" t="str">
        <f>VLOOKUP(A8,Response!$A:$M,11,)</f>
        <v>Egattur</v>
      </c>
      <c r="R8" t="s">
        <v>19</v>
      </c>
      <c r="S8" s="39" t="s">
        <v>37</v>
      </c>
    </row>
    <row r="9" spans="1:19">
      <c r="A9" s="3">
        <v>2521631</v>
      </c>
      <c r="B9" t="str">
        <f>VLOOKUP(A9,File!$A:$J,2,FALSE)</f>
        <v>B Likith Vardhan Reddy</v>
      </c>
      <c r="C9" s="29">
        <f>VLOOKUP(A9,File!$A:$J,5,FALSE)</f>
        <v>46212</v>
      </c>
      <c r="D9" s="29" t="str">
        <f>VLOOKUP(A9,File!$A:$J,3,FALSE)</f>
        <v>Male</v>
      </c>
      <c r="E9" s="29" t="str">
        <f>VLOOKUP(A9,File!$A:$J,4,FALSE)</f>
        <v>FTE</v>
      </c>
      <c r="F9" s="29" t="str">
        <f>VLOOKUP(A9,File!$A:$J,6,FALSE)</f>
        <v>Chennai</v>
      </c>
      <c r="G9" s="29" t="str">
        <f>VLOOKUP(A9,File!$A:$J,7,FALSE)</f>
        <v>QEA26QEPT023</v>
      </c>
      <c r="H9" s="29" t="str">
        <f>VLOOKUP(A9,File!$A:$J,8,FALSE)</f>
        <v>Sweta Thoppil</v>
      </c>
      <c r="I9" s="31">
        <f>VLOOKUP(A9,File!$A:$J,9,FALSE)</f>
        <v>46314</v>
      </c>
      <c r="J9" s="31" t="str">
        <f>VLOOKUP(A9,File!$A:$K,11,FALSE)</f>
        <v>Oct 2026</v>
      </c>
      <c r="K9" s="31" t="str">
        <f>VLOOKUP(A9,File!$A:$K,10,FALSE)</f>
        <v>In-Training</v>
      </c>
      <c r="L9" s="31" t="s">
        <v>4</v>
      </c>
      <c r="M9" t="str">
        <f>VLOOKUP(A9,Response!$A:$M,7,)</f>
        <v>PG (Paying Guest)</v>
      </c>
      <c r="N9" t="str">
        <f>VLOOKUP(A9,Response!$A:$M,8,)</f>
        <v xml:space="preserve"> S S Gents Pg </v>
      </c>
      <c r="O9" s="4">
        <f>VLOOKUP(A9,Response!$A:$M,10,)</f>
        <v>4</v>
      </c>
      <c r="P9" t="str">
        <f>VLOOKUP(A9,Response!$A:$M,12,)</f>
        <v>No</v>
      </c>
      <c r="Q9" t="str">
        <f>VLOOKUP(A9,Response!$A:$M,11,)</f>
        <v>Siruseri</v>
      </c>
      <c r="R9" t="s">
        <v>19</v>
      </c>
      <c r="S9" s="39" t="s">
        <v>37</v>
      </c>
    </row>
    <row r="10" spans="1:19">
      <c r="A10" s="3">
        <v>2523372</v>
      </c>
      <c r="B10" t="str">
        <f>VLOOKUP(A10,File!$A:$J,2,FALSE)</f>
        <v>Aditya Prabhakar Deshmukh</v>
      </c>
      <c r="C10" s="29">
        <f>VLOOKUP(A10,File!$A:$J,5,FALSE)</f>
        <v>46219</v>
      </c>
      <c r="D10" s="29" t="str">
        <f>VLOOKUP(A10,File!$A:$J,3,FALSE)</f>
        <v>Male</v>
      </c>
      <c r="E10" s="29" t="str">
        <f>VLOOKUP(A10,File!$A:$J,4,FALSE)</f>
        <v>FTE</v>
      </c>
      <c r="F10" s="29" t="str">
        <f>VLOOKUP(A10,File!$A:$J,6,FALSE)</f>
        <v>Chennai</v>
      </c>
      <c r="G10" s="29" t="str">
        <f>VLOOKUP(A10,File!$A:$J,7,FALSE)</f>
        <v>CS26CS009</v>
      </c>
      <c r="H10" s="29" t="str">
        <f>VLOOKUP(A10,File!$A:$J,8,FALSE)</f>
        <v>Laksiya Vijayendran</v>
      </c>
      <c r="I10" s="31">
        <f>VLOOKUP(A10,File!$A:$J,9,FALSE)</f>
        <v>46309</v>
      </c>
      <c r="J10" s="31" t="str">
        <f>VLOOKUP(A10,File!$A:$K,11,FALSE)</f>
        <v>Oct 2026</v>
      </c>
      <c r="K10" s="31" t="str">
        <f>VLOOKUP(A10,File!$A:$K,10,FALSE)</f>
        <v>In-Training</v>
      </c>
      <c r="L10" s="31" t="s">
        <v>4</v>
      </c>
      <c r="M10" t="str">
        <f>VLOOKUP(A10,Response!$A:$M,7,)</f>
        <v>PG (Paying Guest)</v>
      </c>
      <c r="N10" t="str">
        <f>VLOOKUP(A10,Response!$A:$M,8,)</f>
        <v xml:space="preserve"> Soma Mens Stay</v>
      </c>
      <c r="O10" s="4" t="str">
        <f>VLOOKUP(A10,Response!$A:$M,10,)</f>
        <v>GF</v>
      </c>
      <c r="P10" t="str">
        <f>VLOOKUP(A10,Response!$A:$M,12,)</f>
        <v>Yes</v>
      </c>
      <c r="Q10" t="str">
        <f>VLOOKUP(A10,Response!$A:$M,11,)</f>
        <v>Siruseri</v>
      </c>
      <c r="R10" t="s">
        <v>19</v>
      </c>
      <c r="S10" s="39" t="s">
        <v>37</v>
      </c>
    </row>
    <row r="11" spans="1:19">
      <c r="A11" s="3">
        <v>2533210</v>
      </c>
      <c r="B11" t="str">
        <f>VLOOKUP(A11,File!$A:$J,2,FALSE)</f>
        <v>Varsha Kodadi</v>
      </c>
      <c r="C11" s="29">
        <f>VLOOKUP(A11,File!$A:$J,5,FALSE)</f>
        <v>46259</v>
      </c>
      <c r="D11" s="29" t="str">
        <f>VLOOKUP(A11,File!$A:$J,3,FALSE)</f>
        <v>Female</v>
      </c>
      <c r="E11" s="29" t="str">
        <f>VLOOKUP(A11,File!$A:$J,4,FALSE)</f>
        <v>FTE</v>
      </c>
      <c r="F11" s="29" t="str">
        <f>VLOOKUP(A11,File!$A:$J,6,FALSE)</f>
        <v>Chennai</v>
      </c>
      <c r="G11" s="29" t="str">
        <f>VLOOKUP(A11,File!$A:$J,7,FALSE)</f>
        <v>CIS26AT007</v>
      </c>
      <c r="H11" s="29" t="str">
        <f>VLOOKUP(A11,File!$A:$J,8,FALSE)</f>
        <v>Uma Venkatachalam</v>
      </c>
      <c r="I11" s="31">
        <f>VLOOKUP(A11,File!$A:$J,9,FALSE)</f>
        <v>46365</v>
      </c>
      <c r="J11" s="31" t="str">
        <f>VLOOKUP(A11,File!$A:$K,11,FALSE)</f>
        <v>Dec 2026</v>
      </c>
      <c r="K11" s="31" t="str">
        <f>VLOOKUP(A11,File!$A:$K,10,FALSE)</f>
        <v>In-Training</v>
      </c>
      <c r="L11" s="31" t="s">
        <v>4</v>
      </c>
      <c r="M11" t="str">
        <f>VLOOKUP(A11,Response!$A:$M,7,)</f>
        <v>PG (Paying Guest)</v>
      </c>
      <c r="N11" t="str">
        <f>VLOOKUP(A11,Response!$A:$M,8,)</f>
        <v xml:space="preserve"> UniQ PG</v>
      </c>
      <c r="O11" s="4">
        <f>VLOOKUP(A11,Response!$A:$M,10,)</f>
        <v>2</v>
      </c>
      <c r="P11" t="str">
        <f>VLOOKUP(A11,Response!$A:$M,12,)</f>
        <v>No</v>
      </c>
      <c r="Q11" t="str">
        <f>VLOOKUP(A11,Response!$A:$M,11,)</f>
        <v>Egattur</v>
      </c>
      <c r="R11" t="s">
        <v>19</v>
      </c>
      <c r="S11" s="39" t="s">
        <v>37</v>
      </c>
    </row>
    <row r="12" spans="1:19">
      <c r="A12" s="3">
        <v>2531306</v>
      </c>
      <c r="B12" t="str">
        <f>VLOOKUP(A12,File!$A:$J,2,FALSE)</f>
        <v>Nishanthi K</v>
      </c>
      <c r="C12" s="29">
        <f>VLOOKUP(A12,File!$A:$J,5,FALSE)</f>
        <v>46252</v>
      </c>
      <c r="D12" s="29" t="str">
        <f>VLOOKUP(A12,File!$A:$J,3,FALSE)</f>
        <v>Female</v>
      </c>
      <c r="E12" s="29" t="str">
        <f>VLOOKUP(A12,File!$A:$J,4,FALSE)</f>
        <v>FTE</v>
      </c>
      <c r="F12" s="29" t="str">
        <f>VLOOKUP(A12,File!$A:$J,6,FALSE)</f>
        <v>Chennai</v>
      </c>
      <c r="G12" s="29" t="str">
        <f>VLOOKUP(A12,File!$A:$J,7,FALSE)</f>
        <v>CIS26DWP030</v>
      </c>
      <c r="H12" s="29" t="str">
        <f>VLOOKUP(A12,File!$A:$J,8,FALSE)</f>
        <v>Prokriti Biswas</v>
      </c>
      <c r="I12" s="31">
        <f>VLOOKUP(A12,File!$A:$J,9,FALSE)</f>
        <v>46324</v>
      </c>
      <c r="J12" s="31" t="str">
        <f>VLOOKUP(A12,File!$A:$K,11,FALSE)</f>
        <v>Oct 2026</v>
      </c>
      <c r="K12" s="31" t="str">
        <f>VLOOKUP(A12,File!$A:$K,10,FALSE)</f>
        <v>In-Training</v>
      </c>
      <c r="L12" s="31" t="s">
        <v>5</v>
      </c>
      <c r="M12" t="str">
        <f>VLOOKUP(A12,Response!$A:$M,7,)</f>
        <v>Permanent Residence (House/Home)</v>
      </c>
      <c r="N12" t="str">
        <f>VLOOKUP(A12,Response!$A:$M,8,)</f>
        <v>"X" Block</v>
      </c>
      <c r="O12" s="4">
        <f>VLOOKUP(A12,Response!$A:$M,10,)</f>
        <v>1</v>
      </c>
      <c r="P12" t="str">
        <f>VLOOKUP(A12,Response!$A:$M,12,)</f>
        <v>Yes</v>
      </c>
      <c r="Q12" t="str">
        <f>VLOOKUP(A12,Response!$A:$M,11,)</f>
        <v xml:space="preserve">Ashok Piller </v>
      </c>
      <c r="S12" t="s">
        <v>38</v>
      </c>
    </row>
    <row r="13" spans="1:19">
      <c r="A13" s="3">
        <v>2521700</v>
      </c>
      <c r="B13" t="str">
        <f>VLOOKUP(A13,File!$A:$J,2,FALSE)</f>
        <v>Megha Roy</v>
      </c>
      <c r="C13" s="29">
        <f>VLOOKUP(A13,File!$A:$J,5,FALSE)</f>
        <v>46212</v>
      </c>
      <c r="D13" s="29" t="str">
        <f>VLOOKUP(A13,File!$A:$J,3,FALSE)</f>
        <v>Female</v>
      </c>
      <c r="E13" s="29" t="str">
        <f>VLOOKUP(A13,File!$A:$J,4,FALSE)</f>
        <v>FTE</v>
      </c>
      <c r="F13" s="29" t="str">
        <f>VLOOKUP(A13,File!$A:$J,6,FALSE)</f>
        <v>Chennai</v>
      </c>
      <c r="G13" s="29" t="str">
        <f>VLOOKUP(A13,File!$A:$J,7,FALSE)</f>
        <v>QEA26QEPT023</v>
      </c>
      <c r="H13" s="29" t="str">
        <f>VLOOKUP(A13,File!$A:$J,8,FALSE)</f>
        <v>Sweta Thoppil</v>
      </c>
      <c r="I13" s="31">
        <f>VLOOKUP(A13,File!$A:$J,9,FALSE)</f>
        <v>46314</v>
      </c>
      <c r="J13" s="31" t="str">
        <f>VLOOKUP(A13,File!$A:$K,11,FALSE)</f>
        <v>Oct 2026</v>
      </c>
      <c r="K13" s="31" t="str">
        <f>VLOOKUP(A13,File!$A:$K,10,FALSE)</f>
        <v>In-Training</v>
      </c>
      <c r="L13" s="31" t="s">
        <v>4</v>
      </c>
      <c r="M13" t="str">
        <f>VLOOKUP(A13,Response!$A:$M,7,)</f>
        <v>PG (Paying Guest)</v>
      </c>
      <c r="N13" t="str">
        <f>VLOOKUP(A13,Response!$A:$M,8,)</f>
        <v xml:space="preserve"> Sns Pg For Ladies </v>
      </c>
      <c r="O13" s="4">
        <f>VLOOKUP(A13,Response!$A:$M,10,)</f>
        <v>3</v>
      </c>
      <c r="P13" t="str">
        <f>VLOOKUP(A13,Response!$A:$M,12,)</f>
        <v>No</v>
      </c>
      <c r="Q13" t="str">
        <f>VLOOKUP(A13,Response!$A:$M,11,)</f>
        <v>Egattur</v>
      </c>
      <c r="R13" t="s">
        <v>19</v>
      </c>
      <c r="S13" s="39" t="s">
        <v>37</v>
      </c>
    </row>
    <row r="14" spans="1:19">
      <c r="A14" s="3">
        <v>2521297</v>
      </c>
      <c r="B14" t="str">
        <f>VLOOKUP(A14,File!$A:$J,2,FALSE)</f>
        <v>Buela Sindhu Thirumalasetty</v>
      </c>
      <c r="C14" s="29">
        <f>VLOOKUP(A14,File!$A:$J,5,FALSE)</f>
        <v>46210</v>
      </c>
      <c r="D14" s="29" t="str">
        <f>VLOOKUP(A14,File!$A:$J,3,FALSE)</f>
        <v>Female</v>
      </c>
      <c r="E14" s="29" t="str">
        <f>VLOOKUP(A14,File!$A:$J,4,FALSE)</f>
        <v>FTE</v>
      </c>
      <c r="F14" s="29" t="str">
        <f>VLOOKUP(A14,File!$A:$J,6,FALSE)</f>
        <v>Chennai</v>
      </c>
      <c r="G14" s="29" t="str">
        <f>VLOOKUP(A14,File!$A:$J,7,FALSE)</f>
        <v>SNBG26SN002</v>
      </c>
      <c r="H14" s="29" t="str">
        <f>VLOOKUP(A14,File!$A:$J,8,FALSE)</f>
        <v>Lawrance M</v>
      </c>
      <c r="I14" s="31">
        <f>VLOOKUP(A14,File!$A:$J,9,FALSE)</f>
        <v>46281</v>
      </c>
      <c r="J14" s="31" t="str">
        <f>VLOOKUP(A14,File!$A:$K,11,FALSE)</f>
        <v>Sep 2026</v>
      </c>
      <c r="K14" s="31" t="str">
        <f>VLOOKUP(A14,File!$A:$K,10,FALSE)</f>
        <v>In-Training</v>
      </c>
      <c r="L14" s="31" t="s">
        <v>4</v>
      </c>
      <c r="M14" t="str">
        <f>VLOOKUP(A14,Response!$A:$M,7,)</f>
        <v>PG (Paying Guest)</v>
      </c>
      <c r="N14" t="str">
        <f>VLOOKUP(A14,Response!$A:$M,8,)</f>
        <v>1/210a, Dr Ambedkar St, Egattur, Chennai, Tamil Nadu 600130</v>
      </c>
      <c r="O14" s="4">
        <f>VLOOKUP(A14,Response!$A:$M,10,)</f>
        <v>3</v>
      </c>
      <c r="P14" t="str">
        <f>VLOOKUP(A14,Response!$A:$M,12,)</f>
        <v>No</v>
      </c>
      <c r="Q14" t="str">
        <f>VLOOKUP(A14,Response!$A:$M,11,)</f>
        <v>Egattur</v>
      </c>
      <c r="R14" t="s">
        <v>19</v>
      </c>
      <c r="S14" s="39" t="s">
        <v>37</v>
      </c>
    </row>
    <row r="15" spans="1:19">
      <c r="A15" s="3">
        <v>2523419</v>
      </c>
      <c r="B15" t="str">
        <f>VLOOKUP(A15,File!$A:$J,2,FALSE)</f>
        <v>Uzma Jabeen Syed Raza Ali</v>
      </c>
      <c r="C15" s="29">
        <f>VLOOKUP(A15,File!$A:$J,5,FALSE)</f>
        <v>46219</v>
      </c>
      <c r="D15" s="29" t="str">
        <f>VLOOKUP(A15,File!$A:$J,3,FALSE)</f>
        <v>Female</v>
      </c>
      <c r="E15" s="29" t="str">
        <f>VLOOKUP(A15,File!$A:$J,4,FALSE)</f>
        <v>FTE</v>
      </c>
      <c r="F15" s="29" t="str">
        <f>VLOOKUP(A15,File!$A:$J,6,FALSE)</f>
        <v>Chennai</v>
      </c>
      <c r="G15" s="29" t="str">
        <f>VLOOKUP(A15,File!$A:$J,7,FALSE)</f>
        <v>PG26JFR004</v>
      </c>
      <c r="H15" s="29" t="str">
        <f>VLOOKUP(A15,File!$A:$J,8,FALSE)</f>
        <v>Thomas Naveen. J</v>
      </c>
      <c r="I15" s="31">
        <f>VLOOKUP(A15,File!$A:$J,9,FALSE)</f>
        <v>46342</v>
      </c>
      <c r="J15" s="31" t="str">
        <f>VLOOKUP(A15,File!$A:$K,11,FALSE)</f>
        <v>Nov 2026</v>
      </c>
      <c r="K15" s="31" t="str">
        <f>VLOOKUP(A15,File!$A:$K,10,FALSE)</f>
        <v>In-Training</v>
      </c>
      <c r="L15" s="31" t="s">
        <v>4</v>
      </c>
      <c r="M15" t="str">
        <f>VLOOKUP(A15,Response!$A:$M,7,)</f>
        <v>PG (Paying Guest)</v>
      </c>
      <c r="N15" t="str">
        <f>VLOOKUP(A15,Response!$A:$M,8,)</f>
        <v>1/210a, SRS Luxury PG for Ladies Branch 2, Dr. Ambedkar Street, Egattur</v>
      </c>
      <c r="O15" s="4">
        <f>VLOOKUP(A15,Response!$A:$M,10,)</f>
        <v>2</v>
      </c>
      <c r="P15" t="str">
        <f>VLOOKUP(A15,Response!$A:$M,12,)</f>
        <v>No</v>
      </c>
      <c r="Q15" t="str">
        <f>VLOOKUP(A15,Response!$A:$M,11,)</f>
        <v>Egattur</v>
      </c>
      <c r="R15" t="s">
        <v>19</v>
      </c>
      <c r="S15" s="39" t="s">
        <v>37</v>
      </c>
    </row>
    <row r="16" spans="1:19">
      <c r="A16" s="3">
        <v>2523379</v>
      </c>
      <c r="B16" t="str">
        <f>VLOOKUP(A16,File!$A:$J,2,FALSE)</f>
        <v>Abilash A</v>
      </c>
      <c r="C16" s="29">
        <f>VLOOKUP(A16,File!$A:$J,5,FALSE)</f>
        <v>46219</v>
      </c>
      <c r="D16" s="29" t="str">
        <f>VLOOKUP(A16,File!$A:$J,3,FALSE)</f>
        <v>Male</v>
      </c>
      <c r="E16" s="29" t="str">
        <f>VLOOKUP(A16,File!$A:$J,4,FALSE)</f>
        <v>FTE</v>
      </c>
      <c r="F16" s="29" t="str">
        <f>VLOOKUP(A16,File!$A:$J,6,FALSE)</f>
        <v>Chennai</v>
      </c>
      <c r="G16" s="29" t="str">
        <f>VLOOKUP(A16,File!$A:$J,7,FALSE)</f>
        <v>PG26JFR004</v>
      </c>
      <c r="H16" s="29" t="str">
        <f>VLOOKUP(A16,File!$A:$J,8,FALSE)</f>
        <v>Thomas Naveen. J</v>
      </c>
      <c r="I16" s="31">
        <f>VLOOKUP(A16,File!$A:$J,9,FALSE)</f>
        <v>46342</v>
      </c>
      <c r="J16" s="31" t="str">
        <f>VLOOKUP(A16,File!$A:$K,11,FALSE)</f>
        <v>Nov 2026</v>
      </c>
      <c r="K16" s="31" t="str">
        <f>VLOOKUP(A16,File!$A:$K,10,FALSE)</f>
        <v>In-Training</v>
      </c>
      <c r="L16" s="31" t="s">
        <v>5</v>
      </c>
      <c r="M16" t="str">
        <f>VLOOKUP(A16,Response!$A:$M,7,)</f>
        <v>Rented House/Apartment</v>
      </c>
      <c r="N16" t="str">
        <f>VLOOKUP(A16,Response!$A:$M,8,)</f>
        <v>1/749, Maruthi Nagar, Perungudi, Chennai 600096</v>
      </c>
      <c r="O16" s="4">
        <f>VLOOKUP(A16,Response!$A:$M,10,)</f>
        <v>1</v>
      </c>
      <c r="P16" t="str">
        <f>VLOOKUP(A16,Response!$A:$M,12,)</f>
        <v>Yes</v>
      </c>
      <c r="Q16" t="str">
        <f>VLOOKUP(A16,Response!$A:$M,11,)</f>
        <v>Thoraipakkam</v>
      </c>
      <c r="R16" t="s">
        <v>17</v>
      </c>
      <c r="S16" t="s">
        <v>38</v>
      </c>
    </row>
    <row r="17" spans="1:19">
      <c r="A17" s="3">
        <v>2521836</v>
      </c>
      <c r="B17" t="str">
        <f>VLOOKUP(A17,File!$A:$J,2,FALSE)</f>
        <v>Karan Saxena</v>
      </c>
      <c r="C17" s="29">
        <f>VLOOKUP(A17,File!$A:$J,5,FALSE)</f>
        <v>46212</v>
      </c>
      <c r="D17" s="29" t="str">
        <f>VLOOKUP(A17,File!$A:$J,3,FALSE)</f>
        <v>Male</v>
      </c>
      <c r="E17" s="29" t="str">
        <f>VLOOKUP(A17,File!$A:$J,4,FALSE)</f>
        <v>FTE</v>
      </c>
      <c r="F17" s="29" t="str">
        <f>VLOOKUP(A17,File!$A:$J,6,FALSE)</f>
        <v>Chennai</v>
      </c>
      <c r="G17" s="29" t="str">
        <f>VLOOKUP(A17,File!$A:$J,7,FALSE)</f>
        <v>QEA26SD001</v>
      </c>
      <c r="H17" s="29" t="str">
        <f>VLOOKUP(A17,File!$A:$J,8,FALSE)</f>
        <v>Ajiesya D P</v>
      </c>
      <c r="I17" s="31">
        <f>VLOOKUP(A17,File!$A:$J,9,FALSE)</f>
        <v>46329</v>
      </c>
      <c r="J17" s="31" t="str">
        <f>VLOOKUP(A17,File!$A:$K,11,FALSE)</f>
        <v>Nov 2026</v>
      </c>
      <c r="K17" s="31" t="str">
        <f>VLOOKUP(A17,File!$A:$K,10,FALSE)</f>
        <v>In-Training</v>
      </c>
      <c r="L17" s="31" t="s">
        <v>5</v>
      </c>
      <c r="M17" t="str">
        <f>VLOOKUP(A17,Response!$A:$M,7,)</f>
        <v>Relatives Residence</v>
      </c>
      <c r="N17" t="str">
        <f>VLOOKUP(A17,Response!$A:$M,8,)</f>
        <v>102B Greenwood, Hiranandani, Egattur</v>
      </c>
      <c r="O17" s="4">
        <f>VLOOKUP(A17,Response!$A:$M,10,)</f>
        <v>1</v>
      </c>
      <c r="P17" t="str">
        <f>VLOOKUP(A17,Response!$A:$M,12,)</f>
        <v>Yes</v>
      </c>
      <c r="Q17" t="str">
        <f>VLOOKUP(A17,Response!$A:$M,11,)</f>
        <v>Egattur</v>
      </c>
      <c r="R17" t="s">
        <v>19</v>
      </c>
      <c r="S17" t="s">
        <v>38</v>
      </c>
    </row>
    <row r="18" spans="1:19">
      <c r="A18" s="3">
        <v>2532952</v>
      </c>
      <c r="B18" t="str">
        <f>VLOOKUP(A18,File!$A:$J,2,FALSE)</f>
        <v>Manendra Mallakuppam</v>
      </c>
      <c r="C18" s="29">
        <f>VLOOKUP(A18,File!$A:$J,5,FALSE)</f>
        <v>46259</v>
      </c>
      <c r="D18" s="29" t="str">
        <f>VLOOKUP(A18,File!$A:$J,3,FALSE)</f>
        <v>Male</v>
      </c>
      <c r="E18" s="29" t="str">
        <f>VLOOKUP(A18,File!$A:$J,4,FALSE)</f>
        <v>FTE</v>
      </c>
      <c r="F18" s="29" t="str">
        <f>VLOOKUP(A18,File!$A:$J,6,FALSE)</f>
        <v>Chennai</v>
      </c>
      <c r="G18" s="29" t="str">
        <f>VLOOKUP(A18,File!$A:$J,7,FALSE)</f>
        <v>CIS26MBG004</v>
      </c>
      <c r="H18" s="29" t="str">
        <f>VLOOKUP(A18,File!$A:$J,8,FALSE)</f>
        <v>Kishorekumar P</v>
      </c>
      <c r="I18" s="31">
        <f>VLOOKUP(A18,File!$A:$J,9,FALSE)</f>
        <v>46367</v>
      </c>
      <c r="J18" s="31" t="str">
        <f>VLOOKUP(A18,File!$A:$K,11,FALSE)</f>
        <v>Dec 2026</v>
      </c>
      <c r="K18" s="31" t="str">
        <f>VLOOKUP(A18,File!$A:$K,10,FALSE)</f>
        <v>In-Training</v>
      </c>
      <c r="L18" s="31" t="s">
        <v>4</v>
      </c>
      <c r="M18" t="str">
        <f>VLOOKUP(A18,Response!$A:$M,7,)</f>
        <v>PG (Paying Guest)</v>
      </c>
      <c r="N18" t="str">
        <f>VLOOKUP(A18,Response!$A:$M,8,)</f>
        <v>105, Happy Homes Mens PG city park, Egatoor, Siruseri, Tamil Nadu 603103</v>
      </c>
      <c r="O18" s="4">
        <f>VLOOKUP(A18,Response!$A:$M,10,)</f>
        <v>1</v>
      </c>
      <c r="P18" t="str">
        <f>VLOOKUP(A18,Response!$A:$M,12,)</f>
        <v>No</v>
      </c>
      <c r="Q18" t="str">
        <f>VLOOKUP(A18,Response!$A:$M,11,)</f>
        <v>Egattur</v>
      </c>
      <c r="R18" t="s">
        <v>19</v>
      </c>
      <c r="S18" s="39" t="s">
        <v>37</v>
      </c>
    </row>
    <row r="19" spans="1:19">
      <c r="A19" s="3">
        <v>2529576</v>
      </c>
      <c r="B19" t="str">
        <f>VLOOKUP(A19,File!$A:$J,2,FALSE)</f>
        <v>Tharun B</v>
      </c>
      <c r="C19" s="29">
        <f>VLOOKUP(A19,File!$A:$J,5,FALSE)</f>
        <v>46245</v>
      </c>
      <c r="D19" s="29" t="str">
        <f>VLOOKUP(A19,File!$A:$J,3,FALSE)</f>
        <v>Male</v>
      </c>
      <c r="E19" s="29" t="str">
        <f>VLOOKUP(A19,File!$A:$J,4,FALSE)</f>
        <v>FTE</v>
      </c>
      <c r="F19" s="29" t="str">
        <f>VLOOKUP(A19,File!$A:$J,6,FALSE)</f>
        <v>Chennai</v>
      </c>
      <c r="G19" s="29" t="str">
        <f>VLOOKUP(A19,File!$A:$J,7,FALSE)</f>
        <v>CIS26MCPT024</v>
      </c>
      <c r="H19" s="29" t="str">
        <f>VLOOKUP(A19,File!$A:$J,8,FALSE)</f>
        <v>Ashiya Begam S</v>
      </c>
      <c r="I19" s="31">
        <f>VLOOKUP(A19,File!$A:$J,9,FALSE)</f>
        <v>46359</v>
      </c>
      <c r="J19" s="31" t="str">
        <f>VLOOKUP(A19,File!$A:$K,11,FALSE)</f>
        <v>Dec 2026</v>
      </c>
      <c r="K19" s="31" t="str">
        <f>VLOOKUP(A19,File!$A:$K,10,FALSE)</f>
        <v>In-Training</v>
      </c>
      <c r="L19" s="31" t="s">
        <v>5</v>
      </c>
      <c r="M19" t="str">
        <f>VLOOKUP(A19,Response!$A:$M,7,)</f>
        <v>Rented House/Apartment</v>
      </c>
      <c r="N19" t="str">
        <f>VLOOKUP(A19,Response!$A:$M,8,)</f>
        <v>12/14 Rama rao garden 1st street royapettah chennai-14</v>
      </c>
      <c r="O19" s="4" t="str">
        <f>VLOOKUP(A19,Response!$A:$M,10,)</f>
        <v>GF</v>
      </c>
      <c r="P19" t="str">
        <f>VLOOKUP(A19,Response!$A:$M,12,)</f>
        <v>Yes</v>
      </c>
      <c r="Q19" t="str">
        <f>VLOOKUP(A19,Response!$A:$M,11,)</f>
        <v>Royapettah</v>
      </c>
      <c r="R19" t="s">
        <v>62</v>
      </c>
      <c r="S19" s="40" t="s">
        <v>36</v>
      </c>
    </row>
    <row r="20" spans="1:19">
      <c r="A20" s="3">
        <v>2521188</v>
      </c>
      <c r="B20" t="str">
        <f>VLOOKUP(A20,File!$A:$J,2,FALSE)</f>
        <v>Meghana S</v>
      </c>
      <c r="C20" s="29">
        <f>VLOOKUP(A20,File!$A:$J,5,FALSE)</f>
        <v>46210</v>
      </c>
      <c r="D20" s="29" t="str">
        <f>VLOOKUP(A20,File!$A:$J,3,FALSE)</f>
        <v>Female</v>
      </c>
      <c r="E20" s="29" t="str">
        <f>VLOOKUP(A20,File!$A:$J,4,FALSE)</f>
        <v>FTE</v>
      </c>
      <c r="F20" s="29" t="str">
        <f>VLOOKUP(A20,File!$A:$J,6,FALSE)</f>
        <v>Chennai</v>
      </c>
      <c r="G20" s="29" t="str">
        <f>VLOOKUP(A20,File!$A:$J,7,FALSE)</f>
        <v>HPC26DN005</v>
      </c>
      <c r="H20" s="29" t="str">
        <f>VLOOKUP(A20,File!$A:$J,8,FALSE)</f>
        <v>Viveka Preethi</v>
      </c>
      <c r="I20" s="31">
        <f>VLOOKUP(A20,File!$A:$J,9,FALSE)</f>
        <v>46296</v>
      </c>
      <c r="J20" s="31" t="str">
        <f>VLOOKUP(A20,File!$A:$K,11,FALSE)</f>
        <v>Oct 2026</v>
      </c>
      <c r="K20" s="31" t="str">
        <f>VLOOKUP(A20,File!$A:$K,10,FALSE)</f>
        <v>In-Training</v>
      </c>
      <c r="L20" s="31" t="s">
        <v>5</v>
      </c>
      <c r="M20" t="str">
        <f>VLOOKUP(A20,Response!$A:$M,7,)</f>
        <v>Rented House/Apartment</v>
      </c>
      <c r="N20" t="str">
        <f>VLOOKUP(A20,Response!$A:$M,8,)</f>
        <v>1-285, Sonachalam street, Rajiv Gandhi salai, OMR, Chennai-600130</v>
      </c>
      <c r="O20" s="4">
        <f>VLOOKUP(A20,Response!$A:$M,10,)</f>
        <v>2</v>
      </c>
      <c r="P20" t="str">
        <f>VLOOKUP(A20,Response!$A:$M,12,)</f>
        <v>No</v>
      </c>
      <c r="Q20" t="str">
        <f>VLOOKUP(A20,Response!$A:$M,11,)</f>
        <v>Navalur</v>
      </c>
      <c r="R20" t="s">
        <v>19</v>
      </c>
      <c r="S20" t="s">
        <v>38</v>
      </c>
    </row>
    <row r="21" spans="1:19">
      <c r="A21" s="3">
        <v>2523447</v>
      </c>
      <c r="B21" t="str">
        <f>VLOOKUP(A21,File!$A:$J,2,FALSE)</f>
        <v>Saravanan A</v>
      </c>
      <c r="C21" s="29">
        <f>VLOOKUP(A21,File!$A:$J,5,FALSE)</f>
        <v>46219</v>
      </c>
      <c r="D21" s="29" t="str">
        <f>VLOOKUP(A21,File!$A:$J,3,FALSE)</f>
        <v>Male</v>
      </c>
      <c r="E21" s="29" t="str">
        <f>VLOOKUP(A21,File!$A:$J,4,FALSE)</f>
        <v>FTE</v>
      </c>
      <c r="F21" s="29" t="str">
        <f>VLOOKUP(A21,File!$A:$J,6,FALSE)</f>
        <v>Chennai</v>
      </c>
      <c r="G21" s="29" t="str">
        <f>VLOOKUP(A21,File!$A:$J,7,FALSE)</f>
        <v>CS26CS010</v>
      </c>
      <c r="H21" s="29" t="str">
        <f>VLOOKUP(A21,File!$A:$J,8,FALSE)</f>
        <v>Laksiya Vijayendran</v>
      </c>
      <c r="I21" s="31">
        <f>VLOOKUP(A21,File!$A:$J,9,FALSE)</f>
        <v>46314</v>
      </c>
      <c r="J21" s="31" t="str">
        <f>VLOOKUP(A21,File!$A:$K,11,FALSE)</f>
        <v>Oct 2026</v>
      </c>
      <c r="K21" s="31" t="str">
        <f>VLOOKUP(A21,File!$A:$K,10,FALSE)</f>
        <v>In-Training</v>
      </c>
      <c r="L21" s="31" t="s">
        <v>4</v>
      </c>
      <c r="M21" t="str">
        <f>VLOOKUP(A21,Response!$A:$M,7,)</f>
        <v>PG (Paying Guest)</v>
      </c>
      <c r="N21" t="str">
        <f>VLOOKUP(A21,Response!$A:$M,8,)</f>
        <v>13 A, Narayanan Gents PG, Srivijayaganapathy nagar, mayana salai, navalur - 600130</v>
      </c>
      <c r="O21" s="4">
        <f>VLOOKUP(A21,Response!$A:$M,10,)</f>
        <v>3</v>
      </c>
      <c r="P21" t="str">
        <f>VLOOKUP(A21,Response!$A:$M,12,)</f>
        <v>No</v>
      </c>
      <c r="Q21" t="str">
        <f>VLOOKUP(A21,Response!$A:$M,11,)</f>
        <v>Navalur</v>
      </c>
      <c r="R21" t="s">
        <v>19</v>
      </c>
      <c r="S21" s="39" t="s">
        <v>37</v>
      </c>
    </row>
    <row r="22" spans="1:19">
      <c r="A22" s="3">
        <v>2523416</v>
      </c>
      <c r="B22" t="str">
        <f>VLOOKUP(A22,File!$A:$J,2,FALSE)</f>
        <v>Balakumaran Bommudurai</v>
      </c>
      <c r="C22" s="29">
        <f>VLOOKUP(A22,File!$A:$J,5,FALSE)</f>
        <v>46219</v>
      </c>
      <c r="D22" s="29" t="str">
        <f>VLOOKUP(A22,File!$A:$J,3,FALSE)</f>
        <v>Male</v>
      </c>
      <c r="E22" s="29" t="str">
        <f>VLOOKUP(A22,File!$A:$J,4,FALSE)</f>
        <v>FTE</v>
      </c>
      <c r="F22" s="29" t="str">
        <f>VLOOKUP(A22,File!$A:$J,6,FALSE)</f>
        <v>Chennai</v>
      </c>
      <c r="G22" s="29" t="str">
        <f>VLOOKUP(A22,File!$A:$J,7,FALSE)</f>
        <v>CS26CS009</v>
      </c>
      <c r="H22" s="29" t="str">
        <f>VLOOKUP(A22,File!$A:$J,8,FALSE)</f>
        <v>Laksiya Vijayendran</v>
      </c>
      <c r="I22" s="31">
        <f>VLOOKUP(A22,File!$A:$J,9,FALSE)</f>
        <v>46309</v>
      </c>
      <c r="J22" s="31" t="str">
        <f>VLOOKUP(A22,File!$A:$K,11,FALSE)</f>
        <v>Oct 2026</v>
      </c>
      <c r="K22" s="31" t="str">
        <f>VLOOKUP(A22,File!$A:$K,10,FALSE)</f>
        <v>In-Training</v>
      </c>
      <c r="L22" s="31" t="s">
        <v>5</v>
      </c>
      <c r="M22" t="str">
        <f>VLOOKUP(A22,Response!$A:$M,7,)</f>
        <v>Rented House/Apartment</v>
      </c>
      <c r="N22" t="str">
        <f>VLOOKUP(A22,Response!$A:$M,8,)</f>
        <v>14 Valluvar high road ,subash nagar,chromepet,600044</v>
      </c>
      <c r="O22" s="4">
        <f>VLOOKUP(A22,Response!$A:$M,10,)</f>
        <v>1</v>
      </c>
      <c r="P22" t="str">
        <f>VLOOKUP(A22,Response!$A:$M,12,)</f>
        <v>Yes</v>
      </c>
      <c r="Q22" t="str">
        <f>VLOOKUP(A22,Response!$A:$M,11,)</f>
        <v>Chromepet</v>
      </c>
      <c r="R22" t="s">
        <v>63</v>
      </c>
      <c r="S22" t="s">
        <v>38</v>
      </c>
    </row>
    <row r="23" spans="1:19">
      <c r="A23" s="3">
        <v>2521255</v>
      </c>
      <c r="B23" t="str">
        <f>VLOOKUP(A23,File!$A:$J,2,FALSE)</f>
        <v>Vikil Reddy Vangala</v>
      </c>
      <c r="C23" s="29">
        <f>VLOOKUP(A23,File!$A:$J,5,FALSE)</f>
        <v>46210</v>
      </c>
      <c r="D23" s="29" t="str">
        <f>VLOOKUP(A23,File!$A:$J,3,FALSE)</f>
        <v>Male</v>
      </c>
      <c r="E23" s="29" t="str">
        <f>VLOOKUP(A23,File!$A:$J,4,FALSE)</f>
        <v>FTE</v>
      </c>
      <c r="F23" s="29" t="str">
        <f>VLOOKUP(A23,File!$A:$J,6,FALSE)</f>
        <v>Chennai</v>
      </c>
      <c r="G23" s="29" t="str">
        <f>VLOOKUP(A23,File!$A:$J,7,FALSE)</f>
        <v>CS26CS007</v>
      </c>
      <c r="H23" s="29" t="str">
        <f>VLOOKUP(A23,File!$A:$J,8,FALSE)</f>
        <v>Lawrance M</v>
      </c>
      <c r="I23" s="31">
        <f>VLOOKUP(A23,File!$A:$J,9,FALSE)</f>
        <v>46272</v>
      </c>
      <c r="J23" s="31" t="str">
        <f>VLOOKUP(A23,File!$A:$K,11,FALSE)</f>
        <v>Sep 2026</v>
      </c>
      <c r="K23" s="31" t="str">
        <f>VLOOKUP(A23,File!$A:$K,10,FALSE)</f>
        <v>In-Training</v>
      </c>
      <c r="L23" s="31" t="s">
        <v>4</v>
      </c>
      <c r="M23" t="str">
        <f>VLOOKUP(A23,Response!$A:$M,7,)</f>
        <v>PG (Paying Guest)</v>
      </c>
      <c r="N23" t="str">
        <f>VLOOKUP(A23,Response!$A:$M,8,)</f>
        <v>1st Left , Sipcot IT park , city park layout, Plot no - 56P, Siruseri , Egattur , Tamilnadu 603103</v>
      </c>
      <c r="O23" s="4">
        <f>VLOOKUP(A23,Response!$A:$M,10,)</f>
        <v>1</v>
      </c>
      <c r="P23" t="str">
        <f>VLOOKUP(A23,Response!$A:$M,12,)</f>
        <v>No</v>
      </c>
      <c r="Q23" t="str">
        <f>VLOOKUP(A23,Response!$A:$M,11,)</f>
        <v>Siruseri</v>
      </c>
      <c r="R23" t="s">
        <v>19</v>
      </c>
      <c r="S23" s="39" t="s">
        <v>37</v>
      </c>
    </row>
    <row r="24" spans="1:19">
      <c r="A24" s="3">
        <v>2532911</v>
      </c>
      <c r="B24" t="str">
        <f>VLOOKUP(A24,File!$A:$J,2,FALSE)</f>
        <v>Mokshith Billakanti</v>
      </c>
      <c r="C24" s="29">
        <f>VLOOKUP(A24,File!$A:$J,5,FALSE)</f>
        <v>46259</v>
      </c>
      <c r="D24" s="29" t="str">
        <f>VLOOKUP(A24,File!$A:$J,3,FALSE)</f>
        <v>Male</v>
      </c>
      <c r="E24" s="29" t="str">
        <f>VLOOKUP(A24,File!$A:$J,4,FALSE)</f>
        <v>FTE</v>
      </c>
      <c r="F24" s="29" t="str">
        <f>VLOOKUP(A24,File!$A:$J,6,FALSE)</f>
        <v>Chennai</v>
      </c>
      <c r="G24" s="29" t="str">
        <f>VLOOKUP(A24,File!$A:$J,7,FALSE)</f>
        <v>CIS26SN002</v>
      </c>
      <c r="H24" s="29" t="str">
        <f>VLOOKUP(A24,File!$A:$J,8,FALSE)</f>
        <v>Ashiya Begam S</v>
      </c>
      <c r="I24" s="31">
        <f>VLOOKUP(A24,File!$A:$J,9,FALSE)</f>
        <v>46358</v>
      </c>
      <c r="J24" s="31" t="str">
        <f>VLOOKUP(A24,File!$A:$K,11,FALSE)</f>
        <v>Dec 2026</v>
      </c>
      <c r="K24" s="31" t="str">
        <f>VLOOKUP(A24,File!$A:$K,10,FALSE)</f>
        <v>In-Training</v>
      </c>
      <c r="L24" s="31" t="s">
        <v>4</v>
      </c>
      <c r="M24" t="str">
        <f>VLOOKUP(A24,Response!$A:$M,7,)</f>
        <v>PG (Paying Guest)</v>
      </c>
      <c r="N24" t="str">
        <f>VLOOKUP(A24,Response!$A:$M,8,)</f>
        <v>1st Left, Sipcot It Park, City Park Layout, Plot No -56P, Siruseri, Egattur, TamilNadu 603103</v>
      </c>
      <c r="O24" s="4">
        <f>VLOOKUP(A24,Response!$A:$M,10,)</f>
        <v>1</v>
      </c>
      <c r="P24" t="str">
        <f>VLOOKUP(A24,Response!$A:$M,12,)</f>
        <v>No</v>
      </c>
      <c r="Q24" t="str">
        <f>VLOOKUP(A24,Response!$A:$M,11,)</f>
        <v>Siruseri</v>
      </c>
      <c r="R24" t="s">
        <v>19</v>
      </c>
      <c r="S24" s="39" t="s">
        <v>37</v>
      </c>
    </row>
    <row r="25" spans="1:19">
      <c r="A25" s="3">
        <v>2530219</v>
      </c>
      <c r="B25" t="str">
        <f>VLOOKUP(A25,File!$A:$J,2,FALSE)</f>
        <v>Venkata Thejeswar Reddy Yerasu</v>
      </c>
      <c r="C25" s="29">
        <f>VLOOKUP(A25,File!$A:$J,5,FALSE)</f>
        <v>46247</v>
      </c>
      <c r="D25" s="29" t="str">
        <f>VLOOKUP(A25,File!$A:$J,3,FALSE)</f>
        <v>Male</v>
      </c>
      <c r="E25" s="29" t="str">
        <f>VLOOKUP(A25,File!$A:$J,4,FALSE)</f>
        <v>FTE</v>
      </c>
      <c r="F25" s="29" t="str">
        <f>VLOOKUP(A25,File!$A:$J,6,FALSE)</f>
        <v>Chennai</v>
      </c>
      <c r="G25" s="29" t="str">
        <f>VLOOKUP(A25,File!$A:$J,7,FALSE)</f>
        <v>EPS26OSP010</v>
      </c>
      <c r="H25" s="29" t="str">
        <f>VLOOKUP(A25,File!$A:$J,8,FALSE)</f>
        <v>Vishnupriya Dakshnamurthy</v>
      </c>
      <c r="I25" s="31">
        <f>VLOOKUP(A25,File!$A:$J,9,FALSE)</f>
        <v>46357</v>
      </c>
      <c r="J25" s="31" t="str">
        <f>VLOOKUP(A25,File!$A:$K,11,FALSE)</f>
        <v>Dec 2026</v>
      </c>
      <c r="K25" s="31" t="str">
        <f>VLOOKUP(A25,File!$A:$K,10,FALSE)</f>
        <v>In-Training</v>
      </c>
      <c r="L25" s="31" t="s">
        <v>5</v>
      </c>
      <c r="M25" t="str">
        <f>VLOOKUP(A25,Response!$A:$M,7,)</f>
        <v>Rented House/Apartment</v>
      </c>
      <c r="N25" t="str">
        <f>VLOOKUP(A25,Response!$A:$M,8,)</f>
        <v>1st street backside of the JS Global School, NO1 lake view point, Rajiv Gandhi salai,Ponniamman ,sholinganallur</v>
      </c>
      <c r="O25" s="4" t="str">
        <f>VLOOKUP(A25,Response!$A:$M,10,)</f>
        <v>GF</v>
      </c>
      <c r="P25" t="str">
        <f>VLOOKUP(A25,Response!$A:$M,12,)</f>
        <v>No</v>
      </c>
      <c r="Q25" t="str">
        <f>VLOOKUP(A25,Response!$A:$M,11,)</f>
        <v>Sholinganallur</v>
      </c>
      <c r="R25" t="s">
        <v>17</v>
      </c>
      <c r="S25" t="s">
        <v>38</v>
      </c>
    </row>
    <row r="26" spans="1:19">
      <c r="A26" s="3">
        <v>2533141</v>
      </c>
      <c r="B26" t="str">
        <f>VLOOKUP(A26,File!$A:$J,2,FALSE)</f>
        <v>Srimattirumalapeddinti Sai Bala Harini</v>
      </c>
      <c r="C26" s="29">
        <f>VLOOKUP(A26,File!$A:$J,5,FALSE)</f>
        <v>46259</v>
      </c>
      <c r="D26" s="29" t="str">
        <f>VLOOKUP(A26,File!$A:$J,3,FALSE)</f>
        <v>Female</v>
      </c>
      <c r="E26" s="29" t="str">
        <f>VLOOKUP(A26,File!$A:$J,4,FALSE)</f>
        <v>FTE</v>
      </c>
      <c r="F26" s="29" t="str">
        <f>VLOOKUP(A26,File!$A:$J,6,FALSE)</f>
        <v>Chennai</v>
      </c>
      <c r="G26" s="29" t="str">
        <f>VLOOKUP(A26,File!$A:$J,7,FALSE)</f>
        <v>CIS26SN002</v>
      </c>
      <c r="H26" s="29" t="str">
        <f>VLOOKUP(A26,File!$A:$J,8,FALSE)</f>
        <v>Ashiya Begam S</v>
      </c>
      <c r="I26" s="31">
        <f>VLOOKUP(A26,File!$A:$J,9,FALSE)</f>
        <v>46358</v>
      </c>
      <c r="J26" s="31" t="str">
        <f>VLOOKUP(A26,File!$A:$K,11,FALSE)</f>
        <v>Dec 2026</v>
      </c>
      <c r="K26" s="31" t="str">
        <f>VLOOKUP(A26,File!$A:$K,10,FALSE)</f>
        <v>In-Training</v>
      </c>
      <c r="L26" s="31" t="s">
        <v>4</v>
      </c>
      <c r="M26" t="str">
        <f>VLOOKUP(A26,Response!$A:$M,7,)</f>
        <v>PG (Paying Guest)</v>
      </c>
      <c r="N26" t="str">
        <f>VLOOKUP(A26,Response!$A:$M,8,)</f>
        <v>206,4th floor,New Vaishnavi elite pg,egattur,siruseri,tambaram district</v>
      </c>
      <c r="O26" s="4">
        <f>VLOOKUP(A26,Response!$A:$M,10,)</f>
        <v>4</v>
      </c>
      <c r="P26" t="str">
        <f>VLOOKUP(A26,Response!$A:$M,12,)</f>
        <v>No</v>
      </c>
      <c r="Q26" t="str">
        <f>VLOOKUP(A26,Response!$A:$M,11,)</f>
        <v>Egattur</v>
      </c>
      <c r="R26" t="s">
        <v>19</v>
      </c>
      <c r="S26" s="39" t="s">
        <v>37</v>
      </c>
    </row>
    <row r="27" spans="1:19">
      <c r="A27" s="3">
        <v>2533023</v>
      </c>
      <c r="B27" t="str">
        <f>VLOOKUP(A27,File!$A:$J,2,FALSE)</f>
        <v>Girija Sai Siri Cherukuri</v>
      </c>
      <c r="C27" s="29">
        <f>VLOOKUP(A27,File!$A:$J,5,FALSE)</f>
        <v>46259</v>
      </c>
      <c r="D27" s="29" t="str">
        <f>VLOOKUP(A27,File!$A:$J,3,FALSE)</f>
        <v>Female</v>
      </c>
      <c r="E27" s="29" t="str">
        <f>VLOOKUP(A27,File!$A:$J,4,FALSE)</f>
        <v>FTE</v>
      </c>
      <c r="F27" s="29" t="str">
        <f>VLOOKUP(A27,File!$A:$J,6,FALSE)</f>
        <v>Chennai</v>
      </c>
      <c r="G27" s="29" t="str">
        <f>VLOOKUP(A27,File!$A:$J,7,FALSE)</f>
        <v>IOT26CSJ002</v>
      </c>
      <c r="H27" s="29" t="str">
        <f>VLOOKUP(A27,File!$A:$J,8,FALSE)</f>
        <v>Pavithra Kandasamy</v>
      </c>
      <c r="I27" s="31">
        <f>VLOOKUP(A27,File!$A:$J,9,FALSE)</f>
        <v>46337</v>
      </c>
      <c r="J27" s="31" t="str">
        <f>VLOOKUP(A27,File!$A:$K,11,FALSE)</f>
        <v>Nov 2026</v>
      </c>
      <c r="K27" s="31" t="str">
        <f>VLOOKUP(A27,File!$A:$K,10,FALSE)</f>
        <v>In-Training</v>
      </c>
      <c r="L27" s="31" t="s">
        <v>4</v>
      </c>
      <c r="M27" t="str">
        <f>VLOOKUP(A27,Response!$A:$M,7,)</f>
        <v>PG (Paying Guest)</v>
      </c>
      <c r="N27" t="str">
        <f>VLOOKUP(A27,Response!$A:$M,8,)</f>
        <v>206,Vaishnavi Elite PG-Chennai,Egattur</v>
      </c>
      <c r="O27" s="4" t="str">
        <f>VLOOKUP(A27,Response!$A:$M,10,)</f>
        <v>GF</v>
      </c>
      <c r="P27" t="str">
        <f>VLOOKUP(A27,Response!$A:$M,12,)</f>
        <v>No</v>
      </c>
      <c r="Q27" t="str">
        <f>VLOOKUP(A27,Response!$A:$M,11,)</f>
        <v>Egattur</v>
      </c>
      <c r="R27" t="s">
        <v>19</v>
      </c>
      <c r="S27" s="39" t="s">
        <v>37</v>
      </c>
    </row>
    <row r="28" spans="1:19">
      <c r="A28" s="3">
        <v>2531986</v>
      </c>
      <c r="B28" t="str">
        <f>VLOOKUP(A28,File!$A:$J,2,FALSE)</f>
        <v>Udaya Teja Narasani</v>
      </c>
      <c r="C28" s="29">
        <f>VLOOKUP(A28,File!$A:$J,5,FALSE)</f>
        <v>46254</v>
      </c>
      <c r="D28" s="29" t="str">
        <f>VLOOKUP(A28,File!$A:$J,3,FALSE)</f>
        <v>Male</v>
      </c>
      <c r="E28" s="29" t="str">
        <f>VLOOKUP(A28,File!$A:$J,4,FALSE)</f>
        <v>FTE</v>
      </c>
      <c r="F28" s="29" t="str">
        <f>VLOOKUP(A28,File!$A:$J,6,FALSE)</f>
        <v>Chennai</v>
      </c>
      <c r="G28" s="29" t="str">
        <f>VLOOKUP(A28,File!$A:$J,7,FALSE)</f>
        <v>CS26CS012</v>
      </c>
      <c r="H28" s="29" t="str">
        <f>VLOOKUP(A28,File!$A:$J,8,FALSE)</f>
        <v>Laksiya Vijayendran</v>
      </c>
      <c r="I28" s="31">
        <f>VLOOKUP(A28,File!$A:$J,9,FALSE)</f>
        <v>46343</v>
      </c>
      <c r="J28" s="31" t="str">
        <f>VLOOKUP(A28,File!$A:$K,11,FALSE)</f>
        <v>Nov 2026</v>
      </c>
      <c r="K28" s="31" t="str">
        <f>VLOOKUP(A28,File!$A:$K,10,FALSE)</f>
        <v>In-Training</v>
      </c>
      <c r="L28" s="31" t="s">
        <v>4</v>
      </c>
      <c r="M28" t="str">
        <f>VLOOKUP(A28,Response!$A:$M,7,)</f>
        <v>PG (Paying Guest)</v>
      </c>
      <c r="N28" t="str">
        <f>VLOOKUP(A28,Response!$A:$M,8,)</f>
        <v>25, St Thomas St,near Navalur, Tollgate, Egattur, Chennai</v>
      </c>
      <c r="O28" s="4" t="str">
        <f>VLOOKUP(A28,Response!$A:$M,10,)</f>
        <v>GF</v>
      </c>
      <c r="P28" t="str">
        <f>VLOOKUP(A28,Response!$A:$M,12,)</f>
        <v>No</v>
      </c>
      <c r="Q28" t="str">
        <f>VLOOKUP(A28,Response!$A:$M,11,)</f>
        <v>Navalur</v>
      </c>
      <c r="R28" t="s">
        <v>19</v>
      </c>
      <c r="S28" s="39" t="s">
        <v>37</v>
      </c>
    </row>
    <row r="29" spans="1:19">
      <c r="A29" s="3">
        <v>2521370</v>
      </c>
      <c r="B29" t="str">
        <f>VLOOKUP(A29,File!$A:$J,2,FALSE)</f>
        <v>Maddila Keerthana</v>
      </c>
      <c r="C29" s="29">
        <f>VLOOKUP(A29,File!$A:$J,5,FALSE)</f>
        <v>46210</v>
      </c>
      <c r="D29" s="29" t="str">
        <f>VLOOKUP(A29,File!$A:$J,3,FALSE)</f>
        <v>Female</v>
      </c>
      <c r="E29" s="29" t="str">
        <f>VLOOKUP(A29,File!$A:$J,4,FALSE)</f>
        <v>FTE</v>
      </c>
      <c r="F29" s="29" t="str">
        <f>VLOOKUP(A29,File!$A:$J,6,FALSE)</f>
        <v>Chennai</v>
      </c>
      <c r="G29" s="29" t="str">
        <f>VLOOKUP(A29,File!$A:$J,7,FALSE)</f>
        <v>SNBG26SN002</v>
      </c>
      <c r="H29" s="29" t="str">
        <f>VLOOKUP(A29,File!$A:$J,8,FALSE)</f>
        <v>Lawrance M</v>
      </c>
      <c r="I29" s="31">
        <f>VLOOKUP(A29,File!$A:$J,9,FALSE)</f>
        <v>46303</v>
      </c>
      <c r="J29" s="31" t="str">
        <f>VLOOKUP(A29,File!$A:$K,11,FALSE)</f>
        <v>Oct 2026</v>
      </c>
      <c r="K29" s="31" t="str">
        <f>VLOOKUP(A29,File!$A:$K,10,FALSE)</f>
        <v>In-Training</v>
      </c>
      <c r="L29" s="31" t="s">
        <v>4</v>
      </c>
      <c r="M29" t="str">
        <f>VLOOKUP(A29,Response!$A:$M,7,)</f>
        <v>PG (Paying Guest)</v>
      </c>
      <c r="N29" t="str">
        <f>VLOOKUP(A29,Response!$A:$M,8,)</f>
        <v>4/187, Periyar Street, Old Mahabalipuram Road, Egattur, Chennai, Tamil Nadu 600130</v>
      </c>
      <c r="O29" s="4">
        <f>VLOOKUP(A29,Response!$A:$M,10,)</f>
        <v>3</v>
      </c>
      <c r="P29" t="str">
        <f>VLOOKUP(A29,Response!$A:$M,12,)</f>
        <v>No</v>
      </c>
      <c r="Q29" t="str">
        <f>VLOOKUP(A29,Response!$A:$M,11,)</f>
        <v>Egattur</v>
      </c>
      <c r="R29" t="s">
        <v>19</v>
      </c>
      <c r="S29" s="39" t="s">
        <v>37</v>
      </c>
    </row>
    <row r="30" spans="1:19">
      <c r="A30" s="3">
        <v>2521065</v>
      </c>
      <c r="B30" t="str">
        <f>VLOOKUP(A30,File!$A:$J,2,FALSE)</f>
        <v>Dadiboina Deepika</v>
      </c>
      <c r="C30" s="29">
        <f>VLOOKUP(A30,File!$A:$J,5,FALSE)</f>
        <v>46210</v>
      </c>
      <c r="D30" s="29" t="str">
        <f>VLOOKUP(A30,File!$A:$J,3,FALSE)</f>
        <v>Female</v>
      </c>
      <c r="E30" s="29" t="str">
        <f>VLOOKUP(A30,File!$A:$J,4,FALSE)</f>
        <v>FTE</v>
      </c>
      <c r="F30" s="29" t="str">
        <f>VLOOKUP(A30,File!$A:$J,6,FALSE)</f>
        <v>Chennai</v>
      </c>
      <c r="G30" s="29" t="str">
        <f>VLOOKUP(A30,File!$A:$J,7,FALSE)</f>
        <v>SNBG26SN003</v>
      </c>
      <c r="H30" s="29" t="str">
        <f>VLOOKUP(A30,File!$A:$J,8,FALSE)</f>
        <v>Lawrance M</v>
      </c>
      <c r="I30" s="31">
        <f>VLOOKUP(A30,File!$A:$J,9,FALSE)</f>
        <v>46303</v>
      </c>
      <c r="J30" s="31" t="str">
        <f>VLOOKUP(A30,File!$A:$K,11,FALSE)</f>
        <v>Oct 2026</v>
      </c>
      <c r="K30" s="31" t="str">
        <f>VLOOKUP(A30,File!$A:$K,10,FALSE)</f>
        <v>In-Training</v>
      </c>
      <c r="L30" s="31" t="s">
        <v>4</v>
      </c>
      <c r="M30" t="str">
        <f>VLOOKUP(A30,Response!$A:$M,7,)</f>
        <v>PG (Paying Guest)</v>
      </c>
      <c r="N30" t="str">
        <f>VLOOKUP(A30,Response!$A:$M,8,)</f>
        <v>4/201, Sai teja ladies hostel</v>
      </c>
      <c r="O30" s="4">
        <f>VLOOKUP(A30,Response!$A:$M,10,)</f>
        <v>3</v>
      </c>
      <c r="P30" t="str">
        <f>VLOOKUP(A30,Response!$A:$M,12,)</f>
        <v>No</v>
      </c>
      <c r="Q30" t="str">
        <f>VLOOKUP(A30,Response!$A:$M,11,)</f>
        <v>Egattur</v>
      </c>
      <c r="R30" t="s">
        <v>19</v>
      </c>
      <c r="S30" s="39" t="s">
        <v>37</v>
      </c>
    </row>
    <row r="31" spans="1:19">
      <c r="A31" s="3">
        <v>2516807</v>
      </c>
      <c r="B31" t="str">
        <f>VLOOKUP(A31,File!$A:$J,2,FALSE)</f>
        <v>Meghana N S</v>
      </c>
      <c r="C31" s="29">
        <f>VLOOKUP(A31,File!$A:$J,5,FALSE)</f>
        <v>46191</v>
      </c>
      <c r="D31" s="29" t="str">
        <f>VLOOKUP(A31,File!$A:$J,3,FALSE)</f>
        <v>Female</v>
      </c>
      <c r="E31" s="29" t="str">
        <f>VLOOKUP(A31,File!$A:$J,4,FALSE)</f>
        <v>FTE</v>
      </c>
      <c r="F31" s="29" t="str">
        <f>VLOOKUP(A31,File!$A:$J,6,FALSE)</f>
        <v>Chennai</v>
      </c>
      <c r="G31" s="29" t="str">
        <f>VLOOKUP(A31,File!$A:$J,7,FALSE)</f>
        <v>CIS26NET003</v>
      </c>
      <c r="H31" s="29" t="str">
        <f>VLOOKUP(A31,File!$A:$J,8,FALSE)</f>
        <v>Uma Venkatachalam</v>
      </c>
      <c r="I31" s="31">
        <f>VLOOKUP(A31,File!$A:$J,9,FALSE)</f>
        <v>46269</v>
      </c>
      <c r="J31" s="31" t="str">
        <f>VLOOKUP(A31,File!$A:$K,11,FALSE)</f>
        <v>Sep 2026</v>
      </c>
      <c r="K31" s="31" t="str">
        <f>VLOOKUP(A31,File!$A:$K,10,FALSE)</f>
        <v>In-Training</v>
      </c>
      <c r="L31" s="31" t="s">
        <v>4</v>
      </c>
      <c r="M31" t="str">
        <f>VLOOKUP(A31,Response!$A:$M,7,)</f>
        <v>PG (Paying Guest)</v>
      </c>
      <c r="N31" t="str">
        <f>VLOOKUP(A31,Response!$A:$M,8,)</f>
        <v>4/203 , Muthu Rekha Building,Gangai Amman kovil street,Egattur, Landmark, Siruseri, Chennai, Tamil Nadu 603103</v>
      </c>
      <c r="O31" s="4">
        <f>VLOOKUP(A31,Response!$A:$M,10,)</f>
        <v>3</v>
      </c>
      <c r="P31" t="str">
        <f>VLOOKUP(A31,Response!$A:$M,12,)</f>
        <v>No</v>
      </c>
      <c r="Q31" t="str">
        <f>VLOOKUP(A31,Response!$A:$M,11,)</f>
        <v>Siruseri</v>
      </c>
      <c r="R31" t="s">
        <v>19</v>
      </c>
      <c r="S31" s="39" t="s">
        <v>37</v>
      </c>
    </row>
    <row r="32" spans="1:19">
      <c r="A32" s="3">
        <v>2533228</v>
      </c>
      <c r="B32" t="str">
        <f>VLOOKUP(A32,File!$A:$J,2,FALSE)</f>
        <v>Sivaraj S</v>
      </c>
      <c r="C32" s="29">
        <f>VLOOKUP(A32,File!$A:$J,5,FALSE)</f>
        <v>46259</v>
      </c>
      <c r="D32" s="29" t="str">
        <f>VLOOKUP(A32,File!$A:$J,3,FALSE)</f>
        <v>Male</v>
      </c>
      <c r="E32" s="29" t="str">
        <f>VLOOKUP(A32,File!$A:$J,4,FALSE)</f>
        <v>FTE</v>
      </c>
      <c r="F32" s="29" t="str">
        <f>VLOOKUP(A32,File!$A:$J,6,FALSE)</f>
        <v>Chennai</v>
      </c>
      <c r="G32" s="29" t="str">
        <f>VLOOKUP(A32,File!$A:$J,7,FALSE)</f>
        <v>CIS26MBG005</v>
      </c>
      <c r="H32" s="29" t="str">
        <f>VLOOKUP(A32,File!$A:$J,8,FALSE)</f>
        <v>Angel Maria Faustina Gomez</v>
      </c>
      <c r="I32" s="31">
        <f>VLOOKUP(A32,File!$A:$J,9,FALSE)</f>
        <v>46367</v>
      </c>
      <c r="J32" s="31" t="str">
        <f>VLOOKUP(A32,File!$A:$K,11,FALSE)</f>
        <v>Dec 2026</v>
      </c>
      <c r="K32" s="31" t="str">
        <f>VLOOKUP(A32,File!$A:$K,10,FALSE)</f>
        <v>In-Training</v>
      </c>
      <c r="L32" s="31" t="s">
        <v>4</v>
      </c>
      <c r="M32" t="str">
        <f>VLOOKUP(A32,Response!$A:$M,7,)</f>
        <v>PG (Paying Guest)</v>
      </c>
      <c r="N32" t="str">
        <f>VLOOKUP(A32,Response!$A:$M,8,)</f>
        <v>4/238, Gangai Amman Kovil St, Egatur, Siruseri, Tamil Nadu 600130</v>
      </c>
      <c r="O32" s="4">
        <f>VLOOKUP(A32,Response!$A:$M,10,)</f>
        <v>1</v>
      </c>
      <c r="P32" t="str">
        <f>VLOOKUP(A32,Response!$A:$M,12,)</f>
        <v>Yes</v>
      </c>
      <c r="Q32" t="str">
        <f>VLOOKUP(A32,Response!$A:$M,11,)</f>
        <v>Egattur</v>
      </c>
      <c r="R32" t="s">
        <v>19</v>
      </c>
      <c r="S32" s="39" t="s">
        <v>37</v>
      </c>
    </row>
    <row r="33" spans="1:19">
      <c r="A33" s="3">
        <v>2524635</v>
      </c>
      <c r="B33" t="str">
        <f>VLOOKUP(A33,File!$A:$J,2,FALSE)</f>
        <v>Arunthava Raj A</v>
      </c>
      <c r="C33" s="29">
        <f>VLOOKUP(A33,File!$A:$J,5,FALSE)</f>
        <v>46224</v>
      </c>
      <c r="D33" s="29" t="str">
        <f>VLOOKUP(A33,File!$A:$J,3,FALSE)</f>
        <v>Male</v>
      </c>
      <c r="E33" s="29" t="str">
        <f>VLOOKUP(A33,File!$A:$J,4,FALSE)</f>
        <v>FTE</v>
      </c>
      <c r="F33" s="29" t="str">
        <f>VLOOKUP(A33,File!$A:$J,6,FALSE)</f>
        <v>Chennai</v>
      </c>
      <c r="G33" s="29" t="str">
        <f>VLOOKUP(A33,File!$A:$J,7,FALSE)</f>
        <v>ADM26DFSA007</v>
      </c>
      <c r="H33" s="29" t="str">
        <f>VLOOKUP(A33,File!$A:$J,8,FALSE)</f>
        <v>Sweta Thoppil</v>
      </c>
      <c r="I33" s="31">
        <f>VLOOKUP(A33,File!$A:$J,9,FALSE)</f>
        <v>46336</v>
      </c>
      <c r="J33" s="31" t="str">
        <f>VLOOKUP(A33,File!$A:$K,11,FALSE)</f>
        <v>Nov 2026</v>
      </c>
      <c r="K33" s="31" t="str">
        <f>VLOOKUP(A33,File!$A:$K,10,FALSE)</f>
        <v>In-Training</v>
      </c>
      <c r="L33" s="31" t="s">
        <v>5</v>
      </c>
      <c r="M33" t="str">
        <f>VLOOKUP(A33,Response!$A:$M,7,)</f>
        <v>Rented House/Apartment</v>
      </c>
      <c r="N33" t="str">
        <f>VLOOKUP(A33,Response!$A:$M,8,)</f>
        <v xml:space="preserve">4/453, plot no 2 </v>
      </c>
      <c r="O33" s="4" t="str">
        <f>VLOOKUP(A33,Response!$A:$M,10,)</f>
        <v>GF</v>
      </c>
      <c r="P33" t="str">
        <f>VLOOKUP(A33,Response!$A:$M,12,)</f>
        <v>Yes</v>
      </c>
      <c r="Q33" t="str">
        <f>VLOOKUP(A33,Response!$A:$M,11,)</f>
        <v xml:space="preserve">Thiruvanmiyur </v>
      </c>
      <c r="R33" t="s">
        <v>64</v>
      </c>
      <c r="S33" t="s">
        <v>38</v>
      </c>
    </row>
    <row r="34" spans="1:19">
      <c r="A34" s="3">
        <v>2519656</v>
      </c>
      <c r="B34" t="str">
        <f>VLOOKUP(A34,File!$A:$J,2,FALSE)</f>
        <v>Hajara Kamila M</v>
      </c>
      <c r="C34" s="29">
        <f>VLOOKUP(A34,File!$A:$J,5,FALSE)</f>
        <v>46205</v>
      </c>
      <c r="D34" s="29" t="str">
        <f>VLOOKUP(A34,File!$A:$J,3,FALSE)</f>
        <v>Female</v>
      </c>
      <c r="E34" s="29" t="str">
        <f>VLOOKUP(A34,File!$A:$J,4,FALSE)</f>
        <v>FTE</v>
      </c>
      <c r="F34" s="29" t="str">
        <f>VLOOKUP(A34,File!$A:$J,6,FALSE)</f>
        <v>Chennai</v>
      </c>
      <c r="G34" s="29" t="str">
        <f>VLOOKUP(A34,File!$A:$J,7,FALSE)</f>
        <v>CIS26DWP021</v>
      </c>
      <c r="H34" s="29" t="str">
        <f>VLOOKUP(A34,File!$A:$J,8,FALSE)</f>
        <v>Laksiya Vijayendran</v>
      </c>
      <c r="I34" s="31">
        <f>VLOOKUP(A34,File!$A:$J,9,FALSE)</f>
        <v>46272</v>
      </c>
      <c r="J34" s="31" t="str">
        <f>VLOOKUP(A34,File!$A:$K,11,FALSE)</f>
        <v>Sep 2026</v>
      </c>
      <c r="K34" s="31" t="str">
        <f>VLOOKUP(A34,File!$A:$K,10,FALSE)</f>
        <v>In-Training</v>
      </c>
      <c r="L34" s="31" t="s">
        <v>5</v>
      </c>
      <c r="M34" t="str">
        <f>VLOOKUP(A34,Response!$A:$M,7,)</f>
        <v>Relatives Residence</v>
      </c>
      <c r="N34" t="str">
        <f>VLOOKUP(A34,Response!$A:$M,8,)</f>
        <v>42/78, 3rd main road, Venkateswara Nagar, Velachery.</v>
      </c>
      <c r="O34" s="4" t="str">
        <f>VLOOKUP(A34,Response!$A:$M,10,)</f>
        <v>GF</v>
      </c>
      <c r="P34" t="str">
        <f>VLOOKUP(A34,Response!$A:$M,12,)</f>
        <v>No</v>
      </c>
      <c r="Q34" t="str">
        <f>VLOOKUP(A34,Response!$A:$M,11,)</f>
        <v>Velachery.</v>
      </c>
      <c r="S34" t="s">
        <v>38</v>
      </c>
    </row>
    <row r="35" spans="1:19">
      <c r="A35" s="3">
        <v>2521118</v>
      </c>
      <c r="B35" t="str">
        <f>VLOOKUP(A35,File!$A:$J,2,FALSE)</f>
        <v>Sri Ram Sankar T S</v>
      </c>
      <c r="C35" s="29">
        <f>VLOOKUP(A35,File!$A:$J,5,FALSE)</f>
        <v>46210</v>
      </c>
      <c r="D35" s="29" t="str">
        <f>VLOOKUP(A35,File!$A:$J,3,FALSE)</f>
        <v>Male</v>
      </c>
      <c r="E35" s="29" t="str">
        <f>VLOOKUP(A35,File!$A:$J,4,FALSE)</f>
        <v>FTE</v>
      </c>
      <c r="F35" s="29" t="str">
        <f>VLOOKUP(A35,File!$A:$J,6,FALSE)</f>
        <v>Chennai</v>
      </c>
      <c r="G35" s="29" t="str">
        <f>VLOOKUP(A35,File!$A:$J,7,FALSE)</f>
        <v>CIS26SN001</v>
      </c>
      <c r="H35" s="29" t="str">
        <f>VLOOKUP(A35,File!$A:$J,8,FALSE)</f>
        <v>Ashiya Begam S</v>
      </c>
      <c r="I35" s="31">
        <f>VLOOKUP(A35,File!$A:$J,9,FALSE)</f>
        <v>46303</v>
      </c>
      <c r="J35" s="31" t="str">
        <f>VLOOKUP(A35,File!$A:$K,11,FALSE)</f>
        <v>Oct 2026</v>
      </c>
      <c r="K35" s="31" t="str">
        <f>VLOOKUP(A35,File!$A:$K,10,FALSE)</f>
        <v>In-Training</v>
      </c>
      <c r="L35" s="31" t="s">
        <v>4</v>
      </c>
      <c r="M35" t="str">
        <f>VLOOKUP(A35,Response!$A:$M,7,)</f>
        <v>PG (Paying Guest)</v>
      </c>
      <c r="N35" t="str">
        <f>VLOOKUP(A35,Response!$A:$M,8,)</f>
        <v>4th Floor, Vishvas Professional Stays, Plot No 34B, City Park, Egattur, Chennai, Tamil Nadu - 603130.</v>
      </c>
      <c r="O35" s="4">
        <f>VLOOKUP(A35,Response!$A:$M,10,)</f>
        <v>4</v>
      </c>
      <c r="P35" t="str">
        <f>VLOOKUP(A35,Response!$A:$M,12,)</f>
        <v>Yes</v>
      </c>
      <c r="Q35" t="str">
        <f>VLOOKUP(A35,Response!$A:$M,11,)</f>
        <v>Siruseri</v>
      </c>
      <c r="R35" t="s">
        <v>19</v>
      </c>
      <c r="S35" s="39" t="s">
        <v>37</v>
      </c>
    </row>
    <row r="36" spans="1:19">
      <c r="A36" s="3">
        <v>2529802</v>
      </c>
      <c r="B36" t="str">
        <f>VLOOKUP(A36,File!$A:$J,2,FALSE)</f>
        <v>Mulla Sai Nadha Swamy</v>
      </c>
      <c r="C36" s="29">
        <f>VLOOKUP(A36,File!$A:$J,5,FALSE)</f>
        <v>46245</v>
      </c>
      <c r="D36" s="29" t="str">
        <f>VLOOKUP(A36,File!$A:$J,3,FALSE)</f>
        <v>Male</v>
      </c>
      <c r="E36" s="29" t="str">
        <f>VLOOKUP(A36,File!$A:$J,4,FALSE)</f>
        <v>FTE</v>
      </c>
      <c r="F36" s="29" t="str">
        <f>VLOOKUP(A36,File!$A:$J,6,FALSE)</f>
        <v>Chennai</v>
      </c>
      <c r="G36" s="29" t="str">
        <f>VLOOKUP(A36,File!$A:$J,7,FALSE)</f>
        <v>CIS26AZ001</v>
      </c>
      <c r="H36" s="29" t="str">
        <f>VLOOKUP(A36,File!$A:$J,8,FALSE)</f>
        <v>Ashiya Begam S</v>
      </c>
      <c r="I36" s="31">
        <f>VLOOKUP(A36,File!$A:$J,9,FALSE)</f>
        <v>46335</v>
      </c>
      <c r="J36" s="31" t="str">
        <f>VLOOKUP(A36,File!$A:$K,11,FALSE)</f>
        <v>Nov 2026</v>
      </c>
      <c r="K36" s="31" t="str">
        <f>VLOOKUP(A36,File!$A:$K,10,FALSE)</f>
        <v>In-Training</v>
      </c>
      <c r="L36" s="31" t="s">
        <v>4</v>
      </c>
      <c r="M36" t="str">
        <f>VLOOKUP(A36,Response!$A:$M,7,)</f>
        <v>PG (Paying Guest)</v>
      </c>
      <c r="N36" t="str">
        <f>VLOOKUP(A36,Response!$A:$M,8,)</f>
        <v>4th stree , Aadhilakshmi PG for gents ,Egattur,</v>
      </c>
      <c r="O36" s="4">
        <f>VLOOKUP(A36,Response!$A:$M,10,)</f>
        <v>4</v>
      </c>
      <c r="P36" t="str">
        <f>VLOOKUP(A36,Response!$A:$M,12,)</f>
        <v>No</v>
      </c>
      <c r="Q36" t="str">
        <f>VLOOKUP(A36,Response!$A:$M,11,)</f>
        <v>Egattur</v>
      </c>
      <c r="R36" t="s">
        <v>19</v>
      </c>
      <c r="S36" s="39" t="s">
        <v>37</v>
      </c>
    </row>
    <row r="37" spans="1:19">
      <c r="A37" s="3">
        <v>2529606</v>
      </c>
      <c r="B37" t="str">
        <f>VLOOKUP(A37,File!$A:$J,2,FALSE)</f>
        <v>Mohamed Anish J</v>
      </c>
      <c r="C37" s="29">
        <f>VLOOKUP(A37,File!$A:$J,5,FALSE)</f>
        <v>46245</v>
      </c>
      <c r="D37" s="29" t="str">
        <f>VLOOKUP(A37,File!$A:$J,3,FALSE)</f>
        <v>Male</v>
      </c>
      <c r="E37" s="29" t="str">
        <f>VLOOKUP(A37,File!$A:$J,4,FALSE)</f>
        <v>FTE</v>
      </c>
      <c r="F37" s="29" t="str">
        <f>VLOOKUP(A37,File!$A:$J,6,FALSE)</f>
        <v>Chennai</v>
      </c>
      <c r="G37" s="29" t="str">
        <f>VLOOKUP(A37,File!$A:$J,7,FALSE)</f>
        <v>CIS26MCPT021</v>
      </c>
      <c r="H37" s="29" t="str">
        <f>VLOOKUP(A37,File!$A:$J,8,FALSE)</f>
        <v>Uma Venkatachalam</v>
      </c>
      <c r="I37" s="31">
        <f>VLOOKUP(A37,File!$A:$J,9,FALSE)</f>
        <v>46364</v>
      </c>
      <c r="J37" s="31" t="str">
        <f>VLOOKUP(A37,File!$A:$K,11,FALSE)</f>
        <v>Dec 2026</v>
      </c>
      <c r="K37" s="31" t="str">
        <f>VLOOKUP(A37,File!$A:$K,10,FALSE)</f>
        <v>In-Training</v>
      </c>
      <c r="L37" s="31" t="s">
        <v>5</v>
      </c>
      <c r="M37" t="str">
        <f>VLOOKUP(A37,Response!$A:$M,7,)</f>
        <v>Relatives Residence</v>
      </c>
      <c r="N37" t="str">
        <f>VLOOKUP(A37,Response!$A:$M,8,)</f>
        <v>5/112 Annai Indira Nagar, Thoraipakkam ,Chennai</v>
      </c>
      <c r="O37" s="4" t="str">
        <f>VLOOKUP(A37,Response!$A:$M,10,)</f>
        <v>GF</v>
      </c>
      <c r="P37" t="str">
        <f>VLOOKUP(A37,Response!$A:$M,12,)</f>
        <v>Yes</v>
      </c>
      <c r="Q37" t="str">
        <f>VLOOKUP(A37,Response!$A:$M,11,)</f>
        <v>Siruseri</v>
      </c>
      <c r="R37" t="s">
        <v>19</v>
      </c>
      <c r="S37" t="s">
        <v>38</v>
      </c>
    </row>
    <row r="38" spans="1:19">
      <c r="A38" s="3">
        <v>2525028</v>
      </c>
      <c r="B38" t="str">
        <f>VLOOKUP(A38,File!$A:$J,2,FALSE)</f>
        <v>Sumit Vishwakarma</v>
      </c>
      <c r="C38" s="29">
        <f>VLOOKUP(A38,File!$A:$J,5,FALSE)</f>
        <v>46226</v>
      </c>
      <c r="D38" s="29" t="str">
        <f>VLOOKUP(A38,File!$A:$J,3,FALSE)</f>
        <v>Male</v>
      </c>
      <c r="E38" s="29" t="str">
        <f>VLOOKUP(A38,File!$A:$J,4,FALSE)</f>
        <v>FTE</v>
      </c>
      <c r="F38" s="29" t="str">
        <f>VLOOKUP(A38,File!$A:$J,6,FALSE)</f>
        <v>Chennai</v>
      </c>
      <c r="G38" s="29" t="str">
        <f>VLOOKUP(A38,File!$A:$J,7,FALSE)</f>
        <v>ADM26ISMO010</v>
      </c>
      <c r="H38" s="29" t="str">
        <f>VLOOKUP(A38,File!$A:$J,8,FALSE)</f>
        <v>Thomas Naveen. J</v>
      </c>
      <c r="I38" s="31">
        <f>VLOOKUP(A38,File!$A:$J,9,FALSE)</f>
        <v>46301</v>
      </c>
      <c r="J38" s="31" t="str">
        <f>VLOOKUP(A38,File!$A:$K,11,FALSE)</f>
        <v>Oct 2026</v>
      </c>
      <c r="K38" s="31" t="str">
        <f>VLOOKUP(A38,File!$A:$K,10,FALSE)</f>
        <v>In-Training</v>
      </c>
      <c r="L38" s="31" t="s">
        <v>4</v>
      </c>
      <c r="M38" t="str">
        <f>VLOOKUP(A38,Response!$A:$M,7,)</f>
        <v>PG (Paying Guest)</v>
      </c>
      <c r="N38" t="str">
        <f>VLOOKUP(A38,Response!$A:$M,8,)</f>
        <v>503, Brospace Phoenix premium mens PG indra gandhi street navalur</v>
      </c>
      <c r="O38" s="4">
        <f>VLOOKUP(A38,Response!$A:$M,10,)</f>
        <v>5</v>
      </c>
      <c r="P38" t="str">
        <f>VLOOKUP(A38,Response!$A:$M,12,)</f>
        <v>Yes</v>
      </c>
      <c r="Q38" t="str">
        <f>VLOOKUP(A38,Response!$A:$M,11,)</f>
        <v>Navalur</v>
      </c>
      <c r="R38" t="s">
        <v>19</v>
      </c>
      <c r="S38" s="39" t="s">
        <v>37</v>
      </c>
    </row>
    <row r="39" spans="1:19">
      <c r="A39" s="3">
        <v>2507421</v>
      </c>
      <c r="B39" t="str">
        <f>VLOOKUP(A39,File!$A:$J,2,FALSE)</f>
        <v>Sanjay Kumar E</v>
      </c>
      <c r="C39" s="29">
        <f>VLOOKUP(A39,File!$A:$J,5,FALSE)</f>
        <v>46142</v>
      </c>
      <c r="D39" s="29" t="str">
        <f>VLOOKUP(A39,File!$A:$J,3,FALSE)</f>
        <v>Male</v>
      </c>
      <c r="E39" s="29" t="str">
        <f>VLOOKUP(A39,File!$A:$J,4,FALSE)</f>
        <v>FTE</v>
      </c>
      <c r="F39" s="29" t="str">
        <f>VLOOKUP(A39,File!$A:$J,6,FALSE)</f>
        <v>Chennai</v>
      </c>
      <c r="G39" s="29" t="str">
        <f>VLOOKUP(A39,File!$A:$J,7,FALSE)</f>
        <v>ISG26JSAAT002</v>
      </c>
      <c r="H39" s="29" t="str">
        <f>VLOOKUP(A39,File!$A:$J,8,FALSE)</f>
        <v>Ashiya Begam S</v>
      </c>
      <c r="I39" s="31">
        <f>VLOOKUP(A39,File!$A:$J,9,FALSE)</f>
        <v>46272</v>
      </c>
      <c r="J39" s="31" t="str">
        <f>VLOOKUP(A39,File!$A:$K,11,FALSE)</f>
        <v>Sep 2026</v>
      </c>
      <c r="K39" s="31" t="str">
        <f>VLOOKUP(A39,File!$A:$K,10,FALSE)</f>
        <v>In-Training-Remedial</v>
      </c>
      <c r="L39" s="31" t="s">
        <v>5</v>
      </c>
      <c r="M39" t="str">
        <f>VLOOKUP(A39,Response!$A:$M,7,)</f>
        <v>Permanent Residence (House/Home)</v>
      </c>
      <c r="N39" t="str">
        <f>VLOOKUP(A39,Response!$A:$M,8,)</f>
        <v>8A , manikandan 2nd street,porur</v>
      </c>
      <c r="O39" s="4" t="str">
        <f>VLOOKUP(A39,Response!$A:$M,10,)</f>
        <v>GF</v>
      </c>
      <c r="P39" t="str">
        <f>VLOOKUP(A39,Response!$A:$M,12,)</f>
        <v>Yes</v>
      </c>
      <c r="Q39" t="str">
        <f>VLOOKUP(A39,Response!$A:$M,11,)</f>
        <v>porur</v>
      </c>
      <c r="S39" t="s">
        <v>38</v>
      </c>
    </row>
    <row r="40" spans="1:19">
      <c r="A40" s="3">
        <v>2533081</v>
      </c>
      <c r="B40" t="str">
        <f>VLOOKUP(A40,File!$A:$J,2,FALSE)</f>
        <v>Guvvala Asreetha</v>
      </c>
      <c r="C40" s="29">
        <f>VLOOKUP(A40,File!$A:$J,5,FALSE)</f>
        <v>46259</v>
      </c>
      <c r="D40" s="29" t="str">
        <f>VLOOKUP(A40,File!$A:$J,3,FALSE)</f>
        <v>Female</v>
      </c>
      <c r="E40" s="29" t="str">
        <f>VLOOKUP(A40,File!$A:$J,4,FALSE)</f>
        <v>FTE</v>
      </c>
      <c r="F40" s="29" t="str">
        <f>VLOOKUP(A40,File!$A:$J,6,FALSE)</f>
        <v>Chennai</v>
      </c>
      <c r="G40" s="29" t="str">
        <f>VLOOKUP(A40,File!$A:$J,7,FALSE)</f>
        <v>CIS26SN002</v>
      </c>
      <c r="H40" s="29" t="str">
        <f>VLOOKUP(A40,File!$A:$J,8,FALSE)</f>
        <v>Ashiya Begam S</v>
      </c>
      <c r="I40" s="31">
        <f>VLOOKUP(A40,File!$A:$J,9,FALSE)</f>
        <v>46358</v>
      </c>
      <c r="J40" s="31" t="str">
        <f>VLOOKUP(A40,File!$A:$K,11,FALSE)</f>
        <v>Dec 2026</v>
      </c>
      <c r="K40" s="31" t="str">
        <f>VLOOKUP(A40,File!$A:$K,10,FALSE)</f>
        <v>In-Training</v>
      </c>
      <c r="L40" s="31" t="s">
        <v>4</v>
      </c>
      <c r="M40" t="str">
        <f>VLOOKUP(A40,Response!$A:$M,7,)</f>
        <v>PG (Paying Guest)</v>
      </c>
      <c r="N40" t="str">
        <f>VLOOKUP(A40,Response!$A:$M,8,)</f>
        <v>a</v>
      </c>
      <c r="O40" s="4">
        <f>VLOOKUP(A40,Response!$A:$M,10,)</f>
        <v>1</v>
      </c>
      <c r="P40" t="str">
        <f>VLOOKUP(A40,Response!$A:$M,12,)</f>
        <v>Yes</v>
      </c>
      <c r="Q40" t="str">
        <f>VLOOKUP(A40,Response!$A:$M,11,)</f>
        <v>Siruseri</v>
      </c>
      <c r="R40" t="s">
        <v>19</v>
      </c>
      <c r="S40" s="39" t="s">
        <v>37</v>
      </c>
    </row>
    <row r="41" spans="1:19">
      <c r="A41" s="3">
        <v>2529597</v>
      </c>
      <c r="B41" t="str">
        <f>VLOOKUP(A41,File!$A:$J,2,FALSE)</f>
        <v>Kandula Siva Pratap</v>
      </c>
      <c r="C41" s="29">
        <f>VLOOKUP(A41,File!$A:$J,5,FALSE)</f>
        <v>46245</v>
      </c>
      <c r="D41" s="29" t="str">
        <f>VLOOKUP(A41,File!$A:$J,3,FALSE)</f>
        <v>Male</v>
      </c>
      <c r="E41" s="29" t="str">
        <f>VLOOKUP(A41,File!$A:$J,4,FALSE)</f>
        <v>FTE</v>
      </c>
      <c r="F41" s="29" t="str">
        <f>VLOOKUP(A41,File!$A:$J,6,FALSE)</f>
        <v>Chennai</v>
      </c>
      <c r="G41" s="29" t="str">
        <f>VLOOKUP(A41,File!$A:$J,7,FALSE)</f>
        <v>CIS26MCPT026</v>
      </c>
      <c r="H41" s="29" t="str">
        <f>VLOOKUP(A41,File!$A:$J,8,FALSE)</f>
        <v>Mohamed Harish</v>
      </c>
      <c r="I41" s="31">
        <f>VLOOKUP(A41,File!$A:$J,9,FALSE)</f>
        <v>46364</v>
      </c>
      <c r="J41" s="31" t="str">
        <f>VLOOKUP(A41,File!$A:$K,11,FALSE)</f>
        <v>Dec 2026</v>
      </c>
      <c r="K41" s="31" t="str">
        <f>VLOOKUP(A41,File!$A:$K,10,FALSE)</f>
        <v>In-Training</v>
      </c>
      <c r="L41" s="31" t="s">
        <v>4</v>
      </c>
      <c r="M41" t="str">
        <f>VLOOKUP(A41,Response!$A:$M,7,)</f>
        <v>PG (Paying Guest)</v>
      </c>
      <c r="N41" t="str">
        <f>VLOOKUP(A41,Response!$A:$M,8,)</f>
        <v>AADHI LAKSHMI PG FOR GENTS , Egattur</v>
      </c>
      <c r="O41" s="4">
        <f>VLOOKUP(A41,Response!$A:$M,10,)</f>
        <v>2</v>
      </c>
      <c r="P41" t="str">
        <f>VLOOKUP(A41,Response!$A:$M,12,)</f>
        <v>No</v>
      </c>
      <c r="Q41" t="str">
        <f>VLOOKUP(A41,Response!$A:$M,11,)</f>
        <v>Egattur</v>
      </c>
      <c r="R41" t="s">
        <v>19</v>
      </c>
      <c r="S41" s="39" t="s">
        <v>37</v>
      </c>
    </row>
    <row r="42" spans="1:19">
      <c r="A42" s="3">
        <v>2531818</v>
      </c>
      <c r="B42" t="str">
        <f>VLOOKUP(A42,File!$A:$J,2,FALSE)</f>
        <v>Ashish Sriniwas Prasad</v>
      </c>
      <c r="C42" s="29">
        <f>VLOOKUP(A42,File!$A:$J,5,FALSE)</f>
        <v>46254</v>
      </c>
      <c r="D42" s="29" t="str">
        <f>VLOOKUP(A42,File!$A:$J,3,FALSE)</f>
        <v>Male</v>
      </c>
      <c r="E42" s="29" t="str">
        <f>VLOOKUP(A42,File!$A:$J,4,FALSE)</f>
        <v>FTE</v>
      </c>
      <c r="F42" s="29" t="str">
        <f>VLOOKUP(A42,File!$A:$J,6,FALSE)</f>
        <v>Chennai</v>
      </c>
      <c r="G42" s="29" t="str">
        <f>VLOOKUP(A42,File!$A:$J,7,FALSE)</f>
        <v>CS26CS012</v>
      </c>
      <c r="H42" s="29" t="str">
        <f>VLOOKUP(A42,File!$A:$J,8,FALSE)</f>
        <v>Laksiya Vijayendran</v>
      </c>
      <c r="I42" s="31">
        <f>VLOOKUP(A42,File!$A:$J,9,FALSE)</f>
        <v>46343</v>
      </c>
      <c r="J42" s="31" t="str">
        <f>VLOOKUP(A42,File!$A:$K,11,FALSE)</f>
        <v>Nov 2026</v>
      </c>
      <c r="K42" s="31" t="str">
        <f>VLOOKUP(A42,File!$A:$K,10,FALSE)</f>
        <v>In-Training</v>
      </c>
      <c r="L42" s="31" t="s">
        <v>4</v>
      </c>
      <c r="M42" t="str">
        <f>VLOOKUP(A42,Response!$A:$M,7,)</f>
        <v>PG (Paying Guest)</v>
      </c>
      <c r="N42" t="str">
        <f>VLOOKUP(A42,Response!$A:$M,8,)</f>
        <v>AADHI LAKSHMI PG FOR GENTS , Egattur</v>
      </c>
      <c r="O42" s="4">
        <f>VLOOKUP(A42,Response!$A:$M,10,)</f>
        <v>6</v>
      </c>
      <c r="P42" t="str">
        <f>VLOOKUP(A42,Response!$A:$M,12,)</f>
        <v>No</v>
      </c>
      <c r="Q42" t="str">
        <f>VLOOKUP(A42,Response!$A:$M,11,)</f>
        <v>Siruseri</v>
      </c>
      <c r="R42" t="s">
        <v>19</v>
      </c>
      <c r="S42" s="39" t="s">
        <v>37</v>
      </c>
    </row>
    <row r="43" spans="1:19">
      <c r="A43" s="3">
        <v>2529630</v>
      </c>
      <c r="B43" t="str">
        <f>VLOOKUP(A43,File!$A:$J,2,FALSE)</f>
        <v>Prashant Dhanaji Narale</v>
      </c>
      <c r="C43" s="29">
        <f>VLOOKUP(A43,File!$A:$J,5,FALSE)</f>
        <v>46245</v>
      </c>
      <c r="D43" s="29" t="str">
        <f>VLOOKUP(A43,File!$A:$J,3,FALSE)</f>
        <v>Male</v>
      </c>
      <c r="E43" s="29" t="str">
        <f>VLOOKUP(A43,File!$A:$J,4,FALSE)</f>
        <v>FTE</v>
      </c>
      <c r="F43" s="29" t="str">
        <f>VLOOKUP(A43,File!$A:$J,6,FALSE)</f>
        <v>Chennai</v>
      </c>
      <c r="G43" s="29" t="str">
        <f>VLOOKUP(A43,File!$A:$J,7,FALSE)</f>
        <v>CIS26MCPT024</v>
      </c>
      <c r="H43" s="29" t="str">
        <f>VLOOKUP(A43,File!$A:$J,8,FALSE)</f>
        <v>Ashiya Begam S</v>
      </c>
      <c r="I43" s="31">
        <f>VLOOKUP(A43,File!$A:$J,9,FALSE)</f>
        <v>46359</v>
      </c>
      <c r="J43" s="31" t="str">
        <f>VLOOKUP(A43,File!$A:$K,11,FALSE)</f>
        <v>Dec 2026</v>
      </c>
      <c r="K43" s="31" t="str">
        <f>VLOOKUP(A43,File!$A:$K,10,FALSE)</f>
        <v>In-Training</v>
      </c>
      <c r="L43" s="31" t="s">
        <v>4</v>
      </c>
      <c r="M43" t="str">
        <f>VLOOKUP(A43,Response!$A:$M,7,)</f>
        <v>PG (Paying Guest)</v>
      </c>
      <c r="N43" t="str">
        <f>VLOOKUP(A43,Response!$A:$M,8,)</f>
        <v>AADHI LAKSHMI PG FOR GENTS , Egattur</v>
      </c>
      <c r="O43" s="4">
        <f>VLOOKUP(A43,Response!$A:$M,10,)</f>
        <v>1</v>
      </c>
      <c r="P43" t="str">
        <f>VLOOKUP(A43,Response!$A:$M,12,)</f>
        <v>No</v>
      </c>
      <c r="Q43" t="str">
        <f>VLOOKUP(A43,Response!$A:$M,11,)</f>
        <v>Siruseri</v>
      </c>
      <c r="R43" t="s">
        <v>19</v>
      </c>
      <c r="S43" s="39" t="s">
        <v>37</v>
      </c>
    </row>
    <row r="44" spans="1:19">
      <c r="A44" s="3">
        <v>2533170</v>
      </c>
      <c r="B44" t="str">
        <f>VLOOKUP(A44,File!$A:$J,2,FALSE)</f>
        <v>Prem Sai Adigopula</v>
      </c>
      <c r="C44" s="29">
        <f>VLOOKUP(A44,File!$A:$J,5,FALSE)</f>
        <v>46259</v>
      </c>
      <c r="D44" s="29" t="str">
        <f>VLOOKUP(A44,File!$A:$J,3,FALSE)</f>
        <v>Male</v>
      </c>
      <c r="E44" s="29" t="str">
        <f>VLOOKUP(A44,File!$A:$J,4,FALSE)</f>
        <v>FTE</v>
      </c>
      <c r="F44" s="29" t="str">
        <f>VLOOKUP(A44,File!$A:$J,6,FALSE)</f>
        <v>Chennai</v>
      </c>
      <c r="G44" s="29" t="str">
        <f>VLOOKUP(A44,File!$A:$J,7,FALSE)</f>
        <v>CIS26MBG006</v>
      </c>
      <c r="H44" s="29" t="str">
        <f>VLOOKUP(A44,File!$A:$J,8,FALSE)</f>
        <v>Angel Maria Faustina Gomez</v>
      </c>
      <c r="I44" s="31">
        <f>VLOOKUP(A44,File!$A:$J,9,FALSE)</f>
        <v>46367</v>
      </c>
      <c r="J44" s="31" t="str">
        <f>VLOOKUP(A44,File!$A:$K,11,FALSE)</f>
        <v>Dec 2026</v>
      </c>
      <c r="K44" s="31" t="str">
        <f>VLOOKUP(A44,File!$A:$K,10,FALSE)</f>
        <v>In-Training</v>
      </c>
      <c r="L44" s="31" t="s">
        <v>4</v>
      </c>
      <c r="M44" t="str">
        <f>VLOOKUP(A44,Response!$A:$M,7,)</f>
        <v>PG (Paying Guest)</v>
      </c>
      <c r="N44" t="str">
        <f>VLOOKUP(A44,Response!$A:$M,8,)</f>
        <v>AADHI LAKSHMI PG FOR GENTS , Egattur</v>
      </c>
      <c r="O44" s="4">
        <f>VLOOKUP(A44,Response!$A:$M,10,)</f>
        <v>1</v>
      </c>
      <c r="P44" t="str">
        <f>VLOOKUP(A44,Response!$A:$M,12,)</f>
        <v>No</v>
      </c>
      <c r="Q44" t="str">
        <f>VLOOKUP(A44,Response!$A:$M,11,)</f>
        <v>Siruseri</v>
      </c>
      <c r="R44" t="s">
        <v>19</v>
      </c>
      <c r="S44" s="39" t="s">
        <v>37</v>
      </c>
    </row>
    <row r="45" spans="1:19">
      <c r="A45" s="3">
        <v>2531848</v>
      </c>
      <c r="B45" t="str">
        <f>VLOOKUP(A45,File!$A:$J,2,FALSE)</f>
        <v>Jathin Kumar Sahu</v>
      </c>
      <c r="C45" s="29">
        <f>VLOOKUP(A45,File!$A:$J,5,FALSE)</f>
        <v>46254</v>
      </c>
      <c r="D45" s="29" t="str">
        <f>VLOOKUP(A45,File!$A:$J,3,FALSE)</f>
        <v>Male</v>
      </c>
      <c r="E45" s="29" t="str">
        <f>VLOOKUP(A45,File!$A:$J,4,FALSE)</f>
        <v>FTE</v>
      </c>
      <c r="F45" s="29" t="str">
        <f>VLOOKUP(A45,File!$A:$J,6,FALSE)</f>
        <v>Chennai</v>
      </c>
      <c r="G45" s="29" t="str">
        <f>VLOOKUP(A45,File!$A:$J,7,FALSE)</f>
        <v>CS26CS012</v>
      </c>
      <c r="H45" s="29" t="str">
        <f>VLOOKUP(A45,File!$A:$J,8,FALSE)</f>
        <v>Laksiya Vijayendran</v>
      </c>
      <c r="I45" s="31">
        <f>VLOOKUP(A45,File!$A:$J,9,FALSE)</f>
        <v>46343</v>
      </c>
      <c r="J45" s="31" t="str">
        <f>VLOOKUP(A45,File!$A:$K,11,FALSE)</f>
        <v>Nov 2026</v>
      </c>
      <c r="K45" s="31" t="str">
        <f>VLOOKUP(A45,File!$A:$K,10,FALSE)</f>
        <v>In-Training</v>
      </c>
      <c r="L45" s="31" t="s">
        <v>4</v>
      </c>
      <c r="M45" t="str">
        <f>VLOOKUP(A45,Response!$A:$M,7,)</f>
        <v>PG (Paying Guest)</v>
      </c>
      <c r="N45" t="str">
        <f>VLOOKUP(A45,Response!$A:$M,8,)</f>
        <v>AADHI LAKSHMI PG FOR GENTS , Egattur</v>
      </c>
      <c r="O45" s="4">
        <f>VLOOKUP(A45,Response!$A:$M,10,)</f>
        <v>4</v>
      </c>
      <c r="P45" t="str">
        <f>VLOOKUP(A45,Response!$A:$M,12,)</f>
        <v>No</v>
      </c>
      <c r="Q45" t="str">
        <f>VLOOKUP(A45,Response!$A:$M,11,)</f>
        <v>Siruseri</v>
      </c>
      <c r="R45" t="s">
        <v>19</v>
      </c>
      <c r="S45" s="39" t="s">
        <v>37</v>
      </c>
    </row>
    <row r="46" spans="1:19">
      <c r="A46" s="3">
        <v>2529565</v>
      </c>
      <c r="B46" t="str">
        <f>VLOOKUP(A46,File!$A:$J,2,FALSE)</f>
        <v>Yashas M</v>
      </c>
      <c r="C46" s="29">
        <f>VLOOKUP(A46,File!$A:$J,5,FALSE)</f>
        <v>46245</v>
      </c>
      <c r="D46" s="29" t="str">
        <f>VLOOKUP(A46,File!$A:$J,3,FALSE)</f>
        <v>Male</v>
      </c>
      <c r="E46" s="29" t="str">
        <f>VLOOKUP(A46,File!$A:$J,4,FALSE)</f>
        <v>FTE</v>
      </c>
      <c r="F46" s="29" t="str">
        <f>VLOOKUP(A46,File!$A:$J,6,FALSE)</f>
        <v>Chennai</v>
      </c>
      <c r="G46" s="29" t="str">
        <f>VLOOKUP(A46,File!$A:$J,7,FALSE)</f>
        <v>CIS26MCPT024</v>
      </c>
      <c r="H46" s="29" t="str">
        <f>VLOOKUP(A46,File!$A:$J,8,FALSE)</f>
        <v>Ashiya Begam S</v>
      </c>
      <c r="I46" s="31">
        <f>VLOOKUP(A46,File!$A:$J,9,FALSE)</f>
        <v>46359</v>
      </c>
      <c r="J46" s="31" t="str">
        <f>VLOOKUP(A46,File!$A:$K,11,FALSE)</f>
        <v>Dec 2026</v>
      </c>
      <c r="K46" s="31" t="str">
        <f>VLOOKUP(A46,File!$A:$K,10,FALSE)</f>
        <v>In-Training</v>
      </c>
      <c r="L46" s="31" t="s">
        <v>4</v>
      </c>
      <c r="M46" t="str">
        <f>VLOOKUP(A46,Response!$A:$M,7,)</f>
        <v>PG (Paying Guest)</v>
      </c>
      <c r="N46" t="str">
        <f>VLOOKUP(A46,Response!$A:$M,8,)</f>
        <v>AADHI LAKSHMI PG FOR GENTS , Egattur</v>
      </c>
      <c r="O46" s="4">
        <f>VLOOKUP(A46,Response!$A:$M,10,)</f>
        <v>2</v>
      </c>
      <c r="P46" t="str">
        <f>VLOOKUP(A46,Response!$A:$M,12,)</f>
        <v>No</v>
      </c>
      <c r="Q46" t="str">
        <f>VLOOKUP(A46,Response!$A:$M,11,)</f>
        <v>Egattur</v>
      </c>
      <c r="R46" t="s">
        <v>19</v>
      </c>
      <c r="S46" s="39" t="s">
        <v>37</v>
      </c>
    </row>
    <row r="47" spans="1:19">
      <c r="A47" s="3">
        <v>2531832</v>
      </c>
      <c r="B47" t="str">
        <f>VLOOKUP(A47,File!$A:$J,2,FALSE)</f>
        <v>Lokesh Rajmal Thakare</v>
      </c>
      <c r="C47" s="29">
        <f>VLOOKUP(A47,File!$A:$J,5,FALSE)</f>
        <v>46254</v>
      </c>
      <c r="D47" s="29" t="str">
        <f>VLOOKUP(A47,File!$A:$J,3,FALSE)</f>
        <v>Male</v>
      </c>
      <c r="E47" s="29" t="str">
        <f>VLOOKUP(A47,File!$A:$J,4,FALSE)</f>
        <v>FTE</v>
      </c>
      <c r="F47" s="29" t="str">
        <f>VLOOKUP(A47,File!$A:$J,6,FALSE)</f>
        <v>Chennai</v>
      </c>
      <c r="G47" s="29" t="str">
        <f>VLOOKUP(A47,File!$A:$J,7,FALSE)</f>
        <v>CS26CS012</v>
      </c>
      <c r="H47" s="29" t="str">
        <f>VLOOKUP(A47,File!$A:$J,8,FALSE)</f>
        <v>Laksiya Vijayendran</v>
      </c>
      <c r="I47" s="31">
        <f>VLOOKUP(A47,File!$A:$J,9,FALSE)</f>
        <v>46343</v>
      </c>
      <c r="J47" s="31" t="str">
        <f>VLOOKUP(A47,File!$A:$K,11,FALSE)</f>
        <v>Nov 2026</v>
      </c>
      <c r="K47" s="31" t="str">
        <f>VLOOKUP(A47,File!$A:$K,10,FALSE)</f>
        <v>In-Training</v>
      </c>
      <c r="L47" s="31" t="s">
        <v>4</v>
      </c>
      <c r="M47" t="str">
        <f>VLOOKUP(A47,Response!$A:$M,7,)</f>
        <v>PG (Paying Guest)</v>
      </c>
      <c r="N47" t="str">
        <f>VLOOKUP(A47,Response!$A:$M,8,)</f>
        <v>AADHI LAKSHMI PG FOR GENTS , Egattur</v>
      </c>
      <c r="O47" s="4">
        <f>VLOOKUP(A47,Response!$A:$M,10,)</f>
        <v>4</v>
      </c>
      <c r="P47" t="str">
        <f>VLOOKUP(A47,Response!$A:$M,12,)</f>
        <v>No</v>
      </c>
      <c r="Q47" t="str">
        <f>VLOOKUP(A47,Response!$A:$M,11,)</f>
        <v>Siruseri</v>
      </c>
      <c r="R47" t="s">
        <v>19</v>
      </c>
      <c r="S47" s="39" t="s">
        <v>37</v>
      </c>
    </row>
    <row r="48" spans="1:19">
      <c r="A48" s="3">
        <v>2529611</v>
      </c>
      <c r="B48" t="str">
        <f>VLOOKUP(A48,File!$A:$J,2,FALSE)</f>
        <v>Manikantareddy Muppidi</v>
      </c>
      <c r="C48" s="29">
        <f>VLOOKUP(A48,File!$A:$J,5,FALSE)</f>
        <v>46245</v>
      </c>
      <c r="D48" s="29" t="str">
        <f>VLOOKUP(A48,File!$A:$J,3,FALSE)</f>
        <v>Male</v>
      </c>
      <c r="E48" s="29" t="str">
        <f>VLOOKUP(A48,File!$A:$J,4,FALSE)</f>
        <v>FTE</v>
      </c>
      <c r="F48" s="29" t="str">
        <f>VLOOKUP(A48,File!$A:$J,6,FALSE)</f>
        <v>Chennai</v>
      </c>
      <c r="G48" s="29" t="str">
        <f>VLOOKUP(A48,File!$A:$J,7,FALSE)</f>
        <v>CIS26MCPT021</v>
      </c>
      <c r="H48" s="29" t="str">
        <f>VLOOKUP(A48,File!$A:$J,8,FALSE)</f>
        <v>Uma Venkatachalam</v>
      </c>
      <c r="I48" s="31">
        <f>VLOOKUP(A48,File!$A:$J,9,FALSE)</f>
        <v>46364</v>
      </c>
      <c r="J48" s="31" t="str">
        <f>VLOOKUP(A48,File!$A:$K,11,FALSE)</f>
        <v>Dec 2026</v>
      </c>
      <c r="K48" s="31" t="str">
        <f>VLOOKUP(A48,File!$A:$K,10,FALSE)</f>
        <v>In-Training</v>
      </c>
      <c r="L48" s="31" t="s">
        <v>4</v>
      </c>
      <c r="M48" t="str">
        <f>VLOOKUP(A48,Response!$A:$M,7,)</f>
        <v>PG (Paying Guest)</v>
      </c>
      <c r="N48" t="str">
        <f>VLOOKUP(A48,Response!$A:$M,8,)</f>
        <v>AADHI LAKSHMI PG FOR GENTS , Egattur</v>
      </c>
      <c r="O48" s="4">
        <f>VLOOKUP(A48,Response!$A:$M,10,)</f>
        <v>2</v>
      </c>
      <c r="P48" t="str">
        <f>VLOOKUP(A48,Response!$A:$M,12,)</f>
        <v>No</v>
      </c>
      <c r="Q48" t="str">
        <f>VLOOKUP(A48,Response!$A:$M,11,)</f>
        <v>Siruseri</v>
      </c>
      <c r="R48" t="s">
        <v>19</v>
      </c>
      <c r="S48" s="39" t="s">
        <v>37</v>
      </c>
    </row>
    <row r="49" spans="1:19">
      <c r="A49" s="3">
        <v>2533152</v>
      </c>
      <c r="B49" t="str">
        <f>VLOOKUP(A49,File!$A:$J,2,FALSE)</f>
        <v>Shaik Irfan</v>
      </c>
      <c r="C49" s="29">
        <f>VLOOKUP(A49,File!$A:$J,5,FALSE)</f>
        <v>46259</v>
      </c>
      <c r="D49" s="29" t="str">
        <f>VLOOKUP(A49,File!$A:$J,3,FALSE)</f>
        <v>Male</v>
      </c>
      <c r="E49" s="29" t="str">
        <f>VLOOKUP(A49,File!$A:$J,4,FALSE)</f>
        <v>FTE</v>
      </c>
      <c r="F49" s="29" t="str">
        <f>VLOOKUP(A49,File!$A:$J,6,FALSE)</f>
        <v>Chennai</v>
      </c>
      <c r="G49" s="29" t="str">
        <f>VLOOKUP(A49,File!$A:$J,7,FALSE)</f>
        <v>CIS26MBG006</v>
      </c>
      <c r="H49" s="29" t="str">
        <f>VLOOKUP(A49,File!$A:$J,8,FALSE)</f>
        <v>Angel Maria Faustina Gomez</v>
      </c>
      <c r="I49" s="31">
        <f>VLOOKUP(A49,File!$A:$J,9,FALSE)</f>
        <v>46367</v>
      </c>
      <c r="J49" s="31" t="str">
        <f>VLOOKUP(A49,File!$A:$K,11,FALSE)</f>
        <v>Dec 2026</v>
      </c>
      <c r="K49" s="31" t="str">
        <f>VLOOKUP(A49,File!$A:$K,10,FALSE)</f>
        <v>In-Training</v>
      </c>
      <c r="L49" s="31" t="s">
        <v>4</v>
      </c>
      <c r="M49" t="str">
        <f>VLOOKUP(A49,Response!$A:$M,7,)</f>
        <v>PG (Paying Guest)</v>
      </c>
      <c r="N49" t="str">
        <f>VLOOKUP(A49,Response!$A:$M,8,)</f>
        <v>AADHI LAKSHMI PG FOR GENTS , Egattur</v>
      </c>
      <c r="O49" s="4">
        <f>VLOOKUP(A49,Response!$A:$M,10,)</f>
        <v>1</v>
      </c>
      <c r="P49" t="str">
        <f>VLOOKUP(A49,Response!$A:$M,12,)</f>
        <v>No</v>
      </c>
      <c r="Q49" t="str">
        <f>VLOOKUP(A49,Response!$A:$M,11,)</f>
        <v>Siruseri</v>
      </c>
      <c r="R49" t="s">
        <v>19</v>
      </c>
      <c r="S49" s="39" t="s">
        <v>37</v>
      </c>
    </row>
    <row r="50" spans="1:19">
      <c r="A50" s="3">
        <v>2533154</v>
      </c>
      <c r="B50" t="str">
        <f>VLOOKUP(A50,File!$A:$J,2,FALSE)</f>
        <v>Bommisetti Mahendra</v>
      </c>
      <c r="C50" s="29">
        <f>VLOOKUP(A50,File!$A:$J,5,FALSE)</f>
        <v>46259</v>
      </c>
      <c r="D50" s="29" t="str">
        <f>VLOOKUP(A50,File!$A:$J,3,FALSE)</f>
        <v>Male</v>
      </c>
      <c r="E50" s="29" t="str">
        <f>VLOOKUP(A50,File!$A:$J,4,FALSE)</f>
        <v>FTE</v>
      </c>
      <c r="F50" s="29" t="str">
        <f>VLOOKUP(A50,File!$A:$J,6,FALSE)</f>
        <v>Chennai</v>
      </c>
      <c r="G50" s="29" t="str">
        <f>VLOOKUP(A50,File!$A:$J,7,FALSE)</f>
        <v>CIS26MBG005</v>
      </c>
      <c r="H50" s="29" t="str">
        <f>VLOOKUP(A50,File!$A:$J,8,FALSE)</f>
        <v>Angel Maria Faustina Gomez</v>
      </c>
      <c r="I50" s="31">
        <f>VLOOKUP(A50,File!$A:$J,9,FALSE)</f>
        <v>46367</v>
      </c>
      <c r="J50" s="31" t="str">
        <f>VLOOKUP(A50,File!$A:$K,11,FALSE)</f>
        <v>Dec 2026</v>
      </c>
      <c r="K50" s="31" t="str">
        <f>VLOOKUP(A50,File!$A:$K,10,FALSE)</f>
        <v>In-Training</v>
      </c>
      <c r="L50" s="31" t="s">
        <v>4</v>
      </c>
      <c r="M50" t="str">
        <f>VLOOKUP(A50,Response!$A:$M,7,)</f>
        <v>PG (Paying Guest)</v>
      </c>
      <c r="N50" t="str">
        <f>VLOOKUP(A50,Response!$A:$M,8,)</f>
        <v>Adhi lakshmi pg for gents</v>
      </c>
      <c r="O50" s="4">
        <f>VLOOKUP(A50,Response!$A:$M,10,)</f>
        <v>1</v>
      </c>
      <c r="P50" t="str">
        <f>VLOOKUP(A50,Response!$A:$M,12,)</f>
        <v>No</v>
      </c>
      <c r="Q50" t="str">
        <f>VLOOKUP(A50,Response!$A:$M,11,)</f>
        <v>Egattur</v>
      </c>
      <c r="R50" t="s">
        <v>19</v>
      </c>
      <c r="S50" s="39" t="s">
        <v>37</v>
      </c>
    </row>
    <row r="51" spans="1:19">
      <c r="A51" s="3">
        <v>2531448</v>
      </c>
      <c r="B51" t="str">
        <f>VLOOKUP(A51,File!$A:$J,2,FALSE)</f>
        <v>Gummidi Sampath Kumar</v>
      </c>
      <c r="C51" s="29">
        <f>VLOOKUP(A51,File!$A:$J,5,FALSE)</f>
        <v>46252</v>
      </c>
      <c r="D51" s="29" t="str">
        <f>VLOOKUP(A51,File!$A:$J,3,FALSE)</f>
        <v>Male</v>
      </c>
      <c r="E51" s="29" t="str">
        <f>VLOOKUP(A51,File!$A:$J,4,FALSE)</f>
        <v>FTE</v>
      </c>
      <c r="F51" s="29" t="str">
        <f>VLOOKUP(A51,File!$A:$J,6,FALSE)</f>
        <v>Chennai</v>
      </c>
      <c r="G51" s="29" t="str">
        <f>VLOOKUP(A51,File!$A:$J,7,FALSE)</f>
        <v>CIS26AT007</v>
      </c>
      <c r="H51" s="29" t="str">
        <f>VLOOKUP(A51,File!$A:$J,8,FALSE)</f>
        <v>Uma Venkatachalam</v>
      </c>
      <c r="I51" s="31">
        <f>VLOOKUP(A51,File!$A:$J,9,FALSE)</f>
        <v>46365</v>
      </c>
      <c r="J51" s="31" t="str">
        <f>VLOOKUP(A51,File!$A:$K,11,FALSE)</f>
        <v>Dec 2026</v>
      </c>
      <c r="K51" s="31" t="str">
        <f>VLOOKUP(A51,File!$A:$K,10,FALSE)</f>
        <v>In-Training</v>
      </c>
      <c r="L51" s="31" t="s">
        <v>4</v>
      </c>
      <c r="M51" t="str">
        <f>VLOOKUP(A51,Response!$A:$M,7,)</f>
        <v>PG (Paying Guest)</v>
      </c>
      <c r="N51" t="str">
        <f>VLOOKUP(A51,Response!$A:$M,8,)</f>
        <v>AADHI LAKSHMI PG FOR GENTS , Egattur</v>
      </c>
      <c r="O51" s="4">
        <f>VLOOKUP(A51,Response!$A:$M,10,)</f>
        <v>4</v>
      </c>
      <c r="P51" t="str">
        <f>VLOOKUP(A51,Response!$A:$M,12,)</f>
        <v>No</v>
      </c>
      <c r="Q51" t="str">
        <f>VLOOKUP(A51,Response!$A:$M,11,)</f>
        <v>Siruseri</v>
      </c>
      <c r="R51" t="s">
        <v>19</v>
      </c>
      <c r="S51" s="39" t="s">
        <v>37</v>
      </c>
    </row>
    <row r="52" spans="1:19">
      <c r="A52" s="3">
        <v>2532902</v>
      </c>
      <c r="B52" t="str">
        <f>VLOOKUP(A52,File!$A:$J,2,FALSE)</f>
        <v>Santosh Dhurpat Narwad</v>
      </c>
      <c r="C52" s="29">
        <f>VLOOKUP(A52,File!$A:$J,5,FALSE)</f>
        <v>46259</v>
      </c>
      <c r="D52" s="29" t="str">
        <f>VLOOKUP(A52,File!$A:$J,3,FALSE)</f>
        <v>Male</v>
      </c>
      <c r="E52" s="29" t="str">
        <f>VLOOKUP(A52,File!$A:$J,4,FALSE)</f>
        <v>FTE</v>
      </c>
      <c r="F52" s="29" t="str">
        <f>VLOOKUP(A52,File!$A:$J,6,FALSE)</f>
        <v>Chennai</v>
      </c>
      <c r="G52" s="29" t="str">
        <f>VLOOKUP(A52,File!$A:$J,7,FALSE)</f>
        <v>CIS26MBG007</v>
      </c>
      <c r="H52" s="29" t="str">
        <f>VLOOKUP(A52,File!$A:$J,8,FALSE)</f>
        <v>Lawrance M</v>
      </c>
      <c r="I52" s="31">
        <f>VLOOKUP(A52,File!$A:$J,9,FALSE)</f>
        <v>46367</v>
      </c>
      <c r="J52" s="31" t="str">
        <f>VLOOKUP(A52,File!$A:$K,11,FALSE)</f>
        <v>Dec 2026</v>
      </c>
      <c r="K52" s="31" t="str">
        <f>VLOOKUP(A52,File!$A:$K,10,FALSE)</f>
        <v>In-Training</v>
      </c>
      <c r="L52" s="31" t="s">
        <v>4</v>
      </c>
      <c r="M52" t="str">
        <f>VLOOKUP(A52,Response!$A:$M,7,)</f>
        <v>PG (Paying Guest)</v>
      </c>
      <c r="N52" t="str">
        <f>VLOOKUP(A52,Response!$A:$M,8,)</f>
        <v>AADHI LAKSHMI PG FOR GENTS , Egattur</v>
      </c>
      <c r="O52" s="4">
        <f>VLOOKUP(A52,Response!$A:$M,10,)</f>
        <v>2</v>
      </c>
      <c r="P52" t="str">
        <f>VLOOKUP(A52,Response!$A:$M,12,)</f>
        <v>No</v>
      </c>
      <c r="Q52" t="str">
        <f>VLOOKUP(A52,Response!$A:$M,11,)</f>
        <v>Egattur</v>
      </c>
      <c r="R52" t="s">
        <v>19</v>
      </c>
      <c r="S52" s="39" t="s">
        <v>37</v>
      </c>
    </row>
    <row r="53" spans="1:19">
      <c r="A53" s="3">
        <v>2521130</v>
      </c>
      <c r="B53" t="str">
        <f>VLOOKUP(A53,File!$A:$J,2,FALSE)</f>
        <v>Patnam Harika</v>
      </c>
      <c r="C53" s="29">
        <f>VLOOKUP(A53,File!$A:$J,5,FALSE)</f>
        <v>46210</v>
      </c>
      <c r="D53" s="29" t="str">
        <f>VLOOKUP(A53,File!$A:$J,3,FALSE)</f>
        <v>Female</v>
      </c>
      <c r="E53" s="29" t="str">
        <f>VLOOKUP(A53,File!$A:$J,4,FALSE)</f>
        <v>FTE</v>
      </c>
      <c r="F53" s="29" t="str">
        <f>VLOOKUP(A53,File!$A:$J,6,FALSE)</f>
        <v>Chennai</v>
      </c>
      <c r="G53" s="29" t="str">
        <f>VLOOKUP(A53,File!$A:$J,7,FALSE)</f>
        <v>CIS26SN001</v>
      </c>
      <c r="H53" s="29" t="str">
        <f>VLOOKUP(A53,File!$A:$J,8,FALSE)</f>
        <v>Ashiya Begam S</v>
      </c>
      <c r="I53" s="31">
        <f>VLOOKUP(A53,File!$A:$J,9,FALSE)</f>
        <v>46281</v>
      </c>
      <c r="J53" s="31" t="str">
        <f>VLOOKUP(A53,File!$A:$K,11,FALSE)</f>
        <v>Sep 2026</v>
      </c>
      <c r="K53" s="31" t="str">
        <f>VLOOKUP(A53,File!$A:$K,10,FALSE)</f>
        <v>In-Training</v>
      </c>
      <c r="L53" s="31" t="s">
        <v>4</v>
      </c>
      <c r="M53" t="str">
        <f>VLOOKUP(A53,Response!$A:$M,7,)</f>
        <v>PG (Paying Guest)</v>
      </c>
      <c r="N53" t="str">
        <f>VLOOKUP(A53,Response!$A:$M,8,)</f>
        <v>Aditi Womens Hostel, Egattur</v>
      </c>
      <c r="O53" s="4">
        <f>VLOOKUP(A53,Response!$A:$M,10,)</f>
        <v>1</v>
      </c>
      <c r="P53" t="str">
        <f>VLOOKUP(A53,Response!$A:$M,12,)</f>
        <v>No</v>
      </c>
      <c r="Q53" t="str">
        <f>VLOOKUP(A53,Response!$A:$M,11,)</f>
        <v>Egattur</v>
      </c>
      <c r="R53" t="s">
        <v>19</v>
      </c>
      <c r="S53" s="39" t="s">
        <v>37</v>
      </c>
    </row>
    <row r="54" spans="1:19">
      <c r="A54" s="3">
        <v>2522854</v>
      </c>
      <c r="B54" t="str">
        <f>VLOOKUP(A54,File!$A:$J,2,FALSE)</f>
        <v>Nandika Sakthi V</v>
      </c>
      <c r="C54" s="29">
        <f>VLOOKUP(A54,File!$A:$J,5,FALSE)</f>
        <v>46217</v>
      </c>
      <c r="D54" s="29" t="str">
        <f>VLOOKUP(A54,File!$A:$J,3,FALSE)</f>
        <v>Female</v>
      </c>
      <c r="E54" s="29" t="str">
        <f>VLOOKUP(A54,File!$A:$J,4,FALSE)</f>
        <v>FTE</v>
      </c>
      <c r="F54" s="29" t="str">
        <f>VLOOKUP(A54,File!$A:$J,6,FALSE)</f>
        <v>Chennai</v>
      </c>
      <c r="G54" s="29" t="str">
        <f>VLOOKUP(A54,File!$A:$J,7,FALSE)</f>
        <v>CIS26MCPT017</v>
      </c>
      <c r="H54" s="29" t="str">
        <f>VLOOKUP(A54,File!$A:$J,8,FALSE)</f>
        <v>Haritha P</v>
      </c>
      <c r="I54" s="31">
        <f>VLOOKUP(A54,File!$A:$J,9,FALSE)</f>
        <v>46335</v>
      </c>
      <c r="J54" s="31" t="str">
        <f>VLOOKUP(A54,File!$A:$K,11,FALSE)</f>
        <v>Nov 2026</v>
      </c>
      <c r="K54" s="31" t="str">
        <f>VLOOKUP(A54,File!$A:$K,10,FALSE)</f>
        <v>In-Training</v>
      </c>
      <c r="L54" s="31" t="s">
        <v>4</v>
      </c>
      <c r="M54" t="str">
        <f>VLOOKUP(A54,Response!$A:$M,7,)</f>
        <v>PG (Paying Guest)</v>
      </c>
      <c r="N54" t="str">
        <f>VLOOKUP(A54,Response!$A:$M,8,)</f>
        <v>Aditi Womens Hostel, Egattur</v>
      </c>
      <c r="O54" s="4">
        <f>VLOOKUP(A54,Response!$A:$M,10,)</f>
        <v>2</v>
      </c>
      <c r="P54" t="str">
        <f>VLOOKUP(A54,Response!$A:$M,12,)</f>
        <v>Yes</v>
      </c>
      <c r="Q54" t="str">
        <f>VLOOKUP(A54,Response!$A:$M,11,)</f>
        <v>Siruseri</v>
      </c>
      <c r="R54" t="s">
        <v>19</v>
      </c>
      <c r="S54" s="39" t="s">
        <v>37</v>
      </c>
    </row>
    <row r="55" spans="1:19">
      <c r="A55" s="3">
        <v>2531280</v>
      </c>
      <c r="B55" t="str">
        <f>VLOOKUP(A55,File!$A:$J,2,FALSE)</f>
        <v>Rethanya C</v>
      </c>
      <c r="C55" s="29">
        <f>VLOOKUP(A55,File!$A:$J,5,FALSE)</f>
        <v>46252</v>
      </c>
      <c r="D55" s="29" t="str">
        <f>VLOOKUP(A55,File!$A:$J,3,FALSE)</f>
        <v>Female</v>
      </c>
      <c r="E55" s="29" t="str">
        <f>VLOOKUP(A55,File!$A:$J,4,FALSE)</f>
        <v>FTE</v>
      </c>
      <c r="F55" s="29" t="str">
        <f>VLOOKUP(A55,File!$A:$J,6,FALSE)</f>
        <v>Chennai</v>
      </c>
      <c r="G55" s="29" t="str">
        <f>VLOOKUP(A55,File!$A:$J,7,FALSE)</f>
        <v>EPS26SAP033</v>
      </c>
      <c r="H55" s="29" t="str">
        <f>VLOOKUP(A55,File!$A:$J,8,FALSE)</f>
        <v>Ajith Ganesan</v>
      </c>
      <c r="I55" s="31">
        <f>VLOOKUP(A55,File!$A:$J,9,FALSE)</f>
        <v>46330</v>
      </c>
      <c r="J55" s="31" t="str">
        <f>VLOOKUP(A55,File!$A:$K,11,FALSE)</f>
        <v>Nov 2026</v>
      </c>
      <c r="K55" s="31" t="str">
        <f>VLOOKUP(A55,File!$A:$K,10,FALSE)</f>
        <v>In-Training</v>
      </c>
      <c r="L55" s="31" t="s">
        <v>4</v>
      </c>
      <c r="M55" t="str">
        <f>VLOOKUP(A55,Response!$A:$M,7,)</f>
        <v>PG (Paying Guest)</v>
      </c>
      <c r="N55" t="str">
        <f>VLOOKUP(A55,Response!$A:$M,8,)</f>
        <v>Aditi Womens Hostel, Egattur</v>
      </c>
      <c r="O55" s="4">
        <f>VLOOKUP(A55,Response!$A:$M,10,)</f>
        <v>3</v>
      </c>
      <c r="P55" t="str">
        <f>VLOOKUP(A55,Response!$A:$M,12,)</f>
        <v>Yes</v>
      </c>
      <c r="Q55" t="str">
        <f>VLOOKUP(A55,Response!$A:$M,11,)</f>
        <v>Siruseri</v>
      </c>
      <c r="R55" t="s">
        <v>19</v>
      </c>
      <c r="S55" s="39" t="s">
        <v>37</v>
      </c>
    </row>
    <row r="56" spans="1:19">
      <c r="A56" s="3">
        <v>2533066</v>
      </c>
      <c r="B56" t="str">
        <f>VLOOKUP(A56,File!$A:$J,2,FALSE)</f>
        <v>Saranya C R</v>
      </c>
      <c r="C56" s="29">
        <f>VLOOKUP(A56,File!$A:$J,5,FALSE)</f>
        <v>46259</v>
      </c>
      <c r="D56" s="29" t="str">
        <f>VLOOKUP(A56,File!$A:$J,3,FALSE)</f>
        <v>Female</v>
      </c>
      <c r="E56" s="29" t="str">
        <f>VLOOKUP(A56,File!$A:$J,4,FALSE)</f>
        <v>FTE</v>
      </c>
      <c r="F56" s="29" t="str">
        <f>VLOOKUP(A56,File!$A:$J,6,FALSE)</f>
        <v>Chennai</v>
      </c>
      <c r="G56" s="29" t="str">
        <f>VLOOKUP(A56,File!$A:$J,7,FALSE)</f>
        <v>CIS26MBG007</v>
      </c>
      <c r="H56" s="29" t="str">
        <f>VLOOKUP(A56,File!$A:$J,8,FALSE)</f>
        <v>Lawrance M</v>
      </c>
      <c r="I56" s="31">
        <f>VLOOKUP(A56,File!$A:$J,9,FALSE)</f>
        <v>46367</v>
      </c>
      <c r="J56" s="31" t="str">
        <f>VLOOKUP(A56,File!$A:$K,11,FALSE)</f>
        <v>Dec 2026</v>
      </c>
      <c r="K56" s="31" t="str">
        <f>VLOOKUP(A56,File!$A:$K,10,FALSE)</f>
        <v>In-Training</v>
      </c>
      <c r="L56" s="31" t="s">
        <v>4</v>
      </c>
      <c r="M56" t="str">
        <f>VLOOKUP(A56,Response!$A:$M,7,)</f>
        <v>PG (Paying Guest)</v>
      </c>
      <c r="N56" t="str">
        <f>VLOOKUP(A56,Response!$A:$M,8,)</f>
        <v>Aditi Womens Hostel, Egattur</v>
      </c>
      <c r="O56" s="4">
        <f>VLOOKUP(A56,Response!$A:$M,10,)</f>
        <v>1</v>
      </c>
      <c r="P56" t="str">
        <f>VLOOKUP(A56,Response!$A:$M,12,)</f>
        <v>Yes</v>
      </c>
      <c r="Q56" t="str">
        <f>VLOOKUP(A56,Response!$A:$M,11,)</f>
        <v>Egattur</v>
      </c>
      <c r="R56" t="s">
        <v>19</v>
      </c>
      <c r="S56" s="39" t="s">
        <v>37</v>
      </c>
    </row>
    <row r="57" spans="1:19">
      <c r="A57" s="3">
        <v>2521107</v>
      </c>
      <c r="B57" t="str">
        <f>VLOOKUP(A57,File!$A:$J,2,FALSE)</f>
        <v>Mude Jansi</v>
      </c>
      <c r="C57" s="29">
        <f>VLOOKUP(A57,File!$A:$J,5,FALSE)</f>
        <v>46210</v>
      </c>
      <c r="D57" s="29" t="str">
        <f>VLOOKUP(A57,File!$A:$J,3,FALSE)</f>
        <v>Female</v>
      </c>
      <c r="E57" s="29" t="str">
        <f>VLOOKUP(A57,File!$A:$J,4,FALSE)</f>
        <v>FTE</v>
      </c>
      <c r="F57" s="29" t="str">
        <f>VLOOKUP(A57,File!$A:$J,6,FALSE)</f>
        <v>Chennai</v>
      </c>
      <c r="G57" s="29" t="str">
        <f>VLOOKUP(A57,File!$A:$J,7,FALSE)</f>
        <v>CIS26SN001</v>
      </c>
      <c r="H57" s="29" t="str">
        <f>VLOOKUP(A57,File!$A:$J,8,FALSE)</f>
        <v>Ashiya Begam S</v>
      </c>
      <c r="I57" s="31">
        <f>VLOOKUP(A57,File!$A:$J,9,FALSE)</f>
        <v>46281</v>
      </c>
      <c r="J57" s="31" t="str">
        <f>VLOOKUP(A57,File!$A:$K,11,FALSE)</f>
        <v>Sep 2026</v>
      </c>
      <c r="K57" s="31" t="str">
        <f>VLOOKUP(A57,File!$A:$K,10,FALSE)</f>
        <v>In-Training</v>
      </c>
      <c r="L57" s="31" t="s">
        <v>4</v>
      </c>
      <c r="M57" t="str">
        <f>VLOOKUP(A57,Response!$A:$M,7,)</f>
        <v>PG (Paying Guest)</v>
      </c>
      <c r="N57" t="str">
        <f>VLOOKUP(A57,Response!$A:$M,8,)</f>
        <v>Aditi Womens Hostel, Egattur</v>
      </c>
      <c r="O57" s="4">
        <f>VLOOKUP(A57,Response!$A:$M,10,)</f>
        <v>1</v>
      </c>
      <c r="P57" t="str">
        <f>VLOOKUP(A57,Response!$A:$M,12,)</f>
        <v>No</v>
      </c>
      <c r="Q57" t="str">
        <f>VLOOKUP(A57,Response!$A:$M,11,)</f>
        <v>Egattur</v>
      </c>
      <c r="R57" t="s">
        <v>19</v>
      </c>
      <c r="S57" s="39" t="s">
        <v>37</v>
      </c>
    </row>
    <row r="58" spans="1:19">
      <c r="A58" s="3">
        <v>2532927</v>
      </c>
      <c r="B58" t="str">
        <f>VLOOKUP(A58,File!$A:$J,2,FALSE)</f>
        <v>Somana Sindhu Lahari</v>
      </c>
      <c r="C58" s="29">
        <f>VLOOKUP(A58,File!$A:$J,5,FALSE)</f>
        <v>46259</v>
      </c>
      <c r="D58" s="29" t="str">
        <f>VLOOKUP(A58,File!$A:$J,3,FALSE)</f>
        <v>Female</v>
      </c>
      <c r="E58" s="29" t="str">
        <f>VLOOKUP(A58,File!$A:$J,4,FALSE)</f>
        <v>FTE</v>
      </c>
      <c r="F58" s="29" t="str">
        <f>VLOOKUP(A58,File!$A:$J,6,FALSE)</f>
        <v>Chennai</v>
      </c>
      <c r="G58" s="29" t="str">
        <f>VLOOKUP(A58,File!$A:$J,7,FALSE)</f>
        <v>CIS26MBG005</v>
      </c>
      <c r="H58" s="29" t="str">
        <f>VLOOKUP(A58,File!$A:$J,8,FALSE)</f>
        <v>Angel Maria Faustina Gomez</v>
      </c>
      <c r="I58" s="31">
        <f>VLOOKUP(A58,File!$A:$J,9,FALSE)</f>
        <v>46367</v>
      </c>
      <c r="J58" s="31" t="str">
        <f>VLOOKUP(A58,File!$A:$K,11,FALSE)</f>
        <v>Dec 2026</v>
      </c>
      <c r="K58" s="31" t="str">
        <f>VLOOKUP(A58,File!$A:$K,10,FALSE)</f>
        <v>In-Training</v>
      </c>
      <c r="L58" s="31" t="s">
        <v>4</v>
      </c>
      <c r="M58" t="str">
        <f>VLOOKUP(A58,Response!$A:$M,7,)</f>
        <v>PG (Paying Guest)</v>
      </c>
      <c r="N58" t="str">
        <f>VLOOKUP(A58,Response!$A:$M,8,)</f>
        <v>aditi womens pg, egatur</v>
      </c>
      <c r="O58" s="4">
        <f>VLOOKUP(A58,Response!$A:$M,10,)</f>
        <v>1</v>
      </c>
      <c r="P58" t="str">
        <f>VLOOKUP(A58,Response!$A:$M,12,)</f>
        <v>No</v>
      </c>
      <c r="Q58" t="str">
        <f>VLOOKUP(A58,Response!$A:$M,11,)</f>
        <v>Egattur</v>
      </c>
      <c r="R58" t="s">
        <v>19</v>
      </c>
      <c r="S58" s="39" t="s">
        <v>37</v>
      </c>
    </row>
    <row r="59" spans="1:19">
      <c r="A59" s="3">
        <v>2512363</v>
      </c>
      <c r="B59" t="str">
        <f>VLOOKUP(A59,File!$A:$J,2,FALSE)</f>
        <v>Rodrigues Serena</v>
      </c>
      <c r="C59" s="29">
        <f>VLOOKUP(A59,File!$A:$J,5,FALSE)</f>
        <v>46170</v>
      </c>
      <c r="D59" s="29" t="str">
        <f>VLOOKUP(A59,File!$A:$J,3,FALSE)</f>
        <v>Female</v>
      </c>
      <c r="E59" s="29" t="str">
        <f>VLOOKUP(A59,File!$A:$J,4,FALSE)</f>
        <v>FTE</v>
      </c>
      <c r="F59" s="29" t="str">
        <f>VLOOKUP(A59,File!$A:$J,6,FALSE)</f>
        <v>Chennai</v>
      </c>
      <c r="G59" s="29" t="str">
        <f>VLOOKUP(A59,File!$A:$J,7,FALSE)</f>
        <v>CIS26MCPT012</v>
      </c>
      <c r="H59" s="29" t="str">
        <f>VLOOKUP(A59,File!$A:$J,8,FALSE)</f>
        <v>Uma Venkatachalam</v>
      </c>
      <c r="I59" s="31">
        <f>VLOOKUP(A59,File!$A:$J,9,FALSE)</f>
        <v>46282</v>
      </c>
      <c r="J59" s="31" t="str">
        <f>VLOOKUP(A59,File!$A:$K,11,FALSE)</f>
        <v>Sep 2026</v>
      </c>
      <c r="K59" s="31" t="str">
        <f>VLOOKUP(A59,File!$A:$K,10,FALSE)</f>
        <v>In-Training</v>
      </c>
      <c r="L59" s="31" t="s">
        <v>4</v>
      </c>
      <c r="M59" t="str">
        <f>VLOOKUP(A59,Response!$A:$M,7,)</f>
        <v>PG (Paying Guest)</v>
      </c>
      <c r="N59" t="str">
        <f>VLOOKUP(A59,Response!$A:$M,8,)</f>
        <v>AG Womens PG - brach 1, egattur</v>
      </c>
      <c r="O59" s="4">
        <f>VLOOKUP(A59,Response!$A:$M,10,)</f>
        <v>2</v>
      </c>
      <c r="P59" t="str">
        <f>VLOOKUP(A59,Response!$A:$M,12,)</f>
        <v>No</v>
      </c>
      <c r="Q59" t="str">
        <f>VLOOKUP(A59,Response!$A:$M,11,)</f>
        <v>Egattur</v>
      </c>
      <c r="R59" t="s">
        <v>19</v>
      </c>
      <c r="S59" s="39" t="s">
        <v>37</v>
      </c>
    </row>
    <row r="60" spans="1:19">
      <c r="A60" s="3">
        <v>2524665</v>
      </c>
      <c r="B60" t="str">
        <f>VLOOKUP(A60,File!$A:$J,2,FALSE)</f>
        <v>M Alagu Divya Shree</v>
      </c>
      <c r="C60" s="29">
        <f>VLOOKUP(A60,File!$A:$J,5,FALSE)</f>
        <v>46224</v>
      </c>
      <c r="D60" s="29" t="str">
        <f>VLOOKUP(A60,File!$A:$J,3,FALSE)</f>
        <v>Female</v>
      </c>
      <c r="E60" s="29" t="str">
        <f>VLOOKUP(A60,File!$A:$J,4,FALSE)</f>
        <v>FTE</v>
      </c>
      <c r="F60" s="29" t="str">
        <f>VLOOKUP(A60,File!$A:$J,6,FALSE)</f>
        <v>Chennai</v>
      </c>
      <c r="G60" s="29" t="str">
        <f>VLOOKUP(A60,File!$A:$J,7,FALSE)</f>
        <v>ADM26DFSA007</v>
      </c>
      <c r="H60" s="29" t="str">
        <f>VLOOKUP(A60,File!$A:$J,8,FALSE)</f>
        <v>Sweta Thoppil</v>
      </c>
      <c r="I60" s="31">
        <f>VLOOKUP(A60,File!$A:$J,9,FALSE)</f>
        <v>46336</v>
      </c>
      <c r="J60" s="31" t="str">
        <f>VLOOKUP(A60,File!$A:$K,11,FALSE)</f>
        <v>Nov 2026</v>
      </c>
      <c r="K60" s="31" t="str">
        <f>VLOOKUP(A60,File!$A:$K,10,FALSE)</f>
        <v>In-Training</v>
      </c>
      <c r="L60" s="31" t="s">
        <v>4</v>
      </c>
      <c r="M60" t="str">
        <f>VLOOKUP(A60,Response!$A:$M,7,)</f>
        <v>PG (Paying Guest)</v>
      </c>
      <c r="N60" t="str">
        <f>VLOOKUP(A60,Response!$A:$M,8,)</f>
        <v>AG Womens PG ,Egattur</v>
      </c>
      <c r="O60" s="4">
        <f>VLOOKUP(A60,Response!$A:$M,10,)</f>
        <v>1</v>
      </c>
      <c r="P60" t="str">
        <f>VLOOKUP(A60,Response!$A:$M,12,)</f>
        <v>No</v>
      </c>
      <c r="Q60" t="str">
        <f>VLOOKUP(A60,Response!$A:$M,11,)</f>
        <v>Egattur</v>
      </c>
      <c r="R60" t="s">
        <v>19</v>
      </c>
      <c r="S60" s="39" t="s">
        <v>37</v>
      </c>
    </row>
    <row r="61" spans="1:19">
      <c r="A61" s="3">
        <v>2533215</v>
      </c>
      <c r="B61" t="str">
        <f>VLOOKUP(A61,File!$A:$J,2,FALSE)</f>
        <v>Lakshmi Sree Chegondi</v>
      </c>
      <c r="C61" s="29">
        <f>VLOOKUP(A61,File!$A:$J,5,FALSE)</f>
        <v>46259</v>
      </c>
      <c r="D61" s="29" t="str">
        <f>VLOOKUP(A61,File!$A:$J,3,FALSE)</f>
        <v>Female</v>
      </c>
      <c r="E61" s="29" t="str">
        <f>VLOOKUP(A61,File!$A:$J,4,FALSE)</f>
        <v>FTE</v>
      </c>
      <c r="F61" s="29" t="str">
        <f>VLOOKUP(A61,File!$A:$J,6,FALSE)</f>
        <v>Chennai</v>
      </c>
      <c r="G61" s="29" t="str">
        <f>VLOOKUP(A61,File!$A:$J,7,FALSE)</f>
        <v>IOT26CSJ002</v>
      </c>
      <c r="H61" s="29" t="str">
        <f>VLOOKUP(A61,File!$A:$J,8,FALSE)</f>
        <v>Pavithra Kandasamy</v>
      </c>
      <c r="I61" s="31">
        <f>VLOOKUP(A61,File!$A:$J,9,FALSE)</f>
        <v>46337</v>
      </c>
      <c r="J61" s="31" t="str">
        <f>VLOOKUP(A61,File!$A:$K,11,FALSE)</f>
        <v>Nov 2026</v>
      </c>
      <c r="K61" s="31" t="str">
        <f>VLOOKUP(A61,File!$A:$K,10,FALSE)</f>
        <v>In-Training</v>
      </c>
      <c r="L61" s="31" t="s">
        <v>4</v>
      </c>
      <c r="M61" t="str">
        <f>VLOOKUP(A61,Response!$A:$M,7,)</f>
        <v>PG (Paying Guest)</v>
      </c>
      <c r="N61" t="str">
        <f>VLOOKUP(A61,Response!$A:$M,8,)</f>
        <v>AJ Ladies Hostel</v>
      </c>
      <c r="O61" s="4" t="str">
        <f>VLOOKUP(A61,Response!$A:$M,10,)</f>
        <v>GF</v>
      </c>
      <c r="P61" t="str">
        <f>VLOOKUP(A61,Response!$A:$M,12,)</f>
        <v>No</v>
      </c>
      <c r="Q61" t="str">
        <f>VLOOKUP(A61,Response!$A:$M,11,)</f>
        <v>Egattur</v>
      </c>
      <c r="R61" t="s">
        <v>19</v>
      </c>
      <c r="S61" s="39" t="s">
        <v>37</v>
      </c>
    </row>
    <row r="62" spans="1:19">
      <c r="A62" s="3">
        <v>2533179</v>
      </c>
      <c r="B62" t="str">
        <f>VLOOKUP(A62,File!$A:$J,2,FALSE)</f>
        <v>Miriyala Jaya Satya Susmitha</v>
      </c>
      <c r="C62" s="29">
        <f>VLOOKUP(A62,File!$A:$J,5,FALSE)</f>
        <v>46259</v>
      </c>
      <c r="D62" s="29" t="str">
        <f>VLOOKUP(A62,File!$A:$J,3,FALSE)</f>
        <v>Female</v>
      </c>
      <c r="E62" s="29" t="str">
        <f>VLOOKUP(A62,File!$A:$J,4,FALSE)</f>
        <v>FTE</v>
      </c>
      <c r="F62" s="29" t="str">
        <f>VLOOKUP(A62,File!$A:$J,6,FALSE)</f>
        <v>Chennai</v>
      </c>
      <c r="G62" s="29" t="str">
        <f>VLOOKUP(A62,File!$A:$J,7,FALSE)</f>
        <v>IOT26CSJ002</v>
      </c>
      <c r="H62" s="29" t="str">
        <f>VLOOKUP(A62,File!$A:$J,8,FALSE)</f>
        <v>Pavithra Kandasamy</v>
      </c>
      <c r="I62" s="31">
        <f>VLOOKUP(A62,File!$A:$J,9,FALSE)</f>
        <v>46337</v>
      </c>
      <c r="J62" s="31" t="str">
        <f>VLOOKUP(A62,File!$A:$K,11,FALSE)</f>
        <v>Nov 2026</v>
      </c>
      <c r="K62" s="31" t="str">
        <f>VLOOKUP(A62,File!$A:$K,10,FALSE)</f>
        <v>In-Training</v>
      </c>
      <c r="L62" s="31" t="s">
        <v>4</v>
      </c>
      <c r="M62" t="str">
        <f>VLOOKUP(A62,Response!$A:$M,7,)</f>
        <v>PG (Paying Guest)</v>
      </c>
      <c r="N62" t="str">
        <f>VLOOKUP(A62,Response!$A:$M,8,)</f>
        <v>AJ LADIES HOSTEL</v>
      </c>
      <c r="O62" s="4" t="str">
        <f>VLOOKUP(A62,Response!$A:$M,10,)</f>
        <v>GF</v>
      </c>
      <c r="P62" t="str">
        <f>VLOOKUP(A62,Response!$A:$M,12,)</f>
        <v>No</v>
      </c>
      <c r="Q62" t="str">
        <f>VLOOKUP(A62,Response!$A:$M,11,)</f>
        <v>Navalur</v>
      </c>
      <c r="R62" t="s">
        <v>19</v>
      </c>
      <c r="S62" s="39" t="s">
        <v>37</v>
      </c>
    </row>
    <row r="63" spans="1:19">
      <c r="A63" s="3">
        <v>2533157</v>
      </c>
      <c r="B63" t="str">
        <f>VLOOKUP(A63,File!$A:$J,2,FALSE)</f>
        <v>Anuhya Kondapalli</v>
      </c>
      <c r="C63" s="29">
        <f>VLOOKUP(A63,File!$A:$J,5,FALSE)</f>
        <v>46259</v>
      </c>
      <c r="D63" s="29" t="str">
        <f>VLOOKUP(A63,File!$A:$J,3,FALSE)</f>
        <v>Female</v>
      </c>
      <c r="E63" s="29" t="str">
        <f>VLOOKUP(A63,File!$A:$J,4,FALSE)</f>
        <v>FTE</v>
      </c>
      <c r="F63" s="29" t="str">
        <f>VLOOKUP(A63,File!$A:$J,6,FALSE)</f>
        <v>Chennai</v>
      </c>
      <c r="G63" s="29" t="str">
        <f>VLOOKUP(A63,File!$A:$J,7,FALSE)</f>
        <v>CIS26MBG006</v>
      </c>
      <c r="H63" s="29" t="str">
        <f>VLOOKUP(A63,File!$A:$J,8,FALSE)</f>
        <v>Angel Maria Faustina Gomez</v>
      </c>
      <c r="I63" s="31">
        <f>VLOOKUP(A63,File!$A:$J,9,FALSE)</f>
        <v>46367</v>
      </c>
      <c r="J63" s="31" t="str">
        <f>VLOOKUP(A63,File!$A:$K,11,FALSE)</f>
        <v>Dec 2026</v>
      </c>
      <c r="K63" s="31" t="str">
        <f>VLOOKUP(A63,File!$A:$K,10,FALSE)</f>
        <v>In-Training</v>
      </c>
      <c r="L63" s="31" t="s">
        <v>4</v>
      </c>
      <c r="M63" t="str">
        <f>VLOOKUP(A63,Response!$A:$M,7,)</f>
        <v>PG (Paying Guest)</v>
      </c>
      <c r="N63" t="str">
        <f>VLOOKUP(A63,Response!$A:$M,8,)</f>
        <v xml:space="preserve">Aj ladies hostel </v>
      </c>
      <c r="O63" s="4" t="str">
        <f>VLOOKUP(A63,Response!$A:$M,10,)</f>
        <v>GF</v>
      </c>
      <c r="P63" t="str">
        <f>VLOOKUP(A63,Response!$A:$M,12,)</f>
        <v>No</v>
      </c>
      <c r="Q63" t="str">
        <f>VLOOKUP(A63,Response!$A:$M,11,)</f>
        <v>Egattur</v>
      </c>
      <c r="R63" t="s">
        <v>19</v>
      </c>
      <c r="S63" s="39" t="s">
        <v>37</v>
      </c>
    </row>
    <row r="64" spans="1:19">
      <c r="A64" s="3">
        <v>2521834</v>
      </c>
      <c r="B64" t="str">
        <f>VLOOKUP(A64,File!$A:$J,2,FALSE)</f>
        <v>Mahesh Mekala</v>
      </c>
      <c r="C64" s="29">
        <f>VLOOKUP(A64,File!$A:$J,5,FALSE)</f>
        <v>46212</v>
      </c>
      <c r="D64" s="29" t="str">
        <f>VLOOKUP(A64,File!$A:$J,3,FALSE)</f>
        <v>Male</v>
      </c>
      <c r="E64" s="29" t="str">
        <f>VLOOKUP(A64,File!$A:$J,4,FALSE)</f>
        <v>FTE</v>
      </c>
      <c r="F64" s="29" t="str">
        <f>VLOOKUP(A64,File!$A:$J,6,FALSE)</f>
        <v>Chennai</v>
      </c>
      <c r="G64" s="29" t="str">
        <f>VLOOKUP(A64,File!$A:$J,7,FALSE)</f>
        <v>QEA26SD001</v>
      </c>
      <c r="H64" s="29" t="str">
        <f>VLOOKUP(A64,File!$A:$J,8,FALSE)</f>
        <v>Ajiesya D P</v>
      </c>
      <c r="I64" s="31">
        <f>VLOOKUP(A64,File!$A:$J,9,FALSE)</f>
        <v>46329</v>
      </c>
      <c r="J64" s="31" t="str">
        <f>VLOOKUP(A64,File!$A:$K,11,FALSE)</f>
        <v>Nov 2026</v>
      </c>
      <c r="K64" s="31" t="str">
        <f>VLOOKUP(A64,File!$A:$K,10,FALSE)</f>
        <v>In-Training</v>
      </c>
      <c r="L64" s="31" t="s">
        <v>5</v>
      </c>
      <c r="M64" t="str">
        <f>VLOOKUP(A64,Response!$A:$M,7,)</f>
        <v>Relatives Residence</v>
      </c>
      <c r="N64" t="str">
        <f>VLOOKUP(A64,Response!$A:$M,8,)</f>
        <v>AKKARAI BACE, SAI BABA GARDEN, AKKARAI</v>
      </c>
      <c r="O64" s="4" t="str">
        <f>VLOOKUP(A64,Response!$A:$M,10,)</f>
        <v>GF</v>
      </c>
      <c r="P64" t="str">
        <f>VLOOKUP(A64,Response!$A:$M,12,)</f>
        <v>No</v>
      </c>
      <c r="Q64" t="str">
        <f>VLOOKUP(A64,Response!$A:$M,11,)</f>
        <v>Akkarai</v>
      </c>
      <c r="S64" t="s">
        <v>38</v>
      </c>
    </row>
    <row r="65" spans="1:19">
      <c r="A65" s="3">
        <v>2532932</v>
      </c>
      <c r="B65" t="str">
        <f>VLOOKUP(A65,File!$A:$J,2,FALSE)</f>
        <v>Vishalakshi Sudhakar Muthulakshmi</v>
      </c>
      <c r="C65" s="29">
        <f>VLOOKUP(A65,File!$A:$J,5,FALSE)</f>
        <v>46259</v>
      </c>
      <c r="D65" s="29" t="str">
        <f>VLOOKUP(A65,File!$A:$J,3,FALSE)</f>
        <v>Female</v>
      </c>
      <c r="E65" s="29" t="str">
        <f>VLOOKUP(A65,File!$A:$J,4,FALSE)</f>
        <v>FTE</v>
      </c>
      <c r="F65" s="29" t="str">
        <f>VLOOKUP(A65,File!$A:$J,6,FALSE)</f>
        <v>Chennai</v>
      </c>
      <c r="G65" s="29" t="str">
        <f>VLOOKUP(A65,File!$A:$J,7,FALSE)</f>
        <v>IOT26CSJ002</v>
      </c>
      <c r="H65" s="29" t="str">
        <f>VLOOKUP(A65,File!$A:$J,8,FALSE)</f>
        <v>Pavithra Kandasamy</v>
      </c>
      <c r="I65" s="31">
        <f>VLOOKUP(A65,File!$A:$J,9,FALSE)</f>
        <v>46337</v>
      </c>
      <c r="J65" s="31" t="str">
        <f>VLOOKUP(A65,File!$A:$K,11,FALSE)</f>
        <v>Nov 2026</v>
      </c>
      <c r="K65" s="31" t="str">
        <f>VLOOKUP(A65,File!$A:$K,10,FALSE)</f>
        <v>In-Training</v>
      </c>
      <c r="L65" s="31" t="s">
        <v>5</v>
      </c>
      <c r="M65" t="str">
        <f>VLOOKUP(A65,Response!$A:$M,7,)</f>
        <v>Permanent Residence (House/Home)</v>
      </c>
      <c r="N65" t="str">
        <f>VLOOKUP(A65,Response!$A:$M,8,)</f>
        <v>ALLIANCE HUMMING GARDEN VILLA NO 171</v>
      </c>
      <c r="O65" s="4" t="str">
        <f>VLOOKUP(A65,Response!$A:$M,10,)</f>
        <v>GF</v>
      </c>
      <c r="P65" t="str">
        <f>VLOOKUP(A65,Response!$A:$M,12,)</f>
        <v>No</v>
      </c>
      <c r="Q65" t="str">
        <f>VLOOKUP(A65,Response!$A:$M,11,)</f>
        <v>Kelambakkam</v>
      </c>
      <c r="R65" t="s">
        <v>15</v>
      </c>
      <c r="S65" t="s">
        <v>38</v>
      </c>
    </row>
    <row r="66" spans="1:19">
      <c r="A66" s="3">
        <v>2531408</v>
      </c>
      <c r="B66" t="str">
        <f>VLOOKUP(A66,File!$A:$J,2,FALSE)</f>
        <v>Ananya Vats</v>
      </c>
      <c r="C66" s="29">
        <f>VLOOKUP(A66,File!$A:$J,5,FALSE)</f>
        <v>46252</v>
      </c>
      <c r="D66" s="29" t="str">
        <f>VLOOKUP(A66,File!$A:$J,3,FALSE)</f>
        <v>Female</v>
      </c>
      <c r="E66" s="29" t="str">
        <f>VLOOKUP(A66,File!$A:$J,4,FALSE)</f>
        <v>FTE</v>
      </c>
      <c r="F66" s="29" t="str">
        <f>VLOOKUP(A66,File!$A:$J,6,FALSE)</f>
        <v>Chennai</v>
      </c>
      <c r="G66" s="29" t="str">
        <f>VLOOKUP(A66,File!$A:$J,7,FALSE)</f>
        <v>EPS26SAP036</v>
      </c>
      <c r="H66" s="29" t="str">
        <f>VLOOKUP(A66,File!$A:$J,8,FALSE)</f>
        <v>Vishnupriya Dakshnamurthy</v>
      </c>
      <c r="I66" s="31">
        <f>VLOOKUP(A66,File!$A:$J,9,FALSE)</f>
        <v>46335</v>
      </c>
      <c r="J66" s="31" t="str">
        <f>VLOOKUP(A66,File!$A:$K,11,FALSE)</f>
        <v>Nov 2026</v>
      </c>
      <c r="K66" s="31" t="str">
        <f>VLOOKUP(A66,File!$A:$K,10,FALSE)</f>
        <v>In-Training</v>
      </c>
      <c r="L66" s="31" t="s">
        <v>5</v>
      </c>
      <c r="M66" t="str">
        <f>VLOOKUP(A66,Response!$A:$M,7,)</f>
        <v>Permanent Residence (House/Home)</v>
      </c>
      <c r="N66" t="str">
        <f>VLOOKUP(A66,Response!$A:$M,8,)</f>
        <v>Alliance Orchid Springs</v>
      </c>
      <c r="O66" s="4">
        <f>VLOOKUP(A66,Response!$A:$M,10,)</f>
        <v>13</v>
      </c>
      <c r="P66" t="str">
        <f>VLOOKUP(A66,Response!$A:$M,12,)</f>
        <v>Yes</v>
      </c>
      <c r="Q66" t="str">
        <f>VLOOKUP(A66,Response!$A:$M,11,)</f>
        <v>Korattur</v>
      </c>
      <c r="S66" t="s">
        <v>38</v>
      </c>
    </row>
    <row r="67" spans="1:19">
      <c r="A67" s="3">
        <v>2526610</v>
      </c>
      <c r="B67" t="str">
        <f>VLOOKUP(A67,File!$A:$J,2,FALSE)</f>
        <v>Ashwin Sundar V S</v>
      </c>
      <c r="C67" s="29">
        <f>VLOOKUP(A67,File!$A:$J,5,FALSE)</f>
        <v>46233</v>
      </c>
      <c r="D67" s="29" t="str">
        <f>VLOOKUP(A67,File!$A:$J,3,FALSE)</f>
        <v>Male</v>
      </c>
      <c r="E67" s="29" t="str">
        <f>VLOOKUP(A67,File!$A:$J,4,FALSE)</f>
        <v>FTE</v>
      </c>
      <c r="F67" s="29" t="str">
        <f>VLOOKUP(A67,File!$A:$J,6,FALSE)</f>
        <v>Chennai</v>
      </c>
      <c r="G67" s="29" t="str">
        <f>VLOOKUP(A67,File!$A:$J,7,FALSE)</f>
        <v>QEA26JP001</v>
      </c>
      <c r="H67" s="29" t="str">
        <f>VLOOKUP(A67,File!$A:$J,8,FALSE)</f>
        <v>Ajiesya D P</v>
      </c>
      <c r="I67" s="31" t="str">
        <f>VLOOKUP(A67,File!$A:$J,9,FALSE)</f>
        <v/>
      </c>
      <c r="J67" s="44" t="s">
        <v>33</v>
      </c>
      <c r="K67" s="31" t="str">
        <f>VLOOKUP(A67,File!$A:$K,10,FALSE)</f>
        <v>Training - ON Hold</v>
      </c>
      <c r="L67" s="31" t="s">
        <v>4</v>
      </c>
      <c r="M67" t="str">
        <f>VLOOKUP(A67,Response!$A:$M,7,)</f>
        <v>PG (Paying Guest)</v>
      </c>
      <c r="N67" t="str">
        <f>VLOOKUP(A67,Response!$A:$M,8,)</f>
        <v xml:space="preserve">Amar garden, 1/15 M.R Ratha road, pudupakkam, Tamilnadu. </v>
      </c>
      <c r="O67" s="4">
        <f>VLOOKUP(A67,Response!$A:$M,10,)</f>
        <v>1</v>
      </c>
      <c r="P67" t="str">
        <f>VLOOKUP(A67,Response!$A:$M,12,)</f>
        <v>Yes</v>
      </c>
      <c r="Q67" t="str">
        <f>VLOOKUP(A67,Response!$A:$M,11,)</f>
        <v>Siruseri</v>
      </c>
      <c r="R67" t="s">
        <v>19</v>
      </c>
      <c r="S67" s="39" t="s">
        <v>37</v>
      </c>
    </row>
    <row r="68" spans="1:19">
      <c r="A68" s="3">
        <v>2530223</v>
      </c>
      <c r="B68" t="str">
        <f>VLOOKUP(A68,File!$A:$J,2,FALSE)</f>
        <v>Rohith Boorla</v>
      </c>
      <c r="C68" s="29">
        <f>VLOOKUP(A68,File!$A:$J,5,FALSE)</f>
        <v>46247</v>
      </c>
      <c r="D68" s="29" t="str">
        <f>VLOOKUP(A68,File!$A:$J,3,FALSE)</f>
        <v>Male</v>
      </c>
      <c r="E68" s="29" t="str">
        <f>VLOOKUP(A68,File!$A:$J,4,FALSE)</f>
        <v>FTE</v>
      </c>
      <c r="F68" s="29" t="str">
        <f>VLOOKUP(A68,File!$A:$J,6,FALSE)</f>
        <v>Chennai</v>
      </c>
      <c r="G68" s="29" t="str">
        <f>VLOOKUP(A68,File!$A:$J,7,FALSE)</f>
        <v>EPS26OSPPRO001</v>
      </c>
      <c r="H68" s="29" t="str">
        <f>VLOOKUP(A68,File!$A:$J,8,FALSE)</f>
        <v>Gayathri Ramachandran</v>
      </c>
      <c r="I68" s="31">
        <f>VLOOKUP(A68,File!$A:$J,9,FALSE)</f>
        <v>46363</v>
      </c>
      <c r="J68" s="31" t="str">
        <f>VLOOKUP(A68,File!$A:$K,11,FALSE)</f>
        <v>Dec 2026</v>
      </c>
      <c r="K68" s="31" t="str">
        <f>VLOOKUP(A68,File!$A:$K,10,FALSE)</f>
        <v>In-Training</v>
      </c>
      <c r="L68" s="31" t="s">
        <v>4</v>
      </c>
      <c r="M68" t="str">
        <f>VLOOKUP(A68,Response!$A:$M,7,)</f>
        <v>PG (Paying Guest)</v>
      </c>
      <c r="N68" t="str">
        <f>VLOOKUP(A68,Response!$A:$M,8,)</f>
        <v>Amaravathi gents hostel, Periyar street, Egatur</v>
      </c>
      <c r="O68" s="4">
        <f>VLOOKUP(A68,Response!$A:$M,10,)</f>
        <v>2</v>
      </c>
      <c r="P68" t="str">
        <f>VLOOKUP(A68,Response!$A:$M,12,)</f>
        <v>No</v>
      </c>
      <c r="Q68" t="str">
        <f>VLOOKUP(A68,Response!$A:$M,11,)</f>
        <v>Egattur</v>
      </c>
      <c r="R68" t="s">
        <v>19</v>
      </c>
      <c r="S68" s="39" t="s">
        <v>37</v>
      </c>
    </row>
    <row r="69" spans="1:19">
      <c r="A69" s="3">
        <v>2516799</v>
      </c>
      <c r="B69" t="str">
        <f>VLOOKUP(A69,File!$A:$J,2,FALSE)</f>
        <v>Ponnathota Charan Vardhan Reddy</v>
      </c>
      <c r="C69" s="29">
        <f>VLOOKUP(A69,File!$A:$J,5,FALSE)</f>
        <v>46191</v>
      </c>
      <c r="D69" s="29" t="str">
        <f>VLOOKUP(A69,File!$A:$J,3,FALSE)</f>
        <v>Male</v>
      </c>
      <c r="E69" s="29" t="str">
        <f>VLOOKUP(A69,File!$A:$J,4,FALSE)</f>
        <v>FTE</v>
      </c>
      <c r="F69" s="29" t="str">
        <f>VLOOKUP(A69,File!$A:$J,6,FALSE)</f>
        <v>Chennai</v>
      </c>
      <c r="G69" s="29" t="str">
        <f>VLOOKUP(A69,File!$A:$J,7,FALSE)</f>
        <v>CIS26MW001</v>
      </c>
      <c r="H69" s="29" t="str">
        <f>VLOOKUP(A69,File!$A:$J,8,FALSE)</f>
        <v>Ashiya Begam S</v>
      </c>
      <c r="I69" s="31">
        <f>VLOOKUP(A69,File!$A:$J,9,FALSE)</f>
        <v>46276</v>
      </c>
      <c r="J69" s="31" t="str">
        <f>VLOOKUP(A69,File!$A:$K,11,FALSE)</f>
        <v>Sep 2026</v>
      </c>
      <c r="K69" s="31" t="str">
        <f>VLOOKUP(A69,File!$A:$K,10,FALSE)</f>
        <v>In-Training</v>
      </c>
      <c r="L69" s="31" t="s">
        <v>4</v>
      </c>
      <c r="M69" t="str">
        <f>VLOOKUP(A69,Response!$A:$M,7,)</f>
        <v>PG (Paying Guest)</v>
      </c>
      <c r="N69" t="str">
        <f>VLOOKUP(A69,Response!$A:$M,8,)</f>
        <v>Amaravati Gents PG - Egattur</v>
      </c>
      <c r="O69" s="4">
        <f>VLOOKUP(A69,Response!$A:$M,10,)</f>
        <v>1</v>
      </c>
      <c r="P69" t="str">
        <f>VLOOKUP(A69,Response!$A:$M,12,)</f>
        <v>No</v>
      </c>
      <c r="Q69" t="str">
        <f>VLOOKUP(A69,Response!$A:$M,11,)</f>
        <v>Egattur</v>
      </c>
      <c r="R69" t="s">
        <v>19</v>
      </c>
      <c r="S69" s="39" t="s">
        <v>37</v>
      </c>
    </row>
    <row r="70" spans="1:19">
      <c r="A70" s="3">
        <v>2519678</v>
      </c>
      <c r="B70" t="str">
        <f>VLOOKUP(A70,File!$A:$J,2,FALSE)</f>
        <v>Aiswarya Dinesan</v>
      </c>
      <c r="C70" s="29">
        <f>VLOOKUP(A70,File!$A:$J,5,FALSE)</f>
        <v>46205</v>
      </c>
      <c r="D70" s="29" t="str">
        <f>VLOOKUP(A70,File!$A:$J,3,FALSE)</f>
        <v>Female</v>
      </c>
      <c r="E70" s="29" t="str">
        <f>VLOOKUP(A70,File!$A:$J,4,FALSE)</f>
        <v>FTE</v>
      </c>
      <c r="F70" s="29" t="str">
        <f>VLOOKUP(A70,File!$A:$J,6,FALSE)</f>
        <v>Chennai</v>
      </c>
      <c r="G70" s="29" t="str">
        <f>VLOOKUP(A70,File!$A:$J,7,FALSE)</f>
        <v>CIS26MCPT013</v>
      </c>
      <c r="H70" s="29" t="str">
        <f>VLOOKUP(A70,File!$A:$J,8,FALSE)</f>
        <v>Lawrance M</v>
      </c>
      <c r="I70" s="31">
        <f>VLOOKUP(A70,File!$A:$J,9,FALSE)</f>
        <v>46324</v>
      </c>
      <c r="J70" s="31" t="str">
        <f>VLOOKUP(A70,File!$A:$K,11,FALSE)</f>
        <v>Oct 2026</v>
      </c>
      <c r="K70" s="31" t="str">
        <f>VLOOKUP(A70,File!$A:$K,10,FALSE)</f>
        <v>In-Training</v>
      </c>
      <c r="L70" s="31" t="s">
        <v>4</v>
      </c>
      <c r="M70" t="str">
        <f>VLOOKUP(A70,Response!$A:$M,7,)</f>
        <v>Hostel</v>
      </c>
      <c r="N70" t="str">
        <f>VLOOKUP(A70,Response!$A:$M,8,)</f>
        <v>Ambika Nest Hostel, Siruseri</v>
      </c>
      <c r="O70" s="4">
        <f>VLOOKUP(A70,Response!$A:$M,10,)</f>
        <v>1</v>
      </c>
      <c r="P70" t="str">
        <f>VLOOKUP(A70,Response!$A:$M,12,)</f>
        <v>No</v>
      </c>
      <c r="Q70" t="str">
        <f>VLOOKUP(A70,Response!$A:$M,11,)</f>
        <v>Siruseri</v>
      </c>
      <c r="R70" t="s">
        <v>19</v>
      </c>
      <c r="S70" s="39" t="s">
        <v>37</v>
      </c>
    </row>
    <row r="71" spans="1:19">
      <c r="A71" s="3">
        <v>2521183</v>
      </c>
      <c r="B71" t="str">
        <f>VLOOKUP(A71,File!$A:$J,2,FALSE)</f>
        <v>Lerisa A Kalghatgi</v>
      </c>
      <c r="C71" s="29">
        <f>VLOOKUP(A71,File!$A:$J,5,FALSE)</f>
        <v>46210</v>
      </c>
      <c r="D71" s="29" t="str">
        <f>VLOOKUP(A71,File!$A:$J,3,FALSE)</f>
        <v>Female</v>
      </c>
      <c r="E71" s="29" t="str">
        <f>VLOOKUP(A71,File!$A:$J,4,FALSE)</f>
        <v>FTE</v>
      </c>
      <c r="F71" s="29" t="str">
        <f>VLOOKUP(A71,File!$A:$J,6,FALSE)</f>
        <v>Chennai</v>
      </c>
      <c r="G71" s="29" t="str">
        <f>VLOOKUP(A71,File!$A:$J,7,FALSE)</f>
        <v>CIS26MCPT013</v>
      </c>
      <c r="H71" s="29" t="str">
        <f>VLOOKUP(A71,File!$A:$J,8,FALSE)</f>
        <v>Lawrance M</v>
      </c>
      <c r="I71" s="31">
        <f>VLOOKUP(A71,File!$A:$J,9,FALSE)</f>
        <v>46324</v>
      </c>
      <c r="J71" s="31" t="str">
        <f>VLOOKUP(A71,File!$A:$K,11,FALSE)</f>
        <v>Oct 2026</v>
      </c>
      <c r="K71" s="31" t="str">
        <f>VLOOKUP(A71,File!$A:$K,10,FALSE)</f>
        <v>In-Training</v>
      </c>
      <c r="L71" s="31" t="s">
        <v>4</v>
      </c>
      <c r="M71" t="str">
        <f>VLOOKUP(A71,Response!$A:$M,7,)</f>
        <v>PG (Paying Guest)</v>
      </c>
      <c r="N71" t="str">
        <f>VLOOKUP(A71,Response!$A:$M,8,)</f>
        <v>ambika Nest Ladies PG, Siruseri</v>
      </c>
      <c r="O71" s="4" t="str">
        <f>VLOOKUP(A71,Response!$A:$M,10,)</f>
        <v>GF</v>
      </c>
      <c r="P71" t="str">
        <f>VLOOKUP(A71,Response!$A:$M,12,)</f>
        <v>No</v>
      </c>
      <c r="Q71" t="str">
        <f>VLOOKUP(A71,Response!$A:$M,11,)</f>
        <v>Siruseri</v>
      </c>
      <c r="R71" t="s">
        <v>19</v>
      </c>
      <c r="S71" s="39" t="s">
        <v>37</v>
      </c>
    </row>
    <row r="72" spans="1:19">
      <c r="A72" s="3">
        <v>2511301</v>
      </c>
      <c r="B72" t="str">
        <f>VLOOKUP(A72,File!$A:$J,2,FALSE)</f>
        <v>Mohamed Yhahiya Hidayathulla</v>
      </c>
      <c r="C72" s="29">
        <f>VLOOKUP(A72,File!$A:$J,5,FALSE)</f>
        <v>46163</v>
      </c>
      <c r="D72" s="29" t="str">
        <f>VLOOKUP(A72,File!$A:$J,3,FALSE)</f>
        <v>Male</v>
      </c>
      <c r="E72" s="29" t="str">
        <f>VLOOKUP(A72,File!$A:$J,4,FALSE)</f>
        <v>FTE</v>
      </c>
      <c r="F72" s="29" t="str">
        <f>VLOOKUP(A72,File!$A:$J,6,FALSE)</f>
        <v>Chennai</v>
      </c>
      <c r="G72" s="29" t="str">
        <f>VLOOKUP(A72,File!$A:$J,7,FALSE)</f>
        <v>CIS26MCPT010</v>
      </c>
      <c r="H72" s="29" t="str">
        <f>VLOOKUP(A72,File!$A:$J,8,FALSE)</f>
        <v>Mohamed Harish</v>
      </c>
      <c r="I72" s="31">
        <f>VLOOKUP(A72,File!$A:$J,9,FALSE)</f>
        <v>46280</v>
      </c>
      <c r="J72" s="31" t="str">
        <f>VLOOKUP(A72,File!$A:$K,11,FALSE)</f>
        <v>Sep 2026</v>
      </c>
      <c r="K72" s="31" t="str">
        <f>VLOOKUP(A72,File!$A:$K,10,FALSE)</f>
        <v>In-Training</v>
      </c>
      <c r="L72" s="31" t="s">
        <v>4</v>
      </c>
      <c r="M72" t="str">
        <f>VLOOKUP(A72,Response!$A:$M,7,)</f>
        <v>PG (Paying Guest)</v>
      </c>
      <c r="N72" t="str">
        <f>VLOOKUP(A72,Response!$A:$M,8,)</f>
        <v>ambika nest mens hostel</v>
      </c>
      <c r="O72" s="4">
        <f>VLOOKUP(A72,Response!$A:$M,10,)</f>
        <v>3</v>
      </c>
      <c r="P72" t="str">
        <f>VLOOKUP(A72,Response!$A:$M,12,)</f>
        <v>No</v>
      </c>
      <c r="Q72" t="str">
        <f>VLOOKUP(A72,Response!$A:$M,11,)</f>
        <v>Egattur</v>
      </c>
      <c r="R72" t="s">
        <v>19</v>
      </c>
      <c r="S72" s="39" t="s">
        <v>37</v>
      </c>
    </row>
    <row r="73" spans="1:19">
      <c r="A73" s="3">
        <v>2533183</v>
      </c>
      <c r="B73" t="str">
        <f>VLOOKUP(A73,File!$A:$J,2,FALSE)</f>
        <v>Balaji S</v>
      </c>
      <c r="C73" s="29">
        <f>VLOOKUP(A73,File!$A:$J,5,FALSE)</f>
        <v>46259</v>
      </c>
      <c r="D73" s="29" t="str">
        <f>VLOOKUP(A73,File!$A:$J,3,FALSE)</f>
        <v>Male</v>
      </c>
      <c r="E73" s="29" t="str">
        <f>VLOOKUP(A73,File!$A:$J,4,FALSE)</f>
        <v>FTE</v>
      </c>
      <c r="F73" s="29" t="str">
        <f>VLOOKUP(A73,File!$A:$J,6,FALSE)</f>
        <v>Chennai</v>
      </c>
      <c r="G73" s="29" t="str">
        <f>VLOOKUP(A73,File!$A:$J,7,FALSE)</f>
        <v>CIS26MBG003</v>
      </c>
      <c r="H73" s="29" t="str">
        <f>VLOOKUP(A73,File!$A:$J,8,FALSE)</f>
        <v>Kishorekumar P</v>
      </c>
      <c r="I73" s="31">
        <f>VLOOKUP(A73,File!$A:$J,9,FALSE)</f>
        <v>46367</v>
      </c>
      <c r="J73" s="31" t="str">
        <f>VLOOKUP(A73,File!$A:$K,11,FALSE)</f>
        <v>Dec 2026</v>
      </c>
      <c r="K73" s="31" t="str">
        <f>VLOOKUP(A73,File!$A:$K,10,FALSE)</f>
        <v>In-Training</v>
      </c>
      <c r="L73" s="31" t="s">
        <v>4</v>
      </c>
      <c r="M73" t="str">
        <f>VLOOKUP(A73,Response!$A:$M,7,)</f>
        <v>PG (Paying Guest)</v>
      </c>
      <c r="N73" t="str">
        <f>VLOOKUP(A73,Response!$A:$M,8,)</f>
        <v>Ambika Nest PG, Siruseri</v>
      </c>
      <c r="O73" s="4">
        <f>VLOOKUP(A73,Response!$A:$M,10,)</f>
        <v>3</v>
      </c>
      <c r="P73" t="str">
        <f>VLOOKUP(A73,Response!$A:$M,12,)</f>
        <v>No</v>
      </c>
      <c r="Q73" t="str">
        <f>VLOOKUP(A73,Response!$A:$M,11,)</f>
        <v>Siruseri</v>
      </c>
      <c r="R73" t="s">
        <v>19</v>
      </c>
      <c r="S73" s="39" t="s">
        <v>37</v>
      </c>
    </row>
    <row r="74" spans="1:19">
      <c r="A74" s="3">
        <v>2526593</v>
      </c>
      <c r="B74" t="str">
        <f>VLOOKUP(A74,File!$A:$J,2,FALSE)</f>
        <v>Sumitha S</v>
      </c>
      <c r="C74" s="29">
        <f>VLOOKUP(A74,File!$A:$J,5,FALSE)</f>
        <v>46233</v>
      </c>
      <c r="D74" s="29" t="str">
        <f>VLOOKUP(A74,File!$A:$J,3,FALSE)</f>
        <v>Female</v>
      </c>
      <c r="E74" s="29" t="str">
        <f>VLOOKUP(A74,File!$A:$J,4,FALSE)</f>
        <v>FTE</v>
      </c>
      <c r="F74" s="29" t="str">
        <f>VLOOKUP(A74,File!$A:$J,6,FALSE)</f>
        <v>Chennai</v>
      </c>
      <c r="G74" s="29" t="str">
        <f>VLOOKUP(A74,File!$A:$J,7,FALSE)</f>
        <v>QEA26JP001</v>
      </c>
      <c r="H74" s="29" t="str">
        <f>VLOOKUP(A74,File!$A:$J,8,FALSE)</f>
        <v>Ajiesya D P</v>
      </c>
      <c r="I74" s="31" t="str">
        <f>VLOOKUP(A74,File!$A:$J,9,FALSE)</f>
        <v/>
      </c>
      <c r="J74" s="44" t="s">
        <v>33</v>
      </c>
      <c r="K74" s="31" t="str">
        <f>VLOOKUP(A74,File!$A:$K,10,FALSE)</f>
        <v>Training - ON Hold</v>
      </c>
      <c r="L74" s="31" t="s">
        <v>4</v>
      </c>
      <c r="M74" t="str">
        <f>VLOOKUP(A74,Response!$A:$M,7,)</f>
        <v>PG (Paying Guest)</v>
      </c>
      <c r="N74" t="str">
        <f>VLOOKUP(A74,Response!$A:$M,8,)</f>
        <v>Ambika nest womens hostel</v>
      </c>
      <c r="O74" s="4">
        <f>VLOOKUP(A74,Response!$A:$M,10,)</f>
        <v>1</v>
      </c>
      <c r="P74" t="str">
        <f>VLOOKUP(A74,Response!$A:$M,12,)</f>
        <v>Yes</v>
      </c>
      <c r="Q74" t="str">
        <f>VLOOKUP(A74,Response!$A:$M,11,)</f>
        <v>Siruseri</v>
      </c>
      <c r="R74" t="s">
        <v>19</v>
      </c>
      <c r="S74" s="39" t="s">
        <v>37</v>
      </c>
    </row>
    <row r="75" spans="1:19">
      <c r="A75" s="3">
        <v>2526597</v>
      </c>
      <c r="B75" t="str">
        <f>VLOOKUP(A75,File!$A:$J,2,FALSE)</f>
        <v>Sowmiya B</v>
      </c>
      <c r="C75" s="29">
        <f>VLOOKUP(A75,File!$A:$J,5,FALSE)</f>
        <v>46233</v>
      </c>
      <c r="D75" s="29" t="str">
        <f>VLOOKUP(A75,File!$A:$J,3,FALSE)</f>
        <v>Female</v>
      </c>
      <c r="E75" s="29" t="str">
        <f>VLOOKUP(A75,File!$A:$J,4,FALSE)</f>
        <v>FTE</v>
      </c>
      <c r="F75" s="29" t="str">
        <f>VLOOKUP(A75,File!$A:$J,6,FALSE)</f>
        <v>Chennai</v>
      </c>
      <c r="G75" s="29" t="str">
        <f>VLOOKUP(A75,File!$A:$J,7,FALSE)</f>
        <v>QEA26JP001</v>
      </c>
      <c r="H75" s="29" t="str">
        <f>VLOOKUP(A75,File!$A:$J,8,FALSE)</f>
        <v>Ajiesya D P</v>
      </c>
      <c r="I75" s="31" t="str">
        <f>VLOOKUP(A75,File!$A:$J,9,FALSE)</f>
        <v/>
      </c>
      <c r="J75" s="44" t="s">
        <v>33</v>
      </c>
      <c r="K75" s="31" t="str">
        <f>VLOOKUP(A75,File!$A:$K,10,FALSE)</f>
        <v>Training - ON Hold</v>
      </c>
      <c r="L75" s="31" t="s">
        <v>4</v>
      </c>
      <c r="M75" t="str">
        <f>VLOOKUP(A75,Response!$A:$M,7,)</f>
        <v>PG (Paying Guest)</v>
      </c>
      <c r="N75" t="str">
        <f>VLOOKUP(A75,Response!$A:$M,8,)</f>
        <v>Ambika nest Womens hostel</v>
      </c>
      <c r="O75" s="4">
        <f>VLOOKUP(A75,Response!$A:$M,10,)</f>
        <v>1</v>
      </c>
      <c r="P75" t="str">
        <f>VLOOKUP(A75,Response!$A:$M,12,)</f>
        <v>No</v>
      </c>
      <c r="Q75" t="str">
        <f>VLOOKUP(A75,Response!$A:$M,11,)</f>
        <v>Siruseri</v>
      </c>
      <c r="R75" t="s">
        <v>19</v>
      </c>
      <c r="S75" s="39" t="s">
        <v>37</v>
      </c>
    </row>
    <row r="76" spans="1:19">
      <c r="A76" s="3">
        <v>2524637</v>
      </c>
      <c r="B76" t="str">
        <f>VLOOKUP(A76,File!$A:$J,2,FALSE)</f>
        <v>Debatri Pal</v>
      </c>
      <c r="C76" s="29">
        <f>VLOOKUP(A76,File!$A:$J,5,FALSE)</f>
        <v>46224</v>
      </c>
      <c r="D76" s="29" t="str">
        <f>VLOOKUP(A76,File!$A:$J,3,FALSE)</f>
        <v>Female</v>
      </c>
      <c r="E76" s="29" t="str">
        <f>VLOOKUP(A76,File!$A:$J,4,FALSE)</f>
        <v>FTE</v>
      </c>
      <c r="F76" s="29" t="str">
        <f>VLOOKUP(A76,File!$A:$J,6,FALSE)</f>
        <v>Chennai</v>
      </c>
      <c r="G76" s="29" t="str">
        <f>VLOOKUP(A76,File!$A:$J,7,FALSE)</f>
        <v>ADM26MF012</v>
      </c>
      <c r="H76" s="29" t="str">
        <f>VLOOKUP(A76,File!$A:$J,8,FALSE)</f>
        <v>Lourdhu Selvin Raj X</v>
      </c>
      <c r="I76" s="31">
        <f>VLOOKUP(A76,File!$A:$J,9,FALSE)</f>
        <v>46343</v>
      </c>
      <c r="J76" s="31" t="str">
        <f>VLOOKUP(A76,File!$A:$K,11,FALSE)</f>
        <v>Nov 2026</v>
      </c>
      <c r="K76" s="31" t="str">
        <f>VLOOKUP(A76,File!$A:$K,10,FALSE)</f>
        <v>In-Training</v>
      </c>
      <c r="L76" s="31" t="s">
        <v>4</v>
      </c>
      <c r="M76" t="str">
        <f>VLOOKUP(A76,Response!$A:$M,7,)</f>
        <v>PG (Paying Guest)</v>
      </c>
      <c r="N76" t="str">
        <f>VLOOKUP(A76,Response!$A:$M,8,)</f>
        <v>Ambika Nest Womens Hostel</v>
      </c>
      <c r="O76" s="4">
        <f>VLOOKUP(A76,Response!$A:$M,10,)</f>
        <v>1</v>
      </c>
      <c r="P76" t="str">
        <f>VLOOKUP(A76,Response!$A:$M,12,)</f>
        <v>No</v>
      </c>
      <c r="Q76" t="str">
        <f>VLOOKUP(A76,Response!$A:$M,11,)</f>
        <v>Siruseri</v>
      </c>
      <c r="R76" t="s">
        <v>19</v>
      </c>
      <c r="S76" s="39" t="s">
        <v>37</v>
      </c>
    </row>
    <row r="77" spans="1:19">
      <c r="A77" s="3">
        <v>2533226</v>
      </c>
      <c r="B77" t="str">
        <f>VLOOKUP(A77,File!$A:$J,2,FALSE)</f>
        <v>Anushreea DE</v>
      </c>
      <c r="C77" s="29">
        <f>VLOOKUP(A77,File!$A:$J,5,FALSE)</f>
        <v>46259</v>
      </c>
      <c r="D77" s="29" t="str">
        <f>VLOOKUP(A77,File!$A:$J,3,FALSE)</f>
        <v>Female</v>
      </c>
      <c r="E77" s="29" t="str">
        <f>VLOOKUP(A77,File!$A:$J,4,FALSE)</f>
        <v>FTE</v>
      </c>
      <c r="F77" s="29" t="str">
        <f>VLOOKUP(A77,File!$A:$J,6,FALSE)</f>
        <v>Chennai</v>
      </c>
      <c r="G77" s="29" t="str">
        <f>VLOOKUP(A77,File!$A:$J,7,FALSE)</f>
        <v>CIS26MBG003</v>
      </c>
      <c r="H77" s="29" t="str">
        <f>VLOOKUP(A77,File!$A:$J,8,FALSE)</f>
        <v>Kishorekumar P</v>
      </c>
      <c r="I77" s="31">
        <f>VLOOKUP(A77,File!$A:$J,9,FALSE)</f>
        <v>46367</v>
      </c>
      <c r="J77" s="31" t="str">
        <f>VLOOKUP(A77,File!$A:$K,11,FALSE)</f>
        <v>Dec 2026</v>
      </c>
      <c r="K77" s="31" t="str">
        <f>VLOOKUP(A77,File!$A:$K,10,FALSE)</f>
        <v>In-Training</v>
      </c>
      <c r="L77" s="31" t="s">
        <v>4</v>
      </c>
      <c r="M77" t="str">
        <f>VLOOKUP(A77,Response!$A:$M,7,)</f>
        <v>PG (Paying Guest)</v>
      </c>
      <c r="N77" t="str">
        <f>VLOOKUP(A77,Response!$A:$M,8,)</f>
        <v>Ambika Nest Womens Hostel</v>
      </c>
      <c r="O77" s="4">
        <f>VLOOKUP(A77,Response!$A:$M,10,)</f>
        <v>1</v>
      </c>
      <c r="P77" t="str">
        <f>VLOOKUP(A77,Response!$A:$M,12,)</f>
        <v>No</v>
      </c>
      <c r="Q77" t="str">
        <f>VLOOKUP(A77,Response!$A:$M,11,)</f>
        <v>Siruseri</v>
      </c>
      <c r="R77" t="s">
        <v>19</v>
      </c>
      <c r="S77" s="39" t="s">
        <v>37</v>
      </c>
    </row>
    <row r="78" spans="1:19">
      <c r="A78" s="3">
        <v>2521697</v>
      </c>
      <c r="B78" t="str">
        <f>VLOOKUP(A78,File!$A:$J,2,FALSE)</f>
        <v>Pooja Anil Bhanage</v>
      </c>
      <c r="C78" s="29">
        <f>VLOOKUP(A78,File!$A:$J,5,FALSE)</f>
        <v>46212</v>
      </c>
      <c r="D78" s="29" t="str">
        <f>VLOOKUP(A78,File!$A:$J,3,FALSE)</f>
        <v>Female</v>
      </c>
      <c r="E78" s="29" t="str">
        <f>VLOOKUP(A78,File!$A:$J,4,FALSE)</f>
        <v>FTE</v>
      </c>
      <c r="F78" s="29" t="str">
        <f>VLOOKUP(A78,File!$A:$J,6,FALSE)</f>
        <v>Chennai</v>
      </c>
      <c r="G78" s="29" t="str">
        <f>VLOOKUP(A78,File!$A:$J,7,FALSE)</f>
        <v>QEA26QEPT023</v>
      </c>
      <c r="H78" s="29" t="str">
        <f>VLOOKUP(A78,File!$A:$J,8,FALSE)</f>
        <v>Sweta Thoppil</v>
      </c>
      <c r="I78" s="31">
        <f>VLOOKUP(A78,File!$A:$J,9,FALSE)</f>
        <v>46314</v>
      </c>
      <c r="J78" s="31" t="str">
        <f>VLOOKUP(A78,File!$A:$K,11,FALSE)</f>
        <v>Oct 2026</v>
      </c>
      <c r="K78" s="31" t="str">
        <f>VLOOKUP(A78,File!$A:$K,10,FALSE)</f>
        <v>In-Training</v>
      </c>
      <c r="L78" s="31" t="s">
        <v>4</v>
      </c>
      <c r="M78" t="str">
        <f>VLOOKUP(A78,Response!$A:$M,7,)</f>
        <v>Hostel</v>
      </c>
      <c r="N78" t="str">
        <f>VLOOKUP(A78,Response!$A:$M,8,)</f>
        <v>Ambika Nest Womens Hostel</v>
      </c>
      <c r="O78" s="4" t="str">
        <f>VLOOKUP(A78,Response!$A:$M,10,)</f>
        <v>GF</v>
      </c>
      <c r="P78" t="str">
        <f>VLOOKUP(A78,Response!$A:$M,12,)</f>
        <v>No</v>
      </c>
      <c r="Q78" t="str">
        <f>VLOOKUP(A78,Response!$A:$M,11,)</f>
        <v>Siruseri</v>
      </c>
      <c r="R78" t="s">
        <v>19</v>
      </c>
      <c r="S78" s="39" t="s">
        <v>37</v>
      </c>
    </row>
    <row r="79" spans="1:19">
      <c r="A79" s="3">
        <v>2524655</v>
      </c>
      <c r="B79" t="str">
        <f>VLOOKUP(A79,File!$A:$J,2,FALSE)</f>
        <v>Harshitha P</v>
      </c>
      <c r="C79" s="29">
        <f>VLOOKUP(A79,File!$A:$J,5,FALSE)</f>
        <v>46224</v>
      </c>
      <c r="D79" s="29" t="str">
        <f>VLOOKUP(A79,File!$A:$J,3,FALSE)</f>
        <v>Female</v>
      </c>
      <c r="E79" s="29" t="str">
        <f>VLOOKUP(A79,File!$A:$J,4,FALSE)</f>
        <v>FTE</v>
      </c>
      <c r="F79" s="29" t="str">
        <f>VLOOKUP(A79,File!$A:$J,6,FALSE)</f>
        <v>Chennai</v>
      </c>
      <c r="G79" s="29" t="str">
        <f>VLOOKUP(A79,File!$A:$J,7,FALSE)</f>
        <v>IOA26RPA005</v>
      </c>
      <c r="H79" s="29" t="str">
        <f>VLOOKUP(A79,File!$A:$J,8,FALSE)</f>
        <v>Adarsh J Nair</v>
      </c>
      <c r="I79" s="31">
        <f>VLOOKUP(A79,File!$A:$J,9,FALSE)</f>
        <v>46309</v>
      </c>
      <c r="J79" s="31" t="str">
        <f>VLOOKUP(A79,File!$A:$K,11,FALSE)</f>
        <v>Oct 2026</v>
      </c>
      <c r="K79" s="31" t="str">
        <f>VLOOKUP(A79,File!$A:$K,10,FALSE)</f>
        <v>In-Training</v>
      </c>
      <c r="L79" s="31" t="s">
        <v>4</v>
      </c>
      <c r="M79" t="str">
        <f>VLOOKUP(A79,Response!$A:$M,7,)</f>
        <v>PG (Paying Guest)</v>
      </c>
      <c r="N79" t="str">
        <f>VLOOKUP(A79,Response!$A:$M,8,)</f>
        <v>Ambika Nest Womens Hostel</v>
      </c>
      <c r="O79" s="4" t="str">
        <f>VLOOKUP(A79,Response!$A:$M,10,)</f>
        <v>GF</v>
      </c>
      <c r="P79" t="str">
        <f>VLOOKUP(A79,Response!$A:$M,12,)</f>
        <v>No</v>
      </c>
      <c r="Q79" t="str">
        <f>VLOOKUP(A79,Response!$A:$M,11,)</f>
        <v>Siruseri</v>
      </c>
      <c r="R79" t="s">
        <v>19</v>
      </c>
      <c r="S79" s="39" t="s">
        <v>37</v>
      </c>
    </row>
    <row r="80" spans="1:19">
      <c r="A80" s="3">
        <v>2525063</v>
      </c>
      <c r="B80" t="str">
        <f>VLOOKUP(A80,File!$A:$J,2,FALSE)</f>
        <v>Keerthi C V</v>
      </c>
      <c r="C80" s="29">
        <f>VLOOKUP(A80,File!$A:$J,5,FALSE)</f>
        <v>46226</v>
      </c>
      <c r="D80" s="29" t="str">
        <f>VLOOKUP(A80,File!$A:$J,3,FALSE)</f>
        <v>Female</v>
      </c>
      <c r="E80" s="29" t="str">
        <f>VLOOKUP(A80,File!$A:$J,4,FALSE)</f>
        <v>FTE</v>
      </c>
      <c r="F80" s="29" t="str">
        <f>VLOOKUP(A80,File!$A:$J,6,FALSE)</f>
        <v>Chennai</v>
      </c>
      <c r="G80" s="29" t="str">
        <f>VLOOKUP(A80,File!$A:$J,7,FALSE)</f>
        <v>ADM26ISMO010</v>
      </c>
      <c r="H80" s="29" t="str">
        <f>VLOOKUP(A80,File!$A:$J,8,FALSE)</f>
        <v>Thomas Naveen. J</v>
      </c>
      <c r="I80" s="31">
        <f>VLOOKUP(A80,File!$A:$J,9,FALSE)</f>
        <v>46301</v>
      </c>
      <c r="J80" s="31" t="str">
        <f>VLOOKUP(A80,File!$A:$K,11,FALSE)</f>
        <v>Oct 2026</v>
      </c>
      <c r="K80" s="31" t="str">
        <f>VLOOKUP(A80,File!$A:$K,10,FALSE)</f>
        <v>In-Training</v>
      </c>
      <c r="L80" s="31" t="s">
        <v>4</v>
      </c>
      <c r="M80" t="str">
        <f>VLOOKUP(A80,Response!$A:$M,7,)</f>
        <v>PG (Paying Guest)</v>
      </c>
      <c r="N80" t="str">
        <f>VLOOKUP(A80,Response!$A:$M,8,)</f>
        <v>Ambika Nest Womens Hostel</v>
      </c>
      <c r="O80" s="4" t="str">
        <f>VLOOKUP(A80,Response!$A:$M,10,)</f>
        <v>GF</v>
      </c>
      <c r="P80" t="str">
        <f>VLOOKUP(A80,Response!$A:$M,12,)</f>
        <v>No</v>
      </c>
      <c r="Q80" t="str">
        <f>VLOOKUP(A80,Response!$A:$M,11,)</f>
        <v>Siruseri</v>
      </c>
      <c r="R80" t="s">
        <v>19</v>
      </c>
      <c r="S80" s="39" t="s">
        <v>37</v>
      </c>
    </row>
    <row r="81" spans="1:19">
      <c r="A81" s="3">
        <v>2521703</v>
      </c>
      <c r="B81" t="str">
        <f>VLOOKUP(A81,File!$A:$J,2,FALSE)</f>
        <v>Anjali Sikandar Bhande</v>
      </c>
      <c r="C81" s="29">
        <f>VLOOKUP(A81,File!$A:$J,5,FALSE)</f>
        <v>46212</v>
      </c>
      <c r="D81" s="29" t="str">
        <f>VLOOKUP(A81,File!$A:$J,3,FALSE)</f>
        <v>Female</v>
      </c>
      <c r="E81" s="29" t="str">
        <f>VLOOKUP(A81,File!$A:$J,4,FALSE)</f>
        <v>FTE</v>
      </c>
      <c r="F81" s="29" t="str">
        <f>VLOOKUP(A81,File!$A:$J,6,FALSE)</f>
        <v>Chennai</v>
      </c>
      <c r="G81" s="29" t="str">
        <f>VLOOKUP(A81,File!$A:$J,7,FALSE)</f>
        <v>ADM26MF010</v>
      </c>
      <c r="H81" s="29" t="str">
        <f>VLOOKUP(A81,File!$A:$J,8,FALSE)</f>
        <v>Thomas Naveen. J</v>
      </c>
      <c r="I81" s="31">
        <f>VLOOKUP(A81,File!$A:$J,9,FALSE)</f>
        <v>46328</v>
      </c>
      <c r="J81" s="31" t="str">
        <f>VLOOKUP(A81,File!$A:$K,11,FALSE)</f>
        <v>Nov 2026</v>
      </c>
      <c r="K81" s="31" t="str">
        <f>VLOOKUP(A81,File!$A:$K,10,FALSE)</f>
        <v>In-Training</v>
      </c>
      <c r="L81" s="31" t="s">
        <v>4</v>
      </c>
      <c r="M81" t="str">
        <f>VLOOKUP(A81,Response!$A:$M,7,)</f>
        <v>PG (Paying Guest)</v>
      </c>
      <c r="N81" t="str">
        <f>VLOOKUP(A81,Response!$A:$M,8,)</f>
        <v>AMBIKA WOMENS HOSTEL</v>
      </c>
      <c r="O81" s="4" t="str">
        <f>VLOOKUP(A81,Response!$A:$M,10,)</f>
        <v>GF</v>
      </c>
      <c r="P81" t="str">
        <f>VLOOKUP(A81,Response!$A:$M,12,)</f>
        <v>No</v>
      </c>
      <c r="Q81" t="str">
        <f>VLOOKUP(A81,Response!$A:$M,11,)</f>
        <v>Siruseri</v>
      </c>
      <c r="R81" t="s">
        <v>19</v>
      </c>
      <c r="S81" s="39" t="s">
        <v>37</v>
      </c>
    </row>
    <row r="82" spans="1:19">
      <c r="A82" s="3">
        <v>2526174</v>
      </c>
      <c r="B82" t="str">
        <f>VLOOKUP(A82,File!$A:$J,2,FALSE)</f>
        <v>Abinaya Ramesh</v>
      </c>
      <c r="C82" s="29">
        <f>VLOOKUP(A82,File!$A:$J,5,FALSE)</f>
        <v>46231</v>
      </c>
      <c r="D82" s="29" t="str">
        <f>VLOOKUP(A82,File!$A:$J,3,FALSE)</f>
        <v>Female</v>
      </c>
      <c r="E82" s="29" t="str">
        <f>VLOOKUP(A82,File!$A:$J,4,FALSE)</f>
        <v>FTE</v>
      </c>
      <c r="F82" s="29" t="str">
        <f>VLOOKUP(A82,File!$A:$J,6,FALSE)</f>
        <v>Chennai</v>
      </c>
      <c r="G82" s="29" t="str">
        <f>VLOOKUP(A82,File!$A:$J,7,FALSE)</f>
        <v>CIS26DWP024</v>
      </c>
      <c r="H82" s="29" t="str">
        <f>VLOOKUP(A82,File!$A:$J,8,FALSE)</f>
        <v>Lakavath Udhaya Bhavana</v>
      </c>
      <c r="I82" s="31">
        <f>VLOOKUP(A82,File!$A:$J,9,FALSE)</f>
        <v>46286</v>
      </c>
      <c r="J82" s="31" t="str">
        <f>VLOOKUP(A82,File!$A:$K,11,FALSE)</f>
        <v>Sep 2026</v>
      </c>
      <c r="K82" s="31" t="str">
        <f>VLOOKUP(A82,File!$A:$K,10,FALSE)</f>
        <v>In-Training</v>
      </c>
      <c r="L82" s="31" t="s">
        <v>4</v>
      </c>
      <c r="M82" t="str">
        <f>VLOOKUP(A82,Response!$A:$M,7,)</f>
        <v>Hostel</v>
      </c>
      <c r="N82" t="str">
        <f>VLOOKUP(A82,Response!$A:$M,8,)</f>
        <v>Ambikanest Womens Hostel</v>
      </c>
      <c r="O82" s="4" t="str">
        <f>VLOOKUP(A82,Response!$A:$M,10,)</f>
        <v>GF</v>
      </c>
      <c r="P82" t="str">
        <f>VLOOKUP(A82,Response!$A:$M,12,)</f>
        <v>No</v>
      </c>
      <c r="Q82" t="str">
        <f>VLOOKUP(A82,Response!$A:$M,11,)</f>
        <v>Siruseri</v>
      </c>
      <c r="R82" t="s">
        <v>19</v>
      </c>
      <c r="S82" s="39" t="s">
        <v>37</v>
      </c>
    </row>
    <row r="83" spans="1:19">
      <c r="A83" s="3">
        <v>2521248</v>
      </c>
      <c r="B83" t="str">
        <f>VLOOKUP(A83,File!$A:$J,2,FALSE)</f>
        <v>Kiruthika T</v>
      </c>
      <c r="C83" s="29">
        <f>VLOOKUP(A83,File!$A:$J,5,FALSE)</f>
        <v>46210</v>
      </c>
      <c r="D83" s="29" t="str">
        <f>VLOOKUP(A83,File!$A:$J,3,FALSE)</f>
        <v>Female</v>
      </c>
      <c r="E83" s="29" t="str">
        <f>VLOOKUP(A83,File!$A:$J,4,FALSE)</f>
        <v>FTE</v>
      </c>
      <c r="F83" s="29" t="str">
        <f>VLOOKUP(A83,File!$A:$J,6,FALSE)</f>
        <v>Chennai</v>
      </c>
      <c r="G83" s="29" t="str">
        <f>VLOOKUP(A83,File!$A:$J,7,FALSE)</f>
        <v>CS26CS007</v>
      </c>
      <c r="H83" s="29" t="str">
        <f>VLOOKUP(A83,File!$A:$J,8,FALSE)</f>
        <v>Lawrance M</v>
      </c>
      <c r="I83" s="31">
        <f>VLOOKUP(A83,File!$A:$J,9,FALSE)</f>
        <v>46272</v>
      </c>
      <c r="J83" s="31" t="str">
        <f>VLOOKUP(A83,File!$A:$K,11,FALSE)</f>
        <v>Sep 2026</v>
      </c>
      <c r="K83" s="31" t="str">
        <f>VLOOKUP(A83,File!$A:$K,10,FALSE)</f>
        <v>In-Training</v>
      </c>
      <c r="L83" s="31" t="s">
        <v>4</v>
      </c>
      <c r="M83" t="str">
        <f>VLOOKUP(A83,Response!$A:$M,7,)</f>
        <v>PG (Paying Guest)</v>
      </c>
      <c r="N83" t="str">
        <f>VLOOKUP(A83,Response!$A:$M,8,)</f>
        <v>Anandham Womens Hostel (Behind Accenture)</v>
      </c>
      <c r="O83" s="4">
        <f>VLOOKUP(A83,Response!$A:$M,10,)</f>
        <v>3</v>
      </c>
      <c r="P83" t="str">
        <f>VLOOKUP(A83,Response!$A:$M,12,)</f>
        <v>No</v>
      </c>
      <c r="Q83" t="str">
        <f>VLOOKUP(A83,Response!$A:$M,11,)</f>
        <v>Sholinganallur</v>
      </c>
      <c r="R83" t="s">
        <v>17</v>
      </c>
      <c r="S83" s="39" t="s">
        <v>37</v>
      </c>
    </row>
    <row r="84" spans="1:19">
      <c r="A84" s="3">
        <v>2512347</v>
      </c>
      <c r="B84" t="str">
        <f>VLOOKUP(A84,File!$A:$J,2,FALSE)</f>
        <v>Shamik Das</v>
      </c>
      <c r="C84" s="29">
        <f>VLOOKUP(A84,File!$A:$J,5,FALSE)</f>
        <v>46170</v>
      </c>
      <c r="D84" s="29" t="str">
        <f>VLOOKUP(A84,File!$A:$J,3,FALSE)</f>
        <v>Male</v>
      </c>
      <c r="E84" s="29" t="str">
        <f>VLOOKUP(A84,File!$A:$J,4,FALSE)</f>
        <v>FTE</v>
      </c>
      <c r="F84" s="29" t="str">
        <f>VLOOKUP(A84,File!$A:$J,6,FALSE)</f>
        <v>Chennai</v>
      </c>
      <c r="G84" s="29" t="str">
        <f>VLOOKUP(A84,File!$A:$J,7,FALSE)</f>
        <v>CIS26MCPT012</v>
      </c>
      <c r="H84" s="29" t="str">
        <f>VLOOKUP(A84,File!$A:$J,8,FALSE)</f>
        <v>Uma Venkatachalam</v>
      </c>
      <c r="I84" s="31">
        <f>VLOOKUP(A84,File!$A:$J,9,FALSE)</f>
        <v>46282</v>
      </c>
      <c r="J84" s="31" t="str">
        <f>VLOOKUP(A84,File!$A:$K,11,FALSE)</f>
        <v>Sep 2026</v>
      </c>
      <c r="K84" s="31" t="str">
        <f>VLOOKUP(A84,File!$A:$K,10,FALSE)</f>
        <v>In-Training</v>
      </c>
      <c r="L84" s="31" t="s">
        <v>4</v>
      </c>
      <c r="M84" t="str">
        <f>VLOOKUP(A84,Response!$A:$M,7,)</f>
        <v>PG (Paying Guest)</v>
      </c>
      <c r="N84" t="str">
        <f>VLOOKUP(A84,Response!$A:$M,8,)</f>
        <v>Anish Gents pg</v>
      </c>
      <c r="O84" s="4">
        <f>VLOOKUP(A84,Response!$A:$M,10,)</f>
        <v>2</v>
      </c>
      <c r="P84" t="str">
        <f>VLOOKUP(A84,Response!$A:$M,12,)</f>
        <v>No</v>
      </c>
      <c r="Q84" t="str">
        <f>VLOOKUP(A84,Response!$A:$M,11,)</f>
        <v>Siruseri</v>
      </c>
      <c r="R84" t="s">
        <v>19</v>
      </c>
      <c r="S84" s="39" t="s">
        <v>37</v>
      </c>
    </row>
    <row r="85" spans="1:19">
      <c r="A85" s="3">
        <v>2529799</v>
      </c>
      <c r="B85" t="str">
        <f>VLOOKUP(A85,File!$A:$J,2,FALSE)</f>
        <v>Gedela Dilleswara Rao</v>
      </c>
      <c r="C85" s="29">
        <f>VLOOKUP(A85,File!$A:$J,5,FALSE)</f>
        <v>46245</v>
      </c>
      <c r="D85" s="29" t="str">
        <f>VLOOKUP(A85,File!$A:$J,3,FALSE)</f>
        <v>Male</v>
      </c>
      <c r="E85" s="29" t="str">
        <f>VLOOKUP(A85,File!$A:$J,4,FALSE)</f>
        <v>FTE</v>
      </c>
      <c r="F85" s="29" t="str">
        <f>VLOOKUP(A85,File!$A:$J,6,FALSE)</f>
        <v>Chennai</v>
      </c>
      <c r="G85" s="29" t="str">
        <f>VLOOKUP(A85,File!$A:$J,7,FALSE)</f>
        <v>EPS26SAP033</v>
      </c>
      <c r="H85" s="29" t="str">
        <f>VLOOKUP(A85,File!$A:$J,8,FALSE)</f>
        <v>Ajith Ganesan</v>
      </c>
      <c r="I85" s="31">
        <f>VLOOKUP(A85,File!$A:$J,9,FALSE)</f>
        <v>46330</v>
      </c>
      <c r="J85" s="31" t="str">
        <f>VLOOKUP(A85,File!$A:$K,11,FALSE)</f>
        <v>Nov 2026</v>
      </c>
      <c r="K85" s="31" t="str">
        <f>VLOOKUP(A85,File!$A:$K,10,FALSE)</f>
        <v>In-Training</v>
      </c>
      <c r="L85" s="31" t="s">
        <v>4</v>
      </c>
      <c r="M85" t="str">
        <f>VLOOKUP(A85,Response!$A:$M,7,)</f>
        <v>PG (Paying Guest)</v>
      </c>
      <c r="N85" t="str">
        <f>VLOOKUP(A85,Response!$A:$M,8,)</f>
        <v>Anish Luxary Gents PG</v>
      </c>
      <c r="O85" s="4" t="str">
        <f>VLOOKUP(A85,Response!$A:$M,10,)</f>
        <v>GF</v>
      </c>
      <c r="P85" t="str">
        <f>VLOOKUP(A85,Response!$A:$M,12,)</f>
        <v>No</v>
      </c>
      <c r="Q85" t="str">
        <f>VLOOKUP(A85,Response!$A:$M,11,)</f>
        <v>Siruseri</v>
      </c>
      <c r="R85" t="s">
        <v>19</v>
      </c>
      <c r="S85" s="39" t="s">
        <v>37</v>
      </c>
    </row>
    <row r="86" spans="1:19">
      <c r="A86" s="3">
        <v>2524634</v>
      </c>
      <c r="B86" t="str">
        <f>VLOOKUP(A86,File!$A:$J,2,FALSE)</f>
        <v>Desaboyina Mahendra Sri Sai Karthik</v>
      </c>
      <c r="C86" s="29">
        <f>VLOOKUP(A86,File!$A:$J,5,FALSE)</f>
        <v>46224</v>
      </c>
      <c r="D86" s="29" t="str">
        <f>VLOOKUP(A86,File!$A:$J,3,FALSE)</f>
        <v>Male</v>
      </c>
      <c r="E86" s="29" t="str">
        <f>VLOOKUP(A86,File!$A:$J,4,FALSE)</f>
        <v>FTE</v>
      </c>
      <c r="F86" s="29" t="str">
        <f>VLOOKUP(A86,File!$A:$J,6,FALSE)</f>
        <v>Chennai</v>
      </c>
      <c r="G86" s="29" t="str">
        <f>VLOOKUP(A86,File!$A:$J,7,FALSE)</f>
        <v>ADM26MF012</v>
      </c>
      <c r="H86" s="29" t="str">
        <f>VLOOKUP(A86,File!$A:$J,8,FALSE)</f>
        <v>Lourdhu Selvin Raj X</v>
      </c>
      <c r="I86" s="31">
        <f>VLOOKUP(A86,File!$A:$J,9,FALSE)</f>
        <v>46343</v>
      </c>
      <c r="J86" s="31" t="str">
        <f>VLOOKUP(A86,File!$A:$K,11,FALSE)</f>
        <v>Nov 2026</v>
      </c>
      <c r="K86" s="31" t="str">
        <f>VLOOKUP(A86,File!$A:$K,10,FALSE)</f>
        <v>In-Training</v>
      </c>
      <c r="L86" s="31" t="s">
        <v>4</v>
      </c>
      <c r="M86" t="str">
        <f>VLOOKUP(A86,Response!$A:$M,7,)</f>
        <v>PG (Paying Guest)</v>
      </c>
      <c r="N86" t="str">
        <f>VLOOKUP(A86,Response!$A:$M,8,)</f>
        <v>Anish Luxuary Gents PG, sipcot park siruseri</v>
      </c>
      <c r="O86" s="4">
        <f>VLOOKUP(A86,Response!$A:$M,10,)</f>
        <v>5</v>
      </c>
      <c r="P86" t="str">
        <f>VLOOKUP(A86,Response!$A:$M,12,)</f>
        <v>No</v>
      </c>
      <c r="Q86" t="str">
        <f>VLOOKUP(A86,Response!$A:$M,11,)</f>
        <v>Siruseri</v>
      </c>
      <c r="R86" t="s">
        <v>19</v>
      </c>
      <c r="S86" s="39" t="s">
        <v>37</v>
      </c>
    </row>
    <row r="87" spans="1:19">
      <c r="A87" s="3">
        <v>2521810</v>
      </c>
      <c r="B87" t="str">
        <f>VLOOKUP(A87,File!$A:$J,2,FALSE)</f>
        <v>Pratik Vasant Gunjalkar</v>
      </c>
      <c r="C87" s="29">
        <f>VLOOKUP(A87,File!$A:$J,5,FALSE)</f>
        <v>46212</v>
      </c>
      <c r="D87" s="29" t="str">
        <f>VLOOKUP(A87,File!$A:$J,3,FALSE)</f>
        <v>Male</v>
      </c>
      <c r="E87" s="29" t="str">
        <f>VLOOKUP(A87,File!$A:$J,4,FALSE)</f>
        <v>FTE</v>
      </c>
      <c r="F87" s="29" t="str">
        <f>VLOOKUP(A87,File!$A:$J,6,FALSE)</f>
        <v>Chennai</v>
      </c>
      <c r="G87" s="29" t="str">
        <f>VLOOKUP(A87,File!$A:$J,7,FALSE)</f>
        <v>ADM26MF010</v>
      </c>
      <c r="H87" s="29" t="str">
        <f>VLOOKUP(A87,File!$A:$J,8,FALSE)</f>
        <v>Thomas Naveen. J</v>
      </c>
      <c r="I87" s="31">
        <f>VLOOKUP(A87,File!$A:$J,9,FALSE)</f>
        <v>46328</v>
      </c>
      <c r="J87" s="31" t="str">
        <f>VLOOKUP(A87,File!$A:$K,11,FALSE)</f>
        <v>Nov 2026</v>
      </c>
      <c r="K87" s="31" t="str">
        <f>VLOOKUP(A87,File!$A:$K,10,FALSE)</f>
        <v>In-Training</v>
      </c>
      <c r="L87" s="31" t="s">
        <v>4</v>
      </c>
      <c r="M87" t="str">
        <f>VLOOKUP(A87,Response!$A:$M,7,)</f>
        <v>PG (Paying Guest)</v>
      </c>
      <c r="N87" t="str">
        <f>VLOOKUP(A87,Response!$A:$M,8,)</f>
        <v>ANISH LUXURY GENTS PG</v>
      </c>
      <c r="O87" s="4">
        <f>VLOOKUP(A87,Response!$A:$M,10,)</f>
        <v>1</v>
      </c>
      <c r="P87" t="str">
        <f>VLOOKUP(A87,Response!$A:$M,12,)</f>
        <v>No</v>
      </c>
      <c r="Q87" t="str">
        <f>VLOOKUP(A87,Response!$A:$M,11,)</f>
        <v>Siruseri</v>
      </c>
      <c r="R87" t="s">
        <v>19</v>
      </c>
      <c r="S87" s="39" t="s">
        <v>37</v>
      </c>
    </row>
    <row r="88" spans="1:19">
      <c r="A88" s="3">
        <v>2512318</v>
      </c>
      <c r="B88" t="str">
        <f>VLOOKUP(A88,File!$A:$J,2,FALSE)</f>
        <v>Aftab Ramig Molla</v>
      </c>
      <c r="C88" s="29">
        <f>VLOOKUP(A88,File!$A:$J,5,FALSE)</f>
        <v>46170</v>
      </c>
      <c r="D88" s="29" t="str">
        <f>VLOOKUP(A88,File!$A:$J,3,FALSE)</f>
        <v>Male</v>
      </c>
      <c r="E88" s="29" t="str">
        <f>VLOOKUP(A88,File!$A:$J,4,FALSE)</f>
        <v>FTE</v>
      </c>
      <c r="F88" s="29" t="str">
        <f>VLOOKUP(A88,File!$A:$J,6,FALSE)</f>
        <v>Chennai</v>
      </c>
      <c r="G88" s="29" t="str">
        <f>VLOOKUP(A88,File!$A:$J,7,FALSE)</f>
        <v>CIS26MCPT012</v>
      </c>
      <c r="H88" s="29" t="str">
        <f>VLOOKUP(A88,File!$A:$J,8,FALSE)</f>
        <v>Uma Venkatachalam</v>
      </c>
      <c r="I88" s="31">
        <f>VLOOKUP(A88,File!$A:$J,9,FALSE)</f>
        <v>46282</v>
      </c>
      <c r="J88" s="31" t="str">
        <f>VLOOKUP(A88,File!$A:$K,11,FALSE)</f>
        <v>Sep 2026</v>
      </c>
      <c r="K88" s="31" t="str">
        <f>VLOOKUP(A88,File!$A:$K,10,FALSE)</f>
        <v>In-Training</v>
      </c>
      <c r="L88" s="31" t="s">
        <v>4</v>
      </c>
      <c r="M88" t="str">
        <f>VLOOKUP(A88,Response!$A:$M,7,)</f>
        <v>PG (Paying Guest)</v>
      </c>
      <c r="N88" t="str">
        <f>VLOOKUP(A88,Response!$A:$M,8,)</f>
        <v>ANISH LUXURY GENTS PG</v>
      </c>
      <c r="O88" s="4">
        <f>VLOOKUP(A88,Response!$A:$M,10,)</f>
        <v>2</v>
      </c>
      <c r="P88" t="str">
        <f>VLOOKUP(A88,Response!$A:$M,12,)</f>
        <v>No</v>
      </c>
      <c r="Q88" t="str">
        <f>VLOOKUP(A88,Response!$A:$M,11,)</f>
        <v>Siruseri</v>
      </c>
      <c r="R88" t="s">
        <v>19</v>
      </c>
      <c r="S88" s="39" t="s">
        <v>37</v>
      </c>
    </row>
    <row r="89" spans="1:19">
      <c r="A89" s="3">
        <v>2529549</v>
      </c>
      <c r="B89" t="str">
        <f>VLOOKUP(A89,File!$A:$J,2,FALSE)</f>
        <v>Jayant Mukund Khatavkar</v>
      </c>
      <c r="C89" s="29">
        <f>VLOOKUP(A89,File!$A:$J,5,FALSE)</f>
        <v>46245</v>
      </c>
      <c r="D89" s="29" t="str">
        <f>VLOOKUP(A89,File!$A:$J,3,FALSE)</f>
        <v>Male</v>
      </c>
      <c r="E89" s="29" t="str">
        <f>VLOOKUP(A89,File!$A:$J,4,FALSE)</f>
        <v>FTE</v>
      </c>
      <c r="F89" s="29" t="str">
        <f>VLOOKUP(A89,File!$A:$J,6,FALSE)</f>
        <v>Chennai</v>
      </c>
      <c r="G89" s="29" t="str">
        <f>VLOOKUP(A89,File!$A:$J,7,FALSE)</f>
        <v>CIS26MCPT023</v>
      </c>
      <c r="H89" s="29" t="str">
        <f>VLOOKUP(A89,File!$A:$J,8,FALSE)</f>
        <v>Kishorekumar P</v>
      </c>
      <c r="I89" s="31">
        <f>VLOOKUP(A89,File!$A:$J,9,FALSE)</f>
        <v>46359</v>
      </c>
      <c r="J89" s="31" t="str">
        <f>VLOOKUP(A89,File!$A:$K,11,FALSE)</f>
        <v>Dec 2026</v>
      </c>
      <c r="K89" s="31" t="str">
        <f>VLOOKUP(A89,File!$A:$K,10,FALSE)</f>
        <v>In-Training</v>
      </c>
      <c r="L89" s="31" t="s">
        <v>4</v>
      </c>
      <c r="M89" t="str">
        <f>VLOOKUP(A89,Response!$A:$M,7,)</f>
        <v>PG (Paying Guest)</v>
      </c>
      <c r="N89" t="str">
        <f>VLOOKUP(A89,Response!$A:$M,8,)</f>
        <v>Anish Luxury Gents PG</v>
      </c>
      <c r="O89" s="4">
        <f>VLOOKUP(A89,Response!$A:$M,10,)</f>
        <v>4</v>
      </c>
      <c r="P89" t="str">
        <f>VLOOKUP(A89,Response!$A:$M,12,)</f>
        <v>No</v>
      </c>
      <c r="Q89" t="str">
        <f>VLOOKUP(A89,Response!$A:$M,11,)</f>
        <v>Siruseri</v>
      </c>
      <c r="R89" t="s">
        <v>19</v>
      </c>
      <c r="S89" s="39" t="s">
        <v>37</v>
      </c>
    </row>
    <row r="90" spans="1:19">
      <c r="A90" s="3">
        <v>2521662</v>
      </c>
      <c r="B90" t="str">
        <f>VLOOKUP(A90,File!$A:$J,2,FALSE)</f>
        <v>Akash Sharma</v>
      </c>
      <c r="C90" s="29">
        <f>VLOOKUP(A90,File!$A:$J,5,FALSE)</f>
        <v>46212</v>
      </c>
      <c r="D90" s="29" t="str">
        <f>VLOOKUP(A90,File!$A:$J,3,FALSE)</f>
        <v>Male</v>
      </c>
      <c r="E90" s="29" t="str">
        <f>VLOOKUP(A90,File!$A:$J,4,FALSE)</f>
        <v>FTE</v>
      </c>
      <c r="F90" s="29" t="str">
        <f>VLOOKUP(A90,File!$A:$J,6,FALSE)</f>
        <v>Chennai</v>
      </c>
      <c r="G90" s="29" t="str">
        <f>VLOOKUP(A90,File!$A:$J,7,FALSE)</f>
        <v>ADM26MF010</v>
      </c>
      <c r="H90" s="29" t="str">
        <f>VLOOKUP(A90,File!$A:$J,8,FALSE)</f>
        <v>Thomas Naveen. J</v>
      </c>
      <c r="I90" s="31">
        <f>VLOOKUP(A90,File!$A:$J,9,FALSE)</f>
        <v>46328</v>
      </c>
      <c r="J90" s="31" t="str">
        <f>VLOOKUP(A90,File!$A:$K,11,FALSE)</f>
        <v>Nov 2026</v>
      </c>
      <c r="K90" s="31" t="str">
        <f>VLOOKUP(A90,File!$A:$K,10,FALSE)</f>
        <v>In-Training</v>
      </c>
      <c r="L90" s="31" t="s">
        <v>4</v>
      </c>
      <c r="M90" t="str">
        <f>VLOOKUP(A90,Response!$A:$M,7,)</f>
        <v>PG (Paying Guest)</v>
      </c>
      <c r="N90" t="str">
        <f>VLOOKUP(A90,Response!$A:$M,8,)</f>
        <v xml:space="preserve">Anish Luxury Gents PG </v>
      </c>
      <c r="O90" s="4">
        <f>VLOOKUP(A90,Response!$A:$M,10,)</f>
        <v>5</v>
      </c>
      <c r="P90" t="str">
        <f>VLOOKUP(A90,Response!$A:$M,12,)</f>
        <v>No</v>
      </c>
      <c r="Q90" t="str">
        <f>VLOOKUP(A90,Response!$A:$M,11,)</f>
        <v>Siruseri</v>
      </c>
      <c r="R90" t="s">
        <v>19</v>
      </c>
      <c r="S90" s="39" t="s">
        <v>37</v>
      </c>
    </row>
    <row r="91" spans="1:19">
      <c r="A91" s="3">
        <v>2533075</v>
      </c>
      <c r="B91" t="str">
        <f>VLOOKUP(A91,File!$A:$J,2,FALSE)</f>
        <v>Bathinigari Kranthi Kumar Reddy</v>
      </c>
      <c r="C91" s="29">
        <f>VLOOKUP(A91,File!$A:$J,5,FALSE)</f>
        <v>46259</v>
      </c>
      <c r="D91" s="29" t="str">
        <f>VLOOKUP(A91,File!$A:$J,3,FALSE)</f>
        <v>Male</v>
      </c>
      <c r="E91" s="29" t="str">
        <f>VLOOKUP(A91,File!$A:$J,4,FALSE)</f>
        <v>FTE</v>
      </c>
      <c r="F91" s="29" t="str">
        <f>VLOOKUP(A91,File!$A:$J,6,FALSE)</f>
        <v>Chennai</v>
      </c>
      <c r="G91" s="29" t="str">
        <f>VLOOKUP(A91,File!$A:$J,7,FALSE)</f>
        <v>CIS26MBG004</v>
      </c>
      <c r="H91" s="29" t="str">
        <f>VLOOKUP(A91,File!$A:$J,8,FALSE)</f>
        <v>Kishorekumar P</v>
      </c>
      <c r="I91" s="31">
        <f>VLOOKUP(A91,File!$A:$J,9,FALSE)</f>
        <v>46367</v>
      </c>
      <c r="J91" s="31" t="str">
        <f>VLOOKUP(A91,File!$A:$K,11,FALSE)</f>
        <v>Dec 2026</v>
      </c>
      <c r="K91" s="31" t="str">
        <f>VLOOKUP(A91,File!$A:$K,10,FALSE)</f>
        <v>In-Training</v>
      </c>
      <c r="L91" s="31" t="s">
        <v>4</v>
      </c>
      <c r="M91" t="str">
        <f>VLOOKUP(A91,Response!$A:$M,7,)</f>
        <v>Hostel</v>
      </c>
      <c r="N91" t="str">
        <f>VLOOKUP(A91,Response!$A:$M,8,)</f>
        <v xml:space="preserve">Anish luxury gents PG </v>
      </c>
      <c r="O91" s="4" t="str">
        <f>VLOOKUP(A91,Response!$A:$M,10,)</f>
        <v>GF</v>
      </c>
      <c r="P91" t="str">
        <f>VLOOKUP(A91,Response!$A:$M,12,)</f>
        <v>No</v>
      </c>
      <c r="Q91" t="str">
        <f>VLOOKUP(A91,Response!$A:$M,11,)</f>
        <v>Siruseri</v>
      </c>
      <c r="R91" t="s">
        <v>19</v>
      </c>
      <c r="S91" s="39" t="s">
        <v>37</v>
      </c>
    </row>
    <row r="92" spans="1:19">
      <c r="A92" s="3">
        <v>2521280</v>
      </c>
      <c r="B92" t="str">
        <f>VLOOKUP(A92,File!$A:$J,2,FALSE)</f>
        <v>Varun K</v>
      </c>
      <c r="C92" s="29">
        <f>VLOOKUP(A92,File!$A:$J,5,FALSE)</f>
        <v>46210</v>
      </c>
      <c r="D92" s="29" t="str">
        <f>VLOOKUP(A92,File!$A:$J,3,FALSE)</f>
        <v>Male</v>
      </c>
      <c r="E92" s="29" t="str">
        <f>VLOOKUP(A92,File!$A:$J,4,FALSE)</f>
        <v>FTE</v>
      </c>
      <c r="F92" s="29" t="str">
        <f>VLOOKUP(A92,File!$A:$J,6,FALSE)</f>
        <v>Chennai</v>
      </c>
      <c r="G92" s="29" t="str">
        <f>VLOOKUP(A92,File!$A:$J,7,FALSE)</f>
        <v>SNBG26SN004</v>
      </c>
      <c r="H92" s="29" t="str">
        <f>VLOOKUP(A92,File!$A:$J,8,FALSE)</f>
        <v>Kishorekumar P</v>
      </c>
      <c r="I92" s="31">
        <f>VLOOKUP(A92,File!$A:$J,9,FALSE)</f>
        <v>46303</v>
      </c>
      <c r="J92" s="31" t="str">
        <f>VLOOKUP(A92,File!$A:$K,11,FALSE)</f>
        <v>Oct 2026</v>
      </c>
      <c r="K92" s="31" t="str">
        <f>VLOOKUP(A92,File!$A:$K,10,FALSE)</f>
        <v>In-Training</v>
      </c>
      <c r="L92" s="31" t="s">
        <v>4</v>
      </c>
      <c r="M92" t="str">
        <f>VLOOKUP(A92,Response!$A:$M,7,)</f>
        <v>PG (Paying Guest)</v>
      </c>
      <c r="N92" t="str">
        <f>VLOOKUP(A92,Response!$A:$M,8,)</f>
        <v>Anish Luxury Gents PG, Egattur</v>
      </c>
      <c r="O92" s="4">
        <f>VLOOKUP(A92,Response!$A:$M,10,)</f>
        <v>1</v>
      </c>
      <c r="P92" t="str">
        <f>VLOOKUP(A92,Response!$A:$M,12,)</f>
        <v>No</v>
      </c>
      <c r="Q92" t="str">
        <f>VLOOKUP(A92,Response!$A:$M,11,)</f>
        <v>Siruseri</v>
      </c>
      <c r="R92" t="s">
        <v>19</v>
      </c>
      <c r="S92" s="39" t="s">
        <v>37</v>
      </c>
    </row>
    <row r="93" spans="1:19">
      <c r="A93" s="3">
        <v>2529578</v>
      </c>
      <c r="B93" t="str">
        <f>VLOOKUP(A93,File!$A:$J,2,FALSE)</f>
        <v>Manoj Sunil Thange</v>
      </c>
      <c r="C93" s="29">
        <f>VLOOKUP(A93,File!$A:$J,5,FALSE)</f>
        <v>46245</v>
      </c>
      <c r="D93" s="29" t="str">
        <f>VLOOKUP(A93,File!$A:$J,3,FALSE)</f>
        <v>Male</v>
      </c>
      <c r="E93" s="29" t="str">
        <f>VLOOKUP(A93,File!$A:$J,4,FALSE)</f>
        <v>FTE</v>
      </c>
      <c r="F93" s="29" t="str">
        <f>VLOOKUP(A93,File!$A:$J,6,FALSE)</f>
        <v>Chennai</v>
      </c>
      <c r="G93" s="29" t="str">
        <f>VLOOKUP(A93,File!$A:$J,7,FALSE)</f>
        <v>CIS26MCPT022</v>
      </c>
      <c r="H93" s="29" t="str">
        <f>VLOOKUP(A93,File!$A:$J,8,FALSE)</f>
        <v>Laksiya Vijayendran</v>
      </c>
      <c r="I93" s="31">
        <f>VLOOKUP(A93,File!$A:$J,9,FALSE)</f>
        <v>46359</v>
      </c>
      <c r="J93" s="31" t="str">
        <f>VLOOKUP(A93,File!$A:$K,11,FALSE)</f>
        <v>Dec 2026</v>
      </c>
      <c r="K93" s="31" t="str">
        <f>VLOOKUP(A93,File!$A:$K,10,FALSE)</f>
        <v>In-Training</v>
      </c>
      <c r="L93" s="31" t="s">
        <v>4</v>
      </c>
      <c r="M93" t="str">
        <f>VLOOKUP(A93,Response!$A:$M,7,)</f>
        <v>PG (Paying Guest)</v>
      </c>
      <c r="N93" t="str">
        <f>VLOOKUP(A93,Response!$A:$M,8,)</f>
        <v>Anish Luxury Gents PG, Egattur</v>
      </c>
      <c r="O93" s="4">
        <f>VLOOKUP(A93,Response!$A:$M,10,)</f>
        <v>4</v>
      </c>
      <c r="P93" t="str">
        <f>VLOOKUP(A93,Response!$A:$M,12,)</f>
        <v>No</v>
      </c>
      <c r="Q93" t="str">
        <f>VLOOKUP(A93,Response!$A:$M,11,)</f>
        <v>Egattur</v>
      </c>
      <c r="R93" t="s">
        <v>19</v>
      </c>
      <c r="S93" s="39" t="s">
        <v>37</v>
      </c>
    </row>
    <row r="94" spans="1:19">
      <c r="A94" s="3">
        <v>2516827</v>
      </c>
      <c r="B94" t="str">
        <f>VLOOKUP(A94,File!$A:$J,2,FALSE)</f>
        <v>Sumanth Chanduluru</v>
      </c>
      <c r="C94" s="29">
        <f>VLOOKUP(A94,File!$A:$J,5,FALSE)</f>
        <v>46191</v>
      </c>
      <c r="D94" s="29" t="str">
        <f>VLOOKUP(A94,File!$A:$J,3,FALSE)</f>
        <v>Male</v>
      </c>
      <c r="E94" s="29" t="str">
        <f>VLOOKUP(A94,File!$A:$J,4,FALSE)</f>
        <v>FTE</v>
      </c>
      <c r="F94" s="29" t="str">
        <f>VLOOKUP(A94,File!$A:$J,6,FALSE)</f>
        <v>Chennai</v>
      </c>
      <c r="G94" s="29" t="str">
        <f>VLOOKUP(A94,File!$A:$J,7,FALSE)</f>
        <v>CIS26MW001</v>
      </c>
      <c r="H94" s="29" t="str">
        <f>VLOOKUP(A94,File!$A:$J,8,FALSE)</f>
        <v>Ashiya Begam S</v>
      </c>
      <c r="I94" s="31">
        <f>VLOOKUP(A94,File!$A:$J,9,FALSE)</f>
        <v>46276</v>
      </c>
      <c r="J94" s="31" t="str">
        <f>VLOOKUP(A94,File!$A:$K,11,FALSE)</f>
        <v>Sep 2026</v>
      </c>
      <c r="K94" s="31" t="str">
        <f>VLOOKUP(A94,File!$A:$K,10,FALSE)</f>
        <v>In-Training</v>
      </c>
      <c r="L94" s="31" t="s">
        <v>4</v>
      </c>
      <c r="M94" t="str">
        <f>VLOOKUP(A94,Response!$A:$M,7,)</f>
        <v>PG (Paying Guest)</v>
      </c>
      <c r="N94" t="str">
        <f>VLOOKUP(A94,Response!$A:$M,8,)</f>
        <v>Anish Luxury Gents PG, Egattur</v>
      </c>
      <c r="O94" s="4">
        <f>VLOOKUP(A94,Response!$A:$M,10,)</f>
        <v>5</v>
      </c>
      <c r="P94" t="str">
        <f>VLOOKUP(A94,Response!$A:$M,12,)</f>
        <v>No</v>
      </c>
      <c r="Q94" t="str">
        <f>VLOOKUP(A94,Response!$A:$M,11,)</f>
        <v>Egattur</v>
      </c>
      <c r="R94" t="s">
        <v>19</v>
      </c>
      <c r="S94" s="39" t="s">
        <v>37</v>
      </c>
    </row>
    <row r="95" spans="1:19">
      <c r="A95" s="3">
        <v>2521681</v>
      </c>
      <c r="B95" t="str">
        <f>VLOOKUP(A95,File!$A:$J,2,FALSE)</f>
        <v>Sameer Ahmad Patnool</v>
      </c>
      <c r="C95" s="29">
        <f>VLOOKUP(A95,File!$A:$J,5,FALSE)</f>
        <v>46212</v>
      </c>
      <c r="D95" s="29" t="str">
        <f>VLOOKUP(A95,File!$A:$J,3,FALSE)</f>
        <v>Male</v>
      </c>
      <c r="E95" s="29" t="str">
        <f>VLOOKUP(A95,File!$A:$J,4,FALSE)</f>
        <v>FTE</v>
      </c>
      <c r="F95" s="29" t="str">
        <f>VLOOKUP(A95,File!$A:$J,6,FALSE)</f>
        <v>Chennai</v>
      </c>
      <c r="G95" s="29" t="str">
        <f>VLOOKUP(A95,File!$A:$J,7,FALSE)</f>
        <v>ADM26MF011</v>
      </c>
      <c r="H95" s="29" t="str">
        <f>VLOOKUP(A95,File!$A:$J,8,FALSE)</f>
        <v>Abinaya R</v>
      </c>
      <c r="I95" s="31">
        <f>VLOOKUP(A95,File!$A:$J,9,FALSE)</f>
        <v>46328</v>
      </c>
      <c r="J95" s="31" t="str">
        <f>VLOOKUP(A95,File!$A:$K,11,FALSE)</f>
        <v>Nov 2026</v>
      </c>
      <c r="K95" s="31" t="str">
        <f>VLOOKUP(A95,File!$A:$K,10,FALSE)</f>
        <v>In-Training</v>
      </c>
      <c r="L95" s="31" t="s">
        <v>4</v>
      </c>
      <c r="M95" t="str">
        <f>VLOOKUP(A95,Response!$A:$M,7,)</f>
        <v>PG (Paying Guest)</v>
      </c>
      <c r="N95" t="str">
        <f>VLOOKUP(A95,Response!$A:$M,8,)</f>
        <v>Anish luxury gents PG, Siruseri Sipcot IT park, Egattur, 603103</v>
      </c>
      <c r="O95" s="4">
        <f>VLOOKUP(A95,Response!$A:$M,10,)</f>
        <v>5</v>
      </c>
      <c r="P95" t="str">
        <f>VLOOKUP(A95,Response!$A:$M,12,)</f>
        <v>No</v>
      </c>
      <c r="Q95" t="str">
        <f>VLOOKUP(A95,Response!$A:$M,11,)</f>
        <v>Siruseri</v>
      </c>
      <c r="R95" t="s">
        <v>19</v>
      </c>
      <c r="S95" s="39" t="s">
        <v>37</v>
      </c>
    </row>
    <row r="96" spans="1:19">
      <c r="A96" s="3">
        <v>2521765</v>
      </c>
      <c r="B96" t="str">
        <f>VLOOKUP(A96,File!$A:$J,2,FALSE)</f>
        <v>Maddiboina Venkata Ganesh</v>
      </c>
      <c r="C96" s="29">
        <f>VLOOKUP(A96,File!$A:$J,5,FALSE)</f>
        <v>46212</v>
      </c>
      <c r="D96" s="29" t="str">
        <f>VLOOKUP(A96,File!$A:$J,3,FALSE)</f>
        <v>Male</v>
      </c>
      <c r="E96" s="29" t="str">
        <f>VLOOKUP(A96,File!$A:$J,4,FALSE)</f>
        <v>FTE</v>
      </c>
      <c r="F96" s="29" t="str">
        <f>VLOOKUP(A96,File!$A:$J,6,FALSE)</f>
        <v>Chennai</v>
      </c>
      <c r="G96" s="29" t="str">
        <f>VLOOKUP(A96,File!$A:$J,7,FALSE)</f>
        <v>QEA26SD001</v>
      </c>
      <c r="H96" s="29" t="str">
        <f>VLOOKUP(A96,File!$A:$J,8,FALSE)</f>
        <v>Ajiesya D P</v>
      </c>
      <c r="I96" s="31">
        <f>VLOOKUP(A96,File!$A:$J,9,FALSE)</f>
        <v>46329</v>
      </c>
      <c r="J96" s="31" t="str">
        <f>VLOOKUP(A96,File!$A:$K,11,FALSE)</f>
        <v>Nov 2026</v>
      </c>
      <c r="K96" s="31" t="str">
        <f>VLOOKUP(A96,File!$A:$K,10,FALSE)</f>
        <v>In-Training</v>
      </c>
      <c r="L96" s="31" t="s">
        <v>4</v>
      </c>
      <c r="M96" t="str">
        <f>VLOOKUP(A96,Response!$A:$M,7,)</f>
        <v>PG (Paying Guest)</v>
      </c>
      <c r="N96" t="str">
        <f>VLOOKUP(A96,Response!$A:$M,8,)</f>
        <v>Anish luxury pg</v>
      </c>
      <c r="O96" s="4">
        <f>VLOOKUP(A96,Response!$A:$M,10,)</f>
        <v>1</v>
      </c>
      <c r="P96" t="str">
        <f>VLOOKUP(A96,Response!$A:$M,12,)</f>
        <v>Yes</v>
      </c>
      <c r="Q96" t="str">
        <f>VLOOKUP(A96,Response!$A:$M,11,)</f>
        <v>Siruseri</v>
      </c>
      <c r="R96" t="s">
        <v>19</v>
      </c>
      <c r="S96" s="39" t="s">
        <v>37</v>
      </c>
    </row>
    <row r="97" spans="1:19">
      <c r="A97" s="3">
        <v>2529791</v>
      </c>
      <c r="B97" t="str">
        <f>VLOOKUP(A97,File!$A:$J,2,FALSE)</f>
        <v>Abineet Omkar Yadav</v>
      </c>
      <c r="C97" s="29">
        <f>VLOOKUP(A97,File!$A:$J,5,FALSE)</f>
        <v>46245</v>
      </c>
      <c r="D97" s="29" t="str">
        <f>VLOOKUP(A97,File!$A:$J,3,FALSE)</f>
        <v>Male</v>
      </c>
      <c r="E97" s="29" t="str">
        <f>VLOOKUP(A97,File!$A:$J,4,FALSE)</f>
        <v>FTE</v>
      </c>
      <c r="F97" s="29" t="str">
        <f>VLOOKUP(A97,File!$A:$J,6,FALSE)</f>
        <v>Chennai</v>
      </c>
      <c r="G97" s="29" t="str">
        <f>VLOOKUP(A97,File!$A:$J,7,FALSE)</f>
        <v>CIS26MCPT021</v>
      </c>
      <c r="H97" s="29" t="str">
        <f>VLOOKUP(A97,File!$A:$J,8,FALSE)</f>
        <v>Uma Venkatachalam</v>
      </c>
      <c r="I97" s="31">
        <f>VLOOKUP(A97,File!$A:$J,9,FALSE)</f>
        <v>46364</v>
      </c>
      <c r="J97" s="31" t="str">
        <f>VLOOKUP(A97,File!$A:$K,11,FALSE)</f>
        <v>Dec 2026</v>
      </c>
      <c r="K97" s="31" t="str">
        <f>VLOOKUP(A97,File!$A:$K,10,FALSE)</f>
        <v>In-Training</v>
      </c>
      <c r="L97" s="31" t="s">
        <v>4</v>
      </c>
      <c r="M97" t="str">
        <f>VLOOKUP(A97,Response!$A:$M,7,)</f>
        <v>PG (Paying Guest)</v>
      </c>
      <c r="N97" t="str">
        <f>VLOOKUP(A97,Response!$A:$M,8,)</f>
        <v>Anish luxury pg,sipcot it park egattur</v>
      </c>
      <c r="O97" s="4">
        <f>VLOOKUP(A97,Response!$A:$M,10,)</f>
        <v>4</v>
      </c>
      <c r="P97" t="str">
        <f>VLOOKUP(A97,Response!$A:$M,12,)</f>
        <v>No</v>
      </c>
      <c r="Q97" t="str">
        <f>VLOOKUP(A97,Response!$A:$M,11,)</f>
        <v>Egattur</v>
      </c>
      <c r="R97" t="s">
        <v>19</v>
      </c>
      <c r="S97" s="39" t="s">
        <v>37</v>
      </c>
    </row>
    <row r="98" spans="1:19">
      <c r="A98" s="3">
        <v>2521665</v>
      </c>
      <c r="B98" t="str">
        <f>VLOOKUP(A98,File!$A:$J,2,FALSE)</f>
        <v>Medisetti Veerendra</v>
      </c>
      <c r="C98" s="29">
        <f>VLOOKUP(A98,File!$A:$J,5,FALSE)</f>
        <v>46212</v>
      </c>
      <c r="D98" s="29" t="str">
        <f>VLOOKUP(A98,File!$A:$J,3,FALSE)</f>
        <v>Male</v>
      </c>
      <c r="E98" s="29" t="str">
        <f>VLOOKUP(A98,File!$A:$J,4,FALSE)</f>
        <v>FTE</v>
      </c>
      <c r="F98" s="29" t="str">
        <f>VLOOKUP(A98,File!$A:$J,6,FALSE)</f>
        <v>Chennai</v>
      </c>
      <c r="G98" s="29" t="str">
        <f>VLOOKUP(A98,File!$A:$J,7,FALSE)</f>
        <v>ADM26MF011</v>
      </c>
      <c r="H98" s="29" t="str">
        <f>VLOOKUP(A98,File!$A:$J,8,FALSE)</f>
        <v>Abinaya R</v>
      </c>
      <c r="I98" s="31">
        <f>VLOOKUP(A98,File!$A:$J,9,FALSE)</f>
        <v>46328</v>
      </c>
      <c r="J98" s="31" t="str">
        <f>VLOOKUP(A98,File!$A:$K,11,FALSE)</f>
        <v>Nov 2026</v>
      </c>
      <c r="K98" s="31" t="str">
        <f>VLOOKUP(A98,File!$A:$K,10,FALSE)</f>
        <v>In-Training</v>
      </c>
      <c r="L98" s="31" t="s">
        <v>4</v>
      </c>
      <c r="M98" t="str">
        <f>VLOOKUP(A98,Response!$A:$M,7,)</f>
        <v>PG (Paying Guest)</v>
      </c>
      <c r="N98" t="str">
        <f>VLOOKUP(A98,Response!$A:$M,8,)</f>
        <v>Anish mens luxary PG - Sipcot, Near to Moksha ladies PG</v>
      </c>
      <c r="O98" s="4">
        <f>VLOOKUP(A98,Response!$A:$M,10,)</f>
        <v>5</v>
      </c>
      <c r="P98" t="str">
        <f>VLOOKUP(A98,Response!$A:$M,12,)</f>
        <v>No</v>
      </c>
      <c r="Q98" t="str">
        <f>VLOOKUP(A98,Response!$A:$M,11,)</f>
        <v>Siruseri</v>
      </c>
      <c r="R98" t="s">
        <v>19</v>
      </c>
      <c r="S98" s="39" t="s">
        <v>37</v>
      </c>
    </row>
    <row r="99" spans="1:19">
      <c r="A99" s="3">
        <v>2519781</v>
      </c>
      <c r="B99" t="str">
        <f>VLOOKUP(A99,File!$A:$J,2,FALSE)</f>
        <v>Dumpala Vamsidhar Reddy</v>
      </c>
      <c r="C99" s="29">
        <f>VLOOKUP(A99,File!$A:$J,5,FALSE)</f>
        <v>46205</v>
      </c>
      <c r="D99" s="29" t="str">
        <f>VLOOKUP(A99,File!$A:$J,3,FALSE)</f>
        <v>Male</v>
      </c>
      <c r="E99" s="29" t="str">
        <f>VLOOKUP(A99,File!$A:$J,4,FALSE)</f>
        <v>FTE</v>
      </c>
      <c r="F99" s="29" t="str">
        <f>VLOOKUP(A99,File!$A:$J,6,FALSE)</f>
        <v>Chennai</v>
      </c>
      <c r="G99" s="29" t="str">
        <f>VLOOKUP(A99,File!$A:$J,7,FALSE)</f>
        <v>CIS26UNIX003</v>
      </c>
      <c r="H99" s="29" t="str">
        <f>VLOOKUP(A99,File!$A:$J,8,FALSE)</f>
        <v>Haritha P</v>
      </c>
      <c r="I99" s="31">
        <f>VLOOKUP(A99,File!$A:$J,9,FALSE)</f>
        <v>46289</v>
      </c>
      <c r="J99" s="31" t="str">
        <f>VLOOKUP(A99,File!$A:$K,11,FALSE)</f>
        <v>Sep 2026</v>
      </c>
      <c r="K99" s="31" t="str">
        <f>VLOOKUP(A99,File!$A:$K,10,FALSE)</f>
        <v>In-Training</v>
      </c>
      <c r="L99" s="31" t="s">
        <v>4</v>
      </c>
      <c r="M99" t="str">
        <f>VLOOKUP(A99,Response!$A:$M,7,)</f>
        <v>PG (Paying Guest)</v>
      </c>
      <c r="N99" t="str">
        <f>VLOOKUP(A99,Response!$A:$M,8,)</f>
        <v>ANISH PG</v>
      </c>
      <c r="O99" s="4">
        <f>VLOOKUP(A99,Response!$A:$M,10,)</f>
        <v>3</v>
      </c>
      <c r="P99" t="str">
        <f>VLOOKUP(A99,Response!$A:$M,12,)</f>
        <v>No</v>
      </c>
      <c r="Q99" t="str">
        <f>VLOOKUP(A99,Response!$A:$M,11,)</f>
        <v>Siruseri</v>
      </c>
      <c r="R99" t="s">
        <v>19</v>
      </c>
      <c r="S99" s="39" t="s">
        <v>37</v>
      </c>
    </row>
    <row r="100" spans="1:19">
      <c r="A100" s="3">
        <v>2531815</v>
      </c>
      <c r="B100" t="str">
        <f>VLOOKUP(A100,File!$A:$J,2,FALSE)</f>
        <v>Balavinayak Balasubramanian</v>
      </c>
      <c r="C100" s="29">
        <f>VLOOKUP(A100,File!$A:$J,5,FALSE)</f>
        <v>46254</v>
      </c>
      <c r="D100" s="29" t="str">
        <f>VLOOKUP(A100,File!$A:$J,3,FALSE)</f>
        <v>Male</v>
      </c>
      <c r="E100" s="29" t="str">
        <f>VLOOKUP(A100,File!$A:$J,4,FALSE)</f>
        <v>FTE</v>
      </c>
      <c r="F100" s="29" t="str">
        <f>VLOOKUP(A100,File!$A:$J,6,FALSE)</f>
        <v>Chennai</v>
      </c>
      <c r="G100" s="29" t="str">
        <f>VLOOKUP(A100,File!$A:$J,7,FALSE)</f>
        <v>CS26CS012</v>
      </c>
      <c r="H100" s="29" t="str">
        <f>VLOOKUP(A100,File!$A:$J,8,FALSE)</f>
        <v>Laksiya Vijayendran</v>
      </c>
      <c r="I100" s="31">
        <f>VLOOKUP(A100,File!$A:$J,9,FALSE)</f>
        <v>46343</v>
      </c>
      <c r="J100" s="31" t="str">
        <f>VLOOKUP(A100,File!$A:$K,11,FALSE)</f>
        <v>Nov 2026</v>
      </c>
      <c r="K100" s="31" t="str">
        <f>VLOOKUP(A100,File!$A:$K,10,FALSE)</f>
        <v>In-Training</v>
      </c>
      <c r="L100" s="31" t="s">
        <v>5</v>
      </c>
      <c r="M100" t="str">
        <f>VLOOKUP(A100,Response!$A:$M,7,)</f>
        <v>Permanent Residence (House/Home)</v>
      </c>
      <c r="N100" t="str">
        <f>VLOOKUP(A100,Response!$A:$M,8,)</f>
        <v>ANNAI OIKOS</v>
      </c>
      <c r="O100" s="4">
        <f>VLOOKUP(A100,Response!$A:$M,10,)</f>
        <v>1</v>
      </c>
      <c r="P100" t="str">
        <f>VLOOKUP(A100,Response!$A:$M,12,)</f>
        <v>Yes</v>
      </c>
      <c r="Q100" t="str">
        <f>VLOOKUP(A100,Response!$A:$M,11,)</f>
        <v>Sholinganallur</v>
      </c>
      <c r="R100" t="s">
        <v>17</v>
      </c>
      <c r="S100" t="s">
        <v>38</v>
      </c>
    </row>
    <row r="101" spans="1:19">
      <c r="A101" s="3">
        <v>2524656</v>
      </c>
      <c r="B101" t="str">
        <f>VLOOKUP(A101,File!$A:$J,2,FALSE)</f>
        <v>Mujahid Jilanisab Shaikh</v>
      </c>
      <c r="C101" s="29">
        <f>VLOOKUP(A101,File!$A:$J,5,FALSE)</f>
        <v>46224</v>
      </c>
      <c r="D101" s="29" t="str">
        <f>VLOOKUP(A101,File!$A:$J,3,FALSE)</f>
        <v>Male</v>
      </c>
      <c r="E101" s="29" t="str">
        <f>VLOOKUP(A101,File!$A:$J,4,FALSE)</f>
        <v>FTE</v>
      </c>
      <c r="F101" s="29" t="str">
        <f>VLOOKUP(A101,File!$A:$J,6,FALSE)</f>
        <v>Chennai</v>
      </c>
      <c r="G101" s="29" t="str">
        <f>VLOOKUP(A101,File!$A:$J,7,FALSE)</f>
        <v>QEA26QEPT024</v>
      </c>
      <c r="H101" s="29" t="str">
        <f>VLOOKUP(A101,File!$A:$J,8,FALSE)</f>
        <v>Ajiesya D P</v>
      </c>
      <c r="I101" s="31">
        <f>VLOOKUP(A101,File!$A:$J,9,FALSE)</f>
        <v>46325</v>
      </c>
      <c r="J101" s="31" t="str">
        <f>VLOOKUP(A101,File!$A:$K,11,FALSE)</f>
        <v>Oct 2026</v>
      </c>
      <c r="K101" s="31" t="str">
        <f>VLOOKUP(A101,File!$A:$K,10,FALSE)</f>
        <v>In-Training</v>
      </c>
      <c r="L101" s="31" t="s">
        <v>4</v>
      </c>
      <c r="M101" t="str">
        <f>VLOOKUP(A101,Response!$A:$M,7,)</f>
        <v>PG (Paying Guest)</v>
      </c>
      <c r="N101" t="str">
        <f>VLOOKUP(A101,Response!$A:$M,8,)</f>
        <v>AnnaPurna Gents PG</v>
      </c>
      <c r="O101" s="4">
        <f>VLOOKUP(A101,Response!$A:$M,10,)</f>
        <v>1</v>
      </c>
      <c r="P101" t="str">
        <f>VLOOKUP(A101,Response!$A:$M,12,)</f>
        <v>No</v>
      </c>
      <c r="Q101" t="str">
        <f>VLOOKUP(A101,Response!$A:$M,11,)</f>
        <v>Egattur</v>
      </c>
      <c r="R101" t="s">
        <v>19</v>
      </c>
      <c r="S101" s="39" t="s">
        <v>37</v>
      </c>
    </row>
    <row r="102" spans="1:19">
      <c r="A102" s="3">
        <v>2521671</v>
      </c>
      <c r="B102" t="str">
        <f>VLOOKUP(A102,File!$A:$J,2,FALSE)</f>
        <v>Shahan V Saleem</v>
      </c>
      <c r="C102" s="29">
        <f>VLOOKUP(A102,File!$A:$J,5,FALSE)</f>
        <v>46212</v>
      </c>
      <c r="D102" s="29" t="str">
        <f>VLOOKUP(A102,File!$A:$J,3,FALSE)</f>
        <v>Male</v>
      </c>
      <c r="E102" s="29" t="str">
        <f>VLOOKUP(A102,File!$A:$J,4,FALSE)</f>
        <v>FTE</v>
      </c>
      <c r="F102" s="29" t="str">
        <f>VLOOKUP(A102,File!$A:$J,6,FALSE)</f>
        <v>Chennai</v>
      </c>
      <c r="G102" s="29" t="str">
        <f>VLOOKUP(A102,File!$A:$J,7,FALSE)</f>
        <v>AIA26DSAT004</v>
      </c>
      <c r="H102" s="29" t="str">
        <f>VLOOKUP(A102,File!$A:$J,8,FALSE)</f>
        <v>Pavithra Kandasamy</v>
      </c>
      <c r="I102" s="31">
        <f>VLOOKUP(A102,File!$A:$J,9,FALSE)</f>
        <v>46304</v>
      </c>
      <c r="J102" s="31" t="str">
        <f>VLOOKUP(A102,File!$A:$K,11,FALSE)</f>
        <v>Oct 2026</v>
      </c>
      <c r="K102" s="31" t="str">
        <f>VLOOKUP(A102,File!$A:$K,10,FALSE)</f>
        <v>In-Training</v>
      </c>
      <c r="L102" s="31" t="s">
        <v>4</v>
      </c>
      <c r="M102" t="str">
        <f>VLOOKUP(A102,Response!$A:$M,7,)</f>
        <v>PG (Paying Guest)</v>
      </c>
      <c r="N102" t="str">
        <f>VLOOKUP(A102,Response!$A:$M,8,)</f>
        <v>Annapurna Gents PG, Egattur</v>
      </c>
      <c r="O102" s="4">
        <f>VLOOKUP(A102,Response!$A:$M,10,)</f>
        <v>1</v>
      </c>
      <c r="P102" t="str">
        <f>VLOOKUP(A102,Response!$A:$M,12,)</f>
        <v>No</v>
      </c>
      <c r="Q102" t="str">
        <f>VLOOKUP(A102,Response!$A:$M,11,)</f>
        <v>Egattur</v>
      </c>
      <c r="R102" t="s">
        <v>19</v>
      </c>
      <c r="S102" s="39" t="s">
        <v>37</v>
      </c>
    </row>
    <row r="103" spans="1:19">
      <c r="A103" s="3">
        <v>2512336</v>
      </c>
      <c r="B103" t="str">
        <f>VLOOKUP(A103,File!$A:$J,2,FALSE)</f>
        <v>Balu Battu</v>
      </c>
      <c r="C103" s="29">
        <f>VLOOKUP(A103,File!$A:$J,5,FALSE)</f>
        <v>46170</v>
      </c>
      <c r="D103" s="29" t="str">
        <f>VLOOKUP(A103,File!$A:$J,3,FALSE)</f>
        <v>Male</v>
      </c>
      <c r="E103" s="29" t="str">
        <f>VLOOKUP(A103,File!$A:$J,4,FALSE)</f>
        <v>FTE</v>
      </c>
      <c r="F103" s="29" t="str">
        <f>VLOOKUP(A103,File!$A:$J,6,FALSE)</f>
        <v>Chennai</v>
      </c>
      <c r="G103" s="29" t="str">
        <f>VLOOKUP(A103,File!$A:$J,7,FALSE)</f>
        <v>CIS26MCPT011</v>
      </c>
      <c r="H103" s="29" t="str">
        <f>VLOOKUP(A103,File!$A:$J,8,FALSE)</f>
        <v>Uma Venkatachalam</v>
      </c>
      <c r="I103" s="31">
        <f>VLOOKUP(A103,File!$A:$J,9,FALSE)</f>
        <v>46282</v>
      </c>
      <c r="J103" s="31" t="str">
        <f>VLOOKUP(A103,File!$A:$K,11,FALSE)</f>
        <v>Sep 2026</v>
      </c>
      <c r="K103" s="31" t="str">
        <f>VLOOKUP(A103,File!$A:$K,10,FALSE)</f>
        <v>In-Training</v>
      </c>
      <c r="L103" s="31" t="s">
        <v>4</v>
      </c>
      <c r="M103" t="str">
        <f>VLOOKUP(A103,Response!$A:$M,7,)</f>
        <v>PG (Paying Guest)</v>
      </c>
      <c r="N103" t="str">
        <f>VLOOKUP(A103,Response!$A:$M,8,)</f>
        <v>Annapurna gents pg</v>
      </c>
      <c r="O103" s="4">
        <f>VLOOKUP(A103,Response!$A:$M,10,)</f>
        <v>2</v>
      </c>
      <c r="P103" t="str">
        <f>VLOOKUP(A103,Response!$A:$M,12,)</f>
        <v>No</v>
      </c>
      <c r="Q103" t="str">
        <f>VLOOKUP(A103,Response!$A:$M,11,)</f>
        <v>Egattur</v>
      </c>
      <c r="R103" t="s">
        <v>19</v>
      </c>
      <c r="S103" s="39" t="s">
        <v>37</v>
      </c>
    </row>
    <row r="104" spans="1:19">
      <c r="A104" s="3">
        <v>2533073</v>
      </c>
      <c r="B104" t="str">
        <f>VLOOKUP(A104,File!$A:$J,2,FALSE)</f>
        <v>Vedavarshini Attuluri</v>
      </c>
      <c r="C104" s="29">
        <f>VLOOKUP(A104,File!$A:$J,5,FALSE)</f>
        <v>46259</v>
      </c>
      <c r="D104" s="29" t="str">
        <f>VLOOKUP(A104,File!$A:$J,3,FALSE)</f>
        <v>Female</v>
      </c>
      <c r="E104" s="29" t="str">
        <f>VLOOKUP(A104,File!$A:$J,4,FALSE)</f>
        <v>FTE</v>
      </c>
      <c r="F104" s="29" t="str">
        <f>VLOOKUP(A104,File!$A:$J,6,FALSE)</f>
        <v>Chennai</v>
      </c>
      <c r="G104" s="29" t="str">
        <f>VLOOKUP(A104,File!$A:$J,7,FALSE)</f>
        <v>CIS26MBG004</v>
      </c>
      <c r="H104" s="29" t="str">
        <f>VLOOKUP(A104,File!$A:$J,8,FALSE)</f>
        <v>Kishorekumar P</v>
      </c>
      <c r="I104" s="31">
        <f>VLOOKUP(A104,File!$A:$J,9,FALSE)</f>
        <v>46367</v>
      </c>
      <c r="J104" s="31" t="str">
        <f>VLOOKUP(A104,File!$A:$K,11,FALSE)</f>
        <v>Dec 2026</v>
      </c>
      <c r="K104" s="31" t="str">
        <f>VLOOKUP(A104,File!$A:$K,10,FALSE)</f>
        <v>In-Training</v>
      </c>
      <c r="L104" s="31" t="s">
        <v>4</v>
      </c>
      <c r="M104" t="str">
        <f>VLOOKUP(A104,Response!$A:$M,7,)</f>
        <v>PG (Paying Guest)</v>
      </c>
      <c r="N104" t="str">
        <f>VLOOKUP(A104,Response!$A:$M,8,)</f>
        <v>Annapurna ladies PG egattur opposite marina mall</v>
      </c>
      <c r="O104" s="4">
        <f>VLOOKUP(A104,Response!$A:$M,10,)</f>
        <v>1</v>
      </c>
      <c r="P104" t="str">
        <f>VLOOKUP(A104,Response!$A:$M,12,)</f>
        <v>No</v>
      </c>
      <c r="Q104" t="str">
        <f>VLOOKUP(A104,Response!$A:$M,11,)</f>
        <v>Egattur</v>
      </c>
      <c r="R104" t="s">
        <v>19</v>
      </c>
      <c r="S104" s="39" t="s">
        <v>37</v>
      </c>
    </row>
    <row r="105" spans="1:19">
      <c r="A105" s="3">
        <v>2529696</v>
      </c>
      <c r="B105" t="str">
        <f>VLOOKUP(A105,File!$A:$J,2,FALSE)</f>
        <v>Thonduru Sai Sree</v>
      </c>
      <c r="C105" s="29">
        <f>VLOOKUP(A105,File!$A:$J,5,FALSE)</f>
        <v>46245</v>
      </c>
      <c r="D105" s="29" t="str">
        <f>VLOOKUP(A105,File!$A:$J,3,FALSE)</f>
        <v>Female</v>
      </c>
      <c r="E105" s="29" t="str">
        <f>VLOOKUP(A105,File!$A:$J,4,FALSE)</f>
        <v>FTE</v>
      </c>
      <c r="F105" s="29" t="str">
        <f>VLOOKUP(A105,File!$A:$J,6,FALSE)</f>
        <v>Chennai</v>
      </c>
      <c r="G105" s="29" t="str">
        <f>VLOOKUP(A105,File!$A:$J,7,FALSE)</f>
        <v>CIS26AZ001</v>
      </c>
      <c r="H105" s="29" t="str">
        <f>VLOOKUP(A105,File!$A:$J,8,FALSE)</f>
        <v>Ashiya Begam S</v>
      </c>
      <c r="I105" s="31">
        <f>VLOOKUP(A105,File!$A:$J,9,FALSE)</f>
        <v>46335</v>
      </c>
      <c r="J105" s="31" t="str">
        <f>VLOOKUP(A105,File!$A:$K,11,FALSE)</f>
        <v>Nov 2026</v>
      </c>
      <c r="K105" s="31" t="str">
        <f>VLOOKUP(A105,File!$A:$K,10,FALSE)</f>
        <v>In-Training</v>
      </c>
      <c r="L105" s="31" t="s">
        <v>4</v>
      </c>
      <c r="M105" t="str">
        <f>VLOOKUP(A105,Response!$A:$M,7,)</f>
        <v>PG (Paying Guest)</v>
      </c>
      <c r="N105" t="str">
        <f>VLOOKUP(A105,Response!$A:$M,8,)</f>
        <v>Annapurna ladies pg opposite to marina mall</v>
      </c>
      <c r="O105" s="4">
        <f>VLOOKUP(A105,Response!$A:$M,10,)</f>
        <v>2</v>
      </c>
      <c r="P105" t="str">
        <f>VLOOKUP(A105,Response!$A:$M,12,)</f>
        <v>No</v>
      </c>
      <c r="Q105" t="str">
        <f>VLOOKUP(A105,Response!$A:$M,11,)</f>
        <v>Egattur</v>
      </c>
      <c r="R105" t="s">
        <v>19</v>
      </c>
      <c r="S105" s="39" t="s">
        <v>37</v>
      </c>
    </row>
    <row r="106" spans="1:19">
      <c r="A106" s="3">
        <v>2521639</v>
      </c>
      <c r="B106" t="str">
        <f>VLOOKUP(A106,File!$A:$J,2,FALSE)</f>
        <v>Lenin Uthup</v>
      </c>
      <c r="C106" s="29">
        <f>VLOOKUP(A106,File!$A:$J,5,FALSE)</f>
        <v>46212</v>
      </c>
      <c r="D106" s="29" t="str">
        <f>VLOOKUP(A106,File!$A:$J,3,FALSE)</f>
        <v>Male</v>
      </c>
      <c r="E106" s="29" t="str">
        <f>VLOOKUP(A106,File!$A:$J,4,FALSE)</f>
        <v>FTE</v>
      </c>
      <c r="F106" s="29" t="str">
        <f>VLOOKUP(A106,File!$A:$J,6,FALSE)</f>
        <v>Chennai</v>
      </c>
      <c r="G106" s="29" t="str">
        <f>VLOOKUP(A106,File!$A:$J,7,FALSE)</f>
        <v>ADM26MF010</v>
      </c>
      <c r="H106" s="29" t="str">
        <f>VLOOKUP(A106,File!$A:$J,8,FALSE)</f>
        <v>Thomas Naveen. J</v>
      </c>
      <c r="I106" s="31">
        <f>VLOOKUP(A106,File!$A:$J,9,FALSE)</f>
        <v>46328</v>
      </c>
      <c r="J106" s="31" t="str">
        <f>VLOOKUP(A106,File!$A:$K,11,FALSE)</f>
        <v>Nov 2026</v>
      </c>
      <c r="K106" s="31" t="str">
        <f>VLOOKUP(A106,File!$A:$K,10,FALSE)</f>
        <v>In-Training</v>
      </c>
      <c r="L106" s="31" t="s">
        <v>4</v>
      </c>
      <c r="M106" t="str">
        <f>VLOOKUP(A106,Response!$A:$M,7,)</f>
        <v>PG (Paying Guest)</v>
      </c>
      <c r="N106" t="str">
        <f>VLOOKUP(A106,Response!$A:$M,8,)</f>
        <v>ANNAPURNA MENS PG</v>
      </c>
      <c r="O106" s="4">
        <f>VLOOKUP(A106,Response!$A:$M,10,)</f>
        <v>1</v>
      </c>
      <c r="P106" t="str">
        <f>VLOOKUP(A106,Response!$A:$M,12,)</f>
        <v>No</v>
      </c>
      <c r="Q106" t="str">
        <f>VLOOKUP(A106,Response!$A:$M,11,)</f>
        <v>Egattur</v>
      </c>
      <c r="R106" t="s">
        <v>19</v>
      </c>
      <c r="S106" s="39" t="s">
        <v>37</v>
      </c>
    </row>
    <row r="107" spans="1:19">
      <c r="A107" s="3">
        <v>2512349</v>
      </c>
      <c r="B107" t="str">
        <f>VLOOKUP(A107,File!$A:$J,2,FALSE)</f>
        <v>Manthena Karthik</v>
      </c>
      <c r="C107" s="29">
        <f>VLOOKUP(A107,File!$A:$J,5,FALSE)</f>
        <v>46170</v>
      </c>
      <c r="D107" s="29" t="str">
        <f>VLOOKUP(A107,File!$A:$J,3,FALSE)</f>
        <v>Male</v>
      </c>
      <c r="E107" s="29" t="str">
        <f>VLOOKUP(A107,File!$A:$J,4,FALSE)</f>
        <v>FTE</v>
      </c>
      <c r="F107" s="29" t="str">
        <f>VLOOKUP(A107,File!$A:$J,6,FALSE)</f>
        <v>Chennai</v>
      </c>
      <c r="G107" s="29" t="str">
        <f>VLOOKUP(A107,File!$A:$J,7,FALSE)</f>
        <v>CIS26MCPT012</v>
      </c>
      <c r="H107" s="29" t="str">
        <f>VLOOKUP(A107,File!$A:$J,8,FALSE)</f>
        <v>Uma Venkatachalam</v>
      </c>
      <c r="I107" s="31">
        <f>VLOOKUP(A107,File!$A:$J,9,FALSE)</f>
        <v>46282</v>
      </c>
      <c r="J107" s="31" t="str">
        <f>VLOOKUP(A107,File!$A:$K,11,FALSE)</f>
        <v>Sep 2026</v>
      </c>
      <c r="K107" s="31" t="str">
        <f>VLOOKUP(A107,File!$A:$K,10,FALSE)</f>
        <v>In-Training</v>
      </c>
      <c r="L107" s="31" t="s">
        <v>4</v>
      </c>
      <c r="M107" t="str">
        <f>VLOOKUP(A107,Response!$A:$M,7,)</f>
        <v>PG (Paying Guest)</v>
      </c>
      <c r="N107" t="str">
        <f>VLOOKUP(A107,Response!$A:$M,8,)</f>
        <v>Annapurna pg for gents</v>
      </c>
      <c r="O107" s="4">
        <f>VLOOKUP(A107,Response!$A:$M,10,)</f>
        <v>2</v>
      </c>
      <c r="P107" t="str">
        <f>VLOOKUP(A107,Response!$A:$M,12,)</f>
        <v>No</v>
      </c>
      <c r="Q107" t="str">
        <f>VLOOKUP(A107,Response!$A:$M,11,)</f>
        <v>Egattur</v>
      </c>
      <c r="R107" t="s">
        <v>19</v>
      </c>
      <c r="S107" s="39" t="s">
        <v>37</v>
      </c>
    </row>
    <row r="108" spans="1:19">
      <c r="A108" s="3">
        <v>2522803</v>
      </c>
      <c r="B108" t="str">
        <f>VLOOKUP(A108,File!$A:$J,2,FALSE)</f>
        <v>Praveena S</v>
      </c>
      <c r="C108" s="29">
        <f>VLOOKUP(A108,File!$A:$J,5,FALSE)</f>
        <v>46217</v>
      </c>
      <c r="D108" s="29" t="str">
        <f>VLOOKUP(A108,File!$A:$J,3,FALSE)</f>
        <v>Female</v>
      </c>
      <c r="E108" s="29" t="str">
        <f>VLOOKUP(A108,File!$A:$J,4,FALSE)</f>
        <v>FTE</v>
      </c>
      <c r="F108" s="29" t="str">
        <f>VLOOKUP(A108,File!$A:$J,6,FALSE)</f>
        <v>Chennai</v>
      </c>
      <c r="G108" s="29" t="str">
        <f>VLOOKUP(A108,File!$A:$J,7,FALSE)</f>
        <v>CIS26MCPT017</v>
      </c>
      <c r="H108" s="29" t="str">
        <f>VLOOKUP(A108,File!$A:$J,8,FALSE)</f>
        <v>Haritha P</v>
      </c>
      <c r="I108" s="31">
        <f>VLOOKUP(A108,File!$A:$J,9,FALSE)</f>
        <v>46335</v>
      </c>
      <c r="J108" s="31" t="str">
        <f>VLOOKUP(A108,File!$A:$K,11,FALSE)</f>
        <v>Nov 2026</v>
      </c>
      <c r="K108" s="31" t="str">
        <f>VLOOKUP(A108,File!$A:$K,10,FALSE)</f>
        <v>In-Training</v>
      </c>
      <c r="L108" s="31" t="s">
        <v>5</v>
      </c>
      <c r="M108" t="str">
        <f>VLOOKUP(A108,Response!$A:$M,7,)</f>
        <v>Permanent Residence (House/Home)</v>
      </c>
      <c r="N108" t="str">
        <f>VLOOKUP(A108,Response!$A:$M,8,)</f>
        <v>AP 1371 31ST STREET 6TH SECTOR KK NAGAR CHENNAI - 78</v>
      </c>
      <c r="O108" s="4" t="str">
        <f>VLOOKUP(A108,Response!$A:$M,10,)</f>
        <v>GF</v>
      </c>
      <c r="P108" t="str">
        <f>VLOOKUP(A108,Response!$A:$M,12,)</f>
        <v>Yes</v>
      </c>
      <c r="Q108" t="str">
        <f>VLOOKUP(A108,Response!$A:$M,11,)</f>
        <v>Ashok Pillar</v>
      </c>
      <c r="S108" t="s">
        <v>38</v>
      </c>
    </row>
    <row r="109" spans="1:19">
      <c r="A109" s="3">
        <v>2529647</v>
      </c>
      <c r="B109" t="str">
        <f>VLOOKUP(A109,File!$A:$J,2,FALSE)</f>
        <v>Suryaa D</v>
      </c>
      <c r="C109" s="29">
        <f>VLOOKUP(A109,File!$A:$J,5,FALSE)</f>
        <v>46245</v>
      </c>
      <c r="D109" s="29" t="str">
        <f>VLOOKUP(A109,File!$A:$J,3,FALSE)</f>
        <v>Male</v>
      </c>
      <c r="E109" s="29" t="str">
        <f>VLOOKUP(A109,File!$A:$J,4,FALSE)</f>
        <v>FTE</v>
      </c>
      <c r="F109" s="29" t="str">
        <f>VLOOKUP(A109,File!$A:$J,6,FALSE)</f>
        <v>Chennai</v>
      </c>
      <c r="G109" s="29" t="str">
        <f>VLOOKUP(A109,File!$A:$J,7,FALSE)</f>
        <v>CIS26MCPT026</v>
      </c>
      <c r="H109" s="29" t="str">
        <f>VLOOKUP(A109,File!$A:$J,8,FALSE)</f>
        <v>Mohamed Harish</v>
      </c>
      <c r="I109" s="31">
        <f>VLOOKUP(A109,File!$A:$J,9,FALSE)</f>
        <v>46364</v>
      </c>
      <c r="J109" s="31" t="str">
        <f>VLOOKUP(A109,File!$A:$K,11,FALSE)</f>
        <v>Dec 2026</v>
      </c>
      <c r="K109" s="31" t="str">
        <f>VLOOKUP(A109,File!$A:$K,10,FALSE)</f>
        <v>In-Training</v>
      </c>
      <c r="L109" s="31" t="s">
        <v>5</v>
      </c>
      <c r="M109" t="str">
        <f>VLOOKUP(A109,Response!$A:$M,7,)</f>
        <v>Rented House/Apartment</v>
      </c>
      <c r="N109" t="str">
        <f>VLOOKUP(A109,Response!$A:$M,8,)</f>
        <v>Appartment(no name), Sholinganallur</v>
      </c>
      <c r="O109" s="4" t="str">
        <f>VLOOKUP(A109,Response!$A:$M,10,)</f>
        <v>GF</v>
      </c>
      <c r="P109" t="str">
        <f>VLOOKUP(A109,Response!$A:$M,12,)</f>
        <v>No</v>
      </c>
      <c r="Q109" t="str">
        <f>VLOOKUP(A109,Response!$A:$M,11,)</f>
        <v>Sholinganallur</v>
      </c>
      <c r="R109" t="s">
        <v>17</v>
      </c>
      <c r="S109" t="s">
        <v>38</v>
      </c>
    </row>
    <row r="110" spans="1:19">
      <c r="A110" s="3">
        <v>2521690</v>
      </c>
      <c r="B110" t="str">
        <f>VLOOKUP(A110,File!$A:$J,2,FALSE)</f>
        <v>Yedida Sai Venkataeswar</v>
      </c>
      <c r="C110" s="29">
        <f>VLOOKUP(A110,File!$A:$J,5,FALSE)</f>
        <v>46212</v>
      </c>
      <c r="D110" s="29" t="str">
        <f>VLOOKUP(A110,File!$A:$J,3,FALSE)</f>
        <v>Male</v>
      </c>
      <c r="E110" s="29" t="str">
        <f>VLOOKUP(A110,File!$A:$J,4,FALSE)</f>
        <v>FTE</v>
      </c>
      <c r="F110" s="29" t="str">
        <f>VLOOKUP(A110,File!$A:$J,6,FALSE)</f>
        <v>Chennai</v>
      </c>
      <c r="G110" s="29" t="str">
        <f>VLOOKUP(A110,File!$A:$J,7,FALSE)</f>
        <v>ADM26MF010</v>
      </c>
      <c r="H110" s="29" t="str">
        <f>VLOOKUP(A110,File!$A:$J,8,FALSE)</f>
        <v>Thomas Naveen. J</v>
      </c>
      <c r="I110" s="31">
        <f>VLOOKUP(A110,File!$A:$J,9,FALSE)</f>
        <v>46328</v>
      </c>
      <c r="J110" s="31" t="str">
        <f>VLOOKUP(A110,File!$A:$K,11,FALSE)</f>
        <v>Nov 2026</v>
      </c>
      <c r="K110" s="31" t="str">
        <f>VLOOKUP(A110,File!$A:$K,10,FALSE)</f>
        <v>In-Training</v>
      </c>
      <c r="L110" s="31" t="s">
        <v>4</v>
      </c>
      <c r="M110" t="str">
        <f>VLOOKUP(A110,Response!$A:$M,7,)</f>
        <v>PG (Paying Guest)</v>
      </c>
      <c r="N110" t="str">
        <f>VLOOKUP(A110,Response!$A:$M,8,)</f>
        <v>APS MENS HOSTEL , EGATTUR</v>
      </c>
      <c r="O110" s="4">
        <f>VLOOKUP(A110,Response!$A:$M,10,)</f>
        <v>2</v>
      </c>
      <c r="P110" t="str">
        <f>VLOOKUP(A110,Response!$A:$M,12,)</f>
        <v>No</v>
      </c>
      <c r="Q110" t="str">
        <f>VLOOKUP(A110,Response!$A:$M,11,)</f>
        <v>Egattur</v>
      </c>
      <c r="R110" t="s">
        <v>19</v>
      </c>
      <c r="S110" s="39" t="s">
        <v>37</v>
      </c>
    </row>
    <row r="111" spans="1:19">
      <c r="A111" s="3">
        <v>2521680</v>
      </c>
      <c r="B111" t="str">
        <f>VLOOKUP(A111,File!$A:$J,2,FALSE)</f>
        <v>Subrahmanya Seeta Ramaraju Sagiraju</v>
      </c>
      <c r="C111" s="29">
        <f>VLOOKUP(A111,File!$A:$J,5,FALSE)</f>
        <v>46212</v>
      </c>
      <c r="D111" s="29" t="str">
        <f>VLOOKUP(A111,File!$A:$J,3,FALSE)</f>
        <v>Male</v>
      </c>
      <c r="E111" s="29" t="str">
        <f>VLOOKUP(A111,File!$A:$J,4,FALSE)</f>
        <v>FTE</v>
      </c>
      <c r="F111" s="29" t="str">
        <f>VLOOKUP(A111,File!$A:$J,6,FALSE)</f>
        <v>Chennai</v>
      </c>
      <c r="G111" s="29" t="str">
        <f>VLOOKUP(A111,File!$A:$J,7,FALSE)</f>
        <v>QEA26QEPT023</v>
      </c>
      <c r="H111" s="29" t="str">
        <f>VLOOKUP(A111,File!$A:$J,8,FALSE)</f>
        <v>Sweta Thoppil</v>
      </c>
      <c r="I111" s="31">
        <f>VLOOKUP(A111,File!$A:$J,9,FALSE)</f>
        <v>46314</v>
      </c>
      <c r="J111" s="31" t="str">
        <f>VLOOKUP(A111,File!$A:$K,11,FALSE)</f>
        <v>Oct 2026</v>
      </c>
      <c r="K111" s="31" t="str">
        <f>VLOOKUP(A111,File!$A:$K,10,FALSE)</f>
        <v>In-Training</v>
      </c>
      <c r="L111" s="31" t="s">
        <v>4</v>
      </c>
      <c r="M111" t="str">
        <f>VLOOKUP(A111,Response!$A:$M,7,)</f>
        <v>PG (Paying Guest)</v>
      </c>
      <c r="N111" t="str">
        <f>VLOOKUP(A111,Response!$A:$M,8,)</f>
        <v>APS Mens Hostel, Egattur</v>
      </c>
      <c r="O111" s="4">
        <f>VLOOKUP(A111,Response!$A:$M,10,)</f>
        <v>2</v>
      </c>
      <c r="P111" t="str">
        <f>VLOOKUP(A111,Response!$A:$M,12,)</f>
        <v>No</v>
      </c>
      <c r="Q111" t="str">
        <f>VLOOKUP(A111,Response!$A:$M,11,)</f>
        <v>Egattur</v>
      </c>
      <c r="R111" t="s">
        <v>19</v>
      </c>
      <c r="S111" s="39" t="s">
        <v>37</v>
      </c>
    </row>
    <row r="112" spans="1:19">
      <c r="A112" s="3">
        <v>2521620</v>
      </c>
      <c r="B112" t="str">
        <f>VLOOKUP(A112,File!$A:$J,2,FALSE)</f>
        <v>Kalyan Ramu Rasamsetti</v>
      </c>
      <c r="C112" s="29">
        <f>VLOOKUP(A112,File!$A:$J,5,FALSE)</f>
        <v>46212</v>
      </c>
      <c r="D112" s="29" t="str">
        <f>VLOOKUP(A112,File!$A:$J,3,FALSE)</f>
        <v>Male</v>
      </c>
      <c r="E112" s="29" t="str">
        <f>VLOOKUP(A112,File!$A:$J,4,FALSE)</f>
        <v>FTE</v>
      </c>
      <c r="F112" s="29" t="str">
        <f>VLOOKUP(A112,File!$A:$J,6,FALSE)</f>
        <v>Chennai</v>
      </c>
      <c r="G112" s="29" t="str">
        <f>VLOOKUP(A112,File!$A:$J,7,FALSE)</f>
        <v>ADM26DNAT003</v>
      </c>
      <c r="H112" s="29" t="str">
        <f>VLOOKUP(A112,File!$A:$J,8,FALSE)</f>
        <v>Athira P</v>
      </c>
      <c r="I112" s="31">
        <f>VLOOKUP(A112,File!$A:$J,9,FALSE)</f>
        <v>46318</v>
      </c>
      <c r="J112" s="31" t="str">
        <f>VLOOKUP(A112,File!$A:$K,11,FALSE)</f>
        <v>Oct 2026</v>
      </c>
      <c r="K112" s="31" t="str">
        <f>VLOOKUP(A112,File!$A:$K,10,FALSE)</f>
        <v>In-Training</v>
      </c>
      <c r="L112" s="31" t="s">
        <v>4</v>
      </c>
      <c r="M112" t="str">
        <f>VLOOKUP(A112,Response!$A:$M,7,)</f>
        <v>PG (Paying Guest)</v>
      </c>
      <c r="N112" t="str">
        <f>VLOOKUP(A112,Response!$A:$M,8,)</f>
        <v>APS MENS PG</v>
      </c>
      <c r="O112" s="4">
        <f>VLOOKUP(A112,Response!$A:$M,10,)</f>
        <v>2</v>
      </c>
      <c r="P112" t="str">
        <f>VLOOKUP(A112,Response!$A:$M,12,)</f>
        <v>Yes</v>
      </c>
      <c r="Q112" t="str">
        <f>VLOOKUP(A112,Response!$A:$M,11,)</f>
        <v>Navalur</v>
      </c>
      <c r="R112" t="s">
        <v>19</v>
      </c>
      <c r="S112" s="39" t="s">
        <v>37</v>
      </c>
    </row>
    <row r="113" spans="1:19">
      <c r="A113" s="3">
        <v>2531802</v>
      </c>
      <c r="B113" t="str">
        <f>VLOOKUP(A113,File!$A:$J,2,FALSE)</f>
        <v>Ronith Dhanesh</v>
      </c>
      <c r="C113" s="29">
        <f>VLOOKUP(A113,File!$A:$J,5,FALSE)</f>
        <v>46254</v>
      </c>
      <c r="D113" s="29" t="str">
        <f>VLOOKUP(A113,File!$A:$J,3,FALSE)</f>
        <v>Male</v>
      </c>
      <c r="E113" s="29" t="str">
        <f>VLOOKUP(A113,File!$A:$J,4,FALSE)</f>
        <v>Intern</v>
      </c>
      <c r="F113" s="29" t="str">
        <f>VLOOKUP(A113,File!$A:$J,6,FALSE)</f>
        <v>Chennai</v>
      </c>
      <c r="G113" s="29" t="str">
        <f>VLOOKUP(A113,File!$A:$J,7,FALSE)</f>
        <v>INTFE26FE001</v>
      </c>
      <c r="H113" s="29" t="str">
        <f>VLOOKUP(A113,File!$A:$J,8,FALSE)</f>
        <v>Grace Esther S</v>
      </c>
      <c r="I113" s="31">
        <f>VLOOKUP(A113,File!$A:$J,9,FALSE)</f>
        <v>46310</v>
      </c>
      <c r="J113" s="31" t="str">
        <f>VLOOKUP(A113,File!$A:$K,11,FALSE)</f>
        <v>Oct 2026</v>
      </c>
      <c r="K113" s="31" t="str">
        <f>VLOOKUP(A113,File!$A:$K,10,FALSE)</f>
        <v>In-Training</v>
      </c>
      <c r="L113" s="31" t="s">
        <v>4</v>
      </c>
      <c r="M113" t="str">
        <f>VLOOKUP(A113,Response!$A:$M,7,)</f>
        <v>PG (Paying Guest)</v>
      </c>
      <c r="N113" t="str">
        <f>VLOOKUP(A113,Response!$A:$M,8,)</f>
        <v>Ardenwood coliving</v>
      </c>
      <c r="O113" s="4">
        <f>VLOOKUP(A113,Response!$A:$M,10,)</f>
        <v>1</v>
      </c>
      <c r="P113" t="str">
        <f>VLOOKUP(A113,Response!$A:$M,12,)</f>
        <v>No</v>
      </c>
      <c r="Q113" t="str">
        <f>VLOOKUP(A113,Response!$A:$M,11,)</f>
        <v>Egattur</v>
      </c>
      <c r="R113" t="s">
        <v>19</v>
      </c>
      <c r="S113" s="39" t="s">
        <v>37</v>
      </c>
    </row>
    <row r="114" spans="1:19">
      <c r="A114" s="3">
        <v>2530222</v>
      </c>
      <c r="B114" t="str">
        <f>VLOOKUP(A114,File!$A:$J,2,FALSE)</f>
        <v>Bonda Anish</v>
      </c>
      <c r="C114" s="29">
        <f>VLOOKUP(A114,File!$A:$J,5,FALSE)</f>
        <v>46247</v>
      </c>
      <c r="D114" s="29" t="str">
        <f>VLOOKUP(A114,File!$A:$J,3,FALSE)</f>
        <v>Male</v>
      </c>
      <c r="E114" s="29" t="str">
        <f>VLOOKUP(A114,File!$A:$J,4,FALSE)</f>
        <v>FTE</v>
      </c>
      <c r="F114" s="29" t="str">
        <f>VLOOKUP(A114,File!$A:$J,6,FALSE)</f>
        <v>Chennai</v>
      </c>
      <c r="G114" s="29" t="str">
        <f>VLOOKUP(A114,File!$A:$J,7,FALSE)</f>
        <v>EPS26OSP010</v>
      </c>
      <c r="H114" s="29" t="str">
        <f>VLOOKUP(A114,File!$A:$J,8,FALSE)</f>
        <v>Vishnupriya Dakshnamurthy</v>
      </c>
      <c r="I114" s="31">
        <f>VLOOKUP(A114,File!$A:$J,9,FALSE)</f>
        <v>46357</v>
      </c>
      <c r="J114" s="31" t="str">
        <f>VLOOKUP(A114,File!$A:$K,11,FALSE)</f>
        <v>Dec 2026</v>
      </c>
      <c r="K114" s="31" t="str">
        <f>VLOOKUP(A114,File!$A:$K,10,FALSE)</f>
        <v>In-Training</v>
      </c>
      <c r="L114" s="31" t="s">
        <v>4</v>
      </c>
      <c r="M114" t="str">
        <f>VLOOKUP(A114,Response!$A:$M,7,)</f>
        <v>PG (Paying Guest)</v>
      </c>
      <c r="N114" t="str">
        <f>VLOOKUP(A114,Response!$A:$M,8,)</f>
        <v>Ardenwood coliving</v>
      </c>
      <c r="O114" s="4">
        <f>VLOOKUP(A114,Response!$A:$M,10,)</f>
        <v>4</v>
      </c>
      <c r="P114" t="str">
        <f>VLOOKUP(A114,Response!$A:$M,12,)</f>
        <v>Yes</v>
      </c>
      <c r="Q114" t="str">
        <f>VLOOKUP(A114,Response!$A:$M,11,)</f>
        <v>Siruseri</v>
      </c>
      <c r="R114" t="s">
        <v>19</v>
      </c>
      <c r="S114" s="39" t="s">
        <v>37</v>
      </c>
    </row>
    <row r="115" spans="1:19">
      <c r="A115" s="3">
        <v>2526154</v>
      </c>
      <c r="B115" t="str">
        <f>VLOOKUP(A115,File!$A:$J,2,FALSE)</f>
        <v>Mudit Vyas</v>
      </c>
      <c r="C115" s="29">
        <f>VLOOKUP(A115,File!$A:$J,5,FALSE)</f>
        <v>46231</v>
      </c>
      <c r="D115" s="29" t="str">
        <f>VLOOKUP(A115,File!$A:$J,3,FALSE)</f>
        <v>Male</v>
      </c>
      <c r="E115" s="29" t="str">
        <f>VLOOKUP(A115,File!$A:$J,4,FALSE)</f>
        <v>FTE</v>
      </c>
      <c r="F115" s="29" t="str">
        <f>VLOOKUP(A115,File!$A:$J,6,FALSE)</f>
        <v>Chennai</v>
      </c>
      <c r="G115" s="29" t="str">
        <f>VLOOKUP(A115,File!$A:$J,7,FALSE)</f>
        <v>EPS26WD005</v>
      </c>
      <c r="H115" s="29" t="str">
        <f>VLOOKUP(A115,File!$A:$J,8,FALSE)</f>
        <v>Vishnupriya Dakshnamurthy</v>
      </c>
      <c r="I115" s="31">
        <f>VLOOKUP(A115,File!$A:$J,9,FALSE)</f>
        <v>46332</v>
      </c>
      <c r="J115" s="31" t="str">
        <f>VLOOKUP(A115,File!$A:$K,11,FALSE)</f>
        <v>Nov 2026</v>
      </c>
      <c r="K115" s="31" t="str">
        <f>VLOOKUP(A115,File!$A:$K,10,FALSE)</f>
        <v>In-Training</v>
      </c>
      <c r="L115" s="31" t="s">
        <v>4</v>
      </c>
      <c r="M115" t="str">
        <f>VLOOKUP(A115,Response!$A:$M,7,)</f>
        <v>PG (Paying Guest)</v>
      </c>
      <c r="N115" t="str">
        <f>VLOOKUP(A115,Response!$A:$M,8,)</f>
        <v>Ardenwood co-living</v>
      </c>
      <c r="O115" s="4">
        <f>VLOOKUP(A115,Response!$A:$M,10,)</f>
        <v>3</v>
      </c>
      <c r="P115" t="str">
        <f>VLOOKUP(A115,Response!$A:$M,12,)</f>
        <v>No</v>
      </c>
      <c r="Q115" t="str">
        <f>VLOOKUP(A115,Response!$A:$M,11,)</f>
        <v>Siruseri</v>
      </c>
      <c r="R115" t="s">
        <v>19</v>
      </c>
      <c r="S115" s="39" t="s">
        <v>37</v>
      </c>
    </row>
    <row r="116" spans="1:19">
      <c r="A116" s="3">
        <v>2521842</v>
      </c>
      <c r="B116" t="str">
        <f>VLOOKUP(A116,File!$A:$J,2,FALSE)</f>
        <v>Aman Kumar Singh</v>
      </c>
      <c r="C116" s="29">
        <f>VLOOKUP(A116,File!$A:$J,5,FALSE)</f>
        <v>46212</v>
      </c>
      <c r="D116" s="29" t="str">
        <f>VLOOKUP(A116,File!$A:$J,3,FALSE)</f>
        <v>Male</v>
      </c>
      <c r="E116" s="29" t="str">
        <f>VLOOKUP(A116,File!$A:$J,4,FALSE)</f>
        <v>FTE</v>
      </c>
      <c r="F116" s="29" t="str">
        <f>VLOOKUP(A116,File!$A:$J,6,FALSE)</f>
        <v>Chennai</v>
      </c>
      <c r="G116" s="29" t="str">
        <f>VLOOKUP(A116,File!$A:$J,7,FALSE)</f>
        <v>QEA26SD001</v>
      </c>
      <c r="H116" s="29" t="str">
        <f>VLOOKUP(A116,File!$A:$J,8,FALSE)</f>
        <v>Ajiesya D P</v>
      </c>
      <c r="I116" s="31">
        <f>VLOOKUP(A116,File!$A:$J,9,FALSE)</f>
        <v>46329</v>
      </c>
      <c r="J116" s="31" t="str">
        <f>VLOOKUP(A116,File!$A:$K,11,FALSE)</f>
        <v>Nov 2026</v>
      </c>
      <c r="K116" s="31" t="str">
        <f>VLOOKUP(A116,File!$A:$K,10,FALSE)</f>
        <v>In-Training</v>
      </c>
      <c r="L116" s="31" t="s">
        <v>4</v>
      </c>
      <c r="M116" t="str">
        <f>VLOOKUP(A116,Response!$A:$M,7,)</f>
        <v>PG (Paying Guest)</v>
      </c>
      <c r="N116" t="str">
        <f>VLOOKUP(A116,Response!$A:$M,8,)</f>
        <v>Ardenwood Co-Living</v>
      </c>
      <c r="O116" s="4">
        <f>VLOOKUP(A116,Response!$A:$M,10,)</f>
        <v>3</v>
      </c>
      <c r="P116" t="str">
        <f>VLOOKUP(A116,Response!$A:$M,12,)</f>
        <v>Yes</v>
      </c>
      <c r="Q116" t="str">
        <f>VLOOKUP(A116,Response!$A:$M,11,)</f>
        <v>Egattur</v>
      </c>
      <c r="R116" t="s">
        <v>19</v>
      </c>
      <c r="S116" s="39" t="s">
        <v>37</v>
      </c>
    </row>
    <row r="117" spans="1:19">
      <c r="A117" s="3">
        <v>2520953</v>
      </c>
      <c r="B117" t="str">
        <f>VLOOKUP(A117,File!$A:$J,2,FALSE)</f>
        <v>Atharv Santosh Kulkarni</v>
      </c>
      <c r="C117" s="29">
        <f>VLOOKUP(A117,File!$A:$J,5,FALSE)</f>
        <v>46210</v>
      </c>
      <c r="D117" s="29" t="str">
        <f>VLOOKUP(A117,File!$A:$J,3,FALSE)</f>
        <v>Male</v>
      </c>
      <c r="E117" s="29" t="str">
        <f>VLOOKUP(A117,File!$A:$J,4,FALSE)</f>
        <v>FTE</v>
      </c>
      <c r="F117" s="29" t="str">
        <f>VLOOKUP(A117,File!$A:$J,6,FALSE)</f>
        <v>Chennai</v>
      </c>
      <c r="G117" s="29" t="str">
        <f>VLOOKUP(A117,File!$A:$J,7,FALSE)</f>
        <v>CS26CS008</v>
      </c>
      <c r="H117" s="29" t="str">
        <f>VLOOKUP(A117,File!$A:$J,8,FALSE)</f>
        <v>Kishorekumar P</v>
      </c>
      <c r="I117" s="31">
        <f>VLOOKUP(A117,File!$A:$J,9,FALSE)</f>
        <v>46323</v>
      </c>
      <c r="J117" s="31" t="str">
        <f>VLOOKUP(A117,File!$A:$K,11,FALSE)</f>
        <v>Oct 2026</v>
      </c>
      <c r="K117" s="31" t="str">
        <f>VLOOKUP(A117,File!$A:$K,10,FALSE)</f>
        <v>In-Training</v>
      </c>
      <c r="L117" s="31" t="s">
        <v>4</v>
      </c>
      <c r="M117" t="str">
        <f>VLOOKUP(A117,Response!$A:$M,7,)</f>
        <v>PG (Paying Guest)</v>
      </c>
      <c r="N117" t="str">
        <f>VLOOKUP(A117,Response!$A:$M,8,)</f>
        <v>Ardenwood Co-living</v>
      </c>
      <c r="O117" s="4">
        <f>VLOOKUP(A117,Response!$A:$M,10,)</f>
        <v>3</v>
      </c>
      <c r="P117" t="str">
        <f>VLOOKUP(A117,Response!$A:$M,12,)</f>
        <v>No</v>
      </c>
      <c r="Q117" t="str">
        <f>VLOOKUP(A117,Response!$A:$M,11,)</f>
        <v>Siruseri</v>
      </c>
      <c r="R117" t="s">
        <v>19</v>
      </c>
      <c r="S117" s="39" t="s">
        <v>37</v>
      </c>
    </row>
    <row r="118" spans="1:19">
      <c r="A118" s="3">
        <v>2526142</v>
      </c>
      <c r="B118" t="str">
        <f>VLOOKUP(A118,File!$A:$J,2,FALSE)</f>
        <v>Uday Rai</v>
      </c>
      <c r="C118" s="29">
        <f>VLOOKUP(A118,File!$A:$J,5,FALSE)</f>
        <v>46231</v>
      </c>
      <c r="D118" s="29" t="str">
        <f>VLOOKUP(A118,File!$A:$J,3,FALSE)</f>
        <v>Male</v>
      </c>
      <c r="E118" s="29" t="str">
        <f>VLOOKUP(A118,File!$A:$J,4,FALSE)</f>
        <v>FTE</v>
      </c>
      <c r="F118" s="29" t="str">
        <f>VLOOKUP(A118,File!$A:$J,6,FALSE)</f>
        <v>Chennai</v>
      </c>
      <c r="G118" s="29" t="str">
        <f>VLOOKUP(A118,File!$A:$J,7,FALSE)</f>
        <v>EPS26WD005</v>
      </c>
      <c r="H118" s="29" t="str">
        <f>VLOOKUP(A118,File!$A:$J,8,FALSE)</f>
        <v>Vishnupriya Dakshnamurthy</v>
      </c>
      <c r="I118" s="31">
        <f>VLOOKUP(A118,File!$A:$J,9,FALSE)</f>
        <v>46332</v>
      </c>
      <c r="J118" s="31" t="str">
        <f>VLOOKUP(A118,File!$A:$K,11,FALSE)</f>
        <v>Nov 2026</v>
      </c>
      <c r="K118" s="31" t="str">
        <f>VLOOKUP(A118,File!$A:$K,10,FALSE)</f>
        <v>In-Training</v>
      </c>
      <c r="L118" s="31" t="s">
        <v>4</v>
      </c>
      <c r="M118" t="str">
        <f>VLOOKUP(A118,Response!$A:$M,7,)</f>
        <v>PG (Paying Guest)</v>
      </c>
      <c r="N118" t="str">
        <f>VLOOKUP(A118,Response!$A:$M,8,)</f>
        <v>Ardenwood Co-living</v>
      </c>
      <c r="O118" s="4">
        <f>VLOOKUP(A118,Response!$A:$M,10,)</f>
        <v>3</v>
      </c>
      <c r="P118" t="str">
        <f>VLOOKUP(A118,Response!$A:$M,12,)</f>
        <v>No</v>
      </c>
      <c r="Q118" t="str">
        <f>VLOOKUP(A118,Response!$A:$M,11,)</f>
        <v>Siruseri</v>
      </c>
      <c r="R118" t="s">
        <v>19</v>
      </c>
      <c r="S118" s="39" t="s">
        <v>37</v>
      </c>
    </row>
    <row r="119" spans="1:19">
      <c r="A119" s="3">
        <v>2520925</v>
      </c>
      <c r="B119" t="str">
        <f>VLOOKUP(A119,File!$A:$J,2,FALSE)</f>
        <v>Prince LNU</v>
      </c>
      <c r="C119" s="29">
        <f>VLOOKUP(A119,File!$A:$J,5,FALSE)</f>
        <v>46210</v>
      </c>
      <c r="D119" s="29" t="str">
        <f>VLOOKUP(A119,File!$A:$J,3,FALSE)</f>
        <v>Male</v>
      </c>
      <c r="E119" s="29" t="str">
        <f>VLOOKUP(A119,File!$A:$J,4,FALSE)</f>
        <v>FTE</v>
      </c>
      <c r="F119" s="29" t="str">
        <f>VLOOKUP(A119,File!$A:$J,6,FALSE)</f>
        <v>Chennai</v>
      </c>
      <c r="G119" s="29" t="str">
        <f>VLOOKUP(A119,File!$A:$J,7,FALSE)</f>
        <v>CS26CS008</v>
      </c>
      <c r="H119" s="29" t="str">
        <f>VLOOKUP(A119,File!$A:$J,8,FALSE)</f>
        <v>Kishorekumar P</v>
      </c>
      <c r="I119" s="31">
        <f>VLOOKUP(A119,File!$A:$J,9,FALSE)</f>
        <v>46323</v>
      </c>
      <c r="J119" s="31" t="str">
        <f>VLOOKUP(A119,File!$A:$K,11,FALSE)</f>
        <v>Oct 2026</v>
      </c>
      <c r="K119" s="31" t="str">
        <f>VLOOKUP(A119,File!$A:$K,10,FALSE)</f>
        <v>In-Training</v>
      </c>
      <c r="L119" s="31" t="s">
        <v>4</v>
      </c>
      <c r="M119" t="str">
        <f>VLOOKUP(A119,Response!$A:$M,7,)</f>
        <v>PG (Paying Guest)</v>
      </c>
      <c r="N119" t="str">
        <f>VLOOKUP(A119,Response!$A:$M,8,)</f>
        <v>Ardenwood Co-living</v>
      </c>
      <c r="O119" s="4">
        <f>VLOOKUP(A119,Response!$A:$M,10,)</f>
        <v>4</v>
      </c>
      <c r="P119" t="str">
        <f>VLOOKUP(A119,Response!$A:$M,12,)</f>
        <v>No</v>
      </c>
      <c r="Q119" t="str">
        <f>VLOOKUP(A119,Response!$A:$M,11,)</f>
        <v>Siruseri</v>
      </c>
      <c r="R119" t="s">
        <v>19</v>
      </c>
      <c r="S119" s="39" t="s">
        <v>37</v>
      </c>
    </row>
    <row r="120" spans="1:19">
      <c r="A120" s="3">
        <v>2520982</v>
      </c>
      <c r="B120" t="str">
        <f>VLOOKUP(A120,File!$A:$J,2,FALSE)</f>
        <v>Sahir Abidali Inamadar</v>
      </c>
      <c r="C120" s="29">
        <f>VLOOKUP(A120,File!$A:$J,5,FALSE)</f>
        <v>46210</v>
      </c>
      <c r="D120" s="29" t="str">
        <f>VLOOKUP(A120,File!$A:$J,3,FALSE)</f>
        <v>Male</v>
      </c>
      <c r="E120" s="29" t="str">
        <f>VLOOKUP(A120,File!$A:$J,4,FALSE)</f>
        <v>FTE</v>
      </c>
      <c r="F120" s="29" t="str">
        <f>VLOOKUP(A120,File!$A:$J,6,FALSE)</f>
        <v>Chennai</v>
      </c>
      <c r="G120" s="29" t="str">
        <f>VLOOKUP(A120,File!$A:$J,7,FALSE)</f>
        <v>CS26CS008</v>
      </c>
      <c r="H120" s="29" t="str">
        <f>VLOOKUP(A120,File!$A:$J,8,FALSE)</f>
        <v>Kishorekumar P</v>
      </c>
      <c r="I120" s="31">
        <f>VLOOKUP(A120,File!$A:$J,9,FALSE)</f>
        <v>46323</v>
      </c>
      <c r="J120" s="31" t="str">
        <f>VLOOKUP(A120,File!$A:$K,11,FALSE)</f>
        <v>Oct 2026</v>
      </c>
      <c r="K120" s="31" t="str">
        <f>VLOOKUP(A120,File!$A:$K,10,FALSE)</f>
        <v>In-Training</v>
      </c>
      <c r="L120" s="31" t="s">
        <v>4</v>
      </c>
      <c r="M120" t="str">
        <f>VLOOKUP(A120,Response!$A:$M,7,)</f>
        <v>PG (Paying Guest)</v>
      </c>
      <c r="N120" t="str">
        <f>VLOOKUP(A120,Response!$A:$M,8,)</f>
        <v>Ardenwood Co-living , Egattur</v>
      </c>
      <c r="O120" s="4">
        <f>VLOOKUP(A120,Response!$A:$M,10,)</f>
        <v>5</v>
      </c>
      <c r="P120" t="str">
        <f>VLOOKUP(A120,Response!$A:$M,12,)</f>
        <v>No</v>
      </c>
      <c r="Q120" t="str">
        <f>VLOOKUP(A120,Response!$A:$M,11,)</f>
        <v>Siruseri</v>
      </c>
      <c r="R120" t="s">
        <v>19</v>
      </c>
      <c r="S120" s="39" t="s">
        <v>37</v>
      </c>
    </row>
    <row r="121" spans="1:19">
      <c r="A121" s="3">
        <v>2521844</v>
      </c>
      <c r="B121" t="str">
        <f>VLOOKUP(A121,File!$A:$J,2,FALSE)</f>
        <v>Divyansh Karan</v>
      </c>
      <c r="C121" s="29">
        <f>VLOOKUP(A121,File!$A:$J,5,FALSE)</f>
        <v>46212</v>
      </c>
      <c r="D121" s="29" t="str">
        <f>VLOOKUP(A121,File!$A:$J,3,FALSE)</f>
        <v>Male</v>
      </c>
      <c r="E121" s="29" t="str">
        <f>VLOOKUP(A121,File!$A:$J,4,FALSE)</f>
        <v>FTE</v>
      </c>
      <c r="F121" s="29" t="str">
        <f>VLOOKUP(A121,File!$A:$J,6,FALSE)</f>
        <v>Chennai</v>
      </c>
      <c r="G121" s="29" t="str">
        <f>VLOOKUP(A121,File!$A:$J,7,FALSE)</f>
        <v>QEA26SD001</v>
      </c>
      <c r="H121" s="29" t="str">
        <f>VLOOKUP(A121,File!$A:$J,8,FALSE)</f>
        <v>Ajiesya D P</v>
      </c>
      <c r="I121" s="31">
        <f>VLOOKUP(A121,File!$A:$J,9,FALSE)</f>
        <v>46329</v>
      </c>
      <c r="J121" s="31" t="str">
        <f>VLOOKUP(A121,File!$A:$K,11,FALSE)</f>
        <v>Nov 2026</v>
      </c>
      <c r="K121" s="31" t="str">
        <f>VLOOKUP(A121,File!$A:$K,10,FALSE)</f>
        <v>In-Training</v>
      </c>
      <c r="L121" s="31" t="s">
        <v>4</v>
      </c>
      <c r="M121" t="str">
        <f>VLOOKUP(A121,Response!$A:$M,7,)</f>
        <v>PG (Paying Guest)</v>
      </c>
      <c r="N121" t="str">
        <f>VLOOKUP(A121,Response!$A:$M,8,)</f>
        <v>Ardenwood Co-Living Egattur</v>
      </c>
      <c r="O121" s="4">
        <f>VLOOKUP(A121,Response!$A:$M,10,)</f>
        <v>3</v>
      </c>
      <c r="P121" t="str">
        <f>VLOOKUP(A121,Response!$A:$M,12,)</f>
        <v>No</v>
      </c>
      <c r="Q121" t="str">
        <f>VLOOKUP(A121,Response!$A:$M,11,)</f>
        <v>Egattur</v>
      </c>
      <c r="R121" t="s">
        <v>19</v>
      </c>
      <c r="S121" s="39" t="s">
        <v>37</v>
      </c>
    </row>
    <row r="122" spans="1:19">
      <c r="A122" s="3">
        <v>2530195</v>
      </c>
      <c r="B122" t="str">
        <f>VLOOKUP(A122,File!$A:$J,2,FALSE)</f>
        <v>Vankayala Manish</v>
      </c>
      <c r="C122" s="29">
        <f>VLOOKUP(A122,File!$A:$J,5,FALSE)</f>
        <v>46247</v>
      </c>
      <c r="D122" s="29" t="str">
        <f>VLOOKUP(A122,File!$A:$J,3,FALSE)</f>
        <v>Male</v>
      </c>
      <c r="E122" s="29" t="str">
        <f>VLOOKUP(A122,File!$A:$J,4,FALSE)</f>
        <v>FTE</v>
      </c>
      <c r="F122" s="29" t="str">
        <f>VLOOKUP(A122,File!$A:$J,6,FALSE)</f>
        <v>Chennai</v>
      </c>
      <c r="G122" s="29" t="str">
        <f>VLOOKUP(A122,File!$A:$J,7,FALSE)</f>
        <v>EPS26OSP010</v>
      </c>
      <c r="H122" s="29" t="str">
        <f>VLOOKUP(A122,File!$A:$J,8,FALSE)</f>
        <v>Vishnupriya Dakshnamurthy</v>
      </c>
      <c r="I122" s="31">
        <f>VLOOKUP(A122,File!$A:$J,9,FALSE)</f>
        <v>46357</v>
      </c>
      <c r="J122" s="31" t="str">
        <f>VLOOKUP(A122,File!$A:$K,11,FALSE)</f>
        <v>Dec 2026</v>
      </c>
      <c r="K122" s="31" t="str">
        <f>VLOOKUP(A122,File!$A:$K,10,FALSE)</f>
        <v>In-Training</v>
      </c>
      <c r="L122" s="31" t="s">
        <v>4</v>
      </c>
      <c r="M122" t="str">
        <f>VLOOKUP(A122,Response!$A:$M,7,)</f>
        <v>PG (Paying Guest)</v>
      </c>
      <c r="N122" t="str">
        <f>VLOOKUP(A122,Response!$A:$M,8,)</f>
        <v>ardenwood coliving siruseri</v>
      </c>
      <c r="O122" s="4">
        <f>VLOOKUP(A122,Response!$A:$M,10,)</f>
        <v>4</v>
      </c>
      <c r="P122" t="str">
        <f>VLOOKUP(A122,Response!$A:$M,12,)</f>
        <v>No</v>
      </c>
      <c r="Q122" t="str">
        <f>VLOOKUP(A122,Response!$A:$M,11,)</f>
        <v>Siruseri</v>
      </c>
      <c r="R122" t="s">
        <v>19</v>
      </c>
      <c r="S122" s="39" t="s">
        <v>37</v>
      </c>
    </row>
    <row r="123" spans="1:19">
      <c r="A123" s="3">
        <v>2521755</v>
      </c>
      <c r="B123" t="str">
        <f>VLOOKUP(A123,File!$A:$J,2,FALSE)</f>
        <v>Harshita Jangde</v>
      </c>
      <c r="C123" s="29">
        <f>VLOOKUP(A123,File!$A:$J,5,FALSE)</f>
        <v>46212</v>
      </c>
      <c r="D123" s="29" t="str">
        <f>VLOOKUP(A123,File!$A:$J,3,FALSE)</f>
        <v>Female</v>
      </c>
      <c r="E123" s="29" t="str">
        <f>VLOOKUP(A123,File!$A:$J,4,FALSE)</f>
        <v>FTE</v>
      </c>
      <c r="F123" s="29" t="str">
        <f>VLOOKUP(A123,File!$A:$J,6,FALSE)</f>
        <v>Chennai</v>
      </c>
      <c r="G123" s="29" t="str">
        <f>VLOOKUP(A123,File!$A:$J,7,FALSE)</f>
        <v>QEA26SD001</v>
      </c>
      <c r="H123" s="29" t="str">
        <f>VLOOKUP(A123,File!$A:$J,8,FALSE)</f>
        <v>Ajiesya D P</v>
      </c>
      <c r="I123" s="31">
        <f>VLOOKUP(A123,File!$A:$J,9,FALSE)</f>
        <v>46329</v>
      </c>
      <c r="J123" s="31" t="str">
        <f>VLOOKUP(A123,File!$A:$K,11,FALSE)</f>
        <v>Nov 2026</v>
      </c>
      <c r="K123" s="31" t="str">
        <f>VLOOKUP(A123,File!$A:$K,10,FALSE)</f>
        <v>In-Training</v>
      </c>
      <c r="L123" s="31" t="s">
        <v>4</v>
      </c>
      <c r="M123" t="str">
        <f>VLOOKUP(A123,Response!$A:$M,7,)</f>
        <v>PG (Paying Guest)</v>
      </c>
      <c r="N123" t="str">
        <f>VLOOKUP(A123,Response!$A:$M,8,)</f>
        <v>Ardenwood Co-living, Egattur</v>
      </c>
      <c r="O123" s="4">
        <f>VLOOKUP(A123,Response!$A:$M,10,)</f>
        <v>2</v>
      </c>
      <c r="P123" t="str">
        <f>VLOOKUP(A123,Response!$A:$M,12,)</f>
        <v>Yes</v>
      </c>
      <c r="Q123" t="str">
        <f>VLOOKUP(A123,Response!$A:$M,11,)</f>
        <v>Siruseri</v>
      </c>
      <c r="R123" t="s">
        <v>19</v>
      </c>
      <c r="S123" s="39" t="s">
        <v>37</v>
      </c>
    </row>
    <row r="124" spans="1:19">
      <c r="A124" s="3">
        <v>2519648</v>
      </c>
      <c r="B124" t="str">
        <f>VLOOKUP(A124,File!$A:$J,2,FALSE)</f>
        <v>Adithyan P</v>
      </c>
      <c r="C124" s="29">
        <f>VLOOKUP(A124,File!$A:$J,5,FALSE)</f>
        <v>46205</v>
      </c>
      <c r="D124" s="29" t="str">
        <f>VLOOKUP(A124,File!$A:$J,3,FALSE)</f>
        <v>Male</v>
      </c>
      <c r="E124" s="29" t="str">
        <f>VLOOKUP(A124,File!$A:$J,4,FALSE)</f>
        <v>FTE</v>
      </c>
      <c r="F124" s="29" t="str">
        <f>VLOOKUP(A124,File!$A:$J,6,FALSE)</f>
        <v>Chennai</v>
      </c>
      <c r="G124" s="29" t="str">
        <f>VLOOKUP(A124,File!$A:$J,7,FALSE)</f>
        <v>CIS26MCPT013</v>
      </c>
      <c r="H124" s="29" t="str">
        <f>VLOOKUP(A124,File!$A:$J,8,FALSE)</f>
        <v>Lawrance M</v>
      </c>
      <c r="I124" s="31">
        <f>VLOOKUP(A124,File!$A:$J,9,FALSE)</f>
        <v>46324</v>
      </c>
      <c r="J124" s="31" t="str">
        <f>VLOOKUP(A124,File!$A:$K,11,FALSE)</f>
        <v>Oct 2026</v>
      </c>
      <c r="K124" s="31" t="str">
        <f>VLOOKUP(A124,File!$A:$K,10,FALSE)</f>
        <v>In-Training</v>
      </c>
      <c r="L124" s="31" t="s">
        <v>4</v>
      </c>
      <c r="M124" t="str">
        <f>VLOOKUP(A124,Response!$A:$M,7,)</f>
        <v>PG (Paying Guest)</v>
      </c>
      <c r="N124" t="str">
        <f>VLOOKUP(A124,Response!$A:$M,8,)</f>
        <v>Ardenwood Pg</v>
      </c>
      <c r="O124" s="4">
        <f>VLOOKUP(A124,Response!$A:$M,10,)</f>
        <v>3</v>
      </c>
      <c r="P124" t="str">
        <f>VLOOKUP(A124,Response!$A:$M,12,)</f>
        <v>No</v>
      </c>
      <c r="Q124" t="str">
        <f>VLOOKUP(A124,Response!$A:$M,11,)</f>
        <v>Siruseri</v>
      </c>
      <c r="R124" t="s">
        <v>19</v>
      </c>
      <c r="S124" s="39" t="s">
        <v>37</v>
      </c>
    </row>
    <row r="125" spans="1:19">
      <c r="A125" s="3">
        <v>2519708</v>
      </c>
      <c r="B125" t="str">
        <f>VLOOKUP(A125,File!$A:$J,2,FALSE)</f>
        <v>Krish Agrawal</v>
      </c>
      <c r="C125" s="29">
        <f>VLOOKUP(A125,File!$A:$J,5,FALSE)</f>
        <v>46205</v>
      </c>
      <c r="D125" s="29" t="str">
        <f>VLOOKUP(A125,File!$A:$J,3,FALSE)</f>
        <v>Male</v>
      </c>
      <c r="E125" s="29" t="str">
        <f>VLOOKUP(A125,File!$A:$J,4,FALSE)</f>
        <v>FTE</v>
      </c>
      <c r="F125" s="29" t="str">
        <f>VLOOKUP(A125,File!$A:$J,6,FALSE)</f>
        <v>Chennai</v>
      </c>
      <c r="G125" s="29" t="str">
        <f>VLOOKUP(A125,File!$A:$J,7,FALSE)</f>
        <v>CIS26UNIX004</v>
      </c>
      <c r="H125" s="29" t="str">
        <f>VLOOKUP(A125,File!$A:$J,8,FALSE)</f>
        <v>Haritha P</v>
      </c>
      <c r="I125" s="31">
        <f>VLOOKUP(A125,File!$A:$J,9,FALSE)</f>
        <v>46289</v>
      </c>
      <c r="J125" s="31" t="str">
        <f>VLOOKUP(A125,File!$A:$K,11,FALSE)</f>
        <v>Sep 2026</v>
      </c>
      <c r="K125" s="31" t="str">
        <f>VLOOKUP(A125,File!$A:$K,10,FALSE)</f>
        <v>In-Training</v>
      </c>
      <c r="L125" s="31" t="s">
        <v>4</v>
      </c>
      <c r="M125" t="str">
        <f>VLOOKUP(A125,Response!$A:$M,7,)</f>
        <v>PG (Paying Guest)</v>
      </c>
      <c r="N125" t="str">
        <f>VLOOKUP(A125,Response!$A:$M,8,)</f>
        <v xml:space="preserve">ardenwood pg </v>
      </c>
      <c r="O125" s="4">
        <f>VLOOKUP(A125,Response!$A:$M,10,)</f>
        <v>5</v>
      </c>
      <c r="P125" t="str">
        <f>VLOOKUP(A125,Response!$A:$M,12,)</f>
        <v>Yes</v>
      </c>
      <c r="Q125" t="str">
        <f>VLOOKUP(A125,Response!$A:$M,11,)</f>
        <v>Siruseri</v>
      </c>
      <c r="R125" t="s">
        <v>19</v>
      </c>
      <c r="S125" s="39" t="s">
        <v>37</v>
      </c>
    </row>
    <row r="126" spans="1:19">
      <c r="A126" s="3">
        <v>2520998</v>
      </c>
      <c r="B126" t="str">
        <f>VLOOKUP(A126,File!$A:$J,2,FALSE)</f>
        <v>Shyam Kaushik</v>
      </c>
      <c r="C126" s="29">
        <f>VLOOKUP(A126,File!$A:$J,5,FALSE)</f>
        <v>46210</v>
      </c>
      <c r="D126" s="29" t="str">
        <f>VLOOKUP(A126,File!$A:$J,3,FALSE)</f>
        <v>Male</v>
      </c>
      <c r="E126" s="29" t="str">
        <f>VLOOKUP(A126,File!$A:$J,4,FALSE)</f>
        <v>FTE</v>
      </c>
      <c r="F126" s="29" t="str">
        <f>VLOOKUP(A126,File!$A:$J,6,FALSE)</f>
        <v>Chennai</v>
      </c>
      <c r="G126" s="29" t="str">
        <f>VLOOKUP(A126,File!$A:$J,7,FALSE)</f>
        <v>CS26CS008</v>
      </c>
      <c r="H126" s="29" t="str">
        <f>VLOOKUP(A126,File!$A:$J,8,FALSE)</f>
        <v>Kishorekumar P</v>
      </c>
      <c r="I126" s="31">
        <f>VLOOKUP(A126,File!$A:$J,9,FALSE)</f>
        <v>46323</v>
      </c>
      <c r="J126" s="31" t="str">
        <f>VLOOKUP(A126,File!$A:$K,11,FALSE)</f>
        <v>Oct 2026</v>
      </c>
      <c r="K126" s="31" t="str">
        <f>VLOOKUP(A126,File!$A:$K,10,FALSE)</f>
        <v>In-Training</v>
      </c>
      <c r="L126" s="31" t="s">
        <v>4</v>
      </c>
      <c r="M126" t="str">
        <f>VLOOKUP(A126,Response!$A:$M,7,)</f>
        <v>PG (Paying Guest)</v>
      </c>
      <c r="N126" t="str">
        <f>VLOOKUP(A126,Response!$A:$M,8,)</f>
        <v>Ardenwood pg Siruseri It park</v>
      </c>
      <c r="O126" s="4">
        <f>VLOOKUP(A126,Response!$A:$M,10,)</f>
        <v>4</v>
      </c>
      <c r="P126" t="str">
        <f>VLOOKUP(A126,Response!$A:$M,12,)</f>
        <v>No</v>
      </c>
      <c r="Q126" t="str">
        <f>VLOOKUP(A126,Response!$A:$M,11,)</f>
        <v>Egattur</v>
      </c>
      <c r="R126" t="s">
        <v>19</v>
      </c>
      <c r="S126" s="39" t="s">
        <v>37</v>
      </c>
    </row>
    <row r="127" spans="1:19">
      <c r="A127" s="3">
        <v>2521110</v>
      </c>
      <c r="B127" t="str">
        <f>VLOOKUP(A127,File!$A:$J,2,FALSE)</f>
        <v>Sripadha Kakani</v>
      </c>
      <c r="C127" s="29">
        <f>VLOOKUP(A127,File!$A:$J,5,FALSE)</f>
        <v>46210</v>
      </c>
      <c r="D127" s="29" t="str">
        <f>VLOOKUP(A127,File!$A:$J,3,FALSE)</f>
        <v>Male</v>
      </c>
      <c r="E127" s="29" t="str">
        <f>VLOOKUP(A127,File!$A:$J,4,FALSE)</f>
        <v>FTE</v>
      </c>
      <c r="F127" s="29" t="str">
        <f>VLOOKUP(A127,File!$A:$J,6,FALSE)</f>
        <v>Chennai</v>
      </c>
      <c r="G127" s="29" t="str">
        <f>VLOOKUP(A127,File!$A:$J,7,FALSE)</f>
        <v>SNBG26SN004</v>
      </c>
      <c r="H127" s="29" t="str">
        <f>VLOOKUP(A127,File!$A:$J,8,FALSE)</f>
        <v>Kishorekumar P</v>
      </c>
      <c r="I127" s="31">
        <f>VLOOKUP(A127,File!$A:$J,9,FALSE)</f>
        <v>46303</v>
      </c>
      <c r="J127" s="31" t="str">
        <f>VLOOKUP(A127,File!$A:$K,11,FALSE)</f>
        <v>Oct 2026</v>
      </c>
      <c r="K127" s="31" t="str">
        <f>VLOOKUP(A127,File!$A:$K,10,FALSE)</f>
        <v>In-Training</v>
      </c>
      <c r="L127" s="31" t="s">
        <v>4</v>
      </c>
      <c r="M127" t="str">
        <f>VLOOKUP(A127,Response!$A:$M,7,)</f>
        <v>PG (Paying Guest)</v>
      </c>
      <c r="N127" t="str">
        <f>VLOOKUP(A127,Response!$A:$M,8,)</f>
        <v>Ardenwood Co-living, Egattur</v>
      </c>
      <c r="O127" s="4">
        <f>VLOOKUP(A127,Response!$A:$M,10,)</f>
        <v>4</v>
      </c>
      <c r="P127" t="str">
        <f>VLOOKUP(A127,Response!$A:$M,12,)</f>
        <v>No</v>
      </c>
      <c r="Q127" t="str">
        <f>VLOOKUP(A127,Response!$A:$M,11,)</f>
        <v>Egattur</v>
      </c>
      <c r="R127" t="s">
        <v>19</v>
      </c>
      <c r="S127" s="39" t="s">
        <v>37</v>
      </c>
    </row>
    <row r="128" spans="1:19">
      <c r="A128" s="3">
        <v>2520933</v>
      </c>
      <c r="B128" t="str">
        <f>VLOOKUP(A128,File!$A:$J,2,FALSE)</f>
        <v>Srishty Pawar</v>
      </c>
      <c r="C128" s="29">
        <f>VLOOKUP(A128,File!$A:$J,5,FALSE)</f>
        <v>46210</v>
      </c>
      <c r="D128" s="29" t="str">
        <f>VLOOKUP(A128,File!$A:$J,3,FALSE)</f>
        <v>Female</v>
      </c>
      <c r="E128" s="29" t="str">
        <f>VLOOKUP(A128,File!$A:$J,4,FALSE)</f>
        <v>FTE</v>
      </c>
      <c r="F128" s="29" t="str">
        <f>VLOOKUP(A128,File!$A:$J,6,FALSE)</f>
        <v>Chennai</v>
      </c>
      <c r="G128" s="29" t="str">
        <f>VLOOKUP(A128,File!$A:$J,7,FALSE)</f>
        <v>HPC26DN005</v>
      </c>
      <c r="H128" s="29" t="str">
        <f>VLOOKUP(A128,File!$A:$J,8,FALSE)</f>
        <v>Viveka Preethi</v>
      </c>
      <c r="I128" s="31">
        <f>VLOOKUP(A128,File!$A:$J,9,FALSE)</f>
        <v>46296</v>
      </c>
      <c r="J128" s="31" t="str">
        <f>VLOOKUP(A128,File!$A:$K,11,FALSE)</f>
        <v>Oct 2026</v>
      </c>
      <c r="K128" s="31" t="str">
        <f>VLOOKUP(A128,File!$A:$K,10,FALSE)</f>
        <v>In-Training</v>
      </c>
      <c r="L128" s="31" t="s">
        <v>4</v>
      </c>
      <c r="M128" t="str">
        <f>VLOOKUP(A128,Response!$A:$M,7,)</f>
        <v>PG (Paying Guest)</v>
      </c>
      <c r="N128" t="str">
        <f>VLOOKUP(A128,Response!$A:$M,8,)</f>
        <v>Ardenwood PG, Siruseri</v>
      </c>
      <c r="O128" s="4">
        <f>VLOOKUP(A128,Response!$A:$M,10,)</f>
        <v>2</v>
      </c>
      <c r="P128" t="str">
        <f>VLOOKUP(A128,Response!$A:$M,12,)</f>
        <v>No</v>
      </c>
      <c r="Q128" t="str">
        <f>VLOOKUP(A128,Response!$A:$M,11,)</f>
        <v>Siruseri</v>
      </c>
      <c r="R128" t="s">
        <v>19</v>
      </c>
      <c r="S128" s="39" t="s">
        <v>37</v>
      </c>
    </row>
    <row r="129" spans="1:19">
      <c r="A129" s="3">
        <v>2520983</v>
      </c>
      <c r="B129" t="str">
        <f>VLOOKUP(A129,File!$A:$J,2,FALSE)</f>
        <v>Ayush Pratap Singh</v>
      </c>
      <c r="C129" s="29">
        <f>VLOOKUP(A129,File!$A:$J,5,FALSE)</f>
        <v>46210</v>
      </c>
      <c r="D129" s="29" t="str">
        <f>VLOOKUP(A129,File!$A:$J,3,FALSE)</f>
        <v>Male</v>
      </c>
      <c r="E129" s="29" t="str">
        <f>VLOOKUP(A129,File!$A:$J,4,FALSE)</f>
        <v>FTE</v>
      </c>
      <c r="F129" s="29" t="str">
        <f>VLOOKUP(A129,File!$A:$J,6,FALSE)</f>
        <v>Chennai</v>
      </c>
      <c r="G129" s="29" t="str">
        <f>VLOOKUP(A129,File!$A:$J,7,FALSE)</f>
        <v>CS26CS008</v>
      </c>
      <c r="H129" s="29" t="str">
        <f>VLOOKUP(A129,File!$A:$J,8,FALSE)</f>
        <v>Kishorekumar P</v>
      </c>
      <c r="I129" s="31">
        <f>VLOOKUP(A129,File!$A:$J,9,FALSE)</f>
        <v>46323</v>
      </c>
      <c r="J129" s="31" t="str">
        <f>VLOOKUP(A129,File!$A:$K,11,FALSE)</f>
        <v>Oct 2026</v>
      </c>
      <c r="K129" s="31" t="str">
        <f>VLOOKUP(A129,File!$A:$K,10,FALSE)</f>
        <v>In-Training</v>
      </c>
      <c r="L129" s="31" t="s">
        <v>4</v>
      </c>
      <c r="M129" t="str">
        <f>VLOOKUP(A129,Response!$A:$M,7,)</f>
        <v>PG (Paying Guest)</v>
      </c>
      <c r="N129" t="str">
        <f>VLOOKUP(A129,Response!$A:$M,8,)</f>
        <v>Ardenwood PG, Siruseri IT Park</v>
      </c>
      <c r="O129" s="4">
        <f>VLOOKUP(A129,Response!$A:$M,10,)</f>
        <v>4</v>
      </c>
      <c r="P129" t="str">
        <f>VLOOKUP(A129,Response!$A:$M,12,)</f>
        <v>No</v>
      </c>
      <c r="Q129" t="str">
        <f>VLOOKUP(A129,Response!$A:$M,11,)</f>
        <v>Siruseri</v>
      </c>
      <c r="R129" t="s">
        <v>19</v>
      </c>
      <c r="S129" s="39" t="s">
        <v>37</v>
      </c>
    </row>
    <row r="130" spans="1:19">
      <c r="A130" s="3">
        <v>2531417</v>
      </c>
      <c r="B130" t="str">
        <f>VLOOKUP(A130,File!$A:$J,2,FALSE)</f>
        <v>R Rakshitha</v>
      </c>
      <c r="C130" s="29">
        <f>VLOOKUP(A130,File!$A:$J,5,FALSE)</f>
        <v>46252</v>
      </c>
      <c r="D130" s="29" t="str">
        <f>VLOOKUP(A130,File!$A:$J,3,FALSE)</f>
        <v>Female</v>
      </c>
      <c r="E130" s="29" t="str">
        <f>VLOOKUP(A130,File!$A:$J,4,FALSE)</f>
        <v>FTE</v>
      </c>
      <c r="F130" s="29" t="str">
        <f>VLOOKUP(A130,File!$A:$J,6,FALSE)</f>
        <v>Chennai</v>
      </c>
      <c r="G130" s="29" t="str">
        <f>VLOOKUP(A130,File!$A:$J,7,FALSE)</f>
        <v>EPS26SAP036</v>
      </c>
      <c r="H130" s="29" t="str">
        <f>VLOOKUP(A130,File!$A:$J,8,FALSE)</f>
        <v>Vishnupriya Dakshnamurthy</v>
      </c>
      <c r="I130" s="31">
        <f>VLOOKUP(A130,File!$A:$J,9,FALSE)</f>
        <v>46335</v>
      </c>
      <c r="J130" s="31" t="str">
        <f>VLOOKUP(A130,File!$A:$K,11,FALSE)</f>
        <v>Nov 2026</v>
      </c>
      <c r="K130" s="31" t="str">
        <f>VLOOKUP(A130,File!$A:$K,10,FALSE)</f>
        <v>In-Training</v>
      </c>
      <c r="L130" s="31" t="s">
        <v>5</v>
      </c>
      <c r="M130" t="str">
        <f>VLOOKUP(A130,Response!$A:$M,7,)</f>
        <v>Permanent Residence (House/Home)</v>
      </c>
      <c r="N130" t="str">
        <f>VLOOKUP(A130,Response!$A:$M,8,)</f>
        <v>Arunachala Apartments</v>
      </c>
      <c r="O130" s="4" t="str">
        <f>VLOOKUP(A130,Response!$A:$M,10,)</f>
        <v>GF</v>
      </c>
      <c r="P130" t="str">
        <f>VLOOKUP(A130,Response!$A:$M,12,)</f>
        <v>Yes</v>
      </c>
      <c r="Q130" t="str">
        <f>VLOOKUP(A130,Response!$A:$M,11,)</f>
        <v>vadapalani</v>
      </c>
      <c r="S130" t="s">
        <v>38</v>
      </c>
    </row>
    <row r="131" spans="1:19">
      <c r="A131" s="3">
        <v>2520988</v>
      </c>
      <c r="B131" t="str">
        <f>VLOOKUP(A131,File!$A:$J,2,FALSE)</f>
        <v>Afnan Khan</v>
      </c>
      <c r="C131" s="29">
        <f>VLOOKUP(A131,File!$A:$J,5,FALSE)</f>
        <v>46210</v>
      </c>
      <c r="D131" s="29" t="str">
        <f>VLOOKUP(A131,File!$A:$J,3,FALSE)</f>
        <v>Male</v>
      </c>
      <c r="E131" s="29" t="str">
        <f>VLOOKUP(A131,File!$A:$J,4,FALSE)</f>
        <v>FTE</v>
      </c>
      <c r="F131" s="29" t="str">
        <f>VLOOKUP(A131,File!$A:$J,6,FALSE)</f>
        <v>Chennai</v>
      </c>
      <c r="G131" s="29" t="str">
        <f>VLOOKUP(A131,File!$A:$J,7,FALSE)</f>
        <v>CS26CS008</v>
      </c>
      <c r="H131" s="29" t="str">
        <f>VLOOKUP(A131,File!$A:$J,8,FALSE)</f>
        <v>Kishorekumar P</v>
      </c>
      <c r="I131" s="31">
        <f>VLOOKUP(A131,File!$A:$J,9,FALSE)</f>
        <v>46323</v>
      </c>
      <c r="J131" s="31" t="str">
        <f>VLOOKUP(A131,File!$A:$K,11,FALSE)</f>
        <v>Oct 2026</v>
      </c>
      <c r="K131" s="31" t="str">
        <f>VLOOKUP(A131,File!$A:$K,10,FALSE)</f>
        <v>In-Training</v>
      </c>
      <c r="L131" s="31" t="s">
        <v>4</v>
      </c>
      <c r="M131" t="str">
        <f>VLOOKUP(A131,Response!$A:$M,7,)</f>
        <v>PG (Paying Guest)</v>
      </c>
      <c r="N131" t="str">
        <f>VLOOKUP(A131,Response!$A:$M,8,)</f>
        <v>AT RumaH PG - Tvh Terrahub, Siruseri</v>
      </c>
      <c r="O131" s="4">
        <f>VLOOKUP(A131,Response!$A:$M,10,)</f>
        <v>2</v>
      </c>
      <c r="P131" t="str">
        <f>VLOOKUP(A131,Response!$A:$M,12,)</f>
        <v>No</v>
      </c>
      <c r="Q131" t="str">
        <f>VLOOKUP(A131,Response!$A:$M,11,)</f>
        <v>Siruseri</v>
      </c>
      <c r="R131" t="s">
        <v>19</v>
      </c>
      <c r="S131" s="39" t="s">
        <v>37</v>
      </c>
    </row>
    <row r="132" spans="1:19">
      <c r="A132" s="3">
        <v>2529790</v>
      </c>
      <c r="B132" t="str">
        <f>VLOOKUP(A132,File!$A:$J,2,FALSE)</f>
        <v>Subashree Ramesh</v>
      </c>
      <c r="C132" s="29">
        <f>VLOOKUP(A132,File!$A:$J,5,FALSE)</f>
        <v>46245</v>
      </c>
      <c r="D132" s="29" t="str">
        <f>VLOOKUP(A132,File!$A:$J,3,FALSE)</f>
        <v>Female</v>
      </c>
      <c r="E132" s="29" t="str">
        <f>VLOOKUP(A132,File!$A:$J,4,FALSE)</f>
        <v>FTE</v>
      </c>
      <c r="F132" s="29" t="str">
        <f>VLOOKUP(A132,File!$A:$J,6,FALSE)</f>
        <v>Chennai</v>
      </c>
      <c r="G132" s="29" t="str">
        <f>VLOOKUP(A132,File!$A:$J,7,FALSE)</f>
        <v>CIS26MCPT021</v>
      </c>
      <c r="H132" s="29" t="str">
        <f>VLOOKUP(A132,File!$A:$J,8,FALSE)</f>
        <v>Uma Venkatachalam</v>
      </c>
      <c r="I132" s="31">
        <f>VLOOKUP(A132,File!$A:$J,9,FALSE)</f>
        <v>46364</v>
      </c>
      <c r="J132" s="31" t="str">
        <f>VLOOKUP(A132,File!$A:$K,11,FALSE)</f>
        <v>Dec 2026</v>
      </c>
      <c r="K132" s="31" t="str">
        <f>VLOOKUP(A132,File!$A:$K,10,FALSE)</f>
        <v>In-Training</v>
      </c>
      <c r="L132" s="31" t="s">
        <v>4</v>
      </c>
      <c r="M132" t="str">
        <f>VLOOKUP(A132,Response!$A:$M,7,)</f>
        <v>PG (Paying Guest)</v>
      </c>
      <c r="N132" t="str">
        <f>VLOOKUP(A132,Response!$A:$M,8,)</f>
        <v>Aura ladies PG</v>
      </c>
      <c r="O132" s="4">
        <f>VLOOKUP(A132,Response!$A:$M,10,)</f>
        <v>2</v>
      </c>
      <c r="P132" t="str">
        <f>VLOOKUP(A132,Response!$A:$M,12,)</f>
        <v>Yes</v>
      </c>
      <c r="Q132" t="str">
        <f>VLOOKUP(A132,Response!$A:$M,11,)</f>
        <v>Siruseri</v>
      </c>
      <c r="R132" t="s">
        <v>19</v>
      </c>
      <c r="S132" s="39" t="s">
        <v>37</v>
      </c>
    </row>
    <row r="133" spans="1:19">
      <c r="A133" s="3">
        <v>2531994</v>
      </c>
      <c r="B133" t="str">
        <f>VLOOKUP(A133,File!$A:$J,2,FALSE)</f>
        <v>Prethvi CR</v>
      </c>
      <c r="C133" s="29">
        <f>VLOOKUP(A133,File!$A:$J,5,FALSE)</f>
        <v>46254</v>
      </c>
      <c r="D133" s="29" t="str">
        <f>VLOOKUP(A133,File!$A:$J,3,FALSE)</f>
        <v>Female</v>
      </c>
      <c r="E133" s="29" t="str">
        <f>VLOOKUP(A133,File!$A:$J,4,FALSE)</f>
        <v>FTE</v>
      </c>
      <c r="F133" s="29" t="str">
        <f>VLOOKUP(A133,File!$A:$J,6,FALSE)</f>
        <v>Chennai</v>
      </c>
      <c r="G133" s="29" t="str">
        <f>VLOOKUP(A133,File!$A:$J,7,FALSE)</f>
        <v>EPS26OSP011</v>
      </c>
      <c r="H133" s="29" t="str">
        <f>VLOOKUP(A133,File!$A:$J,8,FALSE)</f>
        <v>Gayathri Ramachandran</v>
      </c>
      <c r="I133" s="31" t="str">
        <f>VLOOKUP(A133,File!$A:$J,9,FALSE)</f>
        <v/>
      </c>
      <c r="J133" s="44" t="s">
        <v>33</v>
      </c>
      <c r="K133" s="31" t="str">
        <f>VLOOKUP(A133,File!$A:$K,10,FALSE)</f>
        <v>Training - ON Hold</v>
      </c>
      <c r="L133" s="31" t="s">
        <v>4</v>
      </c>
      <c r="M133" t="str">
        <f>VLOOKUP(A133,Response!$A:$M,7,)</f>
        <v>PG (Paying Guest)</v>
      </c>
      <c r="N133" t="str">
        <f>VLOOKUP(A133,Response!$A:$M,8,)</f>
        <v>Aura nest Ladies Hostel - Siruseri</v>
      </c>
      <c r="O133" s="4">
        <f>VLOOKUP(A133,Response!$A:$M,10,)</f>
        <v>2</v>
      </c>
      <c r="P133" t="str">
        <f>VLOOKUP(A133,Response!$A:$M,12,)</f>
        <v>No</v>
      </c>
      <c r="Q133" t="str">
        <f>VLOOKUP(A133,Response!$A:$M,11,)</f>
        <v>Siruseri</v>
      </c>
      <c r="R133" t="s">
        <v>19</v>
      </c>
      <c r="S133" s="39" t="s">
        <v>37</v>
      </c>
    </row>
    <row r="134" spans="1:19">
      <c r="A134" s="3">
        <v>2531389</v>
      </c>
      <c r="B134" t="str">
        <f>VLOOKUP(A134,File!$A:$J,2,FALSE)</f>
        <v>Yarnagula Iswarya Lakshmi</v>
      </c>
      <c r="C134" s="29">
        <f>VLOOKUP(A134,File!$A:$J,5,FALSE)</f>
        <v>46252</v>
      </c>
      <c r="D134" s="29" t="str">
        <f>VLOOKUP(A134,File!$A:$J,3,FALSE)</f>
        <v>Female</v>
      </c>
      <c r="E134" s="29" t="str">
        <f>VLOOKUP(A134,File!$A:$J,4,FALSE)</f>
        <v>FTE</v>
      </c>
      <c r="F134" s="29" t="str">
        <f>VLOOKUP(A134,File!$A:$J,6,FALSE)</f>
        <v>Chennai</v>
      </c>
      <c r="G134" s="29" t="str">
        <f>VLOOKUP(A134,File!$A:$J,7,FALSE)</f>
        <v>CIS26AT007</v>
      </c>
      <c r="H134" s="29" t="str">
        <f>VLOOKUP(A134,File!$A:$J,8,FALSE)</f>
        <v>Uma Venkatachalam</v>
      </c>
      <c r="I134" s="31">
        <f>VLOOKUP(A134,File!$A:$J,9,FALSE)</f>
        <v>46365</v>
      </c>
      <c r="J134" s="31" t="str">
        <f>VLOOKUP(A134,File!$A:$K,11,FALSE)</f>
        <v>Dec 2026</v>
      </c>
      <c r="K134" s="31" t="str">
        <f>VLOOKUP(A134,File!$A:$K,10,FALSE)</f>
        <v>In-Training</v>
      </c>
      <c r="L134" s="31" t="s">
        <v>4</v>
      </c>
      <c r="M134" t="str">
        <f>VLOOKUP(A134,Response!$A:$M,7,)</f>
        <v>PG (Paying Guest)</v>
      </c>
      <c r="N134" t="str">
        <f>VLOOKUP(A134,Response!$A:$M,8,)</f>
        <v>Aura nest ladies pg</v>
      </c>
      <c r="O134" s="4">
        <f>VLOOKUP(A134,Response!$A:$M,10,)</f>
        <v>2</v>
      </c>
      <c r="P134" t="str">
        <f>VLOOKUP(A134,Response!$A:$M,12,)</f>
        <v>No</v>
      </c>
      <c r="Q134" t="str">
        <f>VLOOKUP(A134,Response!$A:$M,11,)</f>
        <v>Siruseri</v>
      </c>
      <c r="R134" t="s">
        <v>19</v>
      </c>
      <c r="S134" s="39" t="s">
        <v>37</v>
      </c>
    </row>
    <row r="135" spans="1:19">
      <c r="A135" s="3">
        <v>2529558</v>
      </c>
      <c r="B135" t="str">
        <f>VLOOKUP(A135,File!$A:$J,2,FALSE)</f>
        <v>Perugu Radha</v>
      </c>
      <c r="C135" s="29">
        <f>VLOOKUP(A135,File!$A:$J,5,FALSE)</f>
        <v>46245</v>
      </c>
      <c r="D135" s="29" t="str">
        <f>VLOOKUP(A135,File!$A:$J,3,FALSE)</f>
        <v>Female</v>
      </c>
      <c r="E135" s="29" t="str">
        <f>VLOOKUP(A135,File!$A:$J,4,FALSE)</f>
        <v>FTE</v>
      </c>
      <c r="F135" s="29" t="str">
        <f>VLOOKUP(A135,File!$A:$J,6,FALSE)</f>
        <v>Chennai</v>
      </c>
      <c r="G135" s="29" t="str">
        <f>VLOOKUP(A135,File!$A:$J,7,FALSE)</f>
        <v>CIS26MCPT022</v>
      </c>
      <c r="H135" s="29" t="str">
        <f>VLOOKUP(A135,File!$A:$J,8,FALSE)</f>
        <v>Laksiya Vijayendran</v>
      </c>
      <c r="I135" s="31">
        <f>VLOOKUP(A135,File!$A:$J,9,FALSE)</f>
        <v>46359</v>
      </c>
      <c r="J135" s="31" t="str">
        <f>VLOOKUP(A135,File!$A:$K,11,FALSE)</f>
        <v>Dec 2026</v>
      </c>
      <c r="K135" s="31" t="str">
        <f>VLOOKUP(A135,File!$A:$K,10,FALSE)</f>
        <v>In-Training</v>
      </c>
      <c r="L135" s="31" t="s">
        <v>4</v>
      </c>
      <c r="M135" t="str">
        <f>VLOOKUP(A135,Response!$A:$M,7,)</f>
        <v>PG (Paying Guest)</v>
      </c>
      <c r="N135" t="str">
        <f>VLOOKUP(A135,Response!$A:$M,8,)</f>
        <v>Aura Nest Ladies PG</v>
      </c>
      <c r="O135" s="4">
        <f>VLOOKUP(A135,Response!$A:$M,10,)</f>
        <v>4</v>
      </c>
      <c r="P135" t="str">
        <f>VLOOKUP(A135,Response!$A:$M,12,)</f>
        <v>No</v>
      </c>
      <c r="Q135" t="str">
        <f>VLOOKUP(A135,Response!$A:$M,11,)</f>
        <v>Egattur</v>
      </c>
      <c r="R135" t="s">
        <v>19</v>
      </c>
      <c r="S135" s="39" t="s">
        <v>37</v>
      </c>
    </row>
    <row r="136" spans="1:19">
      <c r="A136" s="3">
        <v>2532969</v>
      </c>
      <c r="B136" t="str">
        <f>VLOOKUP(A136,File!$A:$J,2,FALSE)</f>
        <v>Seethini Bhavana</v>
      </c>
      <c r="C136" s="29">
        <f>VLOOKUP(A136,File!$A:$J,5,FALSE)</f>
        <v>46259</v>
      </c>
      <c r="D136" s="29" t="str">
        <f>VLOOKUP(A136,File!$A:$J,3,FALSE)</f>
        <v>Female</v>
      </c>
      <c r="E136" s="29" t="str">
        <f>VLOOKUP(A136,File!$A:$J,4,FALSE)</f>
        <v>FTE</v>
      </c>
      <c r="F136" s="29" t="str">
        <f>VLOOKUP(A136,File!$A:$J,6,FALSE)</f>
        <v>Chennai</v>
      </c>
      <c r="G136" s="29" t="str">
        <f>VLOOKUP(A136,File!$A:$J,7,FALSE)</f>
        <v>CIS26AT008</v>
      </c>
      <c r="H136" s="29" t="str">
        <f>VLOOKUP(A136,File!$A:$J,8,FALSE)</f>
        <v>Uma Venkatachalam</v>
      </c>
      <c r="I136" s="31">
        <f>VLOOKUP(A136,File!$A:$J,9,FALSE)</f>
        <v>46365</v>
      </c>
      <c r="J136" s="31" t="str">
        <f>VLOOKUP(A136,File!$A:$K,11,FALSE)</f>
        <v>Dec 2026</v>
      </c>
      <c r="K136" s="31" t="str">
        <f>VLOOKUP(A136,File!$A:$K,10,FALSE)</f>
        <v>In-Training</v>
      </c>
      <c r="L136" s="31" t="s">
        <v>4</v>
      </c>
      <c r="M136" t="str">
        <f>VLOOKUP(A136,Response!$A:$M,7,)</f>
        <v>PG (Paying Guest)</v>
      </c>
      <c r="N136" t="str">
        <f>VLOOKUP(A136,Response!$A:$M,8,)</f>
        <v>aura nest ladies pg, siruseri, sipcot it park</v>
      </c>
      <c r="O136" s="4">
        <f>VLOOKUP(A136,Response!$A:$M,10,)</f>
        <v>5</v>
      </c>
      <c r="P136" t="str">
        <f>VLOOKUP(A136,Response!$A:$M,12,)</f>
        <v>No</v>
      </c>
      <c r="Q136" t="str">
        <f>VLOOKUP(A136,Response!$A:$M,11,)</f>
        <v>Siruseri</v>
      </c>
      <c r="R136" t="s">
        <v>19</v>
      </c>
      <c r="S136" s="39" t="s">
        <v>37</v>
      </c>
    </row>
    <row r="137" spans="1:19">
      <c r="A137" s="3">
        <v>2531976</v>
      </c>
      <c r="B137" t="str">
        <f>VLOOKUP(A137,File!$A:$J,2,FALSE)</f>
        <v>Pooja S</v>
      </c>
      <c r="C137" s="29">
        <f>VLOOKUP(A137,File!$A:$J,5,FALSE)</f>
        <v>46254</v>
      </c>
      <c r="D137" s="29" t="str">
        <f>VLOOKUP(A137,File!$A:$J,3,FALSE)</f>
        <v>Female</v>
      </c>
      <c r="E137" s="29" t="str">
        <f>VLOOKUP(A137,File!$A:$J,4,FALSE)</f>
        <v>FTE</v>
      </c>
      <c r="F137" s="29" t="str">
        <f>VLOOKUP(A137,File!$A:$J,6,FALSE)</f>
        <v>Chennai</v>
      </c>
      <c r="G137" s="29" t="str">
        <f>VLOOKUP(A137,File!$A:$J,7,FALSE)</f>
        <v>CS26CS012</v>
      </c>
      <c r="H137" s="29" t="str">
        <f>VLOOKUP(A137,File!$A:$J,8,FALSE)</f>
        <v>Laksiya Vijayendran</v>
      </c>
      <c r="I137" s="31">
        <f>VLOOKUP(A137,File!$A:$J,9,FALSE)</f>
        <v>46343</v>
      </c>
      <c r="J137" s="31" t="str">
        <f>VLOOKUP(A137,File!$A:$K,11,FALSE)</f>
        <v>Nov 2026</v>
      </c>
      <c r="K137" s="31" t="str">
        <f>VLOOKUP(A137,File!$A:$K,10,FALSE)</f>
        <v>In-Training</v>
      </c>
      <c r="L137" s="31" t="s">
        <v>4</v>
      </c>
      <c r="M137" t="str">
        <f>VLOOKUP(A137,Response!$A:$M,7,)</f>
        <v>PG (Paying Guest)</v>
      </c>
      <c r="N137" t="str">
        <f>VLOOKUP(A137,Response!$A:$M,8,)</f>
        <v>Aura nest pf for ladies</v>
      </c>
      <c r="O137" s="4">
        <f>VLOOKUP(A137,Response!$A:$M,10,)</f>
        <v>5</v>
      </c>
      <c r="P137" t="str">
        <f>VLOOKUP(A137,Response!$A:$M,12,)</f>
        <v>No</v>
      </c>
      <c r="Q137" t="str">
        <f>VLOOKUP(A137,Response!$A:$M,11,)</f>
        <v>Siruseri</v>
      </c>
      <c r="R137" t="s">
        <v>19</v>
      </c>
      <c r="S137" s="39" t="s">
        <v>37</v>
      </c>
    </row>
    <row r="138" spans="1:19">
      <c r="A138" s="3">
        <v>2526171</v>
      </c>
      <c r="B138" t="str">
        <f>VLOOKUP(A138,File!$A:$J,2,FALSE)</f>
        <v>Vaishnavi Vikas Deshmukhe</v>
      </c>
      <c r="C138" s="29">
        <f>VLOOKUP(A138,File!$A:$J,5,FALSE)</f>
        <v>46231</v>
      </c>
      <c r="D138" s="29" t="str">
        <f>VLOOKUP(A138,File!$A:$J,3,FALSE)</f>
        <v>Female</v>
      </c>
      <c r="E138" s="29" t="str">
        <f>VLOOKUP(A138,File!$A:$J,4,FALSE)</f>
        <v>FTE</v>
      </c>
      <c r="F138" s="29" t="str">
        <f>VLOOKUP(A138,File!$A:$J,6,FALSE)</f>
        <v>Chennai</v>
      </c>
      <c r="G138" s="29" t="str">
        <f>VLOOKUP(A138,File!$A:$J,7,FALSE)</f>
        <v>EPS26WD005</v>
      </c>
      <c r="H138" s="29" t="str">
        <f>VLOOKUP(A138,File!$A:$J,8,FALSE)</f>
        <v>Vishnupriya Dakshnamurthy</v>
      </c>
      <c r="I138" s="31">
        <f>VLOOKUP(A138,File!$A:$J,9,FALSE)</f>
        <v>46332</v>
      </c>
      <c r="J138" s="31" t="str">
        <f>VLOOKUP(A138,File!$A:$K,11,FALSE)</f>
        <v>Nov 2026</v>
      </c>
      <c r="K138" s="31" t="str">
        <f>VLOOKUP(A138,File!$A:$K,10,FALSE)</f>
        <v>In-Training</v>
      </c>
      <c r="L138" s="31" t="s">
        <v>4</v>
      </c>
      <c r="M138" t="str">
        <f>VLOOKUP(A138,Response!$A:$M,7,)</f>
        <v>PG (Paying Guest)</v>
      </c>
      <c r="N138" t="str">
        <f>VLOOKUP(A138,Response!$A:$M,8,)</f>
        <v>Aura Nest Pg</v>
      </c>
      <c r="O138" s="4">
        <f>VLOOKUP(A138,Response!$A:$M,10,)</f>
        <v>2</v>
      </c>
      <c r="P138" t="str">
        <f>VLOOKUP(A138,Response!$A:$M,12,)</f>
        <v>No</v>
      </c>
      <c r="Q138" t="str">
        <f>VLOOKUP(A138,Response!$A:$M,11,)</f>
        <v>Egattur</v>
      </c>
      <c r="R138" t="s">
        <v>19</v>
      </c>
      <c r="S138" s="39" t="s">
        <v>37</v>
      </c>
    </row>
    <row r="139" spans="1:19">
      <c r="A139" s="3">
        <v>2529541</v>
      </c>
      <c r="B139" t="str">
        <f>VLOOKUP(A139,File!$A:$J,2,FALSE)</f>
        <v>Revati Sree P</v>
      </c>
      <c r="C139" s="29">
        <f>VLOOKUP(A139,File!$A:$J,5,FALSE)</f>
        <v>46245</v>
      </c>
      <c r="D139" s="29" t="str">
        <f>VLOOKUP(A139,File!$A:$J,3,FALSE)</f>
        <v>Female</v>
      </c>
      <c r="E139" s="29" t="str">
        <f>VLOOKUP(A139,File!$A:$J,4,FALSE)</f>
        <v>FTE</v>
      </c>
      <c r="F139" s="29" t="str">
        <f>VLOOKUP(A139,File!$A:$J,6,FALSE)</f>
        <v>Chennai</v>
      </c>
      <c r="G139" s="29" t="str">
        <f>VLOOKUP(A139,File!$A:$J,7,FALSE)</f>
        <v>CIS26MCPT023</v>
      </c>
      <c r="H139" s="29" t="str">
        <f>VLOOKUP(A139,File!$A:$J,8,FALSE)</f>
        <v>Kishorekumar P</v>
      </c>
      <c r="I139" s="31">
        <f>VLOOKUP(A139,File!$A:$J,9,FALSE)</f>
        <v>46359</v>
      </c>
      <c r="J139" s="31" t="str">
        <f>VLOOKUP(A139,File!$A:$K,11,FALSE)</f>
        <v>Dec 2026</v>
      </c>
      <c r="K139" s="31" t="str">
        <f>VLOOKUP(A139,File!$A:$K,10,FALSE)</f>
        <v>In-Training</v>
      </c>
      <c r="L139" s="31" t="s">
        <v>4</v>
      </c>
      <c r="M139" t="str">
        <f>VLOOKUP(A139,Response!$A:$M,7,)</f>
        <v>PG (Paying Guest)</v>
      </c>
      <c r="N139" t="str">
        <f>VLOOKUP(A139,Response!$A:$M,8,)</f>
        <v>Aura Nest PG - Sipcot</v>
      </c>
      <c r="O139" s="4">
        <f>VLOOKUP(A139,Response!$A:$M,10,)</f>
        <v>5</v>
      </c>
      <c r="P139" t="str">
        <f>VLOOKUP(A139,Response!$A:$M,12,)</f>
        <v>No</v>
      </c>
      <c r="Q139" t="str">
        <f>VLOOKUP(A139,Response!$A:$M,11,)</f>
        <v>Sholinganallur</v>
      </c>
      <c r="R139" t="s">
        <v>17</v>
      </c>
      <c r="S139" s="39" t="s">
        <v>37</v>
      </c>
    </row>
    <row r="140" spans="1:19">
      <c r="A140" s="3">
        <v>2526156</v>
      </c>
      <c r="B140" t="str">
        <f>VLOOKUP(A140,File!$A:$J,2,FALSE)</f>
        <v>Neha Namdev Kale</v>
      </c>
      <c r="C140" s="29">
        <f>VLOOKUP(A140,File!$A:$J,5,FALSE)</f>
        <v>46231</v>
      </c>
      <c r="D140" s="29" t="str">
        <f>VLOOKUP(A140,File!$A:$J,3,FALSE)</f>
        <v>Female</v>
      </c>
      <c r="E140" s="29" t="str">
        <f>VLOOKUP(A140,File!$A:$J,4,FALSE)</f>
        <v>FTE</v>
      </c>
      <c r="F140" s="29" t="str">
        <f>VLOOKUP(A140,File!$A:$J,6,FALSE)</f>
        <v>Chennai</v>
      </c>
      <c r="G140" s="29" t="str">
        <f>VLOOKUP(A140,File!$A:$J,7,FALSE)</f>
        <v>EPS26WD005</v>
      </c>
      <c r="H140" s="29" t="str">
        <f>VLOOKUP(A140,File!$A:$J,8,FALSE)</f>
        <v>Vishnupriya Dakshnamurthy</v>
      </c>
      <c r="I140" s="31">
        <f>VLOOKUP(A140,File!$A:$J,9,FALSE)</f>
        <v>46332</v>
      </c>
      <c r="J140" s="31" t="str">
        <f>VLOOKUP(A140,File!$A:$K,11,FALSE)</f>
        <v>Nov 2026</v>
      </c>
      <c r="K140" s="31" t="str">
        <f>VLOOKUP(A140,File!$A:$K,10,FALSE)</f>
        <v>In-Training</v>
      </c>
      <c r="L140" s="31" t="s">
        <v>4</v>
      </c>
      <c r="M140" t="str">
        <f>VLOOKUP(A140,Response!$A:$M,7,)</f>
        <v>PG (Paying Guest)</v>
      </c>
      <c r="N140" t="str">
        <f>VLOOKUP(A140,Response!$A:$M,8,)</f>
        <v>Aura Nest Pg for Ladies</v>
      </c>
      <c r="O140" s="4">
        <f>VLOOKUP(A140,Response!$A:$M,10,)</f>
        <v>2</v>
      </c>
      <c r="P140" t="str">
        <f>VLOOKUP(A140,Response!$A:$M,12,)</f>
        <v>No</v>
      </c>
      <c r="Q140" t="str">
        <f>VLOOKUP(A140,Response!$A:$M,11,)</f>
        <v>Egattur</v>
      </c>
      <c r="R140" t="s">
        <v>19</v>
      </c>
      <c r="S140" s="39" t="s">
        <v>37</v>
      </c>
    </row>
    <row r="141" spans="1:19">
      <c r="A141" s="3">
        <v>2532917</v>
      </c>
      <c r="B141" t="str">
        <f>VLOOKUP(A141,File!$A:$J,2,FALSE)</f>
        <v>Yasarla Jahnavi</v>
      </c>
      <c r="C141" s="29">
        <f>VLOOKUP(A141,File!$A:$J,5,FALSE)</f>
        <v>46259</v>
      </c>
      <c r="D141" s="29" t="str">
        <f>VLOOKUP(A141,File!$A:$J,3,FALSE)</f>
        <v>Female</v>
      </c>
      <c r="E141" s="29" t="str">
        <f>VLOOKUP(A141,File!$A:$J,4,FALSE)</f>
        <v>FTE</v>
      </c>
      <c r="F141" s="29" t="str">
        <f>VLOOKUP(A141,File!$A:$J,6,FALSE)</f>
        <v>Chennai</v>
      </c>
      <c r="G141" s="29" t="str">
        <f>VLOOKUP(A141,File!$A:$J,7,FALSE)</f>
        <v>CIS26MBG006</v>
      </c>
      <c r="H141" s="29" t="str">
        <f>VLOOKUP(A141,File!$A:$J,8,FALSE)</f>
        <v>Angel Maria Faustina Gomez</v>
      </c>
      <c r="I141" s="31">
        <f>VLOOKUP(A141,File!$A:$J,9,FALSE)</f>
        <v>46367</v>
      </c>
      <c r="J141" s="31" t="str">
        <f>VLOOKUP(A141,File!$A:$K,11,FALSE)</f>
        <v>Dec 2026</v>
      </c>
      <c r="K141" s="31" t="str">
        <f>VLOOKUP(A141,File!$A:$K,10,FALSE)</f>
        <v>In-Training</v>
      </c>
      <c r="L141" s="31" t="s">
        <v>4</v>
      </c>
      <c r="M141" t="str">
        <f>VLOOKUP(A141,Response!$A:$M,7,)</f>
        <v>PG (Paying Guest)</v>
      </c>
      <c r="N141" t="str">
        <f>VLOOKUP(A141,Response!$A:$M,8,)</f>
        <v>Aura Nest PG for ladies</v>
      </c>
      <c r="O141" s="4">
        <f>VLOOKUP(A141,Response!$A:$M,10,)</f>
        <v>2</v>
      </c>
      <c r="P141" t="str">
        <f>VLOOKUP(A141,Response!$A:$M,12,)</f>
        <v>No</v>
      </c>
      <c r="Q141" t="str">
        <f>VLOOKUP(A141,Response!$A:$M,11,)</f>
        <v>Siruseri</v>
      </c>
      <c r="R141" t="s">
        <v>19</v>
      </c>
      <c r="S141" s="39" t="s">
        <v>37</v>
      </c>
    </row>
    <row r="142" spans="1:19">
      <c r="A142" s="3">
        <v>2533076</v>
      </c>
      <c r="B142" t="str">
        <f>VLOOKUP(A142,File!$A:$J,2,FALSE)</f>
        <v>Chittiprolu Navya Sri</v>
      </c>
      <c r="C142" s="29">
        <f>VLOOKUP(A142,File!$A:$J,5,FALSE)</f>
        <v>46259</v>
      </c>
      <c r="D142" s="29" t="str">
        <f>VLOOKUP(A142,File!$A:$J,3,FALSE)</f>
        <v>Female</v>
      </c>
      <c r="E142" s="29" t="str">
        <f>VLOOKUP(A142,File!$A:$J,4,FALSE)</f>
        <v>FTE</v>
      </c>
      <c r="F142" s="29" t="str">
        <f>VLOOKUP(A142,File!$A:$J,6,FALSE)</f>
        <v>Chennai</v>
      </c>
      <c r="G142" s="29" t="str">
        <f>VLOOKUP(A142,File!$A:$J,7,FALSE)</f>
        <v>CIS26MBG005</v>
      </c>
      <c r="H142" s="29" t="str">
        <f>VLOOKUP(A142,File!$A:$J,8,FALSE)</f>
        <v>Angel Maria Faustina Gomez</v>
      </c>
      <c r="I142" s="31">
        <f>VLOOKUP(A142,File!$A:$J,9,FALSE)</f>
        <v>46367</v>
      </c>
      <c r="J142" s="31" t="str">
        <f>VLOOKUP(A142,File!$A:$K,11,FALSE)</f>
        <v>Dec 2026</v>
      </c>
      <c r="K142" s="31" t="str">
        <f>VLOOKUP(A142,File!$A:$K,10,FALSE)</f>
        <v>In-Training</v>
      </c>
      <c r="L142" s="31" t="s">
        <v>4</v>
      </c>
      <c r="M142" t="str">
        <f>VLOOKUP(A142,Response!$A:$M,7,)</f>
        <v>PG (Paying Guest)</v>
      </c>
      <c r="N142" t="str">
        <f>VLOOKUP(A142,Response!$A:$M,8,)</f>
        <v>AURA NEST PG FOR LADIES</v>
      </c>
      <c r="O142" s="4">
        <f>VLOOKUP(A142,Response!$A:$M,10,)</f>
        <v>2</v>
      </c>
      <c r="P142" t="str">
        <f>VLOOKUP(A142,Response!$A:$M,12,)</f>
        <v>No</v>
      </c>
      <c r="Q142" t="str">
        <f>VLOOKUP(A142,Response!$A:$M,11,)</f>
        <v>Siruseri</v>
      </c>
      <c r="R142" t="s">
        <v>19</v>
      </c>
      <c r="S142" s="39" t="s">
        <v>37</v>
      </c>
    </row>
    <row r="143" spans="1:19">
      <c r="A143" s="3">
        <v>2531954</v>
      </c>
      <c r="B143" t="str">
        <f>VLOOKUP(A143,File!$A:$J,2,FALSE)</f>
        <v>Ambapali Datta</v>
      </c>
      <c r="C143" s="29">
        <f>VLOOKUP(A143,File!$A:$J,5,FALSE)</f>
        <v>46254</v>
      </c>
      <c r="D143" s="29" t="str">
        <f>VLOOKUP(A143,File!$A:$J,3,FALSE)</f>
        <v>Female</v>
      </c>
      <c r="E143" s="29" t="str">
        <f>VLOOKUP(A143,File!$A:$J,4,FALSE)</f>
        <v>FTE</v>
      </c>
      <c r="F143" s="29" t="str">
        <f>VLOOKUP(A143,File!$A:$J,6,FALSE)</f>
        <v>Chennai</v>
      </c>
      <c r="G143" s="29" t="str">
        <f>VLOOKUP(A143,File!$A:$J,7,FALSE)</f>
        <v>CS26CS011</v>
      </c>
      <c r="H143" s="29" t="str">
        <f>VLOOKUP(A143,File!$A:$J,8,FALSE)</f>
        <v>Kishorekumar P</v>
      </c>
      <c r="I143" s="31">
        <f>VLOOKUP(A143,File!$A:$J,9,FALSE)</f>
        <v>46343</v>
      </c>
      <c r="J143" s="31" t="str">
        <f>VLOOKUP(A143,File!$A:$K,11,FALSE)</f>
        <v>Nov 2026</v>
      </c>
      <c r="K143" s="31" t="str">
        <f>VLOOKUP(A143,File!$A:$K,10,FALSE)</f>
        <v>In-Training</v>
      </c>
      <c r="L143" s="31" t="s">
        <v>4</v>
      </c>
      <c r="M143" t="str">
        <f>VLOOKUP(A143,Response!$A:$M,7,)</f>
        <v>PG (Paying Guest)</v>
      </c>
      <c r="N143" t="str">
        <f>VLOOKUP(A143,Response!$A:$M,8,)</f>
        <v>Aura Nest PG For Ladies</v>
      </c>
      <c r="O143" s="4">
        <f>VLOOKUP(A143,Response!$A:$M,10,)</f>
        <v>5</v>
      </c>
      <c r="P143" t="str">
        <f>VLOOKUP(A143,Response!$A:$M,12,)</f>
        <v>No</v>
      </c>
      <c r="Q143" t="str">
        <f>VLOOKUP(A143,Response!$A:$M,11,)</f>
        <v>Siruseri</v>
      </c>
      <c r="R143" t="s">
        <v>19</v>
      </c>
      <c r="S143" s="39" t="s">
        <v>37</v>
      </c>
    </row>
    <row r="144" spans="1:19">
      <c r="A144" s="3">
        <v>2530201</v>
      </c>
      <c r="B144" t="str">
        <f>VLOOKUP(A144,File!$A:$J,2,FALSE)</f>
        <v>Krithika Vivekanandan</v>
      </c>
      <c r="C144" s="29">
        <f>VLOOKUP(A144,File!$A:$J,5,FALSE)</f>
        <v>46247</v>
      </c>
      <c r="D144" s="29" t="str">
        <f>VLOOKUP(A144,File!$A:$J,3,FALSE)</f>
        <v>Female</v>
      </c>
      <c r="E144" s="29" t="str">
        <f>VLOOKUP(A144,File!$A:$J,4,FALSE)</f>
        <v>FTE</v>
      </c>
      <c r="F144" s="29" t="str">
        <f>VLOOKUP(A144,File!$A:$J,6,FALSE)</f>
        <v>Chennai</v>
      </c>
      <c r="G144" s="29" t="str">
        <f>VLOOKUP(A144,File!$A:$J,7,FALSE)</f>
        <v>EPS26OSP010</v>
      </c>
      <c r="H144" s="29" t="str">
        <f>VLOOKUP(A144,File!$A:$J,8,FALSE)</f>
        <v>Vishnupriya Dakshnamurthy</v>
      </c>
      <c r="I144" s="31">
        <f>VLOOKUP(A144,File!$A:$J,9,FALSE)</f>
        <v>46357</v>
      </c>
      <c r="J144" s="31" t="str">
        <f>VLOOKUP(A144,File!$A:$K,11,FALSE)</f>
        <v>Dec 2026</v>
      </c>
      <c r="K144" s="31" t="str">
        <f>VLOOKUP(A144,File!$A:$K,10,FALSE)</f>
        <v>In-Training</v>
      </c>
      <c r="L144" s="31" t="s">
        <v>4</v>
      </c>
      <c r="M144" t="str">
        <f>VLOOKUP(A144,Response!$A:$M,7,)</f>
        <v>PG (Paying Guest)</v>
      </c>
      <c r="N144" t="str">
        <f>VLOOKUP(A144,Response!$A:$M,8,)</f>
        <v>AURA NEST PG FOR LADIES 86 3rd Cross Street, SIRUSERI, Chennai, Tamil Nadu 600047</v>
      </c>
      <c r="O144" s="4">
        <f>VLOOKUP(A144,Response!$A:$M,10,)</f>
        <v>2</v>
      </c>
      <c r="P144" t="str">
        <f>VLOOKUP(A144,Response!$A:$M,12,)</f>
        <v>Yes</v>
      </c>
      <c r="Q144" t="str">
        <f>VLOOKUP(A144,Response!$A:$M,11,)</f>
        <v>Siruseri</v>
      </c>
      <c r="R144" t="s">
        <v>19</v>
      </c>
      <c r="S144" s="39" t="s">
        <v>37</v>
      </c>
    </row>
    <row r="145" spans="1:19">
      <c r="A145" s="3">
        <v>2521813</v>
      </c>
      <c r="B145" t="str">
        <f>VLOOKUP(A145,File!$A:$J,2,FALSE)</f>
        <v>Nakka Divya Tejaswi</v>
      </c>
      <c r="C145" s="29">
        <f>VLOOKUP(A145,File!$A:$J,5,FALSE)</f>
        <v>46212</v>
      </c>
      <c r="D145" s="29" t="str">
        <f>VLOOKUP(A145,File!$A:$J,3,FALSE)</f>
        <v>Female</v>
      </c>
      <c r="E145" s="29" t="str">
        <f>VLOOKUP(A145,File!$A:$J,4,FALSE)</f>
        <v>FTE</v>
      </c>
      <c r="F145" s="29" t="str">
        <f>VLOOKUP(A145,File!$A:$J,6,FALSE)</f>
        <v>Chennai</v>
      </c>
      <c r="G145" s="29" t="str">
        <f>VLOOKUP(A145,File!$A:$J,7,FALSE)</f>
        <v>ADM26MF010</v>
      </c>
      <c r="H145" s="29" t="str">
        <f>VLOOKUP(A145,File!$A:$J,8,FALSE)</f>
        <v>Thomas Naveen. J</v>
      </c>
      <c r="I145" s="31">
        <f>VLOOKUP(A145,File!$A:$J,9,FALSE)</f>
        <v>46328</v>
      </c>
      <c r="J145" s="31" t="str">
        <f>VLOOKUP(A145,File!$A:$K,11,FALSE)</f>
        <v>Nov 2026</v>
      </c>
      <c r="K145" s="31" t="str">
        <f>VLOOKUP(A145,File!$A:$K,10,FALSE)</f>
        <v>In-Training</v>
      </c>
      <c r="L145" s="31" t="s">
        <v>4</v>
      </c>
      <c r="M145" t="str">
        <f>VLOOKUP(A145,Response!$A:$M,7,)</f>
        <v>PG (Paying Guest)</v>
      </c>
      <c r="N145" t="str">
        <f>VLOOKUP(A145,Response!$A:$M,8,)</f>
        <v>AURA NEST PG FOR LADIES, EGATTUR</v>
      </c>
      <c r="O145" s="4">
        <f>VLOOKUP(A145,Response!$A:$M,10,)</f>
        <v>2</v>
      </c>
      <c r="P145" t="str">
        <f>VLOOKUP(A145,Response!$A:$M,12,)</f>
        <v>No</v>
      </c>
      <c r="Q145" t="str">
        <f>VLOOKUP(A145,Response!$A:$M,11,)</f>
        <v>Egattur</v>
      </c>
      <c r="R145" t="s">
        <v>19</v>
      </c>
      <c r="S145" s="39" t="s">
        <v>37</v>
      </c>
    </row>
    <row r="146" spans="1:19">
      <c r="A146" s="3">
        <v>2530207</v>
      </c>
      <c r="B146" t="str">
        <f>VLOOKUP(A146,File!$A:$J,2,FALSE)</f>
        <v>Pragnya Srikrishnan</v>
      </c>
      <c r="C146" s="29">
        <f>VLOOKUP(A146,File!$A:$J,5,FALSE)</f>
        <v>46247</v>
      </c>
      <c r="D146" s="29" t="str">
        <f>VLOOKUP(A146,File!$A:$J,3,FALSE)</f>
        <v>Female</v>
      </c>
      <c r="E146" s="29" t="str">
        <f>VLOOKUP(A146,File!$A:$J,4,FALSE)</f>
        <v>FTE</v>
      </c>
      <c r="F146" s="29" t="str">
        <f>VLOOKUP(A146,File!$A:$J,6,FALSE)</f>
        <v>Chennai</v>
      </c>
      <c r="G146" s="29" t="str">
        <f>VLOOKUP(A146,File!$A:$J,7,FALSE)</f>
        <v>EPS26OSP010</v>
      </c>
      <c r="H146" s="29" t="str">
        <f>VLOOKUP(A146,File!$A:$J,8,FALSE)</f>
        <v>Vishnupriya Dakshnamurthy</v>
      </c>
      <c r="I146" s="31">
        <f>VLOOKUP(A146,File!$A:$J,9,FALSE)</f>
        <v>46357</v>
      </c>
      <c r="J146" s="31" t="str">
        <f>VLOOKUP(A146,File!$A:$K,11,FALSE)</f>
        <v>Dec 2026</v>
      </c>
      <c r="K146" s="31" t="str">
        <f>VLOOKUP(A146,File!$A:$K,10,FALSE)</f>
        <v>In-Training</v>
      </c>
      <c r="L146" s="31" t="s">
        <v>4</v>
      </c>
      <c r="M146" t="str">
        <f>VLOOKUP(A146,Response!$A:$M,7,)</f>
        <v>PG (Paying Guest)</v>
      </c>
      <c r="N146" t="str">
        <f>VLOOKUP(A146,Response!$A:$M,8,)</f>
        <v>Aura Nest PG for Ladies, near TCS, Egattur</v>
      </c>
      <c r="O146" s="4">
        <f>VLOOKUP(A146,Response!$A:$M,10,)</f>
        <v>2</v>
      </c>
      <c r="P146" t="str">
        <f>VLOOKUP(A146,Response!$A:$M,12,)</f>
        <v>Yes</v>
      </c>
      <c r="Q146" t="str">
        <f>VLOOKUP(A146,Response!$A:$M,11,)</f>
        <v>Siruseri</v>
      </c>
      <c r="R146" t="s">
        <v>19</v>
      </c>
      <c r="S146" s="39" t="s">
        <v>37</v>
      </c>
    </row>
    <row r="147" spans="1:19">
      <c r="A147" s="3">
        <v>2529798</v>
      </c>
      <c r="B147" t="str">
        <f>VLOOKUP(A147,File!$A:$J,2,FALSE)</f>
        <v>Panakala Kavya</v>
      </c>
      <c r="C147" s="29">
        <f>VLOOKUP(A147,File!$A:$J,5,FALSE)</f>
        <v>46245</v>
      </c>
      <c r="D147" s="29" t="str">
        <f>VLOOKUP(A147,File!$A:$J,3,FALSE)</f>
        <v>Female</v>
      </c>
      <c r="E147" s="29" t="str">
        <f>VLOOKUP(A147,File!$A:$J,4,FALSE)</f>
        <v>FTE</v>
      </c>
      <c r="F147" s="29" t="str">
        <f>VLOOKUP(A147,File!$A:$J,6,FALSE)</f>
        <v>Chennai</v>
      </c>
      <c r="G147" s="29" t="str">
        <f>VLOOKUP(A147,File!$A:$J,7,FALSE)</f>
        <v>CIS26AZ001</v>
      </c>
      <c r="H147" s="29" t="str">
        <f>VLOOKUP(A147,File!$A:$J,8,FALSE)</f>
        <v>Ashiya Begam S</v>
      </c>
      <c r="I147" s="31">
        <f>VLOOKUP(A147,File!$A:$J,9,FALSE)</f>
        <v>46335</v>
      </c>
      <c r="J147" s="31" t="str">
        <f>VLOOKUP(A147,File!$A:$K,11,FALSE)</f>
        <v>Nov 2026</v>
      </c>
      <c r="K147" s="31" t="str">
        <f>VLOOKUP(A147,File!$A:$K,10,FALSE)</f>
        <v>In-Training</v>
      </c>
      <c r="L147" s="31" t="s">
        <v>4</v>
      </c>
      <c r="M147" t="str">
        <f>VLOOKUP(A147,Response!$A:$M,7,)</f>
        <v>PG (Paying Guest)</v>
      </c>
      <c r="N147" t="str">
        <f>VLOOKUP(A147,Response!$A:$M,8,)</f>
        <v>Aura Nest Pg for ladies, Sipcot</v>
      </c>
      <c r="O147" s="4">
        <f>VLOOKUP(A147,Response!$A:$M,10,)</f>
        <v>2</v>
      </c>
      <c r="P147" t="str">
        <f>VLOOKUP(A147,Response!$A:$M,12,)</f>
        <v>No</v>
      </c>
      <c r="Q147" t="str">
        <f>VLOOKUP(A147,Response!$A:$M,11,)</f>
        <v>Siruseri</v>
      </c>
      <c r="R147" t="s">
        <v>19</v>
      </c>
      <c r="S147" s="39" t="s">
        <v>37</v>
      </c>
    </row>
    <row r="148" spans="1:19">
      <c r="A148" s="3">
        <v>2531959</v>
      </c>
      <c r="B148" t="str">
        <f>VLOOKUP(A148,File!$A:$J,2,FALSE)</f>
        <v>Durga R</v>
      </c>
      <c r="C148" s="29">
        <f>VLOOKUP(A148,File!$A:$J,5,FALSE)</f>
        <v>46254</v>
      </c>
      <c r="D148" s="29" t="str">
        <f>VLOOKUP(A148,File!$A:$J,3,FALSE)</f>
        <v>Female</v>
      </c>
      <c r="E148" s="29" t="str">
        <f>VLOOKUP(A148,File!$A:$J,4,FALSE)</f>
        <v>FTE</v>
      </c>
      <c r="F148" s="29" t="str">
        <f>VLOOKUP(A148,File!$A:$J,6,FALSE)</f>
        <v>Chennai</v>
      </c>
      <c r="G148" s="29" t="str">
        <f>VLOOKUP(A148,File!$A:$J,7,FALSE)</f>
        <v>EPS26OSP011</v>
      </c>
      <c r="H148" s="29" t="str">
        <f>VLOOKUP(A148,File!$A:$J,8,FALSE)</f>
        <v>Gayathri Ramachandran</v>
      </c>
      <c r="I148" s="31" t="str">
        <f>VLOOKUP(A148,File!$A:$J,9,FALSE)</f>
        <v/>
      </c>
      <c r="J148" s="44" t="s">
        <v>33</v>
      </c>
      <c r="K148" s="31" t="str">
        <f>VLOOKUP(A148,File!$A:$K,10,FALSE)</f>
        <v>Training - ON Hold</v>
      </c>
      <c r="L148" s="31" t="s">
        <v>4</v>
      </c>
      <c r="M148" t="str">
        <f>VLOOKUP(A148,Response!$A:$M,7,)</f>
        <v>PG (Paying Guest)</v>
      </c>
      <c r="N148" t="str">
        <f>VLOOKUP(A148,Response!$A:$M,8,)</f>
        <v>Aura Nest Pg for Ladies, Siruseri.</v>
      </c>
      <c r="O148" s="4">
        <f>VLOOKUP(A148,Response!$A:$M,10,)</f>
        <v>2</v>
      </c>
      <c r="P148" t="str">
        <f>VLOOKUP(A148,Response!$A:$M,12,)</f>
        <v>No</v>
      </c>
      <c r="Q148" t="str">
        <f>VLOOKUP(A148,Response!$A:$M,11,)</f>
        <v>Siruseri</v>
      </c>
      <c r="R148" t="s">
        <v>19</v>
      </c>
      <c r="S148" s="39" t="s">
        <v>37</v>
      </c>
    </row>
    <row r="149" spans="1:19">
      <c r="A149" s="3">
        <v>2531381</v>
      </c>
      <c r="B149" t="str">
        <f>VLOOKUP(A149,File!$A:$J,2,FALSE)</f>
        <v>Dudekula Rizwana</v>
      </c>
      <c r="C149" s="29">
        <f>VLOOKUP(A149,File!$A:$J,5,FALSE)</f>
        <v>46252</v>
      </c>
      <c r="D149" s="29" t="str">
        <f>VLOOKUP(A149,File!$A:$J,3,FALSE)</f>
        <v>Female</v>
      </c>
      <c r="E149" s="29" t="str">
        <f>VLOOKUP(A149,File!$A:$J,4,FALSE)</f>
        <v>FTE</v>
      </c>
      <c r="F149" s="29" t="str">
        <f>VLOOKUP(A149,File!$A:$J,6,FALSE)</f>
        <v>Chennai</v>
      </c>
      <c r="G149" s="29" t="str">
        <f>VLOOKUP(A149,File!$A:$J,7,FALSE)</f>
        <v>CIS26AT007</v>
      </c>
      <c r="H149" s="29" t="str">
        <f>VLOOKUP(A149,File!$A:$J,8,FALSE)</f>
        <v>Uma Venkatachalam</v>
      </c>
      <c r="I149" s="31">
        <f>VLOOKUP(A149,File!$A:$J,9,FALSE)</f>
        <v>46365</v>
      </c>
      <c r="J149" s="31" t="str">
        <f>VLOOKUP(A149,File!$A:$K,11,FALSE)</f>
        <v>Dec 2026</v>
      </c>
      <c r="K149" s="31" t="str">
        <f>VLOOKUP(A149,File!$A:$K,10,FALSE)</f>
        <v>In-Training</v>
      </c>
      <c r="L149" s="31" t="s">
        <v>4</v>
      </c>
      <c r="M149" t="str">
        <f>VLOOKUP(A149,Response!$A:$M,7,)</f>
        <v>PG (Paying Guest)</v>
      </c>
      <c r="N149" t="str">
        <f>VLOOKUP(A149,Response!$A:$M,8,)</f>
        <v>Aura Nest PG for ladies,city park 86</v>
      </c>
      <c r="O149" s="4">
        <f>VLOOKUP(A149,Response!$A:$M,10,)</f>
        <v>2</v>
      </c>
      <c r="P149" t="str">
        <f>VLOOKUP(A149,Response!$A:$M,12,)</f>
        <v>No</v>
      </c>
      <c r="Q149" t="str">
        <f>VLOOKUP(A149,Response!$A:$M,11,)</f>
        <v>Siruseri</v>
      </c>
      <c r="R149" t="s">
        <v>19</v>
      </c>
      <c r="S149" s="39" t="s">
        <v>37</v>
      </c>
    </row>
    <row r="150" spans="1:19">
      <c r="A150" s="3">
        <v>2532926</v>
      </c>
      <c r="B150" t="str">
        <f>VLOOKUP(A150,File!$A:$J,2,FALSE)</f>
        <v>Yamini Chowdary Vadlamudi</v>
      </c>
      <c r="C150" s="29">
        <f>VLOOKUP(A150,File!$A:$J,5,FALSE)</f>
        <v>46259</v>
      </c>
      <c r="D150" s="29" t="str">
        <f>VLOOKUP(A150,File!$A:$J,3,FALSE)</f>
        <v>Female</v>
      </c>
      <c r="E150" s="29" t="str">
        <f>VLOOKUP(A150,File!$A:$J,4,FALSE)</f>
        <v>FTE</v>
      </c>
      <c r="F150" s="29" t="str">
        <f>VLOOKUP(A150,File!$A:$J,6,FALSE)</f>
        <v>Chennai</v>
      </c>
      <c r="G150" s="29" t="str">
        <f>VLOOKUP(A150,File!$A:$J,7,FALSE)</f>
        <v>CIS26AT008</v>
      </c>
      <c r="H150" s="29" t="str">
        <f>VLOOKUP(A150,File!$A:$J,8,FALSE)</f>
        <v>Uma Venkatachalam</v>
      </c>
      <c r="I150" s="31">
        <f>VLOOKUP(A150,File!$A:$J,9,FALSE)</f>
        <v>46365</v>
      </c>
      <c r="J150" s="31" t="str">
        <f>VLOOKUP(A150,File!$A:$K,11,FALSE)</f>
        <v>Dec 2026</v>
      </c>
      <c r="K150" s="31" t="str">
        <f>VLOOKUP(A150,File!$A:$K,10,FALSE)</f>
        <v>In-Training</v>
      </c>
      <c r="L150" s="31" t="s">
        <v>4</v>
      </c>
      <c r="M150" t="str">
        <f>VLOOKUP(A150,Response!$A:$M,7,)</f>
        <v>PG (Paying Guest)</v>
      </c>
      <c r="N150" t="str">
        <f>VLOOKUP(A150,Response!$A:$M,8,)</f>
        <v>aura nest pg -sipcot it park,siruseri</v>
      </c>
      <c r="O150" s="4">
        <f>VLOOKUP(A150,Response!$A:$M,10,)</f>
        <v>5</v>
      </c>
      <c r="P150" t="str">
        <f>VLOOKUP(A150,Response!$A:$M,12,)</f>
        <v>No</v>
      </c>
      <c r="Q150" t="str">
        <f>VLOOKUP(A150,Response!$A:$M,11,)</f>
        <v>Siruseri</v>
      </c>
      <c r="R150" t="s">
        <v>19</v>
      </c>
      <c r="S150" s="39" t="s">
        <v>37</v>
      </c>
    </row>
    <row r="151" spans="1:19">
      <c r="A151" s="3">
        <v>2531312</v>
      </c>
      <c r="B151" t="str">
        <f>VLOOKUP(A151,File!$A:$J,2,FALSE)</f>
        <v>Rani Chandrashekhar Mehetre</v>
      </c>
      <c r="C151" s="29">
        <f>VLOOKUP(A151,File!$A:$J,5,FALSE)</f>
        <v>46252</v>
      </c>
      <c r="D151" s="29" t="str">
        <f>VLOOKUP(A151,File!$A:$J,3,FALSE)</f>
        <v>Female</v>
      </c>
      <c r="E151" s="29" t="str">
        <f>VLOOKUP(A151,File!$A:$J,4,FALSE)</f>
        <v>FTE</v>
      </c>
      <c r="F151" s="29" t="str">
        <f>VLOOKUP(A151,File!$A:$J,6,FALSE)</f>
        <v>Chennai</v>
      </c>
      <c r="G151" s="29" t="str">
        <f>VLOOKUP(A151,File!$A:$J,7,FALSE)</f>
        <v>CIS26DWP030</v>
      </c>
      <c r="H151" s="29" t="str">
        <f>VLOOKUP(A151,File!$A:$J,8,FALSE)</f>
        <v>Prokriti Biswas</v>
      </c>
      <c r="I151" s="31">
        <f>VLOOKUP(A151,File!$A:$J,9,FALSE)</f>
        <v>46324</v>
      </c>
      <c r="J151" s="31" t="str">
        <f>VLOOKUP(A151,File!$A:$K,11,FALSE)</f>
        <v>Oct 2026</v>
      </c>
      <c r="K151" s="31" t="str">
        <f>VLOOKUP(A151,File!$A:$K,10,FALSE)</f>
        <v>In-Training</v>
      </c>
      <c r="L151" s="31" t="s">
        <v>4</v>
      </c>
      <c r="M151" t="str">
        <f>VLOOKUP(A151,Response!$A:$M,7,)</f>
        <v>PG (Paying Guest)</v>
      </c>
      <c r="N151" t="str">
        <f>VLOOKUP(A151,Response!$A:$M,8,)</f>
        <v>Aura nest pg siruseri it park</v>
      </c>
      <c r="O151" s="4">
        <f>VLOOKUP(A151,Response!$A:$M,10,)</f>
        <v>5</v>
      </c>
      <c r="P151" t="str">
        <f>VLOOKUP(A151,Response!$A:$M,12,)</f>
        <v>Yes</v>
      </c>
      <c r="Q151" t="str">
        <f>VLOOKUP(A151,Response!$A:$M,11,)</f>
        <v>Egattur</v>
      </c>
      <c r="R151" t="s">
        <v>19</v>
      </c>
      <c r="S151" s="39" t="s">
        <v>37</v>
      </c>
    </row>
    <row r="152" spans="1:19">
      <c r="A152" s="3">
        <v>2529786</v>
      </c>
      <c r="B152" t="str">
        <f>VLOOKUP(A152,File!$A:$J,2,FALSE)</f>
        <v>Sirigineedi Geetha Sushma</v>
      </c>
      <c r="C152" s="29">
        <f>VLOOKUP(A152,File!$A:$J,5,FALSE)</f>
        <v>46245</v>
      </c>
      <c r="D152" s="29" t="str">
        <f>VLOOKUP(A152,File!$A:$J,3,FALSE)</f>
        <v>Female</v>
      </c>
      <c r="E152" s="29" t="str">
        <f>VLOOKUP(A152,File!$A:$J,4,FALSE)</f>
        <v>FTE</v>
      </c>
      <c r="F152" s="29" t="str">
        <f>VLOOKUP(A152,File!$A:$J,6,FALSE)</f>
        <v>Chennai</v>
      </c>
      <c r="G152" s="29" t="str">
        <f>VLOOKUP(A152,File!$A:$J,7,FALSE)</f>
        <v>CIS26MCPT026</v>
      </c>
      <c r="H152" s="29" t="str">
        <f>VLOOKUP(A152,File!$A:$J,8,FALSE)</f>
        <v>Mohamed Harish</v>
      </c>
      <c r="I152" s="31">
        <f>VLOOKUP(A152,File!$A:$J,9,FALSE)</f>
        <v>46364</v>
      </c>
      <c r="J152" s="31" t="str">
        <f>VLOOKUP(A152,File!$A:$K,11,FALSE)</f>
        <v>Dec 2026</v>
      </c>
      <c r="K152" s="31" t="str">
        <f>VLOOKUP(A152,File!$A:$K,10,FALSE)</f>
        <v>In-Training</v>
      </c>
      <c r="L152" s="31" t="s">
        <v>4</v>
      </c>
      <c r="M152" t="str">
        <f>VLOOKUP(A152,Response!$A:$M,7,)</f>
        <v>PG (Paying Guest)</v>
      </c>
      <c r="N152" t="str">
        <f>VLOOKUP(A152,Response!$A:$M,8,)</f>
        <v>Aura nest PG Women, Egattur</v>
      </c>
      <c r="O152" s="4">
        <f>VLOOKUP(A152,Response!$A:$M,10,)</f>
        <v>4</v>
      </c>
      <c r="P152" t="str">
        <f>VLOOKUP(A152,Response!$A:$M,12,)</f>
        <v>Yes</v>
      </c>
      <c r="Q152" t="str">
        <f>VLOOKUP(A152,Response!$A:$M,11,)</f>
        <v>Egattur</v>
      </c>
      <c r="R152" t="s">
        <v>19</v>
      </c>
      <c r="S152" s="39" t="s">
        <v>37</v>
      </c>
    </row>
    <row r="153" spans="1:19">
      <c r="A153" s="3">
        <v>2529509</v>
      </c>
      <c r="B153" t="str">
        <f>VLOOKUP(A153,File!$A:$J,2,FALSE)</f>
        <v>Shruti Ravindra Shimpi</v>
      </c>
      <c r="C153" s="29">
        <f>VLOOKUP(A153,File!$A:$J,5,FALSE)</f>
        <v>46245</v>
      </c>
      <c r="D153" s="29" t="str">
        <f>VLOOKUP(A153,File!$A:$J,3,FALSE)</f>
        <v>Female</v>
      </c>
      <c r="E153" s="29" t="str">
        <f>VLOOKUP(A153,File!$A:$J,4,FALSE)</f>
        <v>FTE</v>
      </c>
      <c r="F153" s="29" t="str">
        <f>VLOOKUP(A153,File!$A:$J,6,FALSE)</f>
        <v>Chennai</v>
      </c>
      <c r="G153" s="29" t="str">
        <f>VLOOKUP(A153,File!$A:$J,7,FALSE)</f>
        <v>CIS26MCPT025</v>
      </c>
      <c r="H153" s="29" t="str">
        <f>VLOOKUP(A153,File!$A:$J,8,FALSE)</f>
        <v>Vignesh S</v>
      </c>
      <c r="I153" s="31">
        <f>VLOOKUP(A153,File!$A:$J,9,FALSE)</f>
        <v>46359</v>
      </c>
      <c r="J153" s="31" t="str">
        <f>VLOOKUP(A153,File!$A:$K,11,FALSE)</f>
        <v>Dec 2026</v>
      </c>
      <c r="K153" s="31" t="str">
        <f>VLOOKUP(A153,File!$A:$K,10,FALSE)</f>
        <v>In-Training</v>
      </c>
      <c r="L153" s="31" t="s">
        <v>4</v>
      </c>
      <c r="M153" t="str">
        <f>VLOOKUP(A153,Response!$A:$M,7,)</f>
        <v>PG (Paying Guest)</v>
      </c>
      <c r="N153" t="str">
        <f>VLOOKUP(A153,Response!$A:$M,8,)</f>
        <v>Aura Nest PG, Egattur</v>
      </c>
      <c r="O153" s="4">
        <f>VLOOKUP(A153,Response!$A:$M,10,)</f>
        <v>5</v>
      </c>
      <c r="P153" t="str">
        <f>VLOOKUP(A153,Response!$A:$M,12,)</f>
        <v>No</v>
      </c>
      <c r="Q153" t="str">
        <f>VLOOKUP(A153,Response!$A:$M,11,)</f>
        <v>Egattur</v>
      </c>
      <c r="R153" t="s">
        <v>19</v>
      </c>
      <c r="S153" s="39" t="s">
        <v>37</v>
      </c>
    </row>
    <row r="154" spans="1:19">
      <c r="A154" s="3">
        <v>2532925</v>
      </c>
      <c r="B154" t="str">
        <f>VLOOKUP(A154,File!$A:$J,2,FALSE)</f>
        <v>Himasree Ramini</v>
      </c>
      <c r="C154" s="29">
        <f>VLOOKUP(A154,File!$A:$J,5,FALSE)</f>
        <v>46259</v>
      </c>
      <c r="D154" s="29" t="str">
        <f>VLOOKUP(A154,File!$A:$J,3,FALSE)</f>
        <v>Female</v>
      </c>
      <c r="E154" s="29" t="str">
        <f>VLOOKUP(A154,File!$A:$J,4,FALSE)</f>
        <v>FTE</v>
      </c>
      <c r="F154" s="29" t="str">
        <f>VLOOKUP(A154,File!$A:$J,6,FALSE)</f>
        <v>Chennai</v>
      </c>
      <c r="G154" s="29" t="str">
        <f>VLOOKUP(A154,File!$A:$J,7,FALSE)</f>
        <v>CIS26AT008</v>
      </c>
      <c r="H154" s="29" t="str">
        <f>VLOOKUP(A154,File!$A:$J,8,FALSE)</f>
        <v>Uma Venkatachalam</v>
      </c>
      <c r="I154" s="31">
        <f>VLOOKUP(A154,File!$A:$J,9,FALSE)</f>
        <v>46365</v>
      </c>
      <c r="J154" s="31" t="str">
        <f>VLOOKUP(A154,File!$A:$K,11,FALSE)</f>
        <v>Dec 2026</v>
      </c>
      <c r="K154" s="31" t="str">
        <f>VLOOKUP(A154,File!$A:$K,10,FALSE)</f>
        <v>In-Training</v>
      </c>
      <c r="L154" s="31" t="s">
        <v>4</v>
      </c>
      <c r="M154" t="str">
        <f>VLOOKUP(A154,Response!$A:$M,7,)</f>
        <v>PG (Paying Guest)</v>
      </c>
      <c r="N154" t="str">
        <f>VLOOKUP(A154,Response!$A:$M,8,)</f>
        <v>AuraNest Pg for Ladies</v>
      </c>
      <c r="O154" s="4">
        <f>VLOOKUP(A154,Response!$A:$M,10,)</f>
        <v>5</v>
      </c>
      <c r="P154" t="str">
        <f>VLOOKUP(A154,Response!$A:$M,12,)</f>
        <v>No</v>
      </c>
      <c r="Q154" t="str">
        <f>VLOOKUP(A154,Response!$A:$M,11,)</f>
        <v>Siruseri</v>
      </c>
      <c r="R154" t="s">
        <v>19</v>
      </c>
      <c r="S154" s="39" t="s">
        <v>37</v>
      </c>
    </row>
    <row r="155" spans="1:19">
      <c r="A155" s="3">
        <v>2524496</v>
      </c>
      <c r="B155" t="str">
        <f>VLOOKUP(A155,File!$A:$J,2,FALSE)</f>
        <v>Benny Gibson</v>
      </c>
      <c r="C155" s="29">
        <f>VLOOKUP(A155,File!$A:$J,5,FALSE)</f>
        <v>46224</v>
      </c>
      <c r="D155" s="29" t="str">
        <f>VLOOKUP(A155,File!$A:$J,3,FALSE)</f>
        <v>Male</v>
      </c>
      <c r="E155" s="29" t="str">
        <f>VLOOKUP(A155,File!$A:$J,4,FALSE)</f>
        <v>FTE</v>
      </c>
      <c r="F155" s="29" t="str">
        <f>VLOOKUP(A155,File!$A:$J,6,FALSE)</f>
        <v>Chennai</v>
      </c>
      <c r="G155" s="29" t="str">
        <f>VLOOKUP(A155,File!$A:$J,7,FALSE)</f>
        <v>ADM26DFSA007</v>
      </c>
      <c r="H155" s="29" t="str">
        <f>VLOOKUP(A155,File!$A:$J,8,FALSE)</f>
        <v>Sweta Thoppil</v>
      </c>
      <c r="I155" s="31">
        <f>VLOOKUP(A155,File!$A:$J,9,FALSE)</f>
        <v>46336</v>
      </c>
      <c r="J155" s="31" t="str">
        <f>VLOOKUP(A155,File!$A:$K,11,FALSE)</f>
        <v>Nov 2026</v>
      </c>
      <c r="K155" s="31" t="str">
        <f>VLOOKUP(A155,File!$A:$K,10,FALSE)</f>
        <v>In-Training</v>
      </c>
      <c r="L155" s="31" t="s">
        <v>5</v>
      </c>
      <c r="M155" t="str">
        <f>VLOOKUP(A155,Response!$A:$M,7,)</f>
        <v>Relatives Residence</v>
      </c>
      <c r="N155" t="str">
        <f>VLOOKUP(A155,Response!$A:$M,8,)</f>
        <v>Ayyan Aradhya</v>
      </c>
      <c r="O155" s="4">
        <f>VLOOKUP(A155,Response!$A:$M,10,)</f>
        <v>2</v>
      </c>
      <c r="P155" t="str">
        <f>VLOOKUP(A155,Response!$A:$M,12,)</f>
        <v>Yes</v>
      </c>
      <c r="Q155" t="str">
        <f>VLOOKUP(A155,Response!$A:$M,11,)</f>
        <v>Medavakkam</v>
      </c>
      <c r="S155" t="s">
        <v>38</v>
      </c>
    </row>
    <row r="156" spans="1:19">
      <c r="A156" s="3">
        <v>2529490</v>
      </c>
      <c r="B156" t="str">
        <f>VLOOKUP(A156,File!$A:$J,2,FALSE)</f>
        <v>Ragul A</v>
      </c>
      <c r="C156" s="29">
        <f>VLOOKUP(A156,File!$A:$J,5,FALSE)</f>
        <v>46245</v>
      </c>
      <c r="D156" s="29" t="str">
        <f>VLOOKUP(A156,File!$A:$J,3,FALSE)</f>
        <v>Male</v>
      </c>
      <c r="E156" s="29" t="str">
        <f>VLOOKUP(A156,File!$A:$J,4,FALSE)</f>
        <v>FTE</v>
      </c>
      <c r="F156" s="29" t="str">
        <f>VLOOKUP(A156,File!$A:$J,6,FALSE)</f>
        <v>Chennai</v>
      </c>
      <c r="G156" s="29" t="str">
        <f>VLOOKUP(A156,File!$A:$J,7,FALSE)</f>
        <v>CIS26MCPT021</v>
      </c>
      <c r="H156" s="29" t="str">
        <f>VLOOKUP(A156,File!$A:$J,8,FALSE)</f>
        <v>Uma Venkatachalam</v>
      </c>
      <c r="I156" s="31">
        <f>VLOOKUP(A156,File!$A:$J,9,FALSE)</f>
        <v>46364</v>
      </c>
      <c r="J156" s="31" t="str">
        <f>VLOOKUP(A156,File!$A:$K,11,FALSE)</f>
        <v>Dec 2026</v>
      </c>
      <c r="K156" s="31" t="str">
        <f>VLOOKUP(A156,File!$A:$K,10,FALSE)</f>
        <v>In-Training</v>
      </c>
      <c r="L156" s="31" t="s">
        <v>4</v>
      </c>
      <c r="M156" t="str">
        <f>VLOOKUP(A156,Response!$A:$M,7,)</f>
        <v>PG (Paying Guest)</v>
      </c>
      <c r="N156" t="str">
        <f>VLOOKUP(A156,Response!$A:$M,8,)</f>
        <v>Ayyapa Jothi Ganesh Ram house</v>
      </c>
      <c r="O156" s="4" t="str">
        <f>VLOOKUP(A156,Response!$A:$M,10,)</f>
        <v>GF</v>
      </c>
      <c r="P156" t="str">
        <f>VLOOKUP(A156,Response!$A:$M,12,)</f>
        <v>Yes</v>
      </c>
      <c r="Q156" t="str">
        <f>VLOOKUP(A156,Response!$A:$M,11,)</f>
        <v>Sholinganallur</v>
      </c>
      <c r="R156" t="s">
        <v>17</v>
      </c>
      <c r="S156" s="39" t="s">
        <v>37</v>
      </c>
    </row>
    <row r="157" spans="1:19">
      <c r="A157" s="3">
        <v>2531810</v>
      </c>
      <c r="B157" t="str">
        <f>VLOOKUP(A157,File!$A:$J,2,FALSE)</f>
        <v>Mangipudi Venkata Sai Abhiram</v>
      </c>
      <c r="C157" s="29">
        <f>VLOOKUP(A157,File!$A:$J,5,FALSE)</f>
        <v>46254</v>
      </c>
      <c r="D157" s="29" t="str">
        <f>VLOOKUP(A157,File!$A:$J,3,FALSE)</f>
        <v>Male</v>
      </c>
      <c r="E157" s="29" t="str">
        <f>VLOOKUP(A157,File!$A:$J,4,FALSE)</f>
        <v>Intern</v>
      </c>
      <c r="F157" s="29" t="str">
        <f>VLOOKUP(A157,File!$A:$J,6,FALSE)</f>
        <v>Chennai</v>
      </c>
      <c r="G157" s="29" t="str">
        <f>VLOOKUP(A157,File!$A:$J,7,FALSE)</f>
        <v>INTFE26FE001</v>
      </c>
      <c r="H157" s="29" t="str">
        <f>VLOOKUP(A157,File!$A:$J,8,FALSE)</f>
        <v>Grace Esther S</v>
      </c>
      <c r="I157" s="31">
        <f>VLOOKUP(A157,File!$A:$J,9,FALSE)</f>
        <v>46310</v>
      </c>
      <c r="J157" s="31" t="str">
        <f>VLOOKUP(A157,File!$A:$K,11,FALSE)</f>
        <v>Oct 2026</v>
      </c>
      <c r="K157" s="31" t="str">
        <f>VLOOKUP(A157,File!$A:$K,10,FALSE)</f>
        <v>In-Training</v>
      </c>
      <c r="L157" s="31" t="s">
        <v>4</v>
      </c>
      <c r="M157" t="str">
        <f>VLOOKUP(A157,Response!$A:$M,7,)</f>
        <v>PG (Paying Guest)</v>
      </c>
      <c r="N157" t="str">
        <f>VLOOKUP(A157,Response!$A:$M,8,)</f>
        <v>B-311, Siddus Premium PG, Siruseri</v>
      </c>
      <c r="O157" s="4">
        <f>VLOOKUP(A157,Response!$A:$M,10,)</f>
        <v>3</v>
      </c>
      <c r="P157" t="str">
        <f>VLOOKUP(A157,Response!$A:$M,12,)</f>
        <v>No</v>
      </c>
      <c r="Q157" t="str">
        <f>VLOOKUP(A157,Response!$A:$M,11,)</f>
        <v>Siruseri</v>
      </c>
      <c r="R157" t="s">
        <v>19</v>
      </c>
      <c r="S157" s="39" t="s">
        <v>37</v>
      </c>
    </row>
    <row r="158" spans="1:19">
      <c r="A158" s="3">
        <v>2529769</v>
      </c>
      <c r="B158" t="str">
        <f>VLOOKUP(A158,File!$A:$J,2,FALSE)</f>
        <v>Arpan Nayak</v>
      </c>
      <c r="C158" s="29">
        <f>VLOOKUP(A158,File!$A:$J,5,FALSE)</f>
        <v>46245</v>
      </c>
      <c r="D158" s="29" t="str">
        <f>VLOOKUP(A158,File!$A:$J,3,FALSE)</f>
        <v>Male</v>
      </c>
      <c r="E158" s="29" t="str">
        <f>VLOOKUP(A158,File!$A:$J,4,FALSE)</f>
        <v>FTE</v>
      </c>
      <c r="F158" s="29" t="str">
        <f>VLOOKUP(A158,File!$A:$J,6,FALSE)</f>
        <v>Chennai</v>
      </c>
      <c r="G158" s="29" t="str">
        <f>VLOOKUP(A158,File!$A:$J,7,FALSE)</f>
        <v>CIS26MCPT026</v>
      </c>
      <c r="H158" s="29" t="str">
        <f>VLOOKUP(A158,File!$A:$J,8,FALSE)</f>
        <v>Mohamed Harish</v>
      </c>
      <c r="I158" s="31">
        <f>VLOOKUP(A158,File!$A:$J,9,FALSE)</f>
        <v>46364</v>
      </c>
      <c r="J158" s="31" t="str">
        <f>VLOOKUP(A158,File!$A:$K,11,FALSE)</f>
        <v>Dec 2026</v>
      </c>
      <c r="K158" s="31" t="str">
        <f>VLOOKUP(A158,File!$A:$K,10,FALSE)</f>
        <v>In-Training</v>
      </c>
      <c r="L158" s="31" t="s">
        <v>4</v>
      </c>
      <c r="M158" t="str">
        <f>VLOOKUP(A158,Response!$A:$M,7,)</f>
        <v>PG (Paying Guest)</v>
      </c>
      <c r="N158" t="str">
        <f>VLOOKUP(A158,Response!$A:$M,8,)</f>
        <v>Balaji Infinity Pg, 4/108, Egattura</v>
      </c>
      <c r="O158" s="4">
        <f>VLOOKUP(A158,Response!$A:$M,10,)</f>
        <v>2</v>
      </c>
      <c r="P158" t="str">
        <f>VLOOKUP(A158,Response!$A:$M,12,)</f>
        <v>No</v>
      </c>
      <c r="Q158" t="str">
        <f>VLOOKUP(A158,Response!$A:$M,11,)</f>
        <v>Egattur</v>
      </c>
      <c r="R158" t="s">
        <v>19</v>
      </c>
      <c r="S158" s="39" t="s">
        <v>37</v>
      </c>
    </row>
    <row r="159" spans="1:19">
      <c r="A159" s="3">
        <v>2521797</v>
      </c>
      <c r="B159" t="str">
        <f>VLOOKUP(A159,File!$A:$J,2,FALSE)</f>
        <v>Sachin Mudnalkar</v>
      </c>
      <c r="C159" s="29">
        <f>VLOOKUP(A159,File!$A:$J,5,FALSE)</f>
        <v>46212</v>
      </c>
      <c r="D159" s="29" t="str">
        <f>VLOOKUP(A159,File!$A:$J,3,FALSE)</f>
        <v>Male</v>
      </c>
      <c r="E159" s="29" t="str">
        <f>VLOOKUP(A159,File!$A:$J,4,FALSE)</f>
        <v>FTE</v>
      </c>
      <c r="F159" s="29" t="str">
        <f>VLOOKUP(A159,File!$A:$J,6,FALSE)</f>
        <v>Chennai</v>
      </c>
      <c r="G159" s="29" t="str">
        <f>VLOOKUP(A159,File!$A:$J,7,FALSE)</f>
        <v>QEA26QEPT023</v>
      </c>
      <c r="H159" s="29" t="str">
        <f>VLOOKUP(A159,File!$A:$J,8,FALSE)</f>
        <v>Sweta Thoppil</v>
      </c>
      <c r="I159" s="31">
        <f>VLOOKUP(A159,File!$A:$J,9,FALSE)</f>
        <v>46314</v>
      </c>
      <c r="J159" s="31" t="str">
        <f>VLOOKUP(A159,File!$A:$K,11,FALSE)</f>
        <v>Oct 2026</v>
      </c>
      <c r="K159" s="31" t="str">
        <f>VLOOKUP(A159,File!$A:$K,10,FALSE)</f>
        <v>In-Training</v>
      </c>
      <c r="L159" s="31" t="s">
        <v>4</v>
      </c>
      <c r="M159" t="str">
        <f>VLOOKUP(A159,Response!$A:$M,7,)</f>
        <v>PG (Paying Guest)</v>
      </c>
      <c r="N159" t="str">
        <f>VLOOKUP(A159,Response!$A:$M,8,)</f>
        <v>Balaji PG - Branch 1, Egattur</v>
      </c>
      <c r="O159" s="4">
        <f>VLOOKUP(A159,Response!$A:$M,10,)</f>
        <v>1</v>
      </c>
      <c r="P159" t="str">
        <f>VLOOKUP(A159,Response!$A:$M,12,)</f>
        <v>No</v>
      </c>
      <c r="Q159" t="str">
        <f>VLOOKUP(A159,Response!$A:$M,11,)</f>
        <v>Egattur</v>
      </c>
      <c r="R159" t="s">
        <v>19</v>
      </c>
      <c r="S159" s="39" t="s">
        <v>37</v>
      </c>
    </row>
    <row r="160" spans="1:19">
      <c r="A160" s="3">
        <v>2529634</v>
      </c>
      <c r="B160" t="str">
        <f>VLOOKUP(A160,File!$A:$J,2,FALSE)</f>
        <v>Nagarjun G P</v>
      </c>
      <c r="C160" s="29">
        <f>VLOOKUP(A160,File!$A:$J,5,FALSE)</f>
        <v>46245</v>
      </c>
      <c r="D160" s="29" t="str">
        <f>VLOOKUP(A160,File!$A:$J,3,FALSE)</f>
        <v>Male</v>
      </c>
      <c r="E160" s="29" t="str">
        <f>VLOOKUP(A160,File!$A:$J,4,FALSE)</f>
        <v>FTE</v>
      </c>
      <c r="F160" s="29" t="str">
        <f>VLOOKUP(A160,File!$A:$J,6,FALSE)</f>
        <v>Chennai</v>
      </c>
      <c r="G160" s="29" t="str">
        <f>VLOOKUP(A160,File!$A:$J,7,FALSE)</f>
        <v>CIS26MCPT023</v>
      </c>
      <c r="H160" s="29" t="str">
        <f>VLOOKUP(A160,File!$A:$J,8,FALSE)</f>
        <v>Kishorekumar P</v>
      </c>
      <c r="I160" s="31">
        <f>VLOOKUP(A160,File!$A:$J,9,FALSE)</f>
        <v>46359</v>
      </c>
      <c r="J160" s="31" t="str">
        <f>VLOOKUP(A160,File!$A:$K,11,FALSE)</f>
        <v>Dec 2026</v>
      </c>
      <c r="K160" s="31" t="str">
        <f>VLOOKUP(A160,File!$A:$K,10,FALSE)</f>
        <v>In-Training</v>
      </c>
      <c r="L160" s="31" t="s">
        <v>4</v>
      </c>
      <c r="M160" t="str">
        <f>VLOOKUP(A160,Response!$A:$M,7,)</f>
        <v>PG (Paying Guest)</v>
      </c>
      <c r="N160" t="str">
        <f>VLOOKUP(A160,Response!$A:$M,8,)</f>
        <v xml:space="preserve">Balu Gents PG </v>
      </c>
      <c r="O160" s="4" t="str">
        <f>VLOOKUP(A160,Response!$A:$M,10,)</f>
        <v>GF</v>
      </c>
      <c r="P160" t="str">
        <f>VLOOKUP(A160,Response!$A:$M,12,)</f>
        <v>Yes</v>
      </c>
      <c r="Q160" t="str">
        <f>VLOOKUP(A160,Response!$A:$M,11,)</f>
        <v>Egattur</v>
      </c>
      <c r="R160" t="s">
        <v>19</v>
      </c>
      <c r="S160" s="39" t="s">
        <v>37</v>
      </c>
    </row>
    <row r="161" spans="1:19">
      <c r="A161" s="3">
        <v>2521833</v>
      </c>
      <c r="B161" t="str">
        <f>VLOOKUP(A161,File!$A:$J,2,FALSE)</f>
        <v>Nishant Shanmukha Annalore</v>
      </c>
      <c r="C161" s="29">
        <f>VLOOKUP(A161,File!$A:$J,5,FALSE)</f>
        <v>46212</v>
      </c>
      <c r="D161" s="29" t="str">
        <f>VLOOKUP(A161,File!$A:$J,3,FALSE)</f>
        <v>Male</v>
      </c>
      <c r="E161" s="29" t="str">
        <f>VLOOKUP(A161,File!$A:$J,4,FALSE)</f>
        <v>FTE</v>
      </c>
      <c r="F161" s="29" t="str">
        <f>VLOOKUP(A161,File!$A:$J,6,FALSE)</f>
        <v>Chennai</v>
      </c>
      <c r="G161" s="29" t="str">
        <f>VLOOKUP(A161,File!$A:$J,7,FALSE)</f>
        <v>AIA26DSAT004</v>
      </c>
      <c r="H161" s="29" t="str">
        <f>VLOOKUP(A161,File!$A:$J,8,FALSE)</f>
        <v>Pavithra Kandasamy</v>
      </c>
      <c r="I161" s="31">
        <f>VLOOKUP(A161,File!$A:$J,9,FALSE)</f>
        <v>46304</v>
      </c>
      <c r="J161" s="31" t="str">
        <f>VLOOKUP(A161,File!$A:$K,11,FALSE)</f>
        <v>Oct 2026</v>
      </c>
      <c r="K161" s="31" t="str">
        <f>VLOOKUP(A161,File!$A:$K,10,FALSE)</f>
        <v>In-Training</v>
      </c>
      <c r="L161" s="31" t="s">
        <v>4</v>
      </c>
      <c r="M161" t="str">
        <f>VLOOKUP(A161,Response!$A:$M,7,)</f>
        <v>PG (Paying Guest)</v>
      </c>
      <c r="N161" t="str">
        <f>VLOOKUP(A161,Response!$A:$M,8,)</f>
        <v>BALU GENTS PG, Janani shri ram priya avenue, egattur, siruseri, tamilnadu 600130</v>
      </c>
      <c r="O161" s="4">
        <f>VLOOKUP(A161,Response!$A:$M,10,)</f>
        <v>2</v>
      </c>
      <c r="P161" t="str">
        <f>VLOOKUP(A161,Response!$A:$M,12,)</f>
        <v>No</v>
      </c>
      <c r="Q161" t="str">
        <f>VLOOKUP(A161,Response!$A:$M,11,)</f>
        <v>Egattur</v>
      </c>
      <c r="R161" t="s">
        <v>19</v>
      </c>
      <c r="S161" s="39" t="s">
        <v>37</v>
      </c>
    </row>
    <row r="162" spans="1:19">
      <c r="A162" s="3">
        <v>2526592</v>
      </c>
      <c r="B162" t="str">
        <f>VLOOKUP(A162,File!$A:$J,2,FALSE)</f>
        <v>Krishnaraj G</v>
      </c>
      <c r="C162" s="29">
        <f>VLOOKUP(A162,File!$A:$J,5,FALSE)</f>
        <v>46233</v>
      </c>
      <c r="D162" s="29" t="str">
        <f>VLOOKUP(A162,File!$A:$J,3,FALSE)</f>
        <v>Male</v>
      </c>
      <c r="E162" s="29" t="str">
        <f>VLOOKUP(A162,File!$A:$J,4,FALSE)</f>
        <v>FTE</v>
      </c>
      <c r="F162" s="29" t="str">
        <f>VLOOKUP(A162,File!$A:$J,6,FALSE)</f>
        <v>Chennai</v>
      </c>
      <c r="G162" s="29" t="str">
        <f>VLOOKUP(A162,File!$A:$J,7,FALSE)</f>
        <v>QEA26JP001</v>
      </c>
      <c r="H162" s="29" t="str">
        <f>VLOOKUP(A162,File!$A:$J,8,FALSE)</f>
        <v>Ajiesya D P</v>
      </c>
      <c r="I162" s="31" t="str">
        <f>VLOOKUP(A162,File!$A:$J,9,FALSE)</f>
        <v/>
      </c>
      <c r="J162" s="44" t="s">
        <v>33</v>
      </c>
      <c r="K162" s="31" t="str">
        <f>VLOOKUP(A162,File!$A:$K,10,FALSE)</f>
        <v>Training - ON Hold</v>
      </c>
      <c r="L162" s="31" t="s">
        <v>4</v>
      </c>
      <c r="M162" t="str">
        <f>VLOOKUP(A162,Response!$A:$M,7,)</f>
        <v>PG (Paying Guest)</v>
      </c>
      <c r="N162" t="str">
        <f>VLOOKUP(A162,Response!$A:$M,8,)</f>
        <v>Balu Gents PG, Shri ram priya avenue, Natham Link road Navalur, Sipcot, Egattur, Siruseri, Tamil Nadu 600130</v>
      </c>
      <c r="O162" s="4" t="str">
        <f>VLOOKUP(A162,Response!$A:$M,10,)</f>
        <v>GF</v>
      </c>
      <c r="P162" t="str">
        <f>VLOOKUP(A162,Response!$A:$M,12,)</f>
        <v>No</v>
      </c>
      <c r="Q162" t="str">
        <f>VLOOKUP(A162,Response!$A:$M,11,)</f>
        <v>Egattur</v>
      </c>
      <c r="R162" t="s">
        <v>19</v>
      </c>
      <c r="S162" s="39" t="s">
        <v>37</v>
      </c>
    </row>
    <row r="163" spans="1:19">
      <c r="A163" s="3">
        <v>2531813</v>
      </c>
      <c r="B163" t="str">
        <f>VLOOKUP(A163,File!$A:$J,2,FALSE)</f>
        <v>Shreyas Bedi</v>
      </c>
      <c r="C163" s="29">
        <f>VLOOKUP(A163,File!$A:$J,5,FALSE)</f>
        <v>46254</v>
      </c>
      <c r="D163" s="29" t="str">
        <f>VLOOKUP(A163,File!$A:$J,3,FALSE)</f>
        <v>Male</v>
      </c>
      <c r="E163" s="29" t="str">
        <f>VLOOKUP(A163,File!$A:$J,4,FALSE)</f>
        <v>Intern</v>
      </c>
      <c r="F163" s="29" t="str">
        <f>VLOOKUP(A163,File!$A:$J,6,FALSE)</f>
        <v>Chennai</v>
      </c>
      <c r="G163" s="29" t="str">
        <f>VLOOKUP(A163,File!$A:$J,7,FALSE)</f>
        <v>INTFE26FE001</v>
      </c>
      <c r="H163" s="29" t="str">
        <f>VLOOKUP(A163,File!$A:$J,8,FALSE)</f>
        <v>Grace Esther S</v>
      </c>
      <c r="I163" s="31">
        <f>VLOOKUP(A163,File!$A:$J,9,FALSE)</f>
        <v>46310</v>
      </c>
      <c r="J163" s="31" t="str">
        <f>VLOOKUP(A163,File!$A:$K,11,FALSE)</f>
        <v>Oct 2026</v>
      </c>
      <c r="K163" s="31" t="str">
        <f>VLOOKUP(A163,File!$A:$K,10,FALSE)</f>
        <v>In-Training</v>
      </c>
      <c r="L163" s="31" t="s">
        <v>4</v>
      </c>
      <c r="M163" t="str">
        <f>VLOOKUP(A163,Response!$A:$M,7,)</f>
        <v>PG (Paying Guest)</v>
      </c>
      <c r="N163" t="str">
        <f>VLOOKUP(A163,Response!$A:$M,8,)</f>
        <v>BLR Gents Luxury PG, Tera Hub</v>
      </c>
      <c r="O163" s="4">
        <f>VLOOKUP(A163,Response!$A:$M,10,)</f>
        <v>3</v>
      </c>
      <c r="P163" t="str">
        <f>VLOOKUP(A163,Response!$A:$M,12,)</f>
        <v>No</v>
      </c>
      <c r="Q163" t="str">
        <f>VLOOKUP(A163,Response!$A:$M,11,)</f>
        <v>Siruseri</v>
      </c>
      <c r="R163" t="s">
        <v>19</v>
      </c>
      <c r="S163" s="39" t="s">
        <v>37</v>
      </c>
    </row>
    <row r="164" spans="1:19">
      <c r="A164" s="3">
        <v>2529584</v>
      </c>
      <c r="B164" t="str">
        <f>VLOOKUP(A164,File!$A:$J,2,FALSE)</f>
        <v>Pathan Sajid Khan</v>
      </c>
      <c r="C164" s="29">
        <f>VLOOKUP(A164,File!$A:$J,5,FALSE)</f>
        <v>46245</v>
      </c>
      <c r="D164" s="29" t="str">
        <f>VLOOKUP(A164,File!$A:$J,3,FALSE)</f>
        <v>Male</v>
      </c>
      <c r="E164" s="29" t="str">
        <f>VLOOKUP(A164,File!$A:$J,4,FALSE)</f>
        <v>FTE</v>
      </c>
      <c r="F164" s="29" t="str">
        <f>VLOOKUP(A164,File!$A:$J,6,FALSE)</f>
        <v>Chennai</v>
      </c>
      <c r="G164" s="29" t="str">
        <f>VLOOKUP(A164,File!$A:$J,7,FALSE)</f>
        <v>CIS26MCPT023</v>
      </c>
      <c r="H164" s="29" t="str">
        <f>VLOOKUP(A164,File!$A:$J,8,FALSE)</f>
        <v>Kishorekumar P</v>
      </c>
      <c r="I164" s="31">
        <f>VLOOKUP(A164,File!$A:$J,9,FALSE)</f>
        <v>46359</v>
      </c>
      <c r="J164" s="31" t="str">
        <f>VLOOKUP(A164,File!$A:$K,11,FALSE)</f>
        <v>Dec 2026</v>
      </c>
      <c r="K164" s="31" t="str">
        <f>VLOOKUP(A164,File!$A:$K,10,FALSE)</f>
        <v>In-Training</v>
      </c>
      <c r="L164" s="31" t="s">
        <v>4</v>
      </c>
      <c r="M164" t="str">
        <f>VLOOKUP(A164,Response!$A:$M,7,)</f>
        <v>PG (Paying Guest)</v>
      </c>
      <c r="N164" t="str">
        <f>VLOOKUP(A164,Response!$A:$M,8,)</f>
        <v>BLR Gents PG Siruseri</v>
      </c>
      <c r="O164" s="4">
        <f>VLOOKUP(A164,Response!$A:$M,10,)</f>
        <v>2</v>
      </c>
      <c r="P164" t="str">
        <f>VLOOKUP(A164,Response!$A:$M,12,)</f>
        <v>No</v>
      </c>
      <c r="Q164" t="str">
        <f>VLOOKUP(A164,Response!$A:$M,11,)</f>
        <v>Siruseri</v>
      </c>
      <c r="R164" t="s">
        <v>19</v>
      </c>
      <c r="S164" s="39" t="s">
        <v>37</v>
      </c>
    </row>
    <row r="165" spans="1:19">
      <c r="A165" s="3">
        <v>2532996</v>
      </c>
      <c r="B165" t="str">
        <f>VLOOKUP(A165,File!$A:$J,2,FALSE)</f>
        <v>Balaji Boda</v>
      </c>
      <c r="C165" s="29">
        <f>VLOOKUP(A165,File!$A:$J,5,FALSE)</f>
        <v>46259</v>
      </c>
      <c r="D165" s="29" t="str">
        <f>VLOOKUP(A165,File!$A:$J,3,FALSE)</f>
        <v>Male</v>
      </c>
      <c r="E165" s="29" t="str">
        <f>VLOOKUP(A165,File!$A:$J,4,FALSE)</f>
        <v>FTE</v>
      </c>
      <c r="F165" s="29" t="str">
        <f>VLOOKUP(A165,File!$A:$J,6,FALSE)</f>
        <v>Chennai</v>
      </c>
      <c r="G165" s="29" t="str">
        <f>VLOOKUP(A165,File!$A:$J,7,FALSE)</f>
        <v>CIS26SN002</v>
      </c>
      <c r="H165" s="29" t="str">
        <f>VLOOKUP(A165,File!$A:$J,8,FALSE)</f>
        <v>Ashiya Begam S</v>
      </c>
      <c r="I165" s="31">
        <f>VLOOKUP(A165,File!$A:$J,9,FALSE)</f>
        <v>46358</v>
      </c>
      <c r="J165" s="31" t="str">
        <f>VLOOKUP(A165,File!$A:$K,11,FALSE)</f>
        <v>Dec 2026</v>
      </c>
      <c r="K165" s="31" t="str">
        <f>VLOOKUP(A165,File!$A:$K,10,FALSE)</f>
        <v>In-Training</v>
      </c>
      <c r="L165" s="31" t="s">
        <v>4</v>
      </c>
      <c r="M165" t="str">
        <f>VLOOKUP(A165,Response!$A:$M,7,)</f>
        <v>PG (Paying Guest)</v>
      </c>
      <c r="N165" t="str">
        <f>VLOOKUP(A165,Response!$A:$M,8,)</f>
        <v>BLR Mens PG</v>
      </c>
      <c r="O165" s="4">
        <f>VLOOKUP(A165,Response!$A:$M,10,)</f>
        <v>3</v>
      </c>
      <c r="P165" t="str">
        <f>VLOOKUP(A165,Response!$A:$M,12,)</f>
        <v>No</v>
      </c>
      <c r="Q165" t="str">
        <f>VLOOKUP(A165,Response!$A:$M,11,)</f>
        <v>Siruseri</v>
      </c>
      <c r="R165" t="s">
        <v>19</v>
      </c>
      <c r="S165" s="39" t="s">
        <v>37</v>
      </c>
    </row>
    <row r="166" spans="1:19">
      <c r="A166" s="3">
        <v>2532990</v>
      </c>
      <c r="B166" t="str">
        <f>VLOOKUP(A166,File!$A:$J,2,FALSE)</f>
        <v>Yadla Rohith</v>
      </c>
      <c r="C166" s="29">
        <f>VLOOKUP(A166,File!$A:$J,5,FALSE)</f>
        <v>46259</v>
      </c>
      <c r="D166" s="29" t="str">
        <f>VLOOKUP(A166,File!$A:$J,3,FALSE)</f>
        <v>Male</v>
      </c>
      <c r="E166" s="29" t="str">
        <f>VLOOKUP(A166,File!$A:$J,4,FALSE)</f>
        <v>FTE</v>
      </c>
      <c r="F166" s="29" t="str">
        <f>VLOOKUP(A166,File!$A:$J,6,FALSE)</f>
        <v>Chennai</v>
      </c>
      <c r="G166" s="29" t="str">
        <f>VLOOKUP(A166,File!$A:$J,7,FALSE)</f>
        <v>CIS26SN002</v>
      </c>
      <c r="H166" s="29" t="str">
        <f>VLOOKUP(A166,File!$A:$J,8,FALSE)</f>
        <v>Ashiya Begam S</v>
      </c>
      <c r="I166" s="31">
        <f>VLOOKUP(A166,File!$A:$J,9,FALSE)</f>
        <v>46358</v>
      </c>
      <c r="J166" s="31" t="str">
        <f>VLOOKUP(A166,File!$A:$K,11,FALSE)</f>
        <v>Dec 2026</v>
      </c>
      <c r="K166" s="31" t="str">
        <f>VLOOKUP(A166,File!$A:$K,10,FALSE)</f>
        <v>In-Training</v>
      </c>
      <c r="L166" s="31" t="s">
        <v>4</v>
      </c>
      <c r="M166" t="str">
        <f>VLOOKUP(A166,Response!$A:$M,7,)</f>
        <v>PG (Paying Guest)</v>
      </c>
      <c r="N166" t="str">
        <f>VLOOKUP(A166,Response!$A:$M,8,)</f>
        <v>BLR mens pg ,Egattur</v>
      </c>
      <c r="O166" s="4">
        <f>VLOOKUP(A166,Response!$A:$M,10,)</f>
        <v>1</v>
      </c>
      <c r="P166" t="str">
        <f>VLOOKUP(A166,Response!$A:$M,12,)</f>
        <v>No</v>
      </c>
      <c r="Q166" t="str">
        <f>VLOOKUP(A166,Response!$A:$M,11,)</f>
        <v>Siruseri</v>
      </c>
      <c r="R166" t="s">
        <v>19</v>
      </c>
      <c r="S166" s="39" t="s">
        <v>37</v>
      </c>
    </row>
    <row r="167" spans="1:19">
      <c r="A167" s="3">
        <v>2530177</v>
      </c>
      <c r="B167" t="str">
        <f>VLOOKUP(A167,File!$A:$J,2,FALSE)</f>
        <v>Gowtham R</v>
      </c>
      <c r="C167" s="29">
        <f>VLOOKUP(A167,File!$A:$J,5,FALSE)</f>
        <v>46247</v>
      </c>
      <c r="D167" s="29" t="str">
        <f>VLOOKUP(A167,File!$A:$J,3,FALSE)</f>
        <v>Male</v>
      </c>
      <c r="E167" s="29" t="str">
        <f>VLOOKUP(A167,File!$A:$J,4,FALSE)</f>
        <v>FTE</v>
      </c>
      <c r="F167" s="29" t="str">
        <f>VLOOKUP(A167,File!$A:$J,6,FALSE)</f>
        <v>Chennai</v>
      </c>
      <c r="G167" s="29" t="str">
        <f>VLOOKUP(A167,File!$A:$J,7,FALSE)</f>
        <v>EPS26OSP010</v>
      </c>
      <c r="H167" s="29" t="str">
        <f>VLOOKUP(A167,File!$A:$J,8,FALSE)</f>
        <v>Vishnupriya Dakshnamurthy</v>
      </c>
      <c r="I167" s="31">
        <f>VLOOKUP(A167,File!$A:$J,9,FALSE)</f>
        <v>46357</v>
      </c>
      <c r="J167" s="31" t="str">
        <f>VLOOKUP(A167,File!$A:$K,11,FALSE)</f>
        <v>Dec 2026</v>
      </c>
      <c r="K167" s="31" t="str">
        <f>VLOOKUP(A167,File!$A:$K,10,FALSE)</f>
        <v>In-Training</v>
      </c>
      <c r="L167" s="31" t="s">
        <v>5</v>
      </c>
      <c r="M167" t="str">
        <f>VLOOKUP(A167,Response!$A:$M,7,)</f>
        <v>Permanent Residence (House/Home)</v>
      </c>
      <c r="N167" t="str">
        <f>VLOOKUP(A167,Response!$A:$M,8,)</f>
        <v>Bluemoon Callisto</v>
      </c>
      <c r="O167" s="4">
        <f>VLOOKUP(A167,Response!$A:$M,10,)</f>
        <v>4</v>
      </c>
      <c r="P167" t="str">
        <f>VLOOKUP(A167,Response!$A:$M,12,)</f>
        <v>Yes</v>
      </c>
      <c r="Q167" t="str">
        <f>VLOOKUP(A167,Response!$A:$M,11,)</f>
        <v>Thoraipakkam</v>
      </c>
      <c r="R167" t="s">
        <v>17</v>
      </c>
      <c r="S167" t="s">
        <v>38</v>
      </c>
    </row>
    <row r="168" spans="1:19">
      <c r="A168" s="3">
        <v>2529636</v>
      </c>
      <c r="B168" t="str">
        <f>VLOOKUP(A168,File!$A:$J,2,FALSE)</f>
        <v>Poojitha Narendra</v>
      </c>
      <c r="C168" s="29">
        <f>VLOOKUP(A168,File!$A:$J,5,FALSE)</f>
        <v>46245</v>
      </c>
      <c r="D168" s="29" t="str">
        <f>VLOOKUP(A168,File!$A:$J,3,FALSE)</f>
        <v>Female</v>
      </c>
      <c r="E168" s="29" t="str">
        <f>VLOOKUP(A168,File!$A:$J,4,FALSE)</f>
        <v>FTE</v>
      </c>
      <c r="F168" s="29" t="str">
        <f>VLOOKUP(A168,File!$A:$J,6,FALSE)</f>
        <v>Chennai</v>
      </c>
      <c r="G168" s="29" t="str">
        <f>VLOOKUP(A168,File!$A:$J,7,FALSE)</f>
        <v>CIS26MCPT021</v>
      </c>
      <c r="H168" s="29" t="str">
        <f>VLOOKUP(A168,File!$A:$J,8,FALSE)</f>
        <v>Uma Venkatachalam</v>
      </c>
      <c r="I168" s="31">
        <f>VLOOKUP(A168,File!$A:$J,9,FALSE)</f>
        <v>46364</v>
      </c>
      <c r="J168" s="31" t="str">
        <f>VLOOKUP(A168,File!$A:$K,11,FALSE)</f>
        <v>Dec 2026</v>
      </c>
      <c r="K168" s="31" t="str">
        <f>VLOOKUP(A168,File!$A:$K,10,FALSE)</f>
        <v>In-Training</v>
      </c>
      <c r="L168" s="31" t="s">
        <v>4</v>
      </c>
      <c r="M168" t="str">
        <f>VLOOKUP(A168,Response!$A:$M,7,)</f>
        <v>PG (Paying Guest)</v>
      </c>
      <c r="N168" t="str">
        <f>VLOOKUP(A168,Response!$A:$M,8,)</f>
        <v>Branch 1 SRS luxury pg for ladies</v>
      </c>
      <c r="O168" s="4">
        <f>VLOOKUP(A168,Response!$A:$M,10,)</f>
        <v>2</v>
      </c>
      <c r="P168" t="str">
        <f>VLOOKUP(A168,Response!$A:$M,12,)</f>
        <v>No</v>
      </c>
      <c r="Q168" t="str">
        <f>VLOOKUP(A168,Response!$A:$M,11,)</f>
        <v>Egattur</v>
      </c>
      <c r="R168" t="s">
        <v>19</v>
      </c>
      <c r="S168" s="39" t="s">
        <v>37</v>
      </c>
    </row>
    <row r="169" spans="1:19">
      <c r="A169" s="3">
        <v>2523397</v>
      </c>
      <c r="B169" t="str">
        <f>VLOOKUP(A169,File!$A:$J,2,FALSE)</f>
        <v>Namboo Shree S</v>
      </c>
      <c r="C169" s="29">
        <f>VLOOKUP(A169,File!$A:$J,5,FALSE)</f>
        <v>46219</v>
      </c>
      <c r="D169" s="29" t="str">
        <f>VLOOKUP(A169,File!$A:$J,3,FALSE)</f>
        <v>Female</v>
      </c>
      <c r="E169" s="29" t="str">
        <f>VLOOKUP(A169,File!$A:$J,4,FALSE)</f>
        <v>FTE</v>
      </c>
      <c r="F169" s="29" t="str">
        <f>VLOOKUP(A169,File!$A:$J,6,FALSE)</f>
        <v>Chennai</v>
      </c>
      <c r="G169" s="29" t="str">
        <f>VLOOKUP(A169,File!$A:$J,7,FALSE)</f>
        <v>CS26CS010</v>
      </c>
      <c r="H169" s="29" t="str">
        <f>VLOOKUP(A169,File!$A:$J,8,FALSE)</f>
        <v>Laksiya Vijayendran</v>
      </c>
      <c r="I169" s="31">
        <f>VLOOKUP(A169,File!$A:$J,9,FALSE)</f>
        <v>46314</v>
      </c>
      <c r="J169" s="31" t="str">
        <f>VLOOKUP(A169,File!$A:$K,11,FALSE)</f>
        <v>Oct 2026</v>
      </c>
      <c r="K169" s="31" t="str">
        <f>VLOOKUP(A169,File!$A:$K,10,FALSE)</f>
        <v>In-Training</v>
      </c>
      <c r="L169" s="31" t="s">
        <v>4</v>
      </c>
      <c r="M169" t="str">
        <f>VLOOKUP(A169,Response!$A:$M,7,)</f>
        <v>PG (Paying Guest)</v>
      </c>
      <c r="N169" t="str">
        <f>VLOOKUP(A169,Response!$A:$M,8,)</f>
        <v>Branch 2, SRS luxury PG for Womens, HP petrol pump, vembuliamman koil street, behind navalur, Egattur, Chennai.</v>
      </c>
      <c r="O169" s="4">
        <f>VLOOKUP(A169,Response!$A:$M,10,)</f>
        <v>4</v>
      </c>
      <c r="P169" t="str">
        <f>VLOOKUP(A169,Response!$A:$M,12,)</f>
        <v>Yes</v>
      </c>
      <c r="Q169" t="str">
        <f>VLOOKUP(A169,Response!$A:$M,11,)</f>
        <v>Egattur</v>
      </c>
      <c r="R169" t="s">
        <v>19</v>
      </c>
      <c r="S169" s="39" t="s">
        <v>37</v>
      </c>
    </row>
    <row r="170" spans="1:19">
      <c r="A170" s="3">
        <v>2533021</v>
      </c>
      <c r="B170" t="str">
        <f>VLOOKUP(A170,File!$A:$J,2,FALSE)</f>
        <v>Seelam Asha</v>
      </c>
      <c r="C170" s="29">
        <f>VLOOKUP(A170,File!$A:$J,5,FALSE)</f>
        <v>46259</v>
      </c>
      <c r="D170" s="29" t="str">
        <f>VLOOKUP(A170,File!$A:$J,3,FALSE)</f>
        <v>Female</v>
      </c>
      <c r="E170" s="29" t="str">
        <f>VLOOKUP(A170,File!$A:$J,4,FALSE)</f>
        <v>FTE</v>
      </c>
      <c r="F170" s="29" t="str">
        <f>VLOOKUP(A170,File!$A:$J,6,FALSE)</f>
        <v>Chennai</v>
      </c>
      <c r="G170" s="29" t="str">
        <f>VLOOKUP(A170,File!$A:$J,7,FALSE)</f>
        <v>CIS26MBG004</v>
      </c>
      <c r="H170" s="29" t="str">
        <f>VLOOKUP(A170,File!$A:$J,8,FALSE)</f>
        <v>Kishorekumar P</v>
      </c>
      <c r="I170" s="31">
        <f>VLOOKUP(A170,File!$A:$J,9,FALSE)</f>
        <v>46367</v>
      </c>
      <c r="J170" s="31" t="str">
        <f>VLOOKUP(A170,File!$A:$K,11,FALSE)</f>
        <v>Dec 2026</v>
      </c>
      <c r="K170" s="31" t="str">
        <f>VLOOKUP(A170,File!$A:$K,10,FALSE)</f>
        <v>In-Training</v>
      </c>
      <c r="L170" s="31" t="s">
        <v>4</v>
      </c>
      <c r="M170" t="str">
        <f>VLOOKUP(A170,Response!$A:$M,7,)</f>
        <v>PG (Paying Guest)</v>
      </c>
      <c r="N170" t="str">
        <f>VLOOKUP(A170,Response!$A:$M,8,)</f>
        <v>Branch-1, SRS Luxury PG For Woman (ladies hostel, Gangai Amman Kovil St, near Marina Mall, opposite to A2B, Egattur, Chennai, Tamil Nadu 600130</v>
      </c>
      <c r="O170" s="4">
        <f>VLOOKUP(A170,Response!$A:$M,10,)</f>
        <v>3</v>
      </c>
      <c r="P170" t="str">
        <f>VLOOKUP(A170,Response!$A:$M,12,)</f>
        <v>No</v>
      </c>
      <c r="Q170" t="str">
        <f>VLOOKUP(A170,Response!$A:$M,11,)</f>
        <v>Siruseri</v>
      </c>
      <c r="R170" t="s">
        <v>19</v>
      </c>
      <c r="S170" s="39" t="s">
        <v>37</v>
      </c>
    </row>
    <row r="171" spans="1:19">
      <c r="A171" s="3">
        <v>2529676</v>
      </c>
      <c r="B171" t="str">
        <f>VLOOKUP(A171,File!$A:$J,2,FALSE)</f>
        <v>Sai Vinay Sanka</v>
      </c>
      <c r="C171" s="29">
        <f>VLOOKUP(A171,File!$A:$J,5,FALSE)</f>
        <v>46245</v>
      </c>
      <c r="D171" s="29" t="str">
        <f>VLOOKUP(A171,File!$A:$J,3,FALSE)</f>
        <v>Male</v>
      </c>
      <c r="E171" s="29" t="str">
        <f>VLOOKUP(A171,File!$A:$J,4,FALSE)</f>
        <v>FTE</v>
      </c>
      <c r="F171" s="29" t="str">
        <f>VLOOKUP(A171,File!$A:$J,6,FALSE)</f>
        <v>Chennai</v>
      </c>
      <c r="G171" s="29" t="str">
        <f>VLOOKUP(A171,File!$A:$J,7,FALSE)</f>
        <v>CIS26AZ001</v>
      </c>
      <c r="H171" s="29" t="str">
        <f>VLOOKUP(A171,File!$A:$J,8,FALSE)</f>
        <v>Ashiya Begam S</v>
      </c>
      <c r="I171" s="31">
        <f>VLOOKUP(A171,File!$A:$J,9,FALSE)</f>
        <v>46335</v>
      </c>
      <c r="J171" s="31" t="str">
        <f>VLOOKUP(A171,File!$A:$K,11,FALSE)</f>
        <v>Nov 2026</v>
      </c>
      <c r="K171" s="31" t="str">
        <f>VLOOKUP(A171,File!$A:$K,10,FALSE)</f>
        <v>In-Training</v>
      </c>
      <c r="L171" s="31" t="s">
        <v>4</v>
      </c>
      <c r="M171" t="str">
        <f>VLOOKUP(A171,Response!$A:$M,7,)</f>
        <v>PG (Paying Guest)</v>
      </c>
      <c r="N171" t="str">
        <f>VLOOKUP(A171,Response!$A:$M,8,)</f>
        <v>Brindhavanam HOMELY HEAVEN PG FOR MEN</v>
      </c>
      <c r="O171" s="4">
        <f>VLOOKUP(A171,Response!$A:$M,10,)</f>
        <v>3</v>
      </c>
      <c r="P171" t="str">
        <f>VLOOKUP(A171,Response!$A:$M,12,)</f>
        <v>No</v>
      </c>
      <c r="Q171" t="str">
        <f>VLOOKUP(A171,Response!$A:$M,11,)</f>
        <v>Navalur</v>
      </c>
      <c r="R171" t="s">
        <v>19</v>
      </c>
      <c r="S171" s="39" t="s">
        <v>37</v>
      </c>
    </row>
    <row r="172" spans="1:19">
      <c r="A172" s="3">
        <v>2526615</v>
      </c>
      <c r="B172" t="str">
        <f>VLOOKUP(A172,File!$A:$J,2,FALSE)</f>
        <v>Janarthanan T</v>
      </c>
      <c r="C172" s="29">
        <f>VLOOKUP(A172,File!$A:$J,5,FALSE)</f>
        <v>46233</v>
      </c>
      <c r="D172" s="29" t="str">
        <f>VLOOKUP(A172,File!$A:$J,3,FALSE)</f>
        <v>Male</v>
      </c>
      <c r="E172" s="29" t="str">
        <f>VLOOKUP(A172,File!$A:$J,4,FALSE)</f>
        <v>FTE</v>
      </c>
      <c r="F172" s="29" t="str">
        <f>VLOOKUP(A172,File!$A:$J,6,FALSE)</f>
        <v>Chennai</v>
      </c>
      <c r="G172" s="29" t="str">
        <f>VLOOKUP(A172,File!$A:$J,7,FALSE)</f>
        <v>QEA26JP002</v>
      </c>
      <c r="H172" s="29" t="str">
        <f>VLOOKUP(A172,File!$A:$J,8,FALSE)</f>
        <v>Ajiesya D P</v>
      </c>
      <c r="I172" s="31" t="str">
        <f>VLOOKUP(A172,File!$A:$J,9,FALSE)</f>
        <v/>
      </c>
      <c r="J172" s="44" t="s">
        <v>33</v>
      </c>
      <c r="K172" s="31" t="str">
        <f>VLOOKUP(A172,File!$A:$K,10,FALSE)</f>
        <v>Training - ON Hold</v>
      </c>
      <c r="L172" s="31" t="s">
        <v>4</v>
      </c>
      <c r="M172" t="str">
        <f>VLOOKUP(A172,Response!$A:$M,7,)</f>
        <v>PG (Paying Guest)</v>
      </c>
      <c r="N172" t="str">
        <f>VLOOKUP(A172,Response!$A:$M,8,)</f>
        <v>Bro Space PG</v>
      </c>
      <c r="O172" s="4">
        <f>VLOOKUP(A172,Response!$A:$M,10,)</f>
        <v>3</v>
      </c>
      <c r="P172" t="str">
        <f>VLOOKUP(A172,Response!$A:$M,12,)</f>
        <v>No</v>
      </c>
      <c r="Q172" t="str">
        <f>VLOOKUP(A172,Response!$A:$M,11,)</f>
        <v>Navalur</v>
      </c>
      <c r="R172" t="s">
        <v>19</v>
      </c>
      <c r="S172" s="39" t="s">
        <v>37</v>
      </c>
    </row>
    <row r="173" spans="1:19">
      <c r="A173" s="3">
        <v>2519633</v>
      </c>
      <c r="B173" t="str">
        <f>VLOOKUP(A173,File!$A:$J,2,FALSE)</f>
        <v>Kannan V</v>
      </c>
      <c r="C173" s="29">
        <f>VLOOKUP(A173,File!$A:$J,5,FALSE)</f>
        <v>46205</v>
      </c>
      <c r="D173" s="29" t="str">
        <f>VLOOKUP(A173,File!$A:$J,3,FALSE)</f>
        <v>Male</v>
      </c>
      <c r="E173" s="29" t="str">
        <f>VLOOKUP(A173,File!$A:$J,4,FALSE)</f>
        <v>FTE</v>
      </c>
      <c r="F173" s="29" t="str">
        <f>VLOOKUP(A173,File!$A:$J,6,FALSE)</f>
        <v>Chennai</v>
      </c>
      <c r="G173" s="29" t="str">
        <f>VLOOKUP(A173,File!$A:$J,7,FALSE)</f>
        <v>CIS26DWP021</v>
      </c>
      <c r="H173" s="29" t="str">
        <f>VLOOKUP(A173,File!$A:$J,8,FALSE)</f>
        <v>Laksiya Vijayendran</v>
      </c>
      <c r="I173" s="31">
        <f>VLOOKUP(A173,File!$A:$J,9,FALSE)</f>
        <v>46272</v>
      </c>
      <c r="J173" s="31" t="str">
        <f>VLOOKUP(A173,File!$A:$K,11,FALSE)</f>
        <v>Sep 2026</v>
      </c>
      <c r="K173" s="31" t="str">
        <f>VLOOKUP(A173,File!$A:$K,10,FALSE)</f>
        <v>In-Training</v>
      </c>
      <c r="L173" s="31" t="s">
        <v>4</v>
      </c>
      <c r="M173" t="str">
        <f>VLOOKUP(A173,Response!$A:$M,7,)</f>
        <v>PG (Paying Guest)</v>
      </c>
      <c r="N173" t="str">
        <f>VLOOKUP(A173,Response!$A:$M,8,)</f>
        <v>BROSPACE Phoenix premium Men PG - Navalur</v>
      </c>
      <c r="O173" s="4">
        <f>VLOOKUP(A173,Response!$A:$M,10,)</f>
        <v>5</v>
      </c>
      <c r="P173" t="str">
        <f>VLOOKUP(A173,Response!$A:$M,12,)</f>
        <v>Yes</v>
      </c>
      <c r="Q173" t="str">
        <f>VLOOKUP(A173,Response!$A:$M,11,)</f>
        <v>Navalur</v>
      </c>
      <c r="R173" t="s">
        <v>19</v>
      </c>
      <c r="S173" s="39" t="s">
        <v>37</v>
      </c>
    </row>
    <row r="174" spans="1:19">
      <c r="A174" s="3">
        <v>2521831</v>
      </c>
      <c r="B174" t="str">
        <f>VLOOKUP(A174,File!$A:$J,2,FALSE)</f>
        <v>Abhi Verma</v>
      </c>
      <c r="C174" s="29">
        <f>VLOOKUP(A174,File!$A:$J,5,FALSE)</f>
        <v>46212</v>
      </c>
      <c r="D174" s="29" t="str">
        <f>VLOOKUP(A174,File!$A:$J,3,FALSE)</f>
        <v>Male</v>
      </c>
      <c r="E174" s="29" t="str">
        <f>VLOOKUP(A174,File!$A:$J,4,FALSE)</f>
        <v>FTE</v>
      </c>
      <c r="F174" s="29" t="str">
        <f>VLOOKUP(A174,File!$A:$J,6,FALSE)</f>
        <v>Chennai</v>
      </c>
      <c r="G174" s="29" t="str">
        <f>VLOOKUP(A174,File!$A:$J,7,FALSE)</f>
        <v>ADM26MF011</v>
      </c>
      <c r="H174" s="29" t="str">
        <f>VLOOKUP(A174,File!$A:$J,8,FALSE)</f>
        <v>Abinaya R</v>
      </c>
      <c r="I174" s="31">
        <f>VLOOKUP(A174,File!$A:$J,9,FALSE)</f>
        <v>46328</v>
      </c>
      <c r="J174" s="31" t="str">
        <f>VLOOKUP(A174,File!$A:$K,11,FALSE)</f>
        <v>Nov 2026</v>
      </c>
      <c r="K174" s="31" t="str">
        <f>VLOOKUP(A174,File!$A:$K,10,FALSE)</f>
        <v>In-Training</v>
      </c>
      <c r="L174" s="31" t="s">
        <v>4</v>
      </c>
      <c r="M174" t="str">
        <f>VLOOKUP(A174,Response!$A:$M,7,)</f>
        <v>PG (Paying Guest)</v>
      </c>
      <c r="N174" t="str">
        <f>VLOOKUP(A174,Response!$A:$M,8,)</f>
        <v>BROSPACE Phoenix Premium Mens PG Hostel</v>
      </c>
      <c r="O174" s="4">
        <f>VLOOKUP(A174,Response!$A:$M,10,)</f>
        <v>5</v>
      </c>
      <c r="P174" t="str">
        <f>VLOOKUP(A174,Response!$A:$M,12,)</f>
        <v>No</v>
      </c>
      <c r="Q174" t="str">
        <f>VLOOKUP(A174,Response!$A:$M,11,)</f>
        <v>Navalur</v>
      </c>
      <c r="R174" t="s">
        <v>19</v>
      </c>
      <c r="S174" s="39" t="s">
        <v>37</v>
      </c>
    </row>
    <row r="175" spans="1:19">
      <c r="A175" s="3">
        <v>2481699</v>
      </c>
      <c r="B175" t="str">
        <f>VLOOKUP(A175,File!$A:$J,2,FALSE)</f>
        <v>Sivasakthi S</v>
      </c>
      <c r="C175" s="29">
        <f>VLOOKUP(A175,File!$A:$J,5,FALSE)</f>
        <v>46058</v>
      </c>
      <c r="D175" s="29" t="str">
        <f>VLOOKUP(A175,File!$A:$J,3,FALSE)</f>
        <v>Male</v>
      </c>
      <c r="E175" s="29" t="str">
        <f>VLOOKUP(A175,File!$A:$J,4,FALSE)</f>
        <v>FTE</v>
      </c>
      <c r="F175" s="29" t="str">
        <f>VLOOKUP(A175,File!$A:$J,6,FALSE)</f>
        <v>Chennai</v>
      </c>
      <c r="G175" s="29" t="str">
        <f>VLOOKUP(A175,File!$A:$J,7,FALSE)</f>
        <v>CS26CS008</v>
      </c>
      <c r="H175" s="29" t="str">
        <f>VLOOKUP(A175,File!$A:$J,8,FALSE)</f>
        <v>Kishorekumar P</v>
      </c>
      <c r="I175" s="31">
        <f>VLOOKUP(A175,File!$A:$J,9,FALSE)</f>
        <v>46323</v>
      </c>
      <c r="J175" s="31" t="str">
        <f>VLOOKUP(A175,File!$A:$K,11,FALSE)</f>
        <v>Oct 2026</v>
      </c>
      <c r="K175" s="31" t="str">
        <f>VLOOKUP(A175,File!$A:$K,10,FALSE)</f>
        <v>In-Training</v>
      </c>
      <c r="L175" s="31" t="s">
        <v>4</v>
      </c>
      <c r="M175" t="str">
        <f>VLOOKUP(A175,Response!$A:$M,7,)</f>
        <v>PG (Paying Guest)</v>
      </c>
      <c r="N175" t="str">
        <f>VLOOKUP(A175,Response!$A:$M,8,)</f>
        <v>BROSPACE Phoenix Premium Mens PG Hostel, Navalur</v>
      </c>
      <c r="O175" s="4">
        <f>VLOOKUP(A175,Response!$A:$M,10,)</f>
        <v>1</v>
      </c>
      <c r="P175" t="str">
        <f>VLOOKUP(A175,Response!$A:$M,12,)</f>
        <v>Yes</v>
      </c>
      <c r="Q175" t="str">
        <f>VLOOKUP(A175,Response!$A:$M,11,)</f>
        <v>Navalur</v>
      </c>
      <c r="R175" t="s">
        <v>19</v>
      </c>
      <c r="S175" s="39" t="s">
        <v>37</v>
      </c>
    </row>
    <row r="176" spans="1:19">
      <c r="A176" s="3">
        <v>2519592</v>
      </c>
      <c r="B176" t="str">
        <f>VLOOKUP(A176,File!$A:$J,2,FALSE)</f>
        <v>Palanivel P</v>
      </c>
      <c r="C176" s="29">
        <f>VLOOKUP(A176,File!$A:$J,5,FALSE)</f>
        <v>46205</v>
      </c>
      <c r="D176" s="29" t="str">
        <f>VLOOKUP(A176,File!$A:$J,3,FALSE)</f>
        <v>Male</v>
      </c>
      <c r="E176" s="29" t="str">
        <f>VLOOKUP(A176,File!$A:$J,4,FALSE)</f>
        <v>FTE</v>
      </c>
      <c r="F176" s="29" t="str">
        <f>VLOOKUP(A176,File!$A:$J,6,FALSE)</f>
        <v>Chennai</v>
      </c>
      <c r="G176" s="29" t="str">
        <f>VLOOKUP(A176,File!$A:$J,7,FALSE)</f>
        <v>CIS26UNIX004</v>
      </c>
      <c r="H176" s="29" t="str">
        <f>VLOOKUP(A176,File!$A:$J,8,FALSE)</f>
        <v>Haritha P</v>
      </c>
      <c r="I176" s="31">
        <f>VLOOKUP(A176,File!$A:$J,9,FALSE)</f>
        <v>46289</v>
      </c>
      <c r="J176" s="31" t="str">
        <f>VLOOKUP(A176,File!$A:$K,11,FALSE)</f>
        <v>Sep 2026</v>
      </c>
      <c r="K176" s="31" t="str">
        <f>VLOOKUP(A176,File!$A:$K,10,FALSE)</f>
        <v>In-Training</v>
      </c>
      <c r="L176" s="31" t="s">
        <v>4</v>
      </c>
      <c r="M176" t="str">
        <f>VLOOKUP(A176,Response!$A:$M,7,)</f>
        <v>PG (Paying Guest)</v>
      </c>
      <c r="N176" t="str">
        <f>VLOOKUP(A176,Response!$A:$M,8,)</f>
        <v>Brospace Phoneix PG , Navalur</v>
      </c>
      <c r="O176" s="4">
        <f>VLOOKUP(A176,Response!$A:$M,10,)</f>
        <v>4</v>
      </c>
      <c r="P176" t="str">
        <f>VLOOKUP(A176,Response!$A:$M,12,)</f>
        <v>No</v>
      </c>
      <c r="Q176" t="str">
        <f>VLOOKUP(A176,Response!$A:$M,11,)</f>
        <v>Navalur</v>
      </c>
      <c r="R176" t="s">
        <v>19</v>
      </c>
      <c r="S176" s="39" t="s">
        <v>37</v>
      </c>
    </row>
    <row r="177" spans="1:19">
      <c r="A177" s="3">
        <v>2532922</v>
      </c>
      <c r="B177" t="str">
        <f>VLOOKUP(A177,File!$A:$J,2,FALSE)</f>
        <v>Sundar S</v>
      </c>
      <c r="C177" s="29">
        <f>VLOOKUP(A177,File!$A:$J,5,FALSE)</f>
        <v>46259</v>
      </c>
      <c r="D177" s="29" t="str">
        <f>VLOOKUP(A177,File!$A:$J,3,FALSE)</f>
        <v>Male</v>
      </c>
      <c r="E177" s="29" t="str">
        <f>VLOOKUP(A177,File!$A:$J,4,FALSE)</f>
        <v>FTE</v>
      </c>
      <c r="F177" s="29" t="str">
        <f>VLOOKUP(A177,File!$A:$J,6,FALSE)</f>
        <v>Chennai</v>
      </c>
      <c r="G177" s="29" t="str">
        <f>VLOOKUP(A177,File!$A:$J,7,FALSE)</f>
        <v>ADM27DFSA001</v>
      </c>
      <c r="H177" s="29" t="str">
        <f>VLOOKUP(A177,File!$A:$J,8,FALSE)</f>
        <v>Thomas Naveen. J</v>
      </c>
      <c r="I177" s="31">
        <f>VLOOKUP(A177,File!$A:$J,9,FALSE)</f>
        <v>46386</v>
      </c>
      <c r="J177" s="31" t="str">
        <f>VLOOKUP(A177,File!$A:$K,11,FALSE)</f>
        <v>Dec 2026</v>
      </c>
      <c r="K177" s="31" t="str">
        <f>VLOOKUP(A177,File!$A:$K,10,FALSE)</f>
        <v>In-Training</v>
      </c>
      <c r="L177" s="31" t="s">
        <v>4</v>
      </c>
      <c r="M177" t="str">
        <f>VLOOKUP(A177,Response!$A:$M,7,)</f>
        <v>PG (Paying Guest)</v>
      </c>
      <c r="N177" t="str">
        <f>VLOOKUP(A177,Response!$A:$M,8,)</f>
        <v>Brotherhood Boys Hostel</v>
      </c>
      <c r="O177" s="4">
        <f>VLOOKUP(A177,Response!$A:$M,10,)</f>
        <v>1</v>
      </c>
      <c r="P177" t="str">
        <f>VLOOKUP(A177,Response!$A:$M,12,)</f>
        <v>No</v>
      </c>
      <c r="Q177" t="str">
        <f>VLOOKUP(A177,Response!$A:$M,11,)</f>
        <v>Medavakkam</v>
      </c>
      <c r="R177" t="s">
        <v>21</v>
      </c>
      <c r="S177" s="39" t="s">
        <v>37</v>
      </c>
    </row>
    <row r="178" spans="1:19">
      <c r="A178" s="3">
        <v>2531826</v>
      </c>
      <c r="B178" t="str">
        <f>VLOOKUP(A178,File!$A:$J,2,FALSE)</f>
        <v>Raghav Kothari</v>
      </c>
      <c r="C178" s="29">
        <f>VLOOKUP(A178,File!$A:$J,5,FALSE)</f>
        <v>46254</v>
      </c>
      <c r="D178" s="29" t="str">
        <f>VLOOKUP(A178,File!$A:$J,3,FALSE)</f>
        <v>Male</v>
      </c>
      <c r="E178" s="29" t="str">
        <f>VLOOKUP(A178,File!$A:$J,4,FALSE)</f>
        <v>FTE</v>
      </c>
      <c r="F178" s="29" t="str">
        <f>VLOOKUP(A178,File!$A:$J,6,FALSE)</f>
        <v>Chennai</v>
      </c>
      <c r="G178" s="29" t="str">
        <f>VLOOKUP(A178,File!$A:$J,7,FALSE)</f>
        <v>CS26CS011</v>
      </c>
      <c r="H178" s="29" t="str">
        <f>VLOOKUP(A178,File!$A:$J,8,FALSE)</f>
        <v>Kishorekumar P</v>
      </c>
      <c r="I178" s="31">
        <f>VLOOKUP(A178,File!$A:$J,9,FALSE)</f>
        <v>46343</v>
      </c>
      <c r="J178" s="31" t="str">
        <f>VLOOKUP(A178,File!$A:$K,11,FALSE)</f>
        <v>Nov 2026</v>
      </c>
      <c r="K178" s="31" t="str">
        <f>VLOOKUP(A178,File!$A:$K,10,FALSE)</f>
        <v>In-Training</v>
      </c>
      <c r="L178" s="31" t="s">
        <v>5</v>
      </c>
      <c r="M178" t="str">
        <f>VLOOKUP(A178,Response!$A:$M,7,)</f>
        <v>Rented House/Apartment</v>
      </c>
      <c r="N178" t="str">
        <f>VLOOKUP(A178,Response!$A:$M,8,)</f>
        <v>C-1004, Radiance shine</v>
      </c>
      <c r="O178" s="4">
        <f>VLOOKUP(A178,Response!$A:$M,10,)</f>
        <v>10</v>
      </c>
      <c r="P178" t="str">
        <f>VLOOKUP(A178,Response!$A:$M,12,)</f>
        <v>No</v>
      </c>
      <c r="Q178" t="str">
        <f>VLOOKUP(A178,Response!$A:$M,11,)</f>
        <v>Siruseri</v>
      </c>
      <c r="R178" t="s">
        <v>19</v>
      </c>
      <c r="S178" t="s">
        <v>38</v>
      </c>
    </row>
    <row r="179" spans="1:19">
      <c r="A179" s="3">
        <v>2529624</v>
      </c>
      <c r="B179" t="str">
        <f>VLOOKUP(A179,File!$A:$J,2,FALSE)</f>
        <v>Siddharth Vijay Waghmare</v>
      </c>
      <c r="C179" s="29">
        <f>VLOOKUP(A179,File!$A:$J,5,FALSE)</f>
        <v>46245</v>
      </c>
      <c r="D179" s="29" t="str">
        <f>VLOOKUP(A179,File!$A:$J,3,FALSE)</f>
        <v>Male</v>
      </c>
      <c r="E179" s="29" t="str">
        <f>VLOOKUP(A179,File!$A:$J,4,FALSE)</f>
        <v>FTE</v>
      </c>
      <c r="F179" s="29" t="str">
        <f>VLOOKUP(A179,File!$A:$J,6,FALSE)</f>
        <v>Chennai</v>
      </c>
      <c r="G179" s="29" t="str">
        <f>VLOOKUP(A179,File!$A:$J,7,FALSE)</f>
        <v>CIS26MCPT026</v>
      </c>
      <c r="H179" s="29" t="str">
        <f>VLOOKUP(A179,File!$A:$J,8,FALSE)</f>
        <v>Mohamed Harish</v>
      </c>
      <c r="I179" s="31">
        <f>VLOOKUP(A179,File!$A:$J,9,FALSE)</f>
        <v>46364</v>
      </c>
      <c r="J179" s="31" t="str">
        <f>VLOOKUP(A179,File!$A:$K,11,FALSE)</f>
        <v>Dec 2026</v>
      </c>
      <c r="K179" s="31" t="str">
        <f>VLOOKUP(A179,File!$A:$K,10,FALSE)</f>
        <v>In-Training</v>
      </c>
      <c r="L179" s="31" t="s">
        <v>4</v>
      </c>
      <c r="M179" t="str">
        <f>VLOOKUP(A179,Response!$A:$M,7,)</f>
        <v>PG (Paying Guest)</v>
      </c>
      <c r="N179" t="str">
        <f>VLOOKUP(A179,Response!$A:$M,8,)</f>
        <v>Chakara Mens PG Branch 1,Egattur</v>
      </c>
      <c r="O179" s="4">
        <f>VLOOKUP(A179,Response!$A:$M,10,)</f>
        <v>3</v>
      </c>
      <c r="P179" t="str">
        <f>VLOOKUP(A179,Response!$A:$M,12,)</f>
        <v>No</v>
      </c>
      <c r="Q179" t="str">
        <f>VLOOKUP(A179,Response!$A:$M,11,)</f>
        <v>Siruseri</v>
      </c>
      <c r="R179" t="s">
        <v>19</v>
      </c>
      <c r="S179" s="39" t="s">
        <v>37</v>
      </c>
    </row>
    <row r="180" spans="1:19">
      <c r="A180" s="3">
        <v>2524474</v>
      </c>
      <c r="B180" t="str">
        <f>VLOOKUP(A180,File!$A:$J,2,FALSE)</f>
        <v>Saurav Singh</v>
      </c>
      <c r="C180" s="29">
        <f>VLOOKUP(A180,File!$A:$J,5,FALSE)</f>
        <v>46224</v>
      </c>
      <c r="D180" s="29" t="str">
        <f>VLOOKUP(A180,File!$A:$J,3,FALSE)</f>
        <v>Male</v>
      </c>
      <c r="E180" s="29" t="str">
        <f>VLOOKUP(A180,File!$A:$J,4,FALSE)</f>
        <v>FTE</v>
      </c>
      <c r="F180" s="29" t="str">
        <f>VLOOKUP(A180,File!$A:$J,6,FALSE)</f>
        <v>Chennai</v>
      </c>
      <c r="G180" s="29" t="str">
        <f>VLOOKUP(A180,File!$A:$J,7,FALSE)</f>
        <v>ADM26MF012</v>
      </c>
      <c r="H180" s="29" t="str">
        <f>VLOOKUP(A180,File!$A:$J,8,FALSE)</f>
        <v>Lourdhu Selvin Raj X</v>
      </c>
      <c r="I180" s="31">
        <f>VLOOKUP(A180,File!$A:$J,9,FALSE)</f>
        <v>46343</v>
      </c>
      <c r="J180" s="31" t="str">
        <f>VLOOKUP(A180,File!$A:$K,11,FALSE)</f>
        <v>Nov 2026</v>
      </c>
      <c r="K180" s="31" t="str">
        <f>VLOOKUP(A180,File!$A:$K,10,FALSE)</f>
        <v>In-Training</v>
      </c>
      <c r="L180" s="31" t="s">
        <v>4</v>
      </c>
      <c r="M180" t="str">
        <f>VLOOKUP(A180,Response!$A:$M,7,)</f>
        <v>PG (Paying Guest)</v>
      </c>
      <c r="N180" t="str">
        <f>VLOOKUP(A180,Response!$A:$M,8,)</f>
        <v>Chakra Gent PG</v>
      </c>
      <c r="O180" s="4">
        <f>VLOOKUP(A180,Response!$A:$M,10,)</f>
        <v>2</v>
      </c>
      <c r="P180" t="str">
        <f>VLOOKUP(A180,Response!$A:$M,12,)</f>
        <v>No</v>
      </c>
      <c r="Q180" t="str">
        <f>VLOOKUP(A180,Response!$A:$M,11,)</f>
        <v>Siruseri</v>
      </c>
      <c r="R180" t="s">
        <v>19</v>
      </c>
      <c r="S180" s="39" t="s">
        <v>37</v>
      </c>
    </row>
    <row r="181" spans="1:19">
      <c r="A181" s="3">
        <v>2521257</v>
      </c>
      <c r="B181" t="str">
        <f>VLOOKUP(A181,File!$A:$J,2,FALSE)</f>
        <v>Karan Raj T</v>
      </c>
      <c r="C181" s="29">
        <f>VLOOKUP(A181,File!$A:$J,5,FALSE)</f>
        <v>46210</v>
      </c>
      <c r="D181" s="29" t="str">
        <f>VLOOKUP(A181,File!$A:$J,3,FALSE)</f>
        <v>Male</v>
      </c>
      <c r="E181" s="29" t="str">
        <f>VLOOKUP(A181,File!$A:$J,4,FALSE)</f>
        <v>FTE</v>
      </c>
      <c r="F181" s="29" t="str">
        <f>VLOOKUP(A181,File!$A:$J,6,FALSE)</f>
        <v>Chennai</v>
      </c>
      <c r="G181" s="29" t="str">
        <f>VLOOKUP(A181,File!$A:$J,7,FALSE)</f>
        <v>HPC26DN005</v>
      </c>
      <c r="H181" s="29" t="str">
        <f>VLOOKUP(A181,File!$A:$J,8,FALSE)</f>
        <v>Viveka Preethi</v>
      </c>
      <c r="I181" s="31">
        <f>VLOOKUP(A181,File!$A:$J,9,FALSE)</f>
        <v>46296</v>
      </c>
      <c r="J181" s="31" t="str">
        <f>VLOOKUP(A181,File!$A:$K,11,FALSE)</f>
        <v>Oct 2026</v>
      </c>
      <c r="K181" s="31" t="str">
        <f>VLOOKUP(A181,File!$A:$K,10,FALSE)</f>
        <v>In-Training</v>
      </c>
      <c r="L181" s="31" t="s">
        <v>4</v>
      </c>
      <c r="M181" t="str">
        <f>VLOOKUP(A181,Response!$A:$M,7,)</f>
        <v>PG (Paying Guest)</v>
      </c>
      <c r="N181" t="str">
        <f>VLOOKUP(A181,Response!$A:$M,8,)</f>
        <v>Chakra Gents PG</v>
      </c>
      <c r="O181" s="4">
        <f>VLOOKUP(A181,Response!$A:$M,10,)</f>
        <v>2</v>
      </c>
      <c r="P181" t="str">
        <f>VLOOKUP(A181,Response!$A:$M,12,)</f>
        <v>No</v>
      </c>
      <c r="Q181" t="str">
        <f>VLOOKUP(A181,Response!$A:$M,11,)</f>
        <v>Egattur</v>
      </c>
      <c r="R181" t="s">
        <v>19</v>
      </c>
      <c r="S181" s="39" t="s">
        <v>37</v>
      </c>
    </row>
    <row r="182" spans="1:19">
      <c r="A182" s="3">
        <v>2529498</v>
      </c>
      <c r="B182" t="str">
        <f>VLOOKUP(A182,File!$A:$J,2,FALSE)</f>
        <v>Amin Nashir Shaikh</v>
      </c>
      <c r="C182" s="29">
        <f>VLOOKUP(A182,File!$A:$J,5,FALSE)</f>
        <v>46245</v>
      </c>
      <c r="D182" s="29" t="str">
        <f>VLOOKUP(A182,File!$A:$J,3,FALSE)</f>
        <v>Male</v>
      </c>
      <c r="E182" s="29" t="str">
        <f>VLOOKUP(A182,File!$A:$J,4,FALSE)</f>
        <v>FTE</v>
      </c>
      <c r="F182" s="29" t="str">
        <f>VLOOKUP(A182,File!$A:$J,6,FALSE)</f>
        <v>Chennai</v>
      </c>
      <c r="G182" s="29" t="str">
        <f>VLOOKUP(A182,File!$A:$J,7,FALSE)</f>
        <v>CIS26MCPT026</v>
      </c>
      <c r="H182" s="29" t="str">
        <f>VLOOKUP(A182,File!$A:$J,8,FALSE)</f>
        <v>Mohamed Harish</v>
      </c>
      <c r="I182" s="31">
        <f>VLOOKUP(A182,File!$A:$J,9,FALSE)</f>
        <v>46364</v>
      </c>
      <c r="J182" s="31" t="str">
        <f>VLOOKUP(A182,File!$A:$K,11,FALSE)</f>
        <v>Dec 2026</v>
      </c>
      <c r="K182" s="31" t="str">
        <f>VLOOKUP(A182,File!$A:$K,10,FALSE)</f>
        <v>In-Training</v>
      </c>
      <c r="L182" s="31" t="s">
        <v>4</v>
      </c>
      <c r="M182" t="str">
        <f>VLOOKUP(A182,Response!$A:$M,7,)</f>
        <v>PG (Paying Guest)</v>
      </c>
      <c r="N182" t="str">
        <f>VLOOKUP(A182,Response!$A:$M,8,)</f>
        <v>Chakra Gents PG</v>
      </c>
      <c r="O182" s="4">
        <f>VLOOKUP(A182,Response!$A:$M,10,)</f>
        <v>3</v>
      </c>
      <c r="P182" t="str">
        <f>VLOOKUP(A182,Response!$A:$M,12,)</f>
        <v>Yes</v>
      </c>
      <c r="Q182" t="str">
        <f>VLOOKUP(A182,Response!$A:$M,11,)</f>
        <v>Siruseri</v>
      </c>
      <c r="R182" t="s">
        <v>19</v>
      </c>
      <c r="S182" s="39" t="s">
        <v>37</v>
      </c>
    </row>
    <row r="183" spans="1:19">
      <c r="A183" s="3">
        <v>2521672</v>
      </c>
      <c r="B183" t="str">
        <f>VLOOKUP(A183,File!$A:$J,2,FALSE)</f>
        <v>Amrut Shreedhar Kadli</v>
      </c>
      <c r="C183" s="29">
        <f>VLOOKUP(A183,File!$A:$J,5,FALSE)</f>
        <v>46212</v>
      </c>
      <c r="D183" s="29" t="str">
        <f>VLOOKUP(A183,File!$A:$J,3,FALSE)</f>
        <v>Male</v>
      </c>
      <c r="E183" s="29" t="str">
        <f>VLOOKUP(A183,File!$A:$J,4,FALSE)</f>
        <v>FTE</v>
      </c>
      <c r="F183" s="29" t="str">
        <f>VLOOKUP(A183,File!$A:$J,6,FALSE)</f>
        <v>Chennai</v>
      </c>
      <c r="G183" s="29" t="str">
        <f>VLOOKUP(A183,File!$A:$J,7,FALSE)</f>
        <v>AIA26DSAT004</v>
      </c>
      <c r="H183" s="29" t="str">
        <f>VLOOKUP(A183,File!$A:$J,8,FALSE)</f>
        <v>Pavithra Kandasamy</v>
      </c>
      <c r="I183" s="31">
        <f>VLOOKUP(A183,File!$A:$J,9,FALSE)</f>
        <v>46304</v>
      </c>
      <c r="J183" s="31" t="str">
        <f>VLOOKUP(A183,File!$A:$K,11,FALSE)</f>
        <v>Oct 2026</v>
      </c>
      <c r="K183" s="31" t="str">
        <f>VLOOKUP(A183,File!$A:$K,10,FALSE)</f>
        <v>In-Training</v>
      </c>
      <c r="L183" s="31" t="s">
        <v>4</v>
      </c>
      <c r="M183" t="str">
        <f>VLOOKUP(A183,Response!$A:$M,7,)</f>
        <v>PG (Paying Guest)</v>
      </c>
      <c r="N183" t="str">
        <f>VLOOKUP(A183,Response!$A:$M,8,)</f>
        <v>Chakra Gents PG</v>
      </c>
      <c r="O183" s="4">
        <f>VLOOKUP(A183,Response!$A:$M,10,)</f>
        <v>5</v>
      </c>
      <c r="P183" t="str">
        <f>VLOOKUP(A183,Response!$A:$M,12,)</f>
        <v>No</v>
      </c>
      <c r="Q183" t="str">
        <f>VLOOKUP(A183,Response!$A:$M,11,)</f>
        <v>Siruseri</v>
      </c>
      <c r="R183" t="s">
        <v>19</v>
      </c>
      <c r="S183" s="39" t="s">
        <v>37</v>
      </c>
    </row>
    <row r="184" spans="1:19">
      <c r="A184" s="3">
        <v>2524480</v>
      </c>
      <c r="B184" t="str">
        <f>VLOOKUP(A184,File!$A:$J,2,FALSE)</f>
        <v>Laxman Hadagali</v>
      </c>
      <c r="C184" s="29">
        <f>VLOOKUP(A184,File!$A:$J,5,FALSE)</f>
        <v>46224</v>
      </c>
      <c r="D184" s="29" t="str">
        <f>VLOOKUP(A184,File!$A:$J,3,FALSE)</f>
        <v>Male</v>
      </c>
      <c r="E184" s="29" t="str">
        <f>VLOOKUP(A184,File!$A:$J,4,FALSE)</f>
        <v>FTE</v>
      </c>
      <c r="F184" s="29" t="str">
        <f>VLOOKUP(A184,File!$A:$J,6,FALSE)</f>
        <v>Chennai</v>
      </c>
      <c r="G184" s="29" t="str">
        <f>VLOOKUP(A184,File!$A:$J,7,FALSE)</f>
        <v>ADM26MF012</v>
      </c>
      <c r="H184" s="29" t="str">
        <f>VLOOKUP(A184,File!$A:$J,8,FALSE)</f>
        <v>Lourdhu Selvin Raj X</v>
      </c>
      <c r="I184" s="31">
        <f>VLOOKUP(A184,File!$A:$J,9,FALSE)</f>
        <v>46343</v>
      </c>
      <c r="J184" s="31" t="str">
        <f>VLOOKUP(A184,File!$A:$K,11,FALSE)</f>
        <v>Nov 2026</v>
      </c>
      <c r="K184" s="31" t="str">
        <f>VLOOKUP(A184,File!$A:$K,10,FALSE)</f>
        <v>In-Training</v>
      </c>
      <c r="L184" s="31" t="s">
        <v>4</v>
      </c>
      <c r="M184" t="str">
        <f>VLOOKUP(A184,Response!$A:$M,7,)</f>
        <v>PG (Paying Guest)</v>
      </c>
      <c r="N184" t="str">
        <f>VLOOKUP(A184,Response!$A:$M,8,)</f>
        <v xml:space="preserve">Chakra Gents PG - Branch 2 </v>
      </c>
      <c r="O184" s="4">
        <f>VLOOKUP(A184,Response!$A:$M,10,)</f>
        <v>5</v>
      </c>
      <c r="P184" t="str">
        <f>VLOOKUP(A184,Response!$A:$M,12,)</f>
        <v>No</v>
      </c>
      <c r="Q184" t="str">
        <f>VLOOKUP(A184,Response!$A:$M,11,)</f>
        <v>Siruseri</v>
      </c>
      <c r="R184" t="s">
        <v>19</v>
      </c>
      <c r="S184" s="39" t="s">
        <v>37</v>
      </c>
    </row>
    <row r="185" spans="1:19">
      <c r="A185" s="3">
        <v>2521307</v>
      </c>
      <c r="B185" t="str">
        <f>VLOOKUP(A185,File!$A:$J,2,FALSE)</f>
        <v>Pranav A S</v>
      </c>
      <c r="C185" s="29">
        <f>VLOOKUP(A185,File!$A:$J,5,FALSE)</f>
        <v>46210</v>
      </c>
      <c r="D185" s="29" t="str">
        <f>VLOOKUP(A185,File!$A:$J,3,FALSE)</f>
        <v>Male</v>
      </c>
      <c r="E185" s="29" t="str">
        <f>VLOOKUP(A185,File!$A:$J,4,FALSE)</f>
        <v>FTE</v>
      </c>
      <c r="F185" s="29" t="str">
        <f>VLOOKUP(A185,File!$A:$J,6,FALSE)</f>
        <v>Chennai</v>
      </c>
      <c r="G185" s="29" t="str">
        <f>VLOOKUP(A185,File!$A:$J,7,FALSE)</f>
        <v>HPC26DN005</v>
      </c>
      <c r="H185" s="29" t="str">
        <f>VLOOKUP(A185,File!$A:$J,8,FALSE)</f>
        <v>Viveka Preethi</v>
      </c>
      <c r="I185" s="31">
        <f>VLOOKUP(A185,File!$A:$J,9,FALSE)</f>
        <v>46296</v>
      </c>
      <c r="J185" s="31" t="str">
        <f>VLOOKUP(A185,File!$A:$K,11,FALSE)</f>
        <v>Oct 2026</v>
      </c>
      <c r="K185" s="31" t="str">
        <f>VLOOKUP(A185,File!$A:$K,10,FALSE)</f>
        <v>In-Training</v>
      </c>
      <c r="L185" s="31" t="s">
        <v>4</v>
      </c>
      <c r="M185" t="str">
        <f>VLOOKUP(A185,Response!$A:$M,7,)</f>
        <v>PG (Paying Guest)</v>
      </c>
      <c r="N185" t="str">
        <f>VLOOKUP(A185,Response!$A:$M,8,)</f>
        <v>CHAKRA GENTS PG BRANCH 1</v>
      </c>
      <c r="O185" s="4">
        <f>VLOOKUP(A185,Response!$A:$M,10,)</f>
        <v>2</v>
      </c>
      <c r="P185" t="str">
        <f>VLOOKUP(A185,Response!$A:$M,12,)</f>
        <v>No</v>
      </c>
      <c r="Q185" t="str">
        <f>VLOOKUP(A185,Response!$A:$M,11,)</f>
        <v>Egattur</v>
      </c>
      <c r="R185" t="s">
        <v>19</v>
      </c>
      <c r="S185" s="39" t="s">
        <v>37</v>
      </c>
    </row>
    <row r="186" spans="1:19">
      <c r="A186" s="3">
        <v>2521256</v>
      </c>
      <c r="B186" t="str">
        <f>VLOOKUP(A186,File!$A:$J,2,FALSE)</f>
        <v>Suresh Babu K</v>
      </c>
      <c r="C186" s="29">
        <f>VLOOKUP(A186,File!$A:$J,5,FALSE)</f>
        <v>46210</v>
      </c>
      <c r="D186" s="29" t="str">
        <f>VLOOKUP(A186,File!$A:$J,3,FALSE)</f>
        <v>Male</v>
      </c>
      <c r="E186" s="29" t="str">
        <f>VLOOKUP(A186,File!$A:$J,4,FALSE)</f>
        <v>FTE</v>
      </c>
      <c r="F186" s="29" t="str">
        <f>VLOOKUP(A186,File!$A:$J,6,FALSE)</f>
        <v>Chennai</v>
      </c>
      <c r="G186" s="29" t="str">
        <f>VLOOKUP(A186,File!$A:$J,7,FALSE)</f>
        <v>HPC26DN005</v>
      </c>
      <c r="H186" s="29" t="str">
        <f>VLOOKUP(A186,File!$A:$J,8,FALSE)</f>
        <v>Viveka Preethi</v>
      </c>
      <c r="I186" s="31">
        <f>VLOOKUP(A186,File!$A:$J,9,FALSE)</f>
        <v>46296</v>
      </c>
      <c r="J186" s="31" t="str">
        <f>VLOOKUP(A186,File!$A:$K,11,FALSE)</f>
        <v>Oct 2026</v>
      </c>
      <c r="K186" s="31" t="str">
        <f>VLOOKUP(A186,File!$A:$K,10,FALSE)</f>
        <v>In-Training</v>
      </c>
      <c r="L186" s="31" t="s">
        <v>4</v>
      </c>
      <c r="M186" t="str">
        <f>VLOOKUP(A186,Response!$A:$M,7,)</f>
        <v>PG (Paying Guest)</v>
      </c>
      <c r="N186" t="str">
        <f>VLOOKUP(A186,Response!$A:$M,8,)</f>
        <v>Chakar Gents PG Branch 1, Egattur</v>
      </c>
      <c r="O186" s="4">
        <f>VLOOKUP(A186,Response!$A:$M,10,)</f>
        <v>2</v>
      </c>
      <c r="P186" t="str">
        <f>VLOOKUP(A186,Response!$A:$M,12,)</f>
        <v>Yes</v>
      </c>
      <c r="Q186" t="str">
        <f>VLOOKUP(A186,Response!$A:$M,11,)</f>
        <v>Egattur</v>
      </c>
      <c r="R186" t="s">
        <v>19</v>
      </c>
      <c r="S186" s="39" t="s">
        <v>37</v>
      </c>
    </row>
    <row r="187" spans="1:19">
      <c r="A187" s="3">
        <v>2521289</v>
      </c>
      <c r="B187" t="str">
        <f>VLOOKUP(A187,File!$A:$J,2,FALSE)</f>
        <v>Karri Jnan Kumar</v>
      </c>
      <c r="C187" s="29">
        <f>VLOOKUP(A187,File!$A:$J,5,FALSE)</f>
        <v>46210</v>
      </c>
      <c r="D187" s="29" t="str">
        <f>VLOOKUP(A187,File!$A:$J,3,FALSE)</f>
        <v>Male</v>
      </c>
      <c r="E187" s="29" t="str">
        <f>VLOOKUP(A187,File!$A:$J,4,FALSE)</f>
        <v>FTE</v>
      </c>
      <c r="F187" s="29" t="str">
        <f>VLOOKUP(A187,File!$A:$J,6,FALSE)</f>
        <v>Chennai</v>
      </c>
      <c r="G187" s="29" t="str">
        <f>VLOOKUP(A187,File!$A:$J,7,FALSE)</f>
        <v>SNBG26SN002</v>
      </c>
      <c r="H187" s="29" t="str">
        <f>VLOOKUP(A187,File!$A:$J,8,FALSE)</f>
        <v>Lawrance M</v>
      </c>
      <c r="I187" s="31">
        <f>VLOOKUP(A187,File!$A:$J,9,FALSE)</f>
        <v>46281</v>
      </c>
      <c r="J187" s="31" t="str">
        <f>VLOOKUP(A187,File!$A:$K,11,FALSE)</f>
        <v>Sep 2026</v>
      </c>
      <c r="K187" s="31" t="str">
        <f>VLOOKUP(A187,File!$A:$K,10,FALSE)</f>
        <v>In-Training</v>
      </c>
      <c r="L187" s="31" t="s">
        <v>4</v>
      </c>
      <c r="M187" t="str">
        <f>VLOOKUP(A187,Response!$A:$M,7,)</f>
        <v>PG (Paying Guest)</v>
      </c>
      <c r="N187" t="str">
        <f>VLOOKUP(A187,Response!$A:$M,8,)</f>
        <v>CHAKRA GENTS PG BRANCH 3</v>
      </c>
      <c r="O187" s="4">
        <f>VLOOKUP(A187,Response!$A:$M,10,)</f>
        <v>4</v>
      </c>
      <c r="P187" t="str">
        <f>VLOOKUP(A187,Response!$A:$M,12,)</f>
        <v>No</v>
      </c>
      <c r="Q187" t="str">
        <f>VLOOKUP(A187,Response!$A:$M,11,)</f>
        <v>Siruseri</v>
      </c>
      <c r="R187" t="s">
        <v>19</v>
      </c>
      <c r="S187" s="39" t="s">
        <v>37</v>
      </c>
    </row>
    <row r="188" spans="1:19">
      <c r="A188" s="3">
        <v>2521287</v>
      </c>
      <c r="B188" t="str">
        <f>VLOOKUP(A188,File!$A:$J,2,FALSE)</f>
        <v>Killamsetti Jayaram</v>
      </c>
      <c r="C188" s="29">
        <f>VLOOKUP(A188,File!$A:$J,5,FALSE)</f>
        <v>46210</v>
      </c>
      <c r="D188" s="29" t="str">
        <f>VLOOKUP(A188,File!$A:$J,3,FALSE)</f>
        <v>Male</v>
      </c>
      <c r="E188" s="29" t="str">
        <f>VLOOKUP(A188,File!$A:$J,4,FALSE)</f>
        <v>FTE</v>
      </c>
      <c r="F188" s="29" t="str">
        <f>VLOOKUP(A188,File!$A:$J,6,FALSE)</f>
        <v>Chennai</v>
      </c>
      <c r="G188" s="29" t="str">
        <f>VLOOKUP(A188,File!$A:$J,7,FALSE)</f>
        <v>SNBG26SN002</v>
      </c>
      <c r="H188" s="29" t="str">
        <f>VLOOKUP(A188,File!$A:$J,8,FALSE)</f>
        <v>Lawrance M</v>
      </c>
      <c r="I188" s="31">
        <f>VLOOKUP(A188,File!$A:$J,9,FALSE)</f>
        <v>46281</v>
      </c>
      <c r="J188" s="31" t="str">
        <f>VLOOKUP(A188,File!$A:$K,11,FALSE)</f>
        <v>Sep 2026</v>
      </c>
      <c r="K188" s="31" t="str">
        <f>VLOOKUP(A188,File!$A:$K,10,FALSE)</f>
        <v>In-Training</v>
      </c>
      <c r="L188" s="31" t="s">
        <v>4</v>
      </c>
      <c r="M188" t="str">
        <f>VLOOKUP(A188,Response!$A:$M,7,)</f>
        <v>PG (Paying Guest)</v>
      </c>
      <c r="N188" t="str">
        <f>VLOOKUP(A188,Response!$A:$M,8,)</f>
        <v>CHAKRA GENTS PG BRANCH 3</v>
      </c>
      <c r="O188" s="4">
        <f>VLOOKUP(A188,Response!$A:$M,10,)</f>
        <v>4</v>
      </c>
      <c r="P188" t="str">
        <f>VLOOKUP(A188,Response!$A:$M,12,)</f>
        <v>No</v>
      </c>
      <c r="Q188" t="str">
        <f>VLOOKUP(A188,Response!$A:$M,11,)</f>
        <v>Siruseri</v>
      </c>
      <c r="R188" t="s">
        <v>19</v>
      </c>
      <c r="S188" s="39" t="s">
        <v>37</v>
      </c>
    </row>
    <row r="189" spans="1:19">
      <c r="A189" s="3">
        <v>2521272</v>
      </c>
      <c r="B189" t="str">
        <f>VLOOKUP(A189,File!$A:$J,2,FALSE)</f>
        <v>Vayilapalli Dileep</v>
      </c>
      <c r="C189" s="29">
        <f>VLOOKUP(A189,File!$A:$J,5,FALSE)</f>
        <v>46210</v>
      </c>
      <c r="D189" s="29" t="str">
        <f>VLOOKUP(A189,File!$A:$J,3,FALSE)</f>
        <v>Male</v>
      </c>
      <c r="E189" s="29" t="str">
        <f>VLOOKUP(A189,File!$A:$J,4,FALSE)</f>
        <v>FTE</v>
      </c>
      <c r="F189" s="29" t="str">
        <f>VLOOKUP(A189,File!$A:$J,6,FALSE)</f>
        <v>Chennai</v>
      </c>
      <c r="G189" s="29" t="str">
        <f>VLOOKUP(A189,File!$A:$J,7,FALSE)</f>
        <v>SNBG26SN003</v>
      </c>
      <c r="H189" s="29" t="str">
        <f>VLOOKUP(A189,File!$A:$J,8,FALSE)</f>
        <v>Lawrance M</v>
      </c>
      <c r="I189" s="31">
        <f>VLOOKUP(A189,File!$A:$J,9,FALSE)</f>
        <v>46281</v>
      </c>
      <c r="J189" s="31" t="str">
        <f>VLOOKUP(A189,File!$A:$K,11,FALSE)</f>
        <v>Sep 2026</v>
      </c>
      <c r="K189" s="31" t="str">
        <f>VLOOKUP(A189,File!$A:$K,10,FALSE)</f>
        <v>In-Training</v>
      </c>
      <c r="L189" s="31" t="s">
        <v>4</v>
      </c>
      <c r="M189" t="str">
        <f>VLOOKUP(A189,Response!$A:$M,7,)</f>
        <v>PG (Paying Guest)</v>
      </c>
      <c r="N189" t="str">
        <f>VLOOKUP(A189,Response!$A:$M,8,)</f>
        <v>CHAKRA GENTS PG BRANCH 3, TVH TERA HUB, 6 th Street, Rajiv Gandhi Salai, SIPCOT, Siruseri, Chennai, Tamil Nadu 603103</v>
      </c>
      <c r="O189" s="4">
        <f>VLOOKUP(A189,Response!$A:$M,10,)</f>
        <v>4</v>
      </c>
      <c r="P189" t="str">
        <f>VLOOKUP(A189,Response!$A:$M,12,)</f>
        <v>No</v>
      </c>
      <c r="Q189" t="str">
        <f>VLOOKUP(A189,Response!$A:$M,11,)</f>
        <v>Siruseri</v>
      </c>
      <c r="R189" t="s">
        <v>19</v>
      </c>
      <c r="S189" s="39" t="s">
        <v>37</v>
      </c>
    </row>
    <row r="190" spans="1:19">
      <c r="A190" s="3">
        <v>2521811</v>
      </c>
      <c r="B190" t="str">
        <f>VLOOKUP(A190,File!$A:$J,2,FALSE)</f>
        <v>Yash Kumar Pathak</v>
      </c>
      <c r="C190" s="29">
        <f>VLOOKUP(A190,File!$A:$J,5,FALSE)</f>
        <v>46212</v>
      </c>
      <c r="D190" s="29" t="str">
        <f>VLOOKUP(A190,File!$A:$J,3,FALSE)</f>
        <v>Male</v>
      </c>
      <c r="E190" s="29" t="str">
        <f>VLOOKUP(A190,File!$A:$J,4,FALSE)</f>
        <v>FTE</v>
      </c>
      <c r="F190" s="29" t="str">
        <f>VLOOKUP(A190,File!$A:$J,6,FALSE)</f>
        <v>Chennai</v>
      </c>
      <c r="G190" s="29" t="str">
        <f>VLOOKUP(A190,File!$A:$J,7,FALSE)</f>
        <v>ADM26MF010</v>
      </c>
      <c r="H190" s="29" t="str">
        <f>VLOOKUP(A190,File!$A:$J,8,FALSE)</f>
        <v>Thomas Naveen. J</v>
      </c>
      <c r="I190" s="31">
        <f>VLOOKUP(A190,File!$A:$J,9,FALSE)</f>
        <v>46328</v>
      </c>
      <c r="J190" s="31" t="str">
        <f>VLOOKUP(A190,File!$A:$K,11,FALSE)</f>
        <v>Nov 2026</v>
      </c>
      <c r="K190" s="31" t="str">
        <f>VLOOKUP(A190,File!$A:$K,10,FALSE)</f>
        <v>In-Training</v>
      </c>
      <c r="L190" s="31" t="s">
        <v>4</v>
      </c>
      <c r="M190" t="str">
        <f>VLOOKUP(A190,Response!$A:$M,7,)</f>
        <v>PG (Paying Guest)</v>
      </c>
      <c r="N190" t="str">
        <f>VLOOKUP(A190,Response!$A:$M,8,)</f>
        <v>Chakra Gents PG-Branch 1, Egattur</v>
      </c>
      <c r="O190" s="4">
        <f>VLOOKUP(A190,Response!$A:$M,10,)</f>
        <v>3</v>
      </c>
      <c r="P190" t="str">
        <f>VLOOKUP(A190,Response!$A:$M,12,)</f>
        <v>No</v>
      </c>
      <c r="Q190" t="str">
        <f>VLOOKUP(A190,Response!$A:$M,11,)</f>
        <v>Siruseri</v>
      </c>
      <c r="R190" t="s">
        <v>19</v>
      </c>
      <c r="S190" s="39" t="s">
        <v>37</v>
      </c>
    </row>
    <row r="191" spans="1:19">
      <c r="A191" s="3">
        <v>2522852</v>
      </c>
      <c r="B191" t="str">
        <f>VLOOKUP(A191,File!$A:$J,2,FALSE)</f>
        <v>Tamilkumaran S M</v>
      </c>
      <c r="C191" s="29">
        <f>VLOOKUP(A191,File!$A:$J,5,FALSE)</f>
        <v>46217</v>
      </c>
      <c r="D191" s="29" t="str">
        <f>VLOOKUP(A191,File!$A:$J,3,FALSE)</f>
        <v>Male</v>
      </c>
      <c r="E191" s="29" t="str">
        <f>VLOOKUP(A191,File!$A:$J,4,FALSE)</f>
        <v>FTE</v>
      </c>
      <c r="F191" s="29" t="str">
        <f>VLOOKUP(A191,File!$A:$J,6,FALSE)</f>
        <v>Chennai</v>
      </c>
      <c r="G191" s="29" t="str">
        <f>VLOOKUP(A191,File!$A:$J,7,FALSE)</f>
        <v>CIS26MCPT017</v>
      </c>
      <c r="H191" s="29" t="str">
        <f>VLOOKUP(A191,File!$A:$J,8,FALSE)</f>
        <v>Haritha P</v>
      </c>
      <c r="I191" s="31">
        <f>VLOOKUP(A191,File!$A:$J,9,FALSE)</f>
        <v>46335</v>
      </c>
      <c r="J191" s="31" t="str">
        <f>VLOOKUP(A191,File!$A:$K,11,FALSE)</f>
        <v>Nov 2026</v>
      </c>
      <c r="K191" s="31" t="str">
        <f>VLOOKUP(A191,File!$A:$K,10,FALSE)</f>
        <v>In-Training</v>
      </c>
      <c r="L191" s="31" t="s">
        <v>4</v>
      </c>
      <c r="M191" t="str">
        <f>VLOOKUP(A191,Response!$A:$M,7,)</f>
        <v>PG (Paying Guest)</v>
      </c>
      <c r="N191" t="str">
        <f>VLOOKUP(A191,Response!$A:$M,8,)</f>
        <v>Chakra mens pg, Doctor Ambedkar street, Egattur, Uthandi, Chengalpattu, Tamil Nadu - 600130</v>
      </c>
      <c r="O191" s="4">
        <f>VLOOKUP(A191,Response!$A:$M,10,)</f>
        <v>4</v>
      </c>
      <c r="P191" t="str">
        <f>VLOOKUP(A191,Response!$A:$M,12,)</f>
        <v>Yes</v>
      </c>
      <c r="Q191" t="str">
        <f>VLOOKUP(A191,Response!$A:$M,11,)</f>
        <v>Siruseri</v>
      </c>
      <c r="R191" t="s">
        <v>19</v>
      </c>
      <c r="S191" s="39" t="s">
        <v>37</v>
      </c>
    </row>
    <row r="192" spans="1:19">
      <c r="A192" s="3">
        <v>2529595</v>
      </c>
      <c r="B192" t="str">
        <f>VLOOKUP(A192,File!$A:$J,2,FALSE)</f>
        <v>Amartya Menon PP</v>
      </c>
      <c r="C192" s="29">
        <f>VLOOKUP(A192,File!$A:$J,5,FALSE)</f>
        <v>46245</v>
      </c>
      <c r="D192" s="29" t="str">
        <f>VLOOKUP(A192,File!$A:$J,3,FALSE)</f>
        <v>Male</v>
      </c>
      <c r="E192" s="29" t="str">
        <f>VLOOKUP(A192,File!$A:$J,4,FALSE)</f>
        <v>FTE</v>
      </c>
      <c r="F192" s="29" t="str">
        <f>VLOOKUP(A192,File!$A:$J,6,FALSE)</f>
        <v>Chennai</v>
      </c>
      <c r="G192" s="29" t="str">
        <f>VLOOKUP(A192,File!$A:$J,7,FALSE)</f>
        <v>CIS26MCPT022</v>
      </c>
      <c r="H192" s="29" t="str">
        <f>VLOOKUP(A192,File!$A:$J,8,FALSE)</f>
        <v>Laksiya Vijayendran</v>
      </c>
      <c r="I192" s="31">
        <f>VLOOKUP(A192,File!$A:$J,9,FALSE)</f>
        <v>46359</v>
      </c>
      <c r="J192" s="31" t="str">
        <f>VLOOKUP(A192,File!$A:$K,11,FALSE)</f>
        <v>Dec 2026</v>
      </c>
      <c r="K192" s="31" t="str">
        <f>VLOOKUP(A192,File!$A:$K,10,FALSE)</f>
        <v>In-Training</v>
      </c>
      <c r="L192" s="31" t="s">
        <v>4</v>
      </c>
      <c r="M192" t="str">
        <f>VLOOKUP(A192,Response!$A:$M,7,)</f>
        <v>PG (Paying Guest)</v>
      </c>
      <c r="N192" t="str">
        <f>VLOOKUP(A192,Response!$A:$M,8,)</f>
        <v>Chandra Gents Pg</v>
      </c>
      <c r="O192" s="4">
        <f>VLOOKUP(A192,Response!$A:$M,10,)</f>
        <v>1</v>
      </c>
      <c r="P192" t="str">
        <f>VLOOKUP(A192,Response!$A:$M,12,)</f>
        <v>No</v>
      </c>
      <c r="Q192" t="str">
        <f>VLOOKUP(A192,Response!$A:$M,11,)</f>
        <v>Siruseri</v>
      </c>
      <c r="R192" t="s">
        <v>19</v>
      </c>
      <c r="S192" s="39" t="s">
        <v>37</v>
      </c>
    </row>
    <row r="193" spans="1:19">
      <c r="A193" s="3">
        <v>2529507</v>
      </c>
      <c r="B193" t="str">
        <f>VLOOKUP(A193,File!$A:$J,2,FALSE)</f>
        <v>Rosshan N R</v>
      </c>
      <c r="C193" s="29">
        <f>VLOOKUP(A193,File!$A:$J,5,FALSE)</f>
        <v>46245</v>
      </c>
      <c r="D193" s="29" t="str">
        <f>VLOOKUP(A193,File!$A:$J,3,FALSE)</f>
        <v>Male</v>
      </c>
      <c r="E193" s="29" t="str">
        <f>VLOOKUP(A193,File!$A:$J,4,FALSE)</f>
        <v>FTE</v>
      </c>
      <c r="F193" s="29" t="str">
        <f>VLOOKUP(A193,File!$A:$J,6,FALSE)</f>
        <v>Chennai</v>
      </c>
      <c r="G193" s="29" t="str">
        <f>VLOOKUP(A193,File!$A:$J,7,FALSE)</f>
        <v>CIS26MCPT022</v>
      </c>
      <c r="H193" s="29" t="str">
        <f>VLOOKUP(A193,File!$A:$J,8,FALSE)</f>
        <v>Laksiya Vijayendran</v>
      </c>
      <c r="I193" s="31">
        <f>VLOOKUP(A193,File!$A:$J,9,FALSE)</f>
        <v>46359</v>
      </c>
      <c r="J193" s="31" t="str">
        <f>VLOOKUP(A193,File!$A:$K,11,FALSE)</f>
        <v>Dec 2026</v>
      </c>
      <c r="K193" s="31" t="str">
        <f>VLOOKUP(A193,File!$A:$K,10,FALSE)</f>
        <v>In-Training</v>
      </c>
      <c r="L193" s="31" t="s">
        <v>4</v>
      </c>
      <c r="M193" t="str">
        <f>VLOOKUP(A193,Response!$A:$M,7,)</f>
        <v>PG (Paying Guest)</v>
      </c>
      <c r="N193" t="str">
        <f>VLOOKUP(A193,Response!$A:$M,8,)</f>
        <v>Chandra gents pg</v>
      </c>
      <c r="O193" s="4">
        <f>VLOOKUP(A193,Response!$A:$M,10,)</f>
        <v>1</v>
      </c>
      <c r="P193" t="str">
        <f>VLOOKUP(A193,Response!$A:$M,12,)</f>
        <v>Yes</v>
      </c>
      <c r="Q193" t="str">
        <f>VLOOKUP(A193,Response!$A:$M,11,)</f>
        <v>Egattur</v>
      </c>
      <c r="R193" t="s">
        <v>19</v>
      </c>
      <c r="S193" s="39" t="s">
        <v>37</v>
      </c>
    </row>
    <row r="194" spans="1:19">
      <c r="A194" s="3">
        <v>2529777</v>
      </c>
      <c r="B194" t="str">
        <f>VLOOKUP(A194,File!$A:$J,2,FALSE)</f>
        <v>Rohit Kishor Dhandar</v>
      </c>
      <c r="C194" s="29">
        <f>VLOOKUP(A194,File!$A:$J,5,FALSE)</f>
        <v>46245</v>
      </c>
      <c r="D194" s="29" t="str">
        <f>VLOOKUP(A194,File!$A:$J,3,FALSE)</f>
        <v>Male</v>
      </c>
      <c r="E194" s="29" t="str">
        <f>VLOOKUP(A194,File!$A:$J,4,FALSE)</f>
        <v>FTE</v>
      </c>
      <c r="F194" s="29" t="str">
        <f>VLOOKUP(A194,File!$A:$J,6,FALSE)</f>
        <v>Chennai</v>
      </c>
      <c r="G194" s="29" t="str">
        <f>VLOOKUP(A194,File!$A:$J,7,FALSE)</f>
        <v>CIS26MCPT026</v>
      </c>
      <c r="H194" s="29" t="str">
        <f>VLOOKUP(A194,File!$A:$J,8,FALSE)</f>
        <v>Mohamed Harish</v>
      </c>
      <c r="I194" s="31">
        <f>VLOOKUP(A194,File!$A:$J,9,FALSE)</f>
        <v>46364</v>
      </c>
      <c r="J194" s="31" t="str">
        <f>VLOOKUP(A194,File!$A:$K,11,FALSE)</f>
        <v>Dec 2026</v>
      </c>
      <c r="K194" s="31" t="str">
        <f>VLOOKUP(A194,File!$A:$K,10,FALSE)</f>
        <v>In-Training</v>
      </c>
      <c r="L194" s="31" t="s">
        <v>4</v>
      </c>
      <c r="M194" t="str">
        <f>VLOOKUP(A194,Response!$A:$M,7,)</f>
        <v>PG (Paying Guest)</v>
      </c>
      <c r="N194" t="str">
        <f>VLOOKUP(A194,Response!$A:$M,8,)</f>
        <v>Chandra Gents PG</v>
      </c>
      <c r="O194" s="4">
        <f>VLOOKUP(A194,Response!$A:$M,10,)</f>
        <v>3</v>
      </c>
      <c r="P194" t="str">
        <f>VLOOKUP(A194,Response!$A:$M,12,)</f>
        <v>No</v>
      </c>
      <c r="Q194" t="str">
        <f>VLOOKUP(A194,Response!$A:$M,11,)</f>
        <v>Egattur</v>
      </c>
      <c r="R194" t="s">
        <v>19</v>
      </c>
      <c r="S194" s="39" t="s">
        <v>37</v>
      </c>
    </row>
    <row r="195" spans="1:19">
      <c r="A195" s="3">
        <v>2529783</v>
      </c>
      <c r="B195" t="str">
        <f>VLOOKUP(A195,File!$A:$J,2,FALSE)</f>
        <v>Pathan Naveed Khan</v>
      </c>
      <c r="C195" s="29">
        <f>VLOOKUP(A195,File!$A:$J,5,FALSE)</f>
        <v>46245</v>
      </c>
      <c r="D195" s="29" t="str">
        <f>VLOOKUP(A195,File!$A:$J,3,FALSE)</f>
        <v>Male</v>
      </c>
      <c r="E195" s="29" t="str">
        <f>VLOOKUP(A195,File!$A:$J,4,FALSE)</f>
        <v>FTE</v>
      </c>
      <c r="F195" s="29" t="str">
        <f>VLOOKUP(A195,File!$A:$J,6,FALSE)</f>
        <v>Chennai</v>
      </c>
      <c r="G195" s="29" t="str">
        <f>VLOOKUP(A195,File!$A:$J,7,FALSE)</f>
        <v>CIS26MCPT026</v>
      </c>
      <c r="H195" s="29" t="str">
        <f>VLOOKUP(A195,File!$A:$J,8,FALSE)</f>
        <v>Mohamed Harish</v>
      </c>
      <c r="I195" s="31">
        <f>VLOOKUP(A195,File!$A:$J,9,FALSE)</f>
        <v>46364</v>
      </c>
      <c r="J195" s="31" t="str">
        <f>VLOOKUP(A195,File!$A:$K,11,FALSE)</f>
        <v>Dec 2026</v>
      </c>
      <c r="K195" s="31" t="str">
        <f>VLOOKUP(A195,File!$A:$K,10,FALSE)</f>
        <v>In-Training</v>
      </c>
      <c r="L195" s="31" t="s">
        <v>4</v>
      </c>
      <c r="M195" t="str">
        <f>VLOOKUP(A195,Response!$A:$M,7,)</f>
        <v>PG (Paying Guest)</v>
      </c>
      <c r="N195" t="str">
        <f>VLOOKUP(A195,Response!$A:$M,8,)</f>
        <v>Chandra gents Pg</v>
      </c>
      <c r="O195" s="4">
        <f>VLOOKUP(A195,Response!$A:$M,10,)</f>
        <v>3</v>
      </c>
      <c r="P195" t="str">
        <f>VLOOKUP(A195,Response!$A:$M,12,)</f>
        <v>No</v>
      </c>
      <c r="Q195" t="str">
        <f>VLOOKUP(A195,Response!$A:$M,11,)</f>
        <v>Egattur</v>
      </c>
      <c r="R195" t="s">
        <v>19</v>
      </c>
      <c r="S195" s="39" t="s">
        <v>37</v>
      </c>
    </row>
    <row r="196" spans="1:19">
      <c r="A196" s="3">
        <v>2532985</v>
      </c>
      <c r="B196" t="str">
        <f>VLOOKUP(A196,File!$A:$J,2,FALSE)</f>
        <v>Mukunda Sagar Varma Amireddy</v>
      </c>
      <c r="C196" s="29">
        <f>VLOOKUP(A196,File!$A:$J,5,FALSE)</f>
        <v>46259</v>
      </c>
      <c r="D196" s="29" t="str">
        <f>VLOOKUP(A196,File!$A:$J,3,FALSE)</f>
        <v>Male</v>
      </c>
      <c r="E196" s="29" t="str">
        <f>VLOOKUP(A196,File!$A:$J,4,FALSE)</f>
        <v>FTE</v>
      </c>
      <c r="F196" s="29" t="str">
        <f>VLOOKUP(A196,File!$A:$J,6,FALSE)</f>
        <v>Chennai</v>
      </c>
      <c r="G196" s="29" t="str">
        <f>VLOOKUP(A196,File!$A:$J,7,FALSE)</f>
        <v>CIS26MBG004</v>
      </c>
      <c r="H196" s="29" t="str">
        <f>VLOOKUP(A196,File!$A:$J,8,FALSE)</f>
        <v>Kishorekumar P</v>
      </c>
      <c r="I196" s="31">
        <f>VLOOKUP(A196,File!$A:$J,9,FALSE)</f>
        <v>46367</v>
      </c>
      <c r="J196" s="31" t="str">
        <f>VLOOKUP(A196,File!$A:$K,11,FALSE)</f>
        <v>Dec 2026</v>
      </c>
      <c r="K196" s="31" t="str">
        <f>VLOOKUP(A196,File!$A:$K,10,FALSE)</f>
        <v>In-Training</v>
      </c>
      <c r="L196" s="31" t="s">
        <v>4</v>
      </c>
      <c r="M196" t="str">
        <f>VLOOKUP(A196,Response!$A:$M,7,)</f>
        <v>PG (Paying Guest)</v>
      </c>
      <c r="N196" t="str">
        <f>VLOOKUP(A196,Response!$A:$M,8,)</f>
        <v>Chandra Gents PG</v>
      </c>
      <c r="O196" s="4">
        <f>VLOOKUP(A196,Response!$A:$M,10,)</f>
        <v>4</v>
      </c>
      <c r="P196" t="str">
        <f>VLOOKUP(A196,Response!$A:$M,12,)</f>
        <v>No</v>
      </c>
      <c r="Q196" t="str">
        <f>VLOOKUP(A196,Response!$A:$M,11,)</f>
        <v>Egattur</v>
      </c>
      <c r="R196" t="s">
        <v>19</v>
      </c>
      <c r="S196" s="39" t="s">
        <v>37</v>
      </c>
    </row>
    <row r="197" spans="1:19">
      <c r="A197" s="3">
        <v>2533027</v>
      </c>
      <c r="B197" t="str">
        <f>VLOOKUP(A197,File!$A:$J,2,FALSE)</f>
        <v>Mudde Vijay</v>
      </c>
      <c r="C197" s="29">
        <f>VLOOKUP(A197,File!$A:$J,5,FALSE)</f>
        <v>46259</v>
      </c>
      <c r="D197" s="29" t="str">
        <f>VLOOKUP(A197,File!$A:$J,3,FALSE)</f>
        <v>Male</v>
      </c>
      <c r="E197" s="29" t="str">
        <f>VLOOKUP(A197,File!$A:$J,4,FALSE)</f>
        <v>FTE</v>
      </c>
      <c r="F197" s="29" t="str">
        <f>VLOOKUP(A197,File!$A:$J,6,FALSE)</f>
        <v>Chennai</v>
      </c>
      <c r="G197" s="29" t="str">
        <f>VLOOKUP(A197,File!$A:$J,7,FALSE)</f>
        <v>CIS26AT008</v>
      </c>
      <c r="H197" s="29" t="str">
        <f>VLOOKUP(A197,File!$A:$J,8,FALSE)</f>
        <v>Uma Venkatachalam</v>
      </c>
      <c r="I197" s="31">
        <f>VLOOKUP(A197,File!$A:$J,9,FALSE)</f>
        <v>46365</v>
      </c>
      <c r="J197" s="31" t="str">
        <f>VLOOKUP(A197,File!$A:$K,11,FALSE)</f>
        <v>Dec 2026</v>
      </c>
      <c r="K197" s="31" t="str">
        <f>VLOOKUP(A197,File!$A:$K,10,FALSE)</f>
        <v>In-Training</v>
      </c>
      <c r="L197" s="31" t="s">
        <v>4</v>
      </c>
      <c r="M197" t="str">
        <f>VLOOKUP(A197,Response!$A:$M,7,)</f>
        <v>PG (Paying Guest)</v>
      </c>
      <c r="N197" t="str">
        <f>VLOOKUP(A197,Response!$A:$M,8,)</f>
        <v>Chandra gents PG</v>
      </c>
      <c r="O197" s="4">
        <f>VLOOKUP(A197,Response!$A:$M,10,)</f>
        <v>4</v>
      </c>
      <c r="P197" t="str">
        <f>VLOOKUP(A197,Response!$A:$M,12,)</f>
        <v>No</v>
      </c>
      <c r="Q197" t="str">
        <f>VLOOKUP(A197,Response!$A:$M,11,)</f>
        <v>Egattur</v>
      </c>
      <c r="R197" t="s">
        <v>19</v>
      </c>
      <c r="S197" s="39" t="s">
        <v>37</v>
      </c>
    </row>
    <row r="198" spans="1:19">
      <c r="A198" s="3">
        <v>2529621</v>
      </c>
      <c r="B198" t="str">
        <f>VLOOKUP(A198,File!$A:$J,2,FALSE)</f>
        <v>Noel Alexander V</v>
      </c>
      <c r="C198" s="29">
        <f>VLOOKUP(A198,File!$A:$J,5,FALSE)</f>
        <v>46245</v>
      </c>
      <c r="D198" s="29" t="str">
        <f>VLOOKUP(A198,File!$A:$J,3,FALSE)</f>
        <v>Male</v>
      </c>
      <c r="E198" s="29" t="str">
        <f>VLOOKUP(A198,File!$A:$J,4,FALSE)</f>
        <v>FTE</v>
      </c>
      <c r="F198" s="29" t="str">
        <f>VLOOKUP(A198,File!$A:$J,6,FALSE)</f>
        <v>Chennai</v>
      </c>
      <c r="G198" s="29" t="str">
        <f>VLOOKUP(A198,File!$A:$J,7,FALSE)</f>
        <v>CIS26MCPT024</v>
      </c>
      <c r="H198" s="29" t="str">
        <f>VLOOKUP(A198,File!$A:$J,8,FALSE)</f>
        <v>Ashiya Begam S</v>
      </c>
      <c r="I198" s="31">
        <f>VLOOKUP(A198,File!$A:$J,9,FALSE)</f>
        <v>46359</v>
      </c>
      <c r="J198" s="31" t="str">
        <f>VLOOKUP(A198,File!$A:$K,11,FALSE)</f>
        <v>Dec 2026</v>
      </c>
      <c r="K198" s="31" t="str">
        <f>VLOOKUP(A198,File!$A:$K,10,FALSE)</f>
        <v>In-Training</v>
      </c>
      <c r="L198" s="31" t="s">
        <v>4</v>
      </c>
      <c r="M198" t="str">
        <f>VLOOKUP(A198,Response!$A:$M,7,)</f>
        <v>PG (Paying Guest)</v>
      </c>
      <c r="N198" t="str">
        <f>VLOOKUP(A198,Response!$A:$M,8,)</f>
        <v xml:space="preserve">Chandra Gents Pg </v>
      </c>
      <c r="O198" s="4">
        <f>VLOOKUP(A198,Response!$A:$M,10,)</f>
        <v>1</v>
      </c>
      <c r="P198" t="str">
        <f>VLOOKUP(A198,Response!$A:$M,12,)</f>
        <v>Yes</v>
      </c>
      <c r="Q198" t="str">
        <f>VLOOKUP(A198,Response!$A:$M,11,)</f>
        <v>Siruseri</v>
      </c>
      <c r="R198" t="s">
        <v>19</v>
      </c>
      <c r="S198" s="39" t="s">
        <v>37</v>
      </c>
    </row>
    <row r="199" spans="1:19">
      <c r="A199" s="3">
        <v>2529780</v>
      </c>
      <c r="B199" t="str">
        <f>VLOOKUP(A199,File!$A:$J,2,FALSE)</f>
        <v>Mohammad Arqum Hasanuddin</v>
      </c>
      <c r="C199" s="29">
        <f>VLOOKUP(A199,File!$A:$J,5,FALSE)</f>
        <v>46245</v>
      </c>
      <c r="D199" s="29" t="str">
        <f>VLOOKUP(A199,File!$A:$J,3,FALSE)</f>
        <v>Male</v>
      </c>
      <c r="E199" s="29" t="str">
        <f>VLOOKUP(A199,File!$A:$J,4,FALSE)</f>
        <v>FTE</v>
      </c>
      <c r="F199" s="29" t="str">
        <f>VLOOKUP(A199,File!$A:$J,6,FALSE)</f>
        <v>Chennai</v>
      </c>
      <c r="G199" s="29" t="str">
        <f>VLOOKUP(A199,File!$A:$J,7,FALSE)</f>
        <v>CIS26MCPT026</v>
      </c>
      <c r="H199" s="29" t="str">
        <f>VLOOKUP(A199,File!$A:$J,8,FALSE)</f>
        <v>Mohamed Harish</v>
      </c>
      <c r="I199" s="31">
        <f>VLOOKUP(A199,File!$A:$J,9,FALSE)</f>
        <v>46364</v>
      </c>
      <c r="J199" s="31" t="str">
        <f>VLOOKUP(A199,File!$A:$K,11,FALSE)</f>
        <v>Dec 2026</v>
      </c>
      <c r="K199" s="31" t="str">
        <f>VLOOKUP(A199,File!$A:$K,10,FALSE)</f>
        <v>In-Training</v>
      </c>
      <c r="L199" s="31" t="s">
        <v>4</v>
      </c>
      <c r="M199" t="str">
        <f>VLOOKUP(A199,Response!$A:$M,7,)</f>
        <v>PG (Paying Guest)</v>
      </c>
      <c r="N199" t="str">
        <f>VLOOKUP(A199,Response!$A:$M,8,)</f>
        <v xml:space="preserve">Chandra Gents Pg , TVH terra Hub , Siruseri </v>
      </c>
      <c r="O199" s="4">
        <f>VLOOKUP(A199,Response!$A:$M,10,)</f>
        <v>3</v>
      </c>
      <c r="P199" t="str">
        <f>VLOOKUP(A199,Response!$A:$M,12,)</f>
        <v>No</v>
      </c>
      <c r="Q199" t="str">
        <f>VLOOKUP(A199,Response!$A:$M,11,)</f>
        <v>Siruseri</v>
      </c>
      <c r="R199" t="s">
        <v>19</v>
      </c>
      <c r="S199" s="39" t="s">
        <v>37</v>
      </c>
    </row>
    <row r="200" spans="1:19">
      <c r="A200" s="3">
        <v>2533028</v>
      </c>
      <c r="B200" t="str">
        <f>VLOOKUP(A200,File!$A:$J,2,FALSE)</f>
        <v>Velagani Venkata Durga Prasad</v>
      </c>
      <c r="C200" s="29">
        <f>VLOOKUP(A200,File!$A:$J,5,FALSE)</f>
        <v>46259</v>
      </c>
      <c r="D200" s="29" t="str">
        <f>VLOOKUP(A200,File!$A:$J,3,FALSE)</f>
        <v>Male</v>
      </c>
      <c r="E200" s="29" t="str">
        <f>VLOOKUP(A200,File!$A:$J,4,FALSE)</f>
        <v>FTE</v>
      </c>
      <c r="F200" s="29" t="str">
        <f>VLOOKUP(A200,File!$A:$J,6,FALSE)</f>
        <v>Chennai</v>
      </c>
      <c r="G200" s="29" t="str">
        <f>VLOOKUP(A200,File!$A:$J,7,FALSE)</f>
        <v>IOT26CSJ002</v>
      </c>
      <c r="H200" s="29" t="str">
        <f>VLOOKUP(A200,File!$A:$J,8,FALSE)</f>
        <v>Pavithra Kandasamy</v>
      </c>
      <c r="I200" s="31">
        <f>VLOOKUP(A200,File!$A:$J,9,FALSE)</f>
        <v>46337</v>
      </c>
      <c r="J200" s="31" t="str">
        <f>VLOOKUP(A200,File!$A:$K,11,FALSE)</f>
        <v>Nov 2026</v>
      </c>
      <c r="K200" s="31" t="str">
        <f>VLOOKUP(A200,File!$A:$K,10,FALSE)</f>
        <v>In-Training</v>
      </c>
      <c r="L200" s="31" t="s">
        <v>4</v>
      </c>
      <c r="M200" t="str">
        <f>VLOOKUP(A200,Response!$A:$M,7,)</f>
        <v>PG (Paying Guest)</v>
      </c>
      <c r="N200" t="str">
        <f>VLOOKUP(A200,Response!$A:$M,8,)</f>
        <v>Chandra Gents PG, 4th street TVH TerraHub, Near Mohammed Satak College, Siruseri.</v>
      </c>
      <c r="O200" s="4">
        <f>VLOOKUP(A200,Response!$A:$M,10,)</f>
        <v>4</v>
      </c>
      <c r="P200" t="str">
        <f>VLOOKUP(A200,Response!$A:$M,12,)</f>
        <v>No</v>
      </c>
      <c r="Q200" t="str">
        <f>VLOOKUP(A200,Response!$A:$M,11,)</f>
        <v>Egattur</v>
      </c>
      <c r="R200" t="s">
        <v>19</v>
      </c>
      <c r="S200" s="39" t="s">
        <v>37</v>
      </c>
    </row>
    <row r="201" spans="1:19">
      <c r="A201" s="3">
        <v>2533006</v>
      </c>
      <c r="B201" t="str">
        <f>VLOOKUP(A201,File!$A:$J,2,FALSE)</f>
        <v>Vatsavayi Mahendra Varma</v>
      </c>
      <c r="C201" s="29">
        <f>VLOOKUP(A201,File!$A:$J,5,FALSE)</f>
        <v>46259</v>
      </c>
      <c r="D201" s="29" t="str">
        <f>VLOOKUP(A201,File!$A:$J,3,FALSE)</f>
        <v>Male</v>
      </c>
      <c r="E201" s="29" t="str">
        <f>VLOOKUP(A201,File!$A:$J,4,FALSE)</f>
        <v>FTE</v>
      </c>
      <c r="F201" s="29" t="str">
        <f>VLOOKUP(A201,File!$A:$J,6,FALSE)</f>
        <v>Chennai</v>
      </c>
      <c r="G201" s="29" t="str">
        <f>VLOOKUP(A201,File!$A:$J,7,FALSE)</f>
        <v>CIS26AT008</v>
      </c>
      <c r="H201" s="29" t="str">
        <f>VLOOKUP(A201,File!$A:$J,8,FALSE)</f>
        <v>Uma Venkatachalam</v>
      </c>
      <c r="I201" s="31">
        <f>VLOOKUP(A201,File!$A:$J,9,FALSE)</f>
        <v>46365</v>
      </c>
      <c r="J201" s="31" t="str">
        <f>VLOOKUP(A201,File!$A:$K,11,FALSE)</f>
        <v>Dec 2026</v>
      </c>
      <c r="K201" s="31" t="str">
        <f>VLOOKUP(A201,File!$A:$K,10,FALSE)</f>
        <v>In-Training</v>
      </c>
      <c r="L201" s="31" t="s">
        <v>4</v>
      </c>
      <c r="M201" t="str">
        <f>VLOOKUP(A201,Response!$A:$M,7,)</f>
        <v>PG (Paying Guest)</v>
      </c>
      <c r="N201" t="str">
        <f>VLOOKUP(A201,Response!$A:$M,8,)</f>
        <v>Chandra gents pg, Egattur</v>
      </c>
      <c r="O201" s="4">
        <f>VLOOKUP(A201,Response!$A:$M,10,)</f>
        <v>4</v>
      </c>
      <c r="P201" t="str">
        <f>VLOOKUP(A201,Response!$A:$M,12,)</f>
        <v>No</v>
      </c>
      <c r="Q201" t="str">
        <f>VLOOKUP(A201,Response!$A:$M,11,)</f>
        <v>Egattur</v>
      </c>
      <c r="R201" t="s">
        <v>19</v>
      </c>
      <c r="S201" s="39" t="s">
        <v>37</v>
      </c>
    </row>
    <row r="202" spans="1:19">
      <c r="A202" s="3">
        <v>2529615</v>
      </c>
      <c r="B202" t="str">
        <f>VLOOKUP(A202,File!$A:$J,2,FALSE)</f>
        <v>Arunkumar Kanakaraj</v>
      </c>
      <c r="C202" s="29">
        <f>VLOOKUP(A202,File!$A:$J,5,FALSE)</f>
        <v>46245</v>
      </c>
      <c r="D202" s="29" t="str">
        <f>VLOOKUP(A202,File!$A:$J,3,FALSE)</f>
        <v>Male</v>
      </c>
      <c r="E202" s="29" t="str">
        <f>VLOOKUP(A202,File!$A:$J,4,FALSE)</f>
        <v>FTE</v>
      </c>
      <c r="F202" s="29" t="str">
        <f>VLOOKUP(A202,File!$A:$J,6,FALSE)</f>
        <v>Chennai</v>
      </c>
      <c r="G202" s="29" t="str">
        <f>VLOOKUP(A202,File!$A:$J,7,FALSE)</f>
        <v>CIS26MCPT025</v>
      </c>
      <c r="H202" s="29" t="str">
        <f>VLOOKUP(A202,File!$A:$J,8,FALSE)</f>
        <v>Vignesh S</v>
      </c>
      <c r="I202" s="31">
        <f>VLOOKUP(A202,File!$A:$J,9,FALSE)</f>
        <v>46359</v>
      </c>
      <c r="J202" s="31" t="str">
        <f>VLOOKUP(A202,File!$A:$K,11,FALSE)</f>
        <v>Dec 2026</v>
      </c>
      <c r="K202" s="31" t="str">
        <f>VLOOKUP(A202,File!$A:$K,10,FALSE)</f>
        <v>In-Training</v>
      </c>
      <c r="L202" s="31" t="s">
        <v>4</v>
      </c>
      <c r="M202" t="str">
        <f>VLOOKUP(A202,Response!$A:$M,7,)</f>
        <v>PG (Paying Guest)</v>
      </c>
      <c r="N202" t="str">
        <f>VLOOKUP(A202,Response!$A:$M,8,)</f>
        <v>Chennais Elite mens PG</v>
      </c>
      <c r="O202" s="4">
        <f>VLOOKUP(A202,Response!$A:$M,10,)</f>
        <v>2</v>
      </c>
      <c r="P202" t="str">
        <f>VLOOKUP(A202,Response!$A:$M,12,)</f>
        <v>Yes</v>
      </c>
      <c r="Q202" t="str">
        <f>VLOOKUP(A202,Response!$A:$M,11,)</f>
        <v>Siruseri</v>
      </c>
      <c r="R202" t="s">
        <v>19</v>
      </c>
      <c r="S202" s="39" t="s">
        <v>37</v>
      </c>
    </row>
    <row r="203" spans="1:19">
      <c r="A203" s="3">
        <v>2531969</v>
      </c>
      <c r="B203" t="str">
        <f>VLOOKUP(A203,File!$A:$J,2,FALSE)</f>
        <v>Karthika Vijayakumar</v>
      </c>
      <c r="C203" s="29">
        <f>VLOOKUP(A203,File!$A:$J,5,FALSE)</f>
        <v>46254</v>
      </c>
      <c r="D203" s="29" t="str">
        <f>VLOOKUP(A203,File!$A:$J,3,FALSE)</f>
        <v>Female</v>
      </c>
      <c r="E203" s="29" t="str">
        <f>VLOOKUP(A203,File!$A:$J,4,FALSE)</f>
        <v>FTE</v>
      </c>
      <c r="F203" s="29" t="str">
        <f>VLOOKUP(A203,File!$A:$J,6,FALSE)</f>
        <v>Chennai</v>
      </c>
      <c r="G203" s="29" t="str">
        <f>VLOOKUP(A203,File!$A:$J,7,FALSE)</f>
        <v>EPS26OSP011</v>
      </c>
      <c r="H203" s="29" t="str">
        <f>VLOOKUP(A203,File!$A:$J,8,FALSE)</f>
        <v>Gayathri Ramachandran</v>
      </c>
      <c r="I203" s="31" t="str">
        <f>VLOOKUP(A203,File!$A:$J,9,FALSE)</f>
        <v/>
      </c>
      <c r="J203" s="44" t="s">
        <v>33</v>
      </c>
      <c r="K203" s="31" t="str">
        <f>VLOOKUP(A203,File!$A:$K,10,FALSE)</f>
        <v>Training - ON Hold</v>
      </c>
      <c r="L203" s="31" t="s">
        <v>4</v>
      </c>
      <c r="M203" t="str">
        <f>VLOOKUP(A203,Response!$A:$M,7,)</f>
        <v>PG (Paying Guest)</v>
      </c>
      <c r="N203" t="str">
        <f>VLOOKUP(A203,Response!$A:$M,8,)</f>
        <v>Aura Nest Pg for Ladies</v>
      </c>
      <c r="O203" s="4">
        <f>VLOOKUP(A203,Response!$A:$M,10,)</f>
        <v>2</v>
      </c>
      <c r="P203" t="str">
        <f>VLOOKUP(A203,Response!$A:$M,12,)</f>
        <v>Yes</v>
      </c>
      <c r="Q203" t="str">
        <f>VLOOKUP(A203,Response!$A:$M,11,)</f>
        <v>Navalur</v>
      </c>
      <c r="R203" t="s">
        <v>19</v>
      </c>
      <c r="S203" s="39" t="s">
        <v>37</v>
      </c>
    </row>
    <row r="204" spans="1:19">
      <c r="A204" s="3">
        <v>2533227</v>
      </c>
      <c r="B204" t="str">
        <f>VLOOKUP(A204,File!$A:$J,2,FALSE)</f>
        <v>Samruddhi Anil Avasare</v>
      </c>
      <c r="C204" s="29">
        <f>VLOOKUP(A204,File!$A:$J,5,FALSE)</f>
        <v>46259</v>
      </c>
      <c r="D204" s="29" t="str">
        <f>VLOOKUP(A204,File!$A:$J,3,FALSE)</f>
        <v>Female</v>
      </c>
      <c r="E204" s="29" t="str">
        <f>VLOOKUP(A204,File!$A:$J,4,FALSE)</f>
        <v>FTE</v>
      </c>
      <c r="F204" s="29" t="str">
        <f>VLOOKUP(A204,File!$A:$J,6,FALSE)</f>
        <v>Chennai</v>
      </c>
      <c r="G204" s="29" t="str">
        <f>VLOOKUP(A204,File!$A:$J,7,FALSE)</f>
        <v>CIS26MBG003</v>
      </c>
      <c r="H204" s="29" t="str">
        <f>VLOOKUP(A204,File!$A:$J,8,FALSE)</f>
        <v>Kishorekumar P</v>
      </c>
      <c r="I204" s="31">
        <f>VLOOKUP(A204,File!$A:$J,9,FALSE)</f>
        <v>46367</v>
      </c>
      <c r="J204" s="31" t="str">
        <f>VLOOKUP(A204,File!$A:$K,11,FALSE)</f>
        <v>Dec 2026</v>
      </c>
      <c r="K204" s="31" t="str">
        <f>VLOOKUP(A204,File!$A:$K,10,FALSE)</f>
        <v>In-Training</v>
      </c>
      <c r="L204" s="31" t="s">
        <v>4</v>
      </c>
      <c r="M204" t="str">
        <f>VLOOKUP(A204,Response!$A:$M,7,)</f>
        <v>PG (Paying Guest)</v>
      </c>
      <c r="N204" t="str">
        <f>VLOOKUP(A204,Response!$A:$M,8,)</f>
        <v>City park 86,muthamma street,Third cross road,siruseri,chennai,tamilnadu 603103</v>
      </c>
      <c r="O204" s="4">
        <f>VLOOKUP(A204,Response!$A:$M,10,)</f>
        <v>5</v>
      </c>
      <c r="P204" t="str">
        <f>VLOOKUP(A204,Response!$A:$M,12,)</f>
        <v>No</v>
      </c>
      <c r="Q204" t="str">
        <f>VLOOKUP(A204,Response!$A:$M,11,)</f>
        <v>Siruseri</v>
      </c>
      <c r="R204" t="s">
        <v>19</v>
      </c>
      <c r="S204" s="39" t="s">
        <v>37</v>
      </c>
    </row>
    <row r="205" spans="1:19">
      <c r="A205" s="3">
        <v>2521758</v>
      </c>
      <c r="B205" t="str">
        <f>VLOOKUP(A205,File!$A:$J,2,FALSE)</f>
        <v>Sreerama Venkata Sai Raghavendra Rohan</v>
      </c>
      <c r="C205" s="29">
        <f>VLOOKUP(A205,File!$A:$J,5,FALSE)</f>
        <v>46212</v>
      </c>
      <c r="D205" s="29" t="str">
        <f>VLOOKUP(A205,File!$A:$J,3,FALSE)</f>
        <v>Male</v>
      </c>
      <c r="E205" s="29" t="str">
        <f>VLOOKUP(A205,File!$A:$J,4,FALSE)</f>
        <v>FTE</v>
      </c>
      <c r="F205" s="29" t="str">
        <f>VLOOKUP(A205,File!$A:$J,6,FALSE)</f>
        <v>Chennai</v>
      </c>
      <c r="G205" s="29" t="str">
        <f>VLOOKUP(A205,File!$A:$J,7,FALSE)</f>
        <v>QEA26SD001</v>
      </c>
      <c r="H205" s="29" t="str">
        <f>VLOOKUP(A205,File!$A:$J,8,FALSE)</f>
        <v>Ajiesya D P</v>
      </c>
      <c r="I205" s="31">
        <f>VLOOKUP(A205,File!$A:$J,9,FALSE)</f>
        <v>46329</v>
      </c>
      <c r="J205" s="31" t="str">
        <f>VLOOKUP(A205,File!$A:$K,11,FALSE)</f>
        <v>Nov 2026</v>
      </c>
      <c r="K205" s="31" t="str">
        <f>VLOOKUP(A205,File!$A:$K,10,FALSE)</f>
        <v>In-Training</v>
      </c>
      <c r="L205" s="31" t="s">
        <v>4</v>
      </c>
      <c r="M205" t="str">
        <f>VLOOKUP(A205,Response!$A:$M,7,)</f>
        <v>PG (Paying Guest)</v>
      </c>
      <c r="N205" t="str">
        <f>VLOOKUP(A205,Response!$A:$M,8,)</f>
        <v>City Park Layout, 116 A2, 2nd Cross St, Siruseri, Kalipattur, Tamil Nadu 603103</v>
      </c>
      <c r="O205" s="4">
        <f>VLOOKUP(A205,Response!$A:$M,10,)</f>
        <v>3</v>
      </c>
      <c r="P205" t="str">
        <f>VLOOKUP(A205,Response!$A:$M,12,)</f>
        <v>No</v>
      </c>
      <c r="Q205" t="str">
        <f>VLOOKUP(A205,Response!$A:$M,11,)</f>
        <v>Siruseri</v>
      </c>
      <c r="R205" t="s">
        <v>19</v>
      </c>
      <c r="S205" s="39" t="s">
        <v>37</v>
      </c>
    </row>
    <row r="206" spans="1:19">
      <c r="A206" s="3">
        <v>2523430</v>
      </c>
      <c r="B206" t="str">
        <f>VLOOKUP(A206,File!$A:$J,2,FALSE)</f>
        <v>Bhaskara Subrahmanya Jogesh Dhulipudi</v>
      </c>
      <c r="C206" s="29">
        <f>VLOOKUP(A206,File!$A:$J,5,FALSE)</f>
        <v>46219</v>
      </c>
      <c r="D206" s="29" t="str">
        <f>VLOOKUP(A206,File!$A:$J,3,FALSE)</f>
        <v>Male</v>
      </c>
      <c r="E206" s="29" t="str">
        <f>VLOOKUP(A206,File!$A:$J,4,FALSE)</f>
        <v>FTE</v>
      </c>
      <c r="F206" s="29" t="str">
        <f>VLOOKUP(A206,File!$A:$J,6,FALSE)</f>
        <v>Chennai</v>
      </c>
      <c r="G206" s="29" t="str">
        <f>VLOOKUP(A206,File!$A:$J,7,FALSE)</f>
        <v>CS26CS009</v>
      </c>
      <c r="H206" s="29" t="str">
        <f>VLOOKUP(A206,File!$A:$J,8,FALSE)</f>
        <v>Laksiya Vijayendran</v>
      </c>
      <c r="I206" s="31">
        <f>VLOOKUP(A206,File!$A:$J,9,FALSE)</f>
        <v>46309</v>
      </c>
      <c r="J206" s="31" t="str">
        <f>VLOOKUP(A206,File!$A:$K,11,FALSE)</f>
        <v>Oct 2026</v>
      </c>
      <c r="K206" s="31" t="str">
        <f>VLOOKUP(A206,File!$A:$K,10,FALSE)</f>
        <v>In-Training</v>
      </c>
      <c r="L206" s="31" t="s">
        <v>4</v>
      </c>
      <c r="M206" t="str">
        <f>VLOOKUP(A206,Response!$A:$M,7,)</f>
        <v>PG (Paying Guest)</v>
      </c>
      <c r="N206" t="str">
        <f>VLOOKUP(A206,Response!$A:$M,8,)</f>
        <v xml:space="preserve">City park, Plot#95A, Mamoothiamman, 3rd St, Sipcot, Siruseri, Chennai, Tamil Nadu 603103  </v>
      </c>
      <c r="O206" s="4">
        <f>VLOOKUP(A206,Response!$A:$M,10,)</f>
        <v>4</v>
      </c>
      <c r="P206" t="str">
        <f>VLOOKUP(A206,Response!$A:$M,12,)</f>
        <v>No</v>
      </c>
      <c r="Q206" t="str">
        <f>VLOOKUP(A206,Response!$A:$M,11,)</f>
        <v>Siruseri</v>
      </c>
      <c r="R206" t="s">
        <v>19</v>
      </c>
      <c r="S206" s="39" t="s">
        <v>37</v>
      </c>
    </row>
    <row r="207" spans="1:19">
      <c r="A207" s="3">
        <v>2522808</v>
      </c>
      <c r="B207" t="str">
        <f>VLOOKUP(A207,File!$A:$J,2,FALSE)</f>
        <v>Priyadharshini K</v>
      </c>
      <c r="C207" s="29">
        <f>VLOOKUP(A207,File!$A:$J,5,FALSE)</f>
        <v>46217</v>
      </c>
      <c r="D207" s="29" t="str">
        <f>VLOOKUP(A207,File!$A:$J,3,FALSE)</f>
        <v>Female</v>
      </c>
      <c r="E207" s="29" t="str">
        <f>VLOOKUP(A207,File!$A:$J,4,FALSE)</f>
        <v>FTE</v>
      </c>
      <c r="F207" s="29" t="str">
        <f>VLOOKUP(A207,File!$A:$J,6,FALSE)</f>
        <v>Chennai</v>
      </c>
      <c r="G207" s="29" t="str">
        <f>VLOOKUP(A207,File!$A:$J,7,FALSE)</f>
        <v>CIS26MCPT017</v>
      </c>
      <c r="H207" s="29" t="str">
        <f>VLOOKUP(A207,File!$A:$J,8,FALSE)</f>
        <v>Haritha P</v>
      </c>
      <c r="I207" s="31">
        <f>VLOOKUP(A207,File!$A:$J,9,FALSE)</f>
        <v>46335</v>
      </c>
      <c r="J207" s="31" t="str">
        <f>VLOOKUP(A207,File!$A:$K,11,FALSE)</f>
        <v>Nov 2026</v>
      </c>
      <c r="K207" s="31" t="str">
        <f>VLOOKUP(A207,File!$A:$K,10,FALSE)</f>
        <v>In-Training</v>
      </c>
      <c r="L207" s="31" t="s">
        <v>4</v>
      </c>
      <c r="M207" t="str">
        <f>VLOOKUP(A207,Response!$A:$M,7,)</f>
        <v>PG (Paying Guest)</v>
      </c>
      <c r="N207" t="str">
        <f>VLOOKUP(A207,Response!$A:$M,8,)</f>
        <v>CLOUD LAND NAVALUR</v>
      </c>
      <c r="O207" s="4">
        <f>VLOOKUP(A207,Response!$A:$M,10,)</f>
        <v>2</v>
      </c>
      <c r="P207" t="str">
        <f>VLOOKUP(A207,Response!$A:$M,12,)</f>
        <v>Yes</v>
      </c>
      <c r="Q207" t="str">
        <f>VLOOKUP(A207,Response!$A:$M,11,)</f>
        <v>Navalur</v>
      </c>
      <c r="R207" t="s">
        <v>19</v>
      </c>
      <c r="S207" s="39" t="s">
        <v>37</v>
      </c>
    </row>
    <row r="208" spans="1:19">
      <c r="A208" s="3">
        <v>2531811</v>
      </c>
      <c r="B208" t="str">
        <f>VLOOKUP(A208,File!$A:$J,2,FALSE)</f>
        <v>Bhavan Shankar M</v>
      </c>
      <c r="C208" s="29">
        <f>VLOOKUP(A208,File!$A:$J,5,FALSE)</f>
        <v>46254</v>
      </c>
      <c r="D208" s="29" t="str">
        <f>VLOOKUP(A208,File!$A:$J,3,FALSE)</f>
        <v>Male</v>
      </c>
      <c r="E208" s="29" t="str">
        <f>VLOOKUP(A208,File!$A:$J,4,FALSE)</f>
        <v>Intern</v>
      </c>
      <c r="F208" s="29" t="str">
        <f>VLOOKUP(A208,File!$A:$J,6,FALSE)</f>
        <v>Chennai</v>
      </c>
      <c r="G208" s="29" t="str">
        <f>VLOOKUP(A208,File!$A:$J,7,FALSE)</f>
        <v>INTFE26FE001</v>
      </c>
      <c r="H208" s="29" t="str">
        <f>VLOOKUP(A208,File!$A:$J,8,FALSE)</f>
        <v>Grace Esther S</v>
      </c>
      <c r="I208" s="31">
        <f>VLOOKUP(A208,File!$A:$J,9,FALSE)</f>
        <v>46310</v>
      </c>
      <c r="J208" s="31" t="str">
        <f>VLOOKUP(A208,File!$A:$K,11,FALSE)</f>
        <v>Oct 2026</v>
      </c>
      <c r="K208" s="31" t="str">
        <f>VLOOKUP(A208,File!$A:$K,10,FALSE)</f>
        <v>In-Training</v>
      </c>
      <c r="L208" s="31" t="s">
        <v>4</v>
      </c>
      <c r="M208" t="str">
        <f>VLOOKUP(A208,Response!$A:$M,7,)</f>
        <v>PG (Paying Guest)</v>
      </c>
      <c r="N208" t="str">
        <f>VLOOKUP(A208,Response!$A:$M,8,)</f>
        <v>CNR 2 PG Gents</v>
      </c>
      <c r="O208" s="4">
        <f>VLOOKUP(A208,Response!$A:$M,10,)</f>
        <v>1</v>
      </c>
      <c r="P208" t="str">
        <f>VLOOKUP(A208,Response!$A:$M,12,)</f>
        <v>Yes</v>
      </c>
      <c r="Q208" t="str">
        <f>VLOOKUP(A208,Response!$A:$M,11,)</f>
        <v>Egattur</v>
      </c>
      <c r="R208" t="s">
        <v>19</v>
      </c>
      <c r="S208" s="39" t="s">
        <v>37</v>
      </c>
    </row>
    <row r="209" spans="1:19">
      <c r="A209" s="3">
        <v>2507278</v>
      </c>
      <c r="B209" t="str">
        <f>VLOOKUP(A209,File!$A:$J,2,FALSE)</f>
        <v>Ankith L</v>
      </c>
      <c r="C209" s="29">
        <f>VLOOKUP(A209,File!$A:$J,5,FALSE)</f>
        <v>46142</v>
      </c>
      <c r="D209" s="29" t="str">
        <f>VLOOKUP(A209,File!$A:$J,3,FALSE)</f>
        <v>Male</v>
      </c>
      <c r="E209" s="29" t="str">
        <f>VLOOKUP(A209,File!$A:$J,4,FALSE)</f>
        <v>FTE</v>
      </c>
      <c r="F209" s="29" t="str">
        <f>VLOOKUP(A209,File!$A:$J,6,FALSE)</f>
        <v>Chennai</v>
      </c>
      <c r="G209" s="29" t="str">
        <f>VLOOKUP(A209,File!$A:$J,7,FALSE)</f>
        <v>ADM26MF009</v>
      </c>
      <c r="H209" s="29" t="str">
        <f>VLOOKUP(A209,File!$A:$J,8,FALSE)</f>
        <v>Nithyakalyani Muthukumar</v>
      </c>
      <c r="I209" s="31">
        <f>VLOOKUP(A209,File!$A:$J,9,FALSE)</f>
        <v>46269</v>
      </c>
      <c r="J209" s="31" t="str">
        <f>VLOOKUP(A209,File!$A:$K,11,FALSE)</f>
        <v>Sep 2026</v>
      </c>
      <c r="K209" s="31" t="str">
        <f>VLOOKUP(A209,File!$A:$K,10,FALSE)</f>
        <v>In-Training-Remedial</v>
      </c>
      <c r="L209" s="31" t="s">
        <v>4</v>
      </c>
      <c r="M209" t="str">
        <f>VLOOKUP(A209,Response!$A:$M,7,)</f>
        <v>PG (Paying Guest)</v>
      </c>
      <c r="N209" t="str">
        <f>VLOOKUP(A209,Response!$A:$M,8,)</f>
        <v xml:space="preserve">cnr branch 1 pg </v>
      </c>
      <c r="O209" s="4">
        <f>VLOOKUP(A209,Response!$A:$M,10,)</f>
        <v>3</v>
      </c>
      <c r="P209" t="str">
        <f>VLOOKUP(A209,Response!$A:$M,12,)</f>
        <v>No</v>
      </c>
      <c r="Q209" t="str">
        <f>VLOOKUP(A209,Response!$A:$M,11,)</f>
        <v>Siruseri</v>
      </c>
      <c r="R209" t="s">
        <v>19</v>
      </c>
      <c r="S209" s="39" t="s">
        <v>37</v>
      </c>
    </row>
    <row r="210" spans="1:19">
      <c r="A210" s="3">
        <v>2529525</v>
      </c>
      <c r="B210" t="str">
        <f>VLOOKUP(A210,File!$A:$J,2,FALSE)</f>
        <v>Rohit Richard Amedas</v>
      </c>
      <c r="C210" s="29">
        <f>VLOOKUP(A210,File!$A:$J,5,FALSE)</f>
        <v>46245</v>
      </c>
      <c r="D210" s="29" t="str">
        <f>VLOOKUP(A210,File!$A:$J,3,FALSE)</f>
        <v>Male</v>
      </c>
      <c r="E210" s="29" t="str">
        <f>VLOOKUP(A210,File!$A:$J,4,FALSE)</f>
        <v>FTE</v>
      </c>
      <c r="F210" s="29" t="str">
        <f>VLOOKUP(A210,File!$A:$J,6,FALSE)</f>
        <v>Chennai</v>
      </c>
      <c r="G210" s="29" t="str">
        <f>VLOOKUP(A210,File!$A:$J,7,FALSE)</f>
        <v>CIS26MCPT022</v>
      </c>
      <c r="H210" s="29" t="str">
        <f>VLOOKUP(A210,File!$A:$J,8,FALSE)</f>
        <v>Laksiya Vijayendran</v>
      </c>
      <c r="I210" s="31">
        <f>VLOOKUP(A210,File!$A:$J,9,FALSE)</f>
        <v>46359</v>
      </c>
      <c r="J210" s="31" t="str">
        <f>VLOOKUP(A210,File!$A:$K,11,FALSE)</f>
        <v>Dec 2026</v>
      </c>
      <c r="K210" s="31" t="str">
        <f>VLOOKUP(A210,File!$A:$K,10,FALSE)</f>
        <v>In-Training</v>
      </c>
      <c r="L210" s="31" t="s">
        <v>4</v>
      </c>
      <c r="M210" t="str">
        <f>VLOOKUP(A210,Response!$A:$M,7,)</f>
        <v>PG (Paying Guest)</v>
      </c>
      <c r="N210" t="str">
        <f>VLOOKUP(A210,Response!$A:$M,8,)</f>
        <v>CNR branch 2</v>
      </c>
      <c r="O210" s="4">
        <f>VLOOKUP(A210,Response!$A:$M,10,)</f>
        <v>3</v>
      </c>
      <c r="P210" t="str">
        <f>VLOOKUP(A210,Response!$A:$M,12,)</f>
        <v>No</v>
      </c>
      <c r="Q210" t="str">
        <f>VLOOKUP(A210,Response!$A:$M,11,)</f>
        <v>Siruseri</v>
      </c>
      <c r="R210" t="s">
        <v>19</v>
      </c>
      <c r="S210" s="39" t="s">
        <v>37</v>
      </c>
    </row>
    <row r="211" spans="1:19">
      <c r="A211" s="3">
        <v>2532928</v>
      </c>
      <c r="B211" t="str">
        <f>VLOOKUP(A211,File!$A:$J,2,FALSE)</f>
        <v>Harish Suresh</v>
      </c>
      <c r="C211" s="29">
        <f>VLOOKUP(A211,File!$A:$J,5,FALSE)</f>
        <v>46259</v>
      </c>
      <c r="D211" s="29" t="str">
        <f>VLOOKUP(A211,File!$A:$J,3,FALSE)</f>
        <v>Male</v>
      </c>
      <c r="E211" s="29" t="str">
        <f>VLOOKUP(A211,File!$A:$J,4,FALSE)</f>
        <v>FTE</v>
      </c>
      <c r="F211" s="29" t="str">
        <f>VLOOKUP(A211,File!$A:$J,6,FALSE)</f>
        <v>Chennai</v>
      </c>
      <c r="G211" s="29" t="str">
        <f>VLOOKUP(A211,File!$A:$J,7,FALSE)</f>
        <v>CIS26MBG007</v>
      </c>
      <c r="H211" s="29" t="str">
        <f>VLOOKUP(A211,File!$A:$J,8,FALSE)</f>
        <v>Lawrance M</v>
      </c>
      <c r="I211" s="31">
        <f>VLOOKUP(A211,File!$A:$J,9,FALSE)</f>
        <v>46367</v>
      </c>
      <c r="J211" s="31" t="str">
        <f>VLOOKUP(A211,File!$A:$K,11,FALSE)</f>
        <v>Dec 2026</v>
      </c>
      <c r="K211" s="31" t="str">
        <f>VLOOKUP(A211,File!$A:$K,10,FALSE)</f>
        <v>In-Training</v>
      </c>
      <c r="L211" s="31" t="s">
        <v>4</v>
      </c>
      <c r="M211" t="str">
        <f>VLOOKUP(A211,Response!$A:$M,7,)</f>
        <v>PG (Paying Guest)</v>
      </c>
      <c r="N211" t="str">
        <f>VLOOKUP(A211,Response!$A:$M,8,)</f>
        <v>CNR branch 2 Sipcot</v>
      </c>
      <c r="O211" s="4">
        <f>VLOOKUP(A211,Response!$A:$M,10,)</f>
        <v>1</v>
      </c>
      <c r="P211" t="str">
        <f>VLOOKUP(A211,Response!$A:$M,12,)</f>
        <v>Yes</v>
      </c>
      <c r="Q211" t="str">
        <f>VLOOKUP(A211,Response!$A:$M,11,)</f>
        <v>Siruseri</v>
      </c>
      <c r="R211" t="s">
        <v>19</v>
      </c>
      <c r="S211" s="39" t="s">
        <v>37</v>
      </c>
    </row>
    <row r="212" spans="1:19">
      <c r="A212" s="3">
        <v>2516883</v>
      </c>
      <c r="B212" t="str">
        <f>VLOOKUP(A212,File!$A:$J,2,FALSE)</f>
        <v>Nagiri Keshava Naidu</v>
      </c>
      <c r="C212" s="29">
        <f>VLOOKUP(A212,File!$A:$J,5,FALSE)</f>
        <v>46191</v>
      </c>
      <c r="D212" s="29" t="str">
        <f>VLOOKUP(A212,File!$A:$J,3,FALSE)</f>
        <v>Male</v>
      </c>
      <c r="E212" s="29" t="str">
        <f>VLOOKUP(A212,File!$A:$J,4,FALSE)</f>
        <v>FTE</v>
      </c>
      <c r="F212" s="29" t="str">
        <f>VLOOKUP(A212,File!$A:$J,6,FALSE)</f>
        <v>Chennai</v>
      </c>
      <c r="G212" s="29" t="str">
        <f>VLOOKUP(A212,File!$A:$J,7,FALSE)</f>
        <v>CIS26NET003</v>
      </c>
      <c r="H212" s="29" t="str">
        <f>VLOOKUP(A212,File!$A:$J,8,FALSE)</f>
        <v>Uma Venkatachalam</v>
      </c>
      <c r="I212" s="31">
        <f>VLOOKUP(A212,File!$A:$J,9,FALSE)</f>
        <v>46272</v>
      </c>
      <c r="J212" s="31" t="str">
        <f>VLOOKUP(A212,File!$A:$K,11,FALSE)</f>
        <v>Sep 2026</v>
      </c>
      <c r="K212" s="31" t="str">
        <f>VLOOKUP(A212,File!$A:$K,10,FALSE)</f>
        <v>In-Training-Remedial</v>
      </c>
      <c r="L212" s="31" t="s">
        <v>4</v>
      </c>
      <c r="M212" t="str">
        <f>VLOOKUP(A212,Response!$A:$M,7,)</f>
        <v>PG (Paying Guest)</v>
      </c>
      <c r="N212" t="str">
        <f>VLOOKUP(A212,Response!$A:$M,8,)</f>
        <v>CNR gents Pg</v>
      </c>
      <c r="O212" s="4">
        <f>VLOOKUP(A212,Response!$A:$M,10,)</f>
        <v>3</v>
      </c>
      <c r="P212" t="str">
        <f>VLOOKUP(A212,Response!$A:$M,12,)</f>
        <v>No</v>
      </c>
      <c r="Q212" t="str">
        <f>VLOOKUP(A212,Response!$A:$M,11,)</f>
        <v>Egattur</v>
      </c>
      <c r="R212" t="s">
        <v>19</v>
      </c>
      <c r="S212" s="39" t="s">
        <v>37</v>
      </c>
    </row>
    <row r="213" spans="1:19">
      <c r="A213" s="3">
        <v>2529590</v>
      </c>
      <c r="B213" t="str">
        <f>VLOOKUP(A213,File!$A:$J,2,FALSE)</f>
        <v>Bhadane Lalit Sanjay</v>
      </c>
      <c r="C213" s="29">
        <f>VLOOKUP(A213,File!$A:$J,5,FALSE)</f>
        <v>46245</v>
      </c>
      <c r="D213" s="29" t="str">
        <f>VLOOKUP(A213,File!$A:$J,3,FALSE)</f>
        <v>Male</v>
      </c>
      <c r="E213" s="29" t="str">
        <f>VLOOKUP(A213,File!$A:$J,4,FALSE)</f>
        <v>FTE</v>
      </c>
      <c r="F213" s="29" t="str">
        <f>VLOOKUP(A213,File!$A:$J,6,FALSE)</f>
        <v>Chennai</v>
      </c>
      <c r="G213" s="29" t="str">
        <f>VLOOKUP(A213,File!$A:$J,7,FALSE)</f>
        <v>CIS26MCPT024</v>
      </c>
      <c r="H213" s="29" t="str">
        <f>VLOOKUP(A213,File!$A:$J,8,FALSE)</f>
        <v>Ashiya Begam S</v>
      </c>
      <c r="I213" s="31">
        <f>VLOOKUP(A213,File!$A:$J,9,FALSE)</f>
        <v>46359</v>
      </c>
      <c r="J213" s="31" t="str">
        <f>VLOOKUP(A213,File!$A:$K,11,FALSE)</f>
        <v>Dec 2026</v>
      </c>
      <c r="K213" s="31" t="str">
        <f>VLOOKUP(A213,File!$A:$K,10,FALSE)</f>
        <v>In-Training</v>
      </c>
      <c r="L213" s="31" t="s">
        <v>4</v>
      </c>
      <c r="M213" t="str">
        <f>VLOOKUP(A213,Response!$A:$M,7,)</f>
        <v>PG (Paying Guest)</v>
      </c>
      <c r="N213" t="str">
        <f>VLOOKUP(A213,Response!$A:$M,8,)</f>
        <v>CNR Gents PG - Branch 1 , Egattur</v>
      </c>
      <c r="O213" s="4" t="str">
        <f>VLOOKUP(A213,Response!$A:$M,10,)</f>
        <v>GF</v>
      </c>
      <c r="P213" t="str">
        <f>VLOOKUP(A213,Response!$A:$M,12,)</f>
        <v>No</v>
      </c>
      <c r="Q213" t="str">
        <f>VLOOKUP(A213,Response!$A:$M,11,)</f>
        <v>Egattur</v>
      </c>
      <c r="R213" t="s">
        <v>19</v>
      </c>
      <c r="S213" s="39" t="s">
        <v>37</v>
      </c>
    </row>
    <row r="214" spans="1:19">
      <c r="A214" s="3">
        <v>2521054</v>
      </c>
      <c r="B214" t="str">
        <f>VLOOKUP(A214,File!$A:$J,2,FALSE)</f>
        <v>Sikilammetla Suman</v>
      </c>
      <c r="C214" s="29">
        <f>VLOOKUP(A214,File!$A:$J,5,FALSE)</f>
        <v>46210</v>
      </c>
      <c r="D214" s="29" t="str">
        <f>VLOOKUP(A214,File!$A:$J,3,FALSE)</f>
        <v>Male</v>
      </c>
      <c r="E214" s="29" t="str">
        <f>VLOOKUP(A214,File!$A:$J,4,FALSE)</f>
        <v>FTE</v>
      </c>
      <c r="F214" s="29" t="str">
        <f>VLOOKUP(A214,File!$A:$J,6,FALSE)</f>
        <v>Chennai</v>
      </c>
      <c r="G214" s="29" t="str">
        <f>VLOOKUP(A214,File!$A:$J,7,FALSE)</f>
        <v>SNBG26SN003</v>
      </c>
      <c r="H214" s="29" t="str">
        <f>VLOOKUP(A214,File!$A:$J,8,FALSE)</f>
        <v>Lawrance M</v>
      </c>
      <c r="I214" s="31">
        <f>VLOOKUP(A214,File!$A:$J,9,FALSE)</f>
        <v>46281</v>
      </c>
      <c r="J214" s="31" t="str">
        <f>VLOOKUP(A214,File!$A:$K,11,FALSE)</f>
        <v>Sep 2026</v>
      </c>
      <c r="K214" s="31" t="str">
        <f>VLOOKUP(A214,File!$A:$K,10,FALSE)</f>
        <v>In-Training</v>
      </c>
      <c r="L214" s="31" t="s">
        <v>4</v>
      </c>
      <c r="M214" t="str">
        <f>VLOOKUP(A214,Response!$A:$M,7,)</f>
        <v>PG (Paying Guest)</v>
      </c>
      <c r="N214" t="str">
        <f>VLOOKUP(A214,Response!$A:$M,8,)</f>
        <v>CNR Gents PG  BRANCH -1, Egattur</v>
      </c>
      <c r="O214" s="4">
        <f>VLOOKUP(A214,Response!$A:$M,10,)</f>
        <v>3</v>
      </c>
      <c r="P214" t="str">
        <f>VLOOKUP(A214,Response!$A:$M,12,)</f>
        <v>No</v>
      </c>
      <c r="Q214" t="str">
        <f>VLOOKUP(A214,Response!$A:$M,11,)</f>
        <v>Siruseri</v>
      </c>
      <c r="R214" t="s">
        <v>19</v>
      </c>
      <c r="S214" s="39" t="s">
        <v>37</v>
      </c>
    </row>
    <row r="215" spans="1:19">
      <c r="A215" s="3">
        <v>2520939</v>
      </c>
      <c r="B215" t="str">
        <f>VLOOKUP(A215,File!$A:$J,2,FALSE)</f>
        <v>Rahul Kumar</v>
      </c>
      <c r="C215" s="29">
        <f>VLOOKUP(A215,File!$A:$J,5,FALSE)</f>
        <v>46210</v>
      </c>
      <c r="D215" s="29" t="str">
        <f>VLOOKUP(A215,File!$A:$J,3,FALSE)</f>
        <v>Male</v>
      </c>
      <c r="E215" s="29" t="str">
        <f>VLOOKUP(A215,File!$A:$J,4,FALSE)</f>
        <v>FTE</v>
      </c>
      <c r="F215" s="29" t="str">
        <f>VLOOKUP(A215,File!$A:$J,6,FALSE)</f>
        <v>Chennai</v>
      </c>
      <c r="G215" s="29" t="str">
        <f>VLOOKUP(A215,File!$A:$J,7,FALSE)</f>
        <v>EPS26WD004</v>
      </c>
      <c r="H215" s="29" t="str">
        <f>VLOOKUP(A215,File!$A:$J,8,FALSE)</f>
        <v>Ajith Ganesan</v>
      </c>
      <c r="I215" s="31">
        <f>VLOOKUP(A215,File!$A:$J,9,FALSE)</f>
        <v>46310</v>
      </c>
      <c r="J215" s="31" t="str">
        <f>VLOOKUP(A215,File!$A:$K,11,FALSE)</f>
        <v>Oct 2026</v>
      </c>
      <c r="K215" s="31" t="str">
        <f>VLOOKUP(A215,File!$A:$K,10,FALSE)</f>
        <v>In-Training</v>
      </c>
      <c r="L215" s="31" t="s">
        <v>4</v>
      </c>
      <c r="M215" t="str">
        <f>VLOOKUP(A215,Response!$A:$M,7,)</f>
        <v>PG (Paying Guest)</v>
      </c>
      <c r="N215" t="str">
        <f>VLOOKUP(A215,Response!$A:$M,8,)</f>
        <v>CNR Gents PG - Branch 1, Egattur</v>
      </c>
      <c r="O215" s="4">
        <f>VLOOKUP(A215,Response!$A:$M,10,)</f>
        <v>2</v>
      </c>
      <c r="P215" t="str">
        <f>VLOOKUP(A215,Response!$A:$M,12,)</f>
        <v>Yes</v>
      </c>
      <c r="Q215" t="str">
        <f>VLOOKUP(A215,Response!$A:$M,11,)</f>
        <v>Siruseri</v>
      </c>
      <c r="R215" t="s">
        <v>19</v>
      </c>
      <c r="S215" s="39" t="s">
        <v>37</v>
      </c>
    </row>
    <row r="216" spans="1:19">
      <c r="A216" s="3">
        <v>2529605</v>
      </c>
      <c r="B216" t="str">
        <f>VLOOKUP(A216,File!$A:$J,2,FALSE)</f>
        <v>Yash Nitin Shirsath</v>
      </c>
      <c r="C216" s="29">
        <f>VLOOKUP(A216,File!$A:$J,5,FALSE)</f>
        <v>46245</v>
      </c>
      <c r="D216" s="29" t="str">
        <f>VLOOKUP(A216,File!$A:$J,3,FALSE)</f>
        <v>Male</v>
      </c>
      <c r="E216" s="29" t="str">
        <f>VLOOKUP(A216,File!$A:$J,4,FALSE)</f>
        <v>FTE</v>
      </c>
      <c r="F216" s="29" t="str">
        <f>VLOOKUP(A216,File!$A:$J,6,FALSE)</f>
        <v>Chennai</v>
      </c>
      <c r="G216" s="29" t="str">
        <f>VLOOKUP(A216,File!$A:$J,7,FALSE)</f>
        <v>CIS26MCPT025</v>
      </c>
      <c r="H216" s="29" t="str">
        <f>VLOOKUP(A216,File!$A:$J,8,FALSE)</f>
        <v>Vignesh S</v>
      </c>
      <c r="I216" s="31">
        <f>VLOOKUP(A216,File!$A:$J,9,FALSE)</f>
        <v>46359</v>
      </c>
      <c r="J216" s="31" t="str">
        <f>VLOOKUP(A216,File!$A:$K,11,FALSE)</f>
        <v>Dec 2026</v>
      </c>
      <c r="K216" s="31" t="str">
        <f>VLOOKUP(A216,File!$A:$K,10,FALSE)</f>
        <v>In-Training</v>
      </c>
      <c r="L216" s="31" t="s">
        <v>4</v>
      </c>
      <c r="M216" t="str">
        <f>VLOOKUP(A216,Response!$A:$M,7,)</f>
        <v>PG (Paying Guest)</v>
      </c>
      <c r="N216" t="str">
        <f>VLOOKUP(A216,Response!$A:$M,8,)</f>
        <v>CNR Gents PG - Branch 1, Egattur</v>
      </c>
      <c r="O216" s="4" t="str">
        <f>VLOOKUP(A216,Response!$A:$M,10,)</f>
        <v>GF</v>
      </c>
      <c r="P216" t="str">
        <f>VLOOKUP(A216,Response!$A:$M,12,)</f>
        <v>No</v>
      </c>
      <c r="Q216" t="str">
        <f>VLOOKUP(A216,Response!$A:$M,11,)</f>
        <v>Egattur</v>
      </c>
      <c r="R216" t="s">
        <v>19</v>
      </c>
      <c r="S216" s="39" t="s">
        <v>37</v>
      </c>
    </row>
    <row r="217" spans="1:19">
      <c r="A217" s="3">
        <v>2533038</v>
      </c>
      <c r="B217" t="str">
        <f>VLOOKUP(A217,File!$A:$J,2,FALSE)</f>
        <v>Kompala Harshith</v>
      </c>
      <c r="C217" s="29">
        <f>VLOOKUP(A217,File!$A:$J,5,FALSE)</f>
        <v>46259</v>
      </c>
      <c r="D217" s="29" t="str">
        <f>VLOOKUP(A217,File!$A:$J,3,FALSE)</f>
        <v>Male</v>
      </c>
      <c r="E217" s="29" t="str">
        <f>VLOOKUP(A217,File!$A:$J,4,FALSE)</f>
        <v>FTE</v>
      </c>
      <c r="F217" s="29" t="str">
        <f>VLOOKUP(A217,File!$A:$J,6,FALSE)</f>
        <v>Chennai</v>
      </c>
      <c r="G217" s="29" t="str">
        <f>VLOOKUP(A217,File!$A:$J,7,FALSE)</f>
        <v>CIS26MBG006</v>
      </c>
      <c r="H217" s="29" t="str">
        <f>VLOOKUP(A217,File!$A:$J,8,FALSE)</f>
        <v>Angel Maria Faustina Gomez</v>
      </c>
      <c r="I217" s="31">
        <f>VLOOKUP(A217,File!$A:$J,9,FALSE)</f>
        <v>46367</v>
      </c>
      <c r="J217" s="31" t="str">
        <f>VLOOKUP(A217,File!$A:$K,11,FALSE)</f>
        <v>Dec 2026</v>
      </c>
      <c r="K217" s="31" t="str">
        <f>VLOOKUP(A217,File!$A:$K,10,FALSE)</f>
        <v>In-Training</v>
      </c>
      <c r="L217" s="31" t="s">
        <v>4</v>
      </c>
      <c r="M217" t="str">
        <f>VLOOKUP(A217,Response!$A:$M,7,)</f>
        <v>PG (Paying Guest)</v>
      </c>
      <c r="N217" t="str">
        <f>VLOOKUP(A217,Response!$A:$M,8,)</f>
        <v>CNR Gents Pg - Branch 1, Siruseri</v>
      </c>
      <c r="O217" s="4">
        <f>VLOOKUP(A217,Response!$A:$M,10,)</f>
        <v>2</v>
      </c>
      <c r="P217" t="str">
        <f>VLOOKUP(A217,Response!$A:$M,12,)</f>
        <v>No</v>
      </c>
      <c r="Q217" t="str">
        <f>VLOOKUP(A217,Response!$A:$M,11,)</f>
        <v>Siruseri</v>
      </c>
      <c r="R217" t="s">
        <v>19</v>
      </c>
      <c r="S217" s="39" t="s">
        <v>37</v>
      </c>
    </row>
    <row r="218" spans="1:19">
      <c r="A218" s="3">
        <v>2531814</v>
      </c>
      <c r="B218" t="str">
        <f>VLOOKUP(A218,File!$A:$J,2,FALSE)</f>
        <v>Vishwanathan N</v>
      </c>
      <c r="C218" s="29">
        <f>VLOOKUP(A218,File!$A:$J,5,FALSE)</f>
        <v>46254</v>
      </c>
      <c r="D218" s="29" t="str">
        <f>VLOOKUP(A218,File!$A:$J,3,FALSE)</f>
        <v>Male</v>
      </c>
      <c r="E218" s="29" t="str">
        <f>VLOOKUP(A218,File!$A:$J,4,FALSE)</f>
        <v>Intern</v>
      </c>
      <c r="F218" s="29" t="str">
        <f>VLOOKUP(A218,File!$A:$J,6,FALSE)</f>
        <v>Chennai</v>
      </c>
      <c r="G218" s="29" t="str">
        <f>VLOOKUP(A218,File!$A:$J,7,FALSE)</f>
        <v>INTFE26FE001</v>
      </c>
      <c r="H218" s="29" t="str">
        <f>VLOOKUP(A218,File!$A:$J,8,FALSE)</f>
        <v>Grace Esther S</v>
      </c>
      <c r="I218" s="31">
        <f>VLOOKUP(A218,File!$A:$J,9,FALSE)</f>
        <v>46310</v>
      </c>
      <c r="J218" s="31" t="str">
        <f>VLOOKUP(A218,File!$A:$K,11,FALSE)</f>
        <v>Oct 2026</v>
      </c>
      <c r="K218" s="31" t="str">
        <f>VLOOKUP(A218,File!$A:$K,10,FALSE)</f>
        <v>In-Training</v>
      </c>
      <c r="L218" s="31" t="s">
        <v>4</v>
      </c>
      <c r="M218" t="str">
        <f>VLOOKUP(A218,Response!$A:$M,7,)</f>
        <v>PG (Paying Guest)</v>
      </c>
      <c r="N218" t="str">
        <f>VLOOKUP(A218,Response!$A:$M,8,)</f>
        <v>Cnr gents PG 2, Egattur</v>
      </c>
      <c r="O218" s="4">
        <f>VLOOKUP(A218,Response!$A:$M,10,)</f>
        <v>1</v>
      </c>
      <c r="P218" t="str">
        <f>VLOOKUP(A218,Response!$A:$M,12,)</f>
        <v>Yes</v>
      </c>
      <c r="Q218" t="str">
        <f>VLOOKUP(A218,Response!$A:$M,11,)</f>
        <v>Egattur</v>
      </c>
      <c r="R218" t="s">
        <v>19</v>
      </c>
      <c r="S218" s="39" t="s">
        <v>37</v>
      </c>
    </row>
    <row r="219" spans="1:19">
      <c r="A219" s="3">
        <v>2523408</v>
      </c>
      <c r="B219" t="str">
        <f>VLOOKUP(A219,File!$A:$J,2,FALSE)</f>
        <v>Anuj Rajesh Pisole</v>
      </c>
      <c r="C219" s="29">
        <f>VLOOKUP(A219,File!$A:$J,5,FALSE)</f>
        <v>46219</v>
      </c>
      <c r="D219" s="29" t="str">
        <f>VLOOKUP(A219,File!$A:$J,3,FALSE)</f>
        <v>Male</v>
      </c>
      <c r="E219" s="29" t="str">
        <f>VLOOKUP(A219,File!$A:$J,4,FALSE)</f>
        <v>FTE</v>
      </c>
      <c r="F219" s="29" t="str">
        <f>VLOOKUP(A219,File!$A:$J,6,FALSE)</f>
        <v>Chennai</v>
      </c>
      <c r="G219" s="29" t="str">
        <f>VLOOKUP(A219,File!$A:$J,7,FALSE)</f>
        <v>CS26CS009</v>
      </c>
      <c r="H219" s="29" t="str">
        <f>VLOOKUP(A219,File!$A:$J,8,FALSE)</f>
        <v>Laksiya Vijayendran</v>
      </c>
      <c r="I219" s="31">
        <f>VLOOKUP(A219,File!$A:$J,9,FALSE)</f>
        <v>46309</v>
      </c>
      <c r="J219" s="31" t="str">
        <f>VLOOKUP(A219,File!$A:$K,11,FALSE)</f>
        <v>Oct 2026</v>
      </c>
      <c r="K219" s="31" t="str">
        <f>VLOOKUP(A219,File!$A:$K,10,FALSE)</f>
        <v>In-Training</v>
      </c>
      <c r="L219" s="31" t="s">
        <v>4</v>
      </c>
      <c r="M219" t="str">
        <f>VLOOKUP(A219,Response!$A:$M,7,)</f>
        <v>PG (Paying Guest)</v>
      </c>
      <c r="N219" t="str">
        <f>VLOOKUP(A219,Response!$A:$M,8,)</f>
        <v>CNR GENTS PG BRANCH - 1</v>
      </c>
      <c r="O219" s="4">
        <f>VLOOKUP(A219,Response!$A:$M,10,)</f>
        <v>4</v>
      </c>
      <c r="P219" t="str">
        <f>VLOOKUP(A219,Response!$A:$M,12,)</f>
        <v>No</v>
      </c>
      <c r="Q219" t="str">
        <f>VLOOKUP(A219,Response!$A:$M,11,)</f>
        <v>Egattur</v>
      </c>
      <c r="R219" t="s">
        <v>19</v>
      </c>
      <c r="S219" s="39" t="s">
        <v>37</v>
      </c>
    </row>
    <row r="220" spans="1:19">
      <c r="A220" s="3">
        <v>2521240</v>
      </c>
      <c r="B220" t="str">
        <f>VLOOKUP(A220,File!$A:$J,2,FALSE)</f>
        <v>Bodimalla Sudheer</v>
      </c>
      <c r="C220" s="29">
        <f>VLOOKUP(A220,File!$A:$J,5,FALSE)</f>
        <v>46210</v>
      </c>
      <c r="D220" s="29" t="str">
        <f>VLOOKUP(A220,File!$A:$J,3,FALSE)</f>
        <v>Male</v>
      </c>
      <c r="E220" s="29" t="str">
        <f>VLOOKUP(A220,File!$A:$J,4,FALSE)</f>
        <v>FTE</v>
      </c>
      <c r="F220" s="29" t="str">
        <f>VLOOKUP(A220,File!$A:$J,6,FALSE)</f>
        <v>Chennai</v>
      </c>
      <c r="G220" s="29" t="str">
        <f>VLOOKUP(A220,File!$A:$J,7,FALSE)</f>
        <v>EPS26WD004</v>
      </c>
      <c r="H220" s="29" t="str">
        <f>VLOOKUP(A220,File!$A:$J,8,FALSE)</f>
        <v>Ajith Ganesan</v>
      </c>
      <c r="I220" s="31">
        <f>VLOOKUP(A220,File!$A:$J,9,FALSE)</f>
        <v>46310</v>
      </c>
      <c r="J220" s="31" t="str">
        <f>VLOOKUP(A220,File!$A:$K,11,FALSE)</f>
        <v>Oct 2026</v>
      </c>
      <c r="K220" s="31" t="str">
        <f>VLOOKUP(A220,File!$A:$K,10,FALSE)</f>
        <v>In-Training</v>
      </c>
      <c r="L220" s="31" t="s">
        <v>4</v>
      </c>
      <c r="M220" t="str">
        <f>VLOOKUP(A220,Response!$A:$M,7,)</f>
        <v>PG (Paying Guest)</v>
      </c>
      <c r="N220" t="str">
        <f>VLOOKUP(A220,Response!$A:$M,8,)</f>
        <v>CNR Gents PG Branch - 1, Egatur</v>
      </c>
      <c r="O220" s="4">
        <f>VLOOKUP(A220,Response!$A:$M,10,)</f>
        <v>2</v>
      </c>
      <c r="P220" t="str">
        <f>VLOOKUP(A220,Response!$A:$M,12,)</f>
        <v>No</v>
      </c>
      <c r="Q220" t="str">
        <f>VLOOKUP(A220,Response!$A:$M,11,)</f>
        <v>Siruseri</v>
      </c>
      <c r="R220" t="s">
        <v>19</v>
      </c>
      <c r="S220" s="39" t="s">
        <v>37</v>
      </c>
    </row>
    <row r="221" spans="1:19">
      <c r="A221" s="3">
        <v>2512335</v>
      </c>
      <c r="B221" t="str">
        <f>VLOOKUP(A221,File!$A:$J,2,FALSE)</f>
        <v>Sujal Bhushanrao Karne</v>
      </c>
      <c r="C221" s="29">
        <f>VLOOKUP(A221,File!$A:$J,5,FALSE)</f>
        <v>46170</v>
      </c>
      <c r="D221" s="29" t="str">
        <f>VLOOKUP(A221,File!$A:$J,3,FALSE)</f>
        <v>Male</v>
      </c>
      <c r="E221" s="29" t="str">
        <f>VLOOKUP(A221,File!$A:$J,4,FALSE)</f>
        <v>FTE</v>
      </c>
      <c r="F221" s="29" t="str">
        <f>VLOOKUP(A221,File!$A:$J,6,FALSE)</f>
        <v>Chennai</v>
      </c>
      <c r="G221" s="29" t="str">
        <f>VLOOKUP(A221,File!$A:$J,7,FALSE)</f>
        <v>CIS26MCPT012</v>
      </c>
      <c r="H221" s="29" t="str">
        <f>VLOOKUP(A221,File!$A:$J,8,FALSE)</f>
        <v>Uma Venkatachalam</v>
      </c>
      <c r="I221" s="31">
        <f>VLOOKUP(A221,File!$A:$J,9,FALSE)</f>
        <v>46282</v>
      </c>
      <c r="J221" s="31" t="str">
        <f>VLOOKUP(A221,File!$A:$K,11,FALSE)</f>
        <v>Sep 2026</v>
      </c>
      <c r="K221" s="31" t="str">
        <f>VLOOKUP(A221,File!$A:$K,10,FALSE)</f>
        <v>In-Training</v>
      </c>
      <c r="L221" s="31" t="s">
        <v>4</v>
      </c>
      <c r="M221" t="str">
        <f>VLOOKUP(A221,Response!$A:$M,7,)</f>
        <v>PG (Paying Guest)</v>
      </c>
      <c r="N221" t="str">
        <f>VLOOKUP(A221,Response!$A:$M,8,)</f>
        <v>CNR GENTS PG BRANCH 1</v>
      </c>
      <c r="O221" s="4" t="str">
        <f>VLOOKUP(A221,Response!$A:$M,10,)</f>
        <v>GF</v>
      </c>
      <c r="P221" t="str">
        <f>VLOOKUP(A221,Response!$A:$M,12,)</f>
        <v>No</v>
      </c>
      <c r="Q221" t="str">
        <f>VLOOKUP(A221,Response!$A:$M,11,)</f>
        <v>Siruseri</v>
      </c>
      <c r="R221" t="s">
        <v>19</v>
      </c>
      <c r="S221" s="39" t="s">
        <v>37</v>
      </c>
    </row>
    <row r="222" spans="1:19">
      <c r="A222" s="3">
        <v>2521238</v>
      </c>
      <c r="B222" t="str">
        <f>VLOOKUP(A222,File!$A:$J,2,FALSE)</f>
        <v>Kondapalli Sai Kumar</v>
      </c>
      <c r="C222" s="29">
        <f>VLOOKUP(A222,File!$A:$J,5,FALSE)</f>
        <v>46210</v>
      </c>
      <c r="D222" s="29" t="str">
        <f>VLOOKUP(A222,File!$A:$J,3,FALSE)</f>
        <v>Male</v>
      </c>
      <c r="E222" s="29" t="str">
        <f>VLOOKUP(A222,File!$A:$J,4,FALSE)</f>
        <v>FTE</v>
      </c>
      <c r="F222" s="29" t="str">
        <f>VLOOKUP(A222,File!$A:$J,6,FALSE)</f>
        <v>Chennai</v>
      </c>
      <c r="G222" s="29" t="str">
        <f>VLOOKUP(A222,File!$A:$J,7,FALSE)</f>
        <v>CIS26UNIX004</v>
      </c>
      <c r="H222" s="29" t="str">
        <f>VLOOKUP(A222,File!$A:$J,8,FALSE)</f>
        <v>Haritha P</v>
      </c>
      <c r="I222" s="31">
        <f>VLOOKUP(A222,File!$A:$J,9,FALSE)</f>
        <v>46289</v>
      </c>
      <c r="J222" s="31" t="str">
        <f>VLOOKUP(A222,File!$A:$K,11,FALSE)</f>
        <v>Sep 2026</v>
      </c>
      <c r="K222" s="31" t="str">
        <f>VLOOKUP(A222,File!$A:$K,10,FALSE)</f>
        <v>In-Training</v>
      </c>
      <c r="L222" s="31" t="s">
        <v>4</v>
      </c>
      <c r="M222" t="str">
        <f>VLOOKUP(A222,Response!$A:$M,7,)</f>
        <v>PG (Paying Guest)</v>
      </c>
      <c r="N222" t="str">
        <f>VLOOKUP(A222,Response!$A:$M,8,)</f>
        <v>CNR Gents PG -Branch 1 , Siruseri</v>
      </c>
      <c r="O222" s="4">
        <f>VLOOKUP(A222,Response!$A:$M,10,)</f>
        <v>3</v>
      </c>
      <c r="P222" t="str">
        <f>VLOOKUP(A222,Response!$A:$M,12,)</f>
        <v>No</v>
      </c>
      <c r="Q222" t="str">
        <f>VLOOKUP(A222,Response!$A:$M,11,)</f>
        <v>Egattur</v>
      </c>
      <c r="R222" t="s">
        <v>19</v>
      </c>
      <c r="S222" s="39" t="s">
        <v>37</v>
      </c>
    </row>
    <row r="223" spans="1:19">
      <c r="A223" s="3">
        <v>2520938</v>
      </c>
      <c r="B223" t="str">
        <f>VLOOKUP(A223,File!$A:$J,2,FALSE)</f>
        <v>Pawan Gadelavarthi</v>
      </c>
      <c r="C223" s="29">
        <f>VLOOKUP(A223,File!$A:$J,5,FALSE)</f>
        <v>46210</v>
      </c>
      <c r="D223" s="29" t="str">
        <f>VLOOKUP(A223,File!$A:$J,3,FALSE)</f>
        <v>Male</v>
      </c>
      <c r="E223" s="29" t="str">
        <f>VLOOKUP(A223,File!$A:$J,4,FALSE)</f>
        <v>FTE</v>
      </c>
      <c r="F223" s="29" t="str">
        <f>VLOOKUP(A223,File!$A:$J,6,FALSE)</f>
        <v>Chennai</v>
      </c>
      <c r="G223" s="29" t="str">
        <f>VLOOKUP(A223,File!$A:$J,7,FALSE)</f>
        <v>EPS26WD004</v>
      </c>
      <c r="H223" s="29" t="str">
        <f>VLOOKUP(A223,File!$A:$J,8,FALSE)</f>
        <v>Ajith Ganesan</v>
      </c>
      <c r="I223" s="31">
        <f>VLOOKUP(A223,File!$A:$J,9,FALSE)</f>
        <v>46310</v>
      </c>
      <c r="J223" s="31" t="str">
        <f>VLOOKUP(A223,File!$A:$K,11,FALSE)</f>
        <v>Oct 2026</v>
      </c>
      <c r="K223" s="31" t="str">
        <f>VLOOKUP(A223,File!$A:$K,10,FALSE)</f>
        <v>In-Training</v>
      </c>
      <c r="L223" s="31" t="s">
        <v>4</v>
      </c>
      <c r="M223" t="str">
        <f>VLOOKUP(A223,Response!$A:$M,7,)</f>
        <v>PG (Paying Guest)</v>
      </c>
      <c r="N223" t="str">
        <f>VLOOKUP(A223,Response!$A:$M,8,)</f>
        <v>CNR Gents PG Branch 1 ,3rd Street ,Egatur, Chennai</v>
      </c>
      <c r="O223" s="4">
        <f>VLOOKUP(A223,Response!$A:$M,10,)</f>
        <v>1</v>
      </c>
      <c r="P223" t="str">
        <f>VLOOKUP(A223,Response!$A:$M,12,)</f>
        <v>No</v>
      </c>
      <c r="Q223" t="str">
        <f>VLOOKUP(A223,Response!$A:$M,11,)</f>
        <v>Siruseri</v>
      </c>
      <c r="R223" t="s">
        <v>19</v>
      </c>
      <c r="S223" s="39" t="s">
        <v>37</v>
      </c>
    </row>
    <row r="224" spans="1:19">
      <c r="A224" s="3">
        <v>2512360</v>
      </c>
      <c r="B224" t="str">
        <f>VLOOKUP(A224,File!$A:$J,2,FALSE)</f>
        <v>Mahantesh Chikkeri</v>
      </c>
      <c r="C224" s="29">
        <f>VLOOKUP(A224,File!$A:$J,5,FALSE)</f>
        <v>46170</v>
      </c>
      <c r="D224" s="29" t="str">
        <f>VLOOKUP(A224,File!$A:$J,3,FALSE)</f>
        <v>Male</v>
      </c>
      <c r="E224" s="29" t="str">
        <f>VLOOKUP(A224,File!$A:$J,4,FALSE)</f>
        <v>FTE</v>
      </c>
      <c r="F224" s="29" t="str">
        <f>VLOOKUP(A224,File!$A:$J,6,FALSE)</f>
        <v>Chennai</v>
      </c>
      <c r="G224" s="29" t="str">
        <f>VLOOKUP(A224,File!$A:$J,7,FALSE)</f>
        <v>CIS26MCPT012</v>
      </c>
      <c r="H224" s="29" t="str">
        <f>VLOOKUP(A224,File!$A:$J,8,FALSE)</f>
        <v>Uma Venkatachalam</v>
      </c>
      <c r="I224" s="31">
        <f>VLOOKUP(A224,File!$A:$J,9,FALSE)</f>
        <v>46282</v>
      </c>
      <c r="J224" s="31" t="str">
        <f>VLOOKUP(A224,File!$A:$K,11,FALSE)</f>
        <v>Sep 2026</v>
      </c>
      <c r="K224" s="31" t="str">
        <f>VLOOKUP(A224,File!$A:$K,10,FALSE)</f>
        <v>In-Training</v>
      </c>
      <c r="L224" s="31" t="s">
        <v>4</v>
      </c>
      <c r="M224" t="str">
        <f>VLOOKUP(A224,Response!$A:$M,7,)</f>
        <v>PG (Paying Guest)</v>
      </c>
      <c r="N224" t="str">
        <f>VLOOKUP(A224,Response!$A:$M,8,)</f>
        <v>CNR GENTS PG BRANCH 1 SERUSERI</v>
      </c>
      <c r="O224" s="4">
        <f>VLOOKUP(A224,Response!$A:$M,10,)</f>
        <v>3</v>
      </c>
      <c r="P224" t="str">
        <f>VLOOKUP(A224,Response!$A:$M,12,)</f>
        <v>No</v>
      </c>
      <c r="Q224" t="str">
        <f>VLOOKUP(A224,Response!$A:$M,11,)</f>
        <v>Siruseri</v>
      </c>
      <c r="R224" t="s">
        <v>19</v>
      </c>
      <c r="S224" s="39" t="s">
        <v>37</v>
      </c>
    </row>
    <row r="225" spans="1:19">
      <c r="A225" s="3">
        <v>2524519</v>
      </c>
      <c r="B225" t="str">
        <f>VLOOKUP(A225,File!$A:$J,2,FALSE)</f>
        <v>Aniket Dnyaneshwar Auty</v>
      </c>
      <c r="C225" s="29">
        <f>VLOOKUP(A225,File!$A:$J,5,FALSE)</f>
        <v>46224</v>
      </c>
      <c r="D225" s="29" t="str">
        <f>VLOOKUP(A225,File!$A:$J,3,FALSE)</f>
        <v>Male</v>
      </c>
      <c r="E225" s="29" t="str">
        <f>VLOOKUP(A225,File!$A:$J,4,FALSE)</f>
        <v>FTE</v>
      </c>
      <c r="F225" s="29" t="str">
        <f>VLOOKUP(A225,File!$A:$J,6,FALSE)</f>
        <v>Chennai</v>
      </c>
      <c r="G225" s="29" t="str">
        <f>VLOOKUP(A225,File!$A:$J,7,FALSE)</f>
        <v>QEA26QEPT024</v>
      </c>
      <c r="H225" s="29" t="str">
        <f>VLOOKUP(A225,File!$A:$J,8,FALSE)</f>
        <v>Ajiesya D P</v>
      </c>
      <c r="I225" s="31">
        <f>VLOOKUP(A225,File!$A:$J,9,FALSE)</f>
        <v>46330</v>
      </c>
      <c r="J225" s="31" t="str">
        <f>VLOOKUP(A225,File!$A:$K,11,FALSE)</f>
        <v>Nov 2026</v>
      </c>
      <c r="K225" s="31" t="str">
        <f>VLOOKUP(A225,File!$A:$K,10,FALSE)</f>
        <v>In-Training</v>
      </c>
      <c r="L225" s="31" t="s">
        <v>4</v>
      </c>
      <c r="M225" t="str">
        <f>VLOOKUP(A225,Response!$A:$M,7,)</f>
        <v>PG (Paying Guest)</v>
      </c>
      <c r="N225" t="str">
        <f>VLOOKUP(A225,Response!$A:$M,8,)</f>
        <v xml:space="preserve">CNR GENTS PG BRANCH 1 SIRUSERI SIPCOT </v>
      </c>
      <c r="O225" s="4">
        <f>VLOOKUP(A225,Response!$A:$M,10,)</f>
        <v>4</v>
      </c>
      <c r="P225" t="str">
        <f>VLOOKUP(A225,Response!$A:$M,12,)</f>
        <v>Yes</v>
      </c>
      <c r="Q225" t="str">
        <f>VLOOKUP(A225,Response!$A:$M,11,)</f>
        <v>Siruseri</v>
      </c>
      <c r="R225" t="s">
        <v>19</v>
      </c>
      <c r="S225" s="39" t="s">
        <v>37</v>
      </c>
    </row>
    <row r="226" spans="1:19">
      <c r="A226" s="3">
        <v>2533013</v>
      </c>
      <c r="B226" t="str">
        <f>VLOOKUP(A226,File!$A:$J,2,FALSE)</f>
        <v>Odela Sai Sri Bhargav</v>
      </c>
      <c r="C226" s="29">
        <f>VLOOKUP(A226,File!$A:$J,5,FALSE)</f>
        <v>46259</v>
      </c>
      <c r="D226" s="29" t="str">
        <f>VLOOKUP(A226,File!$A:$J,3,FALSE)</f>
        <v>Male</v>
      </c>
      <c r="E226" s="29" t="str">
        <f>VLOOKUP(A226,File!$A:$J,4,FALSE)</f>
        <v>FTE</v>
      </c>
      <c r="F226" s="29" t="str">
        <f>VLOOKUP(A226,File!$A:$J,6,FALSE)</f>
        <v>Chennai</v>
      </c>
      <c r="G226" s="29" t="str">
        <f>VLOOKUP(A226,File!$A:$J,7,FALSE)</f>
        <v>CIS26AT008</v>
      </c>
      <c r="H226" s="29" t="str">
        <f>VLOOKUP(A226,File!$A:$J,8,FALSE)</f>
        <v>Uma Venkatachalam</v>
      </c>
      <c r="I226" s="31">
        <f>VLOOKUP(A226,File!$A:$J,9,FALSE)</f>
        <v>46365</v>
      </c>
      <c r="J226" s="31" t="str">
        <f>VLOOKUP(A226,File!$A:$K,11,FALSE)</f>
        <v>Dec 2026</v>
      </c>
      <c r="K226" s="31" t="str">
        <f>VLOOKUP(A226,File!$A:$K,10,FALSE)</f>
        <v>In-Training</v>
      </c>
      <c r="L226" s="31" t="s">
        <v>4</v>
      </c>
      <c r="M226" t="str">
        <f>VLOOKUP(A226,Response!$A:$M,7,)</f>
        <v>PG (Paying Guest)</v>
      </c>
      <c r="N226" t="str">
        <f>VLOOKUP(A226,Response!$A:$M,8,)</f>
        <v>CNR Gents PG Branch 1, Egattur</v>
      </c>
      <c r="O226" s="4">
        <f>VLOOKUP(A226,Response!$A:$M,10,)</f>
        <v>2</v>
      </c>
      <c r="P226" t="str">
        <f>VLOOKUP(A226,Response!$A:$M,12,)</f>
        <v>No</v>
      </c>
      <c r="Q226" t="str">
        <f>VLOOKUP(A226,Response!$A:$M,11,)</f>
        <v>Egattur</v>
      </c>
      <c r="R226" t="s">
        <v>19</v>
      </c>
      <c r="S226" s="39" t="s">
        <v>37</v>
      </c>
    </row>
    <row r="227" spans="1:19">
      <c r="A227" s="3">
        <v>2521075</v>
      </c>
      <c r="B227" t="str">
        <f>VLOOKUP(A227,File!$A:$J,2,FALSE)</f>
        <v>Shaik Abdul Sahil</v>
      </c>
      <c r="C227" s="29">
        <f>VLOOKUP(A227,File!$A:$J,5,FALSE)</f>
        <v>46210</v>
      </c>
      <c r="D227" s="29" t="str">
        <f>VLOOKUP(A227,File!$A:$J,3,FALSE)</f>
        <v>Male</v>
      </c>
      <c r="E227" s="29" t="str">
        <f>VLOOKUP(A227,File!$A:$J,4,FALSE)</f>
        <v>FTE</v>
      </c>
      <c r="F227" s="29" t="str">
        <f>VLOOKUP(A227,File!$A:$J,6,FALSE)</f>
        <v>Chennai</v>
      </c>
      <c r="G227" s="29" t="str">
        <f>VLOOKUP(A227,File!$A:$J,7,FALSE)</f>
        <v>CIS26SN001</v>
      </c>
      <c r="H227" s="29" t="str">
        <f>VLOOKUP(A227,File!$A:$J,8,FALSE)</f>
        <v>Ashiya Begam S</v>
      </c>
      <c r="I227" s="31">
        <f>VLOOKUP(A227,File!$A:$J,9,FALSE)</f>
        <v>46303</v>
      </c>
      <c r="J227" s="31" t="str">
        <f>VLOOKUP(A227,File!$A:$K,11,FALSE)</f>
        <v>Oct 2026</v>
      </c>
      <c r="K227" s="31" t="str">
        <f>VLOOKUP(A227,File!$A:$K,10,FALSE)</f>
        <v>In-Training</v>
      </c>
      <c r="L227" s="31" t="s">
        <v>4</v>
      </c>
      <c r="M227" t="str">
        <f>VLOOKUP(A227,Response!$A:$M,7,)</f>
        <v>PG (Paying Guest)</v>
      </c>
      <c r="N227" t="str">
        <f>VLOOKUP(A227,Response!$A:$M,8,)</f>
        <v>CNR Gents Pg Branch 1, Egattur</v>
      </c>
      <c r="O227" s="4">
        <f>VLOOKUP(A227,Response!$A:$M,10,)</f>
        <v>3</v>
      </c>
      <c r="P227" t="str">
        <f>VLOOKUP(A227,Response!$A:$M,12,)</f>
        <v>No</v>
      </c>
      <c r="Q227" t="str">
        <f>VLOOKUP(A227,Response!$A:$M,11,)</f>
        <v>Siruseri</v>
      </c>
      <c r="R227" t="s">
        <v>19</v>
      </c>
      <c r="S227" s="39" t="s">
        <v>37</v>
      </c>
    </row>
    <row r="228" spans="1:19">
      <c r="A228" s="3">
        <v>2529571</v>
      </c>
      <c r="B228" t="str">
        <f>VLOOKUP(A228,File!$A:$J,2,FALSE)</f>
        <v>Yogesh Ajaysing Gour</v>
      </c>
      <c r="C228" s="29">
        <f>VLOOKUP(A228,File!$A:$J,5,FALSE)</f>
        <v>46245</v>
      </c>
      <c r="D228" s="29" t="str">
        <f>VLOOKUP(A228,File!$A:$J,3,FALSE)</f>
        <v>Male</v>
      </c>
      <c r="E228" s="29" t="str">
        <f>VLOOKUP(A228,File!$A:$J,4,FALSE)</f>
        <v>FTE</v>
      </c>
      <c r="F228" s="29" t="str">
        <f>VLOOKUP(A228,File!$A:$J,6,FALSE)</f>
        <v>Chennai</v>
      </c>
      <c r="G228" s="29" t="str">
        <f>VLOOKUP(A228,File!$A:$J,7,FALSE)</f>
        <v>CIS26MCPT025</v>
      </c>
      <c r="H228" s="29" t="str">
        <f>VLOOKUP(A228,File!$A:$J,8,FALSE)</f>
        <v>Vignesh S</v>
      </c>
      <c r="I228" s="31">
        <f>VLOOKUP(A228,File!$A:$J,9,FALSE)</f>
        <v>46359</v>
      </c>
      <c r="J228" s="31" t="str">
        <f>VLOOKUP(A228,File!$A:$K,11,FALSE)</f>
        <v>Dec 2026</v>
      </c>
      <c r="K228" s="31" t="str">
        <f>VLOOKUP(A228,File!$A:$K,10,FALSE)</f>
        <v>In-Training</v>
      </c>
      <c r="L228" s="31" t="s">
        <v>4</v>
      </c>
      <c r="M228" t="str">
        <f>VLOOKUP(A228,Response!$A:$M,7,)</f>
        <v>PG (Paying Guest)</v>
      </c>
      <c r="N228" t="str">
        <f>VLOOKUP(A228,Response!$A:$M,8,)</f>
        <v>CNR Gents PG Branch 1, Sipcot, Siruseri.</v>
      </c>
      <c r="O228" s="4" t="str">
        <f>VLOOKUP(A228,Response!$A:$M,10,)</f>
        <v>GF</v>
      </c>
      <c r="P228" t="str">
        <f>VLOOKUP(A228,Response!$A:$M,12,)</f>
        <v>No</v>
      </c>
      <c r="Q228" t="str">
        <f>VLOOKUP(A228,Response!$A:$M,11,)</f>
        <v>Siruseri</v>
      </c>
      <c r="R228" t="s">
        <v>19</v>
      </c>
      <c r="S228" s="39" t="s">
        <v>37</v>
      </c>
    </row>
    <row r="229" spans="1:19">
      <c r="A229" s="3">
        <v>2533007</v>
      </c>
      <c r="B229" t="str">
        <f>VLOOKUP(A229,File!$A:$J,2,FALSE)</f>
        <v>Nese Charan Teja</v>
      </c>
      <c r="C229" s="29">
        <f>VLOOKUP(A229,File!$A:$J,5,FALSE)</f>
        <v>46259</v>
      </c>
      <c r="D229" s="29" t="str">
        <f>VLOOKUP(A229,File!$A:$J,3,FALSE)</f>
        <v>Male</v>
      </c>
      <c r="E229" s="29" t="str">
        <f>VLOOKUP(A229,File!$A:$J,4,FALSE)</f>
        <v>FTE</v>
      </c>
      <c r="F229" s="29" t="str">
        <f>VLOOKUP(A229,File!$A:$J,6,FALSE)</f>
        <v>Chennai</v>
      </c>
      <c r="G229" s="29" t="str">
        <f>VLOOKUP(A229,File!$A:$J,7,FALSE)</f>
        <v>CIS26MBG006</v>
      </c>
      <c r="H229" s="29" t="str">
        <f>VLOOKUP(A229,File!$A:$J,8,FALSE)</f>
        <v>Angel Maria Faustina Gomez</v>
      </c>
      <c r="I229" s="31">
        <f>VLOOKUP(A229,File!$A:$J,9,FALSE)</f>
        <v>46367</v>
      </c>
      <c r="J229" s="31" t="str">
        <f>VLOOKUP(A229,File!$A:$K,11,FALSE)</f>
        <v>Dec 2026</v>
      </c>
      <c r="K229" s="31" t="str">
        <f>VLOOKUP(A229,File!$A:$K,10,FALSE)</f>
        <v>In-Training</v>
      </c>
      <c r="L229" s="31" t="s">
        <v>4</v>
      </c>
      <c r="M229" t="str">
        <f>VLOOKUP(A229,Response!$A:$M,7,)</f>
        <v>PG (Paying Guest)</v>
      </c>
      <c r="N229" t="str">
        <f>VLOOKUP(A229,Response!$A:$M,8,)</f>
        <v>CNR Gents Pg branch 1, Siruseri</v>
      </c>
      <c r="O229" s="4">
        <f>VLOOKUP(A229,Response!$A:$M,10,)</f>
        <v>2</v>
      </c>
      <c r="P229" t="str">
        <f>VLOOKUP(A229,Response!$A:$M,12,)</f>
        <v>No</v>
      </c>
      <c r="Q229" t="str">
        <f>VLOOKUP(A229,Response!$A:$M,11,)</f>
        <v>Siruseri</v>
      </c>
      <c r="R229" t="s">
        <v>19</v>
      </c>
      <c r="S229" s="39" t="s">
        <v>37</v>
      </c>
    </row>
    <row r="230" spans="1:19">
      <c r="A230" s="3">
        <v>2521222</v>
      </c>
      <c r="B230" t="str">
        <f>VLOOKUP(A230,File!$A:$J,2,FALSE)</f>
        <v>Karri Chandu</v>
      </c>
      <c r="C230" s="29">
        <f>VLOOKUP(A230,File!$A:$J,5,FALSE)</f>
        <v>46210</v>
      </c>
      <c r="D230" s="29" t="str">
        <f>VLOOKUP(A230,File!$A:$J,3,FALSE)</f>
        <v>Male</v>
      </c>
      <c r="E230" s="29" t="str">
        <f>VLOOKUP(A230,File!$A:$J,4,FALSE)</f>
        <v>FTE</v>
      </c>
      <c r="F230" s="29" t="str">
        <f>VLOOKUP(A230,File!$A:$J,6,FALSE)</f>
        <v>Chennai</v>
      </c>
      <c r="G230" s="29" t="str">
        <f>VLOOKUP(A230,File!$A:$J,7,FALSE)</f>
        <v>PG26JFR003</v>
      </c>
      <c r="H230" s="29" t="str">
        <f>VLOOKUP(A230,File!$A:$J,8,FALSE)</f>
        <v>Vijay K</v>
      </c>
      <c r="I230" s="31">
        <f>VLOOKUP(A230,File!$A:$J,9,FALSE)</f>
        <v>46322</v>
      </c>
      <c r="J230" s="31" t="str">
        <f>VLOOKUP(A230,File!$A:$K,11,FALSE)</f>
        <v>Oct 2026</v>
      </c>
      <c r="K230" s="31" t="str">
        <f>VLOOKUP(A230,File!$A:$K,10,FALSE)</f>
        <v>In-Training</v>
      </c>
      <c r="L230" s="31" t="s">
        <v>4</v>
      </c>
      <c r="M230" t="str">
        <f>VLOOKUP(A230,Response!$A:$M,7,)</f>
        <v>PG (Paying Guest)</v>
      </c>
      <c r="N230" t="str">
        <f>VLOOKUP(A230,Response!$A:$M,8,)</f>
        <v>CNR gents PG Branch 1,Egattur</v>
      </c>
      <c r="O230" s="4">
        <f>VLOOKUP(A230,Response!$A:$M,10,)</f>
        <v>1</v>
      </c>
      <c r="P230" t="str">
        <f>VLOOKUP(A230,Response!$A:$M,12,)</f>
        <v>No</v>
      </c>
      <c r="Q230" t="str">
        <f>VLOOKUP(A230,Response!$A:$M,11,)</f>
        <v>Siruseri</v>
      </c>
      <c r="R230" t="s">
        <v>19</v>
      </c>
      <c r="S230" s="39" t="s">
        <v>37</v>
      </c>
    </row>
    <row r="231" spans="1:19">
      <c r="A231" s="3">
        <v>2520944</v>
      </c>
      <c r="B231" t="str">
        <f>VLOOKUP(A231,File!$A:$J,2,FALSE)</f>
        <v>Kanbuddi Gouri Shiva Shankar Reddy</v>
      </c>
      <c r="C231" s="29">
        <f>VLOOKUP(A231,File!$A:$J,5,FALSE)</f>
        <v>46210</v>
      </c>
      <c r="D231" s="29" t="str">
        <f>VLOOKUP(A231,File!$A:$J,3,FALSE)</f>
        <v>Male</v>
      </c>
      <c r="E231" s="29" t="str">
        <f>VLOOKUP(A231,File!$A:$J,4,FALSE)</f>
        <v>FTE</v>
      </c>
      <c r="F231" s="29" t="str">
        <f>VLOOKUP(A231,File!$A:$J,6,FALSE)</f>
        <v>Chennai</v>
      </c>
      <c r="G231" s="29" t="str">
        <f>VLOOKUP(A231,File!$A:$J,7,FALSE)</f>
        <v>CM26SFDC006</v>
      </c>
      <c r="H231" s="29" t="str">
        <f>VLOOKUP(A231,File!$A:$J,8,FALSE)</f>
        <v>Gayathri Ramachandran</v>
      </c>
      <c r="I231" s="31">
        <f>VLOOKUP(A231,File!$A:$J,9,FALSE)</f>
        <v>46337</v>
      </c>
      <c r="J231" s="31" t="str">
        <f>VLOOKUP(A231,File!$A:$K,11,FALSE)</f>
        <v>Nov 2026</v>
      </c>
      <c r="K231" s="31" t="str">
        <f>VLOOKUP(A231,File!$A:$K,10,FALSE)</f>
        <v>In-Training</v>
      </c>
      <c r="L231" s="31" t="s">
        <v>4</v>
      </c>
      <c r="M231" t="str">
        <f>VLOOKUP(A231,Response!$A:$M,7,)</f>
        <v>PG (Paying Guest)</v>
      </c>
      <c r="N231" t="str">
        <f>VLOOKUP(A231,Response!$A:$M,8,)</f>
        <v>CNR GENTS PG BRANCH 1,EGATTUR</v>
      </c>
      <c r="O231" s="4">
        <f>VLOOKUP(A231,Response!$A:$M,10,)</f>
        <v>3</v>
      </c>
      <c r="P231" t="str">
        <f>VLOOKUP(A231,Response!$A:$M,12,)</f>
        <v>No</v>
      </c>
      <c r="Q231" t="str">
        <f>VLOOKUP(A231,Response!$A:$M,11,)</f>
        <v>Siruseri</v>
      </c>
      <c r="R231" t="s">
        <v>19</v>
      </c>
      <c r="S231" s="39" t="s">
        <v>37</v>
      </c>
    </row>
    <row r="232" spans="1:19">
      <c r="A232" s="3">
        <v>2529530</v>
      </c>
      <c r="B232" t="str">
        <f>VLOOKUP(A232,File!$A:$J,2,FALSE)</f>
        <v>Abhishek Trambak Daware</v>
      </c>
      <c r="C232" s="29">
        <f>VLOOKUP(A232,File!$A:$J,5,FALSE)</f>
        <v>46245</v>
      </c>
      <c r="D232" s="29" t="str">
        <f>VLOOKUP(A232,File!$A:$J,3,FALSE)</f>
        <v>Male</v>
      </c>
      <c r="E232" s="29" t="str">
        <f>VLOOKUP(A232,File!$A:$J,4,FALSE)</f>
        <v>FTE</v>
      </c>
      <c r="F232" s="29" t="str">
        <f>VLOOKUP(A232,File!$A:$J,6,FALSE)</f>
        <v>Chennai</v>
      </c>
      <c r="G232" s="29" t="str">
        <f>VLOOKUP(A232,File!$A:$J,7,FALSE)</f>
        <v>CIS26MCPT024</v>
      </c>
      <c r="H232" s="29" t="str">
        <f>VLOOKUP(A232,File!$A:$J,8,FALSE)</f>
        <v>Ashiya Begam S</v>
      </c>
      <c r="I232" s="31">
        <f>VLOOKUP(A232,File!$A:$J,9,FALSE)</f>
        <v>46359</v>
      </c>
      <c r="J232" s="31" t="str">
        <f>VLOOKUP(A232,File!$A:$K,11,FALSE)</f>
        <v>Dec 2026</v>
      </c>
      <c r="K232" s="31" t="str">
        <f>VLOOKUP(A232,File!$A:$K,10,FALSE)</f>
        <v>In-Training</v>
      </c>
      <c r="L232" s="31" t="s">
        <v>4</v>
      </c>
      <c r="M232" t="str">
        <f>VLOOKUP(A232,Response!$A:$M,7,)</f>
        <v>PG (Paying Guest)</v>
      </c>
      <c r="N232" t="str">
        <f>VLOOKUP(A232,Response!$A:$M,8,)</f>
        <v>CNR Gents PG Branch 2</v>
      </c>
      <c r="O232" s="4">
        <f>VLOOKUP(A232,Response!$A:$M,10,)</f>
        <v>1</v>
      </c>
      <c r="P232" t="str">
        <f>VLOOKUP(A232,Response!$A:$M,12,)</f>
        <v>No</v>
      </c>
      <c r="Q232" t="str">
        <f>VLOOKUP(A232,Response!$A:$M,11,)</f>
        <v>Siruseri</v>
      </c>
      <c r="R232" t="s">
        <v>19</v>
      </c>
      <c r="S232" s="39" t="s">
        <v>37</v>
      </c>
    </row>
    <row r="233" spans="1:19">
      <c r="A233" s="3">
        <v>2529572</v>
      </c>
      <c r="B233" t="str">
        <f>VLOOKUP(A233,File!$A:$J,2,FALSE)</f>
        <v>Sourabh Balaso Chindage</v>
      </c>
      <c r="C233" s="29">
        <f>VLOOKUP(A233,File!$A:$J,5,FALSE)</f>
        <v>46245</v>
      </c>
      <c r="D233" s="29" t="str">
        <f>VLOOKUP(A233,File!$A:$J,3,FALSE)</f>
        <v>Male</v>
      </c>
      <c r="E233" s="29" t="str">
        <f>VLOOKUP(A233,File!$A:$J,4,FALSE)</f>
        <v>FTE</v>
      </c>
      <c r="F233" s="29" t="str">
        <f>VLOOKUP(A233,File!$A:$J,6,FALSE)</f>
        <v>Chennai</v>
      </c>
      <c r="G233" s="29" t="str">
        <f>VLOOKUP(A233,File!$A:$J,7,FALSE)</f>
        <v>CIS26MCPT022</v>
      </c>
      <c r="H233" s="29" t="str">
        <f>VLOOKUP(A233,File!$A:$J,8,FALSE)</f>
        <v>Laksiya Vijayendran</v>
      </c>
      <c r="I233" s="31">
        <f>VLOOKUP(A233,File!$A:$J,9,FALSE)</f>
        <v>46359</v>
      </c>
      <c r="J233" s="31" t="str">
        <f>VLOOKUP(A233,File!$A:$K,11,FALSE)</f>
        <v>Dec 2026</v>
      </c>
      <c r="K233" s="31" t="str">
        <f>VLOOKUP(A233,File!$A:$K,10,FALSE)</f>
        <v>In-Training</v>
      </c>
      <c r="L233" s="31" t="s">
        <v>4</v>
      </c>
      <c r="M233" t="str">
        <f>VLOOKUP(A233,Response!$A:$M,7,)</f>
        <v>PG (Paying Guest)</v>
      </c>
      <c r="N233" t="str">
        <f>VLOOKUP(A233,Response!$A:$M,8,)</f>
        <v>CNR Gents PG Branch 2</v>
      </c>
      <c r="O233" s="4">
        <f>VLOOKUP(A233,Response!$A:$M,10,)</f>
        <v>3</v>
      </c>
      <c r="P233" t="str">
        <f>VLOOKUP(A233,Response!$A:$M,12,)</f>
        <v>No</v>
      </c>
      <c r="Q233" t="str">
        <f>VLOOKUP(A233,Response!$A:$M,11,)</f>
        <v>Siruseri</v>
      </c>
      <c r="R233" t="s">
        <v>19</v>
      </c>
      <c r="S233" s="39" t="s">
        <v>37</v>
      </c>
    </row>
    <row r="234" spans="1:19">
      <c r="A234" s="3">
        <v>2511260</v>
      </c>
      <c r="B234" t="str">
        <f>VLOOKUP(A234,File!$A:$J,2,FALSE)</f>
        <v>Ronith Kumar</v>
      </c>
      <c r="C234" s="29">
        <f>VLOOKUP(A234,File!$A:$J,5,FALSE)</f>
        <v>46163</v>
      </c>
      <c r="D234" s="29" t="str">
        <f>VLOOKUP(A234,File!$A:$J,3,FALSE)</f>
        <v>Male</v>
      </c>
      <c r="E234" s="29" t="str">
        <f>VLOOKUP(A234,File!$A:$J,4,FALSE)</f>
        <v>FTE</v>
      </c>
      <c r="F234" s="29" t="str">
        <f>VLOOKUP(A234,File!$A:$J,6,FALSE)</f>
        <v>Chennai</v>
      </c>
      <c r="G234" s="29" t="str">
        <f>VLOOKUP(A234,File!$A:$J,7,FALSE)</f>
        <v>CIS26MCPT010</v>
      </c>
      <c r="H234" s="29" t="str">
        <f>VLOOKUP(A234,File!$A:$J,8,FALSE)</f>
        <v>Mohamed Harish</v>
      </c>
      <c r="I234" s="31">
        <f>VLOOKUP(A234,File!$A:$J,9,FALSE)</f>
        <v>46275</v>
      </c>
      <c r="J234" s="31" t="str">
        <f>VLOOKUP(A234,File!$A:$K,11,FALSE)</f>
        <v>Sep 2026</v>
      </c>
      <c r="K234" s="31" t="str">
        <f>VLOOKUP(A234,File!$A:$K,10,FALSE)</f>
        <v>In-Training</v>
      </c>
      <c r="L234" s="31" t="s">
        <v>4</v>
      </c>
      <c r="M234" t="str">
        <f>VLOOKUP(A234,Response!$A:$M,7,)</f>
        <v>PG (Paying Guest)</v>
      </c>
      <c r="N234" t="str">
        <f>VLOOKUP(A234,Response!$A:$M,8,)</f>
        <v>CNR Gents PG branch 2 SIPCOT</v>
      </c>
      <c r="O234" s="4">
        <f>VLOOKUP(A234,Response!$A:$M,10,)</f>
        <v>1</v>
      </c>
      <c r="P234" t="str">
        <f>VLOOKUP(A234,Response!$A:$M,12,)</f>
        <v>No</v>
      </c>
      <c r="Q234" t="str">
        <f>VLOOKUP(A234,Response!$A:$M,11,)</f>
        <v>Siruseri</v>
      </c>
      <c r="R234" t="s">
        <v>19</v>
      </c>
      <c r="S234" s="39" t="s">
        <v>37</v>
      </c>
    </row>
    <row r="235" spans="1:19">
      <c r="A235" s="3">
        <v>2511296</v>
      </c>
      <c r="B235" t="str">
        <f>VLOOKUP(A235,File!$A:$J,2,FALSE)</f>
        <v>Hitendra Arvind Singh</v>
      </c>
      <c r="C235" s="29">
        <f>VLOOKUP(A235,File!$A:$J,5,FALSE)</f>
        <v>46163</v>
      </c>
      <c r="D235" s="29" t="str">
        <f>VLOOKUP(A235,File!$A:$J,3,FALSE)</f>
        <v>Male</v>
      </c>
      <c r="E235" s="29" t="str">
        <f>VLOOKUP(A235,File!$A:$J,4,FALSE)</f>
        <v>FTE</v>
      </c>
      <c r="F235" s="29" t="str">
        <f>VLOOKUP(A235,File!$A:$J,6,FALSE)</f>
        <v>Chennai</v>
      </c>
      <c r="G235" s="29" t="str">
        <f>VLOOKUP(A235,File!$A:$J,7,FALSE)</f>
        <v>CIS26MCPT010</v>
      </c>
      <c r="H235" s="29" t="str">
        <f>VLOOKUP(A235,File!$A:$J,8,FALSE)</f>
        <v>Mohamed Harish</v>
      </c>
      <c r="I235" s="31">
        <f>VLOOKUP(A235,File!$A:$J,9,FALSE)</f>
        <v>46280</v>
      </c>
      <c r="J235" s="31" t="str">
        <f>VLOOKUP(A235,File!$A:$K,11,FALSE)</f>
        <v>Sep 2026</v>
      </c>
      <c r="K235" s="31" t="str">
        <f>VLOOKUP(A235,File!$A:$K,10,FALSE)</f>
        <v>In-Training</v>
      </c>
      <c r="L235" s="31" t="s">
        <v>4</v>
      </c>
      <c r="M235" t="str">
        <f>VLOOKUP(A235,Response!$A:$M,7,)</f>
        <v>PG (Paying Guest)</v>
      </c>
      <c r="N235" t="str">
        <f>VLOOKUP(A235,Response!$A:$M,8,)</f>
        <v>CNR Gents PG Branch 2, SIPCOT</v>
      </c>
      <c r="O235" s="4" t="str">
        <f>VLOOKUP(A235,Response!$A:$M,10,)</f>
        <v>GF</v>
      </c>
      <c r="P235" t="str">
        <f>VLOOKUP(A235,Response!$A:$M,12,)</f>
        <v>No</v>
      </c>
      <c r="Q235" t="str">
        <f>VLOOKUP(A235,Response!$A:$M,11,)</f>
        <v>Siruseri</v>
      </c>
      <c r="R235" t="s">
        <v>19</v>
      </c>
      <c r="S235" s="39" t="s">
        <v>37</v>
      </c>
    </row>
    <row r="236" spans="1:19">
      <c r="A236" s="3">
        <v>2529510</v>
      </c>
      <c r="B236" t="str">
        <f>VLOOKUP(A236,File!$A:$J,2,FALSE)</f>
        <v>Rohit Anil Mahajan</v>
      </c>
      <c r="C236" s="29">
        <f>VLOOKUP(A236,File!$A:$J,5,FALSE)</f>
        <v>46245</v>
      </c>
      <c r="D236" s="29" t="str">
        <f>VLOOKUP(A236,File!$A:$J,3,FALSE)</f>
        <v>Male</v>
      </c>
      <c r="E236" s="29" t="str">
        <f>VLOOKUP(A236,File!$A:$J,4,FALSE)</f>
        <v>FTE</v>
      </c>
      <c r="F236" s="29" t="str">
        <f>VLOOKUP(A236,File!$A:$J,6,FALSE)</f>
        <v>Chennai</v>
      </c>
      <c r="G236" s="29" t="str">
        <f>VLOOKUP(A236,File!$A:$J,7,FALSE)</f>
        <v>CIS26MCPT026</v>
      </c>
      <c r="H236" s="29" t="str">
        <f>VLOOKUP(A236,File!$A:$J,8,FALSE)</f>
        <v>Mohamed Harish</v>
      </c>
      <c r="I236" s="31">
        <f>VLOOKUP(A236,File!$A:$J,9,FALSE)</f>
        <v>46364</v>
      </c>
      <c r="J236" s="31" t="str">
        <f>VLOOKUP(A236,File!$A:$K,11,FALSE)</f>
        <v>Dec 2026</v>
      </c>
      <c r="K236" s="31" t="str">
        <f>VLOOKUP(A236,File!$A:$K,10,FALSE)</f>
        <v>In-Training</v>
      </c>
      <c r="L236" s="31" t="s">
        <v>4</v>
      </c>
      <c r="M236" t="str">
        <f>VLOOKUP(A236,Response!$A:$M,7,)</f>
        <v>PG (Paying Guest)</v>
      </c>
      <c r="N236" t="str">
        <f>VLOOKUP(A236,Response!$A:$M,8,)</f>
        <v>CNR Gents PG Branch-1</v>
      </c>
      <c r="O236" s="4">
        <f>VLOOKUP(A236,Response!$A:$M,10,)</f>
        <v>1</v>
      </c>
      <c r="P236" t="str">
        <f>VLOOKUP(A236,Response!$A:$M,12,)</f>
        <v>No</v>
      </c>
      <c r="Q236" t="str">
        <f>VLOOKUP(A236,Response!$A:$M,11,)</f>
        <v>Egattur</v>
      </c>
      <c r="R236" t="s">
        <v>19</v>
      </c>
      <c r="S236" s="39" t="s">
        <v>37</v>
      </c>
    </row>
    <row r="237" spans="1:19">
      <c r="A237" s="3">
        <v>2533008</v>
      </c>
      <c r="B237" t="str">
        <f>VLOOKUP(A237,File!$A:$J,2,FALSE)</f>
        <v>Manchikanti Navaneeth</v>
      </c>
      <c r="C237" s="29">
        <f>VLOOKUP(A237,File!$A:$J,5,FALSE)</f>
        <v>46259</v>
      </c>
      <c r="D237" s="29" t="str">
        <f>VLOOKUP(A237,File!$A:$J,3,FALSE)</f>
        <v>Male</v>
      </c>
      <c r="E237" s="29" t="str">
        <f>VLOOKUP(A237,File!$A:$J,4,FALSE)</f>
        <v>FTE</v>
      </c>
      <c r="F237" s="29" t="str">
        <f>VLOOKUP(A237,File!$A:$J,6,FALSE)</f>
        <v>Chennai</v>
      </c>
      <c r="G237" s="29" t="str">
        <f>VLOOKUP(A237,File!$A:$J,7,FALSE)</f>
        <v>CIS26MBG007</v>
      </c>
      <c r="H237" s="29" t="str">
        <f>VLOOKUP(A237,File!$A:$J,8,FALSE)</f>
        <v>Lawrance M</v>
      </c>
      <c r="I237" s="31">
        <f>VLOOKUP(A237,File!$A:$J,9,FALSE)</f>
        <v>46367</v>
      </c>
      <c r="J237" s="31" t="str">
        <f>VLOOKUP(A237,File!$A:$K,11,FALSE)</f>
        <v>Dec 2026</v>
      </c>
      <c r="K237" s="31" t="str">
        <f>VLOOKUP(A237,File!$A:$K,10,FALSE)</f>
        <v>In-Training</v>
      </c>
      <c r="L237" s="31" t="s">
        <v>4</v>
      </c>
      <c r="M237" t="str">
        <f>VLOOKUP(A237,Response!$A:$M,7,)</f>
        <v>PG (Paying Guest)</v>
      </c>
      <c r="N237" t="str">
        <f>VLOOKUP(A237,Response!$A:$M,8,)</f>
        <v>CNR gents pg branch-1</v>
      </c>
      <c r="O237" s="4">
        <f>VLOOKUP(A237,Response!$A:$M,10,)</f>
        <v>2</v>
      </c>
      <c r="P237" t="str">
        <f>VLOOKUP(A237,Response!$A:$M,12,)</f>
        <v>No</v>
      </c>
      <c r="Q237" t="str">
        <f>VLOOKUP(A237,Response!$A:$M,11,)</f>
        <v>Siruseri</v>
      </c>
      <c r="R237" t="s">
        <v>19</v>
      </c>
      <c r="S237" s="39" t="s">
        <v>37</v>
      </c>
    </row>
    <row r="238" spans="1:19">
      <c r="A238" s="3">
        <v>2512315</v>
      </c>
      <c r="B238" t="str">
        <f>VLOOKUP(A238,File!$A:$J,2,FALSE)</f>
        <v>Harshith K</v>
      </c>
      <c r="C238" s="29">
        <f>VLOOKUP(A238,File!$A:$J,5,FALSE)</f>
        <v>46170</v>
      </c>
      <c r="D238" s="29" t="str">
        <f>VLOOKUP(A238,File!$A:$J,3,FALSE)</f>
        <v>Male</v>
      </c>
      <c r="E238" s="29" t="str">
        <f>VLOOKUP(A238,File!$A:$J,4,FALSE)</f>
        <v>FTE</v>
      </c>
      <c r="F238" s="29" t="str">
        <f>VLOOKUP(A238,File!$A:$J,6,FALSE)</f>
        <v>Chennai</v>
      </c>
      <c r="G238" s="29" t="str">
        <f>VLOOKUP(A238,File!$A:$J,7,FALSE)</f>
        <v>CIS26MCPT012</v>
      </c>
      <c r="H238" s="29" t="str">
        <f>VLOOKUP(A238,File!$A:$J,8,FALSE)</f>
        <v>Uma Venkatachalam</v>
      </c>
      <c r="I238" s="31">
        <f>VLOOKUP(A238,File!$A:$J,9,FALSE)</f>
        <v>46282</v>
      </c>
      <c r="J238" s="31" t="str">
        <f>VLOOKUP(A238,File!$A:$K,11,FALSE)</f>
        <v>Sep 2026</v>
      </c>
      <c r="K238" s="31" t="str">
        <f>VLOOKUP(A238,File!$A:$K,10,FALSE)</f>
        <v>In-Training</v>
      </c>
      <c r="L238" s="31" t="s">
        <v>4</v>
      </c>
      <c r="M238" t="str">
        <f>VLOOKUP(A238,Response!$A:$M,7,)</f>
        <v>PG (Paying Guest)</v>
      </c>
      <c r="N238" t="str">
        <f>VLOOKUP(A238,Response!$A:$M,8,)</f>
        <v xml:space="preserve">CNR GENTS PG BRANCH-1 </v>
      </c>
      <c r="O238" s="4">
        <f>VLOOKUP(A238,Response!$A:$M,10,)</f>
        <v>1</v>
      </c>
      <c r="P238" t="str">
        <f>VLOOKUP(A238,Response!$A:$M,12,)</f>
        <v>No</v>
      </c>
      <c r="Q238" t="str">
        <f>VLOOKUP(A238,Response!$A:$M,11,)</f>
        <v>Siruseri</v>
      </c>
      <c r="R238" t="s">
        <v>19</v>
      </c>
      <c r="S238" s="39" t="s">
        <v>37</v>
      </c>
    </row>
    <row r="239" spans="1:19">
      <c r="A239" s="3">
        <v>2532962</v>
      </c>
      <c r="B239" t="str">
        <f>VLOOKUP(A239,File!$A:$J,2,FALSE)</f>
        <v>Katikaparlu Karthik</v>
      </c>
      <c r="C239" s="29">
        <f>VLOOKUP(A239,File!$A:$J,5,FALSE)</f>
        <v>46259</v>
      </c>
      <c r="D239" s="29" t="str">
        <f>VLOOKUP(A239,File!$A:$J,3,FALSE)</f>
        <v>Male</v>
      </c>
      <c r="E239" s="29" t="str">
        <f>VLOOKUP(A239,File!$A:$J,4,FALSE)</f>
        <v>FTE</v>
      </c>
      <c r="F239" s="29" t="str">
        <f>VLOOKUP(A239,File!$A:$J,6,FALSE)</f>
        <v>Chennai</v>
      </c>
      <c r="G239" s="29" t="str">
        <f>VLOOKUP(A239,File!$A:$J,7,FALSE)</f>
        <v>CIS26MBG004</v>
      </c>
      <c r="H239" s="29" t="str">
        <f>VLOOKUP(A239,File!$A:$J,8,FALSE)</f>
        <v>Kishorekumar P</v>
      </c>
      <c r="I239" s="31">
        <f>VLOOKUP(A239,File!$A:$J,9,FALSE)</f>
        <v>46367</v>
      </c>
      <c r="J239" s="31" t="str">
        <f>VLOOKUP(A239,File!$A:$K,11,FALSE)</f>
        <v>Dec 2026</v>
      </c>
      <c r="K239" s="31" t="str">
        <f>VLOOKUP(A239,File!$A:$K,10,FALSE)</f>
        <v>In-Training</v>
      </c>
      <c r="L239" s="31" t="s">
        <v>4</v>
      </c>
      <c r="M239" t="str">
        <f>VLOOKUP(A239,Response!$A:$M,7,)</f>
        <v>PG (Paying Guest)</v>
      </c>
      <c r="N239" t="str">
        <f>VLOOKUP(A239,Response!$A:$M,8,)</f>
        <v>CNR Gents PG Branch-1 , SIRUSERI SIPCOT</v>
      </c>
      <c r="O239" s="4">
        <f>VLOOKUP(A239,Response!$A:$M,10,)</f>
        <v>2</v>
      </c>
      <c r="P239" t="str">
        <f>VLOOKUP(A239,Response!$A:$M,12,)</f>
        <v>No</v>
      </c>
      <c r="Q239" t="str">
        <f>VLOOKUP(A239,Response!$A:$M,11,)</f>
        <v>Siruseri</v>
      </c>
      <c r="R239" t="s">
        <v>19</v>
      </c>
      <c r="S239" s="39" t="s">
        <v>37</v>
      </c>
    </row>
    <row r="240" spans="1:19">
      <c r="A240" s="3">
        <v>2521052</v>
      </c>
      <c r="B240" t="str">
        <f>VLOOKUP(A240,File!$A:$J,2,FALSE)</f>
        <v>Balusu Vignesh</v>
      </c>
      <c r="C240" s="29">
        <f>VLOOKUP(A240,File!$A:$J,5,FALSE)</f>
        <v>46210</v>
      </c>
      <c r="D240" s="29" t="str">
        <f>VLOOKUP(A240,File!$A:$J,3,FALSE)</f>
        <v>Male</v>
      </c>
      <c r="E240" s="29" t="str">
        <f>VLOOKUP(A240,File!$A:$J,4,FALSE)</f>
        <v>FTE</v>
      </c>
      <c r="F240" s="29" t="str">
        <f>VLOOKUP(A240,File!$A:$J,6,FALSE)</f>
        <v>Chennai</v>
      </c>
      <c r="G240" s="29" t="str">
        <f>VLOOKUP(A240,File!$A:$J,7,FALSE)</f>
        <v>SNBG26SN002</v>
      </c>
      <c r="H240" s="29" t="str">
        <f>VLOOKUP(A240,File!$A:$J,8,FALSE)</f>
        <v>Lawrance M</v>
      </c>
      <c r="I240" s="31">
        <f>VLOOKUP(A240,File!$A:$J,9,FALSE)</f>
        <v>46303</v>
      </c>
      <c r="J240" s="31" t="str">
        <f>VLOOKUP(A240,File!$A:$K,11,FALSE)</f>
        <v>Oct 2026</v>
      </c>
      <c r="K240" s="31" t="str">
        <f>VLOOKUP(A240,File!$A:$K,10,FALSE)</f>
        <v>In-Training</v>
      </c>
      <c r="L240" s="31" t="s">
        <v>4</v>
      </c>
      <c r="M240" t="str">
        <f>VLOOKUP(A240,Response!$A:$M,7,)</f>
        <v>PG (Paying Guest)</v>
      </c>
      <c r="N240" t="str">
        <f>VLOOKUP(A240,Response!$A:$M,8,)</f>
        <v>CNR GENTS PG BRANCH-1 SIRUSERI SIPCOT</v>
      </c>
      <c r="O240" s="4">
        <f>VLOOKUP(A240,Response!$A:$M,10,)</f>
        <v>1</v>
      </c>
      <c r="P240" t="str">
        <f>VLOOKUP(A240,Response!$A:$M,12,)</f>
        <v>No</v>
      </c>
      <c r="Q240" t="str">
        <f>VLOOKUP(A240,Response!$A:$M,11,)</f>
        <v>Siruseri</v>
      </c>
      <c r="R240" t="s">
        <v>19</v>
      </c>
      <c r="S240" s="39" t="s">
        <v>37</v>
      </c>
    </row>
    <row r="241" spans="1:19">
      <c r="A241" s="3">
        <v>2520943</v>
      </c>
      <c r="B241" t="str">
        <f>VLOOKUP(A241,File!$A:$J,2,FALSE)</f>
        <v>Sandeep Laxman Jalandra</v>
      </c>
      <c r="C241" s="29">
        <f>VLOOKUP(A241,File!$A:$J,5,FALSE)</f>
        <v>46210</v>
      </c>
      <c r="D241" s="29" t="str">
        <f>VLOOKUP(A241,File!$A:$J,3,FALSE)</f>
        <v>Male</v>
      </c>
      <c r="E241" s="29" t="str">
        <f>VLOOKUP(A241,File!$A:$J,4,FALSE)</f>
        <v>FTE</v>
      </c>
      <c r="F241" s="29" t="str">
        <f>VLOOKUP(A241,File!$A:$J,6,FALSE)</f>
        <v>Chennai</v>
      </c>
      <c r="G241" s="29" t="str">
        <f>VLOOKUP(A241,File!$A:$J,7,FALSE)</f>
        <v>CS26CS008</v>
      </c>
      <c r="H241" s="29" t="str">
        <f>VLOOKUP(A241,File!$A:$J,8,FALSE)</f>
        <v>Kishorekumar P</v>
      </c>
      <c r="I241" s="31">
        <f>VLOOKUP(A241,File!$A:$J,9,FALSE)</f>
        <v>46323</v>
      </c>
      <c r="J241" s="31" t="str">
        <f>VLOOKUP(A241,File!$A:$K,11,FALSE)</f>
        <v>Oct 2026</v>
      </c>
      <c r="K241" s="31" t="str">
        <f>VLOOKUP(A241,File!$A:$K,10,FALSE)</f>
        <v>In-Training</v>
      </c>
      <c r="L241" s="31" t="s">
        <v>4</v>
      </c>
      <c r="M241" t="str">
        <f>VLOOKUP(A241,Response!$A:$M,7,)</f>
        <v>PG (Paying Guest)</v>
      </c>
      <c r="N241" t="str">
        <f>VLOOKUP(A241,Response!$A:$M,8,)</f>
        <v>CNR GENTS PG BRANCH-1 SIRUSERI SIPCOT</v>
      </c>
      <c r="O241" s="4">
        <f>VLOOKUP(A241,Response!$A:$M,10,)</f>
        <v>4</v>
      </c>
      <c r="P241" t="str">
        <f>VLOOKUP(A241,Response!$A:$M,12,)</f>
        <v>No</v>
      </c>
      <c r="Q241" t="str">
        <f>VLOOKUP(A241,Response!$A:$M,11,)</f>
        <v>Siruseri</v>
      </c>
      <c r="R241" t="s">
        <v>19</v>
      </c>
      <c r="S241" s="39" t="s">
        <v>37</v>
      </c>
    </row>
    <row r="242" spans="1:19">
      <c r="A242" s="3">
        <v>2521661</v>
      </c>
      <c r="B242" t="str">
        <f>VLOOKUP(A242,File!$A:$J,2,FALSE)</f>
        <v>Pavan Raj R</v>
      </c>
      <c r="C242" s="29">
        <f>VLOOKUP(A242,File!$A:$J,5,FALSE)</f>
        <v>46212</v>
      </c>
      <c r="D242" s="29" t="str">
        <f>VLOOKUP(A242,File!$A:$J,3,FALSE)</f>
        <v>Male</v>
      </c>
      <c r="E242" s="29" t="str">
        <f>VLOOKUP(A242,File!$A:$J,4,FALSE)</f>
        <v>FTE</v>
      </c>
      <c r="F242" s="29" t="str">
        <f>VLOOKUP(A242,File!$A:$J,6,FALSE)</f>
        <v>Chennai</v>
      </c>
      <c r="G242" s="29" t="str">
        <f>VLOOKUP(A242,File!$A:$J,7,FALSE)</f>
        <v>QEA26QEPT023</v>
      </c>
      <c r="H242" s="29" t="str">
        <f>VLOOKUP(A242,File!$A:$J,8,FALSE)</f>
        <v>Sweta Thoppil</v>
      </c>
      <c r="I242" s="31">
        <f>VLOOKUP(A242,File!$A:$J,9,FALSE)</f>
        <v>46314</v>
      </c>
      <c r="J242" s="31" t="str">
        <f>VLOOKUP(A242,File!$A:$K,11,FALSE)</f>
        <v>Oct 2026</v>
      </c>
      <c r="K242" s="31" t="str">
        <f>VLOOKUP(A242,File!$A:$K,10,FALSE)</f>
        <v>In-Training</v>
      </c>
      <c r="L242" s="31" t="s">
        <v>4</v>
      </c>
      <c r="M242" t="str">
        <f>VLOOKUP(A242,Response!$A:$M,7,)</f>
        <v>PG (Paying Guest)</v>
      </c>
      <c r="N242" t="str">
        <f>VLOOKUP(A242,Response!$A:$M,8,)</f>
        <v>CNR GENTS PG BRANCH-1 SIRUSERI SIPCOT, Mamoothiamman, 3rd St, Egattur, Tamil Nadu 603103</v>
      </c>
      <c r="O242" s="4">
        <f>VLOOKUP(A242,Response!$A:$M,10,)</f>
        <v>3</v>
      </c>
      <c r="P242" t="str">
        <f>VLOOKUP(A242,Response!$A:$M,12,)</f>
        <v>No</v>
      </c>
      <c r="Q242" t="str">
        <f>VLOOKUP(A242,Response!$A:$M,11,)</f>
        <v>Siruseri</v>
      </c>
      <c r="R242" t="s">
        <v>19</v>
      </c>
      <c r="S242" s="39" t="s">
        <v>37</v>
      </c>
    </row>
    <row r="243" spans="1:19">
      <c r="A243" s="3">
        <v>2521036</v>
      </c>
      <c r="B243" t="str">
        <f>VLOOKUP(A243,File!$A:$J,2,FALSE)</f>
        <v>Nallella Charan</v>
      </c>
      <c r="C243" s="29">
        <f>VLOOKUP(A243,File!$A:$J,5,FALSE)</f>
        <v>46210</v>
      </c>
      <c r="D243" s="29" t="str">
        <f>VLOOKUP(A243,File!$A:$J,3,FALSE)</f>
        <v>Male</v>
      </c>
      <c r="E243" s="29" t="str">
        <f>VLOOKUP(A243,File!$A:$J,4,FALSE)</f>
        <v>FTE</v>
      </c>
      <c r="F243" s="29" t="str">
        <f>VLOOKUP(A243,File!$A:$J,6,FALSE)</f>
        <v>Chennai</v>
      </c>
      <c r="G243" s="29" t="str">
        <f>VLOOKUP(A243,File!$A:$J,7,FALSE)</f>
        <v>SNBG26SN002</v>
      </c>
      <c r="H243" s="29" t="str">
        <f>VLOOKUP(A243,File!$A:$J,8,FALSE)</f>
        <v>Lawrance M</v>
      </c>
      <c r="I243" s="31">
        <f>VLOOKUP(A243,File!$A:$J,9,FALSE)</f>
        <v>46281</v>
      </c>
      <c r="J243" s="31" t="str">
        <f>VLOOKUP(A243,File!$A:$K,11,FALSE)</f>
        <v>Sep 2026</v>
      </c>
      <c r="K243" s="31" t="str">
        <f>VLOOKUP(A243,File!$A:$K,10,FALSE)</f>
        <v>In-Training</v>
      </c>
      <c r="L243" s="31" t="s">
        <v>4</v>
      </c>
      <c r="M243" t="str">
        <f>VLOOKUP(A243,Response!$A:$M,7,)</f>
        <v>PG (Paying Guest)</v>
      </c>
      <c r="N243" t="str">
        <f>VLOOKUP(A243,Response!$A:$M,8,)</f>
        <v>CNR GENTS PG BRANCH-1 SIRUSERI SIPCOT, Mamoothiamman, 3rd street, Egattur . Tamil Nadu - 603103</v>
      </c>
      <c r="O243" s="4">
        <f>VLOOKUP(A243,Response!$A:$M,10,)</f>
        <v>2</v>
      </c>
      <c r="P243" t="str">
        <f>VLOOKUP(A243,Response!$A:$M,12,)</f>
        <v>No</v>
      </c>
      <c r="Q243" t="str">
        <f>VLOOKUP(A243,Response!$A:$M,11,)</f>
        <v>Siruseri</v>
      </c>
      <c r="R243" t="s">
        <v>19</v>
      </c>
      <c r="S243" s="39" t="s">
        <v>37</v>
      </c>
    </row>
    <row r="244" spans="1:19">
      <c r="A244" s="3">
        <v>2521039</v>
      </c>
      <c r="B244" t="str">
        <f>VLOOKUP(A244,File!$A:$J,2,FALSE)</f>
        <v>Attuluri Sai Omkar</v>
      </c>
      <c r="C244" s="29">
        <f>VLOOKUP(A244,File!$A:$J,5,FALSE)</f>
        <v>46210</v>
      </c>
      <c r="D244" s="29" t="str">
        <f>VLOOKUP(A244,File!$A:$J,3,FALSE)</f>
        <v>Male</v>
      </c>
      <c r="E244" s="29" t="str">
        <f>VLOOKUP(A244,File!$A:$J,4,FALSE)</f>
        <v>FTE</v>
      </c>
      <c r="F244" s="29" t="str">
        <f>VLOOKUP(A244,File!$A:$J,6,FALSE)</f>
        <v>Chennai</v>
      </c>
      <c r="G244" s="29" t="str">
        <f>VLOOKUP(A244,File!$A:$J,7,FALSE)</f>
        <v>SNBG26SN002</v>
      </c>
      <c r="H244" s="29" t="str">
        <f>VLOOKUP(A244,File!$A:$J,8,FALSE)</f>
        <v>Lawrance M</v>
      </c>
      <c r="I244" s="31">
        <f>VLOOKUP(A244,File!$A:$J,9,FALSE)</f>
        <v>46281</v>
      </c>
      <c r="J244" s="31" t="str">
        <f>VLOOKUP(A244,File!$A:$K,11,FALSE)</f>
        <v>Sep 2026</v>
      </c>
      <c r="K244" s="31" t="str">
        <f>VLOOKUP(A244,File!$A:$K,10,FALSE)</f>
        <v>In-Training</v>
      </c>
      <c r="L244" s="31" t="s">
        <v>4</v>
      </c>
      <c r="M244" t="str">
        <f>VLOOKUP(A244,Response!$A:$M,7,)</f>
        <v>PG (Paying Guest)</v>
      </c>
      <c r="N244" t="str">
        <f>VLOOKUP(A244,Response!$A:$M,8,)</f>
        <v>CNR Gents PG Branch-1, Egattur</v>
      </c>
      <c r="O244" s="4">
        <f>VLOOKUP(A244,Response!$A:$M,10,)</f>
        <v>3</v>
      </c>
      <c r="P244" t="str">
        <f>VLOOKUP(A244,Response!$A:$M,12,)</f>
        <v>No</v>
      </c>
      <c r="Q244" t="str">
        <f>VLOOKUP(A244,Response!$A:$M,11,)</f>
        <v>Siruseri</v>
      </c>
      <c r="R244" t="s">
        <v>19</v>
      </c>
      <c r="S244" s="39" t="s">
        <v>37</v>
      </c>
    </row>
    <row r="245" spans="1:19">
      <c r="A245" s="3">
        <v>2531858</v>
      </c>
      <c r="B245" t="str">
        <f>VLOOKUP(A245,File!$A:$J,2,FALSE)</f>
        <v>Naveen Kumar Marada</v>
      </c>
      <c r="C245" s="29">
        <f>VLOOKUP(A245,File!$A:$J,5,FALSE)</f>
        <v>46254</v>
      </c>
      <c r="D245" s="29" t="str">
        <f>VLOOKUP(A245,File!$A:$J,3,FALSE)</f>
        <v>Male</v>
      </c>
      <c r="E245" s="29" t="str">
        <f>VLOOKUP(A245,File!$A:$J,4,FALSE)</f>
        <v>FTE</v>
      </c>
      <c r="F245" s="29" t="str">
        <f>VLOOKUP(A245,File!$A:$J,6,FALSE)</f>
        <v>Chennai</v>
      </c>
      <c r="G245" s="29" t="str">
        <f>VLOOKUP(A245,File!$A:$J,7,FALSE)</f>
        <v>CS26CS012</v>
      </c>
      <c r="H245" s="29" t="str">
        <f>VLOOKUP(A245,File!$A:$J,8,FALSE)</f>
        <v>Laksiya Vijayendran</v>
      </c>
      <c r="I245" s="31">
        <f>VLOOKUP(A245,File!$A:$J,9,FALSE)</f>
        <v>46343</v>
      </c>
      <c r="J245" s="31" t="str">
        <f>VLOOKUP(A245,File!$A:$K,11,FALSE)</f>
        <v>Nov 2026</v>
      </c>
      <c r="K245" s="31" t="str">
        <f>VLOOKUP(A245,File!$A:$K,10,FALSE)</f>
        <v>In-Training</v>
      </c>
      <c r="L245" s="31" t="s">
        <v>4</v>
      </c>
      <c r="M245" t="str">
        <f>VLOOKUP(A245,Response!$A:$M,7,)</f>
        <v>PG (Paying Guest)</v>
      </c>
      <c r="N245" t="str">
        <f>VLOOKUP(A245,Response!$A:$M,8,)</f>
        <v>CNR Gents pg branch-1, Egattur, siruseri sipcot</v>
      </c>
      <c r="O245" s="4">
        <f>VLOOKUP(A245,Response!$A:$M,10,)</f>
        <v>3</v>
      </c>
      <c r="P245" t="str">
        <f>VLOOKUP(A245,Response!$A:$M,12,)</f>
        <v>No</v>
      </c>
      <c r="Q245" t="str">
        <f>VLOOKUP(A245,Response!$A:$M,11,)</f>
        <v>Siruseri</v>
      </c>
      <c r="R245" t="s">
        <v>19</v>
      </c>
      <c r="S245" s="39" t="s">
        <v>37</v>
      </c>
    </row>
    <row r="246" spans="1:19">
      <c r="A246" s="3">
        <v>2520967</v>
      </c>
      <c r="B246" t="str">
        <f>VLOOKUP(A246,File!$A:$J,2,FALSE)</f>
        <v>Tanish Jhamtani</v>
      </c>
      <c r="C246" s="29">
        <f>VLOOKUP(A246,File!$A:$J,5,FALSE)</f>
        <v>46210</v>
      </c>
      <c r="D246" s="29" t="str">
        <f>VLOOKUP(A246,File!$A:$J,3,FALSE)</f>
        <v>Male</v>
      </c>
      <c r="E246" s="29" t="str">
        <f>VLOOKUP(A246,File!$A:$J,4,FALSE)</f>
        <v>FTE</v>
      </c>
      <c r="F246" s="29" t="str">
        <f>VLOOKUP(A246,File!$A:$J,6,FALSE)</f>
        <v>Chennai</v>
      </c>
      <c r="G246" s="29" t="str">
        <f>VLOOKUP(A246,File!$A:$J,7,FALSE)</f>
        <v>EPS26WD004</v>
      </c>
      <c r="H246" s="29" t="str">
        <f>VLOOKUP(A246,File!$A:$J,8,FALSE)</f>
        <v>Ajith Ganesan</v>
      </c>
      <c r="I246" s="31">
        <f>VLOOKUP(A246,File!$A:$J,9,FALSE)</f>
        <v>46310</v>
      </c>
      <c r="J246" s="31" t="str">
        <f>VLOOKUP(A246,File!$A:$K,11,FALSE)</f>
        <v>Oct 2026</v>
      </c>
      <c r="K246" s="31" t="str">
        <f>VLOOKUP(A246,File!$A:$K,10,FALSE)</f>
        <v>In-Training</v>
      </c>
      <c r="L246" s="31" t="s">
        <v>4</v>
      </c>
      <c r="M246" t="str">
        <f>VLOOKUP(A246,Response!$A:$M,7,)</f>
        <v>PG (Paying Guest)</v>
      </c>
      <c r="N246" t="str">
        <f>VLOOKUP(A246,Response!$A:$M,8,)</f>
        <v>CNR Gents pg branch-1, Egattur</v>
      </c>
      <c r="O246" s="4">
        <f>VLOOKUP(A246,Response!$A:$M,10,)</f>
        <v>4</v>
      </c>
      <c r="P246" t="str">
        <f>VLOOKUP(A246,Response!$A:$M,12,)</f>
        <v>No</v>
      </c>
      <c r="Q246" t="str">
        <f>VLOOKUP(A246,Response!$A:$M,11,)</f>
        <v>Egattur</v>
      </c>
      <c r="R246" t="s">
        <v>19</v>
      </c>
      <c r="S246" s="39" t="s">
        <v>37</v>
      </c>
    </row>
    <row r="247" spans="1:19">
      <c r="A247" s="3">
        <v>2529574</v>
      </c>
      <c r="B247" t="str">
        <f>VLOOKUP(A247,File!$A:$J,2,FALSE)</f>
        <v>Pritesh Ramchandra Patil</v>
      </c>
      <c r="C247" s="29">
        <f>VLOOKUP(A247,File!$A:$J,5,FALSE)</f>
        <v>46245</v>
      </c>
      <c r="D247" s="29" t="str">
        <f>VLOOKUP(A247,File!$A:$J,3,FALSE)</f>
        <v>Male</v>
      </c>
      <c r="E247" s="29" t="str">
        <f>VLOOKUP(A247,File!$A:$J,4,FALSE)</f>
        <v>FTE</v>
      </c>
      <c r="F247" s="29" t="str">
        <f>VLOOKUP(A247,File!$A:$J,6,FALSE)</f>
        <v>Chennai</v>
      </c>
      <c r="G247" s="29" t="str">
        <f>VLOOKUP(A247,File!$A:$J,7,FALSE)</f>
        <v>CIS26MCPT025</v>
      </c>
      <c r="H247" s="29" t="str">
        <f>VLOOKUP(A247,File!$A:$J,8,FALSE)</f>
        <v>Vignesh S</v>
      </c>
      <c r="I247" s="31">
        <f>VLOOKUP(A247,File!$A:$J,9,FALSE)</f>
        <v>46359</v>
      </c>
      <c r="J247" s="31" t="str">
        <f>VLOOKUP(A247,File!$A:$K,11,FALSE)</f>
        <v>Dec 2026</v>
      </c>
      <c r="K247" s="31" t="str">
        <f>VLOOKUP(A247,File!$A:$K,10,FALSE)</f>
        <v>In-Training</v>
      </c>
      <c r="L247" s="31" t="s">
        <v>4</v>
      </c>
      <c r="M247" t="str">
        <f>VLOOKUP(A247,Response!$A:$M,7,)</f>
        <v>PG (Paying Guest)</v>
      </c>
      <c r="N247" t="str">
        <f>VLOOKUP(A247,Response!$A:$M,8,)</f>
        <v>CNR GENTS PG BRANCH-1,Egattur</v>
      </c>
      <c r="O247" s="4" t="str">
        <f>VLOOKUP(A247,Response!$A:$M,10,)</f>
        <v>GF</v>
      </c>
      <c r="P247" t="str">
        <f>VLOOKUP(A247,Response!$A:$M,12,)</f>
        <v>No</v>
      </c>
      <c r="Q247" t="str">
        <f>VLOOKUP(A247,Response!$A:$M,11,)</f>
        <v>Egattur</v>
      </c>
      <c r="R247" t="s">
        <v>19</v>
      </c>
      <c r="S247" s="39" t="s">
        <v>37</v>
      </c>
    </row>
    <row r="248" spans="1:19">
      <c r="A248" s="3">
        <v>2521126</v>
      </c>
      <c r="B248" t="str">
        <f>VLOOKUP(A248,File!$A:$J,2,FALSE)</f>
        <v>Akshay Kumar Adepu</v>
      </c>
      <c r="C248" s="29">
        <f>VLOOKUP(A248,File!$A:$J,5,FALSE)</f>
        <v>46210</v>
      </c>
      <c r="D248" s="29" t="str">
        <f>VLOOKUP(A248,File!$A:$J,3,FALSE)</f>
        <v>Male</v>
      </c>
      <c r="E248" s="29" t="str">
        <f>VLOOKUP(A248,File!$A:$J,4,FALSE)</f>
        <v>FTE</v>
      </c>
      <c r="F248" s="29" t="str">
        <f>VLOOKUP(A248,File!$A:$J,6,FALSE)</f>
        <v>Chennai</v>
      </c>
      <c r="G248" s="29" t="str">
        <f>VLOOKUP(A248,File!$A:$J,7,FALSE)</f>
        <v>SNBG26SN003</v>
      </c>
      <c r="H248" s="29" t="str">
        <f>VLOOKUP(A248,File!$A:$J,8,FALSE)</f>
        <v>Lawrance M</v>
      </c>
      <c r="I248" s="31">
        <f>VLOOKUP(A248,File!$A:$J,9,FALSE)</f>
        <v>46281</v>
      </c>
      <c r="J248" s="31" t="str">
        <f>VLOOKUP(A248,File!$A:$K,11,FALSE)</f>
        <v>Sep 2026</v>
      </c>
      <c r="K248" s="31" t="str">
        <f>VLOOKUP(A248,File!$A:$K,10,FALSE)</f>
        <v>In-Training</v>
      </c>
      <c r="L248" s="31" t="s">
        <v>4</v>
      </c>
      <c r="M248" t="str">
        <f>VLOOKUP(A248,Response!$A:$M,7,)</f>
        <v>PG (Paying Guest)</v>
      </c>
      <c r="N248" t="str">
        <f>VLOOKUP(A248,Response!$A:$M,8,)</f>
        <v>CNR GENTS PG BRANCH-1,Egattur</v>
      </c>
      <c r="O248" s="4">
        <f>VLOOKUP(A248,Response!$A:$M,10,)</f>
        <v>3</v>
      </c>
      <c r="P248" t="str">
        <f>VLOOKUP(A248,Response!$A:$M,12,)</f>
        <v>Yes</v>
      </c>
      <c r="Q248" t="str">
        <f>VLOOKUP(A248,Response!$A:$M,11,)</f>
        <v>Siruseri</v>
      </c>
      <c r="R248" t="s">
        <v>19</v>
      </c>
      <c r="S248" s="39" t="s">
        <v>37</v>
      </c>
    </row>
    <row r="249" spans="1:19">
      <c r="A249" s="3">
        <v>2531801</v>
      </c>
      <c r="B249" t="str">
        <f>VLOOKUP(A249,File!$A:$J,2,FALSE)</f>
        <v>Prasanna Venkateshan K</v>
      </c>
      <c r="C249" s="29">
        <f>VLOOKUP(A249,File!$A:$J,5,FALSE)</f>
        <v>46254</v>
      </c>
      <c r="D249" s="29" t="str">
        <f>VLOOKUP(A249,File!$A:$J,3,FALSE)</f>
        <v>Male</v>
      </c>
      <c r="E249" s="29" t="str">
        <f>VLOOKUP(A249,File!$A:$J,4,FALSE)</f>
        <v>Intern</v>
      </c>
      <c r="F249" s="29" t="str">
        <f>VLOOKUP(A249,File!$A:$J,6,FALSE)</f>
        <v>Chennai</v>
      </c>
      <c r="G249" s="29" t="str">
        <f>VLOOKUP(A249,File!$A:$J,7,FALSE)</f>
        <v>INTFE26FE001</v>
      </c>
      <c r="H249" s="29" t="str">
        <f>VLOOKUP(A249,File!$A:$J,8,FALSE)</f>
        <v>Grace Esther S</v>
      </c>
      <c r="I249" s="31">
        <f>VLOOKUP(A249,File!$A:$J,9,FALSE)</f>
        <v>46310</v>
      </c>
      <c r="J249" s="31" t="str">
        <f>VLOOKUP(A249,File!$A:$K,11,FALSE)</f>
        <v>Oct 2026</v>
      </c>
      <c r="K249" s="31" t="str">
        <f>VLOOKUP(A249,File!$A:$K,10,FALSE)</f>
        <v>In-Training</v>
      </c>
      <c r="L249" s="31" t="s">
        <v>4</v>
      </c>
      <c r="M249" t="str">
        <f>VLOOKUP(A249,Response!$A:$M,7,)</f>
        <v>PG (Paying Guest)</v>
      </c>
      <c r="N249" t="str">
        <f>VLOOKUP(A249,Response!$A:$M,8,)</f>
        <v>CNR GENTS PG Branch-2</v>
      </c>
      <c r="O249" s="4">
        <f>VLOOKUP(A249,Response!$A:$M,10,)</f>
        <v>1</v>
      </c>
      <c r="P249" t="str">
        <f>VLOOKUP(A249,Response!$A:$M,12,)</f>
        <v>Yes</v>
      </c>
      <c r="Q249" t="str">
        <f>VLOOKUP(A249,Response!$A:$M,11,)</f>
        <v>Siruseri</v>
      </c>
      <c r="R249" t="s">
        <v>19</v>
      </c>
      <c r="S249" s="39" t="s">
        <v>37</v>
      </c>
    </row>
    <row r="250" spans="1:19">
      <c r="A250" s="3">
        <v>2524476</v>
      </c>
      <c r="B250" t="str">
        <f>VLOOKUP(A250,File!$A:$J,2,FALSE)</f>
        <v>Junapudi Aadarsh Babu</v>
      </c>
      <c r="C250" s="29">
        <f>VLOOKUP(A250,File!$A:$J,5,FALSE)</f>
        <v>46224</v>
      </c>
      <c r="D250" s="29" t="str">
        <f>VLOOKUP(A250,File!$A:$J,3,FALSE)</f>
        <v>Male</v>
      </c>
      <c r="E250" s="29" t="str">
        <f>VLOOKUP(A250,File!$A:$J,4,FALSE)</f>
        <v>FTE</v>
      </c>
      <c r="F250" s="29" t="str">
        <f>VLOOKUP(A250,File!$A:$J,6,FALSE)</f>
        <v>Chennai</v>
      </c>
      <c r="G250" s="29" t="str">
        <f>VLOOKUP(A250,File!$A:$J,7,FALSE)</f>
        <v>ADM26MF012</v>
      </c>
      <c r="H250" s="29" t="str">
        <f>VLOOKUP(A250,File!$A:$J,8,FALSE)</f>
        <v>Lourdhu Selvin Raj X</v>
      </c>
      <c r="I250" s="31">
        <f>VLOOKUP(A250,File!$A:$J,9,FALSE)</f>
        <v>46343</v>
      </c>
      <c r="J250" s="31" t="str">
        <f>VLOOKUP(A250,File!$A:$K,11,FALSE)</f>
        <v>Nov 2026</v>
      </c>
      <c r="K250" s="31" t="str">
        <f>VLOOKUP(A250,File!$A:$K,10,FALSE)</f>
        <v>In-Training</v>
      </c>
      <c r="L250" s="31" t="s">
        <v>4</v>
      </c>
      <c r="M250" t="str">
        <f>VLOOKUP(A250,Response!$A:$M,7,)</f>
        <v>PG (Paying Guest)</v>
      </c>
      <c r="N250" t="str">
        <f>VLOOKUP(A250,Response!$A:$M,8,)</f>
        <v>CNR GENTS PG BRANCH-2 SIRUSERI SIPCOT</v>
      </c>
      <c r="O250" s="4">
        <f>VLOOKUP(A250,Response!$A:$M,10,)</f>
        <v>1</v>
      </c>
      <c r="P250" t="str">
        <f>VLOOKUP(A250,Response!$A:$M,12,)</f>
        <v>No</v>
      </c>
      <c r="Q250" t="str">
        <f>VLOOKUP(A250,Response!$A:$M,11,)</f>
        <v>Siruseri</v>
      </c>
      <c r="R250" t="s">
        <v>19</v>
      </c>
      <c r="S250" s="39" t="s">
        <v>37</v>
      </c>
    </row>
    <row r="251" spans="1:19">
      <c r="A251" s="3">
        <v>2521294</v>
      </c>
      <c r="B251" t="str">
        <f>VLOOKUP(A251,File!$A:$J,2,FALSE)</f>
        <v>Thilak Adepu</v>
      </c>
      <c r="C251" s="29">
        <f>VLOOKUP(A251,File!$A:$J,5,FALSE)</f>
        <v>46210</v>
      </c>
      <c r="D251" s="29" t="str">
        <f>VLOOKUP(A251,File!$A:$J,3,FALSE)</f>
        <v>Male</v>
      </c>
      <c r="E251" s="29" t="str">
        <f>VLOOKUP(A251,File!$A:$J,4,FALSE)</f>
        <v>FTE</v>
      </c>
      <c r="F251" s="29" t="str">
        <f>VLOOKUP(A251,File!$A:$J,6,FALSE)</f>
        <v>Chennai</v>
      </c>
      <c r="G251" s="29" t="str">
        <f>VLOOKUP(A251,File!$A:$J,7,FALSE)</f>
        <v>SNBG26SN003</v>
      </c>
      <c r="H251" s="29" t="str">
        <f>VLOOKUP(A251,File!$A:$J,8,FALSE)</f>
        <v>Lawrance M</v>
      </c>
      <c r="I251" s="31">
        <f>VLOOKUP(A251,File!$A:$J,9,FALSE)</f>
        <v>46303</v>
      </c>
      <c r="J251" s="31" t="str">
        <f>VLOOKUP(A251,File!$A:$K,11,FALSE)</f>
        <v>Oct 2026</v>
      </c>
      <c r="K251" s="31" t="str">
        <f>VLOOKUP(A251,File!$A:$K,10,FALSE)</f>
        <v>In-Training</v>
      </c>
      <c r="L251" s="31" t="s">
        <v>4</v>
      </c>
      <c r="M251" t="str">
        <f>VLOOKUP(A251,Response!$A:$M,7,)</f>
        <v>PG (Paying Guest)</v>
      </c>
      <c r="N251" t="str">
        <f>VLOOKUP(A251,Response!$A:$M,8,)</f>
        <v>CNR GENTS PG HOSTEL BRANCH-1</v>
      </c>
      <c r="O251" s="4">
        <f>VLOOKUP(A251,Response!$A:$M,10,)</f>
        <v>3</v>
      </c>
      <c r="P251" t="str">
        <f>VLOOKUP(A251,Response!$A:$M,12,)</f>
        <v>No</v>
      </c>
      <c r="Q251" t="str">
        <f>VLOOKUP(A251,Response!$A:$M,11,)</f>
        <v>Siruseri</v>
      </c>
      <c r="R251" t="s">
        <v>19</v>
      </c>
      <c r="S251" s="39" t="s">
        <v>37</v>
      </c>
    </row>
    <row r="252" spans="1:19">
      <c r="A252" s="3">
        <v>2521787</v>
      </c>
      <c r="B252" t="str">
        <f>VLOOKUP(A252,File!$A:$J,2,FALSE)</f>
        <v>Poola Charan Kumar</v>
      </c>
      <c r="C252" s="29">
        <f>VLOOKUP(A252,File!$A:$J,5,FALSE)</f>
        <v>46212</v>
      </c>
      <c r="D252" s="29" t="str">
        <f>VLOOKUP(A252,File!$A:$J,3,FALSE)</f>
        <v>Male</v>
      </c>
      <c r="E252" s="29" t="str">
        <f>VLOOKUP(A252,File!$A:$J,4,FALSE)</f>
        <v>FTE</v>
      </c>
      <c r="F252" s="29" t="str">
        <f>VLOOKUP(A252,File!$A:$J,6,FALSE)</f>
        <v>Chennai</v>
      </c>
      <c r="G252" s="29" t="str">
        <f>VLOOKUP(A252,File!$A:$J,7,FALSE)</f>
        <v>QEA26QEPT023</v>
      </c>
      <c r="H252" s="29" t="str">
        <f>VLOOKUP(A252,File!$A:$J,8,FALSE)</f>
        <v>Sweta Thoppil</v>
      </c>
      <c r="I252" s="31">
        <f>VLOOKUP(A252,File!$A:$J,9,FALSE)</f>
        <v>46314</v>
      </c>
      <c r="J252" s="31" t="str">
        <f>VLOOKUP(A252,File!$A:$K,11,FALSE)</f>
        <v>Oct 2026</v>
      </c>
      <c r="K252" s="31" t="str">
        <f>VLOOKUP(A252,File!$A:$K,10,FALSE)</f>
        <v>In-Training</v>
      </c>
      <c r="L252" s="31" t="s">
        <v>4</v>
      </c>
      <c r="M252" t="str">
        <f>VLOOKUP(A252,Response!$A:$M,7,)</f>
        <v>PG (Paying Guest)</v>
      </c>
      <c r="N252" t="str">
        <f>VLOOKUP(A252,Response!$A:$M,8,)</f>
        <v>CNR Gents PG - Branch 1, Egattur</v>
      </c>
      <c r="O252" s="4">
        <f>VLOOKUP(A252,Response!$A:$M,10,)</f>
        <v>3</v>
      </c>
      <c r="P252" t="str">
        <f>VLOOKUP(A252,Response!$A:$M,12,)</f>
        <v>No</v>
      </c>
      <c r="Q252" t="str">
        <f>VLOOKUP(A252,Response!$A:$M,11,)</f>
        <v>Egattur</v>
      </c>
      <c r="R252" t="s">
        <v>19</v>
      </c>
      <c r="S252" s="39" t="s">
        <v>37</v>
      </c>
    </row>
    <row r="253" spans="1:19">
      <c r="A253" s="3">
        <v>2521134</v>
      </c>
      <c r="B253" t="str">
        <f>VLOOKUP(A253,File!$A:$J,2,FALSE)</f>
        <v>Shivashankar Sankuri</v>
      </c>
      <c r="C253" s="29">
        <f>VLOOKUP(A253,File!$A:$J,5,FALSE)</f>
        <v>46210</v>
      </c>
      <c r="D253" s="29" t="str">
        <f>VLOOKUP(A253,File!$A:$J,3,FALSE)</f>
        <v>Male</v>
      </c>
      <c r="E253" s="29" t="str">
        <f>VLOOKUP(A253,File!$A:$J,4,FALSE)</f>
        <v>FTE</v>
      </c>
      <c r="F253" s="29" t="str">
        <f>VLOOKUP(A253,File!$A:$J,6,FALSE)</f>
        <v>Chennai</v>
      </c>
      <c r="G253" s="29" t="str">
        <f>VLOOKUP(A253,File!$A:$J,7,FALSE)</f>
        <v>SNBG26SN003</v>
      </c>
      <c r="H253" s="29" t="str">
        <f>VLOOKUP(A253,File!$A:$J,8,FALSE)</f>
        <v>Lawrance M</v>
      </c>
      <c r="I253" s="31">
        <f>VLOOKUP(A253,File!$A:$J,9,FALSE)</f>
        <v>46303</v>
      </c>
      <c r="J253" s="31" t="str">
        <f>VLOOKUP(A253,File!$A:$K,11,FALSE)</f>
        <v>Oct 2026</v>
      </c>
      <c r="K253" s="31" t="str">
        <f>VLOOKUP(A253,File!$A:$K,10,FALSE)</f>
        <v>In-Training</v>
      </c>
      <c r="L253" s="31" t="s">
        <v>4</v>
      </c>
      <c r="M253" t="str">
        <f>VLOOKUP(A253,Response!$A:$M,7,)</f>
        <v>PG (Paying Guest)</v>
      </c>
      <c r="N253" t="str">
        <f>VLOOKUP(A253,Response!$A:$M,8,)</f>
        <v>CNR Gents PG, Egatur branch 1</v>
      </c>
      <c r="O253" s="4">
        <f>VLOOKUP(A253,Response!$A:$M,10,)</f>
        <v>3</v>
      </c>
      <c r="P253" t="str">
        <f>VLOOKUP(A253,Response!$A:$M,12,)</f>
        <v>No</v>
      </c>
      <c r="Q253" t="str">
        <f>VLOOKUP(A253,Response!$A:$M,11,)</f>
        <v>Siruseri</v>
      </c>
      <c r="R253" t="s">
        <v>19</v>
      </c>
      <c r="S253" s="39" t="s">
        <v>37</v>
      </c>
    </row>
    <row r="254" spans="1:19">
      <c r="A254" s="3">
        <v>2519600</v>
      </c>
      <c r="B254" t="str">
        <f>VLOOKUP(A254,File!$A:$J,2,FALSE)</f>
        <v>Sirigineedi Sai Dileep</v>
      </c>
      <c r="C254" s="29">
        <f>VLOOKUP(A254,File!$A:$J,5,FALSE)</f>
        <v>46205</v>
      </c>
      <c r="D254" s="29" t="str">
        <f>VLOOKUP(A254,File!$A:$J,3,FALSE)</f>
        <v>Male</v>
      </c>
      <c r="E254" s="29" t="str">
        <f>VLOOKUP(A254,File!$A:$J,4,FALSE)</f>
        <v>FTE</v>
      </c>
      <c r="F254" s="29" t="str">
        <f>VLOOKUP(A254,File!$A:$J,6,FALSE)</f>
        <v>Chennai</v>
      </c>
      <c r="G254" s="29" t="str">
        <f>VLOOKUP(A254,File!$A:$J,7,FALSE)</f>
        <v>CIS26MCPT013</v>
      </c>
      <c r="H254" s="29" t="str">
        <f>VLOOKUP(A254,File!$A:$J,8,FALSE)</f>
        <v>Lawrance M</v>
      </c>
      <c r="I254" s="31">
        <f>VLOOKUP(A254,File!$A:$J,9,FALSE)</f>
        <v>46324</v>
      </c>
      <c r="J254" s="31" t="str">
        <f>VLOOKUP(A254,File!$A:$K,11,FALSE)</f>
        <v>Oct 2026</v>
      </c>
      <c r="K254" s="31" t="str">
        <f>VLOOKUP(A254,File!$A:$K,10,FALSE)</f>
        <v>In-Training</v>
      </c>
      <c r="L254" s="31" t="s">
        <v>4</v>
      </c>
      <c r="M254" t="str">
        <f>VLOOKUP(A254,Response!$A:$M,7,)</f>
        <v>PG (Paying Guest)</v>
      </c>
      <c r="N254" t="str">
        <f>VLOOKUP(A254,Response!$A:$M,8,)</f>
        <v>CNR Gents PG, Sipcot, Siruseri</v>
      </c>
      <c r="O254" s="4">
        <f>VLOOKUP(A254,Response!$A:$M,10,)</f>
        <v>1</v>
      </c>
      <c r="P254" t="str">
        <f>VLOOKUP(A254,Response!$A:$M,12,)</f>
        <v>No</v>
      </c>
      <c r="Q254" t="str">
        <f>VLOOKUP(A254,Response!$A:$M,11,)</f>
        <v>Siruseri</v>
      </c>
      <c r="R254" t="s">
        <v>19</v>
      </c>
      <c r="S254" s="39" t="s">
        <v>37</v>
      </c>
    </row>
    <row r="255" spans="1:19">
      <c r="A255" s="3">
        <v>2521262</v>
      </c>
      <c r="B255" t="str">
        <f>VLOOKUP(A255,File!$A:$J,2,FALSE)</f>
        <v>Vinay Kanuka</v>
      </c>
      <c r="C255" s="29">
        <f>VLOOKUP(A255,File!$A:$J,5,FALSE)</f>
        <v>46210</v>
      </c>
      <c r="D255" s="29" t="str">
        <f>VLOOKUP(A255,File!$A:$J,3,FALSE)</f>
        <v>Male</v>
      </c>
      <c r="E255" s="29" t="str">
        <f>VLOOKUP(A255,File!$A:$J,4,FALSE)</f>
        <v>FTE</v>
      </c>
      <c r="F255" s="29" t="str">
        <f>VLOOKUP(A255,File!$A:$J,6,FALSE)</f>
        <v>Chennai</v>
      </c>
      <c r="G255" s="29" t="str">
        <f>VLOOKUP(A255,File!$A:$J,7,FALSE)</f>
        <v>CIS26SN001</v>
      </c>
      <c r="H255" s="29" t="str">
        <f>VLOOKUP(A255,File!$A:$J,8,FALSE)</f>
        <v>Ashiya Begam S</v>
      </c>
      <c r="I255" s="31">
        <f>VLOOKUP(A255,File!$A:$J,9,FALSE)</f>
        <v>46281</v>
      </c>
      <c r="J255" s="31" t="str">
        <f>VLOOKUP(A255,File!$A:$K,11,FALSE)</f>
        <v>Sep 2026</v>
      </c>
      <c r="K255" s="31" t="str">
        <f>VLOOKUP(A255,File!$A:$K,10,FALSE)</f>
        <v>In-Training</v>
      </c>
      <c r="L255" s="31" t="s">
        <v>4</v>
      </c>
      <c r="M255" t="str">
        <f>VLOOKUP(A255,Response!$A:$M,7,)</f>
        <v>PG (Paying Guest)</v>
      </c>
      <c r="N255" t="str">
        <f>VLOOKUP(A255,Response!$A:$M,8,)</f>
        <v>CNR Gents PG-Branch-1, siruseri</v>
      </c>
      <c r="O255" s="4">
        <f>VLOOKUP(A255,Response!$A:$M,10,)</f>
        <v>2</v>
      </c>
      <c r="P255" t="str">
        <f>VLOOKUP(A255,Response!$A:$M,12,)</f>
        <v>No</v>
      </c>
      <c r="Q255" t="str">
        <f>VLOOKUP(A255,Response!$A:$M,11,)</f>
        <v>Siruseri</v>
      </c>
      <c r="R255" t="s">
        <v>19</v>
      </c>
      <c r="S255" s="39" t="s">
        <v>37</v>
      </c>
    </row>
    <row r="256" spans="1:19">
      <c r="A256" s="3">
        <v>2512294</v>
      </c>
      <c r="B256" t="str">
        <f>VLOOKUP(A256,File!$A:$J,2,FALSE)</f>
        <v>Abhishek Nitin Tiwari</v>
      </c>
      <c r="C256" s="29">
        <f>VLOOKUP(A256,File!$A:$J,5,FALSE)</f>
        <v>46170</v>
      </c>
      <c r="D256" s="29" t="str">
        <f>VLOOKUP(A256,File!$A:$J,3,FALSE)</f>
        <v>Male</v>
      </c>
      <c r="E256" s="29" t="str">
        <f>VLOOKUP(A256,File!$A:$J,4,FALSE)</f>
        <v>FTE</v>
      </c>
      <c r="F256" s="29" t="str">
        <f>VLOOKUP(A256,File!$A:$J,6,FALSE)</f>
        <v>Chennai</v>
      </c>
      <c r="G256" s="29" t="str">
        <f>VLOOKUP(A256,File!$A:$J,7,FALSE)</f>
        <v>CIS26MCPT011</v>
      </c>
      <c r="H256" s="29" t="str">
        <f>VLOOKUP(A256,File!$A:$J,8,FALSE)</f>
        <v>Uma Venkatachalam</v>
      </c>
      <c r="I256" s="31">
        <f>VLOOKUP(A256,File!$A:$J,9,FALSE)</f>
        <v>46282</v>
      </c>
      <c r="J256" s="31" t="str">
        <f>VLOOKUP(A256,File!$A:$K,11,FALSE)</f>
        <v>Sep 2026</v>
      </c>
      <c r="K256" s="31" t="str">
        <f>VLOOKUP(A256,File!$A:$K,10,FALSE)</f>
        <v>In-Training</v>
      </c>
      <c r="L256" s="31" t="s">
        <v>4</v>
      </c>
      <c r="M256" t="str">
        <f>VLOOKUP(A256,Response!$A:$M,7,)</f>
        <v>PG (Paying Guest)</v>
      </c>
      <c r="N256" t="str">
        <f>VLOOKUP(A256,Response!$A:$M,8,)</f>
        <v>cnr mens pg branch 1</v>
      </c>
      <c r="O256" s="4" t="str">
        <f>VLOOKUP(A256,Response!$A:$M,10,)</f>
        <v>GF</v>
      </c>
      <c r="P256" t="str">
        <f>VLOOKUP(A256,Response!$A:$M,12,)</f>
        <v>No</v>
      </c>
      <c r="Q256" t="str">
        <f>VLOOKUP(A256,Response!$A:$M,11,)</f>
        <v>Siruseri</v>
      </c>
      <c r="R256" t="s">
        <v>19</v>
      </c>
      <c r="S256" s="39" t="s">
        <v>37</v>
      </c>
    </row>
    <row r="257" spans="1:19">
      <c r="A257" s="3">
        <v>2531371</v>
      </c>
      <c r="B257" t="str">
        <f>VLOOKUP(A257,File!$A:$J,2,FALSE)</f>
        <v>Anish Ragav V</v>
      </c>
      <c r="C257" s="29">
        <f>VLOOKUP(A257,File!$A:$J,5,FALSE)</f>
        <v>46252</v>
      </c>
      <c r="D257" s="29" t="str">
        <f>VLOOKUP(A257,File!$A:$J,3,FALSE)</f>
        <v>Male</v>
      </c>
      <c r="E257" s="29" t="str">
        <f>VLOOKUP(A257,File!$A:$J,4,FALSE)</f>
        <v>FTE</v>
      </c>
      <c r="F257" s="29" t="str">
        <f>VLOOKUP(A257,File!$A:$J,6,FALSE)</f>
        <v>Chennai</v>
      </c>
      <c r="G257" s="29" t="str">
        <f>VLOOKUP(A257,File!$A:$J,7,FALSE)</f>
        <v>EPS26SAP034</v>
      </c>
      <c r="H257" s="29" t="str">
        <f>VLOOKUP(A257,File!$A:$J,8,FALSE)</f>
        <v>Gayathri Ramachandran</v>
      </c>
      <c r="I257" s="31">
        <f>VLOOKUP(A257,File!$A:$J,9,FALSE)</f>
        <v>46331</v>
      </c>
      <c r="J257" s="31" t="str">
        <f>VLOOKUP(A257,File!$A:$K,11,FALSE)</f>
        <v>Nov 2026</v>
      </c>
      <c r="K257" s="31" t="str">
        <f>VLOOKUP(A257,File!$A:$K,10,FALSE)</f>
        <v>In-Training</v>
      </c>
      <c r="L257" s="31" t="s">
        <v>4</v>
      </c>
      <c r="M257" t="str">
        <f>VLOOKUP(A257,Response!$A:$M,7,)</f>
        <v>PG (Paying Guest)</v>
      </c>
      <c r="N257" t="str">
        <f>VLOOKUP(A257,Response!$A:$M,8,)</f>
        <v>CNR mens PG branch 2</v>
      </c>
      <c r="O257" s="4">
        <f>VLOOKUP(A257,Response!$A:$M,10,)</f>
        <v>1</v>
      </c>
      <c r="P257" t="str">
        <f>VLOOKUP(A257,Response!$A:$M,12,)</f>
        <v>Yes</v>
      </c>
      <c r="Q257" t="str">
        <f>VLOOKUP(A257,Response!$A:$M,11,)</f>
        <v>Siruseri</v>
      </c>
      <c r="R257" t="s">
        <v>19</v>
      </c>
      <c r="S257" s="39" t="s">
        <v>37</v>
      </c>
    </row>
    <row r="258" spans="1:19">
      <c r="A258" s="3">
        <v>2512305</v>
      </c>
      <c r="B258" t="str">
        <f>VLOOKUP(A258,File!$A:$J,2,FALSE)</f>
        <v>Kavin S</v>
      </c>
      <c r="C258" s="29">
        <f>VLOOKUP(A258,File!$A:$J,5,FALSE)</f>
        <v>46170</v>
      </c>
      <c r="D258" s="29" t="str">
        <f>VLOOKUP(A258,File!$A:$J,3,FALSE)</f>
        <v>Male</v>
      </c>
      <c r="E258" s="29" t="str">
        <f>VLOOKUP(A258,File!$A:$J,4,FALSE)</f>
        <v>FTE</v>
      </c>
      <c r="F258" s="29" t="str">
        <f>VLOOKUP(A258,File!$A:$J,6,FALSE)</f>
        <v>Chennai</v>
      </c>
      <c r="G258" s="29" t="str">
        <f>VLOOKUP(A258,File!$A:$J,7,FALSE)</f>
        <v>CIS26MCPT011</v>
      </c>
      <c r="H258" s="29" t="str">
        <f>VLOOKUP(A258,File!$A:$J,8,FALSE)</f>
        <v>Uma Venkatachalam</v>
      </c>
      <c r="I258" s="31">
        <f>VLOOKUP(A258,File!$A:$J,9,FALSE)</f>
        <v>46282</v>
      </c>
      <c r="J258" s="31" t="str">
        <f>VLOOKUP(A258,File!$A:$K,11,FALSE)</f>
        <v>Sep 2026</v>
      </c>
      <c r="K258" s="31" t="str">
        <f>VLOOKUP(A258,File!$A:$K,10,FALSE)</f>
        <v>In-Training</v>
      </c>
      <c r="L258" s="31" t="s">
        <v>4</v>
      </c>
      <c r="M258" t="str">
        <f>VLOOKUP(A258,Response!$A:$M,7,)</f>
        <v>PG (Paying Guest)</v>
      </c>
      <c r="N258" t="str">
        <f>VLOOKUP(A258,Response!$A:$M,8,)</f>
        <v>CNR mens PG Branch-1,Siruseri</v>
      </c>
      <c r="O258" s="4">
        <f>VLOOKUP(A258,Response!$A:$M,10,)</f>
        <v>1</v>
      </c>
      <c r="P258" t="str">
        <f>VLOOKUP(A258,Response!$A:$M,12,)</f>
        <v>No</v>
      </c>
      <c r="Q258" t="str">
        <f>VLOOKUP(A258,Response!$A:$M,11,)</f>
        <v>Siruseri</v>
      </c>
      <c r="R258" t="s">
        <v>19</v>
      </c>
      <c r="S258" s="39" t="s">
        <v>37</v>
      </c>
    </row>
    <row r="259" spans="1:19">
      <c r="A259" s="3">
        <v>2521035</v>
      </c>
      <c r="B259" t="str">
        <f>VLOOKUP(A259,File!$A:$J,2,FALSE)</f>
        <v>Mulukanuri Vishva Kiran Kumar</v>
      </c>
      <c r="C259" s="29">
        <f>VLOOKUP(A259,File!$A:$J,5,FALSE)</f>
        <v>46210</v>
      </c>
      <c r="D259" s="29" t="str">
        <f>VLOOKUP(A259,File!$A:$J,3,FALSE)</f>
        <v>Male</v>
      </c>
      <c r="E259" s="29" t="str">
        <f>VLOOKUP(A259,File!$A:$J,4,FALSE)</f>
        <v>FTE</v>
      </c>
      <c r="F259" s="29" t="str">
        <f>VLOOKUP(A259,File!$A:$J,6,FALSE)</f>
        <v>Chennai</v>
      </c>
      <c r="G259" s="29" t="str">
        <f>VLOOKUP(A259,File!$A:$J,7,FALSE)</f>
        <v>SNBG26SN002</v>
      </c>
      <c r="H259" s="29" t="str">
        <f>VLOOKUP(A259,File!$A:$J,8,FALSE)</f>
        <v>Lawrance M</v>
      </c>
      <c r="I259" s="31">
        <f>VLOOKUP(A259,File!$A:$J,9,FALSE)</f>
        <v>46281</v>
      </c>
      <c r="J259" s="31" t="str">
        <f>VLOOKUP(A259,File!$A:$K,11,FALSE)</f>
        <v>Sep 2026</v>
      </c>
      <c r="K259" s="31" t="str">
        <f>VLOOKUP(A259,File!$A:$K,10,FALSE)</f>
        <v>In-Training</v>
      </c>
      <c r="L259" s="31" t="s">
        <v>4</v>
      </c>
      <c r="M259" t="str">
        <f>VLOOKUP(A259,Response!$A:$M,7,)</f>
        <v>PG (Paying Guest)</v>
      </c>
      <c r="N259" t="str">
        <f>VLOOKUP(A259,Response!$A:$M,8,)</f>
        <v>CNR PG - branch 1, Eggatur, siruseri sipcot IT park</v>
      </c>
      <c r="O259" s="4">
        <f>VLOOKUP(A259,Response!$A:$M,10,)</f>
        <v>1</v>
      </c>
      <c r="P259" t="str">
        <f>VLOOKUP(A259,Response!$A:$M,12,)</f>
        <v>No</v>
      </c>
      <c r="Q259" t="str">
        <f>VLOOKUP(A259,Response!$A:$M,11,)</f>
        <v>Egattur</v>
      </c>
      <c r="R259" t="s">
        <v>19</v>
      </c>
      <c r="S259" s="39" t="s">
        <v>37</v>
      </c>
    </row>
    <row r="260" spans="1:19">
      <c r="A260" s="3">
        <v>2524510</v>
      </c>
      <c r="B260" t="str">
        <f>VLOOKUP(A260,File!$A:$J,2,FALSE)</f>
        <v>Shubham Prabhakar Pawar</v>
      </c>
      <c r="C260" s="29">
        <f>VLOOKUP(A260,File!$A:$J,5,FALSE)</f>
        <v>46224</v>
      </c>
      <c r="D260" s="29" t="str">
        <f>VLOOKUP(A260,File!$A:$J,3,FALSE)</f>
        <v>Male</v>
      </c>
      <c r="E260" s="29" t="str">
        <f>VLOOKUP(A260,File!$A:$J,4,FALSE)</f>
        <v>FTE</v>
      </c>
      <c r="F260" s="29" t="str">
        <f>VLOOKUP(A260,File!$A:$J,6,FALSE)</f>
        <v>Chennai</v>
      </c>
      <c r="G260" s="29" t="str">
        <f>VLOOKUP(A260,File!$A:$J,7,FALSE)</f>
        <v>QEA26QEPT024</v>
      </c>
      <c r="H260" s="29" t="str">
        <f>VLOOKUP(A260,File!$A:$J,8,FALSE)</f>
        <v>Ajiesya D P</v>
      </c>
      <c r="I260" s="31">
        <f>VLOOKUP(A260,File!$A:$J,9,FALSE)</f>
        <v>46330</v>
      </c>
      <c r="J260" s="31" t="str">
        <f>VLOOKUP(A260,File!$A:$K,11,FALSE)</f>
        <v>Nov 2026</v>
      </c>
      <c r="K260" s="31" t="str">
        <f>VLOOKUP(A260,File!$A:$K,10,FALSE)</f>
        <v>In-Training</v>
      </c>
      <c r="L260" s="31" t="s">
        <v>4</v>
      </c>
      <c r="M260" t="str">
        <f>VLOOKUP(A260,Response!$A:$M,7,)</f>
        <v>PG (Paying Guest)</v>
      </c>
      <c r="N260" t="str">
        <f>VLOOKUP(A260,Response!$A:$M,8,)</f>
        <v>CNR PG Branch 1, Egatur</v>
      </c>
      <c r="O260" s="4">
        <f>VLOOKUP(A260,Response!$A:$M,10,)</f>
        <v>4</v>
      </c>
      <c r="P260" t="str">
        <f>VLOOKUP(A260,Response!$A:$M,12,)</f>
        <v>No</v>
      </c>
      <c r="Q260" t="str">
        <f>VLOOKUP(A260,Response!$A:$M,11,)</f>
        <v>Egattur</v>
      </c>
      <c r="R260" t="s">
        <v>19</v>
      </c>
      <c r="S260" s="39" t="s">
        <v>37</v>
      </c>
    </row>
    <row r="261" spans="1:19">
      <c r="A261" s="3">
        <v>2529516</v>
      </c>
      <c r="B261" t="str">
        <f>VLOOKUP(A261,File!$A:$J,2,FALSE)</f>
        <v>Rohan Dnyanoba Dharpale</v>
      </c>
      <c r="C261" s="29">
        <f>VLOOKUP(A261,File!$A:$J,5,FALSE)</f>
        <v>46245</v>
      </c>
      <c r="D261" s="29" t="str">
        <f>VLOOKUP(A261,File!$A:$J,3,FALSE)</f>
        <v>Male</v>
      </c>
      <c r="E261" s="29" t="str">
        <f>VLOOKUP(A261,File!$A:$J,4,FALSE)</f>
        <v>FTE</v>
      </c>
      <c r="F261" s="29" t="str">
        <f>VLOOKUP(A261,File!$A:$J,6,FALSE)</f>
        <v>Chennai</v>
      </c>
      <c r="G261" s="29" t="str">
        <f>VLOOKUP(A261,File!$A:$J,7,FALSE)</f>
        <v>CIS26MCPT022</v>
      </c>
      <c r="H261" s="29" t="str">
        <f>VLOOKUP(A261,File!$A:$J,8,FALSE)</f>
        <v>Laksiya Vijayendran</v>
      </c>
      <c r="I261" s="31">
        <f>VLOOKUP(A261,File!$A:$J,9,FALSE)</f>
        <v>46359</v>
      </c>
      <c r="J261" s="31" t="str">
        <f>VLOOKUP(A261,File!$A:$K,11,FALSE)</f>
        <v>Dec 2026</v>
      </c>
      <c r="K261" s="31" t="str">
        <f>VLOOKUP(A261,File!$A:$K,10,FALSE)</f>
        <v>In-Training</v>
      </c>
      <c r="L261" s="31" t="s">
        <v>4</v>
      </c>
      <c r="M261" t="str">
        <f>VLOOKUP(A261,Response!$A:$M,7,)</f>
        <v>PG (Paying Guest)</v>
      </c>
      <c r="N261" t="str">
        <f>VLOOKUP(A261,Response!$A:$M,8,)</f>
        <v>CNR PG Branch 2</v>
      </c>
      <c r="O261" s="4">
        <f>VLOOKUP(A261,Response!$A:$M,10,)</f>
        <v>3</v>
      </c>
      <c r="P261" t="str">
        <f>VLOOKUP(A261,Response!$A:$M,12,)</f>
        <v>No</v>
      </c>
      <c r="Q261" t="str">
        <f>VLOOKUP(A261,Response!$A:$M,11,)</f>
        <v>Siruseri</v>
      </c>
      <c r="R261" t="s">
        <v>19</v>
      </c>
      <c r="S261" s="39" t="s">
        <v>37</v>
      </c>
    </row>
    <row r="262" spans="1:19">
      <c r="A262" s="3">
        <v>2519658</v>
      </c>
      <c r="B262" t="str">
        <f>VLOOKUP(A262,File!$A:$J,2,FALSE)</f>
        <v>Vinayak Namdev Patil</v>
      </c>
      <c r="C262" s="29">
        <f>VLOOKUP(A262,File!$A:$J,5,FALSE)</f>
        <v>46205</v>
      </c>
      <c r="D262" s="29" t="str">
        <f>VLOOKUP(A262,File!$A:$J,3,FALSE)</f>
        <v>Male</v>
      </c>
      <c r="E262" s="29" t="str">
        <f>VLOOKUP(A262,File!$A:$J,4,FALSE)</f>
        <v>FTE</v>
      </c>
      <c r="F262" s="29" t="str">
        <f>VLOOKUP(A262,File!$A:$J,6,FALSE)</f>
        <v>Chennai</v>
      </c>
      <c r="G262" s="29" t="str">
        <f>VLOOKUP(A262,File!$A:$J,7,FALSE)</f>
        <v>CIS26MCPT013</v>
      </c>
      <c r="H262" s="29" t="str">
        <f>VLOOKUP(A262,File!$A:$J,8,FALSE)</f>
        <v>Lawrance M</v>
      </c>
      <c r="I262" s="31">
        <f>VLOOKUP(A262,File!$A:$J,9,FALSE)</f>
        <v>46324</v>
      </c>
      <c r="J262" s="31" t="str">
        <f>VLOOKUP(A262,File!$A:$K,11,FALSE)</f>
        <v>Oct 2026</v>
      </c>
      <c r="K262" s="31" t="str">
        <f>VLOOKUP(A262,File!$A:$K,10,FALSE)</f>
        <v>In-Training</v>
      </c>
      <c r="L262" s="31" t="s">
        <v>4</v>
      </c>
      <c r="M262" t="str">
        <f>VLOOKUP(A262,Response!$A:$M,7,)</f>
        <v>PG (Paying Guest)</v>
      </c>
      <c r="N262" t="str">
        <f>VLOOKUP(A262,Response!$A:$M,8,)</f>
        <v>CNR PG -Branch 2 ,sirseri</v>
      </c>
      <c r="O262" s="4" t="str">
        <f>VLOOKUP(A262,Response!$A:$M,10,)</f>
        <v>GF</v>
      </c>
      <c r="P262" t="str">
        <f>VLOOKUP(A262,Response!$A:$M,12,)</f>
        <v>No</v>
      </c>
      <c r="Q262" t="str">
        <f>VLOOKUP(A262,Response!$A:$M,11,)</f>
        <v>Siruseri</v>
      </c>
      <c r="R262" t="s">
        <v>19</v>
      </c>
      <c r="S262" s="39" t="s">
        <v>37</v>
      </c>
    </row>
    <row r="263" spans="1:19">
      <c r="A263" s="3">
        <v>2529607</v>
      </c>
      <c r="B263" t="str">
        <f>VLOOKUP(A263,File!$A:$J,2,FALSE)</f>
        <v>Abhay Atish Birhade</v>
      </c>
      <c r="C263" s="29">
        <f>VLOOKUP(A263,File!$A:$J,5,FALSE)</f>
        <v>46245</v>
      </c>
      <c r="D263" s="29" t="str">
        <f>VLOOKUP(A263,File!$A:$J,3,FALSE)</f>
        <v>Male</v>
      </c>
      <c r="E263" s="29" t="str">
        <f>VLOOKUP(A263,File!$A:$J,4,FALSE)</f>
        <v>FTE</v>
      </c>
      <c r="F263" s="29" t="str">
        <f>VLOOKUP(A263,File!$A:$J,6,FALSE)</f>
        <v>Chennai</v>
      </c>
      <c r="G263" s="29" t="str">
        <f>VLOOKUP(A263,File!$A:$J,7,FALSE)</f>
        <v>CIS26MCPT023</v>
      </c>
      <c r="H263" s="29" t="str">
        <f>VLOOKUP(A263,File!$A:$J,8,FALSE)</f>
        <v>Kishorekumar P</v>
      </c>
      <c r="I263" s="31">
        <f>VLOOKUP(A263,File!$A:$J,9,FALSE)</f>
        <v>46359</v>
      </c>
      <c r="J263" s="31" t="str">
        <f>VLOOKUP(A263,File!$A:$K,11,FALSE)</f>
        <v>Dec 2026</v>
      </c>
      <c r="K263" s="31" t="str">
        <f>VLOOKUP(A263,File!$A:$K,10,FALSE)</f>
        <v>In-Training</v>
      </c>
      <c r="L263" s="31" t="s">
        <v>4</v>
      </c>
      <c r="M263" t="str">
        <f>VLOOKUP(A263,Response!$A:$M,7,)</f>
        <v>PG (Paying Guest)</v>
      </c>
      <c r="N263" t="str">
        <f>VLOOKUP(A263,Response!$A:$M,8,)</f>
        <v>CNR PG BRANCH 2Mamoothiamman, 2nd St, Siruseri, Egattur, Tamil Nadu 603103</v>
      </c>
      <c r="O263" s="4">
        <f>VLOOKUP(A263,Response!$A:$M,10,)</f>
        <v>1</v>
      </c>
      <c r="P263" t="str">
        <f>VLOOKUP(A263,Response!$A:$M,12,)</f>
        <v>No</v>
      </c>
      <c r="Q263" t="str">
        <f>VLOOKUP(A263,Response!$A:$M,11,)</f>
        <v>Siruseri</v>
      </c>
      <c r="R263" t="s">
        <v>19</v>
      </c>
      <c r="S263" s="39" t="s">
        <v>37</v>
      </c>
    </row>
    <row r="264" spans="1:19">
      <c r="A264" s="3">
        <v>2532999</v>
      </c>
      <c r="B264" t="str">
        <f>VLOOKUP(A264,File!$A:$J,2,FALSE)</f>
        <v>Srinivas Kareti</v>
      </c>
      <c r="C264" s="29">
        <f>VLOOKUP(A264,File!$A:$J,5,FALSE)</f>
        <v>46259</v>
      </c>
      <c r="D264" s="29" t="str">
        <f>VLOOKUP(A264,File!$A:$J,3,FALSE)</f>
        <v>Male</v>
      </c>
      <c r="E264" s="29" t="str">
        <f>VLOOKUP(A264,File!$A:$J,4,FALSE)</f>
        <v>FTE</v>
      </c>
      <c r="F264" s="29" t="str">
        <f>VLOOKUP(A264,File!$A:$J,6,FALSE)</f>
        <v>Chennai</v>
      </c>
      <c r="G264" s="29" t="str">
        <f>VLOOKUP(A264,File!$A:$J,7,FALSE)</f>
        <v>CIS26MBG003</v>
      </c>
      <c r="H264" s="29" t="str">
        <f>VLOOKUP(A264,File!$A:$J,8,FALSE)</f>
        <v>Kishorekumar P</v>
      </c>
      <c r="I264" s="31">
        <f>VLOOKUP(A264,File!$A:$J,9,FALSE)</f>
        <v>46367</v>
      </c>
      <c r="J264" s="31" t="str">
        <f>VLOOKUP(A264,File!$A:$K,11,FALSE)</f>
        <v>Dec 2026</v>
      </c>
      <c r="K264" s="31" t="str">
        <f>VLOOKUP(A264,File!$A:$K,10,FALSE)</f>
        <v>In-Training</v>
      </c>
      <c r="L264" s="31" t="s">
        <v>4</v>
      </c>
      <c r="M264" t="str">
        <f>VLOOKUP(A264,Response!$A:$M,7,)</f>
        <v>PG (Paying Guest)</v>
      </c>
      <c r="N264" t="str">
        <f>VLOOKUP(A264,Response!$A:$M,8,)</f>
        <v>CNR PG Branch-1 ,Egattur</v>
      </c>
      <c r="O264" s="4">
        <f>VLOOKUP(A264,Response!$A:$M,10,)</f>
        <v>2</v>
      </c>
      <c r="P264" t="str">
        <f>VLOOKUP(A264,Response!$A:$M,12,)</f>
        <v>No</v>
      </c>
      <c r="Q264" t="str">
        <f>VLOOKUP(A264,Response!$A:$M,11,)</f>
        <v>Siruseri</v>
      </c>
      <c r="R264" t="s">
        <v>19</v>
      </c>
      <c r="S264" s="39" t="s">
        <v>37</v>
      </c>
    </row>
    <row r="265" spans="1:19">
      <c r="A265" s="3">
        <v>2521716</v>
      </c>
      <c r="B265" t="str">
        <f>VLOOKUP(A265,File!$A:$J,2,FALSE)</f>
        <v>Zeeshan P Sharmasvali</v>
      </c>
      <c r="C265" s="29">
        <f>VLOOKUP(A265,File!$A:$J,5,FALSE)</f>
        <v>46212</v>
      </c>
      <c r="D265" s="29" t="str">
        <f>VLOOKUP(A265,File!$A:$J,3,FALSE)</f>
        <v>Male</v>
      </c>
      <c r="E265" s="29" t="str">
        <f>VLOOKUP(A265,File!$A:$J,4,FALSE)</f>
        <v>FTE</v>
      </c>
      <c r="F265" s="29" t="str">
        <f>VLOOKUP(A265,File!$A:$J,6,FALSE)</f>
        <v>Chennai</v>
      </c>
      <c r="G265" s="29" t="str">
        <f>VLOOKUP(A265,File!$A:$J,7,FALSE)</f>
        <v>QEA26SD001</v>
      </c>
      <c r="H265" s="29" t="str">
        <f>VLOOKUP(A265,File!$A:$J,8,FALSE)</f>
        <v>Ajiesya D P</v>
      </c>
      <c r="I265" s="31">
        <f>VLOOKUP(A265,File!$A:$J,9,FALSE)</f>
        <v>46329</v>
      </c>
      <c r="J265" s="31" t="str">
        <f>VLOOKUP(A265,File!$A:$K,11,FALSE)</f>
        <v>Nov 2026</v>
      </c>
      <c r="K265" s="31" t="str">
        <f>VLOOKUP(A265,File!$A:$K,10,FALSE)</f>
        <v>In-Training</v>
      </c>
      <c r="L265" s="31" t="s">
        <v>4</v>
      </c>
      <c r="M265" t="str">
        <f>VLOOKUP(A265,Response!$A:$M,7,)</f>
        <v>PG (Paying Guest)</v>
      </c>
      <c r="N265" t="str">
        <f>VLOOKUP(A265,Response!$A:$M,8,)</f>
        <v>CNR PG GENTS BRANCH 1 ,SIRUSERI</v>
      </c>
      <c r="O265" s="4">
        <f>VLOOKUP(A265,Response!$A:$M,10,)</f>
        <v>1</v>
      </c>
      <c r="P265" t="str">
        <f>VLOOKUP(A265,Response!$A:$M,12,)</f>
        <v>No</v>
      </c>
      <c r="Q265" t="str">
        <f>VLOOKUP(A265,Response!$A:$M,11,)</f>
        <v>Egattur</v>
      </c>
      <c r="R265" t="s">
        <v>19</v>
      </c>
      <c r="S265" s="39" t="s">
        <v>37</v>
      </c>
    </row>
    <row r="266" spans="1:19">
      <c r="A266" s="3">
        <v>2516825</v>
      </c>
      <c r="B266" t="str">
        <f>VLOOKUP(A266,File!$A:$J,2,FALSE)</f>
        <v>Akash Kumar Verma</v>
      </c>
      <c r="C266" s="29">
        <f>VLOOKUP(A266,File!$A:$J,5,FALSE)</f>
        <v>46191</v>
      </c>
      <c r="D266" s="29" t="str">
        <f>VLOOKUP(A266,File!$A:$J,3,FALSE)</f>
        <v>Male</v>
      </c>
      <c r="E266" s="29" t="str">
        <f>VLOOKUP(A266,File!$A:$J,4,FALSE)</f>
        <v>FTE</v>
      </c>
      <c r="F266" s="29" t="str">
        <f>VLOOKUP(A266,File!$A:$J,6,FALSE)</f>
        <v>Chennai</v>
      </c>
      <c r="G266" s="29" t="str">
        <f>VLOOKUP(A266,File!$A:$J,7,FALSE)</f>
        <v>CIS26DCO002</v>
      </c>
      <c r="H266" s="29" t="str">
        <f>VLOOKUP(A266,File!$A:$J,8,FALSE)</f>
        <v>Yuvasree Thiruvengadam</v>
      </c>
      <c r="I266" s="31">
        <f>VLOOKUP(A266,File!$A:$J,9,FALSE)</f>
        <v>46290</v>
      </c>
      <c r="J266" s="31" t="str">
        <f>VLOOKUP(A266,File!$A:$K,11,FALSE)</f>
        <v>Sep 2026</v>
      </c>
      <c r="K266" s="31" t="str">
        <f>VLOOKUP(A266,File!$A:$K,10,FALSE)</f>
        <v>In-Training</v>
      </c>
      <c r="L266" s="31" t="s">
        <v>4</v>
      </c>
      <c r="M266" t="str">
        <f>VLOOKUP(A266,Response!$A:$M,7,)</f>
        <v>PG (Paying Guest)</v>
      </c>
      <c r="N266" t="str">
        <f>VLOOKUP(A266,Response!$A:$M,8,)</f>
        <v>CNR PG(BOYS) SIPCOT SIRUSERI IT PARK TAMIL NADU CHENNAI</v>
      </c>
      <c r="O266" s="4">
        <f>VLOOKUP(A266,Response!$A:$M,10,)</f>
        <v>4</v>
      </c>
      <c r="P266" t="str">
        <f>VLOOKUP(A266,Response!$A:$M,12,)</f>
        <v>No</v>
      </c>
      <c r="Q266" t="str">
        <f>VLOOKUP(A266,Response!$A:$M,11,)</f>
        <v>Siruseri</v>
      </c>
      <c r="R266" t="s">
        <v>19</v>
      </c>
      <c r="S266" s="39" t="s">
        <v>37</v>
      </c>
    </row>
    <row r="267" spans="1:19">
      <c r="A267" s="3">
        <v>2533222</v>
      </c>
      <c r="B267" t="str">
        <f>VLOOKUP(A267,File!$A:$J,2,FALSE)</f>
        <v>Gujjala Venkata Nikhil</v>
      </c>
      <c r="C267" s="29">
        <f>VLOOKUP(A267,File!$A:$J,5,FALSE)</f>
        <v>46259</v>
      </c>
      <c r="D267" s="29" t="str">
        <f>VLOOKUP(A267,File!$A:$J,3,FALSE)</f>
        <v>Male</v>
      </c>
      <c r="E267" s="29" t="str">
        <f>VLOOKUP(A267,File!$A:$J,4,FALSE)</f>
        <v>FTE</v>
      </c>
      <c r="F267" s="29" t="str">
        <f>VLOOKUP(A267,File!$A:$J,6,FALSE)</f>
        <v>Chennai</v>
      </c>
      <c r="G267" s="29" t="str">
        <f>VLOOKUP(A267,File!$A:$J,7,FALSE)</f>
        <v>CIS26MBG006</v>
      </c>
      <c r="H267" s="29" t="str">
        <f>VLOOKUP(A267,File!$A:$J,8,FALSE)</f>
        <v>Angel Maria Faustina Gomez</v>
      </c>
      <c r="I267" s="31">
        <f>VLOOKUP(A267,File!$A:$J,9,FALSE)</f>
        <v>46367</v>
      </c>
      <c r="J267" s="31" t="str">
        <f>VLOOKUP(A267,File!$A:$K,11,FALSE)</f>
        <v>Dec 2026</v>
      </c>
      <c r="K267" s="31" t="str">
        <f>VLOOKUP(A267,File!$A:$K,10,FALSE)</f>
        <v>In-Training</v>
      </c>
      <c r="L267" s="31" t="s">
        <v>4</v>
      </c>
      <c r="M267" t="str">
        <f>VLOOKUP(A267,Response!$A:$M,7,)</f>
        <v>PG (Paying Guest)</v>
      </c>
      <c r="N267" t="str">
        <f>VLOOKUP(A267,Response!$A:$M,8,)</f>
        <v>CNR-MENS PG,BRANCH-1</v>
      </c>
      <c r="O267" s="4">
        <f>VLOOKUP(A267,Response!$A:$M,10,)</f>
        <v>2</v>
      </c>
      <c r="P267" t="str">
        <f>VLOOKUP(A267,Response!$A:$M,12,)</f>
        <v>No</v>
      </c>
      <c r="Q267" t="str">
        <f>VLOOKUP(A267,Response!$A:$M,11,)</f>
        <v>Siruseri</v>
      </c>
      <c r="R267" t="s">
        <v>19</v>
      </c>
      <c r="S267" s="39" t="s">
        <v>37</v>
      </c>
    </row>
    <row r="268" spans="1:19">
      <c r="A268" s="3">
        <v>2530175</v>
      </c>
      <c r="B268" t="str">
        <f>VLOOKUP(A268,File!$A:$J,2,FALSE)</f>
        <v>Arava Tharun Prasad Reddy</v>
      </c>
      <c r="C268" s="29">
        <f>VLOOKUP(A268,File!$A:$J,5,FALSE)</f>
        <v>46247</v>
      </c>
      <c r="D268" s="29" t="str">
        <f>VLOOKUP(A268,File!$A:$J,3,FALSE)</f>
        <v>Male</v>
      </c>
      <c r="E268" s="29" t="str">
        <f>VLOOKUP(A268,File!$A:$J,4,FALSE)</f>
        <v>FTE</v>
      </c>
      <c r="F268" s="29" t="str">
        <f>VLOOKUP(A268,File!$A:$J,6,FALSE)</f>
        <v>Chennai</v>
      </c>
      <c r="G268" s="29" t="str">
        <f>VLOOKUP(A268,File!$A:$J,7,FALSE)</f>
        <v>EPS26OSP010</v>
      </c>
      <c r="H268" s="29" t="str">
        <f>VLOOKUP(A268,File!$A:$J,8,FALSE)</f>
        <v>Vishnupriya Dakshnamurthy</v>
      </c>
      <c r="I268" s="31">
        <f>VLOOKUP(A268,File!$A:$J,9,FALSE)</f>
        <v>46357</v>
      </c>
      <c r="J268" s="31" t="str">
        <f>VLOOKUP(A268,File!$A:$K,11,FALSE)</f>
        <v>Dec 2026</v>
      </c>
      <c r="K268" s="31" t="str">
        <f>VLOOKUP(A268,File!$A:$K,10,FALSE)</f>
        <v>In-Training</v>
      </c>
      <c r="L268" s="31" t="s">
        <v>4</v>
      </c>
      <c r="M268" t="str">
        <f>VLOOKUP(A268,Response!$A:$M,7,)</f>
        <v>PG (Paying Guest)</v>
      </c>
      <c r="N268" t="str">
        <f>VLOOKUP(A268,Response!$A:$M,8,)</f>
        <v>CONWAY STANZA NAVALUR</v>
      </c>
      <c r="O268" s="4" t="str">
        <f>VLOOKUP(A268,Response!$A:$M,10,)</f>
        <v>GF</v>
      </c>
      <c r="P268" t="str">
        <f>VLOOKUP(A268,Response!$A:$M,12,)</f>
        <v>Yes</v>
      </c>
      <c r="Q268" t="str">
        <f>VLOOKUP(A268,Response!$A:$M,11,)</f>
        <v>Navalur</v>
      </c>
      <c r="R268" t="s">
        <v>19</v>
      </c>
      <c r="S268" s="39" t="s">
        <v>37</v>
      </c>
    </row>
    <row r="269" spans="1:19">
      <c r="A269" s="3">
        <v>2533079</v>
      </c>
      <c r="B269" t="str">
        <f>VLOOKUP(A269,File!$A:$J,2,FALSE)</f>
        <v>Randhi Sri Valli</v>
      </c>
      <c r="C269" s="29">
        <f>VLOOKUP(A269,File!$A:$J,5,FALSE)</f>
        <v>46259</v>
      </c>
      <c r="D269" s="29" t="str">
        <f>VLOOKUP(A269,File!$A:$J,3,FALSE)</f>
        <v>Female</v>
      </c>
      <c r="E269" s="29" t="str">
        <f>VLOOKUP(A269,File!$A:$J,4,FALSE)</f>
        <v>FTE</v>
      </c>
      <c r="F269" s="29" t="str">
        <f>VLOOKUP(A269,File!$A:$J,6,FALSE)</f>
        <v>Chennai</v>
      </c>
      <c r="G269" s="29" t="str">
        <f>VLOOKUP(A269,File!$A:$J,7,FALSE)</f>
        <v>CIS26SN002</v>
      </c>
      <c r="H269" s="29" t="str">
        <f>VLOOKUP(A269,File!$A:$J,8,FALSE)</f>
        <v>Ashiya Begam S</v>
      </c>
      <c r="I269" s="31">
        <f>VLOOKUP(A269,File!$A:$J,9,FALSE)</f>
        <v>46358</v>
      </c>
      <c r="J269" s="31" t="str">
        <f>VLOOKUP(A269,File!$A:$K,11,FALSE)</f>
        <v>Dec 2026</v>
      </c>
      <c r="K269" s="31" t="str">
        <f>VLOOKUP(A269,File!$A:$K,10,FALSE)</f>
        <v>In-Training</v>
      </c>
      <c r="L269" s="31" t="s">
        <v>4</v>
      </c>
      <c r="M269" t="str">
        <f>VLOOKUP(A269,Response!$A:$M,7,)</f>
        <v>PG (Paying Guest)</v>
      </c>
      <c r="N269" t="str">
        <f>VLOOKUP(A269,Response!$A:$M,8,)</f>
        <v>CSR ladies hostel branch 2, Egattur</v>
      </c>
      <c r="O269" s="4">
        <f>VLOOKUP(A269,Response!$A:$M,10,)</f>
        <v>2</v>
      </c>
      <c r="P269" t="str">
        <f>VLOOKUP(A269,Response!$A:$M,12,)</f>
        <v>No</v>
      </c>
      <c r="Q269" t="str">
        <f>VLOOKUP(A269,Response!$A:$M,11,)</f>
        <v>Egattur</v>
      </c>
      <c r="R269" t="s">
        <v>19</v>
      </c>
      <c r="S269" s="39" t="s">
        <v>37</v>
      </c>
    </row>
    <row r="270" spans="1:19">
      <c r="A270" s="3">
        <v>2516863</v>
      </c>
      <c r="B270" t="str">
        <f>VLOOKUP(A270,File!$A:$J,2,FALSE)</f>
        <v>P Meghana</v>
      </c>
      <c r="C270" s="29">
        <f>VLOOKUP(A270,File!$A:$J,5,FALSE)</f>
        <v>46191</v>
      </c>
      <c r="D270" s="29" t="str">
        <f>VLOOKUP(A270,File!$A:$J,3,FALSE)</f>
        <v>Female</v>
      </c>
      <c r="E270" s="29" t="str">
        <f>VLOOKUP(A270,File!$A:$J,4,FALSE)</f>
        <v>FTE</v>
      </c>
      <c r="F270" s="29" t="str">
        <f>VLOOKUP(A270,File!$A:$J,6,FALSE)</f>
        <v>Chennai</v>
      </c>
      <c r="G270" s="29" t="str">
        <f>VLOOKUP(A270,File!$A:$J,7,FALSE)</f>
        <v>CIS26MW001</v>
      </c>
      <c r="H270" s="29" t="str">
        <f>VLOOKUP(A270,File!$A:$J,8,FALSE)</f>
        <v>Ashiya Begam S</v>
      </c>
      <c r="I270" s="31">
        <f>VLOOKUP(A270,File!$A:$J,9,FALSE)</f>
        <v>46276</v>
      </c>
      <c r="J270" s="31" t="str">
        <f>VLOOKUP(A270,File!$A:$K,11,FALSE)</f>
        <v>Sep 2026</v>
      </c>
      <c r="K270" s="31" t="str">
        <f>VLOOKUP(A270,File!$A:$K,10,FALSE)</f>
        <v>In-Training</v>
      </c>
      <c r="L270" s="31" t="s">
        <v>4</v>
      </c>
      <c r="M270" t="str">
        <f>VLOOKUP(A270,Response!$A:$M,7,)</f>
        <v>PG (Paying Guest)</v>
      </c>
      <c r="N270" t="str">
        <f>VLOOKUP(A270,Response!$A:$M,8,)</f>
        <v>CSR Ladies PG -  Branch 1, Egattur</v>
      </c>
      <c r="O270" s="4">
        <f>VLOOKUP(A270,Response!$A:$M,10,)</f>
        <v>1</v>
      </c>
      <c r="P270" t="str">
        <f>VLOOKUP(A270,Response!$A:$M,12,)</f>
        <v>No</v>
      </c>
      <c r="Q270" t="str">
        <f>VLOOKUP(A270,Response!$A:$M,11,)</f>
        <v>Egattur</v>
      </c>
      <c r="R270" t="s">
        <v>19</v>
      </c>
      <c r="S270" s="39" t="s">
        <v>37</v>
      </c>
    </row>
    <row r="271" spans="1:19">
      <c r="A271" s="3">
        <v>2524537</v>
      </c>
      <c r="B271" t="str">
        <f>VLOOKUP(A271,File!$A:$J,2,FALSE)</f>
        <v>Patan Akifa Anjum</v>
      </c>
      <c r="C271" s="29">
        <f>VLOOKUP(A271,File!$A:$J,5,FALSE)</f>
        <v>46224</v>
      </c>
      <c r="D271" s="29" t="str">
        <f>VLOOKUP(A271,File!$A:$J,3,FALSE)</f>
        <v>Female</v>
      </c>
      <c r="E271" s="29" t="str">
        <f>VLOOKUP(A271,File!$A:$J,4,FALSE)</f>
        <v>FTE</v>
      </c>
      <c r="F271" s="29" t="str">
        <f>VLOOKUP(A271,File!$A:$J,6,FALSE)</f>
        <v>Chennai</v>
      </c>
      <c r="G271" s="29" t="str">
        <f>VLOOKUP(A271,File!$A:$J,7,FALSE)</f>
        <v>IOA26RPA005</v>
      </c>
      <c r="H271" s="29" t="str">
        <f>VLOOKUP(A271,File!$A:$J,8,FALSE)</f>
        <v>Adarsh J Nair</v>
      </c>
      <c r="I271" s="31">
        <f>VLOOKUP(A271,File!$A:$J,9,FALSE)</f>
        <v>46309</v>
      </c>
      <c r="J271" s="31" t="str">
        <f>VLOOKUP(A271,File!$A:$K,11,FALSE)</f>
        <v>Oct 2026</v>
      </c>
      <c r="K271" s="31" t="str">
        <f>VLOOKUP(A271,File!$A:$K,10,FALSE)</f>
        <v>In-Training</v>
      </c>
      <c r="L271" s="31" t="s">
        <v>4</v>
      </c>
      <c r="M271" t="str">
        <f>VLOOKUP(A271,Response!$A:$M,7,)</f>
        <v>PG (Paying Guest)</v>
      </c>
      <c r="N271" t="str">
        <f>VLOOKUP(A271,Response!$A:$M,8,)</f>
        <v>CSR Ladies PG - Branch 1, Egattur</v>
      </c>
      <c r="O271" s="4">
        <f>VLOOKUP(A271,Response!$A:$M,10,)</f>
        <v>2</v>
      </c>
      <c r="P271" t="str">
        <f>VLOOKUP(A271,Response!$A:$M,12,)</f>
        <v>No</v>
      </c>
      <c r="Q271" t="str">
        <f>VLOOKUP(A271,Response!$A:$M,11,)</f>
        <v>Egattur</v>
      </c>
      <c r="R271" t="s">
        <v>19</v>
      </c>
      <c r="S271" s="39" t="s">
        <v>37</v>
      </c>
    </row>
    <row r="272" spans="1:19">
      <c r="A272" s="3">
        <v>2516805</v>
      </c>
      <c r="B272" t="str">
        <f>VLOOKUP(A272,File!$A:$J,2,FALSE)</f>
        <v>Karamalla Shareefa</v>
      </c>
      <c r="C272" s="29">
        <f>VLOOKUP(A272,File!$A:$J,5,FALSE)</f>
        <v>46191</v>
      </c>
      <c r="D272" s="29" t="str">
        <f>VLOOKUP(A272,File!$A:$J,3,FALSE)</f>
        <v>Female</v>
      </c>
      <c r="E272" s="29" t="str">
        <f>VLOOKUP(A272,File!$A:$J,4,FALSE)</f>
        <v>FTE</v>
      </c>
      <c r="F272" s="29" t="str">
        <f>VLOOKUP(A272,File!$A:$J,6,FALSE)</f>
        <v>Chennai</v>
      </c>
      <c r="G272" s="29" t="str">
        <f>VLOOKUP(A272,File!$A:$J,7,FALSE)</f>
        <v>CIS26MW001</v>
      </c>
      <c r="H272" s="29" t="str">
        <f>VLOOKUP(A272,File!$A:$J,8,FALSE)</f>
        <v>Ashiya Begam S</v>
      </c>
      <c r="I272" s="31">
        <f>VLOOKUP(A272,File!$A:$J,9,FALSE)</f>
        <v>46276</v>
      </c>
      <c r="J272" s="31" t="str">
        <f>VLOOKUP(A272,File!$A:$K,11,FALSE)</f>
        <v>Sep 2026</v>
      </c>
      <c r="K272" s="31" t="str">
        <f>VLOOKUP(A272,File!$A:$K,10,FALSE)</f>
        <v>In-Training</v>
      </c>
      <c r="L272" s="31" t="s">
        <v>4</v>
      </c>
      <c r="M272" t="str">
        <f>VLOOKUP(A272,Response!$A:$M,7,)</f>
        <v>PG (Paying Guest)</v>
      </c>
      <c r="N272" t="str">
        <f>VLOOKUP(A272,Response!$A:$M,8,)</f>
        <v>csr luxry ladies pg branch 1 - egattur</v>
      </c>
      <c r="O272" s="4">
        <f>VLOOKUP(A272,Response!$A:$M,10,)</f>
        <v>1</v>
      </c>
      <c r="P272" t="str">
        <f>VLOOKUP(A272,Response!$A:$M,12,)</f>
        <v>No</v>
      </c>
      <c r="Q272" t="str">
        <f>VLOOKUP(A272,Response!$A:$M,11,)</f>
        <v>Egattur</v>
      </c>
      <c r="R272" t="s">
        <v>19</v>
      </c>
      <c r="S272" s="39" t="s">
        <v>37</v>
      </c>
    </row>
    <row r="273" spans="1:19">
      <c r="A273" s="3">
        <v>2533044</v>
      </c>
      <c r="B273" t="str">
        <f>VLOOKUP(A273,File!$A:$J,2,FALSE)</f>
        <v>Kema Naga Sai Sri Charitha</v>
      </c>
      <c r="C273" s="29">
        <f>VLOOKUP(A273,File!$A:$J,5,FALSE)</f>
        <v>46259</v>
      </c>
      <c r="D273" s="29" t="str">
        <f>VLOOKUP(A273,File!$A:$J,3,FALSE)</f>
        <v>Female</v>
      </c>
      <c r="E273" s="29" t="str">
        <f>VLOOKUP(A273,File!$A:$J,4,FALSE)</f>
        <v>FTE</v>
      </c>
      <c r="F273" s="29" t="str">
        <f>VLOOKUP(A273,File!$A:$J,6,FALSE)</f>
        <v>Chennai</v>
      </c>
      <c r="G273" s="29" t="str">
        <f>VLOOKUP(A273,File!$A:$J,7,FALSE)</f>
        <v>CIS26AT007</v>
      </c>
      <c r="H273" s="29" t="str">
        <f>VLOOKUP(A273,File!$A:$J,8,FALSE)</f>
        <v>Uma Venkatachalam</v>
      </c>
      <c r="I273" s="31">
        <f>VLOOKUP(A273,File!$A:$J,9,FALSE)</f>
        <v>46365</v>
      </c>
      <c r="J273" s="31" t="str">
        <f>VLOOKUP(A273,File!$A:$K,11,FALSE)</f>
        <v>Dec 2026</v>
      </c>
      <c r="K273" s="31" t="str">
        <f>VLOOKUP(A273,File!$A:$K,10,FALSE)</f>
        <v>In-Training</v>
      </c>
      <c r="L273" s="31" t="s">
        <v>4</v>
      </c>
      <c r="M273" t="str">
        <f>VLOOKUP(A273,Response!$A:$M,7,)</f>
        <v>PG (Paying Guest)</v>
      </c>
      <c r="N273" t="str">
        <f>VLOOKUP(A273,Response!$A:$M,8,)</f>
        <v>csr luxury branch-branch 2, egattur</v>
      </c>
      <c r="O273" s="4">
        <f>VLOOKUP(A273,Response!$A:$M,10,)</f>
        <v>1</v>
      </c>
      <c r="P273" t="str">
        <f>VLOOKUP(A273,Response!$A:$M,12,)</f>
        <v>Yes</v>
      </c>
      <c r="Q273" t="str">
        <f>VLOOKUP(A273,Response!$A:$M,11,)</f>
        <v>Navalur</v>
      </c>
      <c r="R273" t="s">
        <v>19</v>
      </c>
      <c r="S273" s="39" t="s">
        <v>37</v>
      </c>
    </row>
    <row r="274" spans="1:19">
      <c r="A274" s="3">
        <v>2521766</v>
      </c>
      <c r="B274" t="str">
        <f>VLOOKUP(A274,File!$A:$J,2,FALSE)</f>
        <v>Pusuluri Swathi</v>
      </c>
      <c r="C274" s="29">
        <f>VLOOKUP(A274,File!$A:$J,5,FALSE)</f>
        <v>46212</v>
      </c>
      <c r="D274" s="29" t="str">
        <f>VLOOKUP(A274,File!$A:$J,3,FALSE)</f>
        <v>Female</v>
      </c>
      <c r="E274" s="29" t="str">
        <f>VLOOKUP(A274,File!$A:$J,4,FALSE)</f>
        <v>FTE</v>
      </c>
      <c r="F274" s="29" t="str">
        <f>VLOOKUP(A274,File!$A:$J,6,FALSE)</f>
        <v>Chennai</v>
      </c>
      <c r="G274" s="29" t="str">
        <f>VLOOKUP(A274,File!$A:$J,7,FALSE)</f>
        <v>QEA26SD001</v>
      </c>
      <c r="H274" s="29" t="str">
        <f>VLOOKUP(A274,File!$A:$J,8,FALSE)</f>
        <v>Ajiesya D P</v>
      </c>
      <c r="I274" s="31">
        <f>VLOOKUP(A274,File!$A:$J,9,FALSE)</f>
        <v>46329</v>
      </c>
      <c r="J274" s="31" t="str">
        <f>VLOOKUP(A274,File!$A:$K,11,FALSE)</f>
        <v>Nov 2026</v>
      </c>
      <c r="K274" s="31" t="str">
        <f>VLOOKUP(A274,File!$A:$K,10,FALSE)</f>
        <v>In-Training</v>
      </c>
      <c r="L274" s="31" t="s">
        <v>4</v>
      </c>
      <c r="M274" t="str">
        <f>VLOOKUP(A274,Response!$A:$M,7,)</f>
        <v>PG (Paying Guest)</v>
      </c>
      <c r="N274" t="str">
        <f>VLOOKUP(A274,Response!$A:$M,8,)</f>
        <v>CSR Luxury PG - Branch 1,Egattur</v>
      </c>
      <c r="O274" s="4">
        <f>VLOOKUP(A274,Response!$A:$M,10,)</f>
        <v>1</v>
      </c>
      <c r="P274" t="str">
        <f>VLOOKUP(A274,Response!$A:$M,12,)</f>
        <v>No</v>
      </c>
      <c r="Q274" t="str">
        <f>VLOOKUP(A274,Response!$A:$M,11,)</f>
        <v>Egattur</v>
      </c>
      <c r="R274" t="s">
        <v>19</v>
      </c>
      <c r="S274" s="39" t="s">
        <v>37</v>
      </c>
    </row>
    <row r="275" spans="1:19">
      <c r="A275" s="3">
        <v>2529575</v>
      </c>
      <c r="B275" t="str">
        <f>VLOOKUP(A275,File!$A:$J,2,FALSE)</f>
        <v>Regimadugula Durgadevi</v>
      </c>
      <c r="C275" s="29">
        <f>VLOOKUP(A275,File!$A:$J,5,FALSE)</f>
        <v>46245</v>
      </c>
      <c r="D275" s="29" t="str">
        <f>VLOOKUP(A275,File!$A:$J,3,FALSE)</f>
        <v>Female</v>
      </c>
      <c r="E275" s="29" t="str">
        <f>VLOOKUP(A275,File!$A:$J,4,FALSE)</f>
        <v>FTE</v>
      </c>
      <c r="F275" s="29" t="str">
        <f>VLOOKUP(A275,File!$A:$J,6,FALSE)</f>
        <v>Chennai</v>
      </c>
      <c r="G275" s="29" t="str">
        <f>VLOOKUP(A275,File!$A:$J,7,FALSE)</f>
        <v>CIS26MCPT024</v>
      </c>
      <c r="H275" s="29" t="str">
        <f>VLOOKUP(A275,File!$A:$J,8,FALSE)</f>
        <v>Ashiya Begam S</v>
      </c>
      <c r="I275" s="31">
        <f>VLOOKUP(A275,File!$A:$J,9,FALSE)</f>
        <v>46359</v>
      </c>
      <c r="J275" s="31" t="str">
        <f>VLOOKUP(A275,File!$A:$K,11,FALSE)</f>
        <v>Dec 2026</v>
      </c>
      <c r="K275" s="31" t="str">
        <f>VLOOKUP(A275,File!$A:$K,10,FALSE)</f>
        <v>In-Training</v>
      </c>
      <c r="L275" s="31" t="s">
        <v>4</v>
      </c>
      <c r="M275" t="str">
        <f>VLOOKUP(A275,Response!$A:$M,7,)</f>
        <v>PG (Paying Guest)</v>
      </c>
      <c r="N275" t="str">
        <f>VLOOKUP(A275,Response!$A:$M,8,)</f>
        <v>CSR Luxury Women PG Branch-2</v>
      </c>
      <c r="O275" s="4">
        <f>VLOOKUP(A275,Response!$A:$M,10,)</f>
        <v>1</v>
      </c>
      <c r="P275" t="str">
        <f>VLOOKUP(A275,Response!$A:$M,12,)</f>
        <v>No</v>
      </c>
      <c r="Q275" t="str">
        <f>VLOOKUP(A275,Response!$A:$M,11,)</f>
        <v>Navalur</v>
      </c>
      <c r="R275" t="s">
        <v>19</v>
      </c>
      <c r="S275" s="39" t="s">
        <v>37</v>
      </c>
    </row>
    <row r="276" spans="1:19">
      <c r="A276" s="3">
        <v>2531379</v>
      </c>
      <c r="B276" t="str">
        <f>VLOOKUP(A276,File!$A:$J,2,FALSE)</f>
        <v>Nurpasha Dilsha Begum</v>
      </c>
      <c r="C276" s="29">
        <f>VLOOKUP(A276,File!$A:$J,5,FALSE)</f>
        <v>46252</v>
      </c>
      <c r="D276" s="29" t="str">
        <f>VLOOKUP(A276,File!$A:$J,3,FALSE)</f>
        <v>Female</v>
      </c>
      <c r="E276" s="29" t="str">
        <f>VLOOKUP(A276,File!$A:$J,4,FALSE)</f>
        <v>FTE</v>
      </c>
      <c r="F276" s="29" t="str">
        <f>VLOOKUP(A276,File!$A:$J,6,FALSE)</f>
        <v>Chennai</v>
      </c>
      <c r="G276" s="29" t="str">
        <f>VLOOKUP(A276,File!$A:$J,7,FALSE)</f>
        <v>CIS26AT007</v>
      </c>
      <c r="H276" s="29" t="str">
        <f>VLOOKUP(A276,File!$A:$J,8,FALSE)</f>
        <v>Uma Venkatachalam</v>
      </c>
      <c r="I276" s="31">
        <f>VLOOKUP(A276,File!$A:$J,9,FALSE)</f>
        <v>46365</v>
      </c>
      <c r="J276" s="31" t="str">
        <f>VLOOKUP(A276,File!$A:$K,11,FALSE)</f>
        <v>Dec 2026</v>
      </c>
      <c r="K276" s="31" t="str">
        <f>VLOOKUP(A276,File!$A:$K,10,FALSE)</f>
        <v>In-Training</v>
      </c>
      <c r="L276" s="31" t="s">
        <v>4</v>
      </c>
      <c r="M276" t="str">
        <f>VLOOKUP(A276,Response!$A:$M,7,)</f>
        <v>PG (Paying Guest)</v>
      </c>
      <c r="N276" t="str">
        <f>VLOOKUP(A276,Response!$A:$M,8,)</f>
        <v>CSR luxury women pg, Branch 2,Eggatur</v>
      </c>
      <c r="O276" s="4">
        <f>VLOOKUP(A276,Response!$A:$M,10,)</f>
        <v>2</v>
      </c>
      <c r="P276" t="str">
        <f>VLOOKUP(A276,Response!$A:$M,12,)</f>
        <v>No</v>
      </c>
      <c r="Q276" t="str">
        <f>VLOOKUP(A276,Response!$A:$M,11,)</f>
        <v>Navalur</v>
      </c>
      <c r="R276" t="s">
        <v>19</v>
      </c>
      <c r="S276" s="39" t="s">
        <v>37</v>
      </c>
    </row>
    <row r="277" spans="1:19">
      <c r="A277" s="3">
        <v>2512317</v>
      </c>
      <c r="B277" t="str">
        <f>VLOOKUP(A277,File!$A:$J,2,FALSE)</f>
        <v>Vigneshwari Sakthivel</v>
      </c>
      <c r="C277" s="29">
        <f>VLOOKUP(A277,File!$A:$J,5,FALSE)</f>
        <v>46170</v>
      </c>
      <c r="D277" s="29" t="str">
        <f>VLOOKUP(A277,File!$A:$J,3,FALSE)</f>
        <v>Female</v>
      </c>
      <c r="E277" s="29" t="str">
        <f>VLOOKUP(A277,File!$A:$J,4,FALSE)</f>
        <v>FTE</v>
      </c>
      <c r="F277" s="29" t="str">
        <f>VLOOKUP(A277,File!$A:$J,6,FALSE)</f>
        <v>Chennai</v>
      </c>
      <c r="G277" s="29" t="str">
        <f>VLOOKUP(A277,File!$A:$J,7,FALSE)</f>
        <v>CIS26MCPT011</v>
      </c>
      <c r="H277" s="29" t="str">
        <f>VLOOKUP(A277,File!$A:$J,8,FALSE)</f>
        <v>Uma Venkatachalam</v>
      </c>
      <c r="I277" s="31">
        <f>VLOOKUP(A277,File!$A:$J,9,FALSE)</f>
        <v>46282</v>
      </c>
      <c r="J277" s="31" t="str">
        <f>VLOOKUP(A277,File!$A:$K,11,FALSE)</f>
        <v>Sep 2026</v>
      </c>
      <c r="K277" s="31" t="str">
        <f>VLOOKUP(A277,File!$A:$K,10,FALSE)</f>
        <v>In-Training</v>
      </c>
      <c r="L277" s="31" t="s">
        <v>4</v>
      </c>
      <c r="M277" t="str">
        <f>VLOOKUP(A277,Response!$A:$M,7,)</f>
        <v>PG (Paying Guest)</v>
      </c>
      <c r="N277" t="str">
        <f>VLOOKUP(A277,Response!$A:$M,8,)</f>
        <v>CSR Luxury womens PG</v>
      </c>
      <c r="O277" s="4">
        <f>VLOOKUP(A277,Response!$A:$M,10,)</f>
        <v>1</v>
      </c>
      <c r="P277" t="str">
        <f>VLOOKUP(A277,Response!$A:$M,12,)</f>
        <v>No</v>
      </c>
      <c r="Q277" t="str">
        <f>VLOOKUP(A277,Response!$A:$M,11,)</f>
        <v>Egattur</v>
      </c>
      <c r="R277" t="s">
        <v>19</v>
      </c>
      <c r="S277" s="39" t="s">
        <v>37</v>
      </c>
    </row>
    <row r="278" spans="1:19">
      <c r="A278" s="3">
        <v>2529539</v>
      </c>
      <c r="B278" t="str">
        <f>VLOOKUP(A278,File!$A:$J,2,FALSE)</f>
        <v>Harshini Saravanan</v>
      </c>
      <c r="C278" s="29">
        <f>VLOOKUP(A278,File!$A:$J,5,FALSE)</f>
        <v>46245</v>
      </c>
      <c r="D278" s="29" t="str">
        <f>VLOOKUP(A278,File!$A:$J,3,FALSE)</f>
        <v>Female</v>
      </c>
      <c r="E278" s="29" t="str">
        <f>VLOOKUP(A278,File!$A:$J,4,FALSE)</f>
        <v>FTE</v>
      </c>
      <c r="F278" s="29" t="str">
        <f>VLOOKUP(A278,File!$A:$J,6,FALSE)</f>
        <v>Chennai</v>
      </c>
      <c r="G278" s="29" t="str">
        <f>VLOOKUP(A278,File!$A:$J,7,FALSE)</f>
        <v>CIS26MCPT026</v>
      </c>
      <c r="H278" s="29" t="str">
        <f>VLOOKUP(A278,File!$A:$J,8,FALSE)</f>
        <v>Mohamed Harish</v>
      </c>
      <c r="I278" s="31">
        <f>VLOOKUP(A278,File!$A:$J,9,FALSE)</f>
        <v>46364</v>
      </c>
      <c r="J278" s="31" t="str">
        <f>VLOOKUP(A278,File!$A:$K,11,FALSE)</f>
        <v>Dec 2026</v>
      </c>
      <c r="K278" s="31" t="str">
        <f>VLOOKUP(A278,File!$A:$K,10,FALSE)</f>
        <v>In-Training</v>
      </c>
      <c r="L278" s="31" t="s">
        <v>4</v>
      </c>
      <c r="M278" t="str">
        <f>VLOOKUP(A278,Response!$A:$M,7,)</f>
        <v>PG (Paying Guest)</v>
      </c>
      <c r="N278" t="str">
        <f>VLOOKUP(A278,Response!$A:$M,8,)</f>
        <v>CSR luxury womens Pg Branch 2</v>
      </c>
      <c r="O278" s="4">
        <f>VLOOKUP(A278,Response!$A:$M,10,)</f>
        <v>1</v>
      </c>
      <c r="P278" t="str">
        <f>VLOOKUP(A278,Response!$A:$M,12,)</f>
        <v>Yes</v>
      </c>
      <c r="Q278" t="str">
        <f>VLOOKUP(A278,Response!$A:$M,11,)</f>
        <v>Egattur</v>
      </c>
      <c r="R278" t="s">
        <v>19</v>
      </c>
      <c r="S278" s="39" t="s">
        <v>37</v>
      </c>
    </row>
    <row r="279" spans="1:19">
      <c r="A279" s="3">
        <v>2531395</v>
      </c>
      <c r="B279" t="str">
        <f>VLOOKUP(A279,File!$A:$J,2,FALSE)</f>
        <v>Liziana Shaik</v>
      </c>
      <c r="C279" s="29">
        <f>VLOOKUP(A279,File!$A:$J,5,FALSE)</f>
        <v>46252</v>
      </c>
      <c r="D279" s="29" t="str">
        <f>VLOOKUP(A279,File!$A:$J,3,FALSE)</f>
        <v>Female</v>
      </c>
      <c r="E279" s="29" t="str">
        <f>VLOOKUP(A279,File!$A:$J,4,FALSE)</f>
        <v>FTE</v>
      </c>
      <c r="F279" s="29" t="str">
        <f>VLOOKUP(A279,File!$A:$J,6,FALSE)</f>
        <v>Chennai</v>
      </c>
      <c r="G279" s="29" t="str">
        <f>VLOOKUP(A279,File!$A:$J,7,FALSE)</f>
        <v>CIS26AT007</v>
      </c>
      <c r="H279" s="29" t="str">
        <f>VLOOKUP(A279,File!$A:$J,8,FALSE)</f>
        <v>Uma Venkatachalam</v>
      </c>
      <c r="I279" s="31">
        <f>VLOOKUP(A279,File!$A:$J,9,FALSE)</f>
        <v>46365</v>
      </c>
      <c r="J279" s="31" t="str">
        <f>VLOOKUP(A279,File!$A:$K,11,FALSE)</f>
        <v>Dec 2026</v>
      </c>
      <c r="K279" s="31" t="str">
        <f>VLOOKUP(A279,File!$A:$K,10,FALSE)</f>
        <v>In-Training</v>
      </c>
      <c r="L279" s="31" t="s">
        <v>4</v>
      </c>
      <c r="M279" t="str">
        <f>VLOOKUP(A279,Response!$A:$M,7,)</f>
        <v>PG (Paying Guest)</v>
      </c>
      <c r="N279" t="str">
        <f>VLOOKUP(A279,Response!$A:$M,8,)</f>
        <v>csr luxury womens pg branch 2, egattur</v>
      </c>
      <c r="O279" s="4">
        <f>VLOOKUP(A279,Response!$A:$M,10,)</f>
        <v>2</v>
      </c>
      <c r="P279" t="str">
        <f>VLOOKUP(A279,Response!$A:$M,12,)</f>
        <v>Yes</v>
      </c>
      <c r="Q279" t="str">
        <f>VLOOKUP(A279,Response!$A:$M,11,)</f>
        <v>Egattur</v>
      </c>
      <c r="R279" t="s">
        <v>19</v>
      </c>
      <c r="S279" s="39" t="s">
        <v>37</v>
      </c>
    </row>
    <row r="280" spans="1:19">
      <c r="A280" s="3">
        <v>2532945</v>
      </c>
      <c r="B280" t="str">
        <f>VLOOKUP(A280,File!$A:$J,2,FALSE)</f>
        <v>Kothem Sasi Chakra Kumari</v>
      </c>
      <c r="C280" s="29">
        <f>VLOOKUP(A280,File!$A:$J,5,FALSE)</f>
        <v>46259</v>
      </c>
      <c r="D280" s="29" t="str">
        <f>VLOOKUP(A280,File!$A:$J,3,FALSE)</f>
        <v>Female</v>
      </c>
      <c r="E280" s="29" t="str">
        <f>VLOOKUP(A280,File!$A:$J,4,FALSE)</f>
        <v>FTE</v>
      </c>
      <c r="F280" s="29" t="str">
        <f>VLOOKUP(A280,File!$A:$J,6,FALSE)</f>
        <v>Chennai</v>
      </c>
      <c r="G280" s="29" t="str">
        <f>VLOOKUP(A280,File!$A:$J,7,FALSE)</f>
        <v>CIS26MBG006</v>
      </c>
      <c r="H280" s="29" t="str">
        <f>VLOOKUP(A280,File!$A:$J,8,FALSE)</f>
        <v>Angel Maria Faustina Gomez</v>
      </c>
      <c r="I280" s="31">
        <f>VLOOKUP(A280,File!$A:$J,9,FALSE)</f>
        <v>46367</v>
      </c>
      <c r="J280" s="31" t="str">
        <f>VLOOKUP(A280,File!$A:$K,11,FALSE)</f>
        <v>Dec 2026</v>
      </c>
      <c r="K280" s="31" t="str">
        <f>VLOOKUP(A280,File!$A:$K,10,FALSE)</f>
        <v>In-Training</v>
      </c>
      <c r="L280" s="31" t="s">
        <v>4</v>
      </c>
      <c r="M280" t="str">
        <f>VLOOKUP(A280,Response!$A:$M,7,)</f>
        <v>PG (Paying Guest)</v>
      </c>
      <c r="N280" t="str">
        <f>VLOOKUP(A280,Response!$A:$M,8,)</f>
        <v>CSR Luxury Womens PG Branch 2, Egattur</v>
      </c>
      <c r="O280" s="4">
        <f>VLOOKUP(A280,Response!$A:$M,10,)</f>
        <v>2</v>
      </c>
      <c r="P280" t="str">
        <f>VLOOKUP(A280,Response!$A:$M,12,)</f>
        <v>No</v>
      </c>
      <c r="Q280" t="str">
        <f>VLOOKUP(A280,Response!$A:$M,11,)</f>
        <v>Egattur</v>
      </c>
      <c r="R280" t="s">
        <v>19</v>
      </c>
      <c r="S280" s="39" t="s">
        <v>37</v>
      </c>
    </row>
    <row r="281" spans="1:19">
      <c r="A281" s="3">
        <v>2533593</v>
      </c>
      <c r="B281" t="str">
        <f>VLOOKUP(A281,File!$A:$J,2,FALSE)</f>
        <v>Katuri Siri Vennela</v>
      </c>
      <c r="C281" s="29">
        <f>VLOOKUP(A281,File!$A:$J,5,FALSE)</f>
        <v>46261</v>
      </c>
      <c r="D281" s="29" t="str">
        <f>VLOOKUP(A281,File!$A:$J,3,FALSE)</f>
        <v>Female</v>
      </c>
      <c r="E281" s="29" t="str">
        <f>VLOOKUP(A281,File!$A:$J,4,FALSE)</f>
        <v>FTE</v>
      </c>
      <c r="F281" s="29" t="str">
        <f>VLOOKUP(A281,File!$A:$J,6,FALSE)</f>
        <v>Chennai</v>
      </c>
      <c r="G281" s="29" t="str">
        <f>VLOOKUP(A281,File!$A:$J,7,FALSE)</f>
        <v>ADM27DFSA001</v>
      </c>
      <c r="H281" s="29" t="str">
        <f>VLOOKUP(A281,File!$A:$J,8,FALSE)</f>
        <v>Thomas Naveen. J</v>
      </c>
      <c r="I281" s="31">
        <f>VLOOKUP(A281,File!$A:$J,9,FALSE)</f>
        <v>46386</v>
      </c>
      <c r="J281" s="31" t="str">
        <f>VLOOKUP(A281,File!$A:$K,11,FALSE)</f>
        <v>Dec 2026</v>
      </c>
      <c r="K281" s="31" t="str">
        <f>VLOOKUP(A281,File!$A:$K,10,FALSE)</f>
        <v>In-Training</v>
      </c>
      <c r="L281" s="31" t="s">
        <v>4</v>
      </c>
      <c r="M281" t="str">
        <f>VLOOKUP(A281,Response!$A:$M,7,)</f>
        <v>PG (Paying Guest)</v>
      </c>
      <c r="N281" t="str">
        <f>VLOOKUP(A281,Response!$A:$M,8,)</f>
        <v>CSR Luxury Womens PG Branch-2</v>
      </c>
      <c r="O281" s="4">
        <f>VLOOKUP(A281,Response!$A:$M,10,)</f>
        <v>2</v>
      </c>
      <c r="P281" t="str">
        <f>VLOOKUP(A281,Response!$A:$M,12,)</f>
        <v>No</v>
      </c>
      <c r="Q281" t="str">
        <f>VLOOKUP(A281,Response!$A:$M,11,)</f>
        <v>Siruseri</v>
      </c>
      <c r="R281" t="s">
        <v>19</v>
      </c>
      <c r="S281" s="39" t="s">
        <v>37</v>
      </c>
    </row>
    <row r="282" spans="1:19">
      <c r="A282" s="3">
        <v>2532994</v>
      </c>
      <c r="B282" t="str">
        <f>VLOOKUP(A282,File!$A:$J,2,FALSE)</f>
        <v>Maddukuri Lakshmi Santoshi</v>
      </c>
      <c r="C282" s="29">
        <f>VLOOKUP(A282,File!$A:$J,5,FALSE)</f>
        <v>46259</v>
      </c>
      <c r="D282" s="29" t="str">
        <f>VLOOKUP(A282,File!$A:$J,3,FALSE)</f>
        <v>Female</v>
      </c>
      <c r="E282" s="29" t="str">
        <f>VLOOKUP(A282,File!$A:$J,4,FALSE)</f>
        <v>FTE</v>
      </c>
      <c r="F282" s="29" t="str">
        <f>VLOOKUP(A282,File!$A:$J,6,FALSE)</f>
        <v>Chennai</v>
      </c>
      <c r="G282" s="29" t="str">
        <f>VLOOKUP(A282,File!$A:$J,7,FALSE)</f>
        <v>CIS26MBG005</v>
      </c>
      <c r="H282" s="29" t="str">
        <f>VLOOKUP(A282,File!$A:$J,8,FALSE)</f>
        <v>Angel Maria Faustina Gomez</v>
      </c>
      <c r="I282" s="31">
        <f>VLOOKUP(A282,File!$A:$J,9,FALSE)</f>
        <v>46367</v>
      </c>
      <c r="J282" s="31" t="str">
        <f>VLOOKUP(A282,File!$A:$K,11,FALSE)</f>
        <v>Dec 2026</v>
      </c>
      <c r="K282" s="31" t="str">
        <f>VLOOKUP(A282,File!$A:$K,10,FALSE)</f>
        <v>In-Training</v>
      </c>
      <c r="L282" s="31" t="s">
        <v>4</v>
      </c>
      <c r="M282" t="str">
        <f>VLOOKUP(A282,Response!$A:$M,7,)</f>
        <v>PG (Paying Guest)</v>
      </c>
      <c r="N282" t="str">
        <f>VLOOKUP(A282,Response!$A:$M,8,)</f>
        <v>CSR Luxury womens pg branch-2,Egattur</v>
      </c>
      <c r="O282" s="4">
        <f>VLOOKUP(A282,Response!$A:$M,10,)</f>
        <v>2</v>
      </c>
      <c r="P282" t="str">
        <f>VLOOKUP(A282,Response!$A:$M,12,)</f>
        <v>No</v>
      </c>
      <c r="Q282" t="str">
        <f>VLOOKUP(A282,Response!$A:$M,11,)</f>
        <v>Egattur</v>
      </c>
      <c r="R282" t="s">
        <v>19</v>
      </c>
      <c r="S282" s="39" t="s">
        <v>37</v>
      </c>
    </row>
    <row r="283" spans="1:19">
      <c r="A283" s="3">
        <v>2533036</v>
      </c>
      <c r="B283" t="str">
        <f>VLOOKUP(A283,File!$A:$J,2,FALSE)</f>
        <v>Upputuri Sai Harshitha</v>
      </c>
      <c r="C283" s="29">
        <f>VLOOKUP(A283,File!$A:$J,5,FALSE)</f>
        <v>46259</v>
      </c>
      <c r="D283" s="29" t="str">
        <f>VLOOKUP(A283,File!$A:$J,3,FALSE)</f>
        <v>Female</v>
      </c>
      <c r="E283" s="29" t="str">
        <f>VLOOKUP(A283,File!$A:$J,4,FALSE)</f>
        <v>FTE</v>
      </c>
      <c r="F283" s="29" t="str">
        <f>VLOOKUP(A283,File!$A:$J,6,FALSE)</f>
        <v>Chennai</v>
      </c>
      <c r="G283" s="29" t="str">
        <f>VLOOKUP(A283,File!$A:$J,7,FALSE)</f>
        <v>IOT26CSJ002</v>
      </c>
      <c r="H283" s="29" t="str">
        <f>VLOOKUP(A283,File!$A:$J,8,FALSE)</f>
        <v>Pavithra Kandasamy</v>
      </c>
      <c r="I283" s="31">
        <f>VLOOKUP(A283,File!$A:$J,9,FALSE)</f>
        <v>46337</v>
      </c>
      <c r="J283" s="31" t="str">
        <f>VLOOKUP(A283,File!$A:$K,11,FALSE)</f>
        <v>Nov 2026</v>
      </c>
      <c r="K283" s="31" t="str">
        <f>VLOOKUP(A283,File!$A:$K,10,FALSE)</f>
        <v>In-Training</v>
      </c>
      <c r="L283" s="31" t="s">
        <v>4</v>
      </c>
      <c r="M283" t="str">
        <f>VLOOKUP(A283,Response!$A:$M,7,)</f>
        <v>PG (Paying Guest)</v>
      </c>
      <c r="N283" t="str">
        <f>VLOOKUP(A283,Response!$A:$M,8,)</f>
        <v>CSR Womens PG Hostel Branch 2, Egatur</v>
      </c>
      <c r="O283" s="4">
        <f>VLOOKUP(A283,Response!$A:$M,10,)</f>
        <v>1</v>
      </c>
      <c r="P283" t="str">
        <f>VLOOKUP(A283,Response!$A:$M,12,)</f>
        <v>No</v>
      </c>
      <c r="Q283" t="str">
        <f>VLOOKUP(A283,Response!$A:$M,11,)</f>
        <v>Egattur</v>
      </c>
      <c r="R283" t="s">
        <v>19</v>
      </c>
      <c r="S283" s="39" t="s">
        <v>37</v>
      </c>
    </row>
    <row r="284" spans="1:19">
      <c r="A284" s="3">
        <v>2524521</v>
      </c>
      <c r="B284" t="str">
        <f>VLOOKUP(A284,File!$A:$J,2,FALSE)</f>
        <v>Preetham G Acharya</v>
      </c>
      <c r="C284" s="29">
        <f>VLOOKUP(A284,File!$A:$J,5,FALSE)</f>
        <v>46224</v>
      </c>
      <c r="D284" s="29" t="str">
        <f>VLOOKUP(A284,File!$A:$J,3,FALSE)</f>
        <v>Male</v>
      </c>
      <c r="E284" s="29" t="str">
        <f>VLOOKUP(A284,File!$A:$J,4,FALSE)</f>
        <v>FTE</v>
      </c>
      <c r="F284" s="29" t="str">
        <f>VLOOKUP(A284,File!$A:$J,6,FALSE)</f>
        <v>Chennai</v>
      </c>
      <c r="G284" s="29" t="str">
        <f>VLOOKUP(A284,File!$A:$J,7,FALSE)</f>
        <v>ADM26MF012</v>
      </c>
      <c r="H284" s="29" t="str">
        <f>VLOOKUP(A284,File!$A:$J,8,FALSE)</f>
        <v>Lourdhu Selvin Raj X</v>
      </c>
      <c r="I284" s="31">
        <f>VLOOKUP(A284,File!$A:$J,9,FALSE)</f>
        <v>46343</v>
      </c>
      <c r="J284" s="31" t="str">
        <f>VLOOKUP(A284,File!$A:$K,11,FALSE)</f>
        <v>Nov 2026</v>
      </c>
      <c r="K284" s="31" t="str">
        <f>VLOOKUP(A284,File!$A:$K,10,FALSE)</f>
        <v>In-Training</v>
      </c>
      <c r="L284" s="31" t="s">
        <v>4</v>
      </c>
      <c r="M284" t="str">
        <f>VLOOKUP(A284,Response!$A:$M,7,)</f>
        <v>PG (Paying Guest)</v>
      </c>
      <c r="N284" t="str">
        <f>VLOOKUP(A284,Response!$A:$M,8,)</f>
        <v>Dhanalakshmi pg for Gents,114 , Village High Rd, Sholinganallur, Chennai, Tamil Nadu 600119</v>
      </c>
      <c r="O284" s="4">
        <f>VLOOKUP(A284,Response!$A:$M,10,)</f>
        <v>2</v>
      </c>
      <c r="P284" t="str">
        <f>VLOOKUP(A284,Response!$A:$M,12,)</f>
        <v>Yes</v>
      </c>
      <c r="Q284" t="str">
        <f>VLOOKUP(A284,Response!$A:$M,11,)</f>
        <v>Sholinganallur</v>
      </c>
      <c r="R284" t="s">
        <v>17</v>
      </c>
      <c r="S284" s="39" t="s">
        <v>37</v>
      </c>
    </row>
    <row r="285" spans="1:19">
      <c r="A285" s="3">
        <v>2512300</v>
      </c>
      <c r="B285" t="str">
        <f>VLOOKUP(A285,File!$A:$J,2,FALSE)</f>
        <v>Supriya S Talawar</v>
      </c>
      <c r="C285" s="29">
        <f>VLOOKUP(A285,File!$A:$J,5,FALSE)</f>
        <v>46170</v>
      </c>
      <c r="D285" s="29" t="str">
        <f>VLOOKUP(A285,File!$A:$J,3,FALSE)</f>
        <v>Female</v>
      </c>
      <c r="E285" s="29" t="str">
        <f>VLOOKUP(A285,File!$A:$J,4,FALSE)</f>
        <v>FTE</v>
      </c>
      <c r="F285" s="29" t="str">
        <f>VLOOKUP(A285,File!$A:$J,6,FALSE)</f>
        <v>Chennai</v>
      </c>
      <c r="G285" s="29" t="str">
        <f>VLOOKUP(A285,File!$A:$J,7,FALSE)</f>
        <v>CIS26MCPT011</v>
      </c>
      <c r="H285" s="29" t="str">
        <f>VLOOKUP(A285,File!$A:$J,8,FALSE)</f>
        <v>Uma Venkatachalam</v>
      </c>
      <c r="I285" s="31">
        <f>VLOOKUP(A285,File!$A:$J,9,FALSE)</f>
        <v>46282</v>
      </c>
      <c r="J285" s="31" t="str">
        <f>VLOOKUP(A285,File!$A:$K,11,FALSE)</f>
        <v>Sep 2026</v>
      </c>
      <c r="K285" s="31" t="str">
        <f>VLOOKUP(A285,File!$A:$K,10,FALSE)</f>
        <v>In-Training</v>
      </c>
      <c r="L285" s="31" t="s">
        <v>4</v>
      </c>
      <c r="M285" t="str">
        <f>VLOOKUP(A285,Response!$A:$M,7,)</f>
        <v>PG (Paying Guest)</v>
      </c>
      <c r="N285" t="str">
        <f>VLOOKUP(A285,Response!$A:$M,8,)</f>
        <v>DRK Luxury PG stays</v>
      </c>
      <c r="O285" s="4">
        <f>VLOOKUP(A285,Response!$A:$M,10,)</f>
        <v>1</v>
      </c>
      <c r="P285" t="str">
        <f>VLOOKUP(A285,Response!$A:$M,12,)</f>
        <v>No</v>
      </c>
      <c r="Q285" t="str">
        <f>VLOOKUP(A285,Response!$A:$M,11,)</f>
        <v>Egattur</v>
      </c>
      <c r="R285" t="s">
        <v>19</v>
      </c>
      <c r="S285" s="39" t="s">
        <v>37</v>
      </c>
    </row>
    <row r="286" spans="1:19">
      <c r="A286" s="3">
        <v>2521277</v>
      </c>
      <c r="B286" t="str">
        <f>VLOOKUP(A286,File!$A:$J,2,FALSE)</f>
        <v>Ajay Kumar Kontala</v>
      </c>
      <c r="C286" s="29">
        <f>VLOOKUP(A286,File!$A:$J,5,FALSE)</f>
        <v>46210</v>
      </c>
      <c r="D286" s="29" t="str">
        <f>VLOOKUP(A286,File!$A:$J,3,FALSE)</f>
        <v>Male</v>
      </c>
      <c r="E286" s="29" t="str">
        <f>VLOOKUP(A286,File!$A:$J,4,FALSE)</f>
        <v>FTE</v>
      </c>
      <c r="F286" s="29" t="str">
        <f>VLOOKUP(A286,File!$A:$J,6,FALSE)</f>
        <v>Chennai</v>
      </c>
      <c r="G286" s="29" t="str">
        <f>VLOOKUP(A286,File!$A:$J,7,FALSE)</f>
        <v>CS26CS006</v>
      </c>
      <c r="H286" s="29" t="str">
        <f>VLOOKUP(A286,File!$A:$J,8,FALSE)</f>
        <v>Lawrance M</v>
      </c>
      <c r="I286" s="31">
        <f>VLOOKUP(A286,File!$A:$J,9,FALSE)</f>
        <v>46274</v>
      </c>
      <c r="J286" s="31" t="str">
        <f>VLOOKUP(A286,File!$A:$K,11,FALSE)</f>
        <v>Sep 2026</v>
      </c>
      <c r="K286" s="31" t="str">
        <f>VLOOKUP(A286,File!$A:$K,10,FALSE)</f>
        <v>In-Training-Remedial</v>
      </c>
      <c r="L286" s="31" t="s">
        <v>4</v>
      </c>
      <c r="M286" t="str">
        <f>VLOOKUP(A286,Response!$A:$M,7,)</f>
        <v>PG (Paying Guest)</v>
      </c>
      <c r="N286" t="str">
        <f>VLOOKUP(A286,Response!$A:$M,8,)</f>
        <v>DVR Mens PG</v>
      </c>
      <c r="O286" s="4">
        <f>VLOOKUP(A286,Response!$A:$M,10,)</f>
        <v>1</v>
      </c>
      <c r="P286" t="str">
        <f>VLOOKUP(A286,Response!$A:$M,12,)</f>
        <v>No</v>
      </c>
      <c r="Q286" t="str">
        <f>VLOOKUP(A286,Response!$A:$M,11,)</f>
        <v>Thalambur</v>
      </c>
      <c r="R286" t="s">
        <v>19</v>
      </c>
      <c r="S286" s="39" t="s">
        <v>37</v>
      </c>
    </row>
    <row r="287" spans="1:19">
      <c r="A287" s="3">
        <v>2529792</v>
      </c>
      <c r="B287" t="str">
        <f>VLOOKUP(A287,File!$A:$J,2,FALSE)</f>
        <v>Shaik Shehanaj</v>
      </c>
      <c r="C287" s="29">
        <f>VLOOKUP(A287,File!$A:$J,5,FALSE)</f>
        <v>46245</v>
      </c>
      <c r="D287" s="29" t="str">
        <f>VLOOKUP(A287,File!$A:$J,3,FALSE)</f>
        <v>Female</v>
      </c>
      <c r="E287" s="29" t="str">
        <f>VLOOKUP(A287,File!$A:$J,4,FALSE)</f>
        <v>FTE</v>
      </c>
      <c r="F287" s="29" t="str">
        <f>VLOOKUP(A287,File!$A:$J,6,FALSE)</f>
        <v>Chennai</v>
      </c>
      <c r="G287" s="29" t="str">
        <f>VLOOKUP(A287,File!$A:$J,7,FALSE)</f>
        <v>CIS26MCPT026</v>
      </c>
      <c r="H287" s="29" t="str">
        <f>VLOOKUP(A287,File!$A:$J,8,FALSE)</f>
        <v>Mohamed Harish</v>
      </c>
      <c r="I287" s="31">
        <f>VLOOKUP(A287,File!$A:$J,9,FALSE)</f>
        <v>46364</v>
      </c>
      <c r="J287" s="31" t="str">
        <f>VLOOKUP(A287,File!$A:$K,11,FALSE)</f>
        <v>Dec 2026</v>
      </c>
      <c r="K287" s="31" t="str">
        <f>VLOOKUP(A287,File!$A:$K,10,FALSE)</f>
        <v>In-Training</v>
      </c>
      <c r="L287" s="31" t="s">
        <v>4</v>
      </c>
      <c r="M287" t="str">
        <f>VLOOKUP(A287,Response!$A:$M,7,)</f>
        <v>Hostel</v>
      </c>
      <c r="N287" t="str">
        <f>VLOOKUP(A287,Response!$A:$M,8,)</f>
        <v>Egattur</v>
      </c>
      <c r="O287" s="4">
        <f>VLOOKUP(A287,Response!$A:$M,10,)</f>
        <v>4</v>
      </c>
      <c r="P287" t="str">
        <f>VLOOKUP(A287,Response!$A:$M,12,)</f>
        <v>Yes</v>
      </c>
      <c r="Q287" t="str">
        <f>VLOOKUP(A287,Response!$A:$M,11,)</f>
        <v>Siruseri</v>
      </c>
      <c r="R287" t="s">
        <v>19</v>
      </c>
      <c r="S287" s="39" t="s">
        <v>37</v>
      </c>
    </row>
    <row r="288" spans="1:19">
      <c r="A288" s="3">
        <v>2520949</v>
      </c>
      <c r="B288" t="str">
        <f>VLOOKUP(A288,File!$A:$J,2,FALSE)</f>
        <v>Paritala Lavanya</v>
      </c>
      <c r="C288" s="29">
        <f>VLOOKUP(A288,File!$A:$J,5,FALSE)</f>
        <v>46210</v>
      </c>
      <c r="D288" s="29" t="str">
        <f>VLOOKUP(A288,File!$A:$J,3,FALSE)</f>
        <v>Female</v>
      </c>
      <c r="E288" s="29" t="str">
        <f>VLOOKUP(A288,File!$A:$J,4,FALSE)</f>
        <v>FTE</v>
      </c>
      <c r="F288" s="29" t="str">
        <f>VLOOKUP(A288,File!$A:$J,6,FALSE)</f>
        <v>Chennai</v>
      </c>
      <c r="G288" s="29" t="str">
        <f>VLOOKUP(A288,File!$A:$J,7,FALSE)</f>
        <v>EPS26WD004</v>
      </c>
      <c r="H288" s="29" t="str">
        <f>VLOOKUP(A288,File!$A:$J,8,FALSE)</f>
        <v>Ajith Ganesan</v>
      </c>
      <c r="I288" s="31">
        <f>VLOOKUP(A288,File!$A:$J,9,FALSE)</f>
        <v>46310</v>
      </c>
      <c r="J288" s="31" t="str">
        <f>VLOOKUP(A288,File!$A:$K,11,FALSE)</f>
        <v>Oct 2026</v>
      </c>
      <c r="K288" s="31" t="str">
        <f>VLOOKUP(A288,File!$A:$K,10,FALSE)</f>
        <v>In-Training</v>
      </c>
      <c r="L288" s="31" t="s">
        <v>4</v>
      </c>
      <c r="M288" t="str">
        <f>VLOOKUP(A288,Response!$A:$M,7,)</f>
        <v>PG (Paying Guest)</v>
      </c>
      <c r="N288" t="str">
        <f>VLOOKUP(A288,Response!$A:$M,8,)</f>
        <v xml:space="preserve">Egattur </v>
      </c>
      <c r="O288" s="4">
        <f>VLOOKUP(A288,Response!$A:$M,10,)</f>
        <v>1</v>
      </c>
      <c r="P288" t="str">
        <f>VLOOKUP(A288,Response!$A:$M,12,)</f>
        <v>No</v>
      </c>
      <c r="Q288" t="str">
        <f>VLOOKUP(A288,Response!$A:$M,11,)</f>
        <v>Egattur</v>
      </c>
      <c r="R288" t="s">
        <v>19</v>
      </c>
      <c r="S288" s="39" t="s">
        <v>37</v>
      </c>
    </row>
    <row r="289" spans="1:19">
      <c r="A289" s="3">
        <v>2520954</v>
      </c>
      <c r="B289" t="str">
        <f>VLOOKUP(A289,File!$A:$J,2,FALSE)</f>
        <v>Shaik Ashfaq Hussain</v>
      </c>
      <c r="C289" s="29">
        <f>VLOOKUP(A289,File!$A:$J,5,FALSE)</f>
        <v>46210</v>
      </c>
      <c r="D289" s="29" t="str">
        <f>VLOOKUP(A289,File!$A:$J,3,FALSE)</f>
        <v>Male</v>
      </c>
      <c r="E289" s="29" t="str">
        <f>VLOOKUP(A289,File!$A:$J,4,FALSE)</f>
        <v>FTE</v>
      </c>
      <c r="F289" s="29" t="str">
        <f>VLOOKUP(A289,File!$A:$J,6,FALSE)</f>
        <v>Chennai</v>
      </c>
      <c r="G289" s="29" t="str">
        <f>VLOOKUP(A289,File!$A:$J,7,FALSE)</f>
        <v>EPS26WD004</v>
      </c>
      <c r="H289" s="29" t="str">
        <f>VLOOKUP(A289,File!$A:$J,8,FALSE)</f>
        <v>Ajith Ganesan</v>
      </c>
      <c r="I289" s="31">
        <f>VLOOKUP(A289,File!$A:$J,9,FALSE)</f>
        <v>46310</v>
      </c>
      <c r="J289" s="31" t="str">
        <f>VLOOKUP(A289,File!$A:$K,11,FALSE)</f>
        <v>Oct 2026</v>
      </c>
      <c r="K289" s="31" t="str">
        <f>VLOOKUP(A289,File!$A:$K,10,FALSE)</f>
        <v>In-Training</v>
      </c>
      <c r="L289" s="31" t="s">
        <v>4</v>
      </c>
      <c r="M289" t="str">
        <f>VLOOKUP(A289,Response!$A:$M,7,)</f>
        <v>PG (Paying Guest)</v>
      </c>
      <c r="N289" t="str">
        <f>VLOOKUP(A289,Response!$A:$M,8,)</f>
        <v xml:space="preserve">Egattur spt gents pg </v>
      </c>
      <c r="O289" s="4">
        <f>VLOOKUP(A289,Response!$A:$M,10,)</f>
        <v>4</v>
      </c>
      <c r="P289" t="str">
        <f>VLOOKUP(A289,Response!$A:$M,12,)</f>
        <v>No</v>
      </c>
      <c r="Q289" t="str">
        <f>VLOOKUP(A289,Response!$A:$M,11,)</f>
        <v>Egattur</v>
      </c>
      <c r="R289" t="s">
        <v>19</v>
      </c>
      <c r="S289" s="39" t="s">
        <v>37</v>
      </c>
    </row>
    <row r="290" spans="1:19">
      <c r="A290" s="3">
        <v>2522855</v>
      </c>
      <c r="B290" t="str">
        <f>VLOOKUP(A290,File!$A:$J,2,FALSE)</f>
        <v>Naren G K</v>
      </c>
      <c r="C290" s="29">
        <f>VLOOKUP(A290,File!$A:$J,5,FALSE)</f>
        <v>46217</v>
      </c>
      <c r="D290" s="29" t="str">
        <f>VLOOKUP(A290,File!$A:$J,3,FALSE)</f>
        <v>Male</v>
      </c>
      <c r="E290" s="29" t="str">
        <f>VLOOKUP(A290,File!$A:$J,4,FALSE)</f>
        <v>FTE</v>
      </c>
      <c r="F290" s="29" t="str">
        <f>VLOOKUP(A290,File!$A:$J,6,FALSE)</f>
        <v>Chennai</v>
      </c>
      <c r="G290" s="29" t="str">
        <f>VLOOKUP(A290,File!$A:$J,7,FALSE)</f>
        <v>CIS26MCPT017</v>
      </c>
      <c r="H290" s="29" t="str">
        <f>VLOOKUP(A290,File!$A:$J,8,FALSE)</f>
        <v>Haritha P</v>
      </c>
      <c r="I290" s="31">
        <f>VLOOKUP(A290,File!$A:$J,9,FALSE)</f>
        <v>46335</v>
      </c>
      <c r="J290" s="31" t="str">
        <f>VLOOKUP(A290,File!$A:$K,11,FALSE)</f>
        <v>Nov 2026</v>
      </c>
      <c r="K290" s="31" t="str">
        <f>VLOOKUP(A290,File!$A:$K,10,FALSE)</f>
        <v>In-Training</v>
      </c>
      <c r="L290" s="31" t="s">
        <v>4</v>
      </c>
      <c r="M290" t="str">
        <f>VLOOKUP(A290,Response!$A:$M,7,)</f>
        <v>PG (Paying Guest)</v>
      </c>
      <c r="N290" t="str">
        <f>VLOOKUP(A290,Response!$A:$M,8,)</f>
        <v>Elite Stays PG</v>
      </c>
      <c r="O290" s="4">
        <f>VLOOKUP(A290,Response!$A:$M,10,)</f>
        <v>2</v>
      </c>
      <c r="P290" t="str">
        <f>VLOOKUP(A290,Response!$A:$M,12,)</f>
        <v>No</v>
      </c>
      <c r="Q290" t="str">
        <f>VLOOKUP(A290,Response!$A:$M,11,)</f>
        <v>Siruseri</v>
      </c>
      <c r="R290" t="s">
        <v>19</v>
      </c>
      <c r="S290" s="39" t="s">
        <v>37</v>
      </c>
    </row>
    <row r="291" spans="1:19">
      <c r="A291" s="3">
        <v>2523422</v>
      </c>
      <c r="B291" t="str">
        <f>VLOOKUP(A291,File!$A:$J,2,FALSE)</f>
        <v>Hanush Kumar M</v>
      </c>
      <c r="C291" s="29">
        <f>VLOOKUP(A291,File!$A:$J,5,FALSE)</f>
        <v>46219</v>
      </c>
      <c r="D291" s="29" t="str">
        <f>VLOOKUP(A291,File!$A:$J,3,FALSE)</f>
        <v>Male</v>
      </c>
      <c r="E291" s="29" t="str">
        <f>VLOOKUP(A291,File!$A:$J,4,FALSE)</f>
        <v>FTE</v>
      </c>
      <c r="F291" s="29" t="str">
        <f>VLOOKUP(A291,File!$A:$J,6,FALSE)</f>
        <v>Chennai</v>
      </c>
      <c r="G291" s="29" t="str">
        <f>VLOOKUP(A291,File!$A:$J,7,FALSE)</f>
        <v>CS26CS009</v>
      </c>
      <c r="H291" s="29" t="str">
        <f>VLOOKUP(A291,File!$A:$J,8,FALSE)</f>
        <v>Laksiya Vijayendran</v>
      </c>
      <c r="I291" s="31">
        <f>VLOOKUP(A291,File!$A:$J,9,FALSE)</f>
        <v>46309</v>
      </c>
      <c r="J291" s="31" t="str">
        <f>VLOOKUP(A291,File!$A:$K,11,FALSE)</f>
        <v>Oct 2026</v>
      </c>
      <c r="K291" s="31" t="str">
        <f>VLOOKUP(A291,File!$A:$K,10,FALSE)</f>
        <v>In-Training</v>
      </c>
      <c r="L291" s="31" t="s">
        <v>4</v>
      </c>
      <c r="M291" t="str">
        <f>VLOOKUP(A291,Response!$A:$M,7,)</f>
        <v>PG (Paying Guest)</v>
      </c>
      <c r="N291" t="str">
        <f>VLOOKUP(A291,Response!$A:$M,8,)</f>
        <v>Elite Stays pg, pudhupakkam</v>
      </c>
      <c r="O291" s="4">
        <f>VLOOKUP(A291,Response!$A:$M,10,)</f>
        <v>2</v>
      </c>
      <c r="P291" t="str">
        <f>VLOOKUP(A291,Response!$A:$M,12,)</f>
        <v>Yes</v>
      </c>
      <c r="Q291" t="str">
        <f>VLOOKUP(A291,Response!$A:$M,11,)</f>
        <v>pudhupakkam</v>
      </c>
      <c r="R291" t="s">
        <v>21</v>
      </c>
      <c r="S291" s="39" t="s">
        <v>37</v>
      </c>
    </row>
    <row r="292" spans="1:19">
      <c r="A292" s="3">
        <v>2519833</v>
      </c>
      <c r="B292" t="str">
        <f>VLOOKUP(A292,File!$A:$J,2,FALSE)</f>
        <v>Payel Chakraborty</v>
      </c>
      <c r="C292" s="29">
        <f>VLOOKUP(A292,File!$A:$J,5,FALSE)</f>
        <v>46205</v>
      </c>
      <c r="D292" s="29" t="str">
        <f>VLOOKUP(A292,File!$A:$J,3,FALSE)</f>
        <v>Female</v>
      </c>
      <c r="E292" s="29" t="str">
        <f>VLOOKUP(A292,File!$A:$J,4,FALSE)</f>
        <v>FTE</v>
      </c>
      <c r="F292" s="29" t="str">
        <f>VLOOKUP(A292,File!$A:$J,6,FALSE)</f>
        <v>Chennai</v>
      </c>
      <c r="G292" s="29" t="str">
        <f>VLOOKUP(A292,File!$A:$J,7,FALSE)</f>
        <v>CIS26DWP021</v>
      </c>
      <c r="H292" s="29" t="str">
        <f>VLOOKUP(A292,File!$A:$J,8,FALSE)</f>
        <v>Laksiya Vijayendran</v>
      </c>
      <c r="I292" s="31">
        <f>VLOOKUP(A292,File!$A:$J,9,FALSE)</f>
        <v>46272</v>
      </c>
      <c r="J292" s="31" t="str">
        <f>VLOOKUP(A292,File!$A:$K,11,FALSE)</f>
        <v>Sep 2026</v>
      </c>
      <c r="K292" s="31" t="str">
        <f>VLOOKUP(A292,File!$A:$K,10,FALSE)</f>
        <v>In-Training</v>
      </c>
      <c r="L292" s="31" t="s">
        <v>5</v>
      </c>
      <c r="M292" t="str">
        <f>VLOOKUP(A292,Response!$A:$M,7,)</f>
        <v>Rented House/Apartment</v>
      </c>
      <c r="N292" t="str">
        <f>VLOOKUP(A292,Response!$A:$M,8,)</f>
        <v>Estancia township, SRM nagar,GUDUVANCHERY</v>
      </c>
      <c r="O292" s="4">
        <f>VLOOKUP(A292,Response!$A:$M,10,)</f>
        <v>10</v>
      </c>
      <c r="P292" t="str">
        <f>VLOOKUP(A292,Response!$A:$M,12,)</f>
        <v>Yes</v>
      </c>
      <c r="Q292" t="str">
        <f>VLOOKUP(A292,Response!$A:$M,11,)</f>
        <v>Tambaram</v>
      </c>
      <c r="R292" t="s">
        <v>63</v>
      </c>
      <c r="S292" t="s">
        <v>38</v>
      </c>
    </row>
    <row r="293" spans="1:19">
      <c r="A293" s="3">
        <v>2531867</v>
      </c>
      <c r="B293" t="str">
        <f>VLOOKUP(A293,File!$A:$J,2,FALSE)</f>
        <v>Raghav Chopra</v>
      </c>
      <c r="C293" s="29">
        <f>VLOOKUP(A293,File!$A:$J,5,FALSE)</f>
        <v>46254</v>
      </c>
      <c r="D293" s="29" t="str">
        <f>VLOOKUP(A293,File!$A:$J,3,FALSE)</f>
        <v>Male</v>
      </c>
      <c r="E293" s="29" t="str">
        <f>VLOOKUP(A293,File!$A:$J,4,FALSE)</f>
        <v>FTE</v>
      </c>
      <c r="F293" s="29" t="str">
        <f>VLOOKUP(A293,File!$A:$J,6,FALSE)</f>
        <v>Chennai</v>
      </c>
      <c r="G293" s="29" t="str">
        <f>VLOOKUP(A293,File!$A:$J,7,FALSE)</f>
        <v>CS26CS011</v>
      </c>
      <c r="H293" s="29" t="str">
        <f>VLOOKUP(A293,File!$A:$J,8,FALSE)</f>
        <v>Kishorekumar P</v>
      </c>
      <c r="I293" s="31">
        <f>VLOOKUP(A293,File!$A:$J,9,FALSE)</f>
        <v>46343</v>
      </c>
      <c r="J293" s="31" t="str">
        <f>VLOOKUP(A293,File!$A:$K,11,FALSE)</f>
        <v>Nov 2026</v>
      </c>
      <c r="K293" s="31" t="str">
        <f>VLOOKUP(A293,File!$A:$K,10,FALSE)</f>
        <v>In-Training</v>
      </c>
      <c r="L293" s="31" t="s">
        <v>4</v>
      </c>
      <c r="M293" t="str">
        <f>VLOOKUP(A293,Response!$A:$M,7,)</f>
        <v>PG (Paying Guest)</v>
      </c>
      <c r="N293" t="str">
        <f>VLOOKUP(A293,Response!$A:$M,8,)</f>
        <v>F5 stays Mens PG</v>
      </c>
      <c r="O293" s="4">
        <f>VLOOKUP(A293,Response!$A:$M,10,)</f>
        <v>1</v>
      </c>
      <c r="P293" t="str">
        <f>VLOOKUP(A293,Response!$A:$M,12,)</f>
        <v>No</v>
      </c>
      <c r="Q293" t="str">
        <f>VLOOKUP(A293,Response!$A:$M,11,)</f>
        <v>Navalur</v>
      </c>
      <c r="R293" t="s">
        <v>19</v>
      </c>
      <c r="S293" s="39" t="s">
        <v>37</v>
      </c>
    </row>
    <row r="294" spans="1:19">
      <c r="A294" s="3">
        <v>2511278</v>
      </c>
      <c r="B294" t="str">
        <f>VLOOKUP(A294,File!$A:$J,2,FALSE)</f>
        <v>Mohan M</v>
      </c>
      <c r="C294" s="29">
        <f>VLOOKUP(A294,File!$A:$J,5,FALSE)</f>
        <v>46163</v>
      </c>
      <c r="D294" s="29" t="str">
        <f>VLOOKUP(A294,File!$A:$J,3,FALSE)</f>
        <v>Male</v>
      </c>
      <c r="E294" s="29" t="str">
        <f>VLOOKUP(A294,File!$A:$J,4,FALSE)</f>
        <v>FTE</v>
      </c>
      <c r="F294" s="29" t="str">
        <f>VLOOKUP(A294,File!$A:$J,6,FALSE)</f>
        <v>Chennai</v>
      </c>
      <c r="G294" s="29" t="str">
        <f>VLOOKUP(A294,File!$A:$J,7,FALSE)</f>
        <v>CIS26MCPT010</v>
      </c>
      <c r="H294" s="29" t="str">
        <f>VLOOKUP(A294,File!$A:$J,8,FALSE)</f>
        <v>Mohamed Harish</v>
      </c>
      <c r="I294" s="31">
        <f>VLOOKUP(A294,File!$A:$J,9,FALSE)</f>
        <v>46280</v>
      </c>
      <c r="J294" s="31" t="str">
        <f>VLOOKUP(A294,File!$A:$K,11,FALSE)</f>
        <v>Sep 2026</v>
      </c>
      <c r="K294" s="31" t="str">
        <f>VLOOKUP(A294,File!$A:$K,10,FALSE)</f>
        <v>In-Training</v>
      </c>
      <c r="L294" s="31" t="s">
        <v>5</v>
      </c>
      <c r="M294" t="str">
        <f>VLOOKUP(A294,Response!$A:$M,7,)</f>
        <v>Permanent Residence (House/Home)</v>
      </c>
      <c r="N294" t="str">
        <f>VLOOKUP(A294,Response!$A:$M,8,)</f>
        <v>flat no 3,ramalingam nagar, chinammal nagar</v>
      </c>
      <c r="O294" s="4">
        <f>VLOOKUP(A294,Response!$A:$M,10,)</f>
        <v>1</v>
      </c>
      <c r="P294" t="str">
        <f>VLOOKUP(A294,Response!$A:$M,12,)</f>
        <v>No</v>
      </c>
      <c r="Q294" t="str">
        <f>VLOOKUP(A294,Response!$A:$M,11,)</f>
        <v>puzhuthivakkam</v>
      </c>
      <c r="S294" t="s">
        <v>38</v>
      </c>
    </row>
    <row r="295" spans="1:19">
      <c r="A295" s="3">
        <v>2521823</v>
      </c>
      <c r="B295" t="str">
        <f>VLOOKUP(A295,File!$A:$J,2,FALSE)</f>
        <v>Yernaidu Pothala</v>
      </c>
      <c r="C295" s="29">
        <f>VLOOKUP(A295,File!$A:$J,5,FALSE)</f>
        <v>46212</v>
      </c>
      <c r="D295" s="29" t="str">
        <f>VLOOKUP(A295,File!$A:$J,3,FALSE)</f>
        <v>Male</v>
      </c>
      <c r="E295" s="29" t="str">
        <f>VLOOKUP(A295,File!$A:$J,4,FALSE)</f>
        <v>FTE</v>
      </c>
      <c r="F295" s="29" t="str">
        <f>VLOOKUP(A295,File!$A:$J,6,FALSE)</f>
        <v>Chennai</v>
      </c>
      <c r="G295" s="29" t="str">
        <f>VLOOKUP(A295,File!$A:$J,7,FALSE)</f>
        <v>AIA26DSAT004</v>
      </c>
      <c r="H295" s="29" t="str">
        <f>VLOOKUP(A295,File!$A:$J,8,FALSE)</f>
        <v>Pavithra Kandasamy</v>
      </c>
      <c r="I295" s="31">
        <f>VLOOKUP(A295,File!$A:$J,9,FALSE)</f>
        <v>46304</v>
      </c>
      <c r="J295" s="31" t="str">
        <f>VLOOKUP(A295,File!$A:$K,11,FALSE)</f>
        <v>Oct 2026</v>
      </c>
      <c r="K295" s="31" t="str">
        <f>VLOOKUP(A295,File!$A:$K,10,FALSE)</f>
        <v>In-Training</v>
      </c>
      <c r="L295" s="31" t="s">
        <v>4</v>
      </c>
      <c r="M295" t="str">
        <f>VLOOKUP(A295,Response!$A:$M,7,)</f>
        <v>PG (Paying Guest)</v>
      </c>
      <c r="N295" t="str">
        <f>VLOOKUP(A295,Response!$A:$M,8,)</f>
        <v>Gaya gents Stays PG for men</v>
      </c>
      <c r="O295" s="4">
        <f>VLOOKUP(A295,Response!$A:$M,10,)</f>
        <v>4</v>
      </c>
      <c r="P295" t="str">
        <f>VLOOKUP(A295,Response!$A:$M,12,)</f>
        <v>Yes</v>
      </c>
      <c r="Q295" t="str">
        <f>VLOOKUP(A295,Response!$A:$M,11,)</f>
        <v>Navalur</v>
      </c>
      <c r="R295" t="s">
        <v>19</v>
      </c>
      <c r="S295" s="39" t="s">
        <v>37</v>
      </c>
    </row>
    <row r="296" spans="1:19">
      <c r="A296" s="3">
        <v>2524535</v>
      </c>
      <c r="B296" t="str">
        <f>VLOOKUP(A296,File!$A:$J,2,FALSE)</f>
        <v>Shashank Suman</v>
      </c>
      <c r="C296" s="29">
        <f>VLOOKUP(A296,File!$A:$J,5,FALSE)</f>
        <v>46224</v>
      </c>
      <c r="D296" s="29" t="str">
        <f>VLOOKUP(A296,File!$A:$J,3,FALSE)</f>
        <v>Male</v>
      </c>
      <c r="E296" s="29" t="str">
        <f>VLOOKUP(A296,File!$A:$J,4,FALSE)</f>
        <v>FTE</v>
      </c>
      <c r="F296" s="29" t="str">
        <f>VLOOKUP(A296,File!$A:$J,6,FALSE)</f>
        <v>Chennai</v>
      </c>
      <c r="G296" s="29" t="str">
        <f>VLOOKUP(A296,File!$A:$J,7,FALSE)</f>
        <v>ADM26MF012</v>
      </c>
      <c r="H296" s="29" t="str">
        <f>VLOOKUP(A296,File!$A:$J,8,FALSE)</f>
        <v>Lourdhu Selvin Raj X</v>
      </c>
      <c r="I296" s="31">
        <f>VLOOKUP(A296,File!$A:$J,9,FALSE)</f>
        <v>46343</v>
      </c>
      <c r="J296" s="31" t="str">
        <f>VLOOKUP(A296,File!$A:$K,11,FALSE)</f>
        <v>Nov 2026</v>
      </c>
      <c r="K296" s="31" t="str">
        <f>VLOOKUP(A296,File!$A:$K,10,FALSE)</f>
        <v>In-Training</v>
      </c>
      <c r="L296" s="31" t="s">
        <v>4</v>
      </c>
      <c r="M296" t="str">
        <f>VLOOKUP(A296,Response!$A:$M,7,)</f>
        <v>PG (Paying Guest)</v>
      </c>
      <c r="N296" t="str">
        <f>VLOOKUP(A296,Response!$A:$M,8,)</f>
        <v>Geethika Grand Gents PG</v>
      </c>
      <c r="O296" s="4">
        <f>VLOOKUP(A296,Response!$A:$M,10,)</f>
        <v>2</v>
      </c>
      <c r="P296" t="str">
        <f>VLOOKUP(A296,Response!$A:$M,12,)</f>
        <v>No</v>
      </c>
      <c r="Q296" t="str">
        <f>VLOOKUP(A296,Response!$A:$M,11,)</f>
        <v>Siruseri</v>
      </c>
      <c r="R296" t="s">
        <v>19</v>
      </c>
      <c r="S296" s="39" t="s">
        <v>37</v>
      </c>
    </row>
    <row r="297" spans="1:19">
      <c r="A297" s="3">
        <v>2533063</v>
      </c>
      <c r="B297" t="str">
        <f>VLOOKUP(A297,File!$A:$J,2,FALSE)</f>
        <v>Ajay Raju Karthaka</v>
      </c>
      <c r="C297" s="29">
        <f>VLOOKUP(A297,File!$A:$J,5,FALSE)</f>
        <v>46259</v>
      </c>
      <c r="D297" s="29" t="str">
        <f>VLOOKUP(A297,File!$A:$J,3,FALSE)</f>
        <v>Male</v>
      </c>
      <c r="E297" s="29" t="str">
        <f>VLOOKUP(A297,File!$A:$J,4,FALSE)</f>
        <v>FTE</v>
      </c>
      <c r="F297" s="29" t="str">
        <f>VLOOKUP(A297,File!$A:$J,6,FALSE)</f>
        <v>Chennai</v>
      </c>
      <c r="G297" s="29" t="str">
        <f>VLOOKUP(A297,File!$A:$J,7,FALSE)</f>
        <v>ADM27DFSA001</v>
      </c>
      <c r="H297" s="29" t="str">
        <f>VLOOKUP(A297,File!$A:$J,8,FALSE)</f>
        <v>Thomas Naveen. J</v>
      </c>
      <c r="I297" s="31">
        <f>VLOOKUP(A297,File!$A:$J,9,FALSE)</f>
        <v>46386</v>
      </c>
      <c r="J297" s="31" t="str">
        <f>VLOOKUP(A297,File!$A:$K,11,FALSE)</f>
        <v>Dec 2026</v>
      </c>
      <c r="K297" s="31" t="str">
        <f>VLOOKUP(A297,File!$A:$K,10,FALSE)</f>
        <v>In-Training</v>
      </c>
      <c r="L297" s="31" t="s">
        <v>4</v>
      </c>
      <c r="M297" t="str">
        <f>VLOOKUP(A297,Response!$A:$M,7,)</f>
        <v>PG (Paying Guest)</v>
      </c>
      <c r="N297" t="str">
        <f>VLOOKUP(A297,Response!$A:$M,8,)</f>
        <v>Geethika Grand Gents PG</v>
      </c>
      <c r="O297" s="4">
        <f>VLOOKUP(A297,Response!$A:$M,10,)</f>
        <v>2</v>
      </c>
      <c r="P297" t="str">
        <f>VLOOKUP(A297,Response!$A:$M,12,)</f>
        <v>No</v>
      </c>
      <c r="Q297" t="str">
        <f>VLOOKUP(A297,Response!$A:$M,11,)</f>
        <v>SIPCOT IT Park</v>
      </c>
      <c r="R297" t="s">
        <v>19</v>
      </c>
      <c r="S297" s="39" t="s">
        <v>37</v>
      </c>
    </row>
    <row r="298" spans="1:19">
      <c r="A298" s="3">
        <v>2529721</v>
      </c>
      <c r="B298" t="str">
        <f>VLOOKUP(A298,File!$A:$J,2,FALSE)</f>
        <v>Amjuri Kanaka Harish</v>
      </c>
      <c r="C298" s="29">
        <f>VLOOKUP(A298,File!$A:$J,5,FALSE)</f>
        <v>46245</v>
      </c>
      <c r="D298" s="29" t="str">
        <f>VLOOKUP(A298,File!$A:$J,3,FALSE)</f>
        <v>Male</v>
      </c>
      <c r="E298" s="29" t="str">
        <f>VLOOKUP(A298,File!$A:$J,4,FALSE)</f>
        <v>FTE</v>
      </c>
      <c r="F298" s="29" t="str">
        <f>VLOOKUP(A298,File!$A:$J,6,FALSE)</f>
        <v>Chennai</v>
      </c>
      <c r="G298" s="29" t="str">
        <f>VLOOKUP(A298,File!$A:$J,7,FALSE)</f>
        <v>CIS26AZ001</v>
      </c>
      <c r="H298" s="29" t="str">
        <f>VLOOKUP(A298,File!$A:$J,8,FALSE)</f>
        <v>Ashiya Begam S</v>
      </c>
      <c r="I298" s="31">
        <f>VLOOKUP(A298,File!$A:$J,9,FALSE)</f>
        <v>46335</v>
      </c>
      <c r="J298" s="31" t="str">
        <f>VLOOKUP(A298,File!$A:$K,11,FALSE)</f>
        <v>Nov 2026</v>
      </c>
      <c r="K298" s="31" t="str">
        <f>VLOOKUP(A298,File!$A:$K,10,FALSE)</f>
        <v>In-Training</v>
      </c>
      <c r="L298" s="31" t="s">
        <v>4</v>
      </c>
      <c r="M298" t="str">
        <f>VLOOKUP(A298,Response!$A:$M,7,)</f>
        <v>PG (Paying Guest)</v>
      </c>
      <c r="N298" t="str">
        <f>VLOOKUP(A298,Response!$A:$M,8,)</f>
        <v>Geethika Grand Gents PG</v>
      </c>
      <c r="O298" s="4">
        <f>VLOOKUP(A298,Response!$A:$M,10,)</f>
        <v>2</v>
      </c>
      <c r="P298" t="str">
        <f>VLOOKUP(A298,Response!$A:$M,12,)</f>
        <v>No</v>
      </c>
      <c r="Q298" t="str">
        <f>VLOOKUP(A298,Response!$A:$M,11,)</f>
        <v>Siruseri</v>
      </c>
      <c r="R298" t="s">
        <v>19</v>
      </c>
      <c r="S298" s="39" t="s">
        <v>37</v>
      </c>
    </row>
    <row r="299" spans="1:19">
      <c r="A299" s="3">
        <v>2529544</v>
      </c>
      <c r="B299" t="str">
        <f>VLOOKUP(A299,File!$A:$J,2,FALSE)</f>
        <v>Piyush Kumar</v>
      </c>
      <c r="C299" s="29">
        <f>VLOOKUP(A299,File!$A:$J,5,FALSE)</f>
        <v>46245</v>
      </c>
      <c r="D299" s="29" t="str">
        <f>VLOOKUP(A299,File!$A:$J,3,FALSE)</f>
        <v>Male</v>
      </c>
      <c r="E299" s="29" t="str">
        <f>VLOOKUP(A299,File!$A:$J,4,FALSE)</f>
        <v>FTE</v>
      </c>
      <c r="F299" s="29" t="str">
        <f>VLOOKUP(A299,File!$A:$J,6,FALSE)</f>
        <v>Chennai</v>
      </c>
      <c r="G299" s="29" t="str">
        <f>VLOOKUP(A299,File!$A:$J,7,FALSE)</f>
        <v>CIS26MCPT021</v>
      </c>
      <c r="H299" s="29" t="str">
        <f>VLOOKUP(A299,File!$A:$J,8,FALSE)</f>
        <v>Uma Venkatachalam</v>
      </c>
      <c r="I299" s="31">
        <f>VLOOKUP(A299,File!$A:$J,9,FALSE)</f>
        <v>46364</v>
      </c>
      <c r="J299" s="31" t="str">
        <f>VLOOKUP(A299,File!$A:$K,11,FALSE)</f>
        <v>Dec 2026</v>
      </c>
      <c r="K299" s="31" t="str">
        <f>VLOOKUP(A299,File!$A:$K,10,FALSE)</f>
        <v>In-Training</v>
      </c>
      <c r="L299" s="31" t="s">
        <v>4</v>
      </c>
      <c r="M299" t="str">
        <f>VLOOKUP(A299,Response!$A:$M,7,)</f>
        <v>PG (Paying Guest)</v>
      </c>
      <c r="N299" t="str">
        <f>VLOOKUP(A299,Response!$A:$M,8,)</f>
        <v>Geethika Grand Gents PG</v>
      </c>
      <c r="O299" s="4">
        <f>VLOOKUP(A299,Response!$A:$M,10,)</f>
        <v>2</v>
      </c>
      <c r="P299" t="str">
        <f>VLOOKUP(A299,Response!$A:$M,12,)</f>
        <v>No</v>
      </c>
      <c r="Q299" t="str">
        <f>VLOOKUP(A299,Response!$A:$M,11,)</f>
        <v>Siruseri</v>
      </c>
      <c r="R299" t="s">
        <v>19</v>
      </c>
      <c r="S299" s="39" t="s">
        <v>37</v>
      </c>
    </row>
    <row r="300" spans="1:19">
      <c r="A300" s="3">
        <v>2529720</v>
      </c>
      <c r="B300" t="str">
        <f>VLOOKUP(A300,File!$A:$J,2,FALSE)</f>
        <v>Dontamsetti Sesha Sai</v>
      </c>
      <c r="C300" s="29">
        <f>VLOOKUP(A300,File!$A:$J,5,FALSE)</f>
        <v>46245</v>
      </c>
      <c r="D300" s="29" t="str">
        <f>VLOOKUP(A300,File!$A:$J,3,FALSE)</f>
        <v>Male</v>
      </c>
      <c r="E300" s="29" t="str">
        <f>VLOOKUP(A300,File!$A:$J,4,FALSE)</f>
        <v>FTE</v>
      </c>
      <c r="F300" s="29" t="str">
        <f>VLOOKUP(A300,File!$A:$J,6,FALSE)</f>
        <v>Chennai</v>
      </c>
      <c r="G300" s="29" t="str">
        <f>VLOOKUP(A300,File!$A:$J,7,FALSE)</f>
        <v>CIS26AZ001</v>
      </c>
      <c r="H300" s="29" t="str">
        <f>VLOOKUP(A300,File!$A:$J,8,FALSE)</f>
        <v>Ashiya Begam S</v>
      </c>
      <c r="I300" s="31">
        <f>VLOOKUP(A300,File!$A:$J,9,FALSE)</f>
        <v>46335</v>
      </c>
      <c r="J300" s="31" t="str">
        <f>VLOOKUP(A300,File!$A:$K,11,FALSE)</f>
        <v>Nov 2026</v>
      </c>
      <c r="K300" s="31" t="str">
        <f>VLOOKUP(A300,File!$A:$K,10,FALSE)</f>
        <v>In-Training</v>
      </c>
      <c r="L300" s="31" t="s">
        <v>4</v>
      </c>
      <c r="M300" t="str">
        <f>VLOOKUP(A300,Response!$A:$M,7,)</f>
        <v>PG (Paying Guest)</v>
      </c>
      <c r="N300" t="str">
        <f>VLOOKUP(A300,Response!$A:$M,8,)</f>
        <v>Geethika Grand Gents Pg</v>
      </c>
      <c r="O300" s="4">
        <f>VLOOKUP(A300,Response!$A:$M,10,)</f>
        <v>3</v>
      </c>
      <c r="P300" t="str">
        <f>VLOOKUP(A300,Response!$A:$M,12,)</f>
        <v>No</v>
      </c>
      <c r="Q300" t="str">
        <f>VLOOKUP(A300,Response!$A:$M,11,)</f>
        <v>Egattur</v>
      </c>
      <c r="R300" t="s">
        <v>19</v>
      </c>
      <c r="S300" s="39" t="s">
        <v>37</v>
      </c>
    </row>
    <row r="301" spans="1:19">
      <c r="A301" s="3">
        <v>2533077</v>
      </c>
      <c r="B301" t="str">
        <f>VLOOKUP(A301,File!$A:$J,2,FALSE)</f>
        <v>Ganesh Karri</v>
      </c>
      <c r="C301" s="29">
        <f>VLOOKUP(A301,File!$A:$J,5,FALSE)</f>
        <v>46259</v>
      </c>
      <c r="D301" s="29" t="str">
        <f>VLOOKUP(A301,File!$A:$J,3,FALSE)</f>
        <v>Male</v>
      </c>
      <c r="E301" s="29" t="str">
        <f>VLOOKUP(A301,File!$A:$J,4,FALSE)</f>
        <v>FTE</v>
      </c>
      <c r="F301" s="29" t="str">
        <f>VLOOKUP(A301,File!$A:$J,6,FALSE)</f>
        <v>Chennai</v>
      </c>
      <c r="G301" s="29" t="str">
        <f>VLOOKUP(A301,File!$A:$J,7,FALSE)</f>
        <v>ADM27DFSA001</v>
      </c>
      <c r="H301" s="29" t="str">
        <f>VLOOKUP(A301,File!$A:$J,8,FALSE)</f>
        <v>Thomas Naveen. J</v>
      </c>
      <c r="I301" s="31">
        <f>VLOOKUP(A301,File!$A:$J,9,FALSE)</f>
        <v>46386</v>
      </c>
      <c r="J301" s="31" t="str">
        <f>VLOOKUP(A301,File!$A:$K,11,FALSE)</f>
        <v>Dec 2026</v>
      </c>
      <c r="K301" s="31" t="str">
        <f>VLOOKUP(A301,File!$A:$K,10,FALSE)</f>
        <v>In-Training</v>
      </c>
      <c r="L301" s="31" t="s">
        <v>4</v>
      </c>
      <c r="M301" t="str">
        <f>VLOOKUP(A301,Response!$A:$M,7,)</f>
        <v>PG (Paying Guest)</v>
      </c>
      <c r="N301" t="str">
        <f>VLOOKUP(A301,Response!$A:$M,8,)</f>
        <v>Geethika Grand Gents PG</v>
      </c>
      <c r="O301" s="4">
        <f>VLOOKUP(A301,Response!$A:$M,10,)</f>
        <v>3</v>
      </c>
      <c r="P301" t="str">
        <f>VLOOKUP(A301,Response!$A:$M,12,)</f>
        <v>No</v>
      </c>
      <c r="Q301" t="str">
        <f>VLOOKUP(A301,Response!$A:$M,11,)</f>
        <v>Siruseri</v>
      </c>
      <c r="R301" t="s">
        <v>19</v>
      </c>
      <c r="S301" s="39" t="s">
        <v>37</v>
      </c>
    </row>
    <row r="302" spans="1:19">
      <c r="A302" s="3">
        <v>2531446</v>
      </c>
      <c r="B302" t="str">
        <f>VLOOKUP(A302,File!$A:$J,2,FALSE)</f>
        <v>Turlapati Sri Rithvik</v>
      </c>
      <c r="C302" s="29">
        <f>VLOOKUP(A302,File!$A:$J,5,FALSE)</f>
        <v>46252</v>
      </c>
      <c r="D302" s="29" t="str">
        <f>VLOOKUP(A302,File!$A:$J,3,FALSE)</f>
        <v>Male</v>
      </c>
      <c r="E302" s="29" t="str">
        <f>VLOOKUP(A302,File!$A:$J,4,FALSE)</f>
        <v>FTE</v>
      </c>
      <c r="F302" s="29" t="str">
        <f>VLOOKUP(A302,File!$A:$J,6,FALSE)</f>
        <v>Chennai</v>
      </c>
      <c r="G302" s="29" t="str">
        <f>VLOOKUP(A302,File!$A:$J,7,FALSE)</f>
        <v>CIS26AT007</v>
      </c>
      <c r="H302" s="29" t="str">
        <f>VLOOKUP(A302,File!$A:$J,8,FALSE)</f>
        <v>Uma Venkatachalam</v>
      </c>
      <c r="I302" s="31">
        <f>VLOOKUP(A302,File!$A:$J,9,FALSE)</f>
        <v>46365</v>
      </c>
      <c r="J302" s="31" t="str">
        <f>VLOOKUP(A302,File!$A:$K,11,FALSE)</f>
        <v>Dec 2026</v>
      </c>
      <c r="K302" s="31" t="str">
        <f>VLOOKUP(A302,File!$A:$K,10,FALSE)</f>
        <v>In-Training</v>
      </c>
      <c r="L302" s="31" t="s">
        <v>4</v>
      </c>
      <c r="M302" t="str">
        <f>VLOOKUP(A302,Response!$A:$M,7,)</f>
        <v>PG (Paying Guest)</v>
      </c>
      <c r="N302" t="str">
        <f>VLOOKUP(A302,Response!$A:$M,8,)</f>
        <v>Geethika grand gents PG</v>
      </c>
      <c r="O302" s="4">
        <f>VLOOKUP(A302,Response!$A:$M,10,)</f>
        <v>3</v>
      </c>
      <c r="P302" t="str">
        <f>VLOOKUP(A302,Response!$A:$M,12,)</f>
        <v>No</v>
      </c>
      <c r="Q302" t="str">
        <f>VLOOKUP(A302,Response!$A:$M,11,)</f>
        <v>Egattur</v>
      </c>
      <c r="R302" t="s">
        <v>19</v>
      </c>
      <c r="S302" s="39" t="s">
        <v>37</v>
      </c>
    </row>
    <row r="303" spans="1:19">
      <c r="A303" s="3">
        <v>2532909</v>
      </c>
      <c r="B303" t="str">
        <f>VLOOKUP(A303,File!$A:$J,2,FALSE)</f>
        <v>Rahul Dasi</v>
      </c>
      <c r="C303" s="29">
        <f>VLOOKUP(A303,File!$A:$J,5,FALSE)</f>
        <v>46259</v>
      </c>
      <c r="D303" s="29" t="str">
        <f>VLOOKUP(A303,File!$A:$J,3,FALSE)</f>
        <v>Male</v>
      </c>
      <c r="E303" s="29" t="str">
        <f>VLOOKUP(A303,File!$A:$J,4,FALSE)</f>
        <v>FTE</v>
      </c>
      <c r="F303" s="29" t="str">
        <f>VLOOKUP(A303,File!$A:$J,6,FALSE)</f>
        <v>Chennai</v>
      </c>
      <c r="G303" s="29" t="str">
        <f>VLOOKUP(A303,File!$A:$J,7,FALSE)</f>
        <v>IOT26CSJ002</v>
      </c>
      <c r="H303" s="29" t="str">
        <f>VLOOKUP(A303,File!$A:$J,8,FALSE)</f>
        <v>Pavithra Kandasamy</v>
      </c>
      <c r="I303" s="31">
        <f>VLOOKUP(A303,File!$A:$J,9,FALSE)</f>
        <v>46337</v>
      </c>
      <c r="J303" s="31" t="str">
        <f>VLOOKUP(A303,File!$A:$K,11,FALSE)</f>
        <v>Nov 2026</v>
      </c>
      <c r="K303" s="31" t="str">
        <f>VLOOKUP(A303,File!$A:$K,10,FALSE)</f>
        <v>In-Training</v>
      </c>
      <c r="L303" s="31" t="s">
        <v>4</v>
      </c>
      <c r="M303" t="str">
        <f>VLOOKUP(A303,Response!$A:$M,7,)</f>
        <v>PG (Paying Guest)</v>
      </c>
      <c r="N303" t="str">
        <f>VLOOKUP(A303,Response!$A:$M,8,)</f>
        <v>Geethika Grand Gents PG</v>
      </c>
      <c r="O303" s="4">
        <f>VLOOKUP(A303,Response!$A:$M,10,)</f>
        <v>3</v>
      </c>
      <c r="P303" t="str">
        <f>VLOOKUP(A303,Response!$A:$M,12,)</f>
        <v>No</v>
      </c>
      <c r="Q303" t="str">
        <f>VLOOKUP(A303,Response!$A:$M,11,)</f>
        <v>Siruseri</v>
      </c>
      <c r="R303" t="s">
        <v>19</v>
      </c>
      <c r="S303" s="39" t="s">
        <v>37</v>
      </c>
    </row>
    <row r="304" spans="1:19">
      <c r="A304" s="3">
        <v>2532947</v>
      </c>
      <c r="B304" t="str">
        <f>VLOOKUP(A304,File!$A:$J,2,FALSE)</f>
        <v>G Vamshi Kumar</v>
      </c>
      <c r="C304" s="29">
        <f>VLOOKUP(A304,File!$A:$J,5,FALSE)</f>
        <v>46259</v>
      </c>
      <c r="D304" s="29" t="str">
        <f>VLOOKUP(A304,File!$A:$J,3,FALSE)</f>
        <v>Male</v>
      </c>
      <c r="E304" s="29" t="str">
        <f>VLOOKUP(A304,File!$A:$J,4,FALSE)</f>
        <v>FTE</v>
      </c>
      <c r="F304" s="29" t="str">
        <f>VLOOKUP(A304,File!$A:$J,6,FALSE)</f>
        <v>Chennai</v>
      </c>
      <c r="G304" s="29" t="str">
        <f>VLOOKUP(A304,File!$A:$J,7,FALSE)</f>
        <v>CIS26MBG003</v>
      </c>
      <c r="H304" s="29" t="str">
        <f>VLOOKUP(A304,File!$A:$J,8,FALSE)</f>
        <v>Kishorekumar P</v>
      </c>
      <c r="I304" s="31">
        <f>VLOOKUP(A304,File!$A:$J,9,FALSE)</f>
        <v>46367</v>
      </c>
      <c r="J304" s="31" t="str">
        <f>VLOOKUP(A304,File!$A:$K,11,FALSE)</f>
        <v>Dec 2026</v>
      </c>
      <c r="K304" s="31" t="str">
        <f>VLOOKUP(A304,File!$A:$K,10,FALSE)</f>
        <v>In-Training</v>
      </c>
      <c r="L304" s="31" t="s">
        <v>4</v>
      </c>
      <c r="M304" t="str">
        <f>VLOOKUP(A304,Response!$A:$M,7,)</f>
        <v>PG (Paying Guest)</v>
      </c>
      <c r="N304" t="str">
        <f>VLOOKUP(A304,Response!$A:$M,8,)</f>
        <v>Geethika Grand Gents PG</v>
      </c>
      <c r="O304" s="4">
        <f>VLOOKUP(A304,Response!$A:$M,10,)</f>
        <v>3</v>
      </c>
      <c r="P304" t="str">
        <f>VLOOKUP(A304,Response!$A:$M,12,)</f>
        <v>No</v>
      </c>
      <c r="Q304" t="str">
        <f>VLOOKUP(A304,Response!$A:$M,11,)</f>
        <v>Siruseri</v>
      </c>
      <c r="R304" t="s">
        <v>19</v>
      </c>
      <c r="S304" s="39" t="s">
        <v>37</v>
      </c>
    </row>
    <row r="305" spans="1:19">
      <c r="A305" s="3">
        <v>2533024</v>
      </c>
      <c r="B305" t="str">
        <f>VLOOKUP(A305,File!$A:$J,2,FALSE)</f>
        <v>Appalabhaktula Kumar Naga Abhinav Shyam</v>
      </c>
      <c r="C305" s="29">
        <f>VLOOKUP(A305,File!$A:$J,5,FALSE)</f>
        <v>46259</v>
      </c>
      <c r="D305" s="29" t="str">
        <f>VLOOKUP(A305,File!$A:$J,3,FALSE)</f>
        <v>Male</v>
      </c>
      <c r="E305" s="29" t="str">
        <f>VLOOKUP(A305,File!$A:$J,4,FALSE)</f>
        <v>FTE</v>
      </c>
      <c r="F305" s="29" t="str">
        <f>VLOOKUP(A305,File!$A:$J,6,FALSE)</f>
        <v>Chennai</v>
      </c>
      <c r="G305" s="29" t="str">
        <f>VLOOKUP(A305,File!$A:$J,7,FALSE)</f>
        <v>CIS26AT008</v>
      </c>
      <c r="H305" s="29" t="str">
        <f>VLOOKUP(A305,File!$A:$J,8,FALSE)</f>
        <v>Uma Venkatachalam</v>
      </c>
      <c r="I305" s="31">
        <f>VLOOKUP(A305,File!$A:$J,9,FALSE)</f>
        <v>46365</v>
      </c>
      <c r="J305" s="31" t="str">
        <f>VLOOKUP(A305,File!$A:$K,11,FALSE)</f>
        <v>Dec 2026</v>
      </c>
      <c r="K305" s="31" t="str">
        <f>VLOOKUP(A305,File!$A:$K,10,FALSE)</f>
        <v>In-Training</v>
      </c>
      <c r="L305" s="31" t="s">
        <v>4</v>
      </c>
      <c r="M305" t="str">
        <f>VLOOKUP(A305,Response!$A:$M,7,)</f>
        <v>PG (Paying Guest)</v>
      </c>
      <c r="N305" t="str">
        <f>VLOOKUP(A305,Response!$A:$M,8,)</f>
        <v>Geethika grand gents pg</v>
      </c>
      <c r="O305" s="4">
        <f>VLOOKUP(A305,Response!$A:$M,10,)</f>
        <v>3</v>
      </c>
      <c r="P305" t="str">
        <f>VLOOKUP(A305,Response!$A:$M,12,)</f>
        <v>No</v>
      </c>
      <c r="Q305" t="str">
        <f>VLOOKUP(A305,Response!$A:$M,11,)</f>
        <v>Siruseri</v>
      </c>
      <c r="R305" t="s">
        <v>19</v>
      </c>
      <c r="S305" s="39" t="s">
        <v>37</v>
      </c>
    </row>
    <row r="306" spans="1:19">
      <c r="A306" s="3">
        <v>2519636</v>
      </c>
      <c r="B306" t="str">
        <f>VLOOKUP(A306,File!$A:$J,2,FALSE)</f>
        <v>Mugilan R</v>
      </c>
      <c r="C306" s="29">
        <f>VLOOKUP(A306,File!$A:$J,5,FALSE)</f>
        <v>46205</v>
      </c>
      <c r="D306" s="29" t="str">
        <f>VLOOKUP(A306,File!$A:$J,3,FALSE)</f>
        <v>Male</v>
      </c>
      <c r="E306" s="29" t="str">
        <f>VLOOKUP(A306,File!$A:$J,4,FALSE)</f>
        <v>FTE</v>
      </c>
      <c r="F306" s="29" t="str">
        <f>VLOOKUP(A306,File!$A:$J,6,FALSE)</f>
        <v>Chennai</v>
      </c>
      <c r="G306" s="29" t="str">
        <f>VLOOKUP(A306,File!$A:$J,7,FALSE)</f>
        <v>CIS26DWP021</v>
      </c>
      <c r="H306" s="29" t="str">
        <f>VLOOKUP(A306,File!$A:$J,8,FALSE)</f>
        <v>Laksiya Vijayendran</v>
      </c>
      <c r="I306" s="31">
        <f>VLOOKUP(A306,File!$A:$J,9,FALSE)</f>
        <v>46272</v>
      </c>
      <c r="J306" s="31" t="str">
        <f>VLOOKUP(A306,File!$A:$K,11,FALSE)</f>
        <v>Sep 2026</v>
      </c>
      <c r="K306" s="31" t="str">
        <f>VLOOKUP(A306,File!$A:$K,10,FALSE)</f>
        <v>In-Training</v>
      </c>
      <c r="L306" s="31" t="s">
        <v>4</v>
      </c>
      <c r="M306" t="str">
        <f>VLOOKUP(A306,Response!$A:$M,7,)</f>
        <v>PG (Paying Guest)</v>
      </c>
      <c r="N306" t="str">
        <f>VLOOKUP(A306,Response!$A:$M,8,)</f>
        <v>Geethika Grand Gents PG</v>
      </c>
      <c r="O306" s="4" t="str">
        <f>VLOOKUP(A306,Response!$A:$M,10,)</f>
        <v>GF</v>
      </c>
      <c r="P306" t="str">
        <f>VLOOKUP(A306,Response!$A:$M,12,)</f>
        <v>Yes</v>
      </c>
      <c r="Q306" t="str">
        <f>VLOOKUP(A306,Response!$A:$M,11,)</f>
        <v>Egattur</v>
      </c>
      <c r="R306" t="s">
        <v>19</v>
      </c>
      <c r="S306" s="39" t="s">
        <v>37</v>
      </c>
    </row>
    <row r="307" spans="1:19">
      <c r="A307" s="3">
        <v>2532941</v>
      </c>
      <c r="B307" t="str">
        <f>VLOOKUP(A307,File!$A:$J,2,FALSE)</f>
        <v>Dhinesh Kannan</v>
      </c>
      <c r="C307" s="29">
        <f>VLOOKUP(A307,File!$A:$J,5,FALSE)</f>
        <v>46259</v>
      </c>
      <c r="D307" s="29" t="str">
        <f>VLOOKUP(A307,File!$A:$J,3,FALSE)</f>
        <v>Male</v>
      </c>
      <c r="E307" s="29" t="str">
        <f>VLOOKUP(A307,File!$A:$J,4,FALSE)</f>
        <v>FTE</v>
      </c>
      <c r="F307" s="29" t="str">
        <f>VLOOKUP(A307,File!$A:$J,6,FALSE)</f>
        <v>Chennai</v>
      </c>
      <c r="G307" s="29" t="str">
        <f>VLOOKUP(A307,File!$A:$J,7,FALSE)</f>
        <v>CIS26MBG004</v>
      </c>
      <c r="H307" s="29" t="str">
        <f>VLOOKUP(A307,File!$A:$J,8,FALSE)</f>
        <v>Kishorekumar P</v>
      </c>
      <c r="I307" s="31">
        <f>VLOOKUP(A307,File!$A:$J,9,FALSE)</f>
        <v>46367</v>
      </c>
      <c r="J307" s="31" t="str">
        <f>VLOOKUP(A307,File!$A:$K,11,FALSE)</f>
        <v>Dec 2026</v>
      </c>
      <c r="K307" s="31" t="str">
        <f>VLOOKUP(A307,File!$A:$K,10,FALSE)</f>
        <v>In-Training</v>
      </c>
      <c r="L307" s="31" t="s">
        <v>4</v>
      </c>
      <c r="M307" t="str">
        <f>VLOOKUP(A307,Response!$A:$M,7,)</f>
        <v>PG (Paying Guest)</v>
      </c>
      <c r="N307" t="str">
        <f>VLOOKUP(A307,Response!$A:$M,8,)</f>
        <v>Geethika grand gents pg ,2nd lane,ckn nivas,egattur</v>
      </c>
      <c r="O307" s="4">
        <f>VLOOKUP(A307,Response!$A:$M,10,)</f>
        <v>4</v>
      </c>
      <c r="P307" t="str">
        <f>VLOOKUP(A307,Response!$A:$M,12,)</f>
        <v>Yes</v>
      </c>
      <c r="Q307" t="str">
        <f>VLOOKUP(A307,Response!$A:$M,11,)</f>
        <v>Egattur</v>
      </c>
      <c r="R307" t="s">
        <v>19</v>
      </c>
      <c r="S307" s="39" t="s">
        <v>37</v>
      </c>
    </row>
    <row r="308" spans="1:19">
      <c r="A308" s="3">
        <v>2520981</v>
      </c>
      <c r="B308" t="str">
        <f>VLOOKUP(A308,File!$A:$J,2,FALSE)</f>
        <v>Danish Shabab Kamaliwale</v>
      </c>
      <c r="C308" s="29">
        <f>VLOOKUP(A308,File!$A:$J,5,FALSE)</f>
        <v>46210</v>
      </c>
      <c r="D308" s="29" t="str">
        <f>VLOOKUP(A308,File!$A:$J,3,FALSE)</f>
        <v>Male</v>
      </c>
      <c r="E308" s="29" t="str">
        <f>VLOOKUP(A308,File!$A:$J,4,FALSE)</f>
        <v>FTE</v>
      </c>
      <c r="F308" s="29" t="str">
        <f>VLOOKUP(A308,File!$A:$J,6,FALSE)</f>
        <v>Chennai</v>
      </c>
      <c r="G308" s="29" t="str">
        <f>VLOOKUP(A308,File!$A:$J,7,FALSE)</f>
        <v>CS26CS007</v>
      </c>
      <c r="H308" s="29" t="str">
        <f>VLOOKUP(A308,File!$A:$J,8,FALSE)</f>
        <v>Lawrance M</v>
      </c>
      <c r="I308" s="31">
        <f>VLOOKUP(A308,File!$A:$J,9,FALSE)</f>
        <v>46272</v>
      </c>
      <c r="J308" s="31" t="str">
        <f>VLOOKUP(A308,File!$A:$K,11,FALSE)</f>
        <v>Sep 2026</v>
      </c>
      <c r="K308" s="31" t="str">
        <f>VLOOKUP(A308,File!$A:$K,10,FALSE)</f>
        <v>In-Training</v>
      </c>
      <c r="L308" s="31" t="s">
        <v>4</v>
      </c>
      <c r="M308" t="str">
        <f>VLOOKUP(A308,Response!$A:$M,7,)</f>
        <v>PG (Paying Guest)</v>
      </c>
      <c r="N308" t="str">
        <f>VLOOKUP(A308,Response!$A:$M,8,)</f>
        <v>Geethika grand gents pg, CNK nivas city park, 2nd lane, Mamoothiamman St, Sipcot, Egattur, Tamil Nadu 603103</v>
      </c>
      <c r="O308" s="4">
        <f>VLOOKUP(A308,Response!$A:$M,10,)</f>
        <v>5</v>
      </c>
      <c r="P308" t="str">
        <f>VLOOKUP(A308,Response!$A:$M,12,)</f>
        <v>No</v>
      </c>
      <c r="Q308" t="str">
        <f>VLOOKUP(A308,Response!$A:$M,11,)</f>
        <v>Siruseri</v>
      </c>
      <c r="R308" t="s">
        <v>19</v>
      </c>
      <c r="S308" s="39" t="s">
        <v>37</v>
      </c>
    </row>
    <row r="309" spans="1:19">
      <c r="A309" s="3">
        <v>2520980</v>
      </c>
      <c r="B309" t="str">
        <f>VLOOKUP(A309,File!$A:$J,2,FALSE)</f>
        <v>Prathamesh Rajkumar Salunke</v>
      </c>
      <c r="C309" s="29">
        <f>VLOOKUP(A309,File!$A:$J,5,FALSE)</f>
        <v>46210</v>
      </c>
      <c r="D309" s="29" t="str">
        <f>VLOOKUP(A309,File!$A:$J,3,FALSE)</f>
        <v>Male</v>
      </c>
      <c r="E309" s="29" t="str">
        <f>VLOOKUP(A309,File!$A:$J,4,FALSE)</f>
        <v>FTE</v>
      </c>
      <c r="F309" s="29" t="str">
        <f>VLOOKUP(A309,File!$A:$J,6,FALSE)</f>
        <v>Chennai</v>
      </c>
      <c r="G309" s="29" t="str">
        <f>VLOOKUP(A309,File!$A:$J,7,FALSE)</f>
        <v>CS26CS007</v>
      </c>
      <c r="H309" s="29" t="str">
        <f>VLOOKUP(A309,File!$A:$J,8,FALSE)</f>
        <v>Lawrance M</v>
      </c>
      <c r="I309" s="31">
        <f>VLOOKUP(A309,File!$A:$J,9,FALSE)</f>
        <v>46272</v>
      </c>
      <c r="J309" s="31" t="str">
        <f>VLOOKUP(A309,File!$A:$K,11,FALSE)</f>
        <v>Sep 2026</v>
      </c>
      <c r="K309" s="31" t="str">
        <f>VLOOKUP(A309,File!$A:$K,10,FALSE)</f>
        <v>In-Training</v>
      </c>
      <c r="L309" s="31" t="s">
        <v>4</v>
      </c>
      <c r="M309" t="str">
        <f>VLOOKUP(A309,Response!$A:$M,7,)</f>
        <v>PG (Paying Guest)</v>
      </c>
      <c r="N309" t="str">
        <f>VLOOKUP(A309,Response!$A:$M,8,)</f>
        <v>Geethika grand gents pg, CNK nivas city park, 2nd lane, Mamoothiamman St, Sipcot, Egattur.</v>
      </c>
      <c r="O309" s="4">
        <f>VLOOKUP(A309,Response!$A:$M,10,)</f>
        <v>5</v>
      </c>
      <c r="P309" t="str">
        <f>VLOOKUP(A309,Response!$A:$M,12,)</f>
        <v>Yes</v>
      </c>
      <c r="Q309" t="str">
        <f>VLOOKUP(A309,Response!$A:$M,11,)</f>
        <v>Egattur</v>
      </c>
      <c r="R309" t="s">
        <v>19</v>
      </c>
      <c r="S309" s="39" t="s">
        <v>37</v>
      </c>
    </row>
    <row r="310" spans="1:19">
      <c r="A310" s="3">
        <v>2532954</v>
      </c>
      <c r="B310" t="str">
        <f>VLOOKUP(A310,File!$A:$J,2,FALSE)</f>
        <v>Prabhala Subrahmanya Vishnu Siddhardha</v>
      </c>
      <c r="C310" s="29">
        <f>VLOOKUP(A310,File!$A:$J,5,FALSE)</f>
        <v>46259</v>
      </c>
      <c r="D310" s="29" t="str">
        <f>VLOOKUP(A310,File!$A:$J,3,FALSE)</f>
        <v>Male</v>
      </c>
      <c r="E310" s="29" t="str">
        <f>VLOOKUP(A310,File!$A:$J,4,FALSE)</f>
        <v>FTE</v>
      </c>
      <c r="F310" s="29" t="str">
        <f>VLOOKUP(A310,File!$A:$J,6,FALSE)</f>
        <v>Chennai</v>
      </c>
      <c r="G310" s="29" t="str">
        <f>VLOOKUP(A310,File!$A:$J,7,FALSE)</f>
        <v>CIS26MBG005</v>
      </c>
      <c r="H310" s="29" t="str">
        <f>VLOOKUP(A310,File!$A:$J,8,FALSE)</f>
        <v>Angel Maria Faustina Gomez</v>
      </c>
      <c r="I310" s="31">
        <f>VLOOKUP(A310,File!$A:$J,9,FALSE)</f>
        <v>46367</v>
      </c>
      <c r="J310" s="31" t="str">
        <f>VLOOKUP(A310,File!$A:$K,11,FALSE)</f>
        <v>Dec 2026</v>
      </c>
      <c r="K310" s="31" t="str">
        <f>VLOOKUP(A310,File!$A:$K,10,FALSE)</f>
        <v>In-Training</v>
      </c>
      <c r="L310" s="31" t="s">
        <v>4</v>
      </c>
      <c r="M310" t="str">
        <f>VLOOKUP(A310,Response!$A:$M,7,)</f>
        <v>PG (Paying Guest)</v>
      </c>
      <c r="N310" t="str">
        <f>VLOOKUP(A310,Response!$A:$M,8,)</f>
        <v>Geethika Grand gents pg, Egattur</v>
      </c>
      <c r="O310" s="4">
        <f>VLOOKUP(A310,Response!$A:$M,10,)</f>
        <v>2</v>
      </c>
      <c r="P310" t="str">
        <f>VLOOKUP(A310,Response!$A:$M,12,)</f>
        <v>No</v>
      </c>
      <c r="Q310" t="str">
        <f>VLOOKUP(A310,Response!$A:$M,11,)</f>
        <v>Egattur</v>
      </c>
      <c r="R310" t="s">
        <v>19</v>
      </c>
      <c r="S310" s="39" t="s">
        <v>37</v>
      </c>
    </row>
    <row r="311" spans="1:19">
      <c r="A311" s="3">
        <v>2533025</v>
      </c>
      <c r="B311" t="str">
        <f>VLOOKUP(A311,File!$A:$J,2,FALSE)</f>
        <v>Lok Naga Durga Sai Manikanta Nagamalla</v>
      </c>
      <c r="C311" s="29">
        <f>VLOOKUP(A311,File!$A:$J,5,FALSE)</f>
        <v>46259</v>
      </c>
      <c r="D311" s="29" t="str">
        <f>VLOOKUP(A311,File!$A:$J,3,FALSE)</f>
        <v>Male</v>
      </c>
      <c r="E311" s="29" t="str">
        <f>VLOOKUP(A311,File!$A:$J,4,FALSE)</f>
        <v>FTE</v>
      </c>
      <c r="F311" s="29" t="str">
        <f>VLOOKUP(A311,File!$A:$J,6,FALSE)</f>
        <v>Chennai</v>
      </c>
      <c r="G311" s="29" t="str">
        <f>VLOOKUP(A311,File!$A:$J,7,FALSE)</f>
        <v>CIS26AT008</v>
      </c>
      <c r="H311" s="29" t="str">
        <f>VLOOKUP(A311,File!$A:$J,8,FALSE)</f>
        <v>Uma Venkatachalam</v>
      </c>
      <c r="I311" s="31">
        <f>VLOOKUP(A311,File!$A:$J,9,FALSE)</f>
        <v>46365</v>
      </c>
      <c r="J311" s="31" t="str">
        <f>VLOOKUP(A311,File!$A:$K,11,FALSE)</f>
        <v>Dec 2026</v>
      </c>
      <c r="K311" s="31" t="str">
        <f>VLOOKUP(A311,File!$A:$K,10,FALSE)</f>
        <v>In-Training</v>
      </c>
      <c r="L311" s="31" t="s">
        <v>4</v>
      </c>
      <c r="M311" t="str">
        <f>VLOOKUP(A311,Response!$A:$M,7,)</f>
        <v>PG (Paying Guest)</v>
      </c>
      <c r="N311" t="str">
        <f>VLOOKUP(A311,Response!$A:$M,8,)</f>
        <v>geethika grand gents pg, egattur</v>
      </c>
      <c r="O311" s="4">
        <f>VLOOKUP(A311,Response!$A:$M,10,)</f>
        <v>2</v>
      </c>
      <c r="P311" t="str">
        <f>VLOOKUP(A311,Response!$A:$M,12,)</f>
        <v>No</v>
      </c>
      <c r="Q311" t="str">
        <f>VLOOKUP(A311,Response!$A:$M,11,)</f>
        <v>Siruseri</v>
      </c>
      <c r="R311" t="s">
        <v>19</v>
      </c>
      <c r="S311" s="39" t="s">
        <v>37</v>
      </c>
    </row>
    <row r="312" spans="1:19">
      <c r="A312" s="3">
        <v>2532989</v>
      </c>
      <c r="B312" t="str">
        <f>VLOOKUP(A312,File!$A:$J,2,FALSE)</f>
        <v>Vasireddy Anurag Reddy</v>
      </c>
      <c r="C312" s="29">
        <f>VLOOKUP(A312,File!$A:$J,5,FALSE)</f>
        <v>46259</v>
      </c>
      <c r="D312" s="29" t="str">
        <f>VLOOKUP(A312,File!$A:$J,3,FALSE)</f>
        <v>Male</v>
      </c>
      <c r="E312" s="29" t="str">
        <f>VLOOKUP(A312,File!$A:$J,4,FALSE)</f>
        <v>FTE</v>
      </c>
      <c r="F312" s="29" t="str">
        <f>VLOOKUP(A312,File!$A:$J,6,FALSE)</f>
        <v>Chennai</v>
      </c>
      <c r="G312" s="29" t="str">
        <f>VLOOKUP(A312,File!$A:$J,7,FALSE)</f>
        <v>ADM27DFSA001</v>
      </c>
      <c r="H312" s="29" t="str">
        <f>VLOOKUP(A312,File!$A:$J,8,FALSE)</f>
        <v>Thomas Naveen. J</v>
      </c>
      <c r="I312" s="31">
        <f>VLOOKUP(A312,File!$A:$J,9,FALSE)</f>
        <v>46386</v>
      </c>
      <c r="J312" s="31" t="str">
        <f>VLOOKUP(A312,File!$A:$K,11,FALSE)</f>
        <v>Dec 2026</v>
      </c>
      <c r="K312" s="31" t="str">
        <f>VLOOKUP(A312,File!$A:$K,10,FALSE)</f>
        <v>In-Training</v>
      </c>
      <c r="L312" s="31" t="s">
        <v>4</v>
      </c>
      <c r="M312" t="str">
        <f>VLOOKUP(A312,Response!$A:$M,7,)</f>
        <v>PG (Paying Guest)</v>
      </c>
      <c r="N312" t="str">
        <f>VLOOKUP(A312,Response!$A:$M,8,)</f>
        <v>Geethika Grand Gents PG, Near TCS, Egattur, Siruseri IT Park, Chennai</v>
      </c>
      <c r="O312" s="4">
        <f>VLOOKUP(A312,Response!$A:$M,10,)</f>
        <v>3</v>
      </c>
      <c r="P312" t="str">
        <f>VLOOKUP(A312,Response!$A:$M,12,)</f>
        <v>No</v>
      </c>
      <c r="Q312" t="str">
        <f>VLOOKUP(A312,Response!$A:$M,11,)</f>
        <v>Siruseri</v>
      </c>
      <c r="R312" t="s">
        <v>19</v>
      </c>
      <c r="S312" s="39" t="s">
        <v>37</v>
      </c>
    </row>
    <row r="313" spans="1:19">
      <c r="A313" s="3">
        <v>2518826</v>
      </c>
      <c r="B313" t="str">
        <f>VLOOKUP(A313,File!$A:$J,2,FALSE)</f>
        <v>Kanigir Sai Kiran</v>
      </c>
      <c r="C313" s="29">
        <f>VLOOKUP(A313,File!$A:$J,5,FALSE)</f>
        <v>46203</v>
      </c>
      <c r="D313" s="29" t="str">
        <f>VLOOKUP(A313,File!$A:$J,3,FALSE)</f>
        <v>Male</v>
      </c>
      <c r="E313" s="29" t="str">
        <f>VLOOKUP(A313,File!$A:$J,4,FALSE)</f>
        <v>FTE</v>
      </c>
      <c r="F313" s="29" t="str">
        <f>VLOOKUP(A313,File!$A:$J,6,FALSE)</f>
        <v>Chennai</v>
      </c>
      <c r="G313" s="29" t="str">
        <f>VLOOKUP(A313,File!$A:$J,7,FALSE)</f>
        <v>CIS26SB001</v>
      </c>
      <c r="H313" s="29" t="str">
        <f>VLOOKUP(A313,File!$A:$J,8,FALSE)</f>
        <v>Kishorekumar P</v>
      </c>
      <c r="I313" s="31">
        <f>VLOOKUP(A313,File!$A:$J,9,FALSE)</f>
        <v>46309</v>
      </c>
      <c r="J313" s="31" t="str">
        <f>VLOOKUP(A313,File!$A:$K,11,FALSE)</f>
        <v>Oct 2026</v>
      </c>
      <c r="K313" s="31" t="str">
        <f>VLOOKUP(A313,File!$A:$K,10,FALSE)</f>
        <v>In-Training</v>
      </c>
      <c r="L313" s="31" t="s">
        <v>4</v>
      </c>
      <c r="M313" t="str">
        <f>VLOOKUP(A313,Response!$A:$M,7,)</f>
        <v>PG (Paying Guest)</v>
      </c>
      <c r="N313" t="str">
        <f>VLOOKUP(A313,Response!$A:$M,8,)</f>
        <v>Geethika grand gents pg, Sipcot</v>
      </c>
      <c r="O313" s="4">
        <f>VLOOKUP(A313,Response!$A:$M,10,)</f>
        <v>4</v>
      </c>
      <c r="P313" t="str">
        <f>VLOOKUP(A313,Response!$A:$M,12,)</f>
        <v>No</v>
      </c>
      <c r="Q313" t="str">
        <f>VLOOKUP(A313,Response!$A:$M,11,)</f>
        <v>Siruseri</v>
      </c>
      <c r="R313" t="s">
        <v>19</v>
      </c>
      <c r="S313" s="39" t="s">
        <v>37</v>
      </c>
    </row>
    <row r="314" spans="1:19">
      <c r="A314" s="3">
        <v>2526131</v>
      </c>
      <c r="B314" t="str">
        <f>VLOOKUP(A314,File!$A:$J,2,FALSE)</f>
        <v>MD Faiz Abdul Wahid Yadgir</v>
      </c>
      <c r="C314" s="29">
        <f>VLOOKUP(A314,File!$A:$J,5,FALSE)</f>
        <v>46231</v>
      </c>
      <c r="D314" s="29" t="str">
        <f>VLOOKUP(A314,File!$A:$J,3,FALSE)</f>
        <v>Male</v>
      </c>
      <c r="E314" s="29" t="str">
        <f>VLOOKUP(A314,File!$A:$J,4,FALSE)</f>
        <v>FTE</v>
      </c>
      <c r="F314" s="29" t="str">
        <f>VLOOKUP(A314,File!$A:$J,6,FALSE)</f>
        <v>Chennai</v>
      </c>
      <c r="G314" s="29" t="str">
        <f>VLOOKUP(A314,File!$A:$J,7,FALSE)</f>
        <v>EPS26WD006</v>
      </c>
      <c r="H314" s="29" t="str">
        <f>VLOOKUP(A314,File!$A:$J,8,FALSE)</f>
        <v>Vishnupriya Dakshnamurthy</v>
      </c>
      <c r="I314" s="31">
        <f>VLOOKUP(A314,File!$A:$J,9,FALSE)</f>
        <v>46353</v>
      </c>
      <c r="J314" s="31" t="str">
        <f>VLOOKUP(A314,File!$A:$K,11,FALSE)</f>
        <v>Nov 2026</v>
      </c>
      <c r="K314" s="31" t="str">
        <f>VLOOKUP(A314,File!$A:$K,10,FALSE)</f>
        <v>In-Training</v>
      </c>
      <c r="L314" s="31" t="s">
        <v>4</v>
      </c>
      <c r="M314" t="str">
        <f>VLOOKUP(A314,Response!$A:$M,7,)</f>
        <v>PG (Paying Guest)</v>
      </c>
      <c r="N314" t="str">
        <f>VLOOKUP(A314,Response!$A:$M,8,)</f>
        <v>Geethika Grand Gents PG.</v>
      </c>
      <c r="O314" s="4">
        <f>VLOOKUP(A314,Response!$A:$M,10,)</f>
        <v>5</v>
      </c>
      <c r="P314" t="str">
        <f>VLOOKUP(A314,Response!$A:$M,12,)</f>
        <v>No</v>
      </c>
      <c r="Q314" t="str">
        <f>VLOOKUP(A314,Response!$A:$M,11,)</f>
        <v>Egattur</v>
      </c>
      <c r="R314" t="s">
        <v>19</v>
      </c>
      <c r="S314" s="39" t="s">
        <v>37</v>
      </c>
    </row>
    <row r="315" spans="1:19">
      <c r="A315" s="3">
        <v>2531850</v>
      </c>
      <c r="B315" t="str">
        <f>VLOOKUP(A315,File!$A:$J,2,FALSE)</f>
        <v>Parella Ganesh</v>
      </c>
      <c r="C315" s="29">
        <f>VLOOKUP(A315,File!$A:$J,5,FALSE)</f>
        <v>46254</v>
      </c>
      <c r="D315" s="29" t="str">
        <f>VLOOKUP(A315,File!$A:$J,3,FALSE)</f>
        <v>Male</v>
      </c>
      <c r="E315" s="29" t="str">
        <f>VLOOKUP(A315,File!$A:$J,4,FALSE)</f>
        <v>FTE</v>
      </c>
      <c r="F315" s="29" t="str">
        <f>VLOOKUP(A315,File!$A:$J,6,FALSE)</f>
        <v>Chennai</v>
      </c>
      <c r="G315" s="29" t="str">
        <f>VLOOKUP(A315,File!$A:$J,7,FALSE)</f>
        <v>CS26CS012</v>
      </c>
      <c r="H315" s="29" t="str">
        <f>VLOOKUP(A315,File!$A:$J,8,FALSE)</f>
        <v>Laksiya Vijayendran</v>
      </c>
      <c r="I315" s="31">
        <f>VLOOKUP(A315,File!$A:$J,9,FALSE)</f>
        <v>46343</v>
      </c>
      <c r="J315" s="31" t="str">
        <f>VLOOKUP(A315,File!$A:$K,11,FALSE)</f>
        <v>Nov 2026</v>
      </c>
      <c r="K315" s="31" t="str">
        <f>VLOOKUP(A315,File!$A:$K,10,FALSE)</f>
        <v>In-Training</v>
      </c>
      <c r="L315" s="31" t="s">
        <v>4</v>
      </c>
      <c r="M315" t="str">
        <f>VLOOKUP(A315,Response!$A:$M,7,)</f>
        <v>PG (Paying Guest)</v>
      </c>
      <c r="N315" t="str">
        <f>VLOOKUP(A315,Response!$A:$M,8,)</f>
        <v>Geethika Grand PG</v>
      </c>
      <c r="O315" s="4">
        <f>VLOOKUP(A315,Response!$A:$M,10,)</f>
        <v>5</v>
      </c>
      <c r="P315" t="str">
        <f>VLOOKUP(A315,Response!$A:$M,12,)</f>
        <v>No</v>
      </c>
      <c r="Q315" t="str">
        <f>VLOOKUP(A315,Response!$A:$M,11,)</f>
        <v>Egattur</v>
      </c>
      <c r="R315" t="s">
        <v>19</v>
      </c>
      <c r="S315" s="39" t="s">
        <v>37</v>
      </c>
    </row>
    <row r="316" spans="1:19">
      <c r="A316" s="3">
        <v>2520952</v>
      </c>
      <c r="B316" t="str">
        <f>VLOOKUP(A316,File!$A:$J,2,FALSE)</f>
        <v>Jammula Jaswanth</v>
      </c>
      <c r="C316" s="29">
        <f>VLOOKUP(A316,File!$A:$J,5,FALSE)</f>
        <v>46210</v>
      </c>
      <c r="D316" s="29" t="str">
        <f>VLOOKUP(A316,File!$A:$J,3,FALSE)</f>
        <v>Male</v>
      </c>
      <c r="E316" s="29" t="str">
        <f>VLOOKUP(A316,File!$A:$J,4,FALSE)</f>
        <v>FTE</v>
      </c>
      <c r="F316" s="29" t="str">
        <f>VLOOKUP(A316,File!$A:$J,6,FALSE)</f>
        <v>Chennai</v>
      </c>
      <c r="G316" s="29" t="str">
        <f>VLOOKUP(A316,File!$A:$J,7,FALSE)</f>
        <v>PG26JFR003</v>
      </c>
      <c r="H316" s="29" t="str">
        <f>VLOOKUP(A316,File!$A:$J,8,FALSE)</f>
        <v>Vijay K</v>
      </c>
      <c r="I316" s="31">
        <f>VLOOKUP(A316,File!$A:$J,9,FALSE)</f>
        <v>46322</v>
      </c>
      <c r="J316" s="31" t="str">
        <f>VLOOKUP(A316,File!$A:$K,11,FALSE)</f>
        <v>Oct 2026</v>
      </c>
      <c r="K316" s="31" t="str">
        <f>VLOOKUP(A316,File!$A:$K,10,FALSE)</f>
        <v>In-Training</v>
      </c>
      <c r="L316" s="31" t="s">
        <v>4</v>
      </c>
      <c r="M316" t="str">
        <f>VLOOKUP(A316,Response!$A:$M,7,)</f>
        <v>PG (Paying Guest)</v>
      </c>
      <c r="N316" t="str">
        <f>VLOOKUP(A316,Response!$A:$M,8,)</f>
        <v>Geethika grand pg,siruseri,603103</v>
      </c>
      <c r="O316" s="4">
        <f>VLOOKUP(A316,Response!$A:$M,10,)</f>
        <v>4</v>
      </c>
      <c r="P316" t="str">
        <f>VLOOKUP(A316,Response!$A:$M,12,)</f>
        <v>No</v>
      </c>
      <c r="Q316" t="str">
        <f>VLOOKUP(A316,Response!$A:$M,11,)</f>
        <v>Siruseri</v>
      </c>
      <c r="R316" t="s">
        <v>19</v>
      </c>
      <c r="S316" s="39" t="s">
        <v>37</v>
      </c>
    </row>
    <row r="317" spans="1:19">
      <c r="A317" s="3">
        <v>2532916</v>
      </c>
      <c r="B317" t="str">
        <f>VLOOKUP(A317,File!$A:$J,2,FALSE)</f>
        <v>Saivijayakrishna Mallineni</v>
      </c>
      <c r="C317" s="29">
        <f>VLOOKUP(A317,File!$A:$J,5,FALSE)</f>
        <v>46259</v>
      </c>
      <c r="D317" s="29" t="str">
        <f>VLOOKUP(A317,File!$A:$J,3,FALSE)</f>
        <v>Male</v>
      </c>
      <c r="E317" s="29" t="str">
        <f>VLOOKUP(A317,File!$A:$J,4,FALSE)</f>
        <v>FTE</v>
      </c>
      <c r="F317" s="29" t="str">
        <f>VLOOKUP(A317,File!$A:$J,6,FALSE)</f>
        <v>Chennai</v>
      </c>
      <c r="G317" s="29" t="str">
        <f>VLOOKUP(A317,File!$A:$J,7,FALSE)</f>
        <v>CIS26MBG005</v>
      </c>
      <c r="H317" s="29" t="str">
        <f>VLOOKUP(A317,File!$A:$J,8,FALSE)</f>
        <v>Angel Maria Faustina Gomez</v>
      </c>
      <c r="I317" s="31">
        <f>VLOOKUP(A317,File!$A:$J,9,FALSE)</f>
        <v>46367</v>
      </c>
      <c r="J317" s="31" t="str">
        <f>VLOOKUP(A317,File!$A:$K,11,FALSE)</f>
        <v>Dec 2026</v>
      </c>
      <c r="K317" s="31" t="str">
        <f>VLOOKUP(A317,File!$A:$K,10,FALSE)</f>
        <v>In-Training</v>
      </c>
      <c r="L317" s="31" t="s">
        <v>4</v>
      </c>
      <c r="M317" t="str">
        <f>VLOOKUP(A317,Response!$A:$M,7,)</f>
        <v>PG (Paying Guest)</v>
      </c>
      <c r="N317" t="str">
        <f>VLOOKUP(A317,Response!$A:$M,8,)</f>
        <v>Geethika grands gents pg,egattur</v>
      </c>
      <c r="O317" s="4">
        <f>VLOOKUP(A317,Response!$A:$M,10,)</f>
        <v>2</v>
      </c>
      <c r="P317" t="str">
        <f>VLOOKUP(A317,Response!$A:$M,12,)</f>
        <v>No</v>
      </c>
      <c r="Q317" t="str">
        <f>VLOOKUP(A317,Response!$A:$M,11,)</f>
        <v>Egattur</v>
      </c>
      <c r="R317" t="s">
        <v>19</v>
      </c>
      <c r="S317" s="39" t="s">
        <v>37</v>
      </c>
    </row>
    <row r="318" spans="1:19">
      <c r="A318" s="3">
        <v>2518814</v>
      </c>
      <c r="B318" t="str">
        <f>VLOOKUP(A318,File!$A:$J,2,FALSE)</f>
        <v>Ravi Teja Paila</v>
      </c>
      <c r="C318" s="29">
        <f>VLOOKUP(A318,File!$A:$J,5,FALSE)</f>
        <v>46203</v>
      </c>
      <c r="D318" s="29" t="str">
        <f>VLOOKUP(A318,File!$A:$J,3,FALSE)</f>
        <v>Male</v>
      </c>
      <c r="E318" s="29" t="str">
        <f>VLOOKUP(A318,File!$A:$J,4,FALSE)</f>
        <v>FTE</v>
      </c>
      <c r="F318" s="29" t="str">
        <f>VLOOKUP(A318,File!$A:$J,6,FALSE)</f>
        <v>Chennai</v>
      </c>
      <c r="G318" s="29" t="str">
        <f>VLOOKUP(A318,File!$A:$J,7,FALSE)</f>
        <v>CIS26SB001</v>
      </c>
      <c r="H318" s="29" t="str">
        <f>VLOOKUP(A318,File!$A:$J,8,FALSE)</f>
        <v>Kishorekumar P</v>
      </c>
      <c r="I318" s="31">
        <f>VLOOKUP(A318,File!$A:$J,9,FALSE)</f>
        <v>46309</v>
      </c>
      <c r="J318" s="31" t="str">
        <f>VLOOKUP(A318,File!$A:$K,11,FALSE)</f>
        <v>Oct 2026</v>
      </c>
      <c r="K318" s="31" t="str">
        <f>VLOOKUP(A318,File!$A:$K,10,FALSE)</f>
        <v>In-Training</v>
      </c>
      <c r="L318" s="31" t="s">
        <v>4</v>
      </c>
      <c r="M318" t="str">
        <f>VLOOKUP(A318,Response!$A:$M,7,)</f>
        <v>PG (Paying Guest)</v>
      </c>
      <c r="N318" t="str">
        <f>VLOOKUP(A318,Response!$A:$M,8,)</f>
        <v>Geethika Grands PG for Gents - Sipcot</v>
      </c>
      <c r="O318" s="4">
        <f>VLOOKUP(A318,Response!$A:$M,10,)</f>
        <v>4</v>
      </c>
      <c r="P318" t="str">
        <f>VLOOKUP(A318,Response!$A:$M,12,)</f>
        <v>No</v>
      </c>
      <c r="Q318" t="str">
        <f>VLOOKUP(A318,Response!$A:$M,11,)</f>
        <v>Siruseri</v>
      </c>
      <c r="R318" t="s">
        <v>19</v>
      </c>
      <c r="S318" s="39" t="s">
        <v>37</v>
      </c>
    </row>
    <row r="319" spans="1:19">
      <c r="A319" s="3">
        <v>2526145</v>
      </c>
      <c r="B319" t="str">
        <f>VLOOKUP(A319,File!$A:$J,2,FALSE)</f>
        <v>Hruthik Krishna Pavarala</v>
      </c>
      <c r="C319" s="29">
        <f>VLOOKUP(A319,File!$A:$J,5,FALSE)</f>
        <v>46231</v>
      </c>
      <c r="D319" s="29" t="str">
        <f>VLOOKUP(A319,File!$A:$J,3,FALSE)</f>
        <v>Male</v>
      </c>
      <c r="E319" s="29" t="str">
        <f>VLOOKUP(A319,File!$A:$J,4,FALSE)</f>
        <v>FTE</v>
      </c>
      <c r="F319" s="29" t="str">
        <f>VLOOKUP(A319,File!$A:$J,6,FALSE)</f>
        <v>Chennai</v>
      </c>
      <c r="G319" s="29" t="str">
        <f>VLOOKUP(A319,File!$A:$J,7,FALSE)</f>
        <v>QEA26DS001</v>
      </c>
      <c r="H319" s="29" t="str">
        <f>VLOOKUP(A319,File!$A:$J,8,FALSE)</f>
        <v>Lourdhu Selvin Raj X</v>
      </c>
      <c r="I319" s="31">
        <f>VLOOKUP(A319,File!$A:$J,9,FALSE)</f>
        <v>46325</v>
      </c>
      <c r="J319" s="31" t="str">
        <f>VLOOKUP(A319,File!$A:$K,11,FALSE)</f>
        <v>Oct 2026</v>
      </c>
      <c r="K319" s="31" t="str">
        <f>VLOOKUP(A319,File!$A:$K,10,FALSE)</f>
        <v>In-Training</v>
      </c>
      <c r="L319" s="31" t="s">
        <v>4</v>
      </c>
      <c r="M319" t="str">
        <f>VLOOKUP(A319,Response!$A:$M,7,)</f>
        <v>PG (Paying Guest)</v>
      </c>
      <c r="N319" t="str">
        <f>VLOOKUP(A319,Response!$A:$M,8,)</f>
        <v>Geethika Premium Gents PG</v>
      </c>
      <c r="O319" s="4">
        <f>VLOOKUP(A319,Response!$A:$M,10,)</f>
        <v>1</v>
      </c>
      <c r="P319" t="str">
        <f>VLOOKUP(A319,Response!$A:$M,12,)</f>
        <v>No</v>
      </c>
      <c r="Q319" t="str">
        <f>VLOOKUP(A319,Response!$A:$M,11,)</f>
        <v>Siruseri</v>
      </c>
      <c r="R319" t="s">
        <v>19</v>
      </c>
      <c r="S319" s="39" t="s">
        <v>37</v>
      </c>
    </row>
    <row r="320" spans="1:19">
      <c r="A320" s="3">
        <v>2521191</v>
      </c>
      <c r="B320" t="str">
        <f>VLOOKUP(A320,File!$A:$J,2,FALSE)</f>
        <v>Dheeraj Reddy Ramireddy</v>
      </c>
      <c r="C320" s="29">
        <f>VLOOKUP(A320,File!$A:$J,5,FALSE)</f>
        <v>46210</v>
      </c>
      <c r="D320" s="29" t="str">
        <f>VLOOKUP(A320,File!$A:$J,3,FALSE)</f>
        <v>Male</v>
      </c>
      <c r="E320" s="29" t="str">
        <f>VLOOKUP(A320,File!$A:$J,4,FALSE)</f>
        <v>FTE</v>
      </c>
      <c r="F320" s="29" t="str">
        <f>VLOOKUP(A320,File!$A:$J,6,FALSE)</f>
        <v>Chennai</v>
      </c>
      <c r="G320" s="29" t="str">
        <f>VLOOKUP(A320,File!$A:$J,7,FALSE)</f>
        <v>PG26JFR003</v>
      </c>
      <c r="H320" s="29" t="str">
        <f>VLOOKUP(A320,File!$A:$J,8,FALSE)</f>
        <v>Vijay K</v>
      </c>
      <c r="I320" s="31">
        <f>VLOOKUP(A320,File!$A:$J,9,FALSE)</f>
        <v>46322</v>
      </c>
      <c r="J320" s="31" t="str">
        <f>VLOOKUP(A320,File!$A:$K,11,FALSE)</f>
        <v>Oct 2026</v>
      </c>
      <c r="K320" s="31" t="str">
        <f>VLOOKUP(A320,File!$A:$K,10,FALSE)</f>
        <v>In-Training</v>
      </c>
      <c r="L320" s="31" t="s">
        <v>4</v>
      </c>
      <c r="M320" t="str">
        <f>VLOOKUP(A320,Response!$A:$M,7,)</f>
        <v>PG (Paying Guest)</v>
      </c>
      <c r="N320" t="str">
        <f>VLOOKUP(A320,Response!$A:$M,8,)</f>
        <v>Geethika Premium Gents PG</v>
      </c>
      <c r="O320" s="4">
        <f>VLOOKUP(A320,Response!$A:$M,10,)</f>
        <v>1</v>
      </c>
      <c r="P320" t="str">
        <f>VLOOKUP(A320,Response!$A:$M,12,)</f>
        <v>No</v>
      </c>
      <c r="Q320" t="str">
        <f>VLOOKUP(A320,Response!$A:$M,11,)</f>
        <v>Siruseri</v>
      </c>
      <c r="R320" t="s">
        <v>19</v>
      </c>
      <c r="S320" s="39" t="s">
        <v>37</v>
      </c>
    </row>
    <row r="321" spans="1:19">
      <c r="A321" s="3">
        <v>2529702</v>
      </c>
      <c r="B321" t="str">
        <f>VLOOKUP(A321,File!$A:$J,2,FALSE)</f>
        <v>M N K Shankar Dasari</v>
      </c>
      <c r="C321" s="29">
        <f>VLOOKUP(A321,File!$A:$J,5,FALSE)</f>
        <v>46245</v>
      </c>
      <c r="D321" s="29" t="str">
        <f>VLOOKUP(A321,File!$A:$J,3,FALSE)</f>
        <v>Male</v>
      </c>
      <c r="E321" s="29" t="str">
        <f>VLOOKUP(A321,File!$A:$J,4,FALSE)</f>
        <v>FTE</v>
      </c>
      <c r="F321" s="29" t="str">
        <f>VLOOKUP(A321,File!$A:$J,6,FALSE)</f>
        <v>Chennai</v>
      </c>
      <c r="G321" s="29" t="str">
        <f>VLOOKUP(A321,File!$A:$J,7,FALSE)</f>
        <v>EPS26SAP033</v>
      </c>
      <c r="H321" s="29" t="str">
        <f>VLOOKUP(A321,File!$A:$J,8,FALSE)</f>
        <v>Ajith Ganesan</v>
      </c>
      <c r="I321" s="31">
        <f>VLOOKUP(A321,File!$A:$J,9,FALSE)</f>
        <v>46330</v>
      </c>
      <c r="J321" s="31" t="str">
        <f>VLOOKUP(A321,File!$A:$K,11,FALSE)</f>
        <v>Nov 2026</v>
      </c>
      <c r="K321" s="31" t="str">
        <f>VLOOKUP(A321,File!$A:$K,10,FALSE)</f>
        <v>In-Training</v>
      </c>
      <c r="L321" s="31" t="s">
        <v>4</v>
      </c>
      <c r="M321" t="str">
        <f>VLOOKUP(A321,Response!$A:$M,7,)</f>
        <v>PG (Paying Guest)</v>
      </c>
      <c r="N321" t="str">
        <f>VLOOKUP(A321,Response!$A:$M,8,)</f>
        <v>GEETHIKA PREMIUM GENTS PG</v>
      </c>
      <c r="O321" s="4">
        <f>VLOOKUP(A321,Response!$A:$M,10,)</f>
        <v>2</v>
      </c>
      <c r="P321" t="str">
        <f>VLOOKUP(A321,Response!$A:$M,12,)</f>
        <v>No</v>
      </c>
      <c r="Q321" t="str">
        <f>VLOOKUP(A321,Response!$A:$M,11,)</f>
        <v>Egattur</v>
      </c>
      <c r="R321" t="s">
        <v>19</v>
      </c>
      <c r="S321" s="39" t="s">
        <v>37</v>
      </c>
    </row>
    <row r="322" spans="1:19">
      <c r="A322" s="3">
        <v>2512304</v>
      </c>
      <c r="B322" t="str">
        <f>VLOOKUP(A322,File!$A:$J,2,FALSE)</f>
        <v>Saran Kumar</v>
      </c>
      <c r="C322" s="29">
        <f>VLOOKUP(A322,File!$A:$J,5,FALSE)</f>
        <v>46170</v>
      </c>
      <c r="D322" s="29" t="str">
        <f>VLOOKUP(A322,File!$A:$J,3,FALSE)</f>
        <v>Male</v>
      </c>
      <c r="E322" s="29" t="str">
        <f>VLOOKUP(A322,File!$A:$J,4,FALSE)</f>
        <v>FTE</v>
      </c>
      <c r="F322" s="29" t="str">
        <f>VLOOKUP(A322,File!$A:$J,6,FALSE)</f>
        <v>Chennai</v>
      </c>
      <c r="G322" s="29" t="str">
        <f>VLOOKUP(A322,File!$A:$J,7,FALSE)</f>
        <v>CIS26MCPT011</v>
      </c>
      <c r="H322" s="29" t="str">
        <f>VLOOKUP(A322,File!$A:$J,8,FALSE)</f>
        <v>Uma Venkatachalam</v>
      </c>
      <c r="I322" s="31">
        <f>VLOOKUP(A322,File!$A:$J,9,FALSE)</f>
        <v>46282</v>
      </c>
      <c r="J322" s="31" t="str">
        <f>VLOOKUP(A322,File!$A:$K,11,FALSE)</f>
        <v>Sep 2026</v>
      </c>
      <c r="K322" s="31" t="str">
        <f>VLOOKUP(A322,File!$A:$K,10,FALSE)</f>
        <v>In-Training</v>
      </c>
      <c r="L322" s="31" t="s">
        <v>4</v>
      </c>
      <c r="M322" t="str">
        <f>VLOOKUP(A322,Response!$A:$M,7,)</f>
        <v>PG (Paying Guest)</v>
      </c>
      <c r="N322" t="str">
        <f>VLOOKUP(A322,Response!$A:$M,8,)</f>
        <v>Geethika premium Gents PG</v>
      </c>
      <c r="O322" s="4">
        <f>VLOOKUP(A322,Response!$A:$M,10,)</f>
        <v>2</v>
      </c>
      <c r="P322" t="str">
        <f>VLOOKUP(A322,Response!$A:$M,12,)</f>
        <v>No</v>
      </c>
      <c r="Q322" t="str">
        <f>VLOOKUP(A322,Response!$A:$M,11,)</f>
        <v>Egattur</v>
      </c>
      <c r="R322" t="s">
        <v>19</v>
      </c>
      <c r="S322" s="39" t="s">
        <v>37</v>
      </c>
    </row>
    <row r="323" spans="1:19">
      <c r="A323" s="3">
        <v>2512351</v>
      </c>
      <c r="B323" t="str">
        <f>VLOOKUP(A323,File!$A:$J,2,FALSE)</f>
        <v>Mohammed Azarudeen Abdul Rahman</v>
      </c>
      <c r="C323" s="29">
        <f>VLOOKUP(A323,File!$A:$J,5,FALSE)</f>
        <v>46170</v>
      </c>
      <c r="D323" s="29" t="str">
        <f>VLOOKUP(A323,File!$A:$J,3,FALSE)</f>
        <v>Male</v>
      </c>
      <c r="E323" s="29" t="str">
        <f>VLOOKUP(A323,File!$A:$J,4,FALSE)</f>
        <v>FTE</v>
      </c>
      <c r="F323" s="29" t="str">
        <f>VLOOKUP(A323,File!$A:$J,6,FALSE)</f>
        <v>Chennai</v>
      </c>
      <c r="G323" s="29" t="str">
        <f>VLOOKUP(A323,File!$A:$J,7,FALSE)</f>
        <v>CIS26MCPT011</v>
      </c>
      <c r="H323" s="29" t="str">
        <f>VLOOKUP(A323,File!$A:$J,8,FALSE)</f>
        <v>Uma Venkatachalam</v>
      </c>
      <c r="I323" s="31">
        <f>VLOOKUP(A323,File!$A:$J,9,FALSE)</f>
        <v>46282</v>
      </c>
      <c r="J323" s="31" t="str">
        <f>VLOOKUP(A323,File!$A:$K,11,FALSE)</f>
        <v>Sep 2026</v>
      </c>
      <c r="K323" s="31" t="str">
        <f>VLOOKUP(A323,File!$A:$K,10,FALSE)</f>
        <v>In-Training</v>
      </c>
      <c r="L323" s="31" t="s">
        <v>4</v>
      </c>
      <c r="M323" t="str">
        <f>VLOOKUP(A323,Response!$A:$M,7,)</f>
        <v>PG (Paying Guest)</v>
      </c>
      <c r="N323" t="str">
        <f>VLOOKUP(A323,Response!$A:$M,8,)</f>
        <v>Geethika premium gents pg</v>
      </c>
      <c r="O323" s="4">
        <f>VLOOKUP(A323,Response!$A:$M,10,)</f>
        <v>2</v>
      </c>
      <c r="P323" t="str">
        <f>VLOOKUP(A323,Response!$A:$M,12,)</f>
        <v>No</v>
      </c>
      <c r="Q323" t="str">
        <f>VLOOKUP(A323,Response!$A:$M,11,)</f>
        <v>Egattur</v>
      </c>
      <c r="R323" t="s">
        <v>19</v>
      </c>
      <c r="S323" s="39" t="s">
        <v>37</v>
      </c>
    </row>
    <row r="324" spans="1:19">
      <c r="A324" s="3">
        <v>2531859</v>
      </c>
      <c r="B324" t="str">
        <f>VLOOKUP(A324,File!$A:$J,2,FALSE)</f>
        <v>Bitla Nithish</v>
      </c>
      <c r="C324" s="29">
        <f>VLOOKUP(A324,File!$A:$J,5,FALSE)</f>
        <v>46254</v>
      </c>
      <c r="D324" s="29" t="str">
        <f>VLOOKUP(A324,File!$A:$J,3,FALSE)</f>
        <v>Male</v>
      </c>
      <c r="E324" s="29" t="str">
        <f>VLOOKUP(A324,File!$A:$J,4,FALSE)</f>
        <v>FTE</v>
      </c>
      <c r="F324" s="29" t="str">
        <f>VLOOKUP(A324,File!$A:$J,6,FALSE)</f>
        <v>Chennai</v>
      </c>
      <c r="G324" s="29" t="str">
        <f>VLOOKUP(A324,File!$A:$J,7,FALSE)</f>
        <v>CS26CS012</v>
      </c>
      <c r="H324" s="29" t="str">
        <f>VLOOKUP(A324,File!$A:$J,8,FALSE)</f>
        <v>Laksiya Vijayendran</v>
      </c>
      <c r="I324" s="31">
        <f>VLOOKUP(A324,File!$A:$J,9,FALSE)</f>
        <v>46343</v>
      </c>
      <c r="J324" s="31" t="str">
        <f>VLOOKUP(A324,File!$A:$K,11,FALSE)</f>
        <v>Nov 2026</v>
      </c>
      <c r="K324" s="31" t="str">
        <f>VLOOKUP(A324,File!$A:$K,10,FALSE)</f>
        <v>In-Training</v>
      </c>
      <c r="L324" s="31" t="s">
        <v>4</v>
      </c>
      <c r="M324" t="str">
        <f>VLOOKUP(A324,Response!$A:$M,7,)</f>
        <v>PG (Paying Guest)</v>
      </c>
      <c r="N324" t="str">
        <f>VLOOKUP(A324,Response!$A:$M,8,)</f>
        <v>Geethika Premium Gents PG</v>
      </c>
      <c r="O324" s="4">
        <f>VLOOKUP(A324,Response!$A:$M,10,)</f>
        <v>6</v>
      </c>
      <c r="P324" t="str">
        <f>VLOOKUP(A324,Response!$A:$M,12,)</f>
        <v>No</v>
      </c>
      <c r="Q324" t="str">
        <f>VLOOKUP(A324,Response!$A:$M,11,)</f>
        <v>Siruseri</v>
      </c>
      <c r="R324" t="s">
        <v>19</v>
      </c>
      <c r="S324" s="39" t="s">
        <v>37</v>
      </c>
    </row>
    <row r="325" spans="1:19">
      <c r="A325" s="3">
        <v>2523433</v>
      </c>
      <c r="B325" t="str">
        <f>VLOOKUP(A325,File!$A:$J,2,FALSE)</f>
        <v>Ameen LNU</v>
      </c>
      <c r="C325" s="29">
        <f>VLOOKUP(A325,File!$A:$J,5,FALSE)</f>
        <v>46219</v>
      </c>
      <c r="D325" s="29" t="str">
        <f>VLOOKUP(A325,File!$A:$J,3,FALSE)</f>
        <v>Male</v>
      </c>
      <c r="E325" s="29" t="str">
        <f>VLOOKUP(A325,File!$A:$J,4,FALSE)</f>
        <v>FTE</v>
      </c>
      <c r="F325" s="29" t="str">
        <f>VLOOKUP(A325,File!$A:$J,6,FALSE)</f>
        <v>Chennai</v>
      </c>
      <c r="G325" s="29" t="str">
        <f>VLOOKUP(A325,File!$A:$J,7,FALSE)</f>
        <v>CS26CS010</v>
      </c>
      <c r="H325" s="29" t="str">
        <f>VLOOKUP(A325,File!$A:$J,8,FALSE)</f>
        <v>Laksiya Vijayendran</v>
      </c>
      <c r="I325" s="31">
        <f>VLOOKUP(A325,File!$A:$J,9,FALSE)</f>
        <v>46314</v>
      </c>
      <c r="J325" s="31" t="str">
        <f>VLOOKUP(A325,File!$A:$K,11,FALSE)</f>
        <v>Oct 2026</v>
      </c>
      <c r="K325" s="31" t="str">
        <f>VLOOKUP(A325,File!$A:$K,10,FALSE)</f>
        <v>In-Training</v>
      </c>
      <c r="L325" s="31" t="s">
        <v>4</v>
      </c>
      <c r="M325" t="str">
        <f>VLOOKUP(A325,Response!$A:$M,7,)</f>
        <v>PG (Paying Guest)</v>
      </c>
      <c r="N325" t="str">
        <f>VLOOKUP(A325,Response!$A:$M,8,)</f>
        <v>Geethika Premium Gents PG Egattur</v>
      </c>
      <c r="O325" s="4">
        <f>VLOOKUP(A325,Response!$A:$M,10,)</f>
        <v>6</v>
      </c>
      <c r="P325" t="str">
        <f>VLOOKUP(A325,Response!$A:$M,12,)</f>
        <v>Yes</v>
      </c>
      <c r="Q325" t="str">
        <f>VLOOKUP(A325,Response!$A:$M,11,)</f>
        <v>Egattur</v>
      </c>
      <c r="R325" t="s">
        <v>19</v>
      </c>
      <c r="S325" s="39" t="s">
        <v>37</v>
      </c>
    </row>
    <row r="326" spans="1:19">
      <c r="A326" s="3">
        <v>2529746</v>
      </c>
      <c r="B326" t="str">
        <f>VLOOKUP(A326,File!$A:$J,2,FALSE)</f>
        <v>Suresh Karri</v>
      </c>
      <c r="C326" s="29">
        <f>VLOOKUP(A326,File!$A:$J,5,FALSE)</f>
        <v>46245</v>
      </c>
      <c r="D326" s="29" t="str">
        <f>VLOOKUP(A326,File!$A:$J,3,FALSE)</f>
        <v>Male</v>
      </c>
      <c r="E326" s="29" t="str">
        <f>VLOOKUP(A326,File!$A:$J,4,FALSE)</f>
        <v>FTE</v>
      </c>
      <c r="F326" s="29" t="str">
        <f>VLOOKUP(A326,File!$A:$J,6,FALSE)</f>
        <v>Chennai</v>
      </c>
      <c r="G326" s="29" t="str">
        <f>VLOOKUP(A326,File!$A:$J,7,FALSE)</f>
        <v>CIS26AZ001</v>
      </c>
      <c r="H326" s="29" t="str">
        <f>VLOOKUP(A326,File!$A:$J,8,FALSE)</f>
        <v>Ashiya Begam S</v>
      </c>
      <c r="I326" s="31">
        <f>VLOOKUP(A326,File!$A:$J,9,FALSE)</f>
        <v>46335</v>
      </c>
      <c r="J326" s="31" t="str">
        <f>VLOOKUP(A326,File!$A:$K,11,FALSE)</f>
        <v>Nov 2026</v>
      </c>
      <c r="K326" s="31" t="str">
        <f>VLOOKUP(A326,File!$A:$K,10,FALSE)</f>
        <v>In-Training</v>
      </c>
      <c r="L326" s="31" t="s">
        <v>4</v>
      </c>
      <c r="M326" t="str">
        <f>VLOOKUP(A326,Response!$A:$M,7,)</f>
        <v>PG (Paying Guest)</v>
      </c>
      <c r="N326" t="str">
        <f>VLOOKUP(A326,Response!$A:$M,8,)</f>
        <v>Geethikas gents PG</v>
      </c>
      <c r="O326" s="4">
        <f>VLOOKUP(A326,Response!$A:$M,10,)</f>
        <v>3</v>
      </c>
      <c r="P326" t="str">
        <f>VLOOKUP(A326,Response!$A:$M,12,)</f>
        <v>No</v>
      </c>
      <c r="Q326" t="str">
        <f>VLOOKUP(A326,Response!$A:$M,11,)</f>
        <v>Egattur</v>
      </c>
      <c r="R326" t="s">
        <v>19</v>
      </c>
      <c r="S326" s="39" t="s">
        <v>37</v>
      </c>
    </row>
    <row r="327" spans="1:19">
      <c r="A327" s="3">
        <v>2532981</v>
      </c>
      <c r="B327" t="str">
        <f>VLOOKUP(A327,File!$A:$J,2,FALSE)</f>
        <v>Venkatesh Naroju</v>
      </c>
      <c r="C327" s="29">
        <f>VLOOKUP(A327,File!$A:$J,5,FALSE)</f>
        <v>46259</v>
      </c>
      <c r="D327" s="29" t="str">
        <f>VLOOKUP(A327,File!$A:$J,3,FALSE)</f>
        <v>Male</v>
      </c>
      <c r="E327" s="29" t="str">
        <f>VLOOKUP(A327,File!$A:$J,4,FALSE)</f>
        <v>FTE</v>
      </c>
      <c r="F327" s="29" t="str">
        <f>VLOOKUP(A327,File!$A:$J,6,FALSE)</f>
        <v>Chennai</v>
      </c>
      <c r="G327" s="29" t="str">
        <f>VLOOKUP(A327,File!$A:$J,7,FALSE)</f>
        <v>CIS26AT008</v>
      </c>
      <c r="H327" s="29" t="str">
        <f>VLOOKUP(A327,File!$A:$J,8,FALSE)</f>
        <v>Uma Venkatachalam</v>
      </c>
      <c r="I327" s="31">
        <f>VLOOKUP(A327,File!$A:$J,9,FALSE)</f>
        <v>46365</v>
      </c>
      <c r="J327" s="31" t="str">
        <f>VLOOKUP(A327,File!$A:$K,11,FALSE)</f>
        <v>Dec 2026</v>
      </c>
      <c r="K327" s="31" t="str">
        <f>VLOOKUP(A327,File!$A:$K,10,FALSE)</f>
        <v>In-Training</v>
      </c>
      <c r="L327" s="31" t="s">
        <v>4</v>
      </c>
      <c r="M327" t="str">
        <f>VLOOKUP(A327,Response!$A:$M,7,)</f>
        <v>PG (Paying Guest)</v>
      </c>
      <c r="N327" t="str">
        <f>VLOOKUP(A327,Response!$A:$M,8,)</f>
        <v>Geetika Grand Gents PG, SIPCOT, Egattur, Tamil Nadu, 603103</v>
      </c>
      <c r="O327" s="4">
        <f>VLOOKUP(A327,Response!$A:$M,10,)</f>
        <v>3</v>
      </c>
      <c r="P327" t="str">
        <f>VLOOKUP(A327,Response!$A:$M,12,)</f>
        <v>No</v>
      </c>
      <c r="Q327" t="str">
        <f>VLOOKUP(A327,Response!$A:$M,11,)</f>
        <v>Siruseri</v>
      </c>
      <c r="R327" t="s">
        <v>19</v>
      </c>
      <c r="S327" s="39" t="s">
        <v>37</v>
      </c>
    </row>
    <row r="328" spans="1:19">
      <c r="A328" s="3">
        <v>2526600</v>
      </c>
      <c r="B328" t="str">
        <f>VLOOKUP(A328,File!$A:$J,2,FALSE)</f>
        <v>Chetan Dipak Patil</v>
      </c>
      <c r="C328" s="29">
        <f>VLOOKUP(A328,File!$A:$J,5,FALSE)</f>
        <v>46233</v>
      </c>
      <c r="D328" s="29" t="str">
        <f>VLOOKUP(A328,File!$A:$J,3,FALSE)</f>
        <v>Male</v>
      </c>
      <c r="E328" s="29" t="str">
        <f>VLOOKUP(A328,File!$A:$J,4,FALSE)</f>
        <v>FTE</v>
      </c>
      <c r="F328" s="29" t="str">
        <f>VLOOKUP(A328,File!$A:$J,6,FALSE)</f>
        <v>Chennai</v>
      </c>
      <c r="G328" s="29" t="str">
        <f>VLOOKUP(A328,File!$A:$J,7,FALSE)</f>
        <v>QEA26JP001</v>
      </c>
      <c r="H328" s="29" t="str">
        <f>VLOOKUP(A328,File!$A:$J,8,FALSE)</f>
        <v>Ajiesya D P</v>
      </c>
      <c r="I328" s="31" t="str">
        <f>VLOOKUP(A328,File!$A:$J,9,FALSE)</f>
        <v/>
      </c>
      <c r="J328" s="44" t="s">
        <v>33</v>
      </c>
      <c r="K328" s="31" t="str">
        <f>VLOOKUP(A328,File!$A:$K,10,FALSE)</f>
        <v>Training - ON Hold</v>
      </c>
      <c r="L328" s="31" t="s">
        <v>4</v>
      </c>
      <c r="M328" t="str">
        <f>VLOOKUP(A328,Response!$A:$M,7,)</f>
        <v>PG (Paying Guest)</v>
      </c>
      <c r="N328" t="str">
        <f>VLOOKUP(A328,Response!$A:$M,8,)</f>
        <v>GKR PG , Egattur</v>
      </c>
      <c r="O328" s="4">
        <f>VLOOKUP(A328,Response!$A:$M,10,)</f>
        <v>3</v>
      </c>
      <c r="P328" t="str">
        <f>VLOOKUP(A328,Response!$A:$M,12,)</f>
        <v>No</v>
      </c>
      <c r="Q328" t="str">
        <f>VLOOKUP(A328,Response!$A:$M,11,)</f>
        <v>Egattur</v>
      </c>
      <c r="R328" t="s">
        <v>19</v>
      </c>
      <c r="S328" s="39" t="s">
        <v>37</v>
      </c>
    </row>
    <row r="329" spans="1:19">
      <c r="A329" s="3">
        <v>2529512</v>
      </c>
      <c r="B329" t="str">
        <f>VLOOKUP(A329,File!$A:$J,2,FALSE)</f>
        <v>Pasupuleti Santosh</v>
      </c>
      <c r="C329" s="29">
        <f>VLOOKUP(A329,File!$A:$J,5,FALSE)</f>
        <v>46245</v>
      </c>
      <c r="D329" s="29" t="str">
        <f>VLOOKUP(A329,File!$A:$J,3,FALSE)</f>
        <v>Male</v>
      </c>
      <c r="E329" s="29" t="str">
        <f>VLOOKUP(A329,File!$A:$J,4,FALSE)</f>
        <v>FTE</v>
      </c>
      <c r="F329" s="29" t="str">
        <f>VLOOKUP(A329,File!$A:$J,6,FALSE)</f>
        <v>Chennai</v>
      </c>
      <c r="G329" s="29" t="str">
        <f>VLOOKUP(A329,File!$A:$J,7,FALSE)</f>
        <v>CIS26MCPT025</v>
      </c>
      <c r="H329" s="29" t="str">
        <f>VLOOKUP(A329,File!$A:$J,8,FALSE)</f>
        <v>Vignesh S</v>
      </c>
      <c r="I329" s="31">
        <f>VLOOKUP(A329,File!$A:$J,9,FALSE)</f>
        <v>46359</v>
      </c>
      <c r="J329" s="31" t="str">
        <f>VLOOKUP(A329,File!$A:$K,11,FALSE)</f>
        <v>Dec 2026</v>
      </c>
      <c r="K329" s="31" t="str">
        <f>VLOOKUP(A329,File!$A:$K,10,FALSE)</f>
        <v>In-Training</v>
      </c>
      <c r="L329" s="31" t="s">
        <v>4</v>
      </c>
      <c r="M329" t="str">
        <f>VLOOKUP(A329,Response!$A:$M,7,)</f>
        <v>PG (Paying Guest)</v>
      </c>
      <c r="N329" t="str">
        <f>VLOOKUP(A329,Response!$A:$M,8,)</f>
        <v>GKR PG FOR MENS</v>
      </c>
      <c r="O329" s="4">
        <f>VLOOKUP(A329,Response!$A:$M,10,)</f>
        <v>2</v>
      </c>
      <c r="P329" t="str">
        <f>VLOOKUP(A329,Response!$A:$M,12,)</f>
        <v>No</v>
      </c>
      <c r="Q329" t="str">
        <f>VLOOKUP(A329,Response!$A:$M,11,)</f>
        <v>Egattur</v>
      </c>
      <c r="R329" t="s">
        <v>19</v>
      </c>
      <c r="S329" s="39" t="s">
        <v>37</v>
      </c>
    </row>
    <row r="330" spans="1:19">
      <c r="A330" s="3">
        <v>2516751</v>
      </c>
      <c r="B330" t="str">
        <f>VLOOKUP(A330,File!$A:$J,2,FALSE)</f>
        <v>Rupendra P</v>
      </c>
      <c r="C330" s="29">
        <f>VLOOKUP(A330,File!$A:$J,5,FALSE)</f>
        <v>46191</v>
      </c>
      <c r="D330" s="29" t="str">
        <f>VLOOKUP(A330,File!$A:$J,3,FALSE)</f>
        <v>Male</v>
      </c>
      <c r="E330" s="29" t="str">
        <f>VLOOKUP(A330,File!$A:$J,4,FALSE)</f>
        <v>FTE</v>
      </c>
      <c r="F330" s="29" t="str">
        <f>VLOOKUP(A330,File!$A:$J,6,FALSE)</f>
        <v>Chennai</v>
      </c>
      <c r="G330" s="29" t="str">
        <f>VLOOKUP(A330,File!$A:$J,7,FALSE)</f>
        <v>CIS26MW001</v>
      </c>
      <c r="H330" s="29" t="str">
        <f>VLOOKUP(A330,File!$A:$J,8,FALSE)</f>
        <v>Ashiya Begam S</v>
      </c>
      <c r="I330" s="31">
        <f>VLOOKUP(A330,File!$A:$J,9,FALSE)</f>
        <v>46276</v>
      </c>
      <c r="J330" s="31" t="str">
        <f>VLOOKUP(A330,File!$A:$K,11,FALSE)</f>
        <v>Sep 2026</v>
      </c>
      <c r="K330" s="31" t="str">
        <f>VLOOKUP(A330,File!$A:$K,10,FALSE)</f>
        <v>In-Training</v>
      </c>
      <c r="L330" s="31" t="s">
        <v>4</v>
      </c>
      <c r="M330" t="str">
        <f>VLOOKUP(A330,Response!$A:$M,7,)</f>
        <v>PG (Paying Guest)</v>
      </c>
      <c r="N330" t="str">
        <f>VLOOKUP(A330,Response!$A:$M,8,)</f>
        <v>GKR PG FOR MENS</v>
      </c>
      <c r="O330" s="4">
        <f>VLOOKUP(A330,Response!$A:$M,10,)</f>
        <v>2</v>
      </c>
      <c r="P330" t="str">
        <f>VLOOKUP(A330,Response!$A:$M,12,)</f>
        <v>Yes</v>
      </c>
      <c r="Q330" t="str">
        <f>VLOOKUP(A330,Response!$A:$M,11,)</f>
        <v>Egattur</v>
      </c>
      <c r="R330" t="s">
        <v>19</v>
      </c>
      <c r="S330" s="39" t="s">
        <v>37</v>
      </c>
    </row>
    <row r="331" spans="1:19">
      <c r="A331" s="3">
        <v>2531866</v>
      </c>
      <c r="B331" t="str">
        <f>VLOOKUP(A331,File!$A:$J,2,FALSE)</f>
        <v>M Madhan</v>
      </c>
      <c r="C331" s="29">
        <f>VLOOKUP(A331,File!$A:$J,5,FALSE)</f>
        <v>46254</v>
      </c>
      <c r="D331" s="29" t="str">
        <f>VLOOKUP(A331,File!$A:$J,3,FALSE)</f>
        <v>Male</v>
      </c>
      <c r="E331" s="29" t="str">
        <f>VLOOKUP(A331,File!$A:$J,4,FALSE)</f>
        <v>FTE</v>
      </c>
      <c r="F331" s="29" t="str">
        <f>VLOOKUP(A331,File!$A:$J,6,FALSE)</f>
        <v>Chennai</v>
      </c>
      <c r="G331" s="29" t="str">
        <f>VLOOKUP(A331,File!$A:$J,7,FALSE)</f>
        <v>CS26CS011</v>
      </c>
      <c r="H331" s="29" t="str">
        <f>VLOOKUP(A331,File!$A:$J,8,FALSE)</f>
        <v>Kishorekumar P</v>
      </c>
      <c r="I331" s="31">
        <f>VLOOKUP(A331,File!$A:$J,9,FALSE)</f>
        <v>46343</v>
      </c>
      <c r="J331" s="31" t="str">
        <f>VLOOKUP(A331,File!$A:$K,11,FALSE)</f>
        <v>Nov 2026</v>
      </c>
      <c r="K331" s="31" t="str">
        <f>VLOOKUP(A331,File!$A:$K,10,FALSE)</f>
        <v>In-Training</v>
      </c>
      <c r="L331" s="31" t="s">
        <v>4</v>
      </c>
      <c r="M331" t="str">
        <f>VLOOKUP(A331,Response!$A:$M,7,)</f>
        <v>PG (Paying Guest)</v>
      </c>
      <c r="N331" t="str">
        <f>VLOOKUP(A331,Response!$A:$M,8,)</f>
        <v>GKR Premium PG Egattur</v>
      </c>
      <c r="O331" s="4" t="str">
        <f>VLOOKUP(A331,Response!$A:$M,10,)</f>
        <v>GF</v>
      </c>
      <c r="P331" t="str">
        <f>VLOOKUP(A331,Response!$A:$M,12,)</f>
        <v>No</v>
      </c>
      <c r="Q331" t="str">
        <f>VLOOKUP(A331,Response!$A:$M,11,)</f>
        <v>Siruseri</v>
      </c>
      <c r="R331" t="s">
        <v>19</v>
      </c>
      <c r="S331" s="39" t="s">
        <v>37</v>
      </c>
    </row>
    <row r="332" spans="1:19">
      <c r="A332" s="3">
        <v>2516828</v>
      </c>
      <c r="B332" t="str">
        <f>VLOOKUP(A332,File!$A:$J,2,FALSE)</f>
        <v>Cheppali Shafiunnisa</v>
      </c>
      <c r="C332" s="29">
        <f>VLOOKUP(A332,File!$A:$J,5,FALSE)</f>
        <v>46191</v>
      </c>
      <c r="D332" s="29" t="str">
        <f>VLOOKUP(A332,File!$A:$J,3,FALSE)</f>
        <v>Female</v>
      </c>
      <c r="E332" s="29" t="str">
        <f>VLOOKUP(A332,File!$A:$J,4,FALSE)</f>
        <v>FTE</v>
      </c>
      <c r="F332" s="29" t="str">
        <f>VLOOKUP(A332,File!$A:$J,6,FALSE)</f>
        <v>Chennai</v>
      </c>
      <c r="G332" s="29" t="str">
        <f>VLOOKUP(A332,File!$A:$J,7,FALSE)</f>
        <v>CIS26MW001</v>
      </c>
      <c r="H332" s="29" t="str">
        <f>VLOOKUP(A332,File!$A:$J,8,FALSE)</f>
        <v>Ashiya Begam S</v>
      </c>
      <c r="I332" s="31">
        <f>VLOOKUP(A332,File!$A:$J,9,FALSE)</f>
        <v>46276</v>
      </c>
      <c r="J332" s="31" t="str">
        <f>VLOOKUP(A332,File!$A:$K,11,FALSE)</f>
        <v>Sep 2026</v>
      </c>
      <c r="K332" s="31" t="str">
        <f>VLOOKUP(A332,File!$A:$K,10,FALSE)</f>
        <v>In-Training</v>
      </c>
      <c r="L332" s="31" t="s">
        <v>4</v>
      </c>
      <c r="M332" t="str">
        <f>VLOOKUP(A332,Response!$A:$M,7,)</f>
        <v>PG (Paying Guest)</v>
      </c>
      <c r="N332" t="str">
        <f>VLOOKUP(A332,Response!$A:$M,8,)</f>
        <v>Golden india PG - Karapakkam</v>
      </c>
      <c r="O332" s="4">
        <f>VLOOKUP(A332,Response!$A:$M,10,)</f>
        <v>1</v>
      </c>
      <c r="P332" t="str">
        <f>VLOOKUP(A332,Response!$A:$M,12,)</f>
        <v>No</v>
      </c>
      <c r="Q332" t="str">
        <f>VLOOKUP(A332,Response!$A:$M,11,)</f>
        <v>Siruseri</v>
      </c>
      <c r="R332" t="s">
        <v>19</v>
      </c>
      <c r="S332" s="39" t="s">
        <v>37</v>
      </c>
    </row>
    <row r="333" spans="1:19">
      <c r="A333" s="3">
        <v>2523401</v>
      </c>
      <c r="B333" t="str">
        <f>VLOOKUP(A333,File!$A:$J,2,FALSE)</f>
        <v>Hari Bharadwaj Perubhotla</v>
      </c>
      <c r="C333" s="29">
        <f>VLOOKUP(A333,File!$A:$J,5,FALSE)</f>
        <v>46219</v>
      </c>
      <c r="D333" s="29" t="str">
        <f>VLOOKUP(A333,File!$A:$J,3,FALSE)</f>
        <v>Male</v>
      </c>
      <c r="E333" s="29" t="str">
        <f>VLOOKUP(A333,File!$A:$J,4,FALSE)</f>
        <v>FTE</v>
      </c>
      <c r="F333" s="29" t="str">
        <f>VLOOKUP(A333,File!$A:$J,6,FALSE)</f>
        <v>Chennai</v>
      </c>
      <c r="G333" s="29" t="str">
        <f>VLOOKUP(A333,File!$A:$J,7,FALSE)</f>
        <v>CS26CS010</v>
      </c>
      <c r="H333" s="29" t="str">
        <f>VLOOKUP(A333,File!$A:$J,8,FALSE)</f>
        <v>Laksiya Vijayendran</v>
      </c>
      <c r="I333" s="31">
        <f>VLOOKUP(A333,File!$A:$J,9,FALSE)</f>
        <v>46314</v>
      </c>
      <c r="J333" s="31" t="str">
        <f>VLOOKUP(A333,File!$A:$K,11,FALSE)</f>
        <v>Oct 2026</v>
      </c>
      <c r="K333" s="31" t="str">
        <f>VLOOKUP(A333,File!$A:$K,10,FALSE)</f>
        <v>In-Training</v>
      </c>
      <c r="L333" s="31" t="s">
        <v>5</v>
      </c>
      <c r="M333" t="str">
        <f>VLOOKUP(A333,Response!$A:$M,7,)</f>
        <v>Relatives Residence</v>
      </c>
      <c r="N333" t="str">
        <f>VLOOKUP(A333,Response!$A:$M,8,)</f>
        <v>Grande Vista Apartments, Classic Farms Avenue, Shollinganallur, Chennai - 600119</v>
      </c>
      <c r="O333" s="4">
        <f>VLOOKUP(A333,Response!$A:$M,10,)</f>
        <v>1</v>
      </c>
      <c r="P333" t="str">
        <f>VLOOKUP(A333,Response!$A:$M,12,)</f>
        <v>Yes</v>
      </c>
      <c r="Q333" t="str">
        <f>VLOOKUP(A333,Response!$A:$M,11,)</f>
        <v>Sholinganallur</v>
      </c>
      <c r="R333" t="s">
        <v>17</v>
      </c>
      <c r="S333" t="s">
        <v>38</v>
      </c>
    </row>
    <row r="334" spans="1:19">
      <c r="A334" s="3">
        <v>2529554</v>
      </c>
      <c r="B334" t="str">
        <f>VLOOKUP(A334,File!$A:$J,2,FALSE)</f>
        <v>Mehan K</v>
      </c>
      <c r="C334" s="29">
        <f>VLOOKUP(A334,File!$A:$J,5,FALSE)</f>
        <v>46245</v>
      </c>
      <c r="D334" s="29" t="str">
        <f>VLOOKUP(A334,File!$A:$J,3,FALSE)</f>
        <v>Male</v>
      </c>
      <c r="E334" s="29" t="str">
        <f>VLOOKUP(A334,File!$A:$J,4,FALSE)</f>
        <v>FTE</v>
      </c>
      <c r="F334" s="29" t="str">
        <f>VLOOKUP(A334,File!$A:$J,6,FALSE)</f>
        <v>Chennai</v>
      </c>
      <c r="G334" s="29" t="str">
        <f>VLOOKUP(A334,File!$A:$J,7,FALSE)</f>
        <v>CIS26MCPT021</v>
      </c>
      <c r="H334" s="29" t="str">
        <f>VLOOKUP(A334,File!$A:$J,8,FALSE)</f>
        <v>Uma Venkatachalam</v>
      </c>
      <c r="I334" s="31">
        <f>VLOOKUP(A334,File!$A:$J,9,FALSE)</f>
        <v>46364</v>
      </c>
      <c r="J334" s="31" t="str">
        <f>VLOOKUP(A334,File!$A:$K,11,FALSE)</f>
        <v>Dec 2026</v>
      </c>
      <c r="K334" s="31" t="str">
        <f>VLOOKUP(A334,File!$A:$K,10,FALSE)</f>
        <v>In-Training</v>
      </c>
      <c r="L334" s="31" t="s">
        <v>4</v>
      </c>
      <c r="M334" t="str">
        <f>VLOOKUP(A334,Response!$A:$M,7,)</f>
        <v>PG (Paying Guest)</v>
      </c>
      <c r="N334" t="str">
        <f>VLOOKUP(A334,Response!$A:$M,8,)</f>
        <v>GTR MANS PG</v>
      </c>
      <c r="O334" s="4">
        <f>VLOOKUP(A334,Response!$A:$M,10,)</f>
        <v>4</v>
      </c>
      <c r="P334" t="str">
        <f>VLOOKUP(A334,Response!$A:$M,12,)</f>
        <v>No</v>
      </c>
      <c r="Q334" t="str">
        <f>VLOOKUP(A334,Response!$A:$M,11,)</f>
        <v>Navalur</v>
      </c>
      <c r="R334" t="s">
        <v>19</v>
      </c>
      <c r="S334" s="39" t="s">
        <v>37</v>
      </c>
    </row>
    <row r="335" spans="1:19">
      <c r="A335" s="3">
        <v>2531798</v>
      </c>
      <c r="B335" t="str">
        <f>VLOOKUP(A335,File!$A:$J,2,FALSE)</f>
        <v>Anikate Dahiya</v>
      </c>
      <c r="C335" s="29">
        <f>VLOOKUP(A335,File!$A:$J,5,FALSE)</f>
        <v>46254</v>
      </c>
      <c r="D335" s="29" t="str">
        <f>VLOOKUP(A335,File!$A:$J,3,FALSE)</f>
        <v>Male</v>
      </c>
      <c r="E335" s="29" t="str">
        <f>VLOOKUP(A335,File!$A:$J,4,FALSE)</f>
        <v>Intern</v>
      </c>
      <c r="F335" s="29" t="str">
        <f>VLOOKUP(A335,File!$A:$J,6,FALSE)</f>
        <v>Chennai</v>
      </c>
      <c r="G335" s="29" t="str">
        <f>VLOOKUP(A335,File!$A:$J,7,FALSE)</f>
        <v>INTFE26FE001</v>
      </c>
      <c r="H335" s="29" t="str">
        <f>VLOOKUP(A335,File!$A:$J,8,FALSE)</f>
        <v>Grace Esther S</v>
      </c>
      <c r="I335" s="31">
        <f>VLOOKUP(A335,File!$A:$J,9,FALSE)</f>
        <v>46310</v>
      </c>
      <c r="J335" s="31" t="str">
        <f>VLOOKUP(A335,File!$A:$K,11,FALSE)</f>
        <v>Oct 2026</v>
      </c>
      <c r="K335" s="31" t="str">
        <f>VLOOKUP(A335,File!$A:$K,10,FALSE)</f>
        <v>In-Training</v>
      </c>
      <c r="L335" s="31" t="s">
        <v>4</v>
      </c>
      <c r="M335" t="str">
        <f>VLOOKUP(A335,Response!$A:$M,7,)</f>
        <v>PG (Paying Guest)</v>
      </c>
      <c r="N335" t="str">
        <f>VLOOKUP(A335,Response!$A:$M,8,)</f>
        <v>GTR Stays</v>
      </c>
      <c r="O335" s="4">
        <f>VLOOKUP(A335,Response!$A:$M,10,)</f>
        <v>1</v>
      </c>
      <c r="P335" t="str">
        <f>VLOOKUP(A335,Response!$A:$M,12,)</f>
        <v>No</v>
      </c>
      <c r="Q335" t="str">
        <f>VLOOKUP(A335,Response!$A:$M,11,)</f>
        <v>Egattur</v>
      </c>
      <c r="R335" t="s">
        <v>19</v>
      </c>
      <c r="S335" s="39" t="s">
        <v>37</v>
      </c>
    </row>
    <row r="336" spans="1:19">
      <c r="A336" s="3">
        <v>2521843</v>
      </c>
      <c r="B336" t="str">
        <f>VLOOKUP(A336,File!$A:$J,2,FALSE)</f>
        <v>Maragoni Dinesh</v>
      </c>
      <c r="C336" s="29">
        <f>VLOOKUP(A336,File!$A:$J,5,FALSE)</f>
        <v>46212</v>
      </c>
      <c r="D336" s="29" t="str">
        <f>VLOOKUP(A336,File!$A:$J,3,FALSE)</f>
        <v>Male</v>
      </c>
      <c r="E336" s="29" t="str">
        <f>VLOOKUP(A336,File!$A:$J,4,FALSE)</f>
        <v>FTE</v>
      </c>
      <c r="F336" s="29" t="str">
        <f>VLOOKUP(A336,File!$A:$J,6,FALSE)</f>
        <v>Chennai</v>
      </c>
      <c r="G336" s="29" t="str">
        <f>VLOOKUP(A336,File!$A:$J,7,FALSE)</f>
        <v>QEA26DS001</v>
      </c>
      <c r="H336" s="29" t="str">
        <f>VLOOKUP(A336,File!$A:$J,8,FALSE)</f>
        <v>Lourdhu Selvin Raj X</v>
      </c>
      <c r="I336" s="31">
        <f>VLOOKUP(A336,File!$A:$J,9,FALSE)</f>
        <v>46325</v>
      </c>
      <c r="J336" s="31" t="str">
        <f>VLOOKUP(A336,File!$A:$K,11,FALSE)</f>
        <v>Oct 2026</v>
      </c>
      <c r="K336" s="31" t="str">
        <f>VLOOKUP(A336,File!$A:$K,10,FALSE)</f>
        <v>In-Training</v>
      </c>
      <c r="L336" s="31" t="s">
        <v>4</v>
      </c>
      <c r="M336" t="str">
        <f>VLOOKUP(A336,Response!$A:$M,7,)</f>
        <v>PG (Paying Guest)</v>
      </c>
      <c r="N336" t="str">
        <f>VLOOKUP(A336,Response!$A:$M,8,)</f>
        <v>gtr stays</v>
      </c>
      <c r="O336" s="4">
        <f>VLOOKUP(A336,Response!$A:$M,10,)</f>
        <v>3</v>
      </c>
      <c r="P336" t="str">
        <f>VLOOKUP(A336,Response!$A:$M,12,)</f>
        <v>No</v>
      </c>
      <c r="Q336" t="str">
        <f>VLOOKUP(A336,Response!$A:$M,11,)</f>
        <v>Siruseri</v>
      </c>
      <c r="R336" t="s">
        <v>19</v>
      </c>
      <c r="S336" s="39" t="s">
        <v>37</v>
      </c>
    </row>
    <row r="337" spans="1:19">
      <c r="A337" s="3">
        <v>2526150</v>
      </c>
      <c r="B337" t="str">
        <f>VLOOKUP(A337,File!$A:$J,2,FALSE)</f>
        <v>Inaganti Nikhil</v>
      </c>
      <c r="C337" s="29">
        <f>VLOOKUP(A337,File!$A:$J,5,FALSE)</f>
        <v>46231</v>
      </c>
      <c r="D337" s="29" t="str">
        <f>VLOOKUP(A337,File!$A:$J,3,FALSE)</f>
        <v>Male</v>
      </c>
      <c r="E337" s="29" t="str">
        <f>VLOOKUP(A337,File!$A:$J,4,FALSE)</f>
        <v>FTE</v>
      </c>
      <c r="F337" s="29" t="str">
        <f>VLOOKUP(A337,File!$A:$J,6,FALSE)</f>
        <v>Chennai</v>
      </c>
      <c r="G337" s="29" t="str">
        <f>VLOOKUP(A337,File!$A:$J,7,FALSE)</f>
        <v>QEA26DS001</v>
      </c>
      <c r="H337" s="29" t="str">
        <f>VLOOKUP(A337,File!$A:$J,8,FALSE)</f>
        <v>Lourdhu Selvin Raj X</v>
      </c>
      <c r="I337" s="31">
        <f>VLOOKUP(A337,File!$A:$J,9,FALSE)</f>
        <v>46325</v>
      </c>
      <c r="J337" s="31" t="str">
        <f>VLOOKUP(A337,File!$A:$K,11,FALSE)</f>
        <v>Oct 2026</v>
      </c>
      <c r="K337" s="31" t="str">
        <f>VLOOKUP(A337,File!$A:$K,10,FALSE)</f>
        <v>In-Training</v>
      </c>
      <c r="L337" s="31" t="s">
        <v>4</v>
      </c>
      <c r="M337" t="str">
        <f>VLOOKUP(A337,Response!$A:$M,7,)</f>
        <v>PG (Paying Guest)</v>
      </c>
      <c r="N337" t="str">
        <f>VLOOKUP(A337,Response!$A:$M,8,)</f>
        <v>GTR Stays</v>
      </c>
      <c r="O337" s="4">
        <f>VLOOKUP(A337,Response!$A:$M,10,)</f>
        <v>4</v>
      </c>
      <c r="P337" t="str">
        <f>VLOOKUP(A337,Response!$A:$M,12,)</f>
        <v>Yes</v>
      </c>
      <c r="Q337" t="str">
        <f>VLOOKUP(A337,Response!$A:$M,11,)</f>
        <v>Siruseri</v>
      </c>
      <c r="R337" t="s">
        <v>19</v>
      </c>
      <c r="S337" s="39" t="s">
        <v>37</v>
      </c>
    </row>
    <row r="338" spans="1:19">
      <c r="A338" s="3">
        <v>2531951</v>
      </c>
      <c r="B338" t="str">
        <f>VLOOKUP(A338,File!$A:$J,2,FALSE)</f>
        <v>Parthiv Reddy Pelluru</v>
      </c>
      <c r="C338" s="29">
        <f>VLOOKUP(A338,File!$A:$J,5,FALSE)</f>
        <v>46254</v>
      </c>
      <c r="D338" s="29" t="str">
        <f>VLOOKUP(A338,File!$A:$J,3,FALSE)</f>
        <v>Male</v>
      </c>
      <c r="E338" s="29" t="str">
        <f>VLOOKUP(A338,File!$A:$J,4,FALSE)</f>
        <v>FTE</v>
      </c>
      <c r="F338" s="29" t="str">
        <f>VLOOKUP(A338,File!$A:$J,6,FALSE)</f>
        <v>Chennai</v>
      </c>
      <c r="G338" s="29" t="str">
        <f>VLOOKUP(A338,File!$A:$J,7,FALSE)</f>
        <v>FE26FE001</v>
      </c>
      <c r="H338" s="29" t="str">
        <f>VLOOKUP(A338,File!$A:$J,8,FALSE)</f>
        <v>Grace Esther S</v>
      </c>
      <c r="I338" s="31">
        <f>VLOOKUP(A338,File!$A:$J,9,FALSE)</f>
        <v>46310</v>
      </c>
      <c r="J338" s="31" t="str">
        <f>VLOOKUP(A338,File!$A:$K,11,FALSE)</f>
        <v>Oct 2026</v>
      </c>
      <c r="K338" s="31" t="str">
        <f>VLOOKUP(A338,File!$A:$K,10,FALSE)</f>
        <v>In-Training</v>
      </c>
      <c r="L338" s="31" t="s">
        <v>4</v>
      </c>
      <c r="M338" t="str">
        <f>VLOOKUP(A338,Response!$A:$M,7,)</f>
        <v>PG (Paying Guest)</v>
      </c>
      <c r="N338" t="str">
        <f>VLOOKUP(A338,Response!$A:$M,8,)</f>
        <v>GTR Stays - PG,Egattur</v>
      </c>
      <c r="O338" s="4">
        <f>VLOOKUP(A338,Response!$A:$M,10,)</f>
        <v>2</v>
      </c>
      <c r="P338" t="str">
        <f>VLOOKUP(A338,Response!$A:$M,12,)</f>
        <v>Yes</v>
      </c>
      <c r="Q338" t="str">
        <f>VLOOKUP(A338,Response!$A:$M,11,)</f>
        <v>Navalur</v>
      </c>
      <c r="R338" t="s">
        <v>19</v>
      </c>
      <c r="S338" s="39" t="s">
        <v>37</v>
      </c>
    </row>
    <row r="339" spans="1:19">
      <c r="A339" s="3">
        <v>2531797</v>
      </c>
      <c r="B339" t="str">
        <f>VLOOKUP(A339,File!$A:$J,2,FALSE)</f>
        <v>OM Prakash Kumar</v>
      </c>
      <c r="C339" s="29">
        <f>VLOOKUP(A339,File!$A:$J,5,FALSE)</f>
        <v>46254</v>
      </c>
      <c r="D339" s="29" t="str">
        <f>VLOOKUP(A339,File!$A:$J,3,FALSE)</f>
        <v>Male</v>
      </c>
      <c r="E339" s="29" t="str">
        <f>VLOOKUP(A339,File!$A:$J,4,FALSE)</f>
        <v>Intern</v>
      </c>
      <c r="F339" s="29" t="str">
        <f>VLOOKUP(A339,File!$A:$J,6,FALSE)</f>
        <v>Chennai</v>
      </c>
      <c r="G339" s="29" t="str">
        <f>VLOOKUP(A339,File!$A:$J,7,FALSE)</f>
        <v>INTFE26FE001</v>
      </c>
      <c r="H339" s="29" t="str">
        <f>VLOOKUP(A339,File!$A:$J,8,FALSE)</f>
        <v>Grace Esther S</v>
      </c>
      <c r="I339" s="31">
        <f>VLOOKUP(A339,File!$A:$J,9,FALSE)</f>
        <v>46310</v>
      </c>
      <c r="J339" s="31" t="str">
        <f>VLOOKUP(A339,File!$A:$K,11,FALSE)</f>
        <v>Oct 2026</v>
      </c>
      <c r="K339" s="31" t="str">
        <f>VLOOKUP(A339,File!$A:$K,10,FALSE)</f>
        <v>In-Training</v>
      </c>
      <c r="L339" s="31" t="s">
        <v>4</v>
      </c>
      <c r="M339" t="str">
        <f>VLOOKUP(A339,Response!$A:$M,7,)</f>
        <v>PG (Paying Guest)</v>
      </c>
      <c r="N339" t="str">
        <f>VLOOKUP(A339,Response!$A:$M,8,)</f>
        <v>GTR Stays - Siruseri</v>
      </c>
      <c r="O339" s="4">
        <f>VLOOKUP(A339,Response!$A:$M,10,)</f>
        <v>1</v>
      </c>
      <c r="P339" t="str">
        <f>VLOOKUP(A339,Response!$A:$M,12,)</f>
        <v>No</v>
      </c>
      <c r="Q339" t="str">
        <f>VLOOKUP(A339,Response!$A:$M,11,)</f>
        <v>Siruseri</v>
      </c>
      <c r="R339" t="s">
        <v>19</v>
      </c>
      <c r="S339" s="39" t="s">
        <v>37</v>
      </c>
    </row>
    <row r="340" spans="1:19">
      <c r="A340" s="3">
        <v>2525066</v>
      </c>
      <c r="B340" t="str">
        <f>VLOOKUP(A340,File!$A:$J,2,FALSE)</f>
        <v>Dulam Jaya Surya</v>
      </c>
      <c r="C340" s="29">
        <f>VLOOKUP(A340,File!$A:$J,5,FALSE)</f>
        <v>46226</v>
      </c>
      <c r="D340" s="29" t="str">
        <f>VLOOKUP(A340,File!$A:$J,3,FALSE)</f>
        <v>Male</v>
      </c>
      <c r="E340" s="29" t="str">
        <f>VLOOKUP(A340,File!$A:$J,4,FALSE)</f>
        <v>FTE</v>
      </c>
      <c r="F340" s="29" t="str">
        <f>VLOOKUP(A340,File!$A:$J,6,FALSE)</f>
        <v>Chennai</v>
      </c>
      <c r="G340" s="29" t="str">
        <f>VLOOKUP(A340,File!$A:$J,7,FALSE)</f>
        <v>ADM26ISMO010</v>
      </c>
      <c r="H340" s="29" t="str">
        <f>VLOOKUP(A340,File!$A:$J,8,FALSE)</f>
        <v>Thomas Naveen. J</v>
      </c>
      <c r="I340" s="31">
        <f>VLOOKUP(A340,File!$A:$J,9,FALSE)</f>
        <v>46301</v>
      </c>
      <c r="J340" s="31" t="str">
        <f>VLOOKUP(A340,File!$A:$K,11,FALSE)</f>
        <v>Oct 2026</v>
      </c>
      <c r="K340" s="31" t="str">
        <f>VLOOKUP(A340,File!$A:$K,10,FALSE)</f>
        <v>In-Training</v>
      </c>
      <c r="L340" s="31" t="s">
        <v>4</v>
      </c>
      <c r="M340" t="str">
        <f>VLOOKUP(A340,Response!$A:$M,7,)</f>
        <v>PG (Paying Guest)</v>
      </c>
      <c r="N340" t="str">
        <f>VLOOKUP(A340,Response!$A:$M,8,)</f>
        <v>Gtr stays</v>
      </c>
      <c r="O340" s="4">
        <f>VLOOKUP(A340,Response!$A:$M,10,)</f>
        <v>2</v>
      </c>
      <c r="P340" t="str">
        <f>VLOOKUP(A340,Response!$A:$M,12,)</f>
        <v>No</v>
      </c>
      <c r="Q340" t="str">
        <f>VLOOKUP(A340,Response!$A:$M,11,)</f>
        <v>Siruseri</v>
      </c>
      <c r="R340" t="s">
        <v>19</v>
      </c>
      <c r="S340" s="39" t="s">
        <v>37</v>
      </c>
    </row>
    <row r="341" spans="1:19">
      <c r="A341" s="3">
        <v>2524638</v>
      </c>
      <c r="B341" t="str">
        <f>VLOOKUP(A341,File!$A:$J,2,FALSE)</f>
        <v>Chikkam Chandra Srinivas</v>
      </c>
      <c r="C341" s="29">
        <f>VLOOKUP(A341,File!$A:$J,5,FALSE)</f>
        <v>46224</v>
      </c>
      <c r="D341" s="29" t="str">
        <f>VLOOKUP(A341,File!$A:$J,3,FALSE)</f>
        <v>Male</v>
      </c>
      <c r="E341" s="29" t="str">
        <f>VLOOKUP(A341,File!$A:$J,4,FALSE)</f>
        <v>FTE</v>
      </c>
      <c r="F341" s="29" t="str">
        <f>VLOOKUP(A341,File!$A:$J,6,FALSE)</f>
        <v>Chennai</v>
      </c>
      <c r="G341" s="29" t="str">
        <f>VLOOKUP(A341,File!$A:$J,7,FALSE)</f>
        <v>ADM26MF012</v>
      </c>
      <c r="H341" s="29" t="str">
        <f>VLOOKUP(A341,File!$A:$J,8,FALSE)</f>
        <v>Lourdhu Selvin Raj X</v>
      </c>
      <c r="I341" s="31">
        <f>VLOOKUP(A341,File!$A:$J,9,FALSE)</f>
        <v>46343</v>
      </c>
      <c r="J341" s="31" t="str">
        <f>VLOOKUP(A341,File!$A:$K,11,FALSE)</f>
        <v>Nov 2026</v>
      </c>
      <c r="K341" s="31" t="str">
        <f>VLOOKUP(A341,File!$A:$K,10,FALSE)</f>
        <v>In-Training</v>
      </c>
      <c r="L341" s="31" t="s">
        <v>4</v>
      </c>
      <c r="M341" t="str">
        <f>VLOOKUP(A341,Response!$A:$M,7,)</f>
        <v>PG (Paying Guest)</v>
      </c>
      <c r="N341" t="str">
        <f>VLOOKUP(A341,Response!$A:$M,8,)</f>
        <v>GTR STAYS, PLOT NO :38, TVH TERRA HUB, 4TH STREET, SIRUSERI, EGATTUR, TAMILNADU,600130</v>
      </c>
      <c r="O341" s="4">
        <f>VLOOKUP(A341,Response!$A:$M,10,)</f>
        <v>2</v>
      </c>
      <c r="P341" t="str">
        <f>VLOOKUP(A341,Response!$A:$M,12,)</f>
        <v>No</v>
      </c>
      <c r="Q341" t="str">
        <f>VLOOKUP(A341,Response!$A:$M,11,)</f>
        <v>Siruseri</v>
      </c>
      <c r="R341" t="s">
        <v>19</v>
      </c>
      <c r="S341" s="39" t="s">
        <v>37</v>
      </c>
    </row>
    <row r="342" spans="1:19">
      <c r="A342" s="3">
        <v>2526148</v>
      </c>
      <c r="B342" t="str">
        <f>VLOOKUP(A342,File!$A:$J,2,FALSE)</f>
        <v>Thatikonda Vigneshwar</v>
      </c>
      <c r="C342" s="29">
        <f>VLOOKUP(A342,File!$A:$J,5,FALSE)</f>
        <v>46231</v>
      </c>
      <c r="D342" s="29" t="str">
        <f>VLOOKUP(A342,File!$A:$J,3,FALSE)</f>
        <v>Male</v>
      </c>
      <c r="E342" s="29" t="str">
        <f>VLOOKUP(A342,File!$A:$J,4,FALSE)</f>
        <v>FTE</v>
      </c>
      <c r="F342" s="29" t="str">
        <f>VLOOKUP(A342,File!$A:$J,6,FALSE)</f>
        <v>Chennai</v>
      </c>
      <c r="G342" s="29" t="str">
        <f>VLOOKUP(A342,File!$A:$J,7,FALSE)</f>
        <v>QEA26DS001</v>
      </c>
      <c r="H342" s="29" t="str">
        <f>VLOOKUP(A342,File!$A:$J,8,FALSE)</f>
        <v>Lourdhu Selvin Raj X</v>
      </c>
      <c r="I342" s="31">
        <f>VLOOKUP(A342,File!$A:$J,9,FALSE)</f>
        <v>46325</v>
      </c>
      <c r="J342" s="31" t="str">
        <f>VLOOKUP(A342,File!$A:$K,11,FALSE)</f>
        <v>Oct 2026</v>
      </c>
      <c r="K342" s="31" t="str">
        <f>VLOOKUP(A342,File!$A:$K,10,FALSE)</f>
        <v>In-Training</v>
      </c>
      <c r="L342" s="31" t="s">
        <v>4</v>
      </c>
      <c r="M342" t="str">
        <f>VLOOKUP(A342,Response!$A:$M,7,)</f>
        <v>PG (Paying Guest)</v>
      </c>
      <c r="N342" t="str">
        <f>VLOOKUP(A342,Response!$A:$M,8,)</f>
        <v>GTR stays,Egattur</v>
      </c>
      <c r="O342" s="4">
        <f>VLOOKUP(A342,Response!$A:$M,10,)</f>
        <v>4</v>
      </c>
      <c r="P342" t="str">
        <f>VLOOKUP(A342,Response!$A:$M,12,)</f>
        <v>No</v>
      </c>
      <c r="Q342" t="str">
        <f>VLOOKUP(A342,Response!$A:$M,11,)</f>
        <v>Siruseri</v>
      </c>
      <c r="R342" t="s">
        <v>19</v>
      </c>
      <c r="S342" s="39" t="s">
        <v>37</v>
      </c>
    </row>
    <row r="343" spans="1:19">
      <c r="A343" s="3">
        <v>2529648</v>
      </c>
      <c r="B343" t="str">
        <f>VLOOKUP(A343,File!$A:$J,2,FALSE)</f>
        <v>Utbhab Debnath</v>
      </c>
      <c r="C343" s="29">
        <f>VLOOKUP(A343,File!$A:$J,5,FALSE)</f>
        <v>46245</v>
      </c>
      <c r="D343" s="29" t="str">
        <f>VLOOKUP(A343,File!$A:$J,3,FALSE)</f>
        <v>Male</v>
      </c>
      <c r="E343" s="29" t="str">
        <f>VLOOKUP(A343,File!$A:$J,4,FALSE)</f>
        <v>FTE</v>
      </c>
      <c r="F343" s="29" t="str">
        <f>VLOOKUP(A343,File!$A:$J,6,FALSE)</f>
        <v>Chennai</v>
      </c>
      <c r="G343" s="29" t="str">
        <f>VLOOKUP(A343,File!$A:$J,7,FALSE)</f>
        <v>CIS26MCPT021</v>
      </c>
      <c r="H343" s="29" t="str">
        <f>VLOOKUP(A343,File!$A:$J,8,FALSE)</f>
        <v>Uma Venkatachalam</v>
      </c>
      <c r="I343" s="31">
        <f>VLOOKUP(A343,File!$A:$J,9,FALSE)</f>
        <v>46364</v>
      </c>
      <c r="J343" s="31" t="str">
        <f>VLOOKUP(A343,File!$A:$K,11,FALSE)</f>
        <v>Dec 2026</v>
      </c>
      <c r="K343" s="31" t="str">
        <f>VLOOKUP(A343,File!$A:$K,10,FALSE)</f>
        <v>In-Training</v>
      </c>
      <c r="L343" s="31" t="s">
        <v>4</v>
      </c>
      <c r="M343" t="str">
        <f>VLOOKUP(A343,Response!$A:$M,7,)</f>
        <v>PG (Paying Guest)</v>
      </c>
      <c r="N343" t="str">
        <f>VLOOKUP(A343,Response!$A:$M,8,)</f>
        <v>GTR Strays for gents, Siruseri</v>
      </c>
      <c r="O343" s="4">
        <f>VLOOKUP(A343,Response!$A:$M,10,)</f>
        <v>4</v>
      </c>
      <c r="P343" t="str">
        <f>VLOOKUP(A343,Response!$A:$M,12,)</f>
        <v>No</v>
      </c>
      <c r="Q343" t="str">
        <f>VLOOKUP(A343,Response!$A:$M,11,)</f>
        <v>Siruseri</v>
      </c>
      <c r="R343" t="s">
        <v>19</v>
      </c>
      <c r="S343" s="39" t="s">
        <v>37</v>
      </c>
    </row>
    <row r="344" spans="1:19">
      <c r="A344" s="3">
        <v>2532951</v>
      </c>
      <c r="B344" t="str">
        <f>VLOOKUP(A344,File!$A:$J,2,FALSE)</f>
        <v>Anudeep Avula</v>
      </c>
      <c r="C344" s="29">
        <f>VLOOKUP(A344,File!$A:$J,5,FALSE)</f>
        <v>46259</v>
      </c>
      <c r="D344" s="29" t="str">
        <f>VLOOKUP(A344,File!$A:$J,3,FALSE)</f>
        <v>Male</v>
      </c>
      <c r="E344" s="29" t="str">
        <f>VLOOKUP(A344,File!$A:$J,4,FALSE)</f>
        <v>FTE</v>
      </c>
      <c r="F344" s="29" t="str">
        <f>VLOOKUP(A344,File!$A:$J,6,FALSE)</f>
        <v>Chennai</v>
      </c>
      <c r="G344" s="29" t="str">
        <f>VLOOKUP(A344,File!$A:$J,7,FALSE)</f>
        <v>CIS26MBG003</v>
      </c>
      <c r="H344" s="29" t="str">
        <f>VLOOKUP(A344,File!$A:$J,8,FALSE)</f>
        <v>Kishorekumar P</v>
      </c>
      <c r="I344" s="31">
        <f>VLOOKUP(A344,File!$A:$J,9,FALSE)</f>
        <v>46367</v>
      </c>
      <c r="J344" s="31" t="str">
        <f>VLOOKUP(A344,File!$A:$K,11,FALSE)</f>
        <v>Dec 2026</v>
      </c>
      <c r="K344" s="31" t="str">
        <f>VLOOKUP(A344,File!$A:$K,10,FALSE)</f>
        <v>In-Training</v>
      </c>
      <c r="L344" s="31" t="s">
        <v>4</v>
      </c>
      <c r="M344" t="str">
        <f>VLOOKUP(A344,Response!$A:$M,7,)</f>
        <v>PG (Paying Guest)</v>
      </c>
      <c r="N344" t="str">
        <f>VLOOKUP(A344,Response!$A:$M,8,)</f>
        <v xml:space="preserve">GVK delux mens pg </v>
      </c>
      <c r="O344" s="4">
        <f>VLOOKUP(A344,Response!$A:$M,10,)</f>
        <v>3</v>
      </c>
      <c r="P344" t="str">
        <f>VLOOKUP(A344,Response!$A:$M,12,)</f>
        <v>No</v>
      </c>
      <c r="Q344" t="str">
        <f>VLOOKUP(A344,Response!$A:$M,11,)</f>
        <v>Navalur</v>
      </c>
      <c r="R344" t="s">
        <v>19</v>
      </c>
      <c r="S344" s="39" t="s">
        <v>37</v>
      </c>
    </row>
    <row r="345" spans="1:19">
      <c r="A345" s="3">
        <v>2532960</v>
      </c>
      <c r="B345" t="str">
        <f>VLOOKUP(A345,File!$A:$J,2,FALSE)</f>
        <v>Veerla Hanumath Kumar</v>
      </c>
      <c r="C345" s="29">
        <f>VLOOKUP(A345,File!$A:$J,5,FALSE)</f>
        <v>46259</v>
      </c>
      <c r="D345" s="29" t="str">
        <f>VLOOKUP(A345,File!$A:$J,3,FALSE)</f>
        <v>Male</v>
      </c>
      <c r="E345" s="29" t="str">
        <f>VLOOKUP(A345,File!$A:$J,4,FALSE)</f>
        <v>FTE</v>
      </c>
      <c r="F345" s="29" t="str">
        <f>VLOOKUP(A345,File!$A:$J,6,FALSE)</f>
        <v>Chennai</v>
      </c>
      <c r="G345" s="29" t="str">
        <f>VLOOKUP(A345,File!$A:$J,7,FALSE)</f>
        <v>CIS26AT008</v>
      </c>
      <c r="H345" s="29" t="str">
        <f>VLOOKUP(A345,File!$A:$J,8,FALSE)</f>
        <v>Uma Venkatachalam</v>
      </c>
      <c r="I345" s="31">
        <f>VLOOKUP(A345,File!$A:$J,9,FALSE)</f>
        <v>46365</v>
      </c>
      <c r="J345" s="31" t="str">
        <f>VLOOKUP(A345,File!$A:$K,11,FALSE)</f>
        <v>Dec 2026</v>
      </c>
      <c r="K345" s="31" t="str">
        <f>VLOOKUP(A345,File!$A:$K,10,FALSE)</f>
        <v>In-Training</v>
      </c>
      <c r="L345" s="31" t="s">
        <v>4</v>
      </c>
      <c r="M345" t="str">
        <f>VLOOKUP(A345,Response!$A:$M,7,)</f>
        <v>PG (Paying Guest)</v>
      </c>
      <c r="N345" t="str">
        <f>VLOOKUP(A345,Response!$A:$M,8,)</f>
        <v xml:space="preserve">GVK Deluxe Gents PG ,Navalur </v>
      </c>
      <c r="O345" s="4">
        <f>VLOOKUP(A345,Response!$A:$M,10,)</f>
        <v>2</v>
      </c>
      <c r="P345" t="str">
        <f>VLOOKUP(A345,Response!$A:$M,12,)</f>
        <v>No</v>
      </c>
      <c r="Q345" t="str">
        <f>VLOOKUP(A345,Response!$A:$M,11,)</f>
        <v>Navalur</v>
      </c>
      <c r="R345" t="s">
        <v>19</v>
      </c>
      <c r="S345" s="39" t="s">
        <v>37</v>
      </c>
    </row>
    <row r="346" spans="1:19">
      <c r="A346" s="3">
        <v>2533590</v>
      </c>
      <c r="B346" t="str">
        <f>VLOOKUP(A346,File!$A:$J,2,FALSE)</f>
        <v>Leela Krishna Miriyala</v>
      </c>
      <c r="C346" s="29">
        <f>VLOOKUP(A346,File!$A:$J,5,FALSE)</f>
        <v>46261</v>
      </c>
      <c r="D346" s="29" t="str">
        <f>VLOOKUP(A346,File!$A:$J,3,FALSE)</f>
        <v>Male</v>
      </c>
      <c r="E346" s="29" t="str">
        <f>VLOOKUP(A346,File!$A:$J,4,FALSE)</f>
        <v>FTE</v>
      </c>
      <c r="F346" s="29" t="str">
        <f>VLOOKUP(A346,File!$A:$J,6,FALSE)</f>
        <v>Chennai</v>
      </c>
      <c r="G346" s="29" t="str">
        <f>VLOOKUP(A346,File!$A:$J,7,FALSE)</f>
        <v>EPS26SAP038</v>
      </c>
      <c r="H346" s="29" t="str">
        <f>VLOOKUP(A346,File!$A:$J,8,FALSE)</f>
        <v>Ajith Ganesan</v>
      </c>
      <c r="I346" s="31">
        <f>VLOOKUP(A346,File!$A:$J,9,FALSE)</f>
        <v>46322</v>
      </c>
      <c r="J346" s="31" t="str">
        <f>VLOOKUP(A346,File!$A:$K,11,FALSE)</f>
        <v>Oct 2026</v>
      </c>
      <c r="K346" s="31" t="str">
        <f>VLOOKUP(A346,File!$A:$K,10,FALSE)</f>
        <v>In-Training</v>
      </c>
      <c r="L346" s="31" t="s">
        <v>4</v>
      </c>
      <c r="M346" t="str">
        <f>VLOOKUP(A346,Response!$A:$M,7,)</f>
        <v>PG (Paying Guest)</v>
      </c>
      <c r="N346" t="str">
        <f>VLOOKUP(A346,Response!$A:$M,8,)</f>
        <v>Gvk Deluxe gents PG, Navalur</v>
      </c>
      <c r="O346" s="4">
        <f>VLOOKUP(A346,Response!$A:$M,10,)</f>
        <v>2</v>
      </c>
      <c r="P346" t="str">
        <f>VLOOKUP(A346,Response!$A:$M,12,)</f>
        <v>Yes</v>
      </c>
      <c r="Q346" t="str">
        <f>VLOOKUP(A346,Response!$A:$M,11,)</f>
        <v>Navalur</v>
      </c>
      <c r="R346" t="s">
        <v>19</v>
      </c>
      <c r="S346" s="39" t="s">
        <v>37</v>
      </c>
    </row>
    <row r="347" spans="1:19">
      <c r="A347" s="3">
        <v>2529644</v>
      </c>
      <c r="B347" t="str">
        <f>VLOOKUP(A347,File!$A:$J,2,FALSE)</f>
        <v>Irfan Mohammad Shaik</v>
      </c>
      <c r="C347" s="29">
        <f>VLOOKUP(A347,File!$A:$J,5,FALSE)</f>
        <v>46245</v>
      </c>
      <c r="D347" s="29" t="str">
        <f>VLOOKUP(A347,File!$A:$J,3,FALSE)</f>
        <v>Male</v>
      </c>
      <c r="E347" s="29" t="str">
        <f>VLOOKUP(A347,File!$A:$J,4,FALSE)</f>
        <v>FTE</v>
      </c>
      <c r="F347" s="29" t="str">
        <f>VLOOKUP(A347,File!$A:$J,6,FALSE)</f>
        <v>Chennai</v>
      </c>
      <c r="G347" s="29" t="str">
        <f>VLOOKUP(A347,File!$A:$J,7,FALSE)</f>
        <v>CIS26MCPT025</v>
      </c>
      <c r="H347" s="29" t="str">
        <f>VLOOKUP(A347,File!$A:$J,8,FALSE)</f>
        <v>Vignesh S</v>
      </c>
      <c r="I347" s="31">
        <f>VLOOKUP(A347,File!$A:$J,9,FALSE)</f>
        <v>46359</v>
      </c>
      <c r="J347" s="31" t="str">
        <f>VLOOKUP(A347,File!$A:$K,11,FALSE)</f>
        <v>Dec 2026</v>
      </c>
      <c r="K347" s="31" t="str">
        <f>VLOOKUP(A347,File!$A:$K,10,FALSE)</f>
        <v>In-Training</v>
      </c>
      <c r="L347" s="31" t="s">
        <v>4</v>
      </c>
      <c r="M347" t="str">
        <f>VLOOKUP(A347,Response!$A:$M,7,)</f>
        <v>PG (Paying Guest)</v>
      </c>
      <c r="N347" t="str">
        <f>VLOOKUP(A347,Response!$A:$M,8,)</f>
        <v>GVK Deluxe Gents PG, Navalur.</v>
      </c>
      <c r="O347" s="4">
        <f>VLOOKUP(A347,Response!$A:$M,10,)</f>
        <v>2</v>
      </c>
      <c r="P347" t="str">
        <f>VLOOKUP(A347,Response!$A:$M,12,)</f>
        <v>No</v>
      </c>
      <c r="Q347" t="str">
        <f>VLOOKUP(A347,Response!$A:$M,11,)</f>
        <v>Navalur</v>
      </c>
      <c r="R347" t="s">
        <v>19</v>
      </c>
      <c r="S347" s="39" t="s">
        <v>37</v>
      </c>
    </row>
    <row r="348" spans="1:19">
      <c r="A348" s="3">
        <v>2532992</v>
      </c>
      <c r="B348" t="str">
        <f>VLOOKUP(A348,File!$A:$J,2,FALSE)</f>
        <v>Chinta Prudhvi Sai Raj</v>
      </c>
      <c r="C348" s="29">
        <f>VLOOKUP(A348,File!$A:$J,5,FALSE)</f>
        <v>46259</v>
      </c>
      <c r="D348" s="29" t="str">
        <f>VLOOKUP(A348,File!$A:$J,3,FALSE)</f>
        <v>Male</v>
      </c>
      <c r="E348" s="29" t="str">
        <f>VLOOKUP(A348,File!$A:$J,4,FALSE)</f>
        <v>FTE</v>
      </c>
      <c r="F348" s="29" t="str">
        <f>VLOOKUP(A348,File!$A:$J,6,FALSE)</f>
        <v>Chennai</v>
      </c>
      <c r="G348" s="29" t="str">
        <f>VLOOKUP(A348,File!$A:$J,7,FALSE)</f>
        <v>CIS26MBG003</v>
      </c>
      <c r="H348" s="29" t="str">
        <f>VLOOKUP(A348,File!$A:$J,8,FALSE)</f>
        <v>Kishorekumar P</v>
      </c>
      <c r="I348" s="31">
        <f>VLOOKUP(A348,File!$A:$J,9,FALSE)</f>
        <v>46367</v>
      </c>
      <c r="J348" s="31" t="str">
        <f>VLOOKUP(A348,File!$A:$K,11,FALSE)</f>
        <v>Dec 2026</v>
      </c>
      <c r="K348" s="31" t="str">
        <f>VLOOKUP(A348,File!$A:$K,10,FALSE)</f>
        <v>In-Training</v>
      </c>
      <c r="L348" s="31" t="s">
        <v>4</v>
      </c>
      <c r="M348" t="str">
        <f>VLOOKUP(A348,Response!$A:$M,7,)</f>
        <v>PG (Paying Guest)</v>
      </c>
      <c r="N348" t="str">
        <f>VLOOKUP(A348,Response!$A:$M,8,)</f>
        <v>GVK Deluxe Mens PG- Navalur</v>
      </c>
      <c r="O348" s="4">
        <f>VLOOKUP(A348,Response!$A:$M,10,)</f>
        <v>2</v>
      </c>
      <c r="P348" t="str">
        <f>VLOOKUP(A348,Response!$A:$M,12,)</f>
        <v>Yes</v>
      </c>
      <c r="Q348" t="str">
        <f>VLOOKUP(A348,Response!$A:$M,11,)</f>
        <v>Navalur</v>
      </c>
      <c r="R348" t="s">
        <v>19</v>
      </c>
      <c r="S348" s="39" t="s">
        <v>37</v>
      </c>
    </row>
    <row r="349" spans="1:19">
      <c r="A349" s="3">
        <v>2533074</v>
      </c>
      <c r="B349" t="str">
        <f>VLOOKUP(A349,File!$A:$J,2,FALSE)</f>
        <v>Gowtham Mani Varma Nadakudhiti</v>
      </c>
      <c r="C349" s="29">
        <f>VLOOKUP(A349,File!$A:$J,5,FALSE)</f>
        <v>46259</v>
      </c>
      <c r="D349" s="29" t="str">
        <f>VLOOKUP(A349,File!$A:$J,3,FALSE)</f>
        <v>Male</v>
      </c>
      <c r="E349" s="29" t="str">
        <f>VLOOKUP(A349,File!$A:$J,4,FALSE)</f>
        <v>FTE</v>
      </c>
      <c r="F349" s="29" t="str">
        <f>VLOOKUP(A349,File!$A:$J,6,FALSE)</f>
        <v>Chennai</v>
      </c>
      <c r="G349" s="29" t="str">
        <f>VLOOKUP(A349,File!$A:$J,7,FALSE)</f>
        <v>CIS26MBG005</v>
      </c>
      <c r="H349" s="29" t="str">
        <f>VLOOKUP(A349,File!$A:$J,8,FALSE)</f>
        <v>Angel Maria Faustina Gomez</v>
      </c>
      <c r="I349" s="31">
        <f>VLOOKUP(A349,File!$A:$J,9,FALSE)</f>
        <v>46367</v>
      </c>
      <c r="J349" s="31" t="str">
        <f>VLOOKUP(A349,File!$A:$K,11,FALSE)</f>
        <v>Dec 2026</v>
      </c>
      <c r="K349" s="31" t="str">
        <f>VLOOKUP(A349,File!$A:$K,10,FALSE)</f>
        <v>In-Training</v>
      </c>
      <c r="L349" s="31" t="s">
        <v>4</v>
      </c>
      <c r="M349" t="str">
        <f>VLOOKUP(A349,Response!$A:$M,7,)</f>
        <v>PG (Paying Guest)</v>
      </c>
      <c r="N349" t="str">
        <f>VLOOKUP(A349,Response!$A:$M,8,)</f>
        <v>GVK Deluxe mens PG, Navalur</v>
      </c>
      <c r="O349" s="4">
        <f>VLOOKUP(A349,Response!$A:$M,10,)</f>
        <v>2</v>
      </c>
      <c r="P349" t="str">
        <f>VLOOKUP(A349,Response!$A:$M,12,)</f>
        <v>No</v>
      </c>
      <c r="Q349" t="str">
        <f>VLOOKUP(A349,Response!$A:$M,11,)</f>
        <v>Navalur</v>
      </c>
      <c r="R349" t="s">
        <v>19</v>
      </c>
      <c r="S349" s="39" t="s">
        <v>37</v>
      </c>
    </row>
    <row r="350" spans="1:19">
      <c r="A350" s="3">
        <v>2530225</v>
      </c>
      <c r="B350" t="str">
        <f>VLOOKUP(A350,File!$A:$J,2,FALSE)</f>
        <v>Bade Shyam Pavan Kumar</v>
      </c>
      <c r="C350" s="29">
        <f>VLOOKUP(A350,File!$A:$J,5,FALSE)</f>
        <v>46247</v>
      </c>
      <c r="D350" s="29" t="str">
        <f>VLOOKUP(A350,File!$A:$J,3,FALSE)</f>
        <v>Male</v>
      </c>
      <c r="E350" s="29" t="str">
        <f>VLOOKUP(A350,File!$A:$J,4,FALSE)</f>
        <v>FTE</v>
      </c>
      <c r="F350" s="29" t="str">
        <f>VLOOKUP(A350,File!$A:$J,6,FALSE)</f>
        <v>Chennai</v>
      </c>
      <c r="G350" s="29" t="str">
        <f>VLOOKUP(A350,File!$A:$J,7,FALSE)</f>
        <v>EPS26OSP010</v>
      </c>
      <c r="H350" s="29" t="str">
        <f>VLOOKUP(A350,File!$A:$J,8,FALSE)</f>
        <v>Vishnupriya Dakshnamurthy</v>
      </c>
      <c r="I350" s="31">
        <f>VLOOKUP(A350,File!$A:$J,9,FALSE)</f>
        <v>46357</v>
      </c>
      <c r="J350" s="31" t="str">
        <f>VLOOKUP(A350,File!$A:$K,11,FALSE)</f>
        <v>Dec 2026</v>
      </c>
      <c r="K350" s="31" t="str">
        <f>VLOOKUP(A350,File!$A:$K,10,FALSE)</f>
        <v>In-Training</v>
      </c>
      <c r="L350" s="31" t="s">
        <v>4</v>
      </c>
      <c r="M350" t="str">
        <f>VLOOKUP(A350,Response!$A:$M,7,)</f>
        <v>PG (Paying Guest)</v>
      </c>
      <c r="N350" t="str">
        <f>VLOOKUP(A350,Response!$A:$M,8,)</f>
        <v>GVK DELUXE MENS PG, NAVALUR, SARDAR PATEL STREET, CHENNAI</v>
      </c>
      <c r="O350" s="4">
        <f>VLOOKUP(A350,Response!$A:$M,10,)</f>
        <v>1</v>
      </c>
      <c r="P350" t="str">
        <f>VLOOKUP(A350,Response!$A:$M,12,)</f>
        <v>No</v>
      </c>
      <c r="Q350" t="str">
        <f>VLOOKUP(A350,Response!$A:$M,11,)</f>
        <v>Navalur</v>
      </c>
      <c r="R350" t="s">
        <v>19</v>
      </c>
      <c r="S350" s="39" t="s">
        <v>37</v>
      </c>
    </row>
    <row r="351" spans="1:19">
      <c r="A351" s="3">
        <v>2521791</v>
      </c>
      <c r="B351" t="str">
        <f>VLOOKUP(A351,File!$A:$J,2,FALSE)</f>
        <v>Gutti Reddy Prakash</v>
      </c>
      <c r="C351" s="29">
        <f>VLOOKUP(A351,File!$A:$J,5,FALSE)</f>
        <v>46212</v>
      </c>
      <c r="D351" s="29" t="str">
        <f>VLOOKUP(A351,File!$A:$J,3,FALSE)</f>
        <v>Male</v>
      </c>
      <c r="E351" s="29" t="str">
        <f>VLOOKUP(A351,File!$A:$J,4,FALSE)</f>
        <v>FTE</v>
      </c>
      <c r="F351" s="29" t="str">
        <f>VLOOKUP(A351,File!$A:$J,6,FALSE)</f>
        <v>Chennai</v>
      </c>
      <c r="G351" s="29" t="str">
        <f>VLOOKUP(A351,File!$A:$J,7,FALSE)</f>
        <v>AIA26DSAT004</v>
      </c>
      <c r="H351" s="29" t="str">
        <f>VLOOKUP(A351,File!$A:$J,8,FALSE)</f>
        <v>Pavithra Kandasamy</v>
      </c>
      <c r="I351" s="31">
        <f>VLOOKUP(A351,File!$A:$J,9,FALSE)</f>
        <v>46304</v>
      </c>
      <c r="J351" s="31" t="str">
        <f>VLOOKUP(A351,File!$A:$K,11,FALSE)</f>
        <v>Oct 2026</v>
      </c>
      <c r="K351" s="31" t="str">
        <f>VLOOKUP(A351,File!$A:$K,10,FALSE)</f>
        <v>In-Training</v>
      </c>
      <c r="L351" s="31" t="s">
        <v>4</v>
      </c>
      <c r="M351" t="str">
        <f>VLOOKUP(A351,Response!$A:$M,7,)</f>
        <v>PG (Paying Guest)</v>
      </c>
      <c r="N351" t="str">
        <f>VLOOKUP(A351,Response!$A:$M,8,)</f>
        <v>GVK Deluxe PG for gents, Navalur</v>
      </c>
      <c r="O351" s="4">
        <f>VLOOKUP(A351,Response!$A:$M,10,)</f>
        <v>1</v>
      </c>
      <c r="P351" t="str">
        <f>VLOOKUP(A351,Response!$A:$M,12,)</f>
        <v>No</v>
      </c>
      <c r="Q351" t="str">
        <f>VLOOKUP(A351,Response!$A:$M,11,)</f>
        <v>Navalur</v>
      </c>
      <c r="R351" t="s">
        <v>19</v>
      </c>
      <c r="S351" s="39" t="s">
        <v>37</v>
      </c>
    </row>
    <row r="352" spans="1:19">
      <c r="A352" s="3">
        <v>2533032</v>
      </c>
      <c r="B352" t="str">
        <f>VLOOKUP(A352,File!$A:$J,2,FALSE)</f>
        <v>Yenduri K N S Karthik</v>
      </c>
      <c r="C352" s="29">
        <f>VLOOKUP(A352,File!$A:$J,5,FALSE)</f>
        <v>46259</v>
      </c>
      <c r="D352" s="29" t="str">
        <f>VLOOKUP(A352,File!$A:$J,3,FALSE)</f>
        <v>Male</v>
      </c>
      <c r="E352" s="29" t="str">
        <f>VLOOKUP(A352,File!$A:$J,4,FALSE)</f>
        <v>FTE</v>
      </c>
      <c r="F352" s="29" t="str">
        <f>VLOOKUP(A352,File!$A:$J,6,FALSE)</f>
        <v>Chennai</v>
      </c>
      <c r="G352" s="29" t="str">
        <f>VLOOKUP(A352,File!$A:$J,7,FALSE)</f>
        <v>ADM27DFSA001</v>
      </c>
      <c r="H352" s="29" t="str">
        <f>VLOOKUP(A352,File!$A:$J,8,FALSE)</f>
        <v>Thomas Naveen. J</v>
      </c>
      <c r="I352" s="31">
        <f>VLOOKUP(A352,File!$A:$J,9,FALSE)</f>
        <v>46386</v>
      </c>
      <c r="J352" s="31" t="str">
        <f>VLOOKUP(A352,File!$A:$K,11,FALSE)</f>
        <v>Dec 2026</v>
      </c>
      <c r="K352" s="31" t="str">
        <f>VLOOKUP(A352,File!$A:$K,10,FALSE)</f>
        <v>In-Training</v>
      </c>
      <c r="L352" s="31" t="s">
        <v>4</v>
      </c>
      <c r="M352" t="str">
        <f>VLOOKUP(A352,Response!$A:$M,7,)</f>
        <v>PG (Paying Guest)</v>
      </c>
      <c r="N352" t="str">
        <f>VLOOKUP(A352,Response!$A:$M,8,)</f>
        <v>GVK Deluxe PG Navalur</v>
      </c>
      <c r="O352" s="4">
        <f>VLOOKUP(A352,Response!$A:$M,10,)</f>
        <v>3</v>
      </c>
      <c r="P352" t="str">
        <f>VLOOKUP(A352,Response!$A:$M,12,)</f>
        <v>No</v>
      </c>
      <c r="Q352" t="str">
        <f>VLOOKUP(A352,Response!$A:$M,11,)</f>
        <v>Navalur</v>
      </c>
      <c r="R352" t="s">
        <v>19</v>
      </c>
      <c r="S352" s="39" t="s">
        <v>37</v>
      </c>
    </row>
    <row r="353" spans="1:19">
      <c r="A353" s="3">
        <v>2530208</v>
      </c>
      <c r="B353" t="str">
        <f>VLOOKUP(A353,File!$A:$J,2,FALSE)</f>
        <v>Naveen Prabhu M M</v>
      </c>
      <c r="C353" s="29">
        <f>VLOOKUP(A353,File!$A:$J,5,FALSE)</f>
        <v>46247</v>
      </c>
      <c r="D353" s="29" t="str">
        <f>VLOOKUP(A353,File!$A:$J,3,FALSE)</f>
        <v>Male</v>
      </c>
      <c r="E353" s="29" t="str">
        <f>VLOOKUP(A353,File!$A:$J,4,FALSE)</f>
        <v>FTE</v>
      </c>
      <c r="F353" s="29" t="str">
        <f>VLOOKUP(A353,File!$A:$J,6,FALSE)</f>
        <v>Chennai</v>
      </c>
      <c r="G353" s="29" t="str">
        <f>VLOOKUP(A353,File!$A:$J,7,FALSE)</f>
        <v>EPS26OSP010</v>
      </c>
      <c r="H353" s="29" t="str">
        <f>VLOOKUP(A353,File!$A:$J,8,FALSE)</f>
        <v>Vishnupriya Dakshnamurthy</v>
      </c>
      <c r="I353" s="31">
        <f>VLOOKUP(A353,File!$A:$J,9,FALSE)</f>
        <v>46357</v>
      </c>
      <c r="J353" s="31" t="str">
        <f>VLOOKUP(A353,File!$A:$K,11,FALSE)</f>
        <v>Dec 2026</v>
      </c>
      <c r="K353" s="31" t="str">
        <f>VLOOKUP(A353,File!$A:$K,10,FALSE)</f>
        <v>In-Training</v>
      </c>
      <c r="L353" s="31" t="s">
        <v>4</v>
      </c>
      <c r="M353" t="str">
        <f>VLOOKUP(A353,Response!$A:$M,7,)</f>
        <v>PG (Paying Guest)</v>
      </c>
      <c r="N353" t="str">
        <f>VLOOKUP(A353,Response!$A:$M,8,)</f>
        <v>GVK mens pg</v>
      </c>
      <c r="O353" s="4" t="str">
        <f>VLOOKUP(A353,Response!$A:$M,10,)</f>
        <v>GF</v>
      </c>
      <c r="P353" t="str">
        <f>VLOOKUP(A353,Response!$A:$M,12,)</f>
        <v>No</v>
      </c>
      <c r="Q353" t="str">
        <f>VLOOKUP(A353,Response!$A:$M,11,)</f>
        <v>Siruseri</v>
      </c>
      <c r="R353" t="s">
        <v>19</v>
      </c>
      <c r="S353" s="39" t="s">
        <v>37</v>
      </c>
    </row>
    <row r="354" spans="1:19">
      <c r="A354" s="3">
        <v>2533040</v>
      </c>
      <c r="B354" t="str">
        <f>VLOOKUP(A354,File!$A:$J,2,FALSE)</f>
        <v>Hari Prasad Thota</v>
      </c>
      <c r="C354" s="29">
        <f>VLOOKUP(A354,File!$A:$J,5,FALSE)</f>
        <v>46259</v>
      </c>
      <c r="D354" s="29" t="str">
        <f>VLOOKUP(A354,File!$A:$J,3,FALSE)</f>
        <v>Male</v>
      </c>
      <c r="E354" s="29" t="str">
        <f>VLOOKUP(A354,File!$A:$J,4,FALSE)</f>
        <v>FTE</v>
      </c>
      <c r="F354" s="29" t="str">
        <f>VLOOKUP(A354,File!$A:$J,6,FALSE)</f>
        <v>Chennai</v>
      </c>
      <c r="G354" s="29" t="str">
        <f>VLOOKUP(A354,File!$A:$J,7,FALSE)</f>
        <v>ADM27DFSA001</v>
      </c>
      <c r="H354" s="29" t="str">
        <f>VLOOKUP(A354,File!$A:$J,8,FALSE)</f>
        <v>Thomas Naveen. J</v>
      </c>
      <c r="I354" s="31">
        <f>VLOOKUP(A354,File!$A:$J,9,FALSE)</f>
        <v>46386</v>
      </c>
      <c r="J354" s="31" t="str">
        <f>VLOOKUP(A354,File!$A:$K,11,FALSE)</f>
        <v>Dec 2026</v>
      </c>
      <c r="K354" s="31" t="str">
        <f>VLOOKUP(A354,File!$A:$K,10,FALSE)</f>
        <v>In-Training</v>
      </c>
      <c r="L354" s="31" t="s">
        <v>4</v>
      </c>
      <c r="M354" t="str">
        <f>VLOOKUP(A354,Response!$A:$M,7,)</f>
        <v>PG (Paying Guest)</v>
      </c>
      <c r="N354" t="str">
        <f>VLOOKUP(A354,Response!$A:$M,8,)</f>
        <v>GVK MENS PG, Vinayagar street,02, Rajiv Gandhi Salai, Navalur, Tamil Nadu</v>
      </c>
      <c r="O354" s="4">
        <f>VLOOKUP(A354,Response!$A:$M,10,)</f>
        <v>3</v>
      </c>
      <c r="P354" t="str">
        <f>VLOOKUP(A354,Response!$A:$M,12,)</f>
        <v>Yes</v>
      </c>
      <c r="Q354" t="str">
        <f>VLOOKUP(A354,Response!$A:$M,11,)</f>
        <v>Navalur</v>
      </c>
      <c r="R354" t="s">
        <v>19</v>
      </c>
      <c r="S354" s="39" t="s">
        <v>37</v>
      </c>
    </row>
    <row r="355" spans="1:19">
      <c r="A355" s="3">
        <v>2530214</v>
      </c>
      <c r="B355" t="str">
        <f>VLOOKUP(A355,File!$A:$J,2,FALSE)</f>
        <v>Jai Akash Subramanian Aruna</v>
      </c>
      <c r="C355" s="29">
        <f>VLOOKUP(A355,File!$A:$J,5,FALSE)</f>
        <v>46247</v>
      </c>
      <c r="D355" s="29" t="str">
        <f>VLOOKUP(A355,File!$A:$J,3,FALSE)</f>
        <v>Male</v>
      </c>
      <c r="E355" s="29" t="str">
        <f>VLOOKUP(A355,File!$A:$J,4,FALSE)</f>
        <v>FTE</v>
      </c>
      <c r="F355" s="29" t="str">
        <f>VLOOKUP(A355,File!$A:$J,6,FALSE)</f>
        <v>Chennai</v>
      </c>
      <c r="G355" s="29" t="str">
        <f>VLOOKUP(A355,File!$A:$J,7,FALSE)</f>
        <v>EPS26OSP010</v>
      </c>
      <c r="H355" s="29" t="str">
        <f>VLOOKUP(A355,File!$A:$J,8,FALSE)</f>
        <v>Vishnupriya Dakshnamurthy</v>
      </c>
      <c r="I355" s="31">
        <f>VLOOKUP(A355,File!$A:$J,9,FALSE)</f>
        <v>46357</v>
      </c>
      <c r="J355" s="31" t="str">
        <f>VLOOKUP(A355,File!$A:$K,11,FALSE)</f>
        <v>Dec 2026</v>
      </c>
      <c r="K355" s="31" t="str">
        <f>VLOOKUP(A355,File!$A:$K,10,FALSE)</f>
        <v>In-Training</v>
      </c>
      <c r="L355" s="31" t="s">
        <v>4</v>
      </c>
      <c r="M355" t="str">
        <f>VLOOKUP(A355,Response!$A:$M,7,)</f>
        <v>PG (Paying Guest)</v>
      </c>
      <c r="N355" t="str">
        <f>VLOOKUP(A355,Response!$A:$M,8,)</f>
        <v xml:space="preserve">gvk pg </v>
      </c>
      <c r="O355" s="4" t="str">
        <f>VLOOKUP(A355,Response!$A:$M,10,)</f>
        <v>GF</v>
      </c>
      <c r="P355" t="str">
        <f>VLOOKUP(A355,Response!$A:$M,12,)</f>
        <v>Yes</v>
      </c>
      <c r="Q355" t="str">
        <f>VLOOKUP(A355,Response!$A:$M,11,)</f>
        <v>Navalur</v>
      </c>
      <c r="R355" t="s">
        <v>19</v>
      </c>
      <c r="S355" s="39" t="s">
        <v>37</v>
      </c>
    </row>
    <row r="356" spans="1:19">
      <c r="A356" s="3">
        <v>2532998</v>
      </c>
      <c r="B356" t="str">
        <f>VLOOKUP(A356,File!$A:$J,2,FALSE)</f>
        <v>Kodali Karthik</v>
      </c>
      <c r="C356" s="29">
        <f>VLOOKUP(A356,File!$A:$J,5,FALSE)</f>
        <v>46259</v>
      </c>
      <c r="D356" s="29" t="str">
        <f>VLOOKUP(A356,File!$A:$J,3,FALSE)</f>
        <v>Male</v>
      </c>
      <c r="E356" s="29" t="str">
        <f>VLOOKUP(A356,File!$A:$J,4,FALSE)</f>
        <v>FTE</v>
      </c>
      <c r="F356" s="29" t="str">
        <f>VLOOKUP(A356,File!$A:$J,6,FALSE)</f>
        <v>Chennai</v>
      </c>
      <c r="G356" s="29" t="str">
        <f>VLOOKUP(A356,File!$A:$J,7,FALSE)</f>
        <v>CIS26AT008</v>
      </c>
      <c r="H356" s="29" t="str">
        <f>VLOOKUP(A356,File!$A:$J,8,FALSE)</f>
        <v>Uma Venkatachalam</v>
      </c>
      <c r="I356" s="31">
        <f>VLOOKUP(A356,File!$A:$J,9,FALSE)</f>
        <v>46365</v>
      </c>
      <c r="J356" s="31" t="str">
        <f>VLOOKUP(A356,File!$A:$K,11,FALSE)</f>
        <v>Dec 2026</v>
      </c>
      <c r="K356" s="31" t="str">
        <f>VLOOKUP(A356,File!$A:$K,10,FALSE)</f>
        <v>In-Training</v>
      </c>
      <c r="L356" s="31" t="s">
        <v>4</v>
      </c>
      <c r="M356" t="str">
        <f>VLOOKUP(A356,Response!$A:$M,7,)</f>
        <v>PG (Paying Guest)</v>
      </c>
      <c r="N356" t="str">
        <f>VLOOKUP(A356,Response!$A:$M,8,)</f>
        <v>GVR Deluxe PG, Thoraikapakkam</v>
      </c>
      <c r="O356" s="4">
        <f>VLOOKUP(A356,Response!$A:$M,10,)</f>
        <v>2</v>
      </c>
      <c r="P356" t="str">
        <f>VLOOKUP(A356,Response!$A:$M,12,)</f>
        <v>Yes</v>
      </c>
      <c r="Q356" t="str">
        <f>VLOOKUP(A356,Response!$A:$M,11,)</f>
        <v>Thoraipakkam</v>
      </c>
      <c r="R356" t="s">
        <v>17</v>
      </c>
      <c r="S356" s="39" t="s">
        <v>37</v>
      </c>
    </row>
    <row r="357" spans="1:19">
      <c r="A357" s="3">
        <v>2533001</v>
      </c>
      <c r="B357" t="str">
        <f>VLOOKUP(A357,File!$A:$J,2,FALSE)</f>
        <v>Vivek Allu</v>
      </c>
      <c r="C357" s="29">
        <f>VLOOKUP(A357,File!$A:$J,5,FALSE)</f>
        <v>46259</v>
      </c>
      <c r="D357" s="29" t="str">
        <f>VLOOKUP(A357,File!$A:$J,3,FALSE)</f>
        <v>Male</v>
      </c>
      <c r="E357" s="29" t="str">
        <f>VLOOKUP(A357,File!$A:$J,4,FALSE)</f>
        <v>FTE</v>
      </c>
      <c r="F357" s="29" t="str">
        <f>VLOOKUP(A357,File!$A:$J,6,FALSE)</f>
        <v>Chennai</v>
      </c>
      <c r="G357" s="29" t="str">
        <f>VLOOKUP(A357,File!$A:$J,7,FALSE)</f>
        <v>IOT26CSJ002</v>
      </c>
      <c r="H357" s="29" t="str">
        <f>VLOOKUP(A357,File!$A:$J,8,FALSE)</f>
        <v>Pavithra Kandasamy</v>
      </c>
      <c r="I357" s="31">
        <f>VLOOKUP(A357,File!$A:$J,9,FALSE)</f>
        <v>46337</v>
      </c>
      <c r="J357" s="31" t="str">
        <f>VLOOKUP(A357,File!$A:$K,11,FALSE)</f>
        <v>Nov 2026</v>
      </c>
      <c r="K357" s="31" t="str">
        <f>VLOOKUP(A357,File!$A:$K,10,FALSE)</f>
        <v>In-Training</v>
      </c>
      <c r="L357" s="31" t="s">
        <v>4</v>
      </c>
      <c r="M357" t="str">
        <f>VLOOKUP(A357,Response!$A:$M,7,)</f>
        <v>PG (Paying Guest)</v>
      </c>
      <c r="N357" t="str">
        <f>VLOOKUP(A357,Response!$A:$M,8,)</f>
        <v>GVR mens pg</v>
      </c>
      <c r="O357" s="4">
        <f>VLOOKUP(A357,Response!$A:$M,10,)</f>
        <v>3</v>
      </c>
      <c r="P357" t="str">
        <f>VLOOKUP(A357,Response!$A:$M,12,)</f>
        <v>No</v>
      </c>
      <c r="Q357" t="str">
        <f>VLOOKUP(A357,Response!$A:$M,11,)</f>
        <v>Navalur</v>
      </c>
      <c r="R357" t="s">
        <v>19</v>
      </c>
      <c r="S357" s="39" t="s">
        <v>37</v>
      </c>
    </row>
    <row r="358" spans="1:19">
      <c r="A358" s="3">
        <v>2521199</v>
      </c>
      <c r="B358" t="str">
        <f>VLOOKUP(A358,File!$A:$J,2,FALSE)</f>
        <v>Prasad Pradip Bulli</v>
      </c>
      <c r="C358" s="29">
        <f>VLOOKUP(A358,File!$A:$J,5,FALSE)</f>
        <v>46210</v>
      </c>
      <c r="D358" s="29" t="str">
        <f>VLOOKUP(A358,File!$A:$J,3,FALSE)</f>
        <v>Male</v>
      </c>
      <c r="E358" s="29" t="str">
        <f>VLOOKUP(A358,File!$A:$J,4,FALSE)</f>
        <v>FTE</v>
      </c>
      <c r="F358" s="29" t="str">
        <f>VLOOKUP(A358,File!$A:$J,6,FALSE)</f>
        <v>Chennai</v>
      </c>
      <c r="G358" s="29" t="str">
        <f>VLOOKUP(A358,File!$A:$J,7,FALSE)</f>
        <v>EPS26WD004</v>
      </c>
      <c r="H358" s="29" t="str">
        <f>VLOOKUP(A358,File!$A:$J,8,FALSE)</f>
        <v>Ajith Ganesan</v>
      </c>
      <c r="I358" s="31">
        <f>VLOOKUP(A358,File!$A:$J,9,FALSE)</f>
        <v>46310</v>
      </c>
      <c r="J358" s="31" t="str">
        <f>VLOOKUP(A358,File!$A:$K,11,FALSE)</f>
        <v>Oct 2026</v>
      </c>
      <c r="K358" s="31" t="str">
        <f>VLOOKUP(A358,File!$A:$K,10,FALSE)</f>
        <v>In-Training</v>
      </c>
      <c r="L358" s="31" t="s">
        <v>4</v>
      </c>
      <c r="M358" t="str">
        <f>VLOOKUP(A358,Response!$A:$M,7,)</f>
        <v>PG (Paying Guest)</v>
      </c>
      <c r="N358" t="str">
        <f>VLOOKUP(A358,Response!$A:$M,8,)</f>
        <v>Hanuman PG Anna Street,Egattur</v>
      </c>
      <c r="O358" s="4">
        <f>VLOOKUP(A358,Response!$A:$M,10,)</f>
        <v>1</v>
      </c>
      <c r="P358" t="str">
        <f>VLOOKUP(A358,Response!$A:$M,12,)</f>
        <v>No</v>
      </c>
      <c r="Q358" t="str">
        <f>VLOOKUP(A358,Response!$A:$M,11,)</f>
        <v>Siruseri</v>
      </c>
      <c r="R358" t="s">
        <v>19</v>
      </c>
      <c r="S358" s="39" t="s">
        <v>37</v>
      </c>
    </row>
    <row r="359" spans="1:19">
      <c r="A359" s="3">
        <v>2511267</v>
      </c>
      <c r="B359" t="str">
        <f>VLOOKUP(A359,File!$A:$J,2,FALSE)</f>
        <v>Victor William S</v>
      </c>
      <c r="C359" s="29">
        <f>VLOOKUP(A359,File!$A:$J,5,FALSE)</f>
        <v>46163</v>
      </c>
      <c r="D359" s="29" t="str">
        <f>VLOOKUP(A359,File!$A:$J,3,FALSE)</f>
        <v>Male</v>
      </c>
      <c r="E359" s="29" t="str">
        <f>VLOOKUP(A359,File!$A:$J,4,FALSE)</f>
        <v>FTE</v>
      </c>
      <c r="F359" s="29" t="str">
        <f>VLOOKUP(A359,File!$A:$J,6,FALSE)</f>
        <v>Chennai</v>
      </c>
      <c r="G359" s="29" t="str">
        <f>VLOOKUP(A359,File!$A:$J,7,FALSE)</f>
        <v>CIS26MCPT010</v>
      </c>
      <c r="H359" s="29" t="str">
        <f>VLOOKUP(A359,File!$A:$J,8,FALSE)</f>
        <v>Mohamed Harish</v>
      </c>
      <c r="I359" s="31">
        <f>VLOOKUP(A359,File!$A:$J,9,FALSE)</f>
        <v>46275</v>
      </c>
      <c r="J359" s="31" t="str">
        <f>VLOOKUP(A359,File!$A:$K,11,FALSE)</f>
        <v>Sep 2026</v>
      </c>
      <c r="K359" s="31" t="str">
        <f>VLOOKUP(A359,File!$A:$K,10,FALSE)</f>
        <v>In-Training</v>
      </c>
      <c r="L359" s="31" t="s">
        <v>5</v>
      </c>
      <c r="M359" t="str">
        <f>VLOOKUP(A359,Response!$A:$M,7,)</f>
        <v>Rented House/Apartment</v>
      </c>
      <c r="N359" t="str">
        <f>VLOOKUP(A359,Response!$A:$M,8,)</f>
        <v>Happy Day School Building</v>
      </c>
      <c r="O359" s="4">
        <f>VLOOKUP(A359,Response!$A:$M,10,)</f>
        <v>1</v>
      </c>
      <c r="P359" t="str">
        <f>VLOOKUP(A359,Response!$A:$M,12,)</f>
        <v>No</v>
      </c>
      <c r="Q359" t="str">
        <f>VLOOKUP(A359,Response!$A:$M,11,)</f>
        <v>Sithalapakkam</v>
      </c>
      <c r="R359" t="s">
        <v>17</v>
      </c>
      <c r="S359" s="39" t="s">
        <v>37</v>
      </c>
    </row>
    <row r="360" spans="1:19">
      <c r="A360" s="3">
        <v>2522862</v>
      </c>
      <c r="B360" t="str">
        <f>VLOOKUP(A360,File!$A:$J,2,FALSE)</f>
        <v>Kishore R</v>
      </c>
      <c r="C360" s="29">
        <f>VLOOKUP(A360,File!$A:$J,5,FALSE)</f>
        <v>46217</v>
      </c>
      <c r="D360" s="29" t="str">
        <f>VLOOKUP(A360,File!$A:$J,3,FALSE)</f>
        <v>Male</v>
      </c>
      <c r="E360" s="29" t="str">
        <f>VLOOKUP(A360,File!$A:$J,4,FALSE)</f>
        <v>FTE</v>
      </c>
      <c r="F360" s="29" t="str">
        <f>VLOOKUP(A360,File!$A:$J,6,FALSE)</f>
        <v>Chennai</v>
      </c>
      <c r="G360" s="29" t="str">
        <f>VLOOKUP(A360,File!$A:$J,7,FALSE)</f>
        <v>CIS26MCPT017</v>
      </c>
      <c r="H360" s="29" t="str">
        <f>VLOOKUP(A360,File!$A:$J,8,FALSE)</f>
        <v>Haritha P</v>
      </c>
      <c r="I360" s="31">
        <f>VLOOKUP(A360,File!$A:$J,9,FALSE)</f>
        <v>46335</v>
      </c>
      <c r="J360" s="31" t="str">
        <f>VLOOKUP(A360,File!$A:$K,11,FALSE)</f>
        <v>Nov 2026</v>
      </c>
      <c r="K360" s="31" t="str">
        <f>VLOOKUP(A360,File!$A:$K,10,FALSE)</f>
        <v>In-Training</v>
      </c>
      <c r="L360" s="31" t="s">
        <v>4</v>
      </c>
      <c r="M360" t="str">
        <f>VLOOKUP(A360,Response!$A:$M,7,)</f>
        <v>PG (Paying Guest)</v>
      </c>
      <c r="N360" t="str">
        <f>VLOOKUP(A360,Response!$A:$M,8,)</f>
        <v>Happy Homes</v>
      </c>
      <c r="O360" s="4">
        <f>VLOOKUP(A360,Response!$A:$M,10,)</f>
        <v>1</v>
      </c>
      <c r="P360" t="str">
        <f>VLOOKUP(A360,Response!$A:$M,12,)</f>
        <v>Yes</v>
      </c>
      <c r="Q360" t="str">
        <f>VLOOKUP(A360,Response!$A:$M,11,)</f>
        <v>Siruseri</v>
      </c>
      <c r="R360" t="s">
        <v>19</v>
      </c>
      <c r="S360" s="39" t="s">
        <v>37</v>
      </c>
    </row>
    <row r="361" spans="1:19">
      <c r="A361" s="3">
        <v>2531978</v>
      </c>
      <c r="B361" t="str">
        <f>VLOOKUP(A361,File!$A:$J,2,FALSE)</f>
        <v>Nanditha D B</v>
      </c>
      <c r="C361" s="29">
        <f>VLOOKUP(A361,File!$A:$J,5,FALSE)</f>
        <v>46254</v>
      </c>
      <c r="D361" s="29" t="str">
        <f>VLOOKUP(A361,File!$A:$J,3,FALSE)</f>
        <v>Female</v>
      </c>
      <c r="E361" s="29" t="str">
        <f>VLOOKUP(A361,File!$A:$J,4,FALSE)</f>
        <v>FTE</v>
      </c>
      <c r="F361" s="29" t="str">
        <f>VLOOKUP(A361,File!$A:$J,6,FALSE)</f>
        <v>Chennai</v>
      </c>
      <c r="G361" s="29" t="str">
        <f>VLOOKUP(A361,File!$A:$J,7,FALSE)</f>
        <v>EPS26OSP011</v>
      </c>
      <c r="H361" s="29" t="str">
        <f>VLOOKUP(A361,File!$A:$J,8,FALSE)</f>
        <v>Gayathri Ramachandran</v>
      </c>
      <c r="I361" s="31" t="str">
        <f>VLOOKUP(A361,File!$A:$J,9,FALSE)</f>
        <v/>
      </c>
      <c r="J361" s="44" t="s">
        <v>33</v>
      </c>
      <c r="K361" s="31" t="str">
        <f>VLOOKUP(A361,File!$A:$K,10,FALSE)</f>
        <v>Training - ON Hold</v>
      </c>
      <c r="L361" s="31" t="s">
        <v>5</v>
      </c>
      <c r="M361" t="str">
        <f>VLOOKUP(A361,Response!$A:$M,7,)</f>
        <v>Permanent Residence (House/Home)</v>
      </c>
      <c r="N361" t="str">
        <f>VLOOKUP(A361,Response!$A:$M,8,)</f>
        <v>HOME</v>
      </c>
      <c r="O361" s="4">
        <f>VLOOKUP(A361,Response!$A:$M,10,)</f>
        <v>1</v>
      </c>
      <c r="P361" t="str">
        <f>VLOOKUP(A361,Response!$A:$M,12,)</f>
        <v>Yes</v>
      </c>
      <c r="Q361" t="str">
        <f>VLOOKUP(A361,Response!$A:$M,11,)</f>
        <v>PURSAIWALKAM</v>
      </c>
      <c r="S361" t="s">
        <v>38</v>
      </c>
    </row>
    <row r="362" spans="1:19">
      <c r="A362" s="3">
        <v>2532908</v>
      </c>
      <c r="B362" t="str">
        <f>VLOOKUP(A362,File!$A:$J,2,FALSE)</f>
        <v>Ajay Rajan A</v>
      </c>
      <c r="C362" s="29">
        <f>VLOOKUP(A362,File!$A:$J,5,FALSE)</f>
        <v>46259</v>
      </c>
      <c r="D362" s="29" t="str">
        <f>VLOOKUP(A362,File!$A:$J,3,FALSE)</f>
        <v>Male</v>
      </c>
      <c r="E362" s="29" t="str">
        <f>VLOOKUP(A362,File!$A:$J,4,FALSE)</f>
        <v>FTE</v>
      </c>
      <c r="F362" s="29" t="str">
        <f>VLOOKUP(A362,File!$A:$J,6,FALSE)</f>
        <v>Chennai</v>
      </c>
      <c r="G362" s="29" t="str">
        <f>VLOOKUP(A362,File!$A:$J,7,FALSE)</f>
        <v>CIS26MBG005</v>
      </c>
      <c r="H362" s="29" t="str">
        <f>VLOOKUP(A362,File!$A:$J,8,FALSE)</f>
        <v>Angel Maria Faustina Gomez</v>
      </c>
      <c r="I362" s="31">
        <f>VLOOKUP(A362,File!$A:$J,9,FALSE)</f>
        <v>46367</v>
      </c>
      <c r="J362" s="31" t="str">
        <f>VLOOKUP(A362,File!$A:$K,11,FALSE)</f>
        <v>Dec 2026</v>
      </c>
      <c r="K362" s="31" t="str">
        <f>VLOOKUP(A362,File!$A:$K,10,FALSE)</f>
        <v>In-Training</v>
      </c>
      <c r="L362" s="31" t="s">
        <v>5</v>
      </c>
      <c r="M362" t="str">
        <f>VLOOKUP(A362,Response!$A:$M,7,)</f>
        <v>Rented House/Apartment</v>
      </c>
      <c r="N362" t="str">
        <f>VLOOKUP(A362,Response!$A:$M,8,)</f>
        <v>Home</v>
      </c>
      <c r="O362" s="4">
        <f>VLOOKUP(A362,Response!$A:$M,10,)</f>
        <v>1</v>
      </c>
      <c r="P362" t="str">
        <f>VLOOKUP(A362,Response!$A:$M,12,)</f>
        <v>Yes</v>
      </c>
      <c r="Q362" t="str">
        <f>VLOOKUP(A362,Response!$A:$M,11,)</f>
        <v>Siruseri</v>
      </c>
      <c r="R362" t="s">
        <v>19</v>
      </c>
      <c r="S362" t="s">
        <v>38</v>
      </c>
    </row>
    <row r="363" spans="1:19">
      <c r="A363" s="3">
        <v>2531953</v>
      </c>
      <c r="B363" t="str">
        <f>VLOOKUP(A363,File!$A:$J,2,FALSE)</f>
        <v>Tanushree R G</v>
      </c>
      <c r="C363" s="29">
        <f>VLOOKUP(A363,File!$A:$J,5,FALSE)</f>
        <v>46254</v>
      </c>
      <c r="D363" s="29" t="str">
        <f>VLOOKUP(A363,File!$A:$J,3,FALSE)</f>
        <v>Female</v>
      </c>
      <c r="E363" s="29" t="str">
        <f>VLOOKUP(A363,File!$A:$J,4,FALSE)</f>
        <v>FTE</v>
      </c>
      <c r="F363" s="29" t="str">
        <f>VLOOKUP(A363,File!$A:$J,6,FALSE)</f>
        <v>Chennai</v>
      </c>
      <c r="G363" s="29" t="str">
        <f>VLOOKUP(A363,File!$A:$J,7,FALSE)</f>
        <v>EPS26OSP011</v>
      </c>
      <c r="H363" s="29" t="str">
        <f>VLOOKUP(A363,File!$A:$J,8,FALSE)</f>
        <v>Gayathri Ramachandran</v>
      </c>
      <c r="I363" s="31" t="str">
        <f>VLOOKUP(A363,File!$A:$J,9,FALSE)</f>
        <v/>
      </c>
      <c r="J363" s="44" t="s">
        <v>33</v>
      </c>
      <c r="K363" s="31" t="str">
        <f>VLOOKUP(A363,File!$A:$K,10,FALSE)</f>
        <v>Training - ON Hold</v>
      </c>
      <c r="L363" s="31" t="s">
        <v>5</v>
      </c>
      <c r="M363" t="str">
        <f>VLOOKUP(A363,Response!$A:$M,7,)</f>
        <v>Rented House/Apartment</v>
      </c>
      <c r="N363" t="str">
        <f>VLOOKUP(A363,Response!$A:$M,8,)</f>
        <v>Home</v>
      </c>
      <c r="O363" s="4">
        <f>VLOOKUP(A363,Response!$A:$M,10,)</f>
        <v>2</v>
      </c>
      <c r="P363" t="str">
        <f>VLOOKUP(A363,Response!$A:$M,12,)</f>
        <v>No</v>
      </c>
      <c r="Q363" t="str">
        <f>VLOOKUP(A363,Response!$A:$M,11,)</f>
        <v>Triplicane</v>
      </c>
      <c r="R363" t="s">
        <v>62</v>
      </c>
      <c r="S363" s="40" t="s">
        <v>36</v>
      </c>
    </row>
    <row r="364" spans="1:19">
      <c r="A364" s="3">
        <v>2531398</v>
      </c>
      <c r="B364" t="str">
        <f>VLOOKUP(A364,File!$A:$J,2,FALSE)</f>
        <v>Deepa S</v>
      </c>
      <c r="C364" s="29">
        <f>VLOOKUP(A364,File!$A:$J,5,FALSE)</f>
        <v>46252</v>
      </c>
      <c r="D364" s="29" t="str">
        <f>VLOOKUP(A364,File!$A:$J,3,FALSE)</f>
        <v>Female</v>
      </c>
      <c r="E364" s="29" t="str">
        <f>VLOOKUP(A364,File!$A:$J,4,FALSE)</f>
        <v>FTE</v>
      </c>
      <c r="F364" s="29" t="str">
        <f>VLOOKUP(A364,File!$A:$J,6,FALSE)</f>
        <v>Chennai</v>
      </c>
      <c r="G364" s="29" t="str">
        <f>VLOOKUP(A364,File!$A:$J,7,FALSE)</f>
        <v>EPS26SAP036</v>
      </c>
      <c r="H364" s="29" t="str">
        <f>VLOOKUP(A364,File!$A:$J,8,FALSE)</f>
        <v>Vishnupriya Dakshnamurthy</v>
      </c>
      <c r="I364" s="31">
        <f>VLOOKUP(A364,File!$A:$J,9,FALSE)</f>
        <v>46335</v>
      </c>
      <c r="J364" s="31" t="str">
        <f>VLOOKUP(A364,File!$A:$K,11,FALSE)</f>
        <v>Nov 2026</v>
      </c>
      <c r="K364" s="31" t="str">
        <f>VLOOKUP(A364,File!$A:$K,10,FALSE)</f>
        <v>In-Training</v>
      </c>
      <c r="L364" s="31" t="s">
        <v>5</v>
      </c>
      <c r="M364" t="str">
        <f>VLOOKUP(A364,Response!$A:$M,7,)</f>
        <v>Permanent Residence (House/Home)</v>
      </c>
      <c r="N364" t="str">
        <f>VLOOKUP(A364,Response!$A:$M,8,)</f>
        <v>Home</v>
      </c>
      <c r="O364" s="4" t="str">
        <f>VLOOKUP(A364,Response!$A:$M,10,)</f>
        <v>GF</v>
      </c>
      <c r="P364" t="str">
        <f>VLOOKUP(A364,Response!$A:$M,12,)</f>
        <v>Yes</v>
      </c>
      <c r="Q364" t="str">
        <f>VLOOKUP(A364,Response!$A:$M,11,)</f>
        <v>Ambedkar College (Vyasarpadi)</v>
      </c>
      <c r="S364" t="s">
        <v>38</v>
      </c>
    </row>
    <row r="365" spans="1:19">
      <c r="A365" s="3">
        <v>2531865</v>
      </c>
      <c r="B365" t="str">
        <f>VLOOKUP(A365,File!$A:$J,2,FALSE)</f>
        <v>S Soundarajan</v>
      </c>
      <c r="C365" s="29">
        <f>VLOOKUP(A365,File!$A:$J,5,FALSE)</f>
        <v>46254</v>
      </c>
      <c r="D365" s="29" t="str">
        <f>VLOOKUP(A365,File!$A:$J,3,FALSE)</f>
        <v>Male</v>
      </c>
      <c r="E365" s="29" t="str">
        <f>VLOOKUP(A365,File!$A:$J,4,FALSE)</f>
        <v>FTE</v>
      </c>
      <c r="F365" s="29" t="str">
        <f>VLOOKUP(A365,File!$A:$J,6,FALSE)</f>
        <v>Chennai</v>
      </c>
      <c r="G365" s="29" t="str">
        <f>VLOOKUP(A365,File!$A:$J,7,FALSE)</f>
        <v>EPS26OSP011</v>
      </c>
      <c r="H365" s="29" t="str">
        <f>VLOOKUP(A365,File!$A:$J,8,FALSE)</f>
        <v>Gayathri Ramachandran</v>
      </c>
      <c r="I365" s="31" t="str">
        <f>VLOOKUP(A365,File!$A:$J,9,FALSE)</f>
        <v/>
      </c>
      <c r="J365" s="44" t="s">
        <v>33</v>
      </c>
      <c r="K365" s="31" t="str">
        <f>VLOOKUP(A365,File!$A:$K,10,FALSE)</f>
        <v>Training - ON Hold</v>
      </c>
      <c r="L365" s="31" t="s">
        <v>5</v>
      </c>
      <c r="M365" t="str">
        <f>VLOOKUP(A365,Response!$A:$M,7,)</f>
        <v>Permanent Residence (House/Home)</v>
      </c>
      <c r="N365" t="str">
        <f>VLOOKUP(A365,Response!$A:$M,8,)</f>
        <v>Home</v>
      </c>
      <c r="O365" s="4" t="str">
        <f>VLOOKUP(A365,Response!$A:$M,10,)</f>
        <v>GF</v>
      </c>
      <c r="P365" t="str">
        <f>VLOOKUP(A365,Response!$A:$M,12,)</f>
        <v>Yes</v>
      </c>
      <c r="Q365" t="str">
        <f>VLOOKUP(A365,Response!$A:$M,11,)</f>
        <v>Central railway Station</v>
      </c>
      <c r="S365" t="s">
        <v>38</v>
      </c>
    </row>
    <row r="366" spans="1:19">
      <c r="A366" s="3">
        <v>2519716</v>
      </c>
      <c r="B366" t="str">
        <f>VLOOKUP(A366,File!$A:$J,2,FALSE)</f>
        <v>Rahul Raj D</v>
      </c>
      <c r="C366" s="29">
        <f>VLOOKUP(A366,File!$A:$J,5,FALSE)</f>
        <v>46205</v>
      </c>
      <c r="D366" s="29" t="str">
        <f>VLOOKUP(A366,File!$A:$J,3,FALSE)</f>
        <v>Male</v>
      </c>
      <c r="E366" s="29" t="str">
        <f>VLOOKUP(A366,File!$A:$J,4,FALSE)</f>
        <v>FTE</v>
      </c>
      <c r="F366" s="29" t="str">
        <f>VLOOKUP(A366,File!$A:$J,6,FALSE)</f>
        <v>Chennai</v>
      </c>
      <c r="G366" s="29" t="str">
        <f>VLOOKUP(A366,File!$A:$J,7,FALSE)</f>
        <v>CIS26MCPT013</v>
      </c>
      <c r="H366" s="29" t="str">
        <f>VLOOKUP(A366,File!$A:$J,8,FALSE)</f>
        <v>Lawrance M</v>
      </c>
      <c r="I366" s="31">
        <f>VLOOKUP(A366,File!$A:$J,9,FALSE)</f>
        <v>46324</v>
      </c>
      <c r="J366" s="31" t="str">
        <f>VLOOKUP(A366,File!$A:$K,11,FALSE)</f>
        <v>Oct 2026</v>
      </c>
      <c r="K366" s="31" t="str">
        <f>VLOOKUP(A366,File!$A:$K,10,FALSE)</f>
        <v>In-Training</v>
      </c>
      <c r="L366" s="31" t="s">
        <v>5</v>
      </c>
      <c r="M366" t="str">
        <f>VLOOKUP(A366,Response!$A:$M,7,)</f>
        <v>Permanent Residence (House/Home)</v>
      </c>
      <c r="N366" t="str">
        <f>VLOOKUP(A366,Response!$A:$M,8,)</f>
        <v>Home</v>
      </c>
      <c r="O366" s="4" t="str">
        <f>VLOOKUP(A366,Response!$A:$M,10,)</f>
        <v>GF</v>
      </c>
      <c r="P366" t="str">
        <f>VLOOKUP(A366,Response!$A:$M,12,)</f>
        <v>Yes</v>
      </c>
      <c r="Q366" t="str">
        <f>VLOOKUP(A366,Response!$A:$M,11,)</f>
        <v>Perumbakkam</v>
      </c>
      <c r="S366" t="s">
        <v>38</v>
      </c>
    </row>
    <row r="367" spans="1:19">
      <c r="A367" s="3">
        <v>2523386</v>
      </c>
      <c r="B367" t="str">
        <f>VLOOKUP(A367,File!$A:$J,2,FALSE)</f>
        <v>Shanmugapriya Lnu</v>
      </c>
      <c r="C367" s="29">
        <f>VLOOKUP(A367,File!$A:$J,5,FALSE)</f>
        <v>46219</v>
      </c>
      <c r="D367" s="29" t="str">
        <f>VLOOKUP(A367,File!$A:$J,3,FALSE)</f>
        <v>Female</v>
      </c>
      <c r="E367" s="29" t="str">
        <f>VLOOKUP(A367,File!$A:$J,4,FALSE)</f>
        <v>FTE</v>
      </c>
      <c r="F367" s="29" t="str">
        <f>VLOOKUP(A367,File!$A:$J,6,FALSE)</f>
        <v>Chennai</v>
      </c>
      <c r="G367" s="29" t="str">
        <f>VLOOKUP(A367,File!$A:$J,7,FALSE)</f>
        <v>CS26CS009</v>
      </c>
      <c r="H367" s="29" t="str">
        <f>VLOOKUP(A367,File!$A:$J,8,FALSE)</f>
        <v>Laksiya Vijayendran</v>
      </c>
      <c r="I367" s="31">
        <f>VLOOKUP(A367,File!$A:$J,9,FALSE)</f>
        <v>46309</v>
      </c>
      <c r="J367" s="31" t="str">
        <f>VLOOKUP(A367,File!$A:$K,11,FALSE)</f>
        <v>Oct 2026</v>
      </c>
      <c r="K367" s="31" t="str">
        <f>VLOOKUP(A367,File!$A:$K,10,FALSE)</f>
        <v>In-Training</v>
      </c>
      <c r="L367" s="31" t="s">
        <v>5</v>
      </c>
      <c r="M367" t="str">
        <f>VLOOKUP(A367,Response!$A:$M,7,)</f>
        <v>Permanent Residence (House/Home)</v>
      </c>
      <c r="N367" t="str">
        <f>VLOOKUP(A367,Response!$A:$M,8,)</f>
        <v>Home</v>
      </c>
      <c r="O367" s="4" t="str">
        <f>VLOOKUP(A367,Response!$A:$M,10,)</f>
        <v>GF</v>
      </c>
      <c r="P367" t="str">
        <f>VLOOKUP(A367,Response!$A:$M,12,)</f>
        <v>Yes</v>
      </c>
      <c r="Q367" t="str">
        <f>VLOOKUP(A367,Response!$A:$M,11,)</f>
        <v>Tambaram</v>
      </c>
      <c r="S367" t="s">
        <v>38</v>
      </c>
    </row>
    <row r="368" spans="1:19">
      <c r="A368" s="3">
        <v>2529545</v>
      </c>
      <c r="B368" t="str">
        <f>VLOOKUP(A368,File!$A:$J,2,FALSE)</f>
        <v>Sumitha Prakash</v>
      </c>
      <c r="C368" s="29">
        <f>VLOOKUP(A368,File!$A:$J,5,FALSE)</f>
        <v>46245</v>
      </c>
      <c r="D368" s="29" t="str">
        <f>VLOOKUP(A368,File!$A:$J,3,FALSE)</f>
        <v>Female</v>
      </c>
      <c r="E368" s="29" t="str">
        <f>VLOOKUP(A368,File!$A:$J,4,FALSE)</f>
        <v>FTE</v>
      </c>
      <c r="F368" s="29" t="str">
        <f>VLOOKUP(A368,File!$A:$J,6,FALSE)</f>
        <v>Chennai</v>
      </c>
      <c r="G368" s="29" t="str">
        <f>VLOOKUP(A368,File!$A:$J,7,FALSE)</f>
        <v>CIS26MCPT021</v>
      </c>
      <c r="H368" s="29" t="str">
        <f>VLOOKUP(A368,File!$A:$J,8,FALSE)</f>
        <v>Uma Venkatachalam</v>
      </c>
      <c r="I368" s="31">
        <f>VLOOKUP(A368,File!$A:$J,9,FALSE)</f>
        <v>46364</v>
      </c>
      <c r="J368" s="31" t="str">
        <f>VLOOKUP(A368,File!$A:$K,11,FALSE)</f>
        <v>Dec 2026</v>
      </c>
      <c r="K368" s="31" t="str">
        <f>VLOOKUP(A368,File!$A:$K,10,FALSE)</f>
        <v>In-Training</v>
      </c>
      <c r="L368" s="31" t="s">
        <v>5</v>
      </c>
      <c r="M368" t="str">
        <f>VLOOKUP(A368,Response!$A:$M,7,)</f>
        <v>Permanent Residence (House/Home)</v>
      </c>
      <c r="N368" t="str">
        <f>VLOOKUP(A368,Response!$A:$M,8,)</f>
        <v>HOME</v>
      </c>
      <c r="O368" s="4" t="str">
        <f>VLOOKUP(A368,Response!$A:$M,10,)</f>
        <v>GF</v>
      </c>
      <c r="P368" t="str">
        <f>VLOOKUP(A368,Response!$A:$M,12,)</f>
        <v>Yes</v>
      </c>
      <c r="Q368" t="str">
        <f>VLOOKUP(A368,Response!$A:$M,11,)</f>
        <v>KOYEMBEDU</v>
      </c>
      <c r="S368" t="s">
        <v>38</v>
      </c>
    </row>
    <row r="369" spans="1:19">
      <c r="A369" s="3">
        <v>2531822</v>
      </c>
      <c r="B369" t="str">
        <f>VLOOKUP(A369,File!$A:$J,2,FALSE)</f>
        <v>Rahul Raj R</v>
      </c>
      <c r="C369" s="29">
        <f>VLOOKUP(A369,File!$A:$J,5,FALSE)</f>
        <v>46254</v>
      </c>
      <c r="D369" s="29" t="str">
        <f>VLOOKUP(A369,File!$A:$J,3,FALSE)</f>
        <v>Male</v>
      </c>
      <c r="E369" s="29" t="str">
        <f>VLOOKUP(A369,File!$A:$J,4,FALSE)</f>
        <v>FTE</v>
      </c>
      <c r="F369" s="29" t="str">
        <f>VLOOKUP(A369,File!$A:$J,6,FALSE)</f>
        <v>Chennai</v>
      </c>
      <c r="G369" s="29" t="str">
        <f>VLOOKUP(A369,File!$A:$J,7,FALSE)</f>
        <v>EPS26OSP011</v>
      </c>
      <c r="H369" s="29" t="str">
        <f>VLOOKUP(A369,File!$A:$J,8,FALSE)</f>
        <v>Gayathri Ramachandran</v>
      </c>
      <c r="I369" s="31" t="str">
        <f>VLOOKUP(A369,File!$A:$J,9,FALSE)</f>
        <v/>
      </c>
      <c r="J369" s="44" t="s">
        <v>33</v>
      </c>
      <c r="K369" s="31" t="str">
        <f>VLOOKUP(A369,File!$A:$K,10,FALSE)</f>
        <v>Training - ON Hold</v>
      </c>
      <c r="L369" s="31" t="s">
        <v>5</v>
      </c>
      <c r="M369" t="str">
        <f>VLOOKUP(A369,Response!$A:$M,7,)</f>
        <v>Permanent Residence (House/Home)</v>
      </c>
      <c r="N369" t="str">
        <f>VLOOKUP(A369,Response!$A:$M,8,)</f>
        <v>Home</v>
      </c>
      <c r="O369" s="4" t="str">
        <f>VLOOKUP(A369,Response!$A:$M,10,)</f>
        <v>GF</v>
      </c>
      <c r="P369" t="str">
        <f>VLOOKUP(A369,Response!$A:$M,12,)</f>
        <v>No</v>
      </c>
      <c r="Q369" t="str">
        <f>VLOOKUP(A369,Response!$A:$M,11,)</f>
        <v>Chromepet</v>
      </c>
      <c r="S369" t="s">
        <v>38</v>
      </c>
    </row>
    <row r="370" spans="1:19">
      <c r="A370" s="3">
        <v>2524473</v>
      </c>
      <c r="B370" t="str">
        <f>VLOOKUP(A370,File!$A:$J,2,FALSE)</f>
        <v>Sangeetha Sivalingam</v>
      </c>
      <c r="C370" s="29">
        <f>VLOOKUP(A370,File!$A:$J,5,FALSE)</f>
        <v>46224</v>
      </c>
      <c r="D370" s="29" t="str">
        <f>VLOOKUP(A370,File!$A:$J,3,FALSE)</f>
        <v>Female</v>
      </c>
      <c r="E370" s="29" t="str">
        <f>VLOOKUP(A370,File!$A:$J,4,FALSE)</f>
        <v>FTE</v>
      </c>
      <c r="F370" s="29" t="str">
        <f>VLOOKUP(A370,File!$A:$J,6,FALSE)</f>
        <v>Chennai</v>
      </c>
      <c r="G370" s="29" t="str">
        <f>VLOOKUP(A370,File!$A:$J,7,FALSE)</f>
        <v>ADM26MF012</v>
      </c>
      <c r="H370" s="29" t="str">
        <f>VLOOKUP(A370,File!$A:$J,8,FALSE)</f>
        <v>Lourdhu Selvin Raj X</v>
      </c>
      <c r="I370" s="31">
        <f>VLOOKUP(A370,File!$A:$J,9,FALSE)</f>
        <v>46343</v>
      </c>
      <c r="J370" s="31" t="str">
        <f>VLOOKUP(A370,File!$A:$K,11,FALSE)</f>
        <v>Nov 2026</v>
      </c>
      <c r="K370" s="31" t="str">
        <f>VLOOKUP(A370,File!$A:$K,10,FALSE)</f>
        <v>In-Training</v>
      </c>
      <c r="L370" s="31" t="s">
        <v>5</v>
      </c>
      <c r="M370" t="str">
        <f>VLOOKUP(A370,Response!$A:$M,7,)</f>
        <v>Permanent Residence (House/Home)</v>
      </c>
      <c r="N370" t="str">
        <f>VLOOKUP(A370,Response!$A:$M,8,)</f>
        <v>Home</v>
      </c>
      <c r="O370" s="4" t="str">
        <f>VLOOKUP(A370,Response!$A:$M,10,)</f>
        <v>GF</v>
      </c>
      <c r="P370" t="str">
        <f>VLOOKUP(A370,Response!$A:$M,12,)</f>
        <v>Yes</v>
      </c>
      <c r="Q370" t="str">
        <f>VLOOKUP(A370,Response!$A:$M,11,)</f>
        <v>Chromepet</v>
      </c>
      <c r="S370" t="s">
        <v>38</v>
      </c>
    </row>
    <row r="371" spans="1:19">
      <c r="A371" s="3">
        <v>2519823</v>
      </c>
      <c r="B371" t="str">
        <f>VLOOKUP(A371,File!$A:$J,2,FALSE)</f>
        <v>Shaik Nafees Azmath</v>
      </c>
      <c r="C371" s="29">
        <f>VLOOKUP(A371,File!$A:$J,5,FALSE)</f>
        <v>46205</v>
      </c>
      <c r="D371" s="29" t="str">
        <f>VLOOKUP(A371,File!$A:$J,3,FALSE)</f>
        <v>Male</v>
      </c>
      <c r="E371" s="29" t="str">
        <f>VLOOKUP(A371,File!$A:$J,4,FALSE)</f>
        <v>FTE</v>
      </c>
      <c r="F371" s="29" t="str">
        <f>VLOOKUP(A371,File!$A:$J,6,FALSE)</f>
        <v>Chennai</v>
      </c>
      <c r="G371" s="29" t="str">
        <f>VLOOKUP(A371,File!$A:$J,7,FALSE)</f>
        <v>CIS26MCPT013</v>
      </c>
      <c r="H371" s="29" t="str">
        <f>VLOOKUP(A371,File!$A:$J,8,FALSE)</f>
        <v>Lawrance M</v>
      </c>
      <c r="I371" s="31">
        <f>VLOOKUP(A371,File!$A:$J,9,FALSE)</f>
        <v>46324</v>
      </c>
      <c r="J371" s="31" t="str">
        <f>VLOOKUP(A371,File!$A:$K,11,FALSE)</f>
        <v>Oct 2026</v>
      </c>
      <c r="K371" s="31" t="str">
        <f>VLOOKUP(A371,File!$A:$K,10,FALSE)</f>
        <v>In-Training</v>
      </c>
      <c r="L371" s="31" t="s">
        <v>5</v>
      </c>
      <c r="M371" t="str">
        <f>VLOOKUP(A371,Response!$A:$M,7,)</f>
        <v>Permanent Residence (House/Home)</v>
      </c>
      <c r="N371" t="str">
        <f>VLOOKUP(A371,Response!$A:$M,8,)</f>
        <v>House</v>
      </c>
      <c r="O371" s="4">
        <f>VLOOKUP(A371,Response!$A:$M,10,)</f>
        <v>1</v>
      </c>
      <c r="P371" t="str">
        <f>VLOOKUP(A371,Response!$A:$M,12,)</f>
        <v>Yes</v>
      </c>
      <c r="Q371" t="str">
        <f>VLOOKUP(A371,Response!$A:$M,11,)</f>
        <v>Vadapalani</v>
      </c>
      <c r="S371" t="s">
        <v>38</v>
      </c>
    </row>
    <row r="372" spans="1:19">
      <c r="A372" s="3">
        <v>2524514</v>
      </c>
      <c r="B372" t="str">
        <f>VLOOKUP(A372,File!$A:$J,2,FALSE)</f>
        <v>Priyanka Prabhu Fande</v>
      </c>
      <c r="C372" s="29">
        <f>VLOOKUP(A372,File!$A:$J,5,FALSE)</f>
        <v>46224</v>
      </c>
      <c r="D372" s="29" t="str">
        <f>VLOOKUP(A372,File!$A:$J,3,FALSE)</f>
        <v>Female</v>
      </c>
      <c r="E372" s="29" t="str">
        <f>VLOOKUP(A372,File!$A:$J,4,FALSE)</f>
        <v>FTE</v>
      </c>
      <c r="F372" s="29" t="str">
        <f>VLOOKUP(A372,File!$A:$J,6,FALSE)</f>
        <v>Chennai</v>
      </c>
      <c r="G372" s="29" t="str">
        <f>VLOOKUP(A372,File!$A:$J,7,FALSE)</f>
        <v>IOA26RPA005</v>
      </c>
      <c r="H372" s="29" t="str">
        <f>VLOOKUP(A372,File!$A:$J,8,FALSE)</f>
        <v>Adarsh J Nair</v>
      </c>
      <c r="I372" s="31">
        <f>VLOOKUP(A372,File!$A:$J,9,FALSE)</f>
        <v>46309</v>
      </c>
      <c r="J372" s="31" t="str">
        <f>VLOOKUP(A372,File!$A:$K,11,FALSE)</f>
        <v>Oct 2026</v>
      </c>
      <c r="K372" s="31" t="str">
        <f>VLOOKUP(A372,File!$A:$K,10,FALSE)</f>
        <v>In-Training</v>
      </c>
      <c r="L372" s="31" t="s">
        <v>5</v>
      </c>
      <c r="M372" t="str">
        <f>VLOOKUP(A372,Response!$A:$M,7,)</f>
        <v>Rented House/Apartment</v>
      </c>
      <c r="N372" t="str">
        <f>VLOOKUP(A372,Response!$A:$M,8,)</f>
        <v>House No 25, Sarangapani St, Sholinganallur</v>
      </c>
      <c r="O372" s="4">
        <f>VLOOKUP(A372,Response!$A:$M,10,)</f>
        <v>1</v>
      </c>
      <c r="P372" t="str">
        <f>VLOOKUP(A372,Response!$A:$M,12,)</f>
        <v>No</v>
      </c>
      <c r="Q372" t="str">
        <f>VLOOKUP(A372,Response!$A:$M,11,)</f>
        <v>Sholinganallur</v>
      </c>
      <c r="R372" t="s">
        <v>17</v>
      </c>
      <c r="S372" t="s">
        <v>38</v>
      </c>
    </row>
    <row r="373" spans="1:19">
      <c r="A373" s="3">
        <v>2532979</v>
      </c>
      <c r="B373" t="str">
        <f>VLOOKUP(A373,File!$A:$J,2,FALSE)</f>
        <v>Harini Vetriselvan</v>
      </c>
      <c r="C373" s="29">
        <f>VLOOKUP(A373,File!$A:$J,5,FALSE)</f>
        <v>46259</v>
      </c>
      <c r="D373" s="29" t="str">
        <f>VLOOKUP(A373,File!$A:$J,3,FALSE)</f>
        <v>Female</v>
      </c>
      <c r="E373" s="29" t="str">
        <f>VLOOKUP(A373,File!$A:$J,4,FALSE)</f>
        <v>FTE</v>
      </c>
      <c r="F373" s="29" t="str">
        <f>VLOOKUP(A373,File!$A:$J,6,FALSE)</f>
        <v>Chennai</v>
      </c>
      <c r="G373" s="29" t="str">
        <f>VLOOKUP(A373,File!$A:$J,7,FALSE)</f>
        <v>CIS26MBG003</v>
      </c>
      <c r="H373" s="29" t="str">
        <f>VLOOKUP(A373,File!$A:$J,8,FALSE)</f>
        <v>Kishorekumar P</v>
      </c>
      <c r="I373" s="31">
        <f>VLOOKUP(A373,File!$A:$J,9,FALSE)</f>
        <v>46367</v>
      </c>
      <c r="J373" s="31" t="str">
        <f>VLOOKUP(A373,File!$A:$K,11,FALSE)</f>
        <v>Dec 2026</v>
      </c>
      <c r="K373" s="31" t="str">
        <f>VLOOKUP(A373,File!$A:$K,10,FALSE)</f>
        <v>In-Training</v>
      </c>
      <c r="L373" s="31" t="s">
        <v>4</v>
      </c>
      <c r="M373" t="str">
        <f>VLOOKUP(A373,Response!$A:$M,7,)</f>
        <v>PG (Paying Guest)</v>
      </c>
      <c r="N373" t="str">
        <f>VLOOKUP(A373,Response!$A:$M,8,)</f>
        <v>Indira ladies pg</v>
      </c>
      <c r="O373" s="4" t="str">
        <f>VLOOKUP(A373,Response!$A:$M,10,)</f>
        <v>GF</v>
      </c>
      <c r="P373" t="str">
        <f>VLOOKUP(A373,Response!$A:$M,12,)</f>
        <v>Yes</v>
      </c>
      <c r="Q373" t="str">
        <f>VLOOKUP(A373,Response!$A:$M,11,)</f>
        <v>Navalur</v>
      </c>
      <c r="R373" t="s">
        <v>19</v>
      </c>
      <c r="S373" s="39" t="s">
        <v>37</v>
      </c>
    </row>
    <row r="374" spans="1:19">
      <c r="A374" s="3">
        <v>2529772</v>
      </c>
      <c r="B374" t="str">
        <f>VLOOKUP(A374,File!$A:$J,2,FALSE)</f>
        <v>Mahalakshmi B</v>
      </c>
      <c r="C374" s="29">
        <f>VLOOKUP(A374,File!$A:$J,5,FALSE)</f>
        <v>46245</v>
      </c>
      <c r="D374" s="29" t="str">
        <f>VLOOKUP(A374,File!$A:$J,3,FALSE)</f>
        <v>Female</v>
      </c>
      <c r="E374" s="29" t="str">
        <f>VLOOKUP(A374,File!$A:$J,4,FALSE)</f>
        <v>FTE</v>
      </c>
      <c r="F374" s="29" t="str">
        <f>VLOOKUP(A374,File!$A:$J,6,FALSE)</f>
        <v>Chennai</v>
      </c>
      <c r="G374" s="29" t="str">
        <f>VLOOKUP(A374,File!$A:$J,7,FALSE)</f>
        <v>CIS26MCPT021</v>
      </c>
      <c r="H374" s="29" t="str">
        <f>VLOOKUP(A374,File!$A:$J,8,FALSE)</f>
        <v>Uma Venkatachalam</v>
      </c>
      <c r="I374" s="31">
        <f>VLOOKUP(A374,File!$A:$J,9,FALSE)</f>
        <v>46364</v>
      </c>
      <c r="J374" s="31" t="str">
        <f>VLOOKUP(A374,File!$A:$K,11,FALSE)</f>
        <v>Dec 2026</v>
      </c>
      <c r="K374" s="31" t="str">
        <f>VLOOKUP(A374,File!$A:$K,10,FALSE)</f>
        <v>In-Training</v>
      </c>
      <c r="L374" s="31" t="s">
        <v>4</v>
      </c>
      <c r="M374" t="str">
        <f>VLOOKUP(A374,Response!$A:$M,7,)</f>
        <v>PG (Paying Guest)</v>
      </c>
      <c r="N374" t="str">
        <f>VLOOKUP(A374,Response!$A:$M,8,)</f>
        <v>Indiras Women pg ,Navalur</v>
      </c>
      <c r="O374" s="4">
        <f>VLOOKUP(A374,Response!$A:$M,10,)</f>
        <v>1</v>
      </c>
      <c r="P374" t="str">
        <f>VLOOKUP(A374,Response!$A:$M,12,)</f>
        <v>Yes</v>
      </c>
      <c r="Q374" t="str">
        <f>VLOOKUP(A374,Response!$A:$M,11,)</f>
        <v>Navalur</v>
      </c>
      <c r="R374" t="s">
        <v>19</v>
      </c>
      <c r="S374" s="39" t="s">
        <v>37</v>
      </c>
    </row>
    <row r="375" spans="1:19">
      <c r="A375" s="3">
        <v>2520924</v>
      </c>
      <c r="B375" t="str">
        <f>VLOOKUP(A375,File!$A:$J,2,FALSE)</f>
        <v>Deepakraj Moorthy</v>
      </c>
      <c r="C375" s="29">
        <f>VLOOKUP(A375,File!$A:$J,5,FALSE)</f>
        <v>46210</v>
      </c>
      <c r="D375" s="29" t="str">
        <f>VLOOKUP(A375,File!$A:$J,3,FALSE)</f>
        <v>Male</v>
      </c>
      <c r="E375" s="29" t="str">
        <f>VLOOKUP(A375,File!$A:$J,4,FALSE)</f>
        <v>FTE</v>
      </c>
      <c r="F375" s="29" t="str">
        <f>VLOOKUP(A375,File!$A:$J,6,FALSE)</f>
        <v>Chennai</v>
      </c>
      <c r="G375" s="29" t="str">
        <f>VLOOKUP(A375,File!$A:$J,7,FALSE)</f>
        <v>CIS26MCPT013</v>
      </c>
      <c r="H375" s="29" t="str">
        <f>VLOOKUP(A375,File!$A:$J,8,FALSE)</f>
        <v>Lawrance M</v>
      </c>
      <c r="I375" s="31">
        <f>VLOOKUP(A375,File!$A:$J,9,FALSE)</f>
        <v>46324</v>
      </c>
      <c r="J375" s="31" t="str">
        <f>VLOOKUP(A375,File!$A:$K,11,FALSE)</f>
        <v>Oct 2026</v>
      </c>
      <c r="K375" s="31" t="str">
        <f>VLOOKUP(A375,File!$A:$K,10,FALSE)</f>
        <v>In-Training</v>
      </c>
      <c r="L375" s="31" t="s">
        <v>5</v>
      </c>
      <c r="M375" t="str">
        <f>VLOOKUP(A375,Response!$A:$M,7,)</f>
        <v>Rented House/Apartment</v>
      </c>
      <c r="N375" t="str">
        <f>VLOOKUP(A375,Response!$A:$M,8,)</f>
        <v>irumbuliyur, east Tambaram</v>
      </c>
      <c r="O375" s="4" t="str">
        <f>VLOOKUP(A375,Response!$A:$M,10,)</f>
        <v>GF</v>
      </c>
      <c r="P375" t="str">
        <f>VLOOKUP(A375,Response!$A:$M,12,)</f>
        <v>No</v>
      </c>
      <c r="Q375" t="str">
        <f>VLOOKUP(A375,Response!$A:$M,11,)</f>
        <v>Tambaram</v>
      </c>
      <c r="R375" t="s">
        <v>63</v>
      </c>
      <c r="S375" t="s">
        <v>38</v>
      </c>
    </row>
    <row r="376" spans="1:19">
      <c r="A376" s="3">
        <v>2512313</v>
      </c>
      <c r="B376" t="str">
        <f>VLOOKUP(A376,File!$A:$J,2,FALSE)</f>
        <v>Preeti Ramappa Chavati</v>
      </c>
      <c r="C376" s="29">
        <f>VLOOKUP(A376,File!$A:$J,5,FALSE)</f>
        <v>46170</v>
      </c>
      <c r="D376" s="29" t="str">
        <f>VLOOKUP(A376,File!$A:$J,3,FALSE)</f>
        <v>Female</v>
      </c>
      <c r="E376" s="29" t="str">
        <f>VLOOKUP(A376,File!$A:$J,4,FALSE)</f>
        <v>FTE</v>
      </c>
      <c r="F376" s="29" t="str">
        <f>VLOOKUP(A376,File!$A:$J,6,FALSE)</f>
        <v>Chennai</v>
      </c>
      <c r="G376" s="29" t="str">
        <f>VLOOKUP(A376,File!$A:$J,7,FALSE)</f>
        <v>CIS26MCPT011</v>
      </c>
      <c r="H376" s="29" t="str">
        <f>VLOOKUP(A376,File!$A:$J,8,FALSE)</f>
        <v>Uma Venkatachalam</v>
      </c>
      <c r="I376" s="31">
        <f>VLOOKUP(A376,File!$A:$J,9,FALSE)</f>
        <v>46282</v>
      </c>
      <c r="J376" s="31" t="str">
        <f>VLOOKUP(A376,File!$A:$K,11,FALSE)</f>
        <v>Sep 2026</v>
      </c>
      <c r="K376" s="31" t="str">
        <f>VLOOKUP(A376,File!$A:$K,10,FALSE)</f>
        <v>In-Training</v>
      </c>
      <c r="L376" s="31" t="s">
        <v>4</v>
      </c>
      <c r="M376" t="str">
        <f>VLOOKUP(A376,Response!$A:$M,7,)</f>
        <v>PG (Paying Guest)</v>
      </c>
      <c r="N376" t="str">
        <f>VLOOKUP(A376,Response!$A:$M,8,)</f>
        <v>ja sree ladies pg</v>
      </c>
      <c r="O376" s="4" t="str">
        <f>VLOOKUP(A376,Response!$A:$M,10,)</f>
        <v>GF</v>
      </c>
      <c r="P376" t="str">
        <f>VLOOKUP(A376,Response!$A:$M,12,)</f>
        <v>No</v>
      </c>
      <c r="Q376" t="str">
        <f>VLOOKUP(A376,Response!$A:$M,11,)</f>
        <v>Navalur</v>
      </c>
      <c r="R376" t="s">
        <v>19</v>
      </c>
      <c r="S376" s="39" t="s">
        <v>37</v>
      </c>
    </row>
    <row r="377" spans="1:19">
      <c r="A377" s="3">
        <v>2532995</v>
      </c>
      <c r="B377" t="str">
        <f>VLOOKUP(A377,File!$A:$J,2,FALSE)</f>
        <v>Venkata Rao Dasari</v>
      </c>
      <c r="C377" s="29">
        <f>VLOOKUP(A377,File!$A:$J,5,FALSE)</f>
        <v>46259</v>
      </c>
      <c r="D377" s="29" t="str">
        <f>VLOOKUP(A377,File!$A:$J,3,FALSE)</f>
        <v>Male</v>
      </c>
      <c r="E377" s="29" t="str">
        <f>VLOOKUP(A377,File!$A:$J,4,FALSE)</f>
        <v>FTE</v>
      </c>
      <c r="F377" s="29" t="str">
        <f>VLOOKUP(A377,File!$A:$J,6,FALSE)</f>
        <v>Chennai</v>
      </c>
      <c r="G377" s="29" t="str">
        <f>VLOOKUP(A377,File!$A:$J,7,FALSE)</f>
        <v>CIS26MBG004</v>
      </c>
      <c r="H377" s="29" t="str">
        <f>VLOOKUP(A377,File!$A:$J,8,FALSE)</f>
        <v>Kishorekumar P</v>
      </c>
      <c r="I377" s="31">
        <f>VLOOKUP(A377,File!$A:$J,9,FALSE)</f>
        <v>46367</v>
      </c>
      <c r="J377" s="31" t="str">
        <f>VLOOKUP(A377,File!$A:$K,11,FALSE)</f>
        <v>Dec 2026</v>
      </c>
      <c r="K377" s="31" t="str">
        <f>VLOOKUP(A377,File!$A:$K,10,FALSE)</f>
        <v>In-Training</v>
      </c>
      <c r="L377" s="31" t="s">
        <v>4</v>
      </c>
      <c r="M377" t="str">
        <f>VLOOKUP(A377,Response!$A:$M,7,)</f>
        <v>PG (Paying Guest)</v>
      </c>
      <c r="N377" t="str">
        <f>VLOOKUP(A377,Response!$A:$M,8,)</f>
        <v>Jai Shree gents PG, Sri kumaran Nagar, Saravana Nagar, Perungudi, Chennai</v>
      </c>
      <c r="O377" s="4" t="str">
        <f>VLOOKUP(A377,Response!$A:$M,10,)</f>
        <v>GF</v>
      </c>
      <c r="P377" t="str">
        <f>VLOOKUP(A377,Response!$A:$M,12,)</f>
        <v>Yes</v>
      </c>
      <c r="Q377" t="str">
        <f>VLOOKUP(A377,Response!$A:$M,11,)</f>
        <v>Thoraipakkam</v>
      </c>
      <c r="R377" t="s">
        <v>17</v>
      </c>
      <c r="S377" s="39" t="s">
        <v>37</v>
      </c>
    </row>
    <row r="378" spans="1:19">
      <c r="A378" s="3">
        <v>2525075</v>
      </c>
      <c r="B378" t="str">
        <f>VLOOKUP(A378,File!$A:$J,2,FALSE)</f>
        <v>Sneha M K</v>
      </c>
      <c r="C378" s="29">
        <f>VLOOKUP(A378,File!$A:$J,5,FALSE)</f>
        <v>46226</v>
      </c>
      <c r="D378" s="29" t="str">
        <f>VLOOKUP(A378,File!$A:$J,3,FALSE)</f>
        <v>Female</v>
      </c>
      <c r="E378" s="29" t="str">
        <f>VLOOKUP(A378,File!$A:$J,4,FALSE)</f>
        <v>FTE</v>
      </c>
      <c r="F378" s="29" t="str">
        <f>VLOOKUP(A378,File!$A:$J,6,FALSE)</f>
        <v>Chennai</v>
      </c>
      <c r="G378" s="29" t="str">
        <f>VLOOKUP(A378,File!$A:$J,7,FALSE)</f>
        <v>CIS26DWP023</v>
      </c>
      <c r="H378" s="29" t="str">
        <f>VLOOKUP(A378,File!$A:$J,8,FALSE)</f>
        <v>Geebiga B</v>
      </c>
      <c r="I378" s="31">
        <f>VLOOKUP(A378,File!$A:$J,9,FALSE)</f>
        <v>46282</v>
      </c>
      <c r="J378" s="31" t="str">
        <f>VLOOKUP(A378,File!$A:$K,11,FALSE)</f>
        <v>Sep 2026</v>
      </c>
      <c r="K378" s="31" t="str">
        <f>VLOOKUP(A378,File!$A:$K,10,FALSE)</f>
        <v>In-Training</v>
      </c>
      <c r="L378" s="31" t="s">
        <v>5</v>
      </c>
      <c r="M378" t="str">
        <f>VLOOKUP(A378,Response!$A:$M,7,)</f>
        <v>Permanent Residence (House/Home)</v>
      </c>
      <c r="N378" t="str">
        <f>VLOOKUP(A378,Response!$A:$M,8,)</f>
        <v>Jains Green Acres, Pallavaram</v>
      </c>
      <c r="O378" s="4">
        <f>VLOOKUP(A378,Response!$A:$M,10,)</f>
        <v>1</v>
      </c>
      <c r="P378" t="str">
        <f>VLOOKUP(A378,Response!$A:$M,12,)</f>
        <v>Yes</v>
      </c>
      <c r="Q378" t="str">
        <f>VLOOKUP(A378,Response!$A:$M,11,)</f>
        <v>Medavakkam</v>
      </c>
      <c r="S378" t="s">
        <v>38</v>
      </c>
    </row>
    <row r="379" spans="1:19">
      <c r="A379" s="3">
        <v>2531376</v>
      </c>
      <c r="B379" t="str">
        <f>VLOOKUP(A379,File!$A:$J,2,FALSE)</f>
        <v>Srikrithi S</v>
      </c>
      <c r="C379" s="29">
        <f>VLOOKUP(A379,File!$A:$J,5,FALSE)</f>
        <v>46252</v>
      </c>
      <c r="D379" s="29" t="str">
        <f>VLOOKUP(A379,File!$A:$J,3,FALSE)</f>
        <v>Female</v>
      </c>
      <c r="E379" s="29" t="str">
        <f>VLOOKUP(A379,File!$A:$J,4,FALSE)</f>
        <v>FTE</v>
      </c>
      <c r="F379" s="29" t="str">
        <f>VLOOKUP(A379,File!$A:$J,6,FALSE)</f>
        <v>Chennai</v>
      </c>
      <c r="G379" s="29" t="str">
        <f>VLOOKUP(A379,File!$A:$J,7,FALSE)</f>
        <v>EPS26SAP036</v>
      </c>
      <c r="H379" s="29" t="str">
        <f>VLOOKUP(A379,File!$A:$J,8,FALSE)</f>
        <v>Vishnupriya Dakshnamurthy</v>
      </c>
      <c r="I379" s="31">
        <f>VLOOKUP(A379,File!$A:$J,9,FALSE)</f>
        <v>46335</v>
      </c>
      <c r="J379" s="31" t="str">
        <f>VLOOKUP(A379,File!$A:$K,11,FALSE)</f>
        <v>Nov 2026</v>
      </c>
      <c r="K379" s="31" t="str">
        <f>VLOOKUP(A379,File!$A:$K,10,FALSE)</f>
        <v>In-Training</v>
      </c>
      <c r="L379" s="31" t="s">
        <v>5</v>
      </c>
      <c r="M379" t="str">
        <f>VLOOKUP(A379,Response!$A:$M,7,)</f>
        <v>Permanent Residence (House/Home)</v>
      </c>
      <c r="N379" t="str">
        <f>VLOOKUP(A379,Response!$A:$M,8,)</f>
        <v>Janavi Flats - Chennai 60003318/3</v>
      </c>
      <c r="O379" s="4">
        <f>VLOOKUP(A379,Response!$A:$M,10,)</f>
        <v>1</v>
      </c>
      <c r="P379" t="str">
        <f>VLOOKUP(A379,Response!$A:$M,12,)</f>
        <v>Yes</v>
      </c>
      <c r="Q379" t="str">
        <f>VLOOKUP(A379,Response!$A:$M,11,)</f>
        <v>Ashok Nagar</v>
      </c>
      <c r="S379" t="s">
        <v>38</v>
      </c>
    </row>
    <row r="380" spans="1:19">
      <c r="A380" s="3">
        <v>2512289</v>
      </c>
      <c r="B380" t="str">
        <f>VLOOKUP(A380,File!$A:$J,2,FALSE)</f>
        <v>Rathish S</v>
      </c>
      <c r="C380" s="29">
        <f>VLOOKUP(A380,File!$A:$J,5,FALSE)</f>
        <v>46170</v>
      </c>
      <c r="D380" s="29" t="str">
        <f>VLOOKUP(A380,File!$A:$J,3,FALSE)</f>
        <v>Male</v>
      </c>
      <c r="E380" s="29" t="str">
        <f>VLOOKUP(A380,File!$A:$J,4,FALSE)</f>
        <v>FTE</v>
      </c>
      <c r="F380" s="29" t="str">
        <f>VLOOKUP(A380,File!$A:$J,6,FALSE)</f>
        <v>Chennai</v>
      </c>
      <c r="G380" s="29" t="str">
        <f>VLOOKUP(A380,File!$A:$J,7,FALSE)</f>
        <v>CIS26MCPT012</v>
      </c>
      <c r="H380" s="29" t="str">
        <f>VLOOKUP(A380,File!$A:$J,8,FALSE)</f>
        <v>Uma Venkatachalam</v>
      </c>
      <c r="I380" s="31">
        <f>VLOOKUP(A380,File!$A:$J,9,FALSE)</f>
        <v>46282</v>
      </c>
      <c r="J380" s="31" t="str">
        <f>VLOOKUP(A380,File!$A:$K,11,FALSE)</f>
        <v>Sep 2026</v>
      </c>
      <c r="K380" s="31" t="str">
        <f>VLOOKUP(A380,File!$A:$K,10,FALSE)</f>
        <v>In-Training</v>
      </c>
      <c r="L380" s="31" t="s">
        <v>4</v>
      </c>
      <c r="M380" t="str">
        <f>VLOOKUP(A380,Response!$A:$M,7,)</f>
        <v>PG (Paying Guest)</v>
      </c>
      <c r="N380" t="str">
        <f>VLOOKUP(A380,Response!$A:$M,8,)</f>
        <v>Jaya gents stays</v>
      </c>
      <c r="O380" s="4">
        <f>VLOOKUP(A380,Response!$A:$M,10,)</f>
        <v>5</v>
      </c>
      <c r="P380" t="str">
        <f>VLOOKUP(A380,Response!$A:$M,12,)</f>
        <v>No</v>
      </c>
      <c r="Q380" t="str">
        <f>VLOOKUP(A380,Response!$A:$M,11,)</f>
        <v>Navalur</v>
      </c>
      <c r="R380" t="s">
        <v>19</v>
      </c>
      <c r="S380" s="39" t="s">
        <v>37</v>
      </c>
    </row>
    <row r="381" spans="1:19">
      <c r="A381" s="3">
        <v>2520929</v>
      </c>
      <c r="B381" t="str">
        <f>VLOOKUP(A381,File!$A:$J,2,FALSE)</f>
        <v>Kamran Ayaz</v>
      </c>
      <c r="C381" s="29">
        <f>VLOOKUP(A381,File!$A:$J,5,FALSE)</f>
        <v>46210</v>
      </c>
      <c r="D381" s="29" t="str">
        <f>VLOOKUP(A381,File!$A:$J,3,FALSE)</f>
        <v>Male</v>
      </c>
      <c r="E381" s="29" t="str">
        <f>VLOOKUP(A381,File!$A:$J,4,FALSE)</f>
        <v>FTE</v>
      </c>
      <c r="F381" s="29" t="str">
        <f>VLOOKUP(A381,File!$A:$J,6,FALSE)</f>
        <v>Chennai</v>
      </c>
      <c r="G381" s="29" t="str">
        <f>VLOOKUP(A381,File!$A:$J,7,FALSE)</f>
        <v>CIS26MCPT013</v>
      </c>
      <c r="H381" s="29" t="str">
        <f>VLOOKUP(A381,File!$A:$J,8,FALSE)</f>
        <v>Lawrance M</v>
      </c>
      <c r="I381" s="31">
        <f>VLOOKUP(A381,File!$A:$J,9,FALSE)</f>
        <v>46324</v>
      </c>
      <c r="J381" s="31" t="str">
        <f>VLOOKUP(A381,File!$A:$K,11,FALSE)</f>
        <v>Oct 2026</v>
      </c>
      <c r="K381" s="31" t="str">
        <f>VLOOKUP(A381,File!$A:$K,10,FALSE)</f>
        <v>In-Training</v>
      </c>
      <c r="L381" s="31" t="s">
        <v>4</v>
      </c>
      <c r="M381" t="str">
        <f>VLOOKUP(A381,Response!$A:$M,7,)</f>
        <v>PG (Paying Guest)</v>
      </c>
      <c r="N381" t="str">
        <f>VLOOKUP(A381,Response!$A:$M,8,)</f>
        <v xml:space="preserve">Jaya Stay Gents PG </v>
      </c>
      <c r="O381" s="4">
        <f>VLOOKUP(A381,Response!$A:$M,10,)</f>
        <v>1</v>
      </c>
      <c r="P381" t="str">
        <f>VLOOKUP(A381,Response!$A:$M,12,)</f>
        <v>No</v>
      </c>
      <c r="Q381" t="str">
        <f>VLOOKUP(A381,Response!$A:$M,11,)</f>
        <v>Navalur</v>
      </c>
      <c r="R381" t="s">
        <v>19</v>
      </c>
      <c r="S381" s="39" t="s">
        <v>37</v>
      </c>
    </row>
    <row r="382" spans="1:19">
      <c r="A382" s="3">
        <v>2480129</v>
      </c>
      <c r="B382" t="str">
        <f>VLOOKUP(A382,File!$A:$J,2,FALSE)</f>
        <v>Adnan Ahemad Navidoddin Sayyad</v>
      </c>
      <c r="C382" s="29">
        <f>VLOOKUP(A382,File!$A:$J,5,FALSE)</f>
        <v>46254</v>
      </c>
      <c r="D382" s="29" t="str">
        <f>VLOOKUP(A382,File!$A:$J,3,FALSE)</f>
        <v>Male</v>
      </c>
      <c r="E382" s="29" t="str">
        <f>VLOOKUP(A382,File!$A:$J,4,FALSE)</f>
        <v>CSD</v>
      </c>
      <c r="F382" s="29" t="str">
        <f>VLOOKUP(A382,File!$A:$J,6,FALSE)</f>
        <v>Chennai</v>
      </c>
      <c r="G382" s="29" t="str">
        <f>VLOOKUP(A382,File!$A:$J,7,FALSE)</f>
        <v>INTFE26FE001</v>
      </c>
      <c r="H382" s="29" t="str">
        <f>VLOOKUP(A382,File!$A:$J,8,FALSE)</f>
        <v>Grace Esther S</v>
      </c>
      <c r="I382" s="31">
        <f>VLOOKUP(A382,File!$A:$J,9,FALSE)</f>
        <v>46310</v>
      </c>
      <c r="J382" s="31" t="str">
        <f>VLOOKUP(A382,File!$A:$K,11,FALSE)</f>
        <v>Oct 2026</v>
      </c>
      <c r="K382" s="31" t="str">
        <f>VLOOKUP(A382,File!$A:$K,10,FALSE)</f>
        <v>In-Training</v>
      </c>
      <c r="L382" s="31" t="s">
        <v>4</v>
      </c>
      <c r="M382" t="str">
        <f>VLOOKUP(A382,Response!$A:$M,7,)</f>
        <v>PG (Paying Guest)</v>
      </c>
      <c r="N382" t="str">
        <f>VLOOKUP(A382,Response!$A:$M,8,)</f>
        <v>Jaya stays gents pg for men</v>
      </c>
      <c r="O382" s="4">
        <f>VLOOKUP(A382,Response!$A:$M,10,)</f>
        <v>2</v>
      </c>
      <c r="P382" t="str">
        <f>VLOOKUP(A382,Response!$A:$M,12,)</f>
        <v>No</v>
      </c>
      <c r="Q382" t="str">
        <f>VLOOKUP(A382,Response!$A:$M,11,)</f>
        <v>Navalur</v>
      </c>
      <c r="R382" t="s">
        <v>19</v>
      </c>
      <c r="S382" s="39" t="s">
        <v>37</v>
      </c>
    </row>
    <row r="383" spans="1:19">
      <c r="A383" s="3">
        <v>2512358</v>
      </c>
      <c r="B383" t="str">
        <f>VLOOKUP(A383,File!$A:$J,2,FALSE)</f>
        <v>R S Vishal</v>
      </c>
      <c r="C383" s="29">
        <f>VLOOKUP(A383,File!$A:$J,5,FALSE)</f>
        <v>46170</v>
      </c>
      <c r="D383" s="29" t="str">
        <f>VLOOKUP(A383,File!$A:$J,3,FALSE)</f>
        <v>Male</v>
      </c>
      <c r="E383" s="29" t="str">
        <f>VLOOKUP(A383,File!$A:$J,4,FALSE)</f>
        <v>FTE</v>
      </c>
      <c r="F383" s="29" t="str">
        <f>VLOOKUP(A383,File!$A:$J,6,FALSE)</f>
        <v>Chennai</v>
      </c>
      <c r="G383" s="29" t="str">
        <f>VLOOKUP(A383,File!$A:$J,7,FALSE)</f>
        <v>CIS26MCPT011</v>
      </c>
      <c r="H383" s="29" t="str">
        <f>VLOOKUP(A383,File!$A:$J,8,FALSE)</f>
        <v>Uma Venkatachalam</v>
      </c>
      <c r="I383" s="31">
        <f>VLOOKUP(A383,File!$A:$J,9,FALSE)</f>
        <v>46282</v>
      </c>
      <c r="J383" s="31" t="str">
        <f>VLOOKUP(A383,File!$A:$K,11,FALSE)</f>
        <v>Sep 2026</v>
      </c>
      <c r="K383" s="31" t="str">
        <f>VLOOKUP(A383,File!$A:$K,10,FALSE)</f>
        <v>In-Training</v>
      </c>
      <c r="L383" s="31" t="s">
        <v>4</v>
      </c>
      <c r="M383" t="str">
        <f>VLOOKUP(A383,Response!$A:$M,7,)</f>
        <v>PG (Paying Guest)</v>
      </c>
      <c r="N383" t="str">
        <f>VLOOKUP(A383,Response!$A:$M,8,)</f>
        <v>Jaya stays mens PG</v>
      </c>
      <c r="O383" s="4">
        <f>VLOOKUP(A383,Response!$A:$M,10,)</f>
        <v>5</v>
      </c>
      <c r="P383" t="str">
        <f>VLOOKUP(A383,Response!$A:$M,12,)</f>
        <v>Yes</v>
      </c>
      <c r="Q383" t="str">
        <f>VLOOKUP(A383,Response!$A:$M,11,)</f>
        <v>Navalur</v>
      </c>
      <c r="R383" t="s">
        <v>19</v>
      </c>
      <c r="S383" s="39" t="s">
        <v>37</v>
      </c>
    </row>
    <row r="384" spans="1:19">
      <c r="A384" s="3">
        <v>2531809</v>
      </c>
      <c r="B384" t="str">
        <f>VLOOKUP(A384,File!$A:$J,2,FALSE)</f>
        <v>Mohammed Moinuddin</v>
      </c>
      <c r="C384" s="29">
        <f>VLOOKUP(A384,File!$A:$J,5,FALSE)</f>
        <v>46254</v>
      </c>
      <c r="D384" s="29" t="str">
        <f>VLOOKUP(A384,File!$A:$J,3,FALSE)</f>
        <v>Male</v>
      </c>
      <c r="E384" s="29" t="str">
        <f>VLOOKUP(A384,File!$A:$J,4,FALSE)</f>
        <v>Intern</v>
      </c>
      <c r="F384" s="29" t="str">
        <f>VLOOKUP(A384,File!$A:$J,6,FALSE)</f>
        <v>Chennai</v>
      </c>
      <c r="G384" s="29" t="str">
        <f>VLOOKUP(A384,File!$A:$J,7,FALSE)</f>
        <v>INTFE26FE001</v>
      </c>
      <c r="H384" s="29" t="str">
        <f>VLOOKUP(A384,File!$A:$J,8,FALSE)</f>
        <v>Grace Esther S</v>
      </c>
      <c r="I384" s="31">
        <f>VLOOKUP(A384,File!$A:$J,9,FALSE)</f>
        <v>46310</v>
      </c>
      <c r="J384" s="31" t="str">
        <f>VLOOKUP(A384,File!$A:$K,11,FALSE)</f>
        <v>Oct 2026</v>
      </c>
      <c r="K384" s="31" t="str">
        <f>VLOOKUP(A384,File!$A:$K,10,FALSE)</f>
        <v>In-Training</v>
      </c>
      <c r="L384" s="31" t="s">
        <v>4</v>
      </c>
      <c r="M384" t="str">
        <f>VLOOKUP(A384,Response!$A:$M,7,)</f>
        <v>PG (Paying Guest)</v>
      </c>
      <c r="N384" t="str">
        <f>VLOOKUP(A384,Response!$A:$M,8,)</f>
        <v xml:space="preserve">jaya stays mens pg </v>
      </c>
      <c r="O384" s="4">
        <f>VLOOKUP(A384,Response!$A:$M,10,)</f>
        <v>2</v>
      </c>
      <c r="P384" t="str">
        <f>VLOOKUP(A384,Response!$A:$M,12,)</f>
        <v>No</v>
      </c>
      <c r="Q384" t="str">
        <f>VLOOKUP(A384,Response!$A:$M,11,)</f>
        <v>Navalur</v>
      </c>
      <c r="R384" t="s">
        <v>19</v>
      </c>
      <c r="S384" s="39" t="s">
        <v>37</v>
      </c>
    </row>
    <row r="385" spans="1:19">
      <c r="A385" s="3">
        <v>2512296</v>
      </c>
      <c r="B385" t="str">
        <f>VLOOKUP(A385,File!$A:$J,2,FALSE)</f>
        <v>Hariharan K</v>
      </c>
      <c r="C385" s="29">
        <f>VLOOKUP(A385,File!$A:$J,5,FALSE)</f>
        <v>46170</v>
      </c>
      <c r="D385" s="29" t="str">
        <f>VLOOKUP(A385,File!$A:$J,3,FALSE)</f>
        <v>Male</v>
      </c>
      <c r="E385" s="29" t="str">
        <f>VLOOKUP(A385,File!$A:$J,4,FALSE)</f>
        <v>FTE</v>
      </c>
      <c r="F385" s="29" t="str">
        <f>VLOOKUP(A385,File!$A:$J,6,FALSE)</f>
        <v>Chennai</v>
      </c>
      <c r="G385" s="29" t="str">
        <f>VLOOKUP(A385,File!$A:$J,7,FALSE)</f>
        <v>CIS26MCPT012</v>
      </c>
      <c r="H385" s="29" t="str">
        <f>VLOOKUP(A385,File!$A:$J,8,FALSE)</f>
        <v>Uma Venkatachalam</v>
      </c>
      <c r="I385" s="31">
        <f>VLOOKUP(A385,File!$A:$J,9,FALSE)</f>
        <v>46282</v>
      </c>
      <c r="J385" s="31" t="str">
        <f>VLOOKUP(A385,File!$A:$K,11,FALSE)</f>
        <v>Sep 2026</v>
      </c>
      <c r="K385" s="31" t="str">
        <f>VLOOKUP(A385,File!$A:$K,10,FALSE)</f>
        <v>In-Training</v>
      </c>
      <c r="L385" s="31" t="s">
        <v>4</v>
      </c>
      <c r="M385" t="str">
        <f>VLOOKUP(A385,Response!$A:$M,7,)</f>
        <v>PG (Paying Guest)</v>
      </c>
      <c r="N385" t="str">
        <f>VLOOKUP(A385,Response!$A:$M,8,)</f>
        <v>JAYA STAYs MENS PG -  Navalur, Chennai-600130, Tamil Nadu</v>
      </c>
      <c r="O385" s="4">
        <f>VLOOKUP(A385,Response!$A:$M,10,)</f>
        <v>5</v>
      </c>
      <c r="P385" t="str">
        <f>VLOOKUP(A385,Response!$A:$M,12,)</f>
        <v>No</v>
      </c>
      <c r="Q385" t="str">
        <f>VLOOKUP(A385,Response!$A:$M,11,)</f>
        <v>Navalur</v>
      </c>
      <c r="R385" t="s">
        <v>19</v>
      </c>
      <c r="S385" s="39" t="s">
        <v>37</v>
      </c>
    </row>
    <row r="386" spans="1:19">
      <c r="A386" s="3">
        <v>2522828</v>
      </c>
      <c r="B386" t="str">
        <f>VLOOKUP(A386,File!$A:$J,2,FALSE)</f>
        <v>CHURCHILL  L</v>
      </c>
      <c r="C386" s="29">
        <f>VLOOKUP(A386,File!$A:$J,5,FALSE)</f>
        <v>46217</v>
      </c>
      <c r="D386" s="29" t="str">
        <f>VLOOKUP(A386,File!$A:$J,3,FALSE)</f>
        <v>Male</v>
      </c>
      <c r="E386" s="29" t="str">
        <f>VLOOKUP(A386,File!$A:$J,4,FALSE)</f>
        <v>FTE</v>
      </c>
      <c r="F386" s="29" t="str">
        <f>VLOOKUP(A386,File!$A:$J,6,FALSE)</f>
        <v>Chennai</v>
      </c>
      <c r="G386" s="29" t="str">
        <f>VLOOKUP(A386,File!$A:$J,7,FALSE)</f>
        <v>QEA26ST001</v>
      </c>
      <c r="H386" s="29" t="str">
        <f>VLOOKUP(A386,File!$A:$J,8,FALSE)</f>
        <v>Angel Maria Faustina Gomez</v>
      </c>
      <c r="I386" s="31">
        <f>VLOOKUP(A386,File!$A:$J,9,FALSE)</f>
        <v>46310</v>
      </c>
      <c r="J386" s="31" t="str">
        <f>VLOOKUP(A386,File!$A:$K,11,FALSE)</f>
        <v>Oct 2026</v>
      </c>
      <c r="K386" s="31" t="str">
        <f>VLOOKUP(A386,File!$A:$K,10,FALSE)</f>
        <v>In-Training</v>
      </c>
      <c r="L386" s="31" t="s">
        <v>4</v>
      </c>
      <c r="M386" t="str">
        <f>VLOOKUP(A386,Response!$A:$M,7,)</f>
        <v>PG (Paying Guest)</v>
      </c>
      <c r="N386" t="str">
        <f>VLOOKUP(A386,Response!$A:$M,8,)</f>
        <v>JAYAM PG - NAVALUR BRANCH</v>
      </c>
      <c r="O386" s="4">
        <f>VLOOKUP(A386,Response!$A:$M,10,)</f>
        <v>2</v>
      </c>
      <c r="P386" t="str">
        <f>VLOOKUP(A386,Response!$A:$M,12,)</f>
        <v>Yes</v>
      </c>
      <c r="Q386" t="str">
        <f>VLOOKUP(A386,Response!$A:$M,11,)</f>
        <v>Navalur</v>
      </c>
      <c r="R386" t="s">
        <v>19</v>
      </c>
      <c r="S386" s="39" t="s">
        <v>37</v>
      </c>
    </row>
    <row r="387" spans="1:19">
      <c r="A387" s="3">
        <v>2521696</v>
      </c>
      <c r="B387" t="str">
        <f>VLOOKUP(A387,File!$A:$J,2,FALSE)</f>
        <v>Yash Kailas Khairnar</v>
      </c>
      <c r="C387" s="29">
        <f>VLOOKUP(A387,File!$A:$J,5,FALSE)</f>
        <v>46212</v>
      </c>
      <c r="D387" s="29" t="str">
        <f>VLOOKUP(A387,File!$A:$J,3,FALSE)</f>
        <v>Male</v>
      </c>
      <c r="E387" s="29" t="str">
        <f>VLOOKUP(A387,File!$A:$J,4,FALSE)</f>
        <v>FTE</v>
      </c>
      <c r="F387" s="29" t="str">
        <f>VLOOKUP(A387,File!$A:$J,6,FALSE)</f>
        <v>Chennai</v>
      </c>
      <c r="G387" s="29" t="str">
        <f>VLOOKUP(A387,File!$A:$J,7,FALSE)</f>
        <v>ADM26MF010</v>
      </c>
      <c r="H387" s="29" t="str">
        <f>VLOOKUP(A387,File!$A:$J,8,FALSE)</f>
        <v>Thomas Naveen. J</v>
      </c>
      <c r="I387" s="31">
        <f>VLOOKUP(A387,File!$A:$J,9,FALSE)</f>
        <v>46328</v>
      </c>
      <c r="J387" s="31" t="str">
        <f>VLOOKUP(A387,File!$A:$K,11,FALSE)</f>
        <v>Nov 2026</v>
      </c>
      <c r="K387" s="31" t="str">
        <f>VLOOKUP(A387,File!$A:$K,10,FALSE)</f>
        <v>In-Training</v>
      </c>
      <c r="L387" s="31" t="s">
        <v>4</v>
      </c>
      <c r="M387" t="str">
        <f>VLOOKUP(A387,Response!$A:$M,7,)</f>
        <v>PG (Paying Guest)</v>
      </c>
      <c r="N387" t="str">
        <f>VLOOKUP(A387,Response!$A:$M,8,)</f>
        <v>JAYAM PG EGATTUR</v>
      </c>
      <c r="O387" s="4">
        <f>VLOOKUP(A387,Response!$A:$M,10,)</f>
        <v>1</v>
      </c>
      <c r="P387" t="str">
        <f>VLOOKUP(A387,Response!$A:$M,12,)</f>
        <v>No</v>
      </c>
      <c r="Q387" t="str">
        <f>VLOOKUP(A387,Response!$A:$M,11,)</f>
        <v>Siruseri</v>
      </c>
      <c r="R387" t="s">
        <v>19</v>
      </c>
      <c r="S387" s="39" t="s">
        <v>37</v>
      </c>
    </row>
    <row r="388" spans="1:19">
      <c r="A388" s="3">
        <v>2522834</v>
      </c>
      <c r="B388" t="str">
        <f>VLOOKUP(A388,File!$A:$J,2,FALSE)</f>
        <v>K  Haresh</v>
      </c>
      <c r="C388" s="29">
        <f>VLOOKUP(A388,File!$A:$J,5,FALSE)</f>
        <v>46217</v>
      </c>
      <c r="D388" s="29" t="str">
        <f>VLOOKUP(A388,File!$A:$J,3,FALSE)</f>
        <v>Male</v>
      </c>
      <c r="E388" s="29" t="str">
        <f>VLOOKUP(A388,File!$A:$J,4,FALSE)</f>
        <v>FTE</v>
      </c>
      <c r="F388" s="29" t="str">
        <f>VLOOKUP(A388,File!$A:$J,6,FALSE)</f>
        <v>Chennai</v>
      </c>
      <c r="G388" s="29" t="str">
        <f>VLOOKUP(A388,File!$A:$J,7,FALSE)</f>
        <v>QEA26ST001</v>
      </c>
      <c r="H388" s="29" t="str">
        <f>VLOOKUP(A388,File!$A:$J,8,FALSE)</f>
        <v>Angel Maria Faustina Gomez</v>
      </c>
      <c r="I388" s="31">
        <f>VLOOKUP(A388,File!$A:$J,9,FALSE)</f>
        <v>46310</v>
      </c>
      <c r="J388" s="31" t="str">
        <f>VLOOKUP(A388,File!$A:$K,11,FALSE)</f>
        <v>Oct 2026</v>
      </c>
      <c r="K388" s="31" t="str">
        <f>VLOOKUP(A388,File!$A:$K,10,FALSE)</f>
        <v>In-Training</v>
      </c>
      <c r="L388" s="31" t="s">
        <v>4</v>
      </c>
      <c r="M388" t="str">
        <f>VLOOKUP(A388,Response!$A:$M,7,)</f>
        <v>PG (Paying Guest)</v>
      </c>
      <c r="N388" t="str">
        <f>VLOOKUP(A388,Response!$A:$M,8,)</f>
        <v>Jayam Pg navalur branch</v>
      </c>
      <c r="O388" s="4">
        <f>VLOOKUP(A388,Response!$A:$M,10,)</f>
        <v>2</v>
      </c>
      <c r="P388" t="str">
        <f>VLOOKUP(A388,Response!$A:$M,12,)</f>
        <v>Yes</v>
      </c>
      <c r="Q388" t="str">
        <f>VLOOKUP(A388,Response!$A:$M,11,)</f>
        <v>Navalur</v>
      </c>
      <c r="R388" t="s">
        <v>19</v>
      </c>
      <c r="S388" s="39" t="s">
        <v>37</v>
      </c>
    </row>
    <row r="389" spans="1:19">
      <c r="A389" s="3">
        <v>2522810</v>
      </c>
      <c r="B389" t="str">
        <f>VLOOKUP(A389,File!$A:$J,2,FALSE)</f>
        <v>Thachana Moorthy V</v>
      </c>
      <c r="C389" s="29">
        <f>VLOOKUP(A389,File!$A:$J,5,FALSE)</f>
        <v>46217</v>
      </c>
      <c r="D389" s="29" t="str">
        <f>VLOOKUP(A389,File!$A:$J,3,FALSE)</f>
        <v>Male</v>
      </c>
      <c r="E389" s="29" t="str">
        <f>VLOOKUP(A389,File!$A:$J,4,FALSE)</f>
        <v>FTE</v>
      </c>
      <c r="F389" s="29" t="str">
        <f>VLOOKUP(A389,File!$A:$J,6,FALSE)</f>
        <v>Chennai</v>
      </c>
      <c r="G389" s="29" t="str">
        <f>VLOOKUP(A389,File!$A:$J,7,FALSE)</f>
        <v>CIS26MCPT017</v>
      </c>
      <c r="H389" s="29" t="str">
        <f>VLOOKUP(A389,File!$A:$J,8,FALSE)</f>
        <v>Haritha P</v>
      </c>
      <c r="I389" s="31">
        <f>VLOOKUP(A389,File!$A:$J,9,FALSE)</f>
        <v>46335</v>
      </c>
      <c r="J389" s="31" t="str">
        <f>VLOOKUP(A389,File!$A:$K,11,FALSE)</f>
        <v>Nov 2026</v>
      </c>
      <c r="K389" s="31" t="str">
        <f>VLOOKUP(A389,File!$A:$K,10,FALSE)</f>
        <v>In-Training</v>
      </c>
      <c r="L389" s="31" t="s">
        <v>4</v>
      </c>
      <c r="M389" t="str">
        <f>VLOOKUP(A389,Response!$A:$M,7,)</f>
        <v>PG (Paying Guest)</v>
      </c>
      <c r="N389" t="str">
        <f>VLOOKUP(A389,Response!$A:$M,8,)</f>
        <v>JJ mens PG , shollinganallur</v>
      </c>
      <c r="O389" s="4">
        <f>VLOOKUP(A389,Response!$A:$M,10,)</f>
        <v>2</v>
      </c>
      <c r="P389" t="str">
        <f>VLOOKUP(A389,Response!$A:$M,12,)</f>
        <v>Yes</v>
      </c>
      <c r="Q389" t="str">
        <f>VLOOKUP(A389,Response!$A:$M,11,)</f>
        <v>Sholinganallur</v>
      </c>
      <c r="R389" t="s">
        <v>17</v>
      </c>
      <c r="S389" s="39" t="s">
        <v>37</v>
      </c>
    </row>
    <row r="390" spans="1:19">
      <c r="A390" s="3">
        <v>2512288</v>
      </c>
      <c r="B390" t="str">
        <f>VLOOKUP(A390,File!$A:$J,2,FALSE)</f>
        <v>Sharukhan Yasin</v>
      </c>
      <c r="C390" s="29">
        <f>VLOOKUP(A390,File!$A:$J,5,FALSE)</f>
        <v>46170</v>
      </c>
      <c r="D390" s="29" t="str">
        <f>VLOOKUP(A390,File!$A:$J,3,FALSE)</f>
        <v>Male</v>
      </c>
      <c r="E390" s="29" t="str">
        <f>VLOOKUP(A390,File!$A:$J,4,FALSE)</f>
        <v>FTE</v>
      </c>
      <c r="F390" s="29" t="str">
        <f>VLOOKUP(A390,File!$A:$J,6,FALSE)</f>
        <v>Chennai</v>
      </c>
      <c r="G390" s="29" t="str">
        <f>VLOOKUP(A390,File!$A:$J,7,FALSE)</f>
        <v>CIS26MCPT011</v>
      </c>
      <c r="H390" s="29" t="str">
        <f>VLOOKUP(A390,File!$A:$J,8,FALSE)</f>
        <v>Uma Venkatachalam</v>
      </c>
      <c r="I390" s="31">
        <f>VLOOKUP(A390,File!$A:$J,9,FALSE)</f>
        <v>46282</v>
      </c>
      <c r="J390" s="31" t="str">
        <f>VLOOKUP(A390,File!$A:$K,11,FALSE)</f>
        <v>Sep 2026</v>
      </c>
      <c r="K390" s="31" t="str">
        <f>VLOOKUP(A390,File!$A:$K,10,FALSE)</f>
        <v>In-Training</v>
      </c>
      <c r="L390" s="31" t="s">
        <v>4</v>
      </c>
      <c r="M390" t="str">
        <f>VLOOKUP(A390,Response!$A:$M,7,)</f>
        <v>PG (Paying Guest)</v>
      </c>
      <c r="N390" t="str">
        <f>VLOOKUP(A390,Response!$A:$M,8,)</f>
        <v>Jothi Gents Hostel 5th Branch</v>
      </c>
      <c r="O390" s="4">
        <f>VLOOKUP(A390,Response!$A:$M,10,)</f>
        <v>1</v>
      </c>
      <c r="P390" t="str">
        <f>VLOOKUP(A390,Response!$A:$M,12,)</f>
        <v>Yes</v>
      </c>
      <c r="Q390" t="str">
        <f>VLOOKUP(A390,Response!$A:$M,11,)</f>
        <v>Navalur</v>
      </c>
      <c r="R390" t="s">
        <v>19</v>
      </c>
      <c r="S390" s="39" t="s">
        <v>37</v>
      </c>
    </row>
    <row r="391" spans="1:19">
      <c r="A391" s="3">
        <v>2512344</v>
      </c>
      <c r="B391" t="str">
        <f>VLOOKUP(A391,File!$A:$J,2,FALSE)</f>
        <v>Mithila K S</v>
      </c>
      <c r="C391" s="29">
        <f>VLOOKUP(A391,File!$A:$J,5,FALSE)</f>
        <v>46170</v>
      </c>
      <c r="D391" s="29" t="str">
        <f>VLOOKUP(A391,File!$A:$J,3,FALSE)</f>
        <v>Female</v>
      </c>
      <c r="E391" s="29" t="str">
        <f>VLOOKUP(A391,File!$A:$J,4,FALSE)</f>
        <v>FTE</v>
      </c>
      <c r="F391" s="29" t="str">
        <f>VLOOKUP(A391,File!$A:$J,6,FALSE)</f>
        <v>Chennai</v>
      </c>
      <c r="G391" s="29" t="str">
        <f>VLOOKUP(A391,File!$A:$J,7,FALSE)</f>
        <v>CIS26MCPT012</v>
      </c>
      <c r="H391" s="29" t="str">
        <f>VLOOKUP(A391,File!$A:$J,8,FALSE)</f>
        <v>Uma Venkatachalam</v>
      </c>
      <c r="I391" s="31">
        <f>VLOOKUP(A391,File!$A:$J,9,FALSE)</f>
        <v>46282</v>
      </c>
      <c r="J391" s="31" t="str">
        <f>VLOOKUP(A391,File!$A:$K,11,FALSE)</f>
        <v>Sep 2026</v>
      </c>
      <c r="K391" s="31" t="str">
        <f>VLOOKUP(A391,File!$A:$K,10,FALSE)</f>
        <v>In-Training</v>
      </c>
      <c r="L391" s="31" t="s">
        <v>4</v>
      </c>
      <c r="M391" t="str">
        <f>VLOOKUP(A391,Response!$A:$M,7,)</f>
        <v>PG (Paying Guest)</v>
      </c>
      <c r="N391" t="str">
        <f>VLOOKUP(A391,Response!$A:$M,8,)</f>
        <v>Jothi ladies hostel branch 4,Navalur</v>
      </c>
      <c r="O391" s="4" t="str">
        <f>VLOOKUP(A391,Response!$A:$M,10,)</f>
        <v>GF</v>
      </c>
      <c r="P391" t="str">
        <f>VLOOKUP(A391,Response!$A:$M,12,)</f>
        <v>No</v>
      </c>
      <c r="Q391" t="str">
        <f>VLOOKUP(A391,Response!$A:$M,11,)</f>
        <v>Navalur</v>
      </c>
      <c r="R391" t="s">
        <v>19</v>
      </c>
      <c r="S391" s="39" t="s">
        <v>37</v>
      </c>
    </row>
    <row r="392" spans="1:19">
      <c r="A392" s="3">
        <v>2529781</v>
      </c>
      <c r="B392" t="str">
        <f>VLOOKUP(A392,File!$A:$J,2,FALSE)</f>
        <v>Kavitha S</v>
      </c>
      <c r="C392" s="29">
        <f>VLOOKUP(A392,File!$A:$J,5,FALSE)</f>
        <v>46245</v>
      </c>
      <c r="D392" s="29" t="str">
        <f>VLOOKUP(A392,File!$A:$J,3,FALSE)</f>
        <v>Female</v>
      </c>
      <c r="E392" s="29" t="str">
        <f>VLOOKUP(A392,File!$A:$J,4,FALSE)</f>
        <v>FTE</v>
      </c>
      <c r="F392" s="29" t="str">
        <f>VLOOKUP(A392,File!$A:$J,6,FALSE)</f>
        <v>Chennai</v>
      </c>
      <c r="G392" s="29" t="str">
        <f>VLOOKUP(A392,File!$A:$J,7,FALSE)</f>
        <v>CIS26MCPT024</v>
      </c>
      <c r="H392" s="29" t="str">
        <f>VLOOKUP(A392,File!$A:$J,8,FALSE)</f>
        <v>Ashiya Begam S</v>
      </c>
      <c r="I392" s="31">
        <f>VLOOKUP(A392,File!$A:$J,9,FALSE)</f>
        <v>46359</v>
      </c>
      <c r="J392" s="31" t="str">
        <f>VLOOKUP(A392,File!$A:$K,11,FALSE)</f>
        <v>Dec 2026</v>
      </c>
      <c r="K392" s="31" t="str">
        <f>VLOOKUP(A392,File!$A:$K,10,FALSE)</f>
        <v>In-Training</v>
      </c>
      <c r="L392" s="31" t="s">
        <v>4</v>
      </c>
      <c r="M392" t="str">
        <f>VLOOKUP(A392,Response!$A:$M,7,)</f>
        <v>PG (Paying Guest)</v>
      </c>
      <c r="N392" t="str">
        <f>VLOOKUP(A392,Response!$A:$M,8,)</f>
        <v>Jothi Ladies PG</v>
      </c>
      <c r="O392" s="4">
        <f>VLOOKUP(A392,Response!$A:$M,10,)</f>
        <v>2</v>
      </c>
      <c r="P392" t="str">
        <f>VLOOKUP(A392,Response!$A:$M,12,)</f>
        <v>No</v>
      </c>
      <c r="Q392" t="str">
        <f>VLOOKUP(A392,Response!$A:$M,11,)</f>
        <v>Navalur</v>
      </c>
      <c r="R392" t="s">
        <v>19</v>
      </c>
      <c r="S392" s="39" t="s">
        <v>37</v>
      </c>
    </row>
    <row r="393" spans="1:19">
      <c r="A393" s="3">
        <v>2512355</v>
      </c>
      <c r="B393" t="str">
        <f>VLOOKUP(A393,File!$A:$J,2,FALSE)</f>
        <v>Bhargavi R</v>
      </c>
      <c r="C393" s="29">
        <f>VLOOKUP(A393,File!$A:$J,5,FALSE)</f>
        <v>46170</v>
      </c>
      <c r="D393" s="29" t="str">
        <f>VLOOKUP(A393,File!$A:$J,3,FALSE)</f>
        <v>Female</v>
      </c>
      <c r="E393" s="29" t="str">
        <f>VLOOKUP(A393,File!$A:$J,4,FALSE)</f>
        <v>FTE</v>
      </c>
      <c r="F393" s="29" t="str">
        <f>VLOOKUP(A393,File!$A:$J,6,FALSE)</f>
        <v>Chennai</v>
      </c>
      <c r="G393" s="29" t="str">
        <f>VLOOKUP(A393,File!$A:$J,7,FALSE)</f>
        <v>CIS26MCPT011</v>
      </c>
      <c r="H393" s="29" t="str">
        <f>VLOOKUP(A393,File!$A:$J,8,FALSE)</f>
        <v>Uma Venkatachalam</v>
      </c>
      <c r="I393" s="31">
        <f>VLOOKUP(A393,File!$A:$J,9,FALSE)</f>
        <v>46282</v>
      </c>
      <c r="J393" s="31" t="str">
        <f>VLOOKUP(A393,File!$A:$K,11,FALSE)</f>
        <v>Sep 2026</v>
      </c>
      <c r="K393" s="31" t="str">
        <f>VLOOKUP(A393,File!$A:$K,10,FALSE)</f>
        <v>In-Training</v>
      </c>
      <c r="L393" s="31" t="s">
        <v>4</v>
      </c>
      <c r="M393" t="str">
        <f>VLOOKUP(A393,Response!$A:$M,7,)</f>
        <v>PG (Paying Guest)</v>
      </c>
      <c r="N393" t="str">
        <f>VLOOKUP(A393,Response!$A:$M,8,)</f>
        <v>Jothi Ladies PG 4th branch, Navalur</v>
      </c>
      <c r="O393" s="4" t="str">
        <f>VLOOKUP(A393,Response!$A:$M,10,)</f>
        <v>GF</v>
      </c>
      <c r="P393" t="str">
        <f>VLOOKUP(A393,Response!$A:$M,12,)</f>
        <v>No</v>
      </c>
      <c r="Q393" t="str">
        <f>VLOOKUP(A393,Response!$A:$M,11,)</f>
        <v>Navalur</v>
      </c>
      <c r="R393" t="s">
        <v>19</v>
      </c>
      <c r="S393" s="39" t="s">
        <v>37</v>
      </c>
    </row>
    <row r="394" spans="1:19">
      <c r="A394" s="3">
        <v>2519590</v>
      </c>
      <c r="B394" t="str">
        <f>VLOOKUP(A394,File!$A:$J,2,FALSE)</f>
        <v>Purushothama J N</v>
      </c>
      <c r="C394" s="29">
        <f>VLOOKUP(A394,File!$A:$J,5,FALSE)</f>
        <v>46205</v>
      </c>
      <c r="D394" s="29" t="str">
        <f>VLOOKUP(A394,File!$A:$J,3,FALSE)</f>
        <v>Male</v>
      </c>
      <c r="E394" s="29" t="str">
        <f>VLOOKUP(A394,File!$A:$J,4,FALSE)</f>
        <v>FTE</v>
      </c>
      <c r="F394" s="29" t="str">
        <f>VLOOKUP(A394,File!$A:$J,6,FALSE)</f>
        <v>Chennai</v>
      </c>
      <c r="G394" s="29" t="str">
        <f>VLOOKUP(A394,File!$A:$J,7,FALSE)</f>
        <v>CIS26MCPT013</v>
      </c>
      <c r="H394" s="29" t="str">
        <f>VLOOKUP(A394,File!$A:$J,8,FALSE)</f>
        <v>Lawrance M</v>
      </c>
      <c r="I394" s="31">
        <f>VLOOKUP(A394,File!$A:$J,9,FALSE)</f>
        <v>46324</v>
      </c>
      <c r="J394" s="31" t="str">
        <f>VLOOKUP(A394,File!$A:$K,11,FALSE)</f>
        <v>Oct 2026</v>
      </c>
      <c r="K394" s="31" t="str">
        <f>VLOOKUP(A394,File!$A:$K,10,FALSE)</f>
        <v>In-Training</v>
      </c>
      <c r="L394" s="31" t="s">
        <v>4</v>
      </c>
      <c r="M394" t="str">
        <f>VLOOKUP(A394,Response!$A:$M,7,)</f>
        <v>PG (Paying Guest)</v>
      </c>
      <c r="N394" t="str">
        <f>VLOOKUP(A394,Response!$A:$M,8,)</f>
        <v>Jothi Mens Hostel</v>
      </c>
      <c r="O394" s="4" t="str">
        <f>VLOOKUP(A394,Response!$A:$M,10,)</f>
        <v>GF</v>
      </c>
      <c r="P394" t="str">
        <f>VLOOKUP(A394,Response!$A:$M,12,)</f>
        <v>No</v>
      </c>
      <c r="Q394" t="str">
        <f>VLOOKUP(A394,Response!$A:$M,11,)</f>
        <v>Navalur</v>
      </c>
      <c r="R394" t="s">
        <v>19</v>
      </c>
      <c r="S394" s="39" t="s">
        <v>37</v>
      </c>
    </row>
    <row r="395" spans="1:19">
      <c r="A395" s="3">
        <v>2512323</v>
      </c>
      <c r="B395" t="str">
        <f>VLOOKUP(A395,File!$A:$J,2,FALSE)</f>
        <v>Gokul Mathiyalagan</v>
      </c>
      <c r="C395" s="29">
        <f>VLOOKUP(A395,File!$A:$J,5,FALSE)</f>
        <v>46170</v>
      </c>
      <c r="D395" s="29" t="str">
        <f>VLOOKUP(A395,File!$A:$J,3,FALSE)</f>
        <v>Male</v>
      </c>
      <c r="E395" s="29" t="str">
        <f>VLOOKUP(A395,File!$A:$J,4,FALSE)</f>
        <v>FTE</v>
      </c>
      <c r="F395" s="29" t="str">
        <f>VLOOKUP(A395,File!$A:$J,6,FALSE)</f>
        <v>Chennai</v>
      </c>
      <c r="G395" s="29" t="str">
        <f>VLOOKUP(A395,File!$A:$J,7,FALSE)</f>
        <v>CIS26MCPT011</v>
      </c>
      <c r="H395" s="29" t="str">
        <f>VLOOKUP(A395,File!$A:$J,8,FALSE)</f>
        <v>Uma Venkatachalam</v>
      </c>
      <c r="I395" s="31">
        <f>VLOOKUP(A395,File!$A:$J,9,FALSE)</f>
        <v>46282</v>
      </c>
      <c r="J395" s="31" t="str">
        <f>VLOOKUP(A395,File!$A:$K,11,FALSE)</f>
        <v>Sep 2026</v>
      </c>
      <c r="K395" s="31" t="str">
        <f>VLOOKUP(A395,File!$A:$K,10,FALSE)</f>
        <v>In-Training</v>
      </c>
      <c r="L395" s="31" t="s">
        <v>4</v>
      </c>
      <c r="M395" t="str">
        <f>VLOOKUP(A395,Response!$A:$M,7,)</f>
        <v>PG (Paying Guest)</v>
      </c>
      <c r="N395" t="str">
        <f>VLOOKUP(A395,Response!$A:$M,8,)</f>
        <v xml:space="preserve">Jothi mens Hostel </v>
      </c>
      <c r="O395" s="4">
        <f>VLOOKUP(A395,Response!$A:$M,10,)</f>
        <v>1</v>
      </c>
      <c r="P395" t="str">
        <f>VLOOKUP(A395,Response!$A:$M,12,)</f>
        <v>No</v>
      </c>
      <c r="Q395" t="str">
        <f>VLOOKUP(A395,Response!$A:$M,11,)</f>
        <v>Navalur</v>
      </c>
      <c r="R395" t="s">
        <v>19</v>
      </c>
      <c r="S395" s="39" t="s">
        <v>37</v>
      </c>
    </row>
    <row r="396" spans="1:19">
      <c r="A396" s="3">
        <v>2512361</v>
      </c>
      <c r="B396" t="str">
        <f>VLOOKUP(A396,File!$A:$J,2,FALSE)</f>
        <v>Senthil Kumar V</v>
      </c>
      <c r="C396" s="29">
        <f>VLOOKUP(A396,File!$A:$J,5,FALSE)</f>
        <v>46170</v>
      </c>
      <c r="D396" s="29" t="str">
        <f>VLOOKUP(A396,File!$A:$J,3,FALSE)</f>
        <v>Male</v>
      </c>
      <c r="E396" s="29" t="str">
        <f>VLOOKUP(A396,File!$A:$J,4,FALSE)</f>
        <v>FTE</v>
      </c>
      <c r="F396" s="29" t="str">
        <f>VLOOKUP(A396,File!$A:$J,6,FALSE)</f>
        <v>Chennai</v>
      </c>
      <c r="G396" s="29" t="str">
        <f>VLOOKUP(A396,File!$A:$J,7,FALSE)</f>
        <v>CIS26MCPT012</v>
      </c>
      <c r="H396" s="29" t="str">
        <f>VLOOKUP(A396,File!$A:$J,8,FALSE)</f>
        <v>Uma Venkatachalam</v>
      </c>
      <c r="I396" s="31">
        <f>VLOOKUP(A396,File!$A:$J,9,FALSE)</f>
        <v>46282</v>
      </c>
      <c r="J396" s="31" t="str">
        <f>VLOOKUP(A396,File!$A:$K,11,FALSE)</f>
        <v>Sep 2026</v>
      </c>
      <c r="K396" s="31" t="str">
        <f>VLOOKUP(A396,File!$A:$K,10,FALSE)</f>
        <v>In-Training</v>
      </c>
      <c r="L396" s="31" t="s">
        <v>4</v>
      </c>
      <c r="M396" t="str">
        <f>VLOOKUP(A396,Response!$A:$M,7,)</f>
        <v>PG (Paying Guest)</v>
      </c>
      <c r="N396" t="str">
        <f>VLOOKUP(A396,Response!$A:$M,8,)</f>
        <v>JOTHI MENS HOSTEL 5TH BRANCH</v>
      </c>
      <c r="O396" s="4">
        <f>VLOOKUP(A396,Response!$A:$M,10,)</f>
        <v>1</v>
      </c>
      <c r="P396" t="str">
        <f>VLOOKUP(A396,Response!$A:$M,12,)</f>
        <v>Yes</v>
      </c>
      <c r="Q396" t="str">
        <f>VLOOKUP(A396,Response!$A:$M,11,)</f>
        <v>Navalur</v>
      </c>
      <c r="R396" t="s">
        <v>19</v>
      </c>
      <c r="S396" s="39" t="s">
        <v>37</v>
      </c>
    </row>
    <row r="397" spans="1:19">
      <c r="A397" s="3">
        <v>2524532</v>
      </c>
      <c r="B397" t="str">
        <f>VLOOKUP(A397,File!$A:$J,2,FALSE)</f>
        <v>Sneha Yadav</v>
      </c>
      <c r="C397" s="29">
        <f>VLOOKUP(A397,File!$A:$J,5,FALSE)</f>
        <v>46224</v>
      </c>
      <c r="D397" s="29" t="str">
        <f>VLOOKUP(A397,File!$A:$J,3,FALSE)</f>
        <v>Female</v>
      </c>
      <c r="E397" s="29" t="str">
        <f>VLOOKUP(A397,File!$A:$J,4,FALSE)</f>
        <v>FTE</v>
      </c>
      <c r="F397" s="29" t="str">
        <f>VLOOKUP(A397,File!$A:$J,6,FALSE)</f>
        <v>Chennai</v>
      </c>
      <c r="G397" s="29" t="str">
        <f>VLOOKUP(A397,File!$A:$J,7,FALSE)</f>
        <v>ADM26MF012</v>
      </c>
      <c r="H397" s="29" t="str">
        <f>VLOOKUP(A397,File!$A:$J,8,FALSE)</f>
        <v>Lourdhu Selvin Raj X</v>
      </c>
      <c r="I397" s="31">
        <f>VLOOKUP(A397,File!$A:$J,9,FALSE)</f>
        <v>46343</v>
      </c>
      <c r="J397" s="31" t="str">
        <f>VLOOKUP(A397,File!$A:$K,11,FALSE)</f>
        <v>Nov 2026</v>
      </c>
      <c r="K397" s="31" t="str">
        <f>VLOOKUP(A397,File!$A:$K,10,FALSE)</f>
        <v>In-Training</v>
      </c>
      <c r="L397" s="31" t="s">
        <v>4</v>
      </c>
      <c r="M397" t="str">
        <f>VLOOKUP(A397,Response!$A:$M,7,)</f>
        <v>PG (Paying Guest)</v>
      </c>
      <c r="N397" t="str">
        <f>VLOOKUP(A397,Response!$A:$M,8,)</f>
        <v>JVR GIRLS HOSTEL PG</v>
      </c>
      <c r="O397" s="4">
        <f>VLOOKUP(A397,Response!$A:$M,10,)</f>
        <v>1</v>
      </c>
      <c r="P397" t="str">
        <f>VLOOKUP(A397,Response!$A:$M,12,)</f>
        <v>No</v>
      </c>
      <c r="Q397" t="str">
        <f>VLOOKUP(A397,Response!$A:$M,11,)</f>
        <v>Siruseri</v>
      </c>
      <c r="R397" t="s">
        <v>19</v>
      </c>
      <c r="S397" s="39" t="s">
        <v>37</v>
      </c>
    </row>
    <row r="398" spans="1:19">
      <c r="A398" s="3">
        <v>2524976</v>
      </c>
      <c r="B398" t="str">
        <f>VLOOKUP(A398,File!$A:$J,2,FALSE)</f>
        <v>Vaishnavi Mishra</v>
      </c>
      <c r="C398" s="29">
        <f>VLOOKUP(A398,File!$A:$J,5,FALSE)</f>
        <v>46226</v>
      </c>
      <c r="D398" s="29" t="str">
        <f>VLOOKUP(A398,File!$A:$J,3,FALSE)</f>
        <v>Female</v>
      </c>
      <c r="E398" s="29" t="str">
        <f>VLOOKUP(A398,File!$A:$J,4,FALSE)</f>
        <v>FTE</v>
      </c>
      <c r="F398" s="29" t="str">
        <f>VLOOKUP(A398,File!$A:$J,6,FALSE)</f>
        <v>Chennai</v>
      </c>
      <c r="G398" s="29" t="str">
        <f>VLOOKUP(A398,File!$A:$J,7,FALSE)</f>
        <v>CIS26DWP023</v>
      </c>
      <c r="H398" s="29" t="str">
        <f>VLOOKUP(A398,File!$A:$J,8,FALSE)</f>
        <v>Geebiga B</v>
      </c>
      <c r="I398" s="31">
        <f>VLOOKUP(A398,File!$A:$J,9,FALSE)</f>
        <v>46282</v>
      </c>
      <c r="J398" s="31" t="str">
        <f>VLOOKUP(A398,File!$A:$K,11,FALSE)</f>
        <v>Sep 2026</v>
      </c>
      <c r="K398" s="31" t="str">
        <f>VLOOKUP(A398,File!$A:$K,10,FALSE)</f>
        <v>In-Training</v>
      </c>
      <c r="L398" s="31" t="s">
        <v>4</v>
      </c>
      <c r="M398" t="str">
        <f>VLOOKUP(A398,Response!$A:$M,7,)</f>
        <v>PG (Paying Guest)</v>
      </c>
      <c r="N398" t="str">
        <f>VLOOKUP(A398,Response!$A:$M,8,)</f>
        <v>JVR Luxury Ladies PG</v>
      </c>
      <c r="O398" s="4">
        <f>VLOOKUP(A398,Response!$A:$M,10,)</f>
        <v>1</v>
      </c>
      <c r="P398" t="str">
        <f>VLOOKUP(A398,Response!$A:$M,12,)</f>
        <v>No</v>
      </c>
      <c r="Q398" t="str">
        <f>VLOOKUP(A398,Response!$A:$M,11,)</f>
        <v>Padur</v>
      </c>
      <c r="R398" t="s">
        <v>15</v>
      </c>
      <c r="S398" s="40" t="s">
        <v>36</v>
      </c>
    </row>
    <row r="399" spans="1:19">
      <c r="A399" s="3">
        <v>2524982</v>
      </c>
      <c r="B399" t="str">
        <f>VLOOKUP(A399,File!$A:$J,2,FALSE)</f>
        <v>Yasmeen Khatoon</v>
      </c>
      <c r="C399" s="29">
        <f>VLOOKUP(A399,File!$A:$J,5,FALSE)</f>
        <v>46226</v>
      </c>
      <c r="D399" s="29" t="str">
        <f>VLOOKUP(A399,File!$A:$J,3,FALSE)</f>
        <v>Female</v>
      </c>
      <c r="E399" s="29" t="str">
        <f>VLOOKUP(A399,File!$A:$J,4,FALSE)</f>
        <v>FTE</v>
      </c>
      <c r="F399" s="29" t="str">
        <f>VLOOKUP(A399,File!$A:$J,6,FALSE)</f>
        <v>Chennai</v>
      </c>
      <c r="G399" s="29" t="str">
        <f>VLOOKUP(A399,File!$A:$J,7,FALSE)</f>
        <v>ADM26ISMO010</v>
      </c>
      <c r="H399" s="29" t="str">
        <f>VLOOKUP(A399,File!$A:$J,8,FALSE)</f>
        <v>Thomas Naveen. J</v>
      </c>
      <c r="I399" s="31">
        <f>VLOOKUP(A399,File!$A:$J,9,FALSE)</f>
        <v>46301</v>
      </c>
      <c r="J399" s="31" t="str">
        <f>VLOOKUP(A399,File!$A:$K,11,FALSE)</f>
        <v>Oct 2026</v>
      </c>
      <c r="K399" s="31" t="str">
        <f>VLOOKUP(A399,File!$A:$K,10,FALSE)</f>
        <v>In-Training</v>
      </c>
      <c r="L399" s="31" t="s">
        <v>4</v>
      </c>
      <c r="M399" t="str">
        <f>VLOOKUP(A399,Response!$A:$M,7,)</f>
        <v>PG (Paying Guest)</v>
      </c>
      <c r="N399" t="str">
        <f>VLOOKUP(A399,Response!$A:$M,8,)</f>
        <v>JVR luxury ladies pg</v>
      </c>
      <c r="O399" s="4">
        <f>VLOOKUP(A399,Response!$A:$M,10,)</f>
        <v>3</v>
      </c>
      <c r="P399" t="str">
        <f>VLOOKUP(A399,Response!$A:$M,12,)</f>
        <v>No</v>
      </c>
      <c r="Q399" t="str">
        <f>VLOOKUP(A399,Response!$A:$M,11,)</f>
        <v>Siruseri</v>
      </c>
      <c r="R399" t="s">
        <v>19</v>
      </c>
      <c r="S399" s="39" t="s">
        <v>37</v>
      </c>
    </row>
    <row r="400" spans="1:19">
      <c r="A400" s="3">
        <v>2525002</v>
      </c>
      <c r="B400" t="str">
        <f>VLOOKUP(A400,File!$A:$J,2,FALSE)</f>
        <v>Munmun Kumari</v>
      </c>
      <c r="C400" s="29">
        <f>VLOOKUP(A400,File!$A:$J,5,FALSE)</f>
        <v>46226</v>
      </c>
      <c r="D400" s="29" t="str">
        <f>VLOOKUP(A400,File!$A:$J,3,FALSE)</f>
        <v>Female</v>
      </c>
      <c r="E400" s="29" t="str">
        <f>VLOOKUP(A400,File!$A:$J,4,FALSE)</f>
        <v>FTE</v>
      </c>
      <c r="F400" s="29" t="str">
        <f>VLOOKUP(A400,File!$A:$J,6,FALSE)</f>
        <v>Chennai</v>
      </c>
      <c r="G400" s="29" t="str">
        <f>VLOOKUP(A400,File!$A:$J,7,FALSE)</f>
        <v>ADM26ISMO010</v>
      </c>
      <c r="H400" s="29" t="str">
        <f>VLOOKUP(A400,File!$A:$J,8,FALSE)</f>
        <v>Thomas Naveen. J</v>
      </c>
      <c r="I400" s="31">
        <f>VLOOKUP(A400,File!$A:$J,9,FALSE)</f>
        <v>46301</v>
      </c>
      <c r="J400" s="31" t="str">
        <f>VLOOKUP(A400,File!$A:$K,11,FALSE)</f>
        <v>Oct 2026</v>
      </c>
      <c r="K400" s="31" t="str">
        <f>VLOOKUP(A400,File!$A:$K,10,FALSE)</f>
        <v>In-Training</v>
      </c>
      <c r="L400" s="31" t="s">
        <v>4</v>
      </c>
      <c r="M400" t="str">
        <f>VLOOKUP(A400,Response!$A:$M,7,)</f>
        <v>PG (Paying Guest)</v>
      </c>
      <c r="N400" t="str">
        <f>VLOOKUP(A400,Response!$A:$M,8,)</f>
        <v>JVR luxury ladies PG</v>
      </c>
      <c r="O400" s="4">
        <f>VLOOKUP(A400,Response!$A:$M,10,)</f>
        <v>3</v>
      </c>
      <c r="P400" t="str">
        <f>VLOOKUP(A400,Response!$A:$M,12,)</f>
        <v>No</v>
      </c>
      <c r="Q400" t="str">
        <f>VLOOKUP(A400,Response!$A:$M,11,)</f>
        <v>Siruseri</v>
      </c>
      <c r="R400" t="s">
        <v>19</v>
      </c>
      <c r="S400" s="39" t="s">
        <v>37</v>
      </c>
    </row>
    <row r="401" spans="1:19">
      <c r="A401" s="3">
        <v>2523378</v>
      </c>
      <c r="B401" t="str">
        <f>VLOOKUP(A401,File!$A:$J,2,FALSE)</f>
        <v>Pavithra R K</v>
      </c>
      <c r="C401" s="29">
        <f>VLOOKUP(A401,File!$A:$J,5,FALSE)</f>
        <v>46219</v>
      </c>
      <c r="D401" s="29" t="str">
        <f>VLOOKUP(A401,File!$A:$J,3,FALSE)</f>
        <v>Female</v>
      </c>
      <c r="E401" s="29" t="str">
        <f>VLOOKUP(A401,File!$A:$J,4,FALSE)</f>
        <v>FTE</v>
      </c>
      <c r="F401" s="29" t="str">
        <f>VLOOKUP(A401,File!$A:$J,6,FALSE)</f>
        <v>Chennai</v>
      </c>
      <c r="G401" s="29" t="str">
        <f>VLOOKUP(A401,File!$A:$J,7,FALSE)</f>
        <v>CS26CS009</v>
      </c>
      <c r="H401" s="29" t="str">
        <f>VLOOKUP(A401,File!$A:$J,8,FALSE)</f>
        <v>Laksiya Vijayendran</v>
      </c>
      <c r="I401" s="31">
        <f>VLOOKUP(A401,File!$A:$J,9,FALSE)</f>
        <v>46309</v>
      </c>
      <c r="J401" s="31" t="str">
        <f>VLOOKUP(A401,File!$A:$K,11,FALSE)</f>
        <v>Oct 2026</v>
      </c>
      <c r="K401" s="31" t="str">
        <f>VLOOKUP(A401,File!$A:$K,10,FALSE)</f>
        <v>In-Training</v>
      </c>
      <c r="L401" s="31" t="s">
        <v>4</v>
      </c>
      <c r="M401" t="str">
        <f>VLOOKUP(A401,Response!$A:$M,7,)</f>
        <v>PG (Paying Guest)</v>
      </c>
      <c r="N401" t="str">
        <f>VLOOKUP(A401,Response!$A:$M,8,)</f>
        <v>JVR Luxury ladies PG - kazhipattur.</v>
      </c>
      <c r="O401" s="4">
        <f>VLOOKUP(A401,Response!$A:$M,10,)</f>
        <v>4</v>
      </c>
      <c r="P401" t="str">
        <f>VLOOKUP(A401,Response!$A:$M,12,)</f>
        <v>No</v>
      </c>
      <c r="Q401" t="str">
        <f>VLOOKUP(A401,Response!$A:$M,11,)</f>
        <v>Siruseri</v>
      </c>
      <c r="R401" t="s">
        <v>19</v>
      </c>
      <c r="S401" s="39" t="s">
        <v>37</v>
      </c>
    </row>
    <row r="402" spans="1:19">
      <c r="A402" s="3">
        <v>2507496</v>
      </c>
      <c r="B402" t="str">
        <f>VLOOKUP(A402,File!$A:$J,2,FALSE)</f>
        <v>Disha Gopal Mahajan</v>
      </c>
      <c r="C402" s="29">
        <f>VLOOKUP(A402,File!$A:$J,5,FALSE)</f>
        <v>46142</v>
      </c>
      <c r="D402" s="29" t="str">
        <f>VLOOKUP(A402,File!$A:$J,3,FALSE)</f>
        <v>Female</v>
      </c>
      <c r="E402" s="29" t="str">
        <f>VLOOKUP(A402,File!$A:$J,4,FALSE)</f>
        <v>FTE</v>
      </c>
      <c r="F402" s="29" t="str">
        <f>VLOOKUP(A402,File!$A:$J,6,FALSE)</f>
        <v>Chennai</v>
      </c>
      <c r="G402" s="29" t="str">
        <f>VLOOKUP(A402,File!$A:$J,7,FALSE)</f>
        <v>ISG26JSAAT002</v>
      </c>
      <c r="H402" s="29" t="str">
        <f>VLOOKUP(A402,File!$A:$J,8,FALSE)</f>
        <v>Ashiya Begam S</v>
      </c>
      <c r="I402" s="31">
        <f>VLOOKUP(A402,File!$A:$J,9,FALSE)</f>
        <v>46272</v>
      </c>
      <c r="J402" s="31" t="str">
        <f>VLOOKUP(A402,File!$A:$K,11,FALSE)</f>
        <v>Sep 2026</v>
      </c>
      <c r="K402" s="31" t="str">
        <f>VLOOKUP(A402,File!$A:$K,10,FALSE)</f>
        <v>In-Training-Remedial</v>
      </c>
      <c r="L402" s="31" t="s">
        <v>4</v>
      </c>
      <c r="M402" t="str">
        <f>VLOOKUP(A402,Response!$A:$M,7,)</f>
        <v>PG (Paying Guest)</v>
      </c>
      <c r="N402" t="str">
        <f>VLOOKUP(A402,Response!$A:$M,8,)</f>
        <v>JVR Luxury Ladies PG , kazipattur chennai</v>
      </c>
      <c r="O402" s="4">
        <f>VLOOKUP(A402,Response!$A:$M,10,)</f>
        <v>5</v>
      </c>
      <c r="P402" t="str">
        <f>VLOOKUP(A402,Response!$A:$M,12,)</f>
        <v>No</v>
      </c>
      <c r="Q402" t="str">
        <f>VLOOKUP(A402,Response!$A:$M,11,)</f>
        <v>kazipattur</v>
      </c>
      <c r="R402" t="s">
        <v>15</v>
      </c>
      <c r="S402" s="40" t="s">
        <v>36</v>
      </c>
    </row>
    <row r="403" spans="1:19">
      <c r="A403" s="3">
        <v>2524490</v>
      </c>
      <c r="B403" t="str">
        <f>VLOOKUP(A403,File!$A:$J,2,FALSE)</f>
        <v>Priyadarsine Nagarajan</v>
      </c>
      <c r="C403" s="29">
        <f>VLOOKUP(A403,File!$A:$J,5,FALSE)</f>
        <v>46224</v>
      </c>
      <c r="D403" s="29" t="str">
        <f>VLOOKUP(A403,File!$A:$J,3,FALSE)</f>
        <v>Female</v>
      </c>
      <c r="E403" s="29" t="str">
        <f>VLOOKUP(A403,File!$A:$J,4,FALSE)</f>
        <v>FTE</v>
      </c>
      <c r="F403" s="29" t="str">
        <f>VLOOKUP(A403,File!$A:$J,6,FALSE)</f>
        <v>Chennai</v>
      </c>
      <c r="G403" s="29" t="str">
        <f>VLOOKUP(A403,File!$A:$J,7,FALSE)</f>
        <v>ADM26MF012</v>
      </c>
      <c r="H403" s="29" t="str">
        <f>VLOOKUP(A403,File!$A:$J,8,FALSE)</f>
        <v>Lourdhu Selvin Raj X</v>
      </c>
      <c r="I403" s="31">
        <f>VLOOKUP(A403,File!$A:$J,9,FALSE)</f>
        <v>46343</v>
      </c>
      <c r="J403" s="31" t="str">
        <f>VLOOKUP(A403,File!$A:$K,11,FALSE)</f>
        <v>Nov 2026</v>
      </c>
      <c r="K403" s="31" t="str">
        <f>VLOOKUP(A403,File!$A:$K,10,FALSE)</f>
        <v>In-Training</v>
      </c>
      <c r="L403" s="31" t="s">
        <v>4</v>
      </c>
      <c r="M403" t="str">
        <f>VLOOKUP(A403,Response!$A:$M,7,)</f>
        <v>PG (Paying Guest)</v>
      </c>
      <c r="N403" t="str">
        <f>VLOOKUP(A403,Response!$A:$M,8,)</f>
        <v>Jvr luxury ladies pg, pudupakkam</v>
      </c>
      <c r="O403" s="4">
        <f>VLOOKUP(A403,Response!$A:$M,10,)</f>
        <v>1</v>
      </c>
      <c r="P403" t="str">
        <f>VLOOKUP(A403,Response!$A:$M,12,)</f>
        <v>Yes</v>
      </c>
      <c r="Q403" t="str">
        <f>VLOOKUP(A403,Response!$A:$M,11,)</f>
        <v>Siruseri</v>
      </c>
      <c r="R403" t="s">
        <v>19</v>
      </c>
      <c r="S403" s="39" t="s">
        <v>37</v>
      </c>
    </row>
    <row r="404" spans="1:19">
      <c r="A404" s="3">
        <v>2529536</v>
      </c>
      <c r="B404" t="str">
        <f>VLOOKUP(A404,File!$A:$J,2,FALSE)</f>
        <v>Akshata Santosh Waikar</v>
      </c>
      <c r="C404" s="29">
        <f>VLOOKUP(A404,File!$A:$J,5,FALSE)</f>
        <v>46245</v>
      </c>
      <c r="D404" s="29" t="str">
        <f>VLOOKUP(A404,File!$A:$J,3,FALSE)</f>
        <v>Female</v>
      </c>
      <c r="E404" s="29" t="str">
        <f>VLOOKUP(A404,File!$A:$J,4,FALSE)</f>
        <v>FTE</v>
      </c>
      <c r="F404" s="29" t="str">
        <f>VLOOKUP(A404,File!$A:$J,6,FALSE)</f>
        <v>Chennai</v>
      </c>
      <c r="G404" s="29" t="str">
        <f>VLOOKUP(A404,File!$A:$J,7,FALSE)</f>
        <v>CIS26MCPT025</v>
      </c>
      <c r="H404" s="29" t="str">
        <f>VLOOKUP(A404,File!$A:$J,8,FALSE)</f>
        <v>Vignesh S</v>
      </c>
      <c r="I404" s="31">
        <f>VLOOKUP(A404,File!$A:$J,9,FALSE)</f>
        <v>46359</v>
      </c>
      <c r="J404" s="31" t="str">
        <f>VLOOKUP(A404,File!$A:$K,11,FALSE)</f>
        <v>Dec 2026</v>
      </c>
      <c r="K404" s="31" t="str">
        <f>VLOOKUP(A404,File!$A:$K,10,FALSE)</f>
        <v>In-Training</v>
      </c>
      <c r="L404" s="31" t="s">
        <v>4</v>
      </c>
      <c r="M404" t="str">
        <f>VLOOKUP(A404,Response!$A:$M,7,)</f>
        <v>PG (Paying Guest)</v>
      </c>
      <c r="N404" t="str">
        <f>VLOOKUP(A404,Response!$A:$M,8,)</f>
        <v>JVR luxury ladies PG.3/53, mattu street , kalipattur</v>
      </c>
      <c r="O404" s="4">
        <f>VLOOKUP(A404,Response!$A:$M,10,)</f>
        <v>5</v>
      </c>
      <c r="P404" t="str">
        <f>VLOOKUP(A404,Response!$A:$M,12,)</f>
        <v>No</v>
      </c>
      <c r="Q404" t="str">
        <f>VLOOKUP(A404,Response!$A:$M,11,)</f>
        <v>Pudupakkam</v>
      </c>
      <c r="R404" t="s">
        <v>21</v>
      </c>
      <c r="S404" s="39" t="s">
        <v>37</v>
      </c>
    </row>
    <row r="405" spans="1:19">
      <c r="A405" s="3">
        <v>2511228</v>
      </c>
      <c r="B405" t="str">
        <f>VLOOKUP(A405,File!$A:$J,2,FALSE)</f>
        <v>Srija Rajendaran</v>
      </c>
      <c r="C405" s="29">
        <f>VLOOKUP(A405,File!$A:$J,5,FALSE)</f>
        <v>46163</v>
      </c>
      <c r="D405" s="29" t="str">
        <f>VLOOKUP(A405,File!$A:$J,3,FALSE)</f>
        <v>Female</v>
      </c>
      <c r="E405" s="29" t="str">
        <f>VLOOKUP(A405,File!$A:$J,4,FALSE)</f>
        <v>FTE</v>
      </c>
      <c r="F405" s="29" t="str">
        <f>VLOOKUP(A405,File!$A:$J,6,FALSE)</f>
        <v>Chennai</v>
      </c>
      <c r="G405" s="29" t="str">
        <f>VLOOKUP(A405,File!$A:$J,7,FALSE)</f>
        <v>CIS26MCPT010</v>
      </c>
      <c r="H405" s="29" t="str">
        <f>VLOOKUP(A405,File!$A:$J,8,FALSE)</f>
        <v>Mohamed Harish</v>
      </c>
      <c r="I405" s="31">
        <f>VLOOKUP(A405,File!$A:$J,9,FALSE)</f>
        <v>46275</v>
      </c>
      <c r="J405" s="31" t="str">
        <f>VLOOKUP(A405,File!$A:$K,11,FALSE)</f>
        <v>Sep 2026</v>
      </c>
      <c r="K405" s="31" t="str">
        <f>VLOOKUP(A405,File!$A:$K,10,FALSE)</f>
        <v>In-Training</v>
      </c>
      <c r="L405" s="31" t="s">
        <v>4</v>
      </c>
      <c r="M405" t="str">
        <f>VLOOKUP(A405,Response!$A:$M,7,)</f>
        <v>PG (Paying Guest)</v>
      </c>
      <c r="N405" t="str">
        <f>VLOOKUP(A405,Response!$A:$M,8,)</f>
        <v>JVR PG</v>
      </c>
      <c r="O405" s="4">
        <f>VLOOKUP(A405,Response!$A:$M,10,)</f>
        <v>2</v>
      </c>
      <c r="P405" t="str">
        <f>VLOOKUP(A405,Response!$A:$M,12,)</f>
        <v>No</v>
      </c>
      <c r="Q405" t="str">
        <f>VLOOKUP(A405,Response!$A:$M,11,)</f>
        <v>Siruseri</v>
      </c>
      <c r="R405" t="s">
        <v>19</v>
      </c>
      <c r="S405" s="39" t="s">
        <v>37</v>
      </c>
    </row>
    <row r="406" spans="1:19">
      <c r="A406" s="3">
        <v>2525083</v>
      </c>
      <c r="B406" t="str">
        <f>VLOOKUP(A406,File!$A:$J,2,FALSE)</f>
        <v>Jnanendu Karak</v>
      </c>
      <c r="C406" s="29">
        <f>VLOOKUP(A406,File!$A:$J,5,FALSE)</f>
        <v>46226</v>
      </c>
      <c r="D406" s="29" t="str">
        <f>VLOOKUP(A406,File!$A:$J,3,FALSE)</f>
        <v>Male</v>
      </c>
      <c r="E406" s="29" t="str">
        <f>VLOOKUP(A406,File!$A:$J,4,FALSE)</f>
        <v>FTE</v>
      </c>
      <c r="F406" s="29" t="str">
        <f>VLOOKUP(A406,File!$A:$J,6,FALSE)</f>
        <v>Chennai</v>
      </c>
      <c r="G406" s="29" t="str">
        <f>VLOOKUP(A406,File!$A:$J,7,FALSE)</f>
        <v>EPS26WD005</v>
      </c>
      <c r="H406" s="29" t="str">
        <f>VLOOKUP(A406,File!$A:$J,8,FALSE)</f>
        <v>Vishnupriya Dakshnamurthy</v>
      </c>
      <c r="I406" s="31">
        <f>VLOOKUP(A406,File!$A:$J,9,FALSE)</f>
        <v>46332</v>
      </c>
      <c r="J406" s="31" t="str">
        <f>VLOOKUP(A406,File!$A:$K,11,FALSE)</f>
        <v>Nov 2026</v>
      </c>
      <c r="K406" s="31" t="str">
        <f>VLOOKUP(A406,File!$A:$K,10,FALSE)</f>
        <v>In-Training</v>
      </c>
      <c r="L406" s="31" t="s">
        <v>4</v>
      </c>
      <c r="M406" t="str">
        <f>VLOOKUP(A406,Response!$A:$M,7,)</f>
        <v>PG (Paying Guest)</v>
      </c>
      <c r="N406" t="str">
        <f>VLOOKUP(A406,Response!$A:$M,8,)</f>
        <v>Kalyani Gents Pg Navalur</v>
      </c>
      <c r="O406" s="4">
        <f>VLOOKUP(A406,Response!$A:$M,10,)</f>
        <v>3</v>
      </c>
      <c r="P406" t="str">
        <f>VLOOKUP(A406,Response!$A:$M,12,)</f>
        <v>No</v>
      </c>
      <c r="Q406" t="str">
        <f>VLOOKUP(A406,Response!$A:$M,11,)</f>
        <v>Siruseri</v>
      </c>
      <c r="R406" t="s">
        <v>19</v>
      </c>
      <c r="S406" s="39" t="s">
        <v>37</v>
      </c>
    </row>
    <row r="407" spans="1:19">
      <c r="A407" s="3">
        <v>2521062</v>
      </c>
      <c r="B407" t="str">
        <f>VLOOKUP(A407,File!$A:$J,2,FALSE)</f>
        <v>Kishore Kumar R</v>
      </c>
      <c r="C407" s="29">
        <f>VLOOKUP(A407,File!$A:$J,5,FALSE)</f>
        <v>46210</v>
      </c>
      <c r="D407" s="29" t="str">
        <f>VLOOKUP(A407,File!$A:$J,3,FALSE)</f>
        <v>Male</v>
      </c>
      <c r="E407" s="29" t="str">
        <f>VLOOKUP(A407,File!$A:$J,4,FALSE)</f>
        <v>FTE</v>
      </c>
      <c r="F407" s="29" t="str">
        <f>VLOOKUP(A407,File!$A:$J,6,FALSE)</f>
        <v>Chennai</v>
      </c>
      <c r="G407" s="29" t="str">
        <f>VLOOKUP(A407,File!$A:$J,7,FALSE)</f>
        <v>HPC26DN005</v>
      </c>
      <c r="H407" s="29" t="str">
        <f>VLOOKUP(A407,File!$A:$J,8,FALSE)</f>
        <v>Viveka Preethi</v>
      </c>
      <c r="I407" s="31">
        <f>VLOOKUP(A407,File!$A:$J,9,FALSE)</f>
        <v>46296</v>
      </c>
      <c r="J407" s="31" t="str">
        <f>VLOOKUP(A407,File!$A:$K,11,FALSE)</f>
        <v>Oct 2026</v>
      </c>
      <c r="K407" s="31" t="str">
        <f>VLOOKUP(A407,File!$A:$K,10,FALSE)</f>
        <v>In-Training</v>
      </c>
      <c r="L407" s="31" t="s">
        <v>4</v>
      </c>
      <c r="M407" t="str">
        <f>VLOOKUP(A407,Response!$A:$M,7,)</f>
        <v>PG (Paying Guest)</v>
      </c>
      <c r="N407" t="str">
        <f>VLOOKUP(A407,Response!$A:$M,8,)</f>
        <v>Kalyani Gents PG, Navalur</v>
      </c>
      <c r="O407" s="4">
        <f>VLOOKUP(A407,Response!$A:$M,10,)</f>
        <v>2</v>
      </c>
      <c r="P407" t="str">
        <f>VLOOKUP(A407,Response!$A:$M,12,)</f>
        <v>Yes</v>
      </c>
      <c r="Q407" t="str">
        <f>VLOOKUP(A407,Response!$A:$M,11,)</f>
        <v>Navalur</v>
      </c>
      <c r="R407" t="s">
        <v>19</v>
      </c>
      <c r="S407" s="39" t="s">
        <v>37</v>
      </c>
    </row>
    <row r="408" spans="1:19">
      <c r="A408" s="3">
        <v>2531977</v>
      </c>
      <c r="B408" t="str">
        <f>VLOOKUP(A408,File!$A:$J,2,FALSE)</f>
        <v>Aniket Sudarshan</v>
      </c>
      <c r="C408" s="29">
        <f>VLOOKUP(A408,File!$A:$J,5,FALSE)</f>
        <v>46254</v>
      </c>
      <c r="D408" s="29" t="str">
        <f>VLOOKUP(A408,File!$A:$J,3,FALSE)</f>
        <v>Male</v>
      </c>
      <c r="E408" s="29" t="str">
        <f>VLOOKUP(A408,File!$A:$J,4,FALSE)</f>
        <v>FTE</v>
      </c>
      <c r="F408" s="29" t="str">
        <f>VLOOKUP(A408,File!$A:$J,6,FALSE)</f>
        <v>Chennai</v>
      </c>
      <c r="G408" s="29" t="str">
        <f>VLOOKUP(A408,File!$A:$J,7,FALSE)</f>
        <v>CS26CS012</v>
      </c>
      <c r="H408" s="29" t="str">
        <f>VLOOKUP(A408,File!$A:$J,8,FALSE)</f>
        <v>Laksiya Vijayendran</v>
      </c>
      <c r="I408" s="31">
        <f>VLOOKUP(A408,File!$A:$J,9,FALSE)</f>
        <v>46343</v>
      </c>
      <c r="J408" s="31" t="str">
        <f>VLOOKUP(A408,File!$A:$K,11,FALSE)</f>
        <v>Nov 2026</v>
      </c>
      <c r="K408" s="31" t="str">
        <f>VLOOKUP(A408,File!$A:$K,10,FALSE)</f>
        <v>In-Training</v>
      </c>
      <c r="L408" s="31" t="s">
        <v>4</v>
      </c>
      <c r="M408" t="str">
        <f>VLOOKUP(A408,Response!$A:$M,7,)</f>
        <v>PG (Paying Guest)</v>
      </c>
      <c r="N408" t="str">
        <f>VLOOKUP(A408,Response!$A:$M,8,)</f>
        <v xml:space="preserve">kalyani pg rajaganesh avanue house 10, navalur </v>
      </c>
      <c r="O408" s="4">
        <f>VLOOKUP(A408,Response!$A:$M,10,)</f>
        <v>1</v>
      </c>
      <c r="P408" t="str">
        <f>VLOOKUP(A408,Response!$A:$M,12,)</f>
        <v>No</v>
      </c>
      <c r="Q408" t="str">
        <f>VLOOKUP(A408,Response!$A:$M,11,)</f>
        <v>Navalur</v>
      </c>
      <c r="R408" t="s">
        <v>19</v>
      </c>
      <c r="S408" s="39" t="s">
        <v>37</v>
      </c>
    </row>
    <row r="409" spans="1:19">
      <c r="A409" s="3">
        <v>2516861</v>
      </c>
      <c r="B409" t="str">
        <f>VLOOKUP(A409,File!$A:$J,2,FALSE)</f>
        <v>Dinesh Suriya N</v>
      </c>
      <c r="C409" s="29">
        <f>VLOOKUP(A409,File!$A:$J,5,FALSE)</f>
        <v>46191</v>
      </c>
      <c r="D409" s="29" t="str">
        <f>VLOOKUP(A409,File!$A:$J,3,FALSE)</f>
        <v>Male</v>
      </c>
      <c r="E409" s="29" t="str">
        <f>VLOOKUP(A409,File!$A:$J,4,FALSE)</f>
        <v>FTE</v>
      </c>
      <c r="F409" s="29" t="str">
        <f>VLOOKUP(A409,File!$A:$J,6,FALSE)</f>
        <v>Chennai</v>
      </c>
      <c r="G409" s="29" t="str">
        <f>VLOOKUP(A409,File!$A:$J,7,FALSE)</f>
        <v>CIS26MW001</v>
      </c>
      <c r="H409" s="29" t="str">
        <f>VLOOKUP(A409,File!$A:$J,8,FALSE)</f>
        <v>Ashiya Begam S</v>
      </c>
      <c r="I409" s="31">
        <f>VLOOKUP(A409,File!$A:$J,9,FALSE)</f>
        <v>46276</v>
      </c>
      <c r="J409" s="31" t="str">
        <f>VLOOKUP(A409,File!$A:$K,11,FALSE)</f>
        <v>Sep 2026</v>
      </c>
      <c r="K409" s="31" t="str">
        <f>VLOOKUP(A409,File!$A:$K,10,FALSE)</f>
        <v>In-Training</v>
      </c>
      <c r="L409" s="31" t="s">
        <v>4</v>
      </c>
      <c r="M409" t="str">
        <f>VLOOKUP(A409,Response!$A:$M,7,)</f>
        <v>PG (Paying Guest)</v>
      </c>
      <c r="N409" t="str">
        <f>VLOOKUP(A409,Response!$A:$M,8,)</f>
        <v>kandhan gents pg, Sholinganallur</v>
      </c>
      <c r="O409" s="4">
        <f>VLOOKUP(A409,Response!$A:$M,10,)</f>
        <v>2</v>
      </c>
      <c r="P409" t="str">
        <f>VLOOKUP(A409,Response!$A:$M,12,)</f>
        <v>No</v>
      </c>
      <c r="Q409" t="str">
        <f>VLOOKUP(A409,Response!$A:$M,11,)</f>
        <v>Sholinganallur</v>
      </c>
      <c r="R409" t="s">
        <v>17</v>
      </c>
      <c r="S409" s="39" t="s">
        <v>37</v>
      </c>
    </row>
    <row r="410" spans="1:19">
      <c r="A410" s="3">
        <v>2519582</v>
      </c>
      <c r="B410" t="str">
        <f>VLOOKUP(A410,File!$A:$J,2,FALSE)</f>
        <v>M Manoj</v>
      </c>
      <c r="C410" s="29">
        <f>VLOOKUP(A410,File!$A:$J,5,FALSE)</f>
        <v>46205</v>
      </c>
      <c r="D410" s="29" t="str">
        <f>VLOOKUP(A410,File!$A:$J,3,FALSE)</f>
        <v>Male</v>
      </c>
      <c r="E410" s="29" t="str">
        <f>VLOOKUP(A410,File!$A:$J,4,FALSE)</f>
        <v>FTE</v>
      </c>
      <c r="F410" s="29" t="str">
        <f>VLOOKUP(A410,File!$A:$J,6,FALSE)</f>
        <v>Chennai</v>
      </c>
      <c r="G410" s="29" t="str">
        <f>VLOOKUP(A410,File!$A:$J,7,FALSE)</f>
        <v>CIS26UNIX003</v>
      </c>
      <c r="H410" s="29" t="str">
        <f>VLOOKUP(A410,File!$A:$J,8,FALSE)</f>
        <v>Haritha P</v>
      </c>
      <c r="I410" s="31">
        <f>VLOOKUP(A410,File!$A:$J,9,FALSE)</f>
        <v>46289</v>
      </c>
      <c r="J410" s="31" t="str">
        <f>VLOOKUP(A410,File!$A:$K,11,FALSE)</f>
        <v>Sep 2026</v>
      </c>
      <c r="K410" s="31" t="str">
        <f>VLOOKUP(A410,File!$A:$K,10,FALSE)</f>
        <v>In-Training</v>
      </c>
      <c r="L410" s="31" t="s">
        <v>4</v>
      </c>
      <c r="M410" t="str">
        <f>VLOOKUP(A410,Response!$A:$M,7,)</f>
        <v>PG (Paying Guest)</v>
      </c>
      <c r="N410" t="str">
        <f>VLOOKUP(A410,Response!$A:$M,8,)</f>
        <v>KMR DELUXE FOR GENTS, Navalur</v>
      </c>
      <c r="O410" s="4">
        <f>VLOOKUP(A410,Response!$A:$M,10,)</f>
        <v>1</v>
      </c>
      <c r="P410" t="str">
        <f>VLOOKUP(A410,Response!$A:$M,12,)</f>
        <v>No</v>
      </c>
      <c r="Q410" t="str">
        <f>VLOOKUP(A410,Response!$A:$M,11,)</f>
        <v>Navalur</v>
      </c>
      <c r="R410" t="s">
        <v>19</v>
      </c>
      <c r="S410" s="39" t="s">
        <v>37</v>
      </c>
    </row>
    <row r="411" spans="1:19">
      <c r="A411" s="3">
        <v>2529635</v>
      </c>
      <c r="B411" t="str">
        <f>VLOOKUP(A411,File!$A:$J,2,FALSE)</f>
        <v>Prajwal M Pattar</v>
      </c>
      <c r="C411" s="29">
        <f>VLOOKUP(A411,File!$A:$J,5,FALSE)</f>
        <v>46245</v>
      </c>
      <c r="D411" s="29" t="str">
        <f>VLOOKUP(A411,File!$A:$J,3,FALSE)</f>
        <v>Male</v>
      </c>
      <c r="E411" s="29" t="str">
        <f>VLOOKUP(A411,File!$A:$J,4,FALSE)</f>
        <v>FTE</v>
      </c>
      <c r="F411" s="29" t="str">
        <f>VLOOKUP(A411,File!$A:$J,6,FALSE)</f>
        <v>Chennai</v>
      </c>
      <c r="G411" s="29" t="str">
        <f>VLOOKUP(A411,File!$A:$J,7,FALSE)</f>
        <v>CIS26MCPT023</v>
      </c>
      <c r="H411" s="29" t="str">
        <f>VLOOKUP(A411,File!$A:$J,8,FALSE)</f>
        <v>Kishorekumar P</v>
      </c>
      <c r="I411" s="31">
        <f>VLOOKUP(A411,File!$A:$J,9,FALSE)</f>
        <v>46359</v>
      </c>
      <c r="J411" s="31" t="str">
        <f>VLOOKUP(A411,File!$A:$K,11,FALSE)</f>
        <v>Dec 2026</v>
      </c>
      <c r="K411" s="31" t="str">
        <f>VLOOKUP(A411,File!$A:$K,10,FALSE)</f>
        <v>In-Training</v>
      </c>
      <c r="L411" s="31" t="s">
        <v>4</v>
      </c>
      <c r="M411" t="str">
        <f>VLOOKUP(A411,Response!$A:$M,7,)</f>
        <v>PG (Paying Guest)</v>
      </c>
      <c r="N411" t="str">
        <f>VLOOKUP(A411,Response!$A:$M,8,)</f>
        <v>KMR DELUXE PG FOR GENTS Navalur</v>
      </c>
      <c r="O411" s="4">
        <f>VLOOKUP(A411,Response!$A:$M,10,)</f>
        <v>3</v>
      </c>
      <c r="P411" t="str">
        <f>VLOOKUP(A411,Response!$A:$M,12,)</f>
        <v>No</v>
      </c>
      <c r="Q411" t="str">
        <f>VLOOKUP(A411,Response!$A:$M,11,)</f>
        <v>Navalur</v>
      </c>
      <c r="R411" t="s">
        <v>19</v>
      </c>
      <c r="S411" s="39" t="s">
        <v>37</v>
      </c>
    </row>
    <row r="412" spans="1:19">
      <c r="A412" s="3">
        <v>2519587</v>
      </c>
      <c r="B412" t="str">
        <f>VLOOKUP(A412,File!$A:$J,2,FALSE)</f>
        <v>Sahankumar Subhasachandra Pol</v>
      </c>
      <c r="C412" s="29">
        <f>VLOOKUP(A412,File!$A:$J,5,FALSE)</f>
        <v>46205</v>
      </c>
      <c r="D412" s="29" t="str">
        <f>VLOOKUP(A412,File!$A:$J,3,FALSE)</f>
        <v>Male</v>
      </c>
      <c r="E412" s="29" t="str">
        <f>VLOOKUP(A412,File!$A:$J,4,FALSE)</f>
        <v>FTE</v>
      </c>
      <c r="F412" s="29" t="str">
        <f>VLOOKUP(A412,File!$A:$J,6,FALSE)</f>
        <v>Chennai</v>
      </c>
      <c r="G412" s="29" t="str">
        <f>VLOOKUP(A412,File!$A:$J,7,FALSE)</f>
        <v>CIS26UNIX004</v>
      </c>
      <c r="H412" s="29" t="str">
        <f>VLOOKUP(A412,File!$A:$J,8,FALSE)</f>
        <v>Haritha P</v>
      </c>
      <c r="I412" s="31">
        <f>VLOOKUP(A412,File!$A:$J,9,FALSE)</f>
        <v>46289</v>
      </c>
      <c r="J412" s="31" t="str">
        <f>VLOOKUP(A412,File!$A:$K,11,FALSE)</f>
        <v>Sep 2026</v>
      </c>
      <c r="K412" s="31" t="str">
        <f>VLOOKUP(A412,File!$A:$K,10,FALSE)</f>
        <v>In-Training</v>
      </c>
      <c r="L412" s="31" t="s">
        <v>4</v>
      </c>
      <c r="M412" t="str">
        <f>VLOOKUP(A412,Response!$A:$M,7,)</f>
        <v>PG (Paying Guest)</v>
      </c>
      <c r="N412" t="str">
        <f>VLOOKUP(A412,Response!$A:$M,8,)</f>
        <v>KMR Deluxe PG For Gents, Sambalal ST, Navalur, Chennai, Tamil Nadu 600130</v>
      </c>
      <c r="O412" s="4">
        <f>VLOOKUP(A412,Response!$A:$M,10,)</f>
        <v>2</v>
      </c>
      <c r="P412" t="str">
        <f>VLOOKUP(A412,Response!$A:$M,12,)</f>
        <v>No</v>
      </c>
      <c r="Q412" t="str">
        <f>VLOOKUP(A412,Response!$A:$M,11,)</f>
        <v>Navalur</v>
      </c>
      <c r="R412" t="s">
        <v>19</v>
      </c>
      <c r="S412" s="39" t="s">
        <v>37</v>
      </c>
    </row>
    <row r="413" spans="1:19">
      <c r="A413" s="3">
        <v>2519826</v>
      </c>
      <c r="B413" t="str">
        <f>VLOOKUP(A413,File!$A:$J,2,FALSE)</f>
        <v>Venkatesh Prakash Dasar</v>
      </c>
      <c r="C413" s="29">
        <f>VLOOKUP(A413,File!$A:$J,5,FALSE)</f>
        <v>46205</v>
      </c>
      <c r="D413" s="29" t="str">
        <f>VLOOKUP(A413,File!$A:$J,3,FALSE)</f>
        <v>Male</v>
      </c>
      <c r="E413" s="29" t="str">
        <f>VLOOKUP(A413,File!$A:$J,4,FALSE)</f>
        <v>FTE</v>
      </c>
      <c r="F413" s="29" t="str">
        <f>VLOOKUP(A413,File!$A:$J,6,FALSE)</f>
        <v>Chennai</v>
      </c>
      <c r="G413" s="29" t="str">
        <f>VLOOKUP(A413,File!$A:$J,7,FALSE)</f>
        <v>CIS26UNIX003</v>
      </c>
      <c r="H413" s="29" t="str">
        <f>VLOOKUP(A413,File!$A:$J,8,FALSE)</f>
        <v>Haritha P</v>
      </c>
      <c r="I413" s="31">
        <f>VLOOKUP(A413,File!$A:$J,9,FALSE)</f>
        <v>46289</v>
      </c>
      <c r="J413" s="31" t="str">
        <f>VLOOKUP(A413,File!$A:$K,11,FALSE)</f>
        <v>Sep 2026</v>
      </c>
      <c r="K413" s="31" t="str">
        <f>VLOOKUP(A413,File!$A:$K,10,FALSE)</f>
        <v>In-Training</v>
      </c>
      <c r="L413" s="31" t="s">
        <v>4</v>
      </c>
      <c r="M413" t="str">
        <f>VLOOKUP(A413,Response!$A:$M,7,)</f>
        <v>PG (Paying Guest)</v>
      </c>
      <c r="N413" t="str">
        <f>VLOOKUP(A413,Response!$A:$M,8,)</f>
        <v>KMR DELUXE PG FOR GENTS,6/97A,SAMBALAL ST,NAVALUR,CHENNAI,TAMILNADU 600130</v>
      </c>
      <c r="O413" s="4">
        <f>VLOOKUP(A413,Response!$A:$M,10,)</f>
        <v>2</v>
      </c>
      <c r="P413" t="str">
        <f>VLOOKUP(A413,Response!$A:$M,12,)</f>
        <v>No</v>
      </c>
      <c r="Q413" t="str">
        <f>VLOOKUP(A413,Response!$A:$M,11,)</f>
        <v>Navalur</v>
      </c>
      <c r="R413" t="s">
        <v>19</v>
      </c>
      <c r="S413" s="39" t="s">
        <v>37</v>
      </c>
    </row>
    <row r="414" spans="1:19">
      <c r="A414" s="3">
        <v>2529628</v>
      </c>
      <c r="B414" t="str">
        <f>VLOOKUP(A414,File!$A:$J,2,FALSE)</f>
        <v>Santhosh Javalagere Talepalli</v>
      </c>
      <c r="C414" s="29">
        <f>VLOOKUP(A414,File!$A:$J,5,FALSE)</f>
        <v>46245</v>
      </c>
      <c r="D414" s="29" t="str">
        <f>VLOOKUP(A414,File!$A:$J,3,FALSE)</f>
        <v>Male</v>
      </c>
      <c r="E414" s="29" t="str">
        <f>VLOOKUP(A414,File!$A:$J,4,FALSE)</f>
        <v>FTE</v>
      </c>
      <c r="F414" s="29" t="str">
        <f>VLOOKUP(A414,File!$A:$J,6,FALSE)</f>
        <v>Chennai</v>
      </c>
      <c r="G414" s="29" t="str">
        <f>VLOOKUP(A414,File!$A:$J,7,FALSE)</f>
        <v>CIS26MCPT022</v>
      </c>
      <c r="H414" s="29" t="str">
        <f>VLOOKUP(A414,File!$A:$J,8,FALSE)</f>
        <v>Laksiya Vijayendran</v>
      </c>
      <c r="I414" s="31">
        <f>VLOOKUP(A414,File!$A:$J,9,FALSE)</f>
        <v>46359</v>
      </c>
      <c r="J414" s="31" t="str">
        <f>VLOOKUP(A414,File!$A:$K,11,FALSE)</f>
        <v>Dec 2026</v>
      </c>
      <c r="K414" s="31" t="str">
        <f>VLOOKUP(A414,File!$A:$K,10,FALSE)</f>
        <v>In-Training</v>
      </c>
      <c r="L414" s="31" t="s">
        <v>4</v>
      </c>
      <c r="M414" t="str">
        <f>VLOOKUP(A414,Response!$A:$M,7,)</f>
        <v>PG (Paying Guest)</v>
      </c>
      <c r="N414" t="str">
        <f>VLOOKUP(A414,Response!$A:$M,8,)</f>
        <v xml:space="preserve">KMR gents pg near navalur chennai </v>
      </c>
      <c r="O414" s="4">
        <f>VLOOKUP(A414,Response!$A:$M,10,)</f>
        <v>3</v>
      </c>
      <c r="P414" t="str">
        <f>VLOOKUP(A414,Response!$A:$M,12,)</f>
        <v>No</v>
      </c>
      <c r="Q414" t="str">
        <f>VLOOKUP(A414,Response!$A:$M,11,)</f>
        <v>Navalur</v>
      </c>
      <c r="R414" t="s">
        <v>19</v>
      </c>
      <c r="S414" s="39" t="s">
        <v>37</v>
      </c>
    </row>
    <row r="415" spans="1:19">
      <c r="A415" s="3">
        <v>2524574</v>
      </c>
      <c r="B415" t="str">
        <f>VLOOKUP(A415,File!$A:$J,2,FALSE)</f>
        <v>Edem Deepak</v>
      </c>
      <c r="C415" s="29">
        <f>VLOOKUP(A415,File!$A:$J,5,FALSE)</f>
        <v>46224</v>
      </c>
      <c r="D415" s="29" t="str">
        <f>VLOOKUP(A415,File!$A:$J,3,FALSE)</f>
        <v>Male</v>
      </c>
      <c r="E415" s="29" t="str">
        <f>VLOOKUP(A415,File!$A:$J,4,FALSE)</f>
        <v>FTE</v>
      </c>
      <c r="F415" s="29" t="str">
        <f>VLOOKUP(A415,File!$A:$J,6,FALSE)</f>
        <v>Chennai</v>
      </c>
      <c r="G415" s="29" t="str">
        <f>VLOOKUP(A415,File!$A:$J,7,FALSE)</f>
        <v>ADM26DFSA007</v>
      </c>
      <c r="H415" s="29" t="str">
        <f>VLOOKUP(A415,File!$A:$J,8,FALSE)</f>
        <v>Sweta Thoppil</v>
      </c>
      <c r="I415" s="31">
        <f>VLOOKUP(A415,File!$A:$J,9,FALSE)</f>
        <v>46336</v>
      </c>
      <c r="J415" s="31" t="str">
        <f>VLOOKUP(A415,File!$A:$K,11,FALSE)</f>
        <v>Nov 2026</v>
      </c>
      <c r="K415" s="31" t="str">
        <f>VLOOKUP(A415,File!$A:$K,10,FALSE)</f>
        <v>In-Training</v>
      </c>
      <c r="L415" s="31" t="s">
        <v>4</v>
      </c>
      <c r="M415" t="str">
        <f>VLOOKUP(A415,Response!$A:$M,7,)</f>
        <v>PG (Paying Guest)</v>
      </c>
      <c r="N415" t="str">
        <f>VLOOKUP(A415,Response!$A:$M,8,)</f>
        <v>KMR Deluxe PG for men</v>
      </c>
      <c r="O415" s="4">
        <f>VLOOKUP(A415,Response!$A:$M,10,)</f>
        <v>2</v>
      </c>
      <c r="P415" t="str">
        <f>VLOOKUP(A415,Response!$A:$M,12,)</f>
        <v>No</v>
      </c>
      <c r="Q415" t="str">
        <f>VLOOKUP(A415,Response!$A:$M,11,)</f>
        <v>Navalur</v>
      </c>
      <c r="R415" t="s">
        <v>19</v>
      </c>
      <c r="S415" s="39" t="s">
        <v>37</v>
      </c>
    </row>
    <row r="416" spans="1:19">
      <c r="A416" s="3">
        <v>2519629</v>
      </c>
      <c r="B416" t="str">
        <f>VLOOKUP(A416,File!$A:$J,2,FALSE)</f>
        <v>Nasina Hemanth Hemanth Kumar</v>
      </c>
      <c r="C416" s="29">
        <f>VLOOKUP(A416,File!$A:$J,5,FALSE)</f>
        <v>46205</v>
      </c>
      <c r="D416" s="29" t="str">
        <f>VLOOKUP(A416,File!$A:$J,3,FALSE)</f>
        <v>Male</v>
      </c>
      <c r="E416" s="29" t="str">
        <f>VLOOKUP(A416,File!$A:$J,4,FALSE)</f>
        <v>FTE</v>
      </c>
      <c r="F416" s="29" t="str">
        <f>VLOOKUP(A416,File!$A:$J,6,FALSE)</f>
        <v>Chennai</v>
      </c>
      <c r="G416" s="29" t="str">
        <f>VLOOKUP(A416,File!$A:$J,7,FALSE)</f>
        <v>CIS26MCPT013</v>
      </c>
      <c r="H416" s="29" t="str">
        <f>VLOOKUP(A416,File!$A:$J,8,FALSE)</f>
        <v>Lawrance M</v>
      </c>
      <c r="I416" s="31">
        <f>VLOOKUP(A416,File!$A:$J,9,FALSE)</f>
        <v>46324</v>
      </c>
      <c r="J416" s="31" t="str">
        <f>VLOOKUP(A416,File!$A:$K,11,FALSE)</f>
        <v>Oct 2026</v>
      </c>
      <c r="K416" s="31" t="str">
        <f>VLOOKUP(A416,File!$A:$K,10,FALSE)</f>
        <v>In-Training</v>
      </c>
      <c r="L416" s="31" t="s">
        <v>4</v>
      </c>
      <c r="M416" t="str">
        <f>VLOOKUP(A416,Response!$A:$M,7,)</f>
        <v>Hostel</v>
      </c>
      <c r="N416" t="str">
        <f>VLOOKUP(A416,Response!$A:$M,8,)</f>
        <v xml:space="preserve">KMR pg for gents - navalur </v>
      </c>
      <c r="O416" s="4">
        <f>VLOOKUP(A416,Response!$A:$M,10,)</f>
        <v>1</v>
      </c>
      <c r="P416" t="str">
        <f>VLOOKUP(A416,Response!$A:$M,12,)</f>
        <v>No</v>
      </c>
      <c r="Q416" t="str">
        <f>VLOOKUP(A416,Response!$A:$M,11,)</f>
        <v>Navalur</v>
      </c>
      <c r="R416" t="s">
        <v>19</v>
      </c>
      <c r="S416" s="39" t="s">
        <v>37</v>
      </c>
    </row>
    <row r="417" spans="1:19">
      <c r="A417" s="3">
        <v>2519616</v>
      </c>
      <c r="B417" t="str">
        <f>VLOOKUP(A417,File!$A:$J,2,FALSE)</f>
        <v>Peddakaam Jayachandra Reddy</v>
      </c>
      <c r="C417" s="29">
        <f>VLOOKUP(A417,File!$A:$J,5,FALSE)</f>
        <v>46205</v>
      </c>
      <c r="D417" s="29" t="str">
        <f>VLOOKUP(A417,File!$A:$J,3,FALSE)</f>
        <v>Male</v>
      </c>
      <c r="E417" s="29" t="str">
        <f>VLOOKUP(A417,File!$A:$J,4,FALSE)</f>
        <v>FTE</v>
      </c>
      <c r="F417" s="29" t="str">
        <f>VLOOKUP(A417,File!$A:$J,6,FALSE)</f>
        <v>Chennai</v>
      </c>
      <c r="G417" s="29" t="str">
        <f>VLOOKUP(A417,File!$A:$J,7,FALSE)</f>
        <v>CIS26UNIX004</v>
      </c>
      <c r="H417" s="29" t="str">
        <f>VLOOKUP(A417,File!$A:$J,8,FALSE)</f>
        <v>Haritha P</v>
      </c>
      <c r="I417" s="31">
        <f>VLOOKUP(A417,File!$A:$J,9,FALSE)</f>
        <v>46289</v>
      </c>
      <c r="J417" s="31" t="str">
        <f>VLOOKUP(A417,File!$A:$K,11,FALSE)</f>
        <v>Sep 2026</v>
      </c>
      <c r="K417" s="31" t="str">
        <f>VLOOKUP(A417,File!$A:$K,10,FALSE)</f>
        <v>In-Training</v>
      </c>
      <c r="L417" s="31" t="s">
        <v>4</v>
      </c>
      <c r="M417" t="str">
        <f>VLOOKUP(A417,Response!$A:$M,7,)</f>
        <v>PG (Paying Guest)</v>
      </c>
      <c r="N417" t="str">
        <f>VLOOKUP(A417,Response!$A:$M,8,)</f>
        <v>KNR Boys PG, Ambedkar colony, Egattur</v>
      </c>
      <c r="O417" s="4" t="str">
        <f>VLOOKUP(A417,Response!$A:$M,10,)</f>
        <v>GF</v>
      </c>
      <c r="P417" t="str">
        <f>VLOOKUP(A417,Response!$A:$M,12,)</f>
        <v>No</v>
      </c>
      <c r="Q417" t="str">
        <f>VLOOKUP(A417,Response!$A:$M,11,)</f>
        <v>Egattur</v>
      </c>
      <c r="R417" t="s">
        <v>19</v>
      </c>
      <c r="S417" s="39" t="s">
        <v>37</v>
      </c>
    </row>
    <row r="418" spans="1:19">
      <c r="A418" s="3">
        <v>2524533</v>
      </c>
      <c r="B418" t="str">
        <f>VLOOKUP(A418,File!$A:$J,2,FALSE)</f>
        <v>A Harish</v>
      </c>
      <c r="C418" s="29">
        <f>VLOOKUP(A418,File!$A:$J,5,FALSE)</f>
        <v>46224</v>
      </c>
      <c r="D418" s="29" t="str">
        <f>VLOOKUP(A418,File!$A:$J,3,FALSE)</f>
        <v>Male</v>
      </c>
      <c r="E418" s="29" t="str">
        <f>VLOOKUP(A418,File!$A:$J,4,FALSE)</f>
        <v>FTE</v>
      </c>
      <c r="F418" s="29" t="str">
        <f>VLOOKUP(A418,File!$A:$J,6,FALSE)</f>
        <v>Chennai</v>
      </c>
      <c r="G418" s="29" t="str">
        <f>VLOOKUP(A418,File!$A:$J,7,FALSE)</f>
        <v>IOA26RPA005</v>
      </c>
      <c r="H418" s="29" t="str">
        <f>VLOOKUP(A418,File!$A:$J,8,FALSE)</f>
        <v>Adarsh J Nair</v>
      </c>
      <c r="I418" s="31">
        <f>VLOOKUP(A418,File!$A:$J,9,FALSE)</f>
        <v>46309</v>
      </c>
      <c r="J418" s="31" t="str">
        <f>VLOOKUP(A418,File!$A:$K,11,FALSE)</f>
        <v>Oct 2026</v>
      </c>
      <c r="K418" s="31" t="str">
        <f>VLOOKUP(A418,File!$A:$K,10,FALSE)</f>
        <v>In-Training</v>
      </c>
      <c r="L418" s="31" t="s">
        <v>4</v>
      </c>
      <c r="M418" t="str">
        <f>VLOOKUP(A418,Response!$A:$M,7,)</f>
        <v>PG (Paying Guest)</v>
      </c>
      <c r="N418" t="str">
        <f>VLOOKUP(A418,Response!$A:$M,8,)</f>
        <v>KNR gents PG, Egattur</v>
      </c>
      <c r="O418" s="4">
        <f>VLOOKUP(A418,Response!$A:$M,10,)</f>
        <v>1</v>
      </c>
      <c r="P418" t="str">
        <f>VLOOKUP(A418,Response!$A:$M,12,)</f>
        <v>No</v>
      </c>
      <c r="Q418" t="str">
        <f>VLOOKUP(A418,Response!$A:$M,11,)</f>
        <v>Siruseri</v>
      </c>
      <c r="R418" t="s">
        <v>19</v>
      </c>
      <c r="S418" s="39" t="s">
        <v>37</v>
      </c>
    </row>
    <row r="419" spans="1:19">
      <c r="A419" s="3">
        <v>2519631</v>
      </c>
      <c r="B419" t="str">
        <f>VLOOKUP(A419,File!$A:$J,2,FALSE)</f>
        <v>Ajay Kumar Reddy Gajjala</v>
      </c>
      <c r="C419" s="29">
        <f>VLOOKUP(A419,File!$A:$J,5,FALSE)</f>
        <v>46205</v>
      </c>
      <c r="D419" s="29" t="str">
        <f>VLOOKUP(A419,File!$A:$J,3,FALSE)</f>
        <v>Male</v>
      </c>
      <c r="E419" s="29" t="str">
        <f>VLOOKUP(A419,File!$A:$J,4,FALSE)</f>
        <v>FTE</v>
      </c>
      <c r="F419" s="29" t="str">
        <f>VLOOKUP(A419,File!$A:$J,6,FALSE)</f>
        <v>Chennai</v>
      </c>
      <c r="G419" s="29" t="str">
        <f>VLOOKUP(A419,File!$A:$J,7,FALSE)</f>
        <v>CIS26UNIX004</v>
      </c>
      <c r="H419" s="29" t="str">
        <f>VLOOKUP(A419,File!$A:$J,8,FALSE)</f>
        <v>Haritha P</v>
      </c>
      <c r="I419" s="31">
        <f>VLOOKUP(A419,File!$A:$J,9,FALSE)</f>
        <v>46289</v>
      </c>
      <c r="J419" s="31" t="str">
        <f>VLOOKUP(A419,File!$A:$K,11,FALSE)</f>
        <v>Sep 2026</v>
      </c>
      <c r="K419" s="31" t="str">
        <f>VLOOKUP(A419,File!$A:$K,10,FALSE)</f>
        <v>In-Training</v>
      </c>
      <c r="L419" s="31" t="s">
        <v>4</v>
      </c>
      <c r="M419" t="str">
        <f>VLOOKUP(A419,Response!$A:$M,7,)</f>
        <v>PG (Paying Guest)</v>
      </c>
      <c r="N419" t="str">
        <f>VLOOKUP(A419,Response!$A:$M,8,)</f>
        <v>KNR PG, Dr.Ambedkar Street, Egattur</v>
      </c>
      <c r="O419" s="4" t="str">
        <f>VLOOKUP(A419,Response!$A:$M,10,)</f>
        <v>GF</v>
      </c>
      <c r="P419" t="str">
        <f>VLOOKUP(A419,Response!$A:$M,12,)</f>
        <v>No</v>
      </c>
      <c r="Q419" t="str">
        <f>VLOOKUP(A419,Response!$A:$M,11,)</f>
        <v>Egattur</v>
      </c>
      <c r="R419" t="s">
        <v>19</v>
      </c>
      <c r="S419" s="39" t="s">
        <v>37</v>
      </c>
    </row>
    <row r="420" spans="1:19">
      <c r="A420" s="3">
        <v>2525045</v>
      </c>
      <c r="B420" t="str">
        <f>VLOOKUP(A420,File!$A:$J,2,FALSE)</f>
        <v>Shashwath V</v>
      </c>
      <c r="C420" s="29">
        <f>VLOOKUP(A420,File!$A:$J,5,FALSE)</f>
        <v>46226</v>
      </c>
      <c r="D420" s="29" t="str">
        <f>VLOOKUP(A420,File!$A:$J,3,FALSE)</f>
        <v>Male</v>
      </c>
      <c r="E420" s="29" t="str">
        <f>VLOOKUP(A420,File!$A:$J,4,FALSE)</f>
        <v>FTE</v>
      </c>
      <c r="F420" s="29" t="str">
        <f>VLOOKUP(A420,File!$A:$J,6,FALSE)</f>
        <v>Chennai</v>
      </c>
      <c r="G420" s="29" t="str">
        <f>VLOOKUP(A420,File!$A:$J,7,FALSE)</f>
        <v>ADM26ISMO010</v>
      </c>
      <c r="H420" s="29" t="str">
        <f>VLOOKUP(A420,File!$A:$J,8,FALSE)</f>
        <v>Thomas Naveen. J</v>
      </c>
      <c r="I420" s="31">
        <f>VLOOKUP(A420,File!$A:$J,9,FALSE)</f>
        <v>46301</v>
      </c>
      <c r="J420" s="31" t="str">
        <f>VLOOKUP(A420,File!$A:$K,11,FALSE)</f>
        <v>Oct 2026</v>
      </c>
      <c r="K420" s="31" t="str">
        <f>VLOOKUP(A420,File!$A:$K,10,FALSE)</f>
        <v>In-Training</v>
      </c>
      <c r="L420" s="31" t="s">
        <v>4</v>
      </c>
      <c r="M420" t="str">
        <f>VLOOKUP(A420,Response!$A:$M,7,)</f>
        <v>PG (Paying Guest)</v>
      </c>
      <c r="N420" t="str">
        <f>VLOOKUP(A420,Response!$A:$M,8,)</f>
        <v>K R Men PG</v>
      </c>
      <c r="O420" s="4">
        <f>VLOOKUP(A420,Response!$A:$M,10,)</f>
        <v>1</v>
      </c>
      <c r="P420" t="str">
        <f>VLOOKUP(A420,Response!$A:$M,12,)</f>
        <v>Yes</v>
      </c>
      <c r="Q420" t="str">
        <f>VLOOKUP(A420,Response!$A:$M,11,)</f>
        <v>Siruseri</v>
      </c>
      <c r="R420" t="s">
        <v>19</v>
      </c>
      <c r="S420" s="39" t="s">
        <v>37</v>
      </c>
    </row>
    <row r="421" spans="1:19">
      <c r="A421" s="3">
        <v>2520946</v>
      </c>
      <c r="B421" t="str">
        <f>VLOOKUP(A421,File!$A:$J,2,FALSE)</f>
        <v>Yugank Singh</v>
      </c>
      <c r="C421" s="29">
        <f>VLOOKUP(A421,File!$A:$J,5,FALSE)</f>
        <v>46210</v>
      </c>
      <c r="D421" s="29" t="str">
        <f>VLOOKUP(A421,File!$A:$J,3,FALSE)</f>
        <v>Male</v>
      </c>
      <c r="E421" s="29" t="str">
        <f>VLOOKUP(A421,File!$A:$J,4,FALSE)</f>
        <v>FTE</v>
      </c>
      <c r="F421" s="29" t="str">
        <f>VLOOKUP(A421,File!$A:$J,6,FALSE)</f>
        <v>Chennai</v>
      </c>
      <c r="G421" s="29" t="str">
        <f>VLOOKUP(A421,File!$A:$J,7,FALSE)</f>
        <v>EPS26WD004</v>
      </c>
      <c r="H421" s="29" t="str">
        <f>VLOOKUP(A421,File!$A:$J,8,FALSE)</f>
        <v>Ajith Ganesan</v>
      </c>
      <c r="I421" s="31">
        <f>VLOOKUP(A421,File!$A:$J,9,FALSE)</f>
        <v>46310</v>
      </c>
      <c r="J421" s="31" t="str">
        <f>VLOOKUP(A421,File!$A:$K,11,FALSE)</f>
        <v>Oct 2026</v>
      </c>
      <c r="K421" s="31" t="str">
        <f>VLOOKUP(A421,File!$A:$K,10,FALSE)</f>
        <v>In-Training</v>
      </c>
      <c r="L421" s="31" t="s">
        <v>4</v>
      </c>
      <c r="M421" t="str">
        <f>VLOOKUP(A421,Response!$A:$M,7,)</f>
        <v>PG (Paying Guest)</v>
      </c>
      <c r="N421" t="str">
        <f>VLOOKUP(A421,Response!$A:$M,8,)</f>
        <v>KR MEN’s PG</v>
      </c>
      <c r="O421" s="4">
        <f>VLOOKUP(A421,Response!$A:$M,10,)</f>
        <v>1</v>
      </c>
      <c r="P421" t="str">
        <f>VLOOKUP(A421,Response!$A:$M,12,)</f>
        <v>No</v>
      </c>
      <c r="Q421" t="str">
        <f>VLOOKUP(A421,Response!$A:$M,11,)</f>
        <v>Siruseri</v>
      </c>
      <c r="R421" t="s">
        <v>19</v>
      </c>
      <c r="S421" s="39" t="s">
        <v>37</v>
      </c>
    </row>
    <row r="422" spans="1:19">
      <c r="A422" s="3">
        <v>2521114</v>
      </c>
      <c r="B422" t="str">
        <f>VLOOKUP(A422,File!$A:$J,2,FALSE)</f>
        <v>Salugari Manoj</v>
      </c>
      <c r="C422" s="29">
        <f>VLOOKUP(A422,File!$A:$J,5,FALSE)</f>
        <v>46210</v>
      </c>
      <c r="D422" s="29" t="str">
        <f>VLOOKUP(A422,File!$A:$J,3,FALSE)</f>
        <v>Male</v>
      </c>
      <c r="E422" s="29" t="str">
        <f>VLOOKUP(A422,File!$A:$J,4,FALSE)</f>
        <v>FTE</v>
      </c>
      <c r="F422" s="29" t="str">
        <f>VLOOKUP(A422,File!$A:$J,6,FALSE)</f>
        <v>Chennai</v>
      </c>
      <c r="G422" s="29" t="str">
        <f>VLOOKUP(A422,File!$A:$J,7,FALSE)</f>
        <v>CIS26SN001</v>
      </c>
      <c r="H422" s="29" t="str">
        <f>VLOOKUP(A422,File!$A:$J,8,FALSE)</f>
        <v>Ashiya Begam S</v>
      </c>
      <c r="I422" s="31">
        <f>VLOOKUP(A422,File!$A:$J,9,FALSE)</f>
        <v>46303</v>
      </c>
      <c r="J422" s="31" t="str">
        <f>VLOOKUP(A422,File!$A:$K,11,FALSE)</f>
        <v>Oct 2026</v>
      </c>
      <c r="K422" s="31" t="str">
        <f>VLOOKUP(A422,File!$A:$K,10,FALSE)</f>
        <v>In-Training</v>
      </c>
      <c r="L422" s="31" t="s">
        <v>4</v>
      </c>
      <c r="M422" t="str">
        <f>VLOOKUP(A422,Response!$A:$M,7,)</f>
        <v>PG (Paying Guest)</v>
      </c>
      <c r="N422" t="str">
        <f>VLOOKUP(A422,Response!$A:$M,8,)</f>
        <v>KR MEN’s PG</v>
      </c>
      <c r="O422" s="4">
        <f>VLOOKUP(A422,Response!$A:$M,10,)</f>
        <v>4</v>
      </c>
      <c r="P422" t="str">
        <f>VLOOKUP(A422,Response!$A:$M,12,)</f>
        <v>No</v>
      </c>
      <c r="Q422" t="str">
        <f>VLOOKUP(A422,Response!$A:$M,11,)</f>
        <v>Egattur</v>
      </c>
      <c r="R422" t="s">
        <v>19</v>
      </c>
      <c r="S422" s="39" t="s">
        <v>37</v>
      </c>
    </row>
    <row r="423" spans="1:19">
      <c r="A423" s="3">
        <v>2520945</v>
      </c>
      <c r="B423" t="str">
        <f>VLOOKUP(A423,File!$A:$J,2,FALSE)</f>
        <v>Likhith Kumar Arigala</v>
      </c>
      <c r="C423" s="29">
        <f>VLOOKUP(A423,File!$A:$J,5,FALSE)</f>
        <v>46210</v>
      </c>
      <c r="D423" s="29" t="str">
        <f>VLOOKUP(A423,File!$A:$J,3,FALSE)</f>
        <v>Male</v>
      </c>
      <c r="E423" s="29" t="str">
        <f>VLOOKUP(A423,File!$A:$J,4,FALSE)</f>
        <v>FTE</v>
      </c>
      <c r="F423" s="29" t="str">
        <f>VLOOKUP(A423,File!$A:$J,6,FALSE)</f>
        <v>Chennai</v>
      </c>
      <c r="G423" s="29" t="str">
        <f>VLOOKUP(A423,File!$A:$J,7,FALSE)</f>
        <v>CM26SFDC006</v>
      </c>
      <c r="H423" s="29" t="str">
        <f>VLOOKUP(A423,File!$A:$J,8,FALSE)</f>
        <v>Gayathri Ramachandran</v>
      </c>
      <c r="I423" s="31">
        <f>VLOOKUP(A423,File!$A:$J,9,FALSE)</f>
        <v>46337</v>
      </c>
      <c r="J423" s="31" t="str">
        <f>VLOOKUP(A423,File!$A:$K,11,FALSE)</f>
        <v>Nov 2026</v>
      </c>
      <c r="K423" s="31" t="str">
        <f>VLOOKUP(A423,File!$A:$K,10,FALSE)</f>
        <v>In-Training</v>
      </c>
      <c r="L423" s="31" t="s">
        <v>4</v>
      </c>
      <c r="M423" t="str">
        <f>VLOOKUP(A423,Response!$A:$M,7,)</f>
        <v>PG (Paying Guest)</v>
      </c>
      <c r="N423" t="str">
        <f>VLOOKUP(A423,Response!$A:$M,8,)</f>
        <v>Kr men’s PG ,Egattur</v>
      </c>
      <c r="O423" s="4">
        <f>VLOOKUP(A423,Response!$A:$M,10,)</f>
        <v>5</v>
      </c>
      <c r="P423" t="str">
        <f>VLOOKUP(A423,Response!$A:$M,12,)</f>
        <v>No</v>
      </c>
      <c r="Q423" t="str">
        <f>VLOOKUP(A423,Response!$A:$M,11,)</f>
        <v>Siruseri</v>
      </c>
      <c r="R423" t="s">
        <v>19</v>
      </c>
      <c r="S423" s="39" t="s">
        <v>37</v>
      </c>
    </row>
    <row r="424" spans="1:19">
      <c r="A424" s="3">
        <v>2521275</v>
      </c>
      <c r="B424" t="str">
        <f>VLOOKUP(A424,File!$A:$J,2,FALSE)</f>
        <v>Prasanna Suresh Gandhi</v>
      </c>
      <c r="C424" s="29">
        <f>VLOOKUP(A424,File!$A:$J,5,FALSE)</f>
        <v>46210</v>
      </c>
      <c r="D424" s="29" t="str">
        <f>VLOOKUP(A424,File!$A:$J,3,FALSE)</f>
        <v>Male</v>
      </c>
      <c r="E424" s="29" t="str">
        <f>VLOOKUP(A424,File!$A:$J,4,FALSE)</f>
        <v>FTE</v>
      </c>
      <c r="F424" s="29" t="str">
        <f>VLOOKUP(A424,File!$A:$J,6,FALSE)</f>
        <v>Chennai</v>
      </c>
      <c r="G424" s="29" t="str">
        <f>VLOOKUP(A424,File!$A:$J,7,FALSE)</f>
        <v>CS26CS007</v>
      </c>
      <c r="H424" s="29" t="str">
        <f>VLOOKUP(A424,File!$A:$J,8,FALSE)</f>
        <v>Lawrance M</v>
      </c>
      <c r="I424" s="31">
        <f>VLOOKUP(A424,File!$A:$J,9,FALSE)</f>
        <v>46272</v>
      </c>
      <c r="J424" s="31" t="str">
        <f>VLOOKUP(A424,File!$A:$K,11,FALSE)</f>
        <v>Sep 2026</v>
      </c>
      <c r="K424" s="31" t="str">
        <f>VLOOKUP(A424,File!$A:$K,10,FALSE)</f>
        <v>In-Training</v>
      </c>
      <c r="L424" s="31" t="s">
        <v>4</v>
      </c>
      <c r="M424" t="str">
        <f>VLOOKUP(A424,Response!$A:$M,7,)</f>
        <v>PG (Paying Guest)</v>
      </c>
      <c r="N424" t="str">
        <f>VLOOKUP(A424,Response!$A:$M,8,)</f>
        <v>KR Mens PG</v>
      </c>
      <c r="O424" s="4">
        <f>VLOOKUP(A424,Response!$A:$M,10,)</f>
        <v>3</v>
      </c>
      <c r="P424" t="str">
        <f>VLOOKUP(A424,Response!$A:$M,12,)</f>
        <v>No</v>
      </c>
      <c r="Q424" t="str">
        <f>VLOOKUP(A424,Response!$A:$M,11,)</f>
        <v>Siruseri</v>
      </c>
      <c r="R424" t="s">
        <v>19</v>
      </c>
      <c r="S424" s="39" t="s">
        <v>37</v>
      </c>
    </row>
    <row r="425" spans="1:19">
      <c r="A425" s="3">
        <v>2529649</v>
      </c>
      <c r="B425" t="str">
        <f>VLOOKUP(A425,File!$A:$J,2,FALSE)</f>
        <v>Navjyot Singh</v>
      </c>
      <c r="C425" s="29">
        <f>VLOOKUP(A425,File!$A:$J,5,FALSE)</f>
        <v>46245</v>
      </c>
      <c r="D425" s="29" t="str">
        <f>VLOOKUP(A425,File!$A:$J,3,FALSE)</f>
        <v>Male</v>
      </c>
      <c r="E425" s="29" t="str">
        <f>VLOOKUP(A425,File!$A:$J,4,FALSE)</f>
        <v>FTE</v>
      </c>
      <c r="F425" s="29" t="str">
        <f>VLOOKUP(A425,File!$A:$J,6,FALSE)</f>
        <v>Chennai</v>
      </c>
      <c r="G425" s="29" t="str">
        <f>VLOOKUP(A425,File!$A:$J,7,FALSE)</f>
        <v>CIS26MCPT025</v>
      </c>
      <c r="H425" s="29" t="str">
        <f>VLOOKUP(A425,File!$A:$J,8,FALSE)</f>
        <v>Vignesh S</v>
      </c>
      <c r="I425" s="31">
        <f>VLOOKUP(A425,File!$A:$J,9,FALSE)</f>
        <v>46359</v>
      </c>
      <c r="J425" s="31" t="str">
        <f>VLOOKUP(A425,File!$A:$K,11,FALSE)</f>
        <v>Dec 2026</v>
      </c>
      <c r="K425" s="31" t="str">
        <f>VLOOKUP(A425,File!$A:$K,10,FALSE)</f>
        <v>In-Training</v>
      </c>
      <c r="L425" s="31" t="s">
        <v>4</v>
      </c>
      <c r="M425" t="str">
        <f>VLOOKUP(A425,Response!$A:$M,7,)</f>
        <v>PG (Paying Guest)</v>
      </c>
      <c r="N425" t="str">
        <f>VLOOKUP(A425,Response!$A:$M,8,)</f>
        <v>kr mens pg</v>
      </c>
      <c r="O425" s="4">
        <f>VLOOKUP(A425,Response!$A:$M,10,)</f>
        <v>4</v>
      </c>
      <c r="P425" t="str">
        <f>VLOOKUP(A425,Response!$A:$M,12,)</f>
        <v>No</v>
      </c>
      <c r="Q425" t="str">
        <f>VLOOKUP(A425,Response!$A:$M,11,)</f>
        <v>Siruseri</v>
      </c>
      <c r="R425" t="s">
        <v>19</v>
      </c>
      <c r="S425" s="39" t="s">
        <v>37</v>
      </c>
    </row>
    <row r="426" spans="1:19">
      <c r="A426" s="3">
        <v>2520977</v>
      </c>
      <c r="B426" t="str">
        <f>VLOOKUP(A426,File!$A:$J,2,FALSE)</f>
        <v>Sanket Hemraj Appa</v>
      </c>
      <c r="C426" s="29">
        <f>VLOOKUP(A426,File!$A:$J,5,FALSE)</f>
        <v>46210</v>
      </c>
      <c r="D426" s="29" t="str">
        <f>VLOOKUP(A426,File!$A:$J,3,FALSE)</f>
        <v>Male</v>
      </c>
      <c r="E426" s="29" t="str">
        <f>VLOOKUP(A426,File!$A:$J,4,FALSE)</f>
        <v>FTE</v>
      </c>
      <c r="F426" s="29" t="str">
        <f>VLOOKUP(A426,File!$A:$J,6,FALSE)</f>
        <v>Chennai</v>
      </c>
      <c r="G426" s="29" t="str">
        <f>VLOOKUP(A426,File!$A:$J,7,FALSE)</f>
        <v>CS26CS008</v>
      </c>
      <c r="H426" s="29" t="str">
        <f>VLOOKUP(A426,File!$A:$J,8,FALSE)</f>
        <v>Kishorekumar P</v>
      </c>
      <c r="I426" s="31">
        <f>VLOOKUP(A426,File!$A:$J,9,FALSE)</f>
        <v>46323</v>
      </c>
      <c r="J426" s="31" t="str">
        <f>VLOOKUP(A426,File!$A:$K,11,FALSE)</f>
        <v>Oct 2026</v>
      </c>
      <c r="K426" s="31" t="str">
        <f>VLOOKUP(A426,File!$A:$K,10,FALSE)</f>
        <v>In-Training</v>
      </c>
      <c r="L426" s="31" t="s">
        <v>4</v>
      </c>
      <c r="M426" t="str">
        <f>VLOOKUP(A426,Response!$A:$M,7,)</f>
        <v>PG (Paying Guest)</v>
      </c>
      <c r="N426" t="str">
        <f>VLOOKUP(A426,Response!$A:$M,8,)</f>
        <v>KR MENS PG</v>
      </c>
      <c r="O426" s="4">
        <f>VLOOKUP(A426,Response!$A:$M,10,)</f>
        <v>4</v>
      </c>
      <c r="P426" t="str">
        <f>VLOOKUP(A426,Response!$A:$M,12,)</f>
        <v>Yes</v>
      </c>
      <c r="Q426" t="str">
        <f>VLOOKUP(A426,Response!$A:$M,11,)</f>
        <v>Siruseri</v>
      </c>
      <c r="R426" t="s">
        <v>19</v>
      </c>
      <c r="S426" s="39" t="s">
        <v>37</v>
      </c>
    </row>
    <row r="427" spans="1:19">
      <c r="A427" s="3">
        <v>2520937</v>
      </c>
      <c r="B427" t="str">
        <f>VLOOKUP(A427,File!$A:$J,2,FALSE)</f>
        <v>Satish Adapa</v>
      </c>
      <c r="C427" s="29">
        <f>VLOOKUP(A427,File!$A:$J,5,FALSE)</f>
        <v>46210</v>
      </c>
      <c r="D427" s="29" t="str">
        <f>VLOOKUP(A427,File!$A:$J,3,FALSE)</f>
        <v>Male</v>
      </c>
      <c r="E427" s="29" t="str">
        <f>VLOOKUP(A427,File!$A:$J,4,FALSE)</f>
        <v>FTE</v>
      </c>
      <c r="F427" s="29" t="str">
        <f>VLOOKUP(A427,File!$A:$J,6,FALSE)</f>
        <v>Chennai</v>
      </c>
      <c r="G427" s="29" t="str">
        <f>VLOOKUP(A427,File!$A:$J,7,FALSE)</f>
        <v>EPS26WD004</v>
      </c>
      <c r="H427" s="29" t="str">
        <f>VLOOKUP(A427,File!$A:$J,8,FALSE)</f>
        <v>Ajith Ganesan</v>
      </c>
      <c r="I427" s="31">
        <f>VLOOKUP(A427,File!$A:$J,9,FALSE)</f>
        <v>46310</v>
      </c>
      <c r="J427" s="31" t="str">
        <f>VLOOKUP(A427,File!$A:$K,11,FALSE)</f>
        <v>Oct 2026</v>
      </c>
      <c r="K427" s="31" t="str">
        <f>VLOOKUP(A427,File!$A:$K,10,FALSE)</f>
        <v>In-Training</v>
      </c>
      <c r="L427" s="31" t="s">
        <v>4</v>
      </c>
      <c r="M427" t="str">
        <f>VLOOKUP(A427,Response!$A:$M,7,)</f>
        <v>PG (Paying Guest)</v>
      </c>
      <c r="N427" t="str">
        <f>VLOOKUP(A427,Response!$A:$M,8,)</f>
        <v>KR Mens PG</v>
      </c>
      <c r="O427" s="4">
        <f>VLOOKUP(A427,Response!$A:$M,10,)</f>
        <v>5</v>
      </c>
      <c r="P427" t="str">
        <f>VLOOKUP(A427,Response!$A:$M,12,)</f>
        <v>No</v>
      </c>
      <c r="Q427" t="str">
        <f>VLOOKUP(A427,Response!$A:$M,11,)</f>
        <v>Siruseri</v>
      </c>
      <c r="R427" t="s">
        <v>19</v>
      </c>
      <c r="S427" s="39" t="s">
        <v>37</v>
      </c>
    </row>
    <row r="428" spans="1:19">
      <c r="A428" s="3">
        <v>2521083</v>
      </c>
      <c r="B428" t="str">
        <f>VLOOKUP(A428,File!$A:$J,2,FALSE)</f>
        <v>Krishnakumar N</v>
      </c>
      <c r="C428" s="29">
        <f>VLOOKUP(A428,File!$A:$J,5,FALSE)</f>
        <v>46210</v>
      </c>
      <c r="D428" s="29" t="str">
        <f>VLOOKUP(A428,File!$A:$J,3,FALSE)</f>
        <v>Male</v>
      </c>
      <c r="E428" s="29" t="str">
        <f>VLOOKUP(A428,File!$A:$J,4,FALSE)</f>
        <v>FTE</v>
      </c>
      <c r="F428" s="29" t="str">
        <f>VLOOKUP(A428,File!$A:$J,6,FALSE)</f>
        <v>Chennai</v>
      </c>
      <c r="G428" s="29" t="str">
        <f>VLOOKUP(A428,File!$A:$J,7,FALSE)</f>
        <v>HPC26DN005</v>
      </c>
      <c r="H428" s="29" t="str">
        <f>VLOOKUP(A428,File!$A:$J,8,FALSE)</f>
        <v>Viveka Preethi</v>
      </c>
      <c r="I428" s="31">
        <f>VLOOKUP(A428,File!$A:$J,9,FALSE)</f>
        <v>46296</v>
      </c>
      <c r="J428" s="31" t="str">
        <f>VLOOKUP(A428,File!$A:$K,11,FALSE)</f>
        <v>Oct 2026</v>
      </c>
      <c r="K428" s="31" t="str">
        <f>VLOOKUP(A428,File!$A:$K,10,FALSE)</f>
        <v>In-Training</v>
      </c>
      <c r="L428" s="31" t="s">
        <v>4</v>
      </c>
      <c r="M428" t="str">
        <f>VLOOKUP(A428,Response!$A:$M,7,)</f>
        <v>PG (Paying Guest)</v>
      </c>
      <c r="N428" t="str">
        <f>VLOOKUP(A428,Response!$A:$M,8,)</f>
        <v>KR Mens PG</v>
      </c>
      <c r="O428" s="4">
        <f>VLOOKUP(A428,Response!$A:$M,10,)</f>
        <v>5</v>
      </c>
      <c r="P428" t="str">
        <f>VLOOKUP(A428,Response!$A:$M,12,)</f>
        <v>Yes</v>
      </c>
      <c r="Q428" t="str">
        <f>VLOOKUP(A428,Response!$A:$M,11,)</f>
        <v>Siruseri</v>
      </c>
      <c r="R428" t="s">
        <v>19</v>
      </c>
      <c r="S428" s="39" t="s">
        <v>37</v>
      </c>
    </row>
    <row r="429" spans="1:19">
      <c r="A429" s="3">
        <v>2521283</v>
      </c>
      <c r="B429" t="str">
        <f>VLOOKUP(A429,File!$A:$J,2,FALSE)</f>
        <v>Vigneshwaran LNU</v>
      </c>
      <c r="C429" s="29">
        <f>VLOOKUP(A429,File!$A:$J,5,FALSE)</f>
        <v>46210</v>
      </c>
      <c r="D429" s="29" t="str">
        <f>VLOOKUP(A429,File!$A:$J,3,FALSE)</f>
        <v>Male</v>
      </c>
      <c r="E429" s="29" t="str">
        <f>VLOOKUP(A429,File!$A:$J,4,FALSE)</f>
        <v>FTE</v>
      </c>
      <c r="F429" s="29" t="str">
        <f>VLOOKUP(A429,File!$A:$J,6,FALSE)</f>
        <v>Chennai</v>
      </c>
      <c r="G429" s="29" t="str">
        <f>VLOOKUP(A429,File!$A:$J,7,FALSE)</f>
        <v>CS26CS007</v>
      </c>
      <c r="H429" s="29" t="str">
        <f>VLOOKUP(A429,File!$A:$J,8,FALSE)</f>
        <v>Lawrance M</v>
      </c>
      <c r="I429" s="31">
        <f>VLOOKUP(A429,File!$A:$J,9,FALSE)</f>
        <v>46272</v>
      </c>
      <c r="J429" s="31" t="str">
        <f>VLOOKUP(A429,File!$A:$K,11,FALSE)</f>
        <v>Sep 2026</v>
      </c>
      <c r="K429" s="31" t="str">
        <f>VLOOKUP(A429,File!$A:$K,10,FALSE)</f>
        <v>In-Training</v>
      </c>
      <c r="L429" s="31" t="s">
        <v>4</v>
      </c>
      <c r="M429" t="str">
        <f>VLOOKUP(A429,Response!$A:$M,7,)</f>
        <v>PG (Paying Guest)</v>
      </c>
      <c r="N429" t="str">
        <f>VLOOKUP(A429,Response!$A:$M,8,)</f>
        <v>KR Mens PG</v>
      </c>
      <c r="O429" s="4">
        <f>VLOOKUP(A429,Response!$A:$M,10,)</f>
        <v>5</v>
      </c>
      <c r="P429" t="str">
        <f>VLOOKUP(A429,Response!$A:$M,12,)</f>
        <v>No</v>
      </c>
      <c r="Q429" t="str">
        <f>VLOOKUP(A429,Response!$A:$M,11,)</f>
        <v>Siruseri</v>
      </c>
      <c r="R429" t="s">
        <v>19</v>
      </c>
      <c r="S429" s="39" t="s">
        <v>37</v>
      </c>
    </row>
    <row r="430" spans="1:19">
      <c r="A430" s="3">
        <v>2521298</v>
      </c>
      <c r="B430" t="str">
        <f>VLOOKUP(A430,File!$A:$J,2,FALSE)</f>
        <v>Ishan Jayant Walchale</v>
      </c>
      <c r="C430" s="29">
        <f>VLOOKUP(A430,File!$A:$J,5,FALSE)</f>
        <v>46210</v>
      </c>
      <c r="D430" s="29" t="str">
        <f>VLOOKUP(A430,File!$A:$J,3,FALSE)</f>
        <v>Male</v>
      </c>
      <c r="E430" s="29" t="str">
        <f>VLOOKUP(A430,File!$A:$J,4,FALSE)</f>
        <v>FTE</v>
      </c>
      <c r="F430" s="29" t="str">
        <f>VLOOKUP(A430,File!$A:$J,6,FALSE)</f>
        <v>Chennai</v>
      </c>
      <c r="G430" s="29" t="str">
        <f>VLOOKUP(A430,File!$A:$J,7,FALSE)</f>
        <v>CS26CS007</v>
      </c>
      <c r="H430" s="29" t="str">
        <f>VLOOKUP(A430,File!$A:$J,8,FALSE)</f>
        <v>Lawrance M</v>
      </c>
      <c r="I430" s="31">
        <f>VLOOKUP(A430,File!$A:$J,9,FALSE)</f>
        <v>46272</v>
      </c>
      <c r="J430" s="31" t="str">
        <f>VLOOKUP(A430,File!$A:$K,11,FALSE)</f>
        <v>Sep 2026</v>
      </c>
      <c r="K430" s="31" t="str">
        <f>VLOOKUP(A430,File!$A:$K,10,FALSE)</f>
        <v>In-Training</v>
      </c>
      <c r="L430" s="31" t="s">
        <v>4</v>
      </c>
      <c r="M430" t="str">
        <f>VLOOKUP(A430,Response!$A:$M,7,)</f>
        <v>PG (Paying Guest)</v>
      </c>
      <c r="N430" t="str">
        <f>VLOOKUP(A430,Response!$A:$M,8,)</f>
        <v xml:space="preserve">KR Mens PG </v>
      </c>
      <c r="O430" s="4">
        <f>VLOOKUP(A430,Response!$A:$M,10,)</f>
        <v>3</v>
      </c>
      <c r="P430" t="str">
        <f>VLOOKUP(A430,Response!$A:$M,12,)</f>
        <v>No</v>
      </c>
      <c r="Q430" t="str">
        <f>VLOOKUP(A430,Response!$A:$M,11,)</f>
        <v>Siruseri</v>
      </c>
      <c r="R430" t="s">
        <v>19</v>
      </c>
      <c r="S430" s="39" t="s">
        <v>37</v>
      </c>
    </row>
    <row r="431" spans="1:19">
      <c r="A431" s="3">
        <v>2521064</v>
      </c>
      <c r="B431" t="str">
        <f>VLOOKUP(A431,File!$A:$J,2,FALSE)</f>
        <v>M A Imran Hafeez</v>
      </c>
      <c r="C431" s="29">
        <f>VLOOKUP(A431,File!$A:$J,5,FALSE)</f>
        <v>46210</v>
      </c>
      <c r="D431" s="29" t="str">
        <f>VLOOKUP(A431,File!$A:$J,3,FALSE)</f>
        <v>Male</v>
      </c>
      <c r="E431" s="29" t="str">
        <f>VLOOKUP(A431,File!$A:$J,4,FALSE)</f>
        <v>FTE</v>
      </c>
      <c r="F431" s="29" t="str">
        <f>VLOOKUP(A431,File!$A:$J,6,FALSE)</f>
        <v>Chennai</v>
      </c>
      <c r="G431" s="29" t="str">
        <f>VLOOKUP(A431,File!$A:$J,7,FALSE)</f>
        <v>SNBG26SN003</v>
      </c>
      <c r="H431" s="29" t="str">
        <f>VLOOKUP(A431,File!$A:$J,8,FALSE)</f>
        <v>Lawrance M</v>
      </c>
      <c r="I431" s="31">
        <f>VLOOKUP(A431,File!$A:$J,9,FALSE)</f>
        <v>46303</v>
      </c>
      <c r="J431" s="31" t="str">
        <f>VLOOKUP(A431,File!$A:$K,11,FALSE)</f>
        <v>Oct 2026</v>
      </c>
      <c r="K431" s="31" t="str">
        <f>VLOOKUP(A431,File!$A:$K,10,FALSE)</f>
        <v>In-Training</v>
      </c>
      <c r="L431" s="31" t="s">
        <v>4</v>
      </c>
      <c r="M431" t="str">
        <f>VLOOKUP(A431,Response!$A:$M,7,)</f>
        <v>PG (Paying Guest)</v>
      </c>
      <c r="N431" t="str">
        <f>VLOOKUP(A431,Response!$A:$M,8,)</f>
        <v xml:space="preserve">KR mens pg </v>
      </c>
      <c r="O431" s="4">
        <f>VLOOKUP(A431,Response!$A:$M,10,)</f>
        <v>4</v>
      </c>
      <c r="P431" t="str">
        <f>VLOOKUP(A431,Response!$A:$M,12,)</f>
        <v>No</v>
      </c>
      <c r="Q431" t="str">
        <f>VLOOKUP(A431,Response!$A:$M,11,)</f>
        <v>Egattur</v>
      </c>
      <c r="R431" t="s">
        <v>19</v>
      </c>
      <c r="S431" s="39" t="s">
        <v>37</v>
      </c>
    </row>
    <row r="432" spans="1:19">
      <c r="A432" s="3">
        <v>2523418</v>
      </c>
      <c r="B432" t="str">
        <f>VLOOKUP(A432,File!$A:$J,2,FALSE)</f>
        <v>Saurabh Shriram Jagare</v>
      </c>
      <c r="C432" s="29">
        <f>VLOOKUP(A432,File!$A:$J,5,FALSE)</f>
        <v>46219</v>
      </c>
      <c r="D432" s="29" t="str">
        <f>VLOOKUP(A432,File!$A:$J,3,FALSE)</f>
        <v>Male</v>
      </c>
      <c r="E432" s="29" t="str">
        <f>VLOOKUP(A432,File!$A:$J,4,FALSE)</f>
        <v>FTE</v>
      </c>
      <c r="F432" s="29" t="str">
        <f>VLOOKUP(A432,File!$A:$J,6,FALSE)</f>
        <v>Chennai</v>
      </c>
      <c r="G432" s="29" t="str">
        <f>VLOOKUP(A432,File!$A:$J,7,FALSE)</f>
        <v>PG26JFR004</v>
      </c>
      <c r="H432" s="29" t="str">
        <f>VLOOKUP(A432,File!$A:$J,8,FALSE)</f>
        <v>Thomas Naveen. J</v>
      </c>
      <c r="I432" s="31">
        <f>VLOOKUP(A432,File!$A:$J,9,FALSE)</f>
        <v>46342</v>
      </c>
      <c r="J432" s="31" t="str">
        <f>VLOOKUP(A432,File!$A:$K,11,FALSE)</f>
        <v>Nov 2026</v>
      </c>
      <c r="K432" s="31" t="str">
        <f>VLOOKUP(A432,File!$A:$K,10,FALSE)</f>
        <v>In-Training</v>
      </c>
      <c r="L432" s="31" t="s">
        <v>4</v>
      </c>
      <c r="M432" t="str">
        <f>VLOOKUP(A432,Response!$A:$M,7,)</f>
        <v>PG (Paying Guest)</v>
      </c>
      <c r="N432" t="str">
        <f>VLOOKUP(A432,Response!$A:$M,8,)</f>
        <v>KR Mens PG - Branch 1, Egattur</v>
      </c>
      <c r="O432" s="4">
        <f>VLOOKUP(A432,Response!$A:$M,10,)</f>
        <v>4</v>
      </c>
      <c r="P432" t="str">
        <f>VLOOKUP(A432,Response!$A:$M,12,)</f>
        <v>No</v>
      </c>
      <c r="Q432" t="str">
        <f>VLOOKUP(A432,Response!$A:$M,11,)</f>
        <v>Siruseri</v>
      </c>
      <c r="R432" t="s">
        <v>19</v>
      </c>
      <c r="S432" s="39" t="s">
        <v>37</v>
      </c>
    </row>
    <row r="433" spans="1:19">
      <c r="A433" s="3">
        <v>2530212</v>
      </c>
      <c r="B433" t="str">
        <f>VLOOKUP(A433,File!$A:$J,2,FALSE)</f>
        <v>Vicky Gupta</v>
      </c>
      <c r="C433" s="29">
        <f>VLOOKUP(A433,File!$A:$J,5,FALSE)</f>
        <v>46247</v>
      </c>
      <c r="D433" s="29" t="str">
        <f>VLOOKUP(A433,File!$A:$J,3,FALSE)</f>
        <v>Male</v>
      </c>
      <c r="E433" s="29" t="str">
        <f>VLOOKUP(A433,File!$A:$J,4,FALSE)</f>
        <v>FTE</v>
      </c>
      <c r="F433" s="29" t="str">
        <f>VLOOKUP(A433,File!$A:$J,6,FALSE)</f>
        <v>Chennai</v>
      </c>
      <c r="G433" s="29" t="str">
        <f>VLOOKUP(A433,File!$A:$J,7,FALSE)</f>
        <v>EPS26OSPPRO001</v>
      </c>
      <c r="H433" s="29" t="str">
        <f>VLOOKUP(A433,File!$A:$J,8,FALSE)</f>
        <v>Gayathri Ramachandran</v>
      </c>
      <c r="I433" s="31">
        <f>VLOOKUP(A433,File!$A:$J,9,FALSE)</f>
        <v>46363</v>
      </c>
      <c r="J433" s="31" t="str">
        <f>VLOOKUP(A433,File!$A:$K,11,FALSE)</f>
        <v>Dec 2026</v>
      </c>
      <c r="K433" s="31" t="str">
        <f>VLOOKUP(A433,File!$A:$K,10,FALSE)</f>
        <v>In-Training</v>
      </c>
      <c r="L433" s="31" t="s">
        <v>4</v>
      </c>
      <c r="M433" t="str">
        <f>VLOOKUP(A433,Response!$A:$M,7,)</f>
        <v>PG (Paying Guest)</v>
      </c>
      <c r="N433" t="str">
        <f>VLOOKUP(A433,Response!$A:$M,8,)</f>
        <v xml:space="preserve">KR Mens PG Egattur </v>
      </c>
      <c r="O433" s="4">
        <f>VLOOKUP(A433,Response!$A:$M,10,)</f>
        <v>1</v>
      </c>
      <c r="P433" t="str">
        <f>VLOOKUP(A433,Response!$A:$M,12,)</f>
        <v>No</v>
      </c>
      <c r="Q433" t="str">
        <f>VLOOKUP(A433,Response!$A:$M,11,)</f>
        <v>Egattur</v>
      </c>
      <c r="R433" t="s">
        <v>19</v>
      </c>
      <c r="S433" s="39" t="s">
        <v>37</v>
      </c>
    </row>
    <row r="434" spans="1:19">
      <c r="A434" s="3">
        <v>2531864</v>
      </c>
      <c r="B434" t="str">
        <f>VLOOKUP(A434,File!$A:$J,2,FALSE)</f>
        <v>Kishor D</v>
      </c>
      <c r="C434" s="29">
        <f>VLOOKUP(A434,File!$A:$J,5,FALSE)</f>
        <v>46254</v>
      </c>
      <c r="D434" s="29" t="str">
        <f>VLOOKUP(A434,File!$A:$J,3,FALSE)</f>
        <v>Male</v>
      </c>
      <c r="E434" s="29" t="str">
        <f>VLOOKUP(A434,File!$A:$J,4,FALSE)</f>
        <v>FTE</v>
      </c>
      <c r="F434" s="29" t="str">
        <f>VLOOKUP(A434,File!$A:$J,6,FALSE)</f>
        <v>Chennai</v>
      </c>
      <c r="G434" s="29" t="str">
        <f>VLOOKUP(A434,File!$A:$J,7,FALSE)</f>
        <v>CS26CS012</v>
      </c>
      <c r="H434" s="29" t="str">
        <f>VLOOKUP(A434,File!$A:$J,8,FALSE)</f>
        <v>Laksiya Vijayendran</v>
      </c>
      <c r="I434" s="31">
        <f>VLOOKUP(A434,File!$A:$J,9,FALSE)</f>
        <v>46343</v>
      </c>
      <c r="J434" s="31" t="str">
        <f>VLOOKUP(A434,File!$A:$K,11,FALSE)</f>
        <v>Nov 2026</v>
      </c>
      <c r="K434" s="31" t="str">
        <f>VLOOKUP(A434,File!$A:$K,10,FALSE)</f>
        <v>In-Training</v>
      </c>
      <c r="L434" s="31" t="s">
        <v>4</v>
      </c>
      <c r="M434" t="str">
        <f>VLOOKUP(A434,Response!$A:$M,7,)</f>
        <v>PG (Paying Guest)</v>
      </c>
      <c r="N434" t="str">
        <f>VLOOKUP(A434,Response!$A:$M,8,)</f>
        <v>Kr mens pg Kazhipattur</v>
      </c>
      <c r="O434" s="4">
        <f>VLOOKUP(A434,Response!$A:$M,10,)</f>
        <v>1</v>
      </c>
      <c r="P434" t="str">
        <f>VLOOKUP(A434,Response!$A:$M,12,)</f>
        <v>No</v>
      </c>
      <c r="Q434" t="str">
        <f>VLOOKUP(A434,Response!$A:$M,11,)</f>
        <v>Siruseri</v>
      </c>
      <c r="R434" t="s">
        <v>19</v>
      </c>
      <c r="S434" s="39" t="s">
        <v>37</v>
      </c>
    </row>
    <row r="435" spans="1:19">
      <c r="A435" s="3">
        <v>2520984</v>
      </c>
      <c r="B435" t="str">
        <f>VLOOKUP(A435,File!$A:$J,2,FALSE)</f>
        <v>Devansh Upadhyay</v>
      </c>
      <c r="C435" s="29">
        <f>VLOOKUP(A435,File!$A:$J,5,FALSE)</f>
        <v>46210</v>
      </c>
      <c r="D435" s="29" t="str">
        <f>VLOOKUP(A435,File!$A:$J,3,FALSE)</f>
        <v>Male</v>
      </c>
      <c r="E435" s="29" t="str">
        <f>VLOOKUP(A435,File!$A:$J,4,FALSE)</f>
        <v>FTE</v>
      </c>
      <c r="F435" s="29" t="str">
        <f>VLOOKUP(A435,File!$A:$J,6,FALSE)</f>
        <v>Chennai</v>
      </c>
      <c r="G435" s="29" t="str">
        <f>VLOOKUP(A435,File!$A:$J,7,FALSE)</f>
        <v>HPC26DN005</v>
      </c>
      <c r="H435" s="29" t="str">
        <f>VLOOKUP(A435,File!$A:$J,8,FALSE)</f>
        <v>Viveka Preethi</v>
      </c>
      <c r="I435" s="31">
        <f>VLOOKUP(A435,File!$A:$J,9,FALSE)</f>
        <v>46296</v>
      </c>
      <c r="J435" s="31" t="str">
        <f>VLOOKUP(A435,File!$A:$K,11,FALSE)</f>
        <v>Oct 2026</v>
      </c>
      <c r="K435" s="31" t="str">
        <f>VLOOKUP(A435,File!$A:$K,10,FALSE)</f>
        <v>In-Training</v>
      </c>
      <c r="L435" s="31" t="s">
        <v>4</v>
      </c>
      <c r="M435" t="str">
        <f>VLOOKUP(A435,Response!$A:$M,7,)</f>
        <v>PG (Paying Guest)</v>
      </c>
      <c r="N435" t="str">
        <f>VLOOKUP(A435,Response!$A:$M,8,)</f>
        <v>Kr Mens PG Siruseri</v>
      </c>
      <c r="O435" s="4">
        <f>VLOOKUP(A435,Response!$A:$M,10,)</f>
        <v>4</v>
      </c>
      <c r="P435" t="str">
        <f>VLOOKUP(A435,Response!$A:$M,12,)</f>
        <v>No</v>
      </c>
      <c r="Q435" t="str">
        <f>VLOOKUP(A435,Response!$A:$M,11,)</f>
        <v>Siruseri</v>
      </c>
      <c r="R435" t="s">
        <v>19</v>
      </c>
      <c r="S435" s="39" t="s">
        <v>37</v>
      </c>
    </row>
    <row r="436" spans="1:19">
      <c r="A436" s="3">
        <v>2521142</v>
      </c>
      <c r="B436" t="str">
        <f>VLOOKUP(A436,File!$A:$J,2,FALSE)</f>
        <v>Aimad Sarwar</v>
      </c>
      <c r="C436" s="29">
        <f>VLOOKUP(A436,File!$A:$J,5,FALSE)</f>
        <v>46210</v>
      </c>
      <c r="D436" s="29" t="str">
        <f>VLOOKUP(A436,File!$A:$J,3,FALSE)</f>
        <v>Male</v>
      </c>
      <c r="E436" s="29" t="str">
        <f>VLOOKUP(A436,File!$A:$J,4,FALSE)</f>
        <v>FTE</v>
      </c>
      <c r="F436" s="29" t="str">
        <f>VLOOKUP(A436,File!$A:$J,6,FALSE)</f>
        <v>Chennai</v>
      </c>
      <c r="G436" s="29" t="str">
        <f>VLOOKUP(A436,File!$A:$J,7,FALSE)</f>
        <v>CS26CS007</v>
      </c>
      <c r="H436" s="29" t="str">
        <f>VLOOKUP(A436,File!$A:$J,8,FALSE)</f>
        <v>Lawrance M</v>
      </c>
      <c r="I436" s="31">
        <f>VLOOKUP(A436,File!$A:$J,9,FALSE)</f>
        <v>46272</v>
      </c>
      <c r="J436" s="31" t="str">
        <f>VLOOKUP(A436,File!$A:$K,11,FALSE)</f>
        <v>Sep 2026</v>
      </c>
      <c r="K436" s="31" t="str">
        <f>VLOOKUP(A436,File!$A:$K,10,FALSE)</f>
        <v>In-Training</v>
      </c>
      <c r="L436" s="31" t="s">
        <v>4</v>
      </c>
      <c r="M436" t="str">
        <f>VLOOKUP(A436,Response!$A:$M,7,)</f>
        <v>PG (Paying Guest)</v>
      </c>
      <c r="N436" t="str">
        <f>VLOOKUP(A436,Response!$A:$M,8,)</f>
        <v>KR MENs PG, City Park Layout, 118B, 2nd Cross St, Siruseri, Egattur, Tamil Nadu 603103</v>
      </c>
      <c r="O436" s="4">
        <f>VLOOKUP(A436,Response!$A:$M,10,)</f>
        <v>2</v>
      </c>
      <c r="P436" t="str">
        <f>VLOOKUP(A436,Response!$A:$M,12,)</f>
        <v>No</v>
      </c>
      <c r="Q436" t="str">
        <f>VLOOKUP(A436,Response!$A:$M,11,)</f>
        <v>Egattur</v>
      </c>
      <c r="R436" t="s">
        <v>19</v>
      </c>
      <c r="S436" s="39" t="s">
        <v>37</v>
      </c>
    </row>
    <row r="437" spans="1:19">
      <c r="A437" s="3">
        <v>2531345</v>
      </c>
      <c r="B437" t="str">
        <f>VLOOKUP(A437,File!$A:$J,2,FALSE)</f>
        <v>Franklin S E</v>
      </c>
      <c r="C437" s="29">
        <f>VLOOKUP(A437,File!$A:$J,5,FALSE)</f>
        <v>46252</v>
      </c>
      <c r="D437" s="29" t="str">
        <f>VLOOKUP(A437,File!$A:$J,3,FALSE)</f>
        <v>Male</v>
      </c>
      <c r="E437" s="29" t="str">
        <f>VLOOKUP(A437,File!$A:$J,4,FALSE)</f>
        <v>FTE</v>
      </c>
      <c r="F437" s="29" t="str">
        <f>VLOOKUP(A437,File!$A:$J,6,FALSE)</f>
        <v>Chennai</v>
      </c>
      <c r="G437" s="29" t="str">
        <f>VLOOKUP(A437,File!$A:$J,7,FALSE)</f>
        <v>EPS26SAP037</v>
      </c>
      <c r="H437" s="29" t="str">
        <f>VLOOKUP(A437,File!$A:$J,8,FALSE)</f>
        <v>Gayathri Ramachandran</v>
      </c>
      <c r="I437" s="31">
        <f>VLOOKUP(A437,File!$A:$J,9,FALSE)</f>
        <v>46330</v>
      </c>
      <c r="J437" s="31" t="str">
        <f>VLOOKUP(A437,File!$A:$K,11,FALSE)</f>
        <v>Nov 2026</v>
      </c>
      <c r="K437" s="31" t="str">
        <f>VLOOKUP(A437,File!$A:$K,10,FALSE)</f>
        <v>In-Training</v>
      </c>
      <c r="L437" s="31" t="s">
        <v>4</v>
      </c>
      <c r="M437" t="str">
        <f>VLOOKUP(A437,Response!$A:$M,7,)</f>
        <v>PG (Paying Guest)</v>
      </c>
      <c r="N437" t="str">
        <f>VLOOKUP(A437,Response!$A:$M,8,)</f>
        <v>KR MENS PG, EGATTUR</v>
      </c>
      <c r="O437" s="4">
        <f>VLOOKUP(A437,Response!$A:$M,10,)</f>
        <v>1</v>
      </c>
      <c r="P437" t="str">
        <f>VLOOKUP(A437,Response!$A:$M,12,)</f>
        <v>No</v>
      </c>
      <c r="Q437" t="str">
        <f>VLOOKUP(A437,Response!$A:$M,11,)</f>
        <v>Egattur</v>
      </c>
      <c r="R437" t="s">
        <v>19</v>
      </c>
      <c r="S437" s="39" t="s">
        <v>37</v>
      </c>
    </row>
    <row r="438" spans="1:19">
      <c r="A438" s="3">
        <v>2533189</v>
      </c>
      <c r="B438" t="str">
        <f>VLOOKUP(A438,File!$A:$J,2,FALSE)</f>
        <v>Mohan R</v>
      </c>
      <c r="C438" s="29">
        <f>VLOOKUP(A438,File!$A:$J,5,FALSE)</f>
        <v>46259</v>
      </c>
      <c r="D438" s="29" t="str">
        <f>VLOOKUP(A438,File!$A:$J,3,FALSE)</f>
        <v>Male</v>
      </c>
      <c r="E438" s="29" t="str">
        <f>VLOOKUP(A438,File!$A:$J,4,FALSE)</f>
        <v>FTE</v>
      </c>
      <c r="F438" s="29" t="str">
        <f>VLOOKUP(A438,File!$A:$J,6,FALSE)</f>
        <v>Chennai</v>
      </c>
      <c r="G438" s="29" t="str">
        <f>VLOOKUP(A438,File!$A:$J,7,FALSE)</f>
        <v>CIS26MBG005</v>
      </c>
      <c r="H438" s="29" t="str">
        <f>VLOOKUP(A438,File!$A:$J,8,FALSE)</f>
        <v>Angel Maria Faustina Gomez</v>
      </c>
      <c r="I438" s="31">
        <f>VLOOKUP(A438,File!$A:$J,9,FALSE)</f>
        <v>46367</v>
      </c>
      <c r="J438" s="31" t="str">
        <f>VLOOKUP(A438,File!$A:$K,11,FALSE)</f>
        <v>Dec 2026</v>
      </c>
      <c r="K438" s="31" t="str">
        <f>VLOOKUP(A438,File!$A:$K,10,FALSE)</f>
        <v>In-Training</v>
      </c>
      <c r="L438" s="31" t="s">
        <v>4</v>
      </c>
      <c r="M438" t="str">
        <f>VLOOKUP(A438,Response!$A:$M,7,)</f>
        <v>PG (Paying Guest)</v>
      </c>
      <c r="N438" t="str">
        <f>VLOOKUP(A438,Response!$A:$M,8,)</f>
        <v>KR Mens PG, Pudupakkam</v>
      </c>
      <c r="O438" s="4">
        <f>VLOOKUP(A438,Response!$A:$M,10,)</f>
        <v>5</v>
      </c>
      <c r="P438" t="str">
        <f>VLOOKUP(A438,Response!$A:$M,12,)</f>
        <v>No</v>
      </c>
      <c r="Q438" t="str">
        <f>VLOOKUP(A438,Response!$A:$M,11,)</f>
        <v>Siruseri</v>
      </c>
      <c r="R438" t="s">
        <v>19</v>
      </c>
      <c r="S438" s="39" t="s">
        <v>37</v>
      </c>
    </row>
    <row r="439" spans="1:19">
      <c r="A439" s="3">
        <v>2531366</v>
      </c>
      <c r="B439" t="str">
        <f>VLOOKUP(A439,File!$A:$J,2,FALSE)</f>
        <v>Siva Karthik Sathish Babu</v>
      </c>
      <c r="C439" s="29">
        <f>VLOOKUP(A439,File!$A:$J,5,FALSE)</f>
        <v>46252</v>
      </c>
      <c r="D439" s="29" t="str">
        <f>VLOOKUP(A439,File!$A:$J,3,FALSE)</f>
        <v>Male</v>
      </c>
      <c r="E439" s="29" t="str">
        <f>VLOOKUP(A439,File!$A:$J,4,FALSE)</f>
        <v>FTE</v>
      </c>
      <c r="F439" s="29" t="str">
        <f>VLOOKUP(A439,File!$A:$J,6,FALSE)</f>
        <v>Chennai</v>
      </c>
      <c r="G439" s="29" t="str">
        <f>VLOOKUP(A439,File!$A:$J,7,FALSE)</f>
        <v>EPS26SAP036</v>
      </c>
      <c r="H439" s="29" t="str">
        <f>VLOOKUP(A439,File!$A:$J,8,FALSE)</f>
        <v>Vishnupriya Dakshnamurthy</v>
      </c>
      <c r="I439" s="31">
        <f>VLOOKUP(A439,File!$A:$J,9,FALSE)</f>
        <v>46335</v>
      </c>
      <c r="J439" s="31" t="str">
        <f>VLOOKUP(A439,File!$A:$K,11,FALSE)</f>
        <v>Nov 2026</v>
      </c>
      <c r="K439" s="31" t="str">
        <f>VLOOKUP(A439,File!$A:$K,10,FALSE)</f>
        <v>In-Training</v>
      </c>
      <c r="L439" s="31" t="s">
        <v>4</v>
      </c>
      <c r="M439" t="str">
        <f>VLOOKUP(A439,Response!$A:$M,7,)</f>
        <v>PG (Paying Guest)</v>
      </c>
      <c r="N439" t="str">
        <f>VLOOKUP(A439,Response!$A:$M,8,)</f>
        <v>KR Mens PG, siruseri</v>
      </c>
      <c r="O439" s="4">
        <f>VLOOKUP(A439,Response!$A:$M,10,)</f>
        <v>1</v>
      </c>
      <c r="P439" t="str">
        <f>VLOOKUP(A439,Response!$A:$M,12,)</f>
        <v>Yes</v>
      </c>
      <c r="Q439" t="str">
        <f>VLOOKUP(A439,Response!$A:$M,11,)</f>
        <v>Egattur</v>
      </c>
      <c r="R439" t="s">
        <v>19</v>
      </c>
      <c r="S439" s="39" t="s">
        <v>37</v>
      </c>
    </row>
    <row r="440" spans="1:19">
      <c r="A440" s="3">
        <v>2533132</v>
      </c>
      <c r="B440" t="str">
        <f>VLOOKUP(A440,File!$A:$J,2,FALSE)</f>
        <v>Naveensakthi S</v>
      </c>
      <c r="C440" s="29">
        <f>VLOOKUP(A440,File!$A:$J,5,FALSE)</f>
        <v>46259</v>
      </c>
      <c r="D440" s="29" t="str">
        <f>VLOOKUP(A440,File!$A:$J,3,FALSE)</f>
        <v>Male</v>
      </c>
      <c r="E440" s="29" t="str">
        <f>VLOOKUP(A440,File!$A:$J,4,FALSE)</f>
        <v>FTE</v>
      </c>
      <c r="F440" s="29" t="str">
        <f>VLOOKUP(A440,File!$A:$J,6,FALSE)</f>
        <v>Chennai</v>
      </c>
      <c r="G440" s="29" t="str">
        <f>VLOOKUP(A440,File!$A:$J,7,FALSE)</f>
        <v>CIS26MBG004</v>
      </c>
      <c r="H440" s="29" t="str">
        <f>VLOOKUP(A440,File!$A:$J,8,FALSE)</f>
        <v>Kishorekumar P</v>
      </c>
      <c r="I440" s="31">
        <f>VLOOKUP(A440,File!$A:$J,9,FALSE)</f>
        <v>46367</v>
      </c>
      <c r="J440" s="31" t="str">
        <f>VLOOKUP(A440,File!$A:$K,11,FALSE)</f>
        <v>Dec 2026</v>
      </c>
      <c r="K440" s="31" t="str">
        <f>VLOOKUP(A440,File!$A:$K,10,FALSE)</f>
        <v>In-Training</v>
      </c>
      <c r="L440" s="31" t="s">
        <v>4</v>
      </c>
      <c r="M440" t="str">
        <f>VLOOKUP(A440,Response!$A:$M,7,)</f>
        <v>PG (Paying Guest)</v>
      </c>
      <c r="N440" t="str">
        <f>VLOOKUP(A440,Response!$A:$M,8,)</f>
        <v>KR Mens Pg, siruseri</v>
      </c>
      <c r="O440" s="4">
        <f>VLOOKUP(A440,Response!$A:$M,10,)</f>
        <v>5</v>
      </c>
      <c r="P440" t="str">
        <f>VLOOKUP(A440,Response!$A:$M,12,)</f>
        <v>No</v>
      </c>
      <c r="Q440" t="str">
        <f>VLOOKUP(A440,Response!$A:$M,11,)</f>
        <v>Siruseri</v>
      </c>
      <c r="R440" t="s">
        <v>19</v>
      </c>
      <c r="S440" s="39" t="s">
        <v>37</v>
      </c>
    </row>
    <row r="441" spans="1:19">
      <c r="A441" s="3">
        <v>2530205</v>
      </c>
      <c r="B441" t="str">
        <f>VLOOKUP(A441,File!$A:$J,2,FALSE)</f>
        <v>Saptak Singha</v>
      </c>
      <c r="C441" s="29">
        <f>VLOOKUP(A441,File!$A:$J,5,FALSE)</f>
        <v>46247</v>
      </c>
      <c r="D441" s="29" t="str">
        <f>VLOOKUP(A441,File!$A:$J,3,FALSE)</f>
        <v>Male</v>
      </c>
      <c r="E441" s="29" t="str">
        <f>VLOOKUP(A441,File!$A:$J,4,FALSE)</f>
        <v>FTE</v>
      </c>
      <c r="F441" s="29" t="str">
        <f>VLOOKUP(A441,File!$A:$J,6,FALSE)</f>
        <v>Chennai</v>
      </c>
      <c r="G441" s="29" t="str">
        <f>VLOOKUP(A441,File!$A:$J,7,FALSE)</f>
        <v>EPS26OSPPRO001</v>
      </c>
      <c r="H441" s="29" t="str">
        <f>VLOOKUP(A441,File!$A:$J,8,FALSE)</f>
        <v>Gayathri Ramachandran</v>
      </c>
      <c r="I441" s="31">
        <f>VLOOKUP(A441,File!$A:$J,9,FALSE)</f>
        <v>46363</v>
      </c>
      <c r="J441" s="31" t="str">
        <f>VLOOKUP(A441,File!$A:$K,11,FALSE)</f>
        <v>Dec 2026</v>
      </c>
      <c r="K441" s="31" t="str">
        <f>VLOOKUP(A441,File!$A:$K,10,FALSE)</f>
        <v>In-Training</v>
      </c>
      <c r="L441" s="31" t="s">
        <v>4</v>
      </c>
      <c r="M441" t="str">
        <f>VLOOKUP(A441,Response!$A:$M,7,)</f>
        <v>PG (Paying Guest)</v>
      </c>
      <c r="N441" t="str">
        <f>VLOOKUP(A441,Response!$A:$M,8,)</f>
        <v>KR Menss PG</v>
      </c>
      <c r="O441" s="4">
        <f>VLOOKUP(A441,Response!$A:$M,10,)</f>
        <v>1</v>
      </c>
      <c r="P441" t="str">
        <f>VLOOKUP(A441,Response!$A:$M,12,)</f>
        <v>No</v>
      </c>
      <c r="Q441" t="str">
        <f>VLOOKUP(A441,Response!$A:$M,11,)</f>
        <v>Siruseri</v>
      </c>
      <c r="R441" t="s">
        <v>19</v>
      </c>
      <c r="S441" s="39" t="s">
        <v>37</v>
      </c>
    </row>
    <row r="442" spans="1:19">
      <c r="A442" s="3">
        <v>2529782</v>
      </c>
      <c r="B442" t="str">
        <f>VLOOKUP(A442,File!$A:$J,2,FALSE)</f>
        <v>Kirti Dewaskar</v>
      </c>
      <c r="C442" s="29">
        <f>VLOOKUP(A442,File!$A:$J,5,FALSE)</f>
        <v>46245</v>
      </c>
      <c r="D442" s="29" t="str">
        <f>VLOOKUP(A442,File!$A:$J,3,FALSE)</f>
        <v>Female</v>
      </c>
      <c r="E442" s="29" t="str">
        <f>VLOOKUP(A442,File!$A:$J,4,FALSE)</f>
        <v>FTE</v>
      </c>
      <c r="F442" s="29" t="str">
        <f>VLOOKUP(A442,File!$A:$J,6,FALSE)</f>
        <v>Chennai</v>
      </c>
      <c r="G442" s="29" t="str">
        <f>VLOOKUP(A442,File!$A:$J,7,FALSE)</f>
        <v>CIS26MCPT021</v>
      </c>
      <c r="H442" s="29" t="str">
        <f>VLOOKUP(A442,File!$A:$J,8,FALSE)</f>
        <v>Uma Venkatachalam</v>
      </c>
      <c r="I442" s="31">
        <f>VLOOKUP(A442,File!$A:$J,9,FALSE)</f>
        <v>46364</v>
      </c>
      <c r="J442" s="31" t="str">
        <f>VLOOKUP(A442,File!$A:$K,11,FALSE)</f>
        <v>Dec 2026</v>
      </c>
      <c r="K442" s="31" t="str">
        <f>VLOOKUP(A442,File!$A:$K,10,FALSE)</f>
        <v>In-Training</v>
      </c>
      <c r="L442" s="31" t="s">
        <v>4</v>
      </c>
      <c r="M442" t="str">
        <f>VLOOKUP(A442,Response!$A:$M,7,)</f>
        <v>PG (Paying Guest)</v>
      </c>
      <c r="N442" t="str">
        <f>VLOOKUP(A442,Response!$A:$M,8,)</f>
        <v>Krishna Nivas Egattur</v>
      </c>
      <c r="O442" s="4">
        <f>VLOOKUP(A442,Response!$A:$M,10,)</f>
        <v>1</v>
      </c>
      <c r="P442" t="str">
        <f>VLOOKUP(A442,Response!$A:$M,12,)</f>
        <v>No</v>
      </c>
      <c r="Q442" t="str">
        <f>VLOOKUP(A442,Response!$A:$M,11,)</f>
        <v>Egattur</v>
      </c>
      <c r="R442" t="s">
        <v>19</v>
      </c>
      <c r="S442" s="39" t="s">
        <v>37</v>
      </c>
    </row>
    <row r="443" spans="1:19">
      <c r="A443" s="3">
        <v>2524649</v>
      </c>
      <c r="B443" t="str">
        <f>VLOOKUP(A443,File!$A:$J,2,FALSE)</f>
        <v>Pradnya Dnyaneshwar More</v>
      </c>
      <c r="C443" s="29">
        <f>VLOOKUP(A443,File!$A:$J,5,FALSE)</f>
        <v>46224</v>
      </c>
      <c r="D443" s="29" t="str">
        <f>VLOOKUP(A443,File!$A:$J,3,FALSE)</f>
        <v>Female</v>
      </c>
      <c r="E443" s="29" t="str">
        <f>VLOOKUP(A443,File!$A:$J,4,FALSE)</f>
        <v>FTE</v>
      </c>
      <c r="F443" s="29" t="str">
        <f>VLOOKUP(A443,File!$A:$J,6,FALSE)</f>
        <v>Chennai</v>
      </c>
      <c r="G443" s="29" t="str">
        <f>VLOOKUP(A443,File!$A:$J,7,FALSE)</f>
        <v>QEA26QEPT024</v>
      </c>
      <c r="H443" s="29" t="str">
        <f>VLOOKUP(A443,File!$A:$J,8,FALSE)</f>
        <v>Ajiesya D P</v>
      </c>
      <c r="I443" s="31">
        <f>VLOOKUP(A443,File!$A:$J,9,FALSE)</f>
        <v>46325</v>
      </c>
      <c r="J443" s="31" t="str">
        <f>VLOOKUP(A443,File!$A:$K,11,FALSE)</f>
        <v>Oct 2026</v>
      </c>
      <c r="K443" s="31" t="str">
        <f>VLOOKUP(A443,File!$A:$K,10,FALSE)</f>
        <v>In-Training</v>
      </c>
      <c r="L443" s="31" t="s">
        <v>4</v>
      </c>
      <c r="M443" t="str">
        <f>VLOOKUP(A443,Response!$A:$M,7,)</f>
        <v>PG (Paying Guest)</v>
      </c>
      <c r="N443" t="str">
        <f>VLOOKUP(A443,Response!$A:$M,8,)</f>
        <v>Krishna Nivas girls PGc</v>
      </c>
      <c r="O443" s="4">
        <f>VLOOKUP(A443,Response!$A:$M,10,)</f>
        <v>2</v>
      </c>
      <c r="P443" t="str">
        <f>VLOOKUP(A443,Response!$A:$M,12,)</f>
        <v>No</v>
      </c>
      <c r="Q443" t="str">
        <f>VLOOKUP(A443,Response!$A:$M,11,)</f>
        <v>Egattur</v>
      </c>
      <c r="R443" t="s">
        <v>19</v>
      </c>
      <c r="S443" s="39" t="s">
        <v>37</v>
      </c>
    </row>
    <row r="444" spans="1:19">
      <c r="A444" s="3">
        <v>2521756</v>
      </c>
      <c r="B444" t="str">
        <f>VLOOKUP(A444,File!$A:$J,2,FALSE)</f>
        <v>Gayam Sravani</v>
      </c>
      <c r="C444" s="29">
        <f>VLOOKUP(A444,File!$A:$J,5,FALSE)</f>
        <v>46212</v>
      </c>
      <c r="D444" s="29" t="str">
        <f>VLOOKUP(A444,File!$A:$J,3,FALSE)</f>
        <v>Female</v>
      </c>
      <c r="E444" s="29" t="str">
        <f>VLOOKUP(A444,File!$A:$J,4,FALSE)</f>
        <v>FTE</v>
      </c>
      <c r="F444" s="29" t="str">
        <f>VLOOKUP(A444,File!$A:$J,6,FALSE)</f>
        <v>Chennai</v>
      </c>
      <c r="G444" s="29" t="str">
        <f>VLOOKUP(A444,File!$A:$J,7,FALSE)</f>
        <v>QEA26SD001</v>
      </c>
      <c r="H444" s="29" t="str">
        <f>VLOOKUP(A444,File!$A:$J,8,FALSE)</f>
        <v>Ajiesya D P</v>
      </c>
      <c r="I444" s="31">
        <f>VLOOKUP(A444,File!$A:$J,9,FALSE)</f>
        <v>46329</v>
      </c>
      <c r="J444" s="31" t="str">
        <f>VLOOKUP(A444,File!$A:$K,11,FALSE)</f>
        <v>Nov 2026</v>
      </c>
      <c r="K444" s="31" t="str">
        <f>VLOOKUP(A444,File!$A:$K,10,FALSE)</f>
        <v>In-Training</v>
      </c>
      <c r="L444" s="31" t="s">
        <v>4</v>
      </c>
      <c r="M444" t="str">
        <f>VLOOKUP(A444,Response!$A:$M,7,)</f>
        <v>PG (Paying Guest)</v>
      </c>
      <c r="N444" t="str">
        <f>VLOOKUP(A444,Response!$A:$M,8,)</f>
        <v>Krishna Nivas Ladies Hostel, Egattur, Chennai</v>
      </c>
      <c r="O444" s="4">
        <f>VLOOKUP(A444,Response!$A:$M,10,)</f>
        <v>4</v>
      </c>
      <c r="P444" t="str">
        <f>VLOOKUP(A444,Response!$A:$M,12,)</f>
        <v>No</v>
      </c>
      <c r="Q444" t="str">
        <f>VLOOKUP(A444,Response!$A:$M,11,)</f>
        <v>Egattur</v>
      </c>
      <c r="R444" t="s">
        <v>19</v>
      </c>
      <c r="S444" s="39" t="s">
        <v>37</v>
      </c>
    </row>
    <row r="445" spans="1:19">
      <c r="A445" s="3">
        <v>2531390</v>
      </c>
      <c r="B445" t="str">
        <f>VLOOKUP(A445,File!$A:$J,2,FALSE)</f>
        <v>Suryapeta Bhavani</v>
      </c>
      <c r="C445" s="29">
        <f>VLOOKUP(A445,File!$A:$J,5,FALSE)</f>
        <v>46252</v>
      </c>
      <c r="D445" s="29" t="str">
        <f>VLOOKUP(A445,File!$A:$J,3,FALSE)</f>
        <v>Female</v>
      </c>
      <c r="E445" s="29" t="str">
        <f>VLOOKUP(A445,File!$A:$J,4,FALSE)</f>
        <v>FTE</v>
      </c>
      <c r="F445" s="29" t="str">
        <f>VLOOKUP(A445,File!$A:$J,6,FALSE)</f>
        <v>Chennai</v>
      </c>
      <c r="G445" s="29" t="str">
        <f>VLOOKUP(A445,File!$A:$J,7,FALSE)</f>
        <v>EPS26SAP034</v>
      </c>
      <c r="H445" s="29" t="str">
        <f>VLOOKUP(A445,File!$A:$J,8,FALSE)</f>
        <v>Gayathri Ramachandran</v>
      </c>
      <c r="I445" s="31">
        <f>VLOOKUP(A445,File!$A:$J,9,FALSE)</f>
        <v>46331</v>
      </c>
      <c r="J445" s="31" t="str">
        <f>VLOOKUP(A445,File!$A:$K,11,FALSE)</f>
        <v>Nov 2026</v>
      </c>
      <c r="K445" s="31" t="str">
        <f>VLOOKUP(A445,File!$A:$K,10,FALSE)</f>
        <v>In-Training</v>
      </c>
      <c r="L445" s="31" t="s">
        <v>4</v>
      </c>
      <c r="M445" t="str">
        <f>VLOOKUP(A445,Response!$A:$M,7,)</f>
        <v>PG (Paying Guest)</v>
      </c>
      <c r="N445" t="str">
        <f>VLOOKUP(A445,Response!$A:$M,8,)</f>
        <v>Krishna nivas Ladies Pg</v>
      </c>
      <c r="O445" s="4">
        <f>VLOOKUP(A445,Response!$A:$M,10,)</f>
        <v>2</v>
      </c>
      <c r="P445" t="str">
        <f>VLOOKUP(A445,Response!$A:$M,12,)</f>
        <v>No</v>
      </c>
      <c r="Q445" t="str">
        <f>VLOOKUP(A445,Response!$A:$M,11,)</f>
        <v>Egattur</v>
      </c>
      <c r="R445" t="s">
        <v>19</v>
      </c>
      <c r="S445" s="39" t="s">
        <v>37</v>
      </c>
    </row>
    <row r="446" spans="1:19">
      <c r="A446" s="3">
        <v>2521282</v>
      </c>
      <c r="B446" t="str">
        <f>VLOOKUP(A446,File!$A:$J,2,FALSE)</f>
        <v>Krittika R</v>
      </c>
      <c r="C446" s="29">
        <f>VLOOKUP(A446,File!$A:$J,5,FALSE)</f>
        <v>46210</v>
      </c>
      <c r="D446" s="29" t="str">
        <f>VLOOKUP(A446,File!$A:$J,3,FALSE)</f>
        <v>Female</v>
      </c>
      <c r="E446" s="29" t="str">
        <f>VLOOKUP(A446,File!$A:$J,4,FALSE)</f>
        <v>FTE</v>
      </c>
      <c r="F446" s="29" t="str">
        <f>VLOOKUP(A446,File!$A:$J,6,FALSE)</f>
        <v>Chennai</v>
      </c>
      <c r="G446" s="29" t="str">
        <f>VLOOKUP(A446,File!$A:$J,7,FALSE)</f>
        <v>HPC26DN005</v>
      </c>
      <c r="H446" s="29" t="str">
        <f>VLOOKUP(A446,File!$A:$J,8,FALSE)</f>
        <v>Viveka Preethi</v>
      </c>
      <c r="I446" s="31">
        <f>VLOOKUP(A446,File!$A:$J,9,FALSE)</f>
        <v>46296</v>
      </c>
      <c r="J446" s="31" t="str">
        <f>VLOOKUP(A446,File!$A:$K,11,FALSE)</f>
        <v>Oct 2026</v>
      </c>
      <c r="K446" s="31" t="str">
        <f>VLOOKUP(A446,File!$A:$K,10,FALSE)</f>
        <v>In-Training</v>
      </c>
      <c r="L446" s="31" t="s">
        <v>4</v>
      </c>
      <c r="M446" t="str">
        <f>VLOOKUP(A446,Response!$A:$M,7,)</f>
        <v>PG (Paying Guest)</v>
      </c>
      <c r="N446" t="str">
        <f>VLOOKUP(A446,Response!$A:$M,8,)</f>
        <v>Krishna Nivas Ladies Pg</v>
      </c>
      <c r="O446" s="4">
        <f>VLOOKUP(A446,Response!$A:$M,10,)</f>
        <v>3</v>
      </c>
      <c r="P446" t="str">
        <f>VLOOKUP(A446,Response!$A:$M,12,)</f>
        <v>No</v>
      </c>
      <c r="Q446" t="str">
        <f>VLOOKUP(A446,Response!$A:$M,11,)</f>
        <v>Egattur</v>
      </c>
      <c r="R446" t="s">
        <v>19</v>
      </c>
      <c r="S446" s="39" t="s">
        <v>37</v>
      </c>
    </row>
    <row r="447" spans="1:19">
      <c r="A447" s="3">
        <v>2529531</v>
      </c>
      <c r="B447" t="str">
        <f>VLOOKUP(A447,File!$A:$J,2,FALSE)</f>
        <v>Debolina Chatterjee</v>
      </c>
      <c r="C447" s="29">
        <f>VLOOKUP(A447,File!$A:$J,5,FALSE)</f>
        <v>46245</v>
      </c>
      <c r="D447" s="29" t="str">
        <f>VLOOKUP(A447,File!$A:$J,3,FALSE)</f>
        <v>Female</v>
      </c>
      <c r="E447" s="29" t="str">
        <f>VLOOKUP(A447,File!$A:$J,4,FALSE)</f>
        <v>FTE</v>
      </c>
      <c r="F447" s="29" t="str">
        <f>VLOOKUP(A447,File!$A:$J,6,FALSE)</f>
        <v>Chennai</v>
      </c>
      <c r="G447" s="29" t="str">
        <f>VLOOKUP(A447,File!$A:$J,7,FALSE)</f>
        <v>CIS26MCPT022</v>
      </c>
      <c r="H447" s="29" t="str">
        <f>VLOOKUP(A447,File!$A:$J,8,FALSE)</f>
        <v>Laksiya Vijayendran</v>
      </c>
      <c r="I447" s="31">
        <f>VLOOKUP(A447,File!$A:$J,9,FALSE)</f>
        <v>46359</v>
      </c>
      <c r="J447" s="31" t="str">
        <f>VLOOKUP(A447,File!$A:$K,11,FALSE)</f>
        <v>Dec 2026</v>
      </c>
      <c r="K447" s="31" t="str">
        <f>VLOOKUP(A447,File!$A:$K,10,FALSE)</f>
        <v>In-Training</v>
      </c>
      <c r="L447" s="31" t="s">
        <v>4</v>
      </c>
      <c r="M447" t="str">
        <f>VLOOKUP(A447,Response!$A:$M,7,)</f>
        <v>PG (Paying Guest)</v>
      </c>
      <c r="N447" t="str">
        <f>VLOOKUP(A447,Response!$A:$M,8,)</f>
        <v>Krishna Nivas Ladies PG</v>
      </c>
      <c r="O447" s="4">
        <f>VLOOKUP(A447,Response!$A:$M,10,)</f>
        <v>3</v>
      </c>
      <c r="P447" t="str">
        <f>VLOOKUP(A447,Response!$A:$M,12,)</f>
        <v>No</v>
      </c>
      <c r="Q447" t="str">
        <f>VLOOKUP(A447,Response!$A:$M,11,)</f>
        <v>Egattur</v>
      </c>
      <c r="R447" t="s">
        <v>19</v>
      </c>
      <c r="S447" s="39" t="s">
        <v>37</v>
      </c>
    </row>
    <row r="448" spans="1:19">
      <c r="A448" s="3">
        <v>2521667</v>
      </c>
      <c r="B448" t="str">
        <f>VLOOKUP(A448,File!$A:$J,2,FALSE)</f>
        <v>Shaik Muneera Begum</v>
      </c>
      <c r="C448" s="29">
        <f>VLOOKUP(A448,File!$A:$J,5,FALSE)</f>
        <v>46212</v>
      </c>
      <c r="D448" s="29" t="str">
        <f>VLOOKUP(A448,File!$A:$J,3,FALSE)</f>
        <v>Female</v>
      </c>
      <c r="E448" s="29" t="str">
        <f>VLOOKUP(A448,File!$A:$J,4,FALSE)</f>
        <v>FTE</v>
      </c>
      <c r="F448" s="29" t="str">
        <f>VLOOKUP(A448,File!$A:$J,6,FALSE)</f>
        <v>Chennai</v>
      </c>
      <c r="G448" s="29" t="str">
        <f>VLOOKUP(A448,File!$A:$J,7,FALSE)</f>
        <v>ADM26MF010</v>
      </c>
      <c r="H448" s="29" t="str">
        <f>VLOOKUP(A448,File!$A:$J,8,FALSE)</f>
        <v>Thomas Naveen. J</v>
      </c>
      <c r="I448" s="31">
        <f>VLOOKUP(A448,File!$A:$J,9,FALSE)</f>
        <v>46328</v>
      </c>
      <c r="J448" s="31" t="str">
        <f>VLOOKUP(A448,File!$A:$K,11,FALSE)</f>
        <v>Nov 2026</v>
      </c>
      <c r="K448" s="31" t="str">
        <f>VLOOKUP(A448,File!$A:$K,10,FALSE)</f>
        <v>In-Training</v>
      </c>
      <c r="L448" s="31" t="s">
        <v>4</v>
      </c>
      <c r="M448" t="str">
        <f>VLOOKUP(A448,Response!$A:$M,7,)</f>
        <v>PG (Paying Guest)</v>
      </c>
      <c r="N448" t="str">
        <f>VLOOKUP(A448,Response!$A:$M,8,)</f>
        <v>KRISHNA NIVAS LADIES PG</v>
      </c>
      <c r="O448" s="4">
        <f>VLOOKUP(A448,Response!$A:$M,10,)</f>
        <v>4</v>
      </c>
      <c r="P448" t="str">
        <f>VLOOKUP(A448,Response!$A:$M,12,)</f>
        <v>No</v>
      </c>
      <c r="Q448" t="str">
        <f>VLOOKUP(A448,Response!$A:$M,11,)</f>
        <v>Egattur</v>
      </c>
      <c r="R448" t="s">
        <v>19</v>
      </c>
      <c r="S448" s="39" t="s">
        <v>37</v>
      </c>
    </row>
    <row r="449" spans="1:19">
      <c r="A449" s="3">
        <v>2521735</v>
      </c>
      <c r="B449" t="str">
        <f>VLOOKUP(A449,File!$A:$J,2,FALSE)</f>
        <v>Mirza Nikhath Fathima</v>
      </c>
      <c r="C449" s="29">
        <f>VLOOKUP(A449,File!$A:$J,5,FALSE)</f>
        <v>46212</v>
      </c>
      <c r="D449" s="29" t="str">
        <f>VLOOKUP(A449,File!$A:$J,3,FALSE)</f>
        <v>Female</v>
      </c>
      <c r="E449" s="29" t="str">
        <f>VLOOKUP(A449,File!$A:$J,4,FALSE)</f>
        <v>FTE</v>
      </c>
      <c r="F449" s="29" t="str">
        <f>VLOOKUP(A449,File!$A:$J,6,FALSE)</f>
        <v>Chennai</v>
      </c>
      <c r="G449" s="29" t="str">
        <f>VLOOKUP(A449,File!$A:$J,7,FALSE)</f>
        <v>QEA26SD001</v>
      </c>
      <c r="H449" s="29" t="str">
        <f>VLOOKUP(A449,File!$A:$J,8,FALSE)</f>
        <v>Ajiesya D P</v>
      </c>
      <c r="I449" s="31">
        <f>VLOOKUP(A449,File!$A:$J,9,FALSE)</f>
        <v>46329</v>
      </c>
      <c r="J449" s="31" t="str">
        <f>VLOOKUP(A449,File!$A:$K,11,FALSE)</f>
        <v>Nov 2026</v>
      </c>
      <c r="K449" s="31" t="str">
        <f>VLOOKUP(A449,File!$A:$K,10,FALSE)</f>
        <v>In-Training</v>
      </c>
      <c r="L449" s="31" t="s">
        <v>4</v>
      </c>
      <c r="M449" t="str">
        <f>VLOOKUP(A449,Response!$A:$M,7,)</f>
        <v>PG (Paying Guest)</v>
      </c>
      <c r="N449" t="str">
        <f>VLOOKUP(A449,Response!$A:$M,8,)</f>
        <v>Krishna Nivas Ladies PG</v>
      </c>
      <c r="O449" s="4">
        <f>VLOOKUP(A449,Response!$A:$M,10,)</f>
        <v>4</v>
      </c>
      <c r="P449" t="str">
        <f>VLOOKUP(A449,Response!$A:$M,12,)</f>
        <v>No</v>
      </c>
      <c r="Q449" t="str">
        <f>VLOOKUP(A449,Response!$A:$M,11,)</f>
        <v>Egattur</v>
      </c>
      <c r="R449" t="s">
        <v>19</v>
      </c>
      <c r="S449" s="39" t="s">
        <v>37</v>
      </c>
    </row>
    <row r="450" spans="1:19">
      <c r="A450" s="3">
        <v>2521742</v>
      </c>
      <c r="B450" t="str">
        <f>VLOOKUP(A450,File!$A:$J,2,FALSE)</f>
        <v>Meda Venkata Lakshmi Divya</v>
      </c>
      <c r="C450" s="29">
        <f>VLOOKUP(A450,File!$A:$J,5,FALSE)</f>
        <v>46212</v>
      </c>
      <c r="D450" s="29" t="str">
        <f>VLOOKUP(A450,File!$A:$J,3,FALSE)</f>
        <v>Female</v>
      </c>
      <c r="E450" s="29" t="str">
        <f>VLOOKUP(A450,File!$A:$J,4,FALSE)</f>
        <v>FTE</v>
      </c>
      <c r="F450" s="29" t="str">
        <f>VLOOKUP(A450,File!$A:$J,6,FALSE)</f>
        <v>Chennai</v>
      </c>
      <c r="G450" s="29" t="str">
        <f>VLOOKUP(A450,File!$A:$J,7,FALSE)</f>
        <v>QEA26SD001</v>
      </c>
      <c r="H450" s="29" t="str">
        <f>VLOOKUP(A450,File!$A:$J,8,FALSE)</f>
        <v>Ajiesya D P</v>
      </c>
      <c r="I450" s="31">
        <f>VLOOKUP(A450,File!$A:$J,9,FALSE)</f>
        <v>46329</v>
      </c>
      <c r="J450" s="31" t="str">
        <f>VLOOKUP(A450,File!$A:$K,11,FALSE)</f>
        <v>Nov 2026</v>
      </c>
      <c r="K450" s="31" t="str">
        <f>VLOOKUP(A450,File!$A:$K,10,FALSE)</f>
        <v>In-Training</v>
      </c>
      <c r="L450" s="31" t="s">
        <v>4</v>
      </c>
      <c r="M450" t="str">
        <f>VLOOKUP(A450,Response!$A:$M,7,)</f>
        <v>PG (Paying Guest)</v>
      </c>
      <c r="N450" t="str">
        <f>VLOOKUP(A450,Response!$A:$M,8,)</f>
        <v>KRISHNA NIVAS LADIES PG</v>
      </c>
      <c r="O450" s="4" t="str">
        <f>VLOOKUP(A450,Response!$A:$M,10,)</f>
        <v>GF</v>
      </c>
      <c r="P450" t="str">
        <f>VLOOKUP(A450,Response!$A:$M,12,)</f>
        <v>No</v>
      </c>
      <c r="Q450" t="str">
        <f>VLOOKUP(A450,Response!$A:$M,11,)</f>
        <v>Egattur</v>
      </c>
      <c r="R450" t="s">
        <v>19</v>
      </c>
      <c r="S450" s="39" t="s">
        <v>37</v>
      </c>
    </row>
    <row r="451" spans="1:19">
      <c r="A451" s="3">
        <v>2521624</v>
      </c>
      <c r="B451" t="str">
        <f>VLOOKUP(A451,File!$A:$J,2,FALSE)</f>
        <v>Anisha Kumari</v>
      </c>
      <c r="C451" s="29">
        <f>VLOOKUP(A451,File!$A:$J,5,FALSE)</f>
        <v>46212</v>
      </c>
      <c r="D451" s="29" t="str">
        <f>VLOOKUP(A451,File!$A:$J,3,FALSE)</f>
        <v>Female</v>
      </c>
      <c r="E451" s="29" t="str">
        <f>VLOOKUP(A451,File!$A:$J,4,FALSE)</f>
        <v>FTE</v>
      </c>
      <c r="F451" s="29" t="str">
        <f>VLOOKUP(A451,File!$A:$J,6,FALSE)</f>
        <v>Chennai</v>
      </c>
      <c r="G451" s="29" t="str">
        <f>VLOOKUP(A451,File!$A:$J,7,FALSE)</f>
        <v>ADM26MF011</v>
      </c>
      <c r="H451" s="29" t="str">
        <f>VLOOKUP(A451,File!$A:$J,8,FALSE)</f>
        <v>Abinaya R</v>
      </c>
      <c r="I451" s="31">
        <f>VLOOKUP(A451,File!$A:$J,9,FALSE)</f>
        <v>46328</v>
      </c>
      <c r="J451" s="31" t="str">
        <f>VLOOKUP(A451,File!$A:$K,11,FALSE)</f>
        <v>Nov 2026</v>
      </c>
      <c r="K451" s="31" t="str">
        <f>VLOOKUP(A451,File!$A:$K,10,FALSE)</f>
        <v>In-Training</v>
      </c>
      <c r="L451" s="31" t="s">
        <v>4</v>
      </c>
      <c r="M451" t="str">
        <f>VLOOKUP(A451,Response!$A:$M,7,)</f>
        <v>PG (Paying Guest)</v>
      </c>
      <c r="N451" t="str">
        <f>VLOOKUP(A451,Response!$A:$M,8,)</f>
        <v xml:space="preserve">KRISHNA NIVAS LADIES PG </v>
      </c>
      <c r="O451" s="4">
        <f>VLOOKUP(A451,Response!$A:$M,10,)</f>
        <v>3</v>
      </c>
      <c r="P451" t="str">
        <f>VLOOKUP(A451,Response!$A:$M,12,)</f>
        <v>No</v>
      </c>
      <c r="Q451" t="str">
        <f>VLOOKUP(A451,Response!$A:$M,11,)</f>
        <v>Egattur</v>
      </c>
      <c r="R451" t="s">
        <v>19</v>
      </c>
      <c r="S451" s="39" t="s">
        <v>37</v>
      </c>
    </row>
    <row r="452" spans="1:19">
      <c r="A452" s="3">
        <v>2512357</v>
      </c>
      <c r="B452" t="str">
        <f>VLOOKUP(A452,File!$A:$J,2,FALSE)</f>
        <v>Thella Sushma</v>
      </c>
      <c r="C452" s="29">
        <f>VLOOKUP(A452,File!$A:$J,5,FALSE)</f>
        <v>46170</v>
      </c>
      <c r="D452" s="29" t="str">
        <f>VLOOKUP(A452,File!$A:$J,3,FALSE)</f>
        <v>Female</v>
      </c>
      <c r="E452" s="29" t="str">
        <f>VLOOKUP(A452,File!$A:$J,4,FALSE)</f>
        <v>FTE</v>
      </c>
      <c r="F452" s="29" t="str">
        <f>VLOOKUP(A452,File!$A:$J,6,FALSE)</f>
        <v>Chennai</v>
      </c>
      <c r="G452" s="29" t="str">
        <f>VLOOKUP(A452,File!$A:$J,7,FALSE)</f>
        <v>CIS26MCPT011</v>
      </c>
      <c r="H452" s="29" t="str">
        <f>VLOOKUP(A452,File!$A:$J,8,FALSE)</f>
        <v>Uma Venkatachalam</v>
      </c>
      <c r="I452" s="31">
        <f>VLOOKUP(A452,File!$A:$J,9,FALSE)</f>
        <v>46282</v>
      </c>
      <c r="J452" s="31" t="str">
        <f>VLOOKUP(A452,File!$A:$K,11,FALSE)</f>
        <v>Sep 2026</v>
      </c>
      <c r="K452" s="31" t="str">
        <f>VLOOKUP(A452,File!$A:$K,10,FALSE)</f>
        <v>In-Training</v>
      </c>
      <c r="L452" s="31" t="s">
        <v>4</v>
      </c>
      <c r="M452" t="str">
        <f>VLOOKUP(A452,Response!$A:$M,7,)</f>
        <v>PG (Paying Guest)</v>
      </c>
      <c r="N452" t="str">
        <f>VLOOKUP(A452,Response!$A:$M,8,)</f>
        <v xml:space="preserve">Krishna nivas ladies pg </v>
      </c>
      <c r="O452" s="4">
        <f>VLOOKUP(A452,Response!$A:$M,10,)</f>
        <v>3</v>
      </c>
      <c r="P452" t="str">
        <f>VLOOKUP(A452,Response!$A:$M,12,)</f>
        <v>No</v>
      </c>
      <c r="Q452" t="str">
        <f>VLOOKUP(A452,Response!$A:$M,11,)</f>
        <v>Egattur</v>
      </c>
      <c r="R452" t="s">
        <v>19</v>
      </c>
      <c r="S452" s="39" t="s">
        <v>37</v>
      </c>
    </row>
    <row r="453" spans="1:19">
      <c r="A453" s="3">
        <v>2521762</v>
      </c>
      <c r="B453" t="str">
        <f>VLOOKUP(A453,File!$A:$J,2,FALSE)</f>
        <v>Pedapudi Meghana</v>
      </c>
      <c r="C453" s="29">
        <f>VLOOKUP(A453,File!$A:$J,5,FALSE)</f>
        <v>46212</v>
      </c>
      <c r="D453" s="29" t="str">
        <f>VLOOKUP(A453,File!$A:$J,3,FALSE)</f>
        <v>Female</v>
      </c>
      <c r="E453" s="29" t="str">
        <f>VLOOKUP(A453,File!$A:$J,4,FALSE)</f>
        <v>FTE</v>
      </c>
      <c r="F453" s="29" t="str">
        <f>VLOOKUP(A453,File!$A:$J,6,FALSE)</f>
        <v>Chennai</v>
      </c>
      <c r="G453" s="29" t="str">
        <f>VLOOKUP(A453,File!$A:$J,7,FALSE)</f>
        <v>QEA26SD001</v>
      </c>
      <c r="H453" s="29" t="str">
        <f>VLOOKUP(A453,File!$A:$J,8,FALSE)</f>
        <v>Ajiesya D P</v>
      </c>
      <c r="I453" s="31">
        <f>VLOOKUP(A453,File!$A:$J,9,FALSE)</f>
        <v>46329</v>
      </c>
      <c r="J453" s="31" t="str">
        <f>VLOOKUP(A453,File!$A:$K,11,FALSE)</f>
        <v>Nov 2026</v>
      </c>
      <c r="K453" s="31" t="str">
        <f>VLOOKUP(A453,File!$A:$K,10,FALSE)</f>
        <v>In-Training</v>
      </c>
      <c r="L453" s="31" t="s">
        <v>4</v>
      </c>
      <c r="M453" t="str">
        <f>VLOOKUP(A453,Response!$A:$M,7,)</f>
        <v>PG (Paying Guest)</v>
      </c>
      <c r="N453" t="str">
        <f>VLOOKUP(A453,Response!$A:$M,8,)</f>
        <v xml:space="preserve">Krishna Nivas Ladies PG </v>
      </c>
      <c r="O453" s="4">
        <f>VLOOKUP(A453,Response!$A:$M,10,)</f>
        <v>4</v>
      </c>
      <c r="P453" t="str">
        <f>VLOOKUP(A453,Response!$A:$M,12,)</f>
        <v>No</v>
      </c>
      <c r="Q453" t="str">
        <f>VLOOKUP(A453,Response!$A:$M,11,)</f>
        <v>Egattur</v>
      </c>
      <c r="R453" t="s">
        <v>19</v>
      </c>
      <c r="S453" s="39" t="s">
        <v>37</v>
      </c>
    </row>
    <row r="454" spans="1:19">
      <c r="A454" s="3">
        <v>2533061</v>
      </c>
      <c r="B454" t="str">
        <f>VLOOKUP(A454,File!$A:$J,2,FALSE)</f>
        <v>Ganchi Ravitha</v>
      </c>
      <c r="C454" s="29">
        <f>VLOOKUP(A454,File!$A:$J,5,FALSE)</f>
        <v>46259</v>
      </c>
      <c r="D454" s="29" t="str">
        <f>VLOOKUP(A454,File!$A:$J,3,FALSE)</f>
        <v>Female</v>
      </c>
      <c r="E454" s="29" t="str">
        <f>VLOOKUP(A454,File!$A:$J,4,FALSE)</f>
        <v>FTE</v>
      </c>
      <c r="F454" s="29" t="str">
        <f>VLOOKUP(A454,File!$A:$J,6,FALSE)</f>
        <v>Chennai</v>
      </c>
      <c r="G454" s="29" t="str">
        <f>VLOOKUP(A454,File!$A:$J,7,FALSE)</f>
        <v>CIS26SN002</v>
      </c>
      <c r="H454" s="29" t="str">
        <f>VLOOKUP(A454,File!$A:$J,8,FALSE)</f>
        <v>Ashiya Begam S</v>
      </c>
      <c r="I454" s="31">
        <f>VLOOKUP(A454,File!$A:$J,9,FALSE)</f>
        <v>46358</v>
      </c>
      <c r="J454" s="31" t="str">
        <f>VLOOKUP(A454,File!$A:$K,11,FALSE)</f>
        <v>Dec 2026</v>
      </c>
      <c r="K454" s="31" t="str">
        <f>VLOOKUP(A454,File!$A:$K,10,FALSE)</f>
        <v>In-Training</v>
      </c>
      <c r="L454" s="31" t="s">
        <v>4</v>
      </c>
      <c r="M454" t="str">
        <f>VLOOKUP(A454,Response!$A:$M,7,)</f>
        <v>PG (Paying Guest)</v>
      </c>
      <c r="N454" t="str">
        <f>VLOOKUP(A454,Response!$A:$M,8,)</f>
        <v>Krishna Nivas Ladies PG - Egattur</v>
      </c>
      <c r="O454" s="4">
        <f>VLOOKUP(A454,Response!$A:$M,10,)</f>
        <v>2</v>
      </c>
      <c r="P454" t="str">
        <f>VLOOKUP(A454,Response!$A:$M,12,)</f>
        <v>No</v>
      </c>
      <c r="Q454" t="str">
        <f>VLOOKUP(A454,Response!$A:$M,11,)</f>
        <v>Egattur</v>
      </c>
      <c r="R454" t="s">
        <v>19</v>
      </c>
      <c r="S454" s="39" t="s">
        <v>37</v>
      </c>
    </row>
    <row r="455" spans="1:19">
      <c r="A455" s="3">
        <v>2530188</v>
      </c>
      <c r="B455" t="str">
        <f>VLOOKUP(A455,File!$A:$J,2,FALSE)</f>
        <v>Vaibhavlakshmi S P</v>
      </c>
      <c r="C455" s="29">
        <f>VLOOKUP(A455,File!$A:$J,5,FALSE)</f>
        <v>46247</v>
      </c>
      <c r="D455" s="29" t="str">
        <f>VLOOKUP(A455,File!$A:$J,3,FALSE)</f>
        <v>Female</v>
      </c>
      <c r="E455" s="29" t="str">
        <f>VLOOKUP(A455,File!$A:$J,4,FALSE)</f>
        <v>FTE</v>
      </c>
      <c r="F455" s="29" t="str">
        <f>VLOOKUP(A455,File!$A:$J,6,FALSE)</f>
        <v>Chennai</v>
      </c>
      <c r="G455" s="29" t="str">
        <f>VLOOKUP(A455,File!$A:$J,7,FALSE)</f>
        <v>CIS26DWP026</v>
      </c>
      <c r="H455" s="29" t="str">
        <f>VLOOKUP(A455,File!$A:$J,8,FALSE)</f>
        <v>Shunmugasundari A</v>
      </c>
      <c r="I455" s="31">
        <f>VLOOKUP(A455,File!$A:$J,9,FALSE)</f>
        <v>46314</v>
      </c>
      <c r="J455" s="31" t="str">
        <f>VLOOKUP(A455,File!$A:$K,11,FALSE)</f>
        <v>Oct 2026</v>
      </c>
      <c r="K455" s="31" t="str">
        <f>VLOOKUP(A455,File!$A:$K,10,FALSE)</f>
        <v>In-Training</v>
      </c>
      <c r="L455" s="31" t="s">
        <v>4</v>
      </c>
      <c r="M455" t="str">
        <f>VLOOKUP(A455,Response!$A:$M,7,)</f>
        <v>PG (Paying Guest)</v>
      </c>
      <c r="N455" t="str">
        <f>VLOOKUP(A455,Response!$A:$M,8,)</f>
        <v>Krishna Nivas Ladies PG - Egattur</v>
      </c>
      <c r="O455" s="4">
        <f>VLOOKUP(A455,Response!$A:$M,10,)</f>
        <v>3</v>
      </c>
      <c r="P455" t="str">
        <f>VLOOKUP(A455,Response!$A:$M,12,)</f>
        <v>Yes</v>
      </c>
      <c r="Q455" t="str">
        <f>VLOOKUP(A455,Response!$A:$M,11,)</f>
        <v>Egattur</v>
      </c>
      <c r="R455" t="s">
        <v>19</v>
      </c>
      <c r="S455" s="39" t="s">
        <v>37</v>
      </c>
    </row>
    <row r="456" spans="1:19">
      <c r="A456" s="3">
        <v>2530193</v>
      </c>
      <c r="B456" t="str">
        <f>VLOOKUP(A456,File!$A:$J,2,FALSE)</f>
        <v>Sruthi Raghunathan</v>
      </c>
      <c r="C456" s="29">
        <f>VLOOKUP(A456,File!$A:$J,5,FALSE)</f>
        <v>46247</v>
      </c>
      <c r="D456" s="29" t="str">
        <f>VLOOKUP(A456,File!$A:$J,3,FALSE)</f>
        <v>Female</v>
      </c>
      <c r="E456" s="29" t="str">
        <f>VLOOKUP(A456,File!$A:$J,4,FALSE)</f>
        <v>FTE</v>
      </c>
      <c r="F456" s="29" t="str">
        <f>VLOOKUP(A456,File!$A:$J,6,FALSE)</f>
        <v>Chennai</v>
      </c>
      <c r="G456" s="29" t="str">
        <f>VLOOKUP(A456,File!$A:$J,7,FALSE)</f>
        <v>CIS26DWP026</v>
      </c>
      <c r="H456" s="29" t="str">
        <f>VLOOKUP(A456,File!$A:$J,8,FALSE)</f>
        <v>Shunmugasundari A</v>
      </c>
      <c r="I456" s="31">
        <f>VLOOKUP(A456,File!$A:$J,9,FALSE)</f>
        <v>46314</v>
      </c>
      <c r="J456" s="31" t="str">
        <f>VLOOKUP(A456,File!$A:$K,11,FALSE)</f>
        <v>Oct 2026</v>
      </c>
      <c r="K456" s="31" t="str">
        <f>VLOOKUP(A456,File!$A:$K,10,FALSE)</f>
        <v>In-Training</v>
      </c>
      <c r="L456" s="31" t="s">
        <v>4</v>
      </c>
      <c r="M456" t="str">
        <f>VLOOKUP(A456,Response!$A:$M,7,)</f>
        <v>PG (Paying Guest)</v>
      </c>
      <c r="N456" t="str">
        <f>VLOOKUP(A456,Response!$A:$M,8,)</f>
        <v>Krishna Nivas Ladies PG - Egattur</v>
      </c>
      <c r="O456" s="4">
        <f>VLOOKUP(A456,Response!$A:$M,10,)</f>
        <v>3</v>
      </c>
      <c r="P456" t="str">
        <f>VLOOKUP(A456,Response!$A:$M,12,)</f>
        <v>Yes</v>
      </c>
      <c r="Q456" t="str">
        <f>VLOOKUP(A456,Response!$A:$M,11,)</f>
        <v>Navalur</v>
      </c>
      <c r="R456" t="s">
        <v>19</v>
      </c>
      <c r="S456" s="39" t="s">
        <v>37</v>
      </c>
    </row>
    <row r="457" spans="1:19">
      <c r="A457" s="3">
        <v>2533035</v>
      </c>
      <c r="B457" t="str">
        <f>VLOOKUP(A457,File!$A:$J,2,FALSE)</f>
        <v>Hemaarthi G</v>
      </c>
      <c r="C457" s="29">
        <f>VLOOKUP(A457,File!$A:$J,5,FALSE)</f>
        <v>46259</v>
      </c>
      <c r="D457" s="29" t="str">
        <f>VLOOKUP(A457,File!$A:$J,3,FALSE)</f>
        <v>Female</v>
      </c>
      <c r="E457" s="29" t="str">
        <f>VLOOKUP(A457,File!$A:$J,4,FALSE)</f>
        <v>FTE</v>
      </c>
      <c r="F457" s="29" t="str">
        <f>VLOOKUP(A457,File!$A:$J,6,FALSE)</f>
        <v>Chennai</v>
      </c>
      <c r="G457" s="29" t="str">
        <f>VLOOKUP(A457,File!$A:$J,7,FALSE)</f>
        <v>CIS26MBG006</v>
      </c>
      <c r="H457" s="29" t="str">
        <f>VLOOKUP(A457,File!$A:$J,8,FALSE)</f>
        <v>Angel Maria Faustina Gomez</v>
      </c>
      <c r="I457" s="31">
        <f>VLOOKUP(A457,File!$A:$J,9,FALSE)</f>
        <v>46367</v>
      </c>
      <c r="J457" s="31" t="str">
        <f>VLOOKUP(A457,File!$A:$K,11,FALSE)</f>
        <v>Dec 2026</v>
      </c>
      <c r="K457" s="31" t="str">
        <f>VLOOKUP(A457,File!$A:$K,10,FALSE)</f>
        <v>In-Training</v>
      </c>
      <c r="L457" s="31" t="s">
        <v>4</v>
      </c>
      <c r="M457" t="str">
        <f>VLOOKUP(A457,Response!$A:$M,7,)</f>
        <v>PG (Paying Guest)</v>
      </c>
      <c r="N457" t="str">
        <f>VLOOKUP(A457,Response!$A:$M,8,)</f>
        <v>Krishna Nivas Ladies PG , Egattur</v>
      </c>
      <c r="O457" s="4">
        <f>VLOOKUP(A457,Response!$A:$M,10,)</f>
        <v>2</v>
      </c>
      <c r="P457" t="str">
        <f>VLOOKUP(A457,Response!$A:$M,12,)</f>
        <v>No</v>
      </c>
      <c r="Q457" t="str">
        <f>VLOOKUP(A457,Response!$A:$M,11,)</f>
        <v>Siruseri</v>
      </c>
      <c r="R457" t="s">
        <v>19</v>
      </c>
      <c r="S457" s="39" t="s">
        <v>37</v>
      </c>
    </row>
    <row r="458" spans="1:19">
      <c r="A458" s="3">
        <v>2530183</v>
      </c>
      <c r="B458" t="str">
        <f>VLOOKUP(A458,File!$A:$J,2,FALSE)</f>
        <v>Akanksha Konakandla</v>
      </c>
      <c r="C458" s="29">
        <f>VLOOKUP(A458,File!$A:$J,5,FALSE)</f>
        <v>46247</v>
      </c>
      <c r="D458" s="29" t="str">
        <f>VLOOKUP(A458,File!$A:$J,3,FALSE)</f>
        <v>Female</v>
      </c>
      <c r="E458" s="29" t="str">
        <f>VLOOKUP(A458,File!$A:$J,4,FALSE)</f>
        <v>FTE</v>
      </c>
      <c r="F458" s="29" t="str">
        <f>VLOOKUP(A458,File!$A:$J,6,FALSE)</f>
        <v>Chennai</v>
      </c>
      <c r="G458" s="29" t="str">
        <f>VLOOKUP(A458,File!$A:$J,7,FALSE)</f>
        <v>EPS26OSP010</v>
      </c>
      <c r="H458" s="29" t="str">
        <f>VLOOKUP(A458,File!$A:$J,8,FALSE)</f>
        <v>Vishnupriya Dakshnamurthy</v>
      </c>
      <c r="I458" s="31">
        <f>VLOOKUP(A458,File!$A:$J,9,FALSE)</f>
        <v>46357</v>
      </c>
      <c r="J458" s="31" t="str">
        <f>VLOOKUP(A458,File!$A:$K,11,FALSE)</f>
        <v>Dec 2026</v>
      </c>
      <c r="K458" s="31" t="str">
        <f>VLOOKUP(A458,File!$A:$K,10,FALSE)</f>
        <v>In-Training</v>
      </c>
      <c r="L458" s="31" t="s">
        <v>4</v>
      </c>
      <c r="M458" t="str">
        <f>VLOOKUP(A458,Response!$A:$M,7,)</f>
        <v>PG (Paying Guest)</v>
      </c>
      <c r="N458" t="str">
        <f>VLOOKUP(A458,Response!$A:$M,8,)</f>
        <v xml:space="preserve">Krishna Nivas ladies pg , egattur , near marina mall </v>
      </c>
      <c r="O458" s="4">
        <f>VLOOKUP(A458,Response!$A:$M,10,)</f>
        <v>2</v>
      </c>
      <c r="P458" t="str">
        <f>VLOOKUP(A458,Response!$A:$M,12,)</f>
        <v>No</v>
      </c>
      <c r="Q458" t="str">
        <f>VLOOKUP(A458,Response!$A:$M,11,)</f>
        <v>Egattur</v>
      </c>
      <c r="R458" t="s">
        <v>19</v>
      </c>
      <c r="S458" s="39" t="s">
        <v>37</v>
      </c>
    </row>
    <row r="459" spans="1:19">
      <c r="A459" s="3">
        <v>2521078</v>
      </c>
      <c r="B459" t="str">
        <f>VLOOKUP(A459,File!$A:$J,2,FALSE)</f>
        <v>Kokiladevi P</v>
      </c>
      <c r="C459" s="29">
        <f>VLOOKUP(A459,File!$A:$J,5,FALSE)</f>
        <v>46210</v>
      </c>
      <c r="D459" s="29" t="str">
        <f>VLOOKUP(A459,File!$A:$J,3,FALSE)</f>
        <v>Female</v>
      </c>
      <c r="E459" s="29" t="str">
        <f>VLOOKUP(A459,File!$A:$J,4,FALSE)</f>
        <v>FTE</v>
      </c>
      <c r="F459" s="29" t="str">
        <f>VLOOKUP(A459,File!$A:$J,6,FALSE)</f>
        <v>Chennai</v>
      </c>
      <c r="G459" s="29" t="str">
        <f>VLOOKUP(A459,File!$A:$J,7,FALSE)</f>
        <v>HPC26DN005</v>
      </c>
      <c r="H459" s="29" t="str">
        <f>VLOOKUP(A459,File!$A:$J,8,FALSE)</f>
        <v>Viveka Preethi</v>
      </c>
      <c r="I459" s="31">
        <f>VLOOKUP(A459,File!$A:$J,9,FALSE)</f>
        <v>46296</v>
      </c>
      <c r="J459" s="31" t="str">
        <f>VLOOKUP(A459,File!$A:$K,11,FALSE)</f>
        <v>Oct 2026</v>
      </c>
      <c r="K459" s="31" t="str">
        <f>VLOOKUP(A459,File!$A:$K,10,FALSE)</f>
        <v>In-Training</v>
      </c>
      <c r="L459" s="31" t="s">
        <v>4</v>
      </c>
      <c r="M459" t="str">
        <f>VLOOKUP(A459,Response!$A:$M,7,)</f>
        <v>PG (Paying Guest)</v>
      </c>
      <c r="N459" t="str">
        <f>VLOOKUP(A459,Response!$A:$M,8,)</f>
        <v>Krishna Nivas Ladies PG ,Egatur.</v>
      </c>
      <c r="O459" s="4">
        <f>VLOOKUP(A459,Response!$A:$M,10,)</f>
        <v>3</v>
      </c>
      <c r="P459" t="str">
        <f>VLOOKUP(A459,Response!$A:$M,12,)</f>
        <v>Yes</v>
      </c>
      <c r="Q459" t="str">
        <f>VLOOKUP(A459,Response!$A:$M,11,)</f>
        <v>Egattur</v>
      </c>
      <c r="R459" t="s">
        <v>19</v>
      </c>
      <c r="S459" s="39" t="s">
        <v>37</v>
      </c>
    </row>
    <row r="460" spans="1:19">
      <c r="A460" s="3">
        <v>2532956</v>
      </c>
      <c r="B460" t="str">
        <f>VLOOKUP(A460,File!$A:$J,2,FALSE)</f>
        <v>Bantumilli Jeeva Lalithya</v>
      </c>
      <c r="C460" s="29">
        <f>VLOOKUP(A460,File!$A:$J,5,FALSE)</f>
        <v>46259</v>
      </c>
      <c r="D460" s="29" t="str">
        <f>VLOOKUP(A460,File!$A:$J,3,FALSE)</f>
        <v>Female</v>
      </c>
      <c r="E460" s="29" t="str">
        <f>VLOOKUP(A460,File!$A:$J,4,FALSE)</f>
        <v>FTE</v>
      </c>
      <c r="F460" s="29" t="str">
        <f>VLOOKUP(A460,File!$A:$J,6,FALSE)</f>
        <v>Chennai</v>
      </c>
      <c r="G460" s="29" t="str">
        <f>VLOOKUP(A460,File!$A:$J,7,FALSE)</f>
        <v>CIS26SN002</v>
      </c>
      <c r="H460" s="29" t="str">
        <f>VLOOKUP(A460,File!$A:$J,8,FALSE)</f>
        <v>Ashiya Begam S</v>
      </c>
      <c r="I460" s="31">
        <f>VLOOKUP(A460,File!$A:$J,9,FALSE)</f>
        <v>46358</v>
      </c>
      <c r="J460" s="31" t="str">
        <f>VLOOKUP(A460,File!$A:$K,11,FALSE)</f>
        <v>Dec 2026</v>
      </c>
      <c r="K460" s="31" t="str">
        <f>VLOOKUP(A460,File!$A:$K,10,FALSE)</f>
        <v>In-Training</v>
      </c>
      <c r="L460" s="31" t="s">
        <v>4</v>
      </c>
      <c r="M460" t="str">
        <f>VLOOKUP(A460,Response!$A:$M,7,)</f>
        <v>PG (Paying Guest)</v>
      </c>
      <c r="N460" t="str">
        <f>VLOOKUP(A460,Response!$A:$M,8,)</f>
        <v>Krishna Nivas Ladies Pg- Egattur</v>
      </c>
      <c r="O460" s="4">
        <f>VLOOKUP(A460,Response!$A:$M,10,)</f>
        <v>2</v>
      </c>
      <c r="P460" t="str">
        <f>VLOOKUP(A460,Response!$A:$M,12,)</f>
        <v>No</v>
      </c>
      <c r="Q460" t="str">
        <f>VLOOKUP(A460,Response!$A:$M,11,)</f>
        <v>Egattur</v>
      </c>
      <c r="R460" t="s">
        <v>19</v>
      </c>
      <c r="S460" s="39" t="s">
        <v>37</v>
      </c>
    </row>
    <row r="461" spans="1:19">
      <c r="A461" s="3">
        <v>2530182</v>
      </c>
      <c r="B461" t="str">
        <f>VLOOKUP(A461,File!$A:$J,2,FALSE)</f>
        <v>Anne Debora P</v>
      </c>
      <c r="C461" s="29">
        <f>VLOOKUP(A461,File!$A:$J,5,FALSE)</f>
        <v>46247</v>
      </c>
      <c r="D461" s="29" t="str">
        <f>VLOOKUP(A461,File!$A:$J,3,FALSE)</f>
        <v>Female</v>
      </c>
      <c r="E461" s="29" t="str">
        <f>VLOOKUP(A461,File!$A:$J,4,FALSE)</f>
        <v>FTE</v>
      </c>
      <c r="F461" s="29" t="str">
        <f>VLOOKUP(A461,File!$A:$J,6,FALSE)</f>
        <v>Chennai</v>
      </c>
      <c r="G461" s="29" t="str">
        <f>VLOOKUP(A461,File!$A:$J,7,FALSE)</f>
        <v>CIS26DWP026</v>
      </c>
      <c r="H461" s="29" t="str">
        <f>VLOOKUP(A461,File!$A:$J,8,FALSE)</f>
        <v>Shunmugasundari A</v>
      </c>
      <c r="I461" s="31">
        <f>VLOOKUP(A461,File!$A:$J,9,FALSE)</f>
        <v>46314</v>
      </c>
      <c r="J461" s="31" t="str">
        <f>VLOOKUP(A461,File!$A:$K,11,FALSE)</f>
        <v>Oct 2026</v>
      </c>
      <c r="K461" s="31" t="str">
        <f>VLOOKUP(A461,File!$A:$K,10,FALSE)</f>
        <v>In-Training</v>
      </c>
      <c r="L461" s="31" t="s">
        <v>4</v>
      </c>
      <c r="M461" t="str">
        <f>VLOOKUP(A461,Response!$A:$M,7,)</f>
        <v>PG (Paying Guest)</v>
      </c>
      <c r="N461" t="str">
        <f>VLOOKUP(A461,Response!$A:$M,8,)</f>
        <v>Krishna Nivas Ladies PG- Egattur</v>
      </c>
      <c r="O461" s="4">
        <f>VLOOKUP(A461,Response!$A:$M,10,)</f>
        <v>3</v>
      </c>
      <c r="P461" t="str">
        <f>VLOOKUP(A461,Response!$A:$M,12,)</f>
        <v>Yes</v>
      </c>
      <c r="Q461" t="str">
        <f>VLOOKUP(A461,Response!$A:$M,11,)</f>
        <v>Egattur</v>
      </c>
      <c r="R461" t="s">
        <v>19</v>
      </c>
      <c r="S461" s="39" t="s">
        <v>37</v>
      </c>
    </row>
    <row r="462" spans="1:19">
      <c r="A462" s="3">
        <v>2524586</v>
      </c>
      <c r="B462" t="str">
        <f>VLOOKUP(A462,File!$A:$J,2,FALSE)</f>
        <v>Lakshana V</v>
      </c>
      <c r="C462" s="29">
        <f>VLOOKUP(A462,File!$A:$J,5,FALSE)</f>
        <v>46224</v>
      </c>
      <c r="D462" s="29" t="str">
        <f>VLOOKUP(A462,File!$A:$J,3,FALSE)</f>
        <v>Female</v>
      </c>
      <c r="E462" s="29" t="str">
        <f>VLOOKUP(A462,File!$A:$J,4,FALSE)</f>
        <v>FTE</v>
      </c>
      <c r="F462" s="29" t="str">
        <f>VLOOKUP(A462,File!$A:$J,6,FALSE)</f>
        <v>Chennai</v>
      </c>
      <c r="G462" s="29" t="str">
        <f>VLOOKUP(A462,File!$A:$J,7,FALSE)</f>
        <v>ADM26DFSA007</v>
      </c>
      <c r="H462" s="29" t="str">
        <f>VLOOKUP(A462,File!$A:$J,8,FALSE)</f>
        <v>Sweta Thoppil</v>
      </c>
      <c r="I462" s="31">
        <f>VLOOKUP(A462,File!$A:$J,9,FALSE)</f>
        <v>46336</v>
      </c>
      <c r="J462" s="31" t="str">
        <f>VLOOKUP(A462,File!$A:$K,11,FALSE)</f>
        <v>Nov 2026</v>
      </c>
      <c r="K462" s="31" t="str">
        <f>VLOOKUP(A462,File!$A:$K,10,FALSE)</f>
        <v>In-Training</v>
      </c>
      <c r="L462" s="31" t="s">
        <v>4</v>
      </c>
      <c r="M462" t="str">
        <f>VLOOKUP(A462,Response!$A:$M,7,)</f>
        <v>PG (Paying Guest)</v>
      </c>
      <c r="N462" t="str">
        <f>VLOOKUP(A462,Response!$A:$M,8,)</f>
        <v>Krishna Nivas Ladies PG, Egattur</v>
      </c>
      <c r="O462" s="4">
        <f>VLOOKUP(A462,Response!$A:$M,10,)</f>
        <v>1</v>
      </c>
      <c r="P462" t="str">
        <f>VLOOKUP(A462,Response!$A:$M,12,)</f>
        <v>No</v>
      </c>
      <c r="Q462" t="str">
        <f>VLOOKUP(A462,Response!$A:$M,11,)</f>
        <v>Egattur</v>
      </c>
      <c r="R462" t="s">
        <v>19</v>
      </c>
      <c r="S462" s="39" t="s">
        <v>37</v>
      </c>
    </row>
    <row r="463" spans="1:19">
      <c r="A463" s="3">
        <v>2521299</v>
      </c>
      <c r="B463" t="str">
        <f>VLOOKUP(A463,File!$A:$J,2,FALSE)</f>
        <v>Sayala Revathi</v>
      </c>
      <c r="C463" s="29">
        <f>VLOOKUP(A463,File!$A:$J,5,FALSE)</f>
        <v>46210</v>
      </c>
      <c r="D463" s="29" t="str">
        <f>VLOOKUP(A463,File!$A:$J,3,FALSE)</f>
        <v>Female</v>
      </c>
      <c r="E463" s="29" t="str">
        <f>VLOOKUP(A463,File!$A:$J,4,FALSE)</f>
        <v>FTE</v>
      </c>
      <c r="F463" s="29" t="str">
        <f>VLOOKUP(A463,File!$A:$J,6,FALSE)</f>
        <v>Chennai</v>
      </c>
      <c r="G463" s="29" t="str">
        <f>VLOOKUP(A463,File!$A:$J,7,FALSE)</f>
        <v>CIS26SN001</v>
      </c>
      <c r="H463" s="29" t="str">
        <f>VLOOKUP(A463,File!$A:$J,8,FALSE)</f>
        <v>Ashiya Begam S</v>
      </c>
      <c r="I463" s="31">
        <f>VLOOKUP(A463,File!$A:$J,9,FALSE)</f>
        <v>46281</v>
      </c>
      <c r="J463" s="31" t="str">
        <f>VLOOKUP(A463,File!$A:$K,11,FALSE)</f>
        <v>Sep 2026</v>
      </c>
      <c r="K463" s="31" t="str">
        <f>VLOOKUP(A463,File!$A:$K,10,FALSE)</f>
        <v>In-Training</v>
      </c>
      <c r="L463" s="31" t="s">
        <v>4</v>
      </c>
      <c r="M463" t="str">
        <f>VLOOKUP(A463,Response!$A:$M,7,)</f>
        <v>PG (Paying Guest)</v>
      </c>
      <c r="N463" t="str">
        <f>VLOOKUP(A463,Response!$A:$M,8,)</f>
        <v>Krishna nivas ladies PG, Egattur</v>
      </c>
      <c r="O463" s="4">
        <f>VLOOKUP(A463,Response!$A:$M,10,)</f>
        <v>1</v>
      </c>
      <c r="P463" t="str">
        <f>VLOOKUP(A463,Response!$A:$M,12,)</f>
        <v>No</v>
      </c>
      <c r="Q463" t="str">
        <f>VLOOKUP(A463,Response!$A:$M,11,)</f>
        <v>Egattur</v>
      </c>
      <c r="R463" t="s">
        <v>19</v>
      </c>
      <c r="S463" s="39" t="s">
        <v>37</v>
      </c>
    </row>
    <row r="464" spans="1:19">
      <c r="A464" s="3">
        <v>2533185</v>
      </c>
      <c r="B464" t="str">
        <f>VLOOKUP(A464,File!$A:$J,2,FALSE)</f>
        <v>Potla Harshitha</v>
      </c>
      <c r="C464" s="29">
        <f>VLOOKUP(A464,File!$A:$J,5,FALSE)</f>
        <v>46259</v>
      </c>
      <c r="D464" s="29" t="str">
        <f>VLOOKUP(A464,File!$A:$J,3,FALSE)</f>
        <v>Female</v>
      </c>
      <c r="E464" s="29" t="str">
        <f>VLOOKUP(A464,File!$A:$J,4,FALSE)</f>
        <v>FTE</v>
      </c>
      <c r="F464" s="29" t="str">
        <f>VLOOKUP(A464,File!$A:$J,6,FALSE)</f>
        <v>Chennai</v>
      </c>
      <c r="G464" s="29" t="str">
        <f>VLOOKUP(A464,File!$A:$J,7,FALSE)</f>
        <v>CIS26AT008</v>
      </c>
      <c r="H464" s="29" t="str">
        <f>VLOOKUP(A464,File!$A:$J,8,FALSE)</f>
        <v>Uma Venkatachalam</v>
      </c>
      <c r="I464" s="31">
        <f>VLOOKUP(A464,File!$A:$J,9,FALSE)</f>
        <v>46365</v>
      </c>
      <c r="J464" s="31" t="str">
        <f>VLOOKUP(A464,File!$A:$K,11,FALSE)</f>
        <v>Dec 2026</v>
      </c>
      <c r="K464" s="31" t="str">
        <f>VLOOKUP(A464,File!$A:$K,10,FALSE)</f>
        <v>In-Training</v>
      </c>
      <c r="L464" s="31" t="s">
        <v>4</v>
      </c>
      <c r="M464" t="str">
        <f>VLOOKUP(A464,Response!$A:$M,7,)</f>
        <v>PG (Paying Guest)</v>
      </c>
      <c r="N464" t="str">
        <f>VLOOKUP(A464,Response!$A:$M,8,)</f>
        <v>Krishna nivas ladies pg, Egattur</v>
      </c>
      <c r="O464" s="4">
        <f>VLOOKUP(A464,Response!$A:$M,10,)</f>
        <v>1</v>
      </c>
      <c r="P464" t="str">
        <f>VLOOKUP(A464,Response!$A:$M,12,)</f>
        <v>No</v>
      </c>
      <c r="Q464" t="str">
        <f>VLOOKUP(A464,Response!$A:$M,11,)</f>
        <v>Egattur</v>
      </c>
      <c r="R464" t="s">
        <v>19</v>
      </c>
      <c r="S464" s="39" t="s">
        <v>37</v>
      </c>
    </row>
    <row r="465" spans="1:19">
      <c r="A465" s="3">
        <v>2531385</v>
      </c>
      <c r="B465" t="str">
        <f>VLOOKUP(A465,File!$A:$J,2,FALSE)</f>
        <v>Goli Sri Godha</v>
      </c>
      <c r="C465" s="29">
        <f>VLOOKUP(A465,File!$A:$J,5,FALSE)</f>
        <v>46252</v>
      </c>
      <c r="D465" s="29" t="str">
        <f>VLOOKUP(A465,File!$A:$J,3,FALSE)</f>
        <v>Female</v>
      </c>
      <c r="E465" s="29" t="str">
        <f>VLOOKUP(A465,File!$A:$J,4,FALSE)</f>
        <v>FTE</v>
      </c>
      <c r="F465" s="29" t="str">
        <f>VLOOKUP(A465,File!$A:$J,6,FALSE)</f>
        <v>Chennai</v>
      </c>
      <c r="G465" s="29" t="str">
        <f>VLOOKUP(A465,File!$A:$J,7,FALSE)</f>
        <v>CIS26AT007</v>
      </c>
      <c r="H465" s="29" t="str">
        <f>VLOOKUP(A465,File!$A:$J,8,FALSE)</f>
        <v>Uma Venkatachalam</v>
      </c>
      <c r="I465" s="31">
        <f>VLOOKUP(A465,File!$A:$J,9,FALSE)</f>
        <v>46365</v>
      </c>
      <c r="J465" s="31" t="str">
        <f>VLOOKUP(A465,File!$A:$K,11,FALSE)</f>
        <v>Dec 2026</v>
      </c>
      <c r="K465" s="31" t="str">
        <f>VLOOKUP(A465,File!$A:$K,10,FALSE)</f>
        <v>In-Training</v>
      </c>
      <c r="L465" s="31" t="s">
        <v>4</v>
      </c>
      <c r="M465" t="str">
        <f>VLOOKUP(A465,Response!$A:$M,7,)</f>
        <v>PG (Paying Guest)</v>
      </c>
      <c r="N465" t="str">
        <f>VLOOKUP(A465,Response!$A:$M,8,)</f>
        <v>Krishna Nivas Ladies PG, Egattur</v>
      </c>
      <c r="O465" s="4">
        <f>VLOOKUP(A465,Response!$A:$M,10,)</f>
        <v>2</v>
      </c>
      <c r="P465" t="str">
        <f>VLOOKUP(A465,Response!$A:$M,12,)</f>
        <v>No</v>
      </c>
      <c r="Q465" t="str">
        <f>VLOOKUP(A465,Response!$A:$M,11,)</f>
        <v>Egattur</v>
      </c>
      <c r="R465" t="s">
        <v>19</v>
      </c>
      <c r="S465" s="39" t="s">
        <v>37</v>
      </c>
    </row>
    <row r="466" spans="1:19">
      <c r="A466" s="3">
        <v>2511224</v>
      </c>
      <c r="B466" t="str">
        <f>VLOOKUP(A466,File!$A:$J,2,FALSE)</f>
        <v>Disha Manishbhai Chachpara</v>
      </c>
      <c r="C466" s="29">
        <f>VLOOKUP(A466,File!$A:$J,5,FALSE)</f>
        <v>46163</v>
      </c>
      <c r="D466" s="29" t="str">
        <f>VLOOKUP(A466,File!$A:$J,3,FALSE)</f>
        <v>Female</v>
      </c>
      <c r="E466" s="29" t="str">
        <f>VLOOKUP(A466,File!$A:$J,4,FALSE)</f>
        <v>FTE</v>
      </c>
      <c r="F466" s="29" t="str">
        <f>VLOOKUP(A466,File!$A:$J,6,FALSE)</f>
        <v>Chennai</v>
      </c>
      <c r="G466" s="29" t="str">
        <f>VLOOKUP(A466,File!$A:$J,7,FALSE)</f>
        <v>CIS26MCPT010</v>
      </c>
      <c r="H466" s="29" t="str">
        <f>VLOOKUP(A466,File!$A:$J,8,FALSE)</f>
        <v>Mohamed Harish</v>
      </c>
      <c r="I466" s="31">
        <f>VLOOKUP(A466,File!$A:$J,9,FALSE)</f>
        <v>46275</v>
      </c>
      <c r="J466" s="31" t="str">
        <f>VLOOKUP(A466,File!$A:$K,11,FALSE)</f>
        <v>Sep 2026</v>
      </c>
      <c r="K466" s="31" t="str">
        <f>VLOOKUP(A466,File!$A:$K,10,FALSE)</f>
        <v>In-Training</v>
      </c>
      <c r="L466" s="31" t="s">
        <v>4</v>
      </c>
      <c r="M466" t="str">
        <f>VLOOKUP(A466,Response!$A:$M,7,)</f>
        <v>PG (Paying Guest)</v>
      </c>
      <c r="N466" t="str">
        <f>VLOOKUP(A466,Response!$A:$M,8,)</f>
        <v>krishna Nivas ladies PG, Egattur</v>
      </c>
      <c r="O466" s="4">
        <f>VLOOKUP(A466,Response!$A:$M,10,)</f>
        <v>3</v>
      </c>
      <c r="P466" t="str">
        <f>VLOOKUP(A466,Response!$A:$M,12,)</f>
        <v>No</v>
      </c>
      <c r="Q466" t="str">
        <f>VLOOKUP(A466,Response!$A:$M,11,)</f>
        <v>Egattur</v>
      </c>
      <c r="R466" t="s">
        <v>19</v>
      </c>
      <c r="S466" s="39" t="s">
        <v>37</v>
      </c>
    </row>
    <row r="467" spans="1:19">
      <c r="A467" s="3">
        <v>2521063</v>
      </c>
      <c r="B467" t="str">
        <f>VLOOKUP(A467,File!$A:$J,2,FALSE)</f>
        <v>Safrin Bargana A</v>
      </c>
      <c r="C467" s="29">
        <f>VLOOKUP(A467,File!$A:$J,5,FALSE)</f>
        <v>46210</v>
      </c>
      <c r="D467" s="29" t="str">
        <f>VLOOKUP(A467,File!$A:$J,3,FALSE)</f>
        <v>Female</v>
      </c>
      <c r="E467" s="29" t="str">
        <f>VLOOKUP(A467,File!$A:$J,4,FALSE)</f>
        <v>FTE</v>
      </c>
      <c r="F467" s="29" t="str">
        <f>VLOOKUP(A467,File!$A:$J,6,FALSE)</f>
        <v>Chennai</v>
      </c>
      <c r="G467" s="29" t="str">
        <f>VLOOKUP(A467,File!$A:$J,7,FALSE)</f>
        <v>HPC26DN005</v>
      </c>
      <c r="H467" s="29" t="str">
        <f>VLOOKUP(A467,File!$A:$J,8,FALSE)</f>
        <v>Viveka Preethi</v>
      </c>
      <c r="I467" s="31">
        <f>VLOOKUP(A467,File!$A:$J,9,FALSE)</f>
        <v>46296</v>
      </c>
      <c r="J467" s="31" t="str">
        <f>VLOOKUP(A467,File!$A:$K,11,FALSE)</f>
        <v>Oct 2026</v>
      </c>
      <c r="K467" s="31" t="str">
        <f>VLOOKUP(A467,File!$A:$K,10,FALSE)</f>
        <v>In-Training</v>
      </c>
      <c r="L467" s="31" t="s">
        <v>4</v>
      </c>
      <c r="M467" t="str">
        <f>VLOOKUP(A467,Response!$A:$M,7,)</f>
        <v>PG (Paying Guest)</v>
      </c>
      <c r="N467" t="str">
        <f>VLOOKUP(A467,Response!$A:$M,8,)</f>
        <v>Krishna Nivas Ladies PG, Egattur</v>
      </c>
      <c r="O467" s="4">
        <f>VLOOKUP(A467,Response!$A:$M,10,)</f>
        <v>3</v>
      </c>
      <c r="P467" t="str">
        <f>VLOOKUP(A467,Response!$A:$M,12,)</f>
        <v>No</v>
      </c>
      <c r="Q467" t="str">
        <f>VLOOKUP(A467,Response!$A:$M,11,)</f>
        <v>Egattur</v>
      </c>
      <c r="R467" t="s">
        <v>19</v>
      </c>
      <c r="S467" s="39" t="s">
        <v>37</v>
      </c>
    </row>
    <row r="468" spans="1:19">
      <c r="A468" s="3">
        <v>2533156</v>
      </c>
      <c r="B468" t="str">
        <f>VLOOKUP(A468,File!$A:$J,2,FALSE)</f>
        <v>Bhagya Lakshmi Makina</v>
      </c>
      <c r="C468" s="29">
        <f>VLOOKUP(A468,File!$A:$J,5,FALSE)</f>
        <v>46259</v>
      </c>
      <c r="D468" s="29" t="str">
        <f>VLOOKUP(A468,File!$A:$J,3,FALSE)</f>
        <v>Female</v>
      </c>
      <c r="E468" s="29" t="str">
        <f>VLOOKUP(A468,File!$A:$J,4,FALSE)</f>
        <v>FTE</v>
      </c>
      <c r="F468" s="29" t="str">
        <f>VLOOKUP(A468,File!$A:$J,6,FALSE)</f>
        <v>Chennai</v>
      </c>
      <c r="G468" s="29" t="str">
        <f>VLOOKUP(A468,File!$A:$J,7,FALSE)</f>
        <v>CIS26MBG007</v>
      </c>
      <c r="H468" s="29" t="str">
        <f>VLOOKUP(A468,File!$A:$J,8,FALSE)</f>
        <v>Lawrance M</v>
      </c>
      <c r="I468" s="31">
        <f>VLOOKUP(A468,File!$A:$J,9,FALSE)</f>
        <v>46367</v>
      </c>
      <c r="J468" s="31" t="str">
        <f>VLOOKUP(A468,File!$A:$K,11,FALSE)</f>
        <v>Dec 2026</v>
      </c>
      <c r="K468" s="31" t="str">
        <f>VLOOKUP(A468,File!$A:$K,10,FALSE)</f>
        <v>In-Training</v>
      </c>
      <c r="L468" s="31" t="s">
        <v>4</v>
      </c>
      <c r="M468" t="str">
        <f>VLOOKUP(A468,Response!$A:$M,7,)</f>
        <v>PG (Paying Guest)</v>
      </c>
      <c r="N468" t="str">
        <f>VLOOKUP(A468,Response!$A:$M,8,)</f>
        <v>Krishna Nivas Ladies PG, Egattur</v>
      </c>
      <c r="O468" s="4">
        <f>VLOOKUP(A468,Response!$A:$M,10,)</f>
        <v>3</v>
      </c>
      <c r="P468" t="str">
        <f>VLOOKUP(A468,Response!$A:$M,12,)</f>
        <v>No</v>
      </c>
      <c r="Q468" t="str">
        <f>VLOOKUP(A468,Response!$A:$M,11,)</f>
        <v>Siruseri</v>
      </c>
      <c r="R468" t="s">
        <v>19</v>
      </c>
      <c r="S468" s="39" t="s">
        <v>37</v>
      </c>
    </row>
    <row r="469" spans="1:19">
      <c r="A469" s="3">
        <v>2531966</v>
      </c>
      <c r="B469" t="str">
        <f>VLOOKUP(A469,File!$A:$J,2,FALSE)</f>
        <v>Aasritha Devi Vuddanti</v>
      </c>
      <c r="C469" s="29">
        <f>VLOOKUP(A469,File!$A:$J,5,FALSE)</f>
        <v>46254</v>
      </c>
      <c r="D469" s="29" t="str">
        <f>VLOOKUP(A469,File!$A:$J,3,FALSE)</f>
        <v>Female</v>
      </c>
      <c r="E469" s="29" t="str">
        <f>VLOOKUP(A469,File!$A:$J,4,FALSE)</f>
        <v>FTE</v>
      </c>
      <c r="F469" s="29" t="str">
        <f>VLOOKUP(A469,File!$A:$J,6,FALSE)</f>
        <v>Chennai</v>
      </c>
      <c r="G469" s="29" t="str">
        <f>VLOOKUP(A469,File!$A:$J,7,FALSE)</f>
        <v>CS26CS012</v>
      </c>
      <c r="H469" s="29" t="str">
        <f>VLOOKUP(A469,File!$A:$J,8,FALSE)</f>
        <v>Laksiya Vijayendran</v>
      </c>
      <c r="I469" s="31">
        <f>VLOOKUP(A469,File!$A:$J,9,FALSE)</f>
        <v>46343</v>
      </c>
      <c r="J469" s="31" t="str">
        <f>VLOOKUP(A469,File!$A:$K,11,FALSE)</f>
        <v>Nov 2026</v>
      </c>
      <c r="K469" s="31" t="str">
        <f>VLOOKUP(A469,File!$A:$K,10,FALSE)</f>
        <v>In-Training</v>
      </c>
      <c r="L469" s="31" t="s">
        <v>4</v>
      </c>
      <c r="M469" t="str">
        <f>VLOOKUP(A469,Response!$A:$M,7,)</f>
        <v>PG (Paying Guest)</v>
      </c>
      <c r="N469" t="str">
        <f>VLOOKUP(A469,Response!$A:$M,8,)</f>
        <v>Krishna Nivas Ladies PG, Egattur</v>
      </c>
      <c r="O469" s="4">
        <f>VLOOKUP(A469,Response!$A:$M,10,)</f>
        <v>3</v>
      </c>
      <c r="P469" t="str">
        <f>VLOOKUP(A469,Response!$A:$M,12,)</f>
        <v>No</v>
      </c>
      <c r="Q469" t="str">
        <f>VLOOKUP(A469,Response!$A:$M,11,)</f>
        <v>Egattur</v>
      </c>
      <c r="R469" t="s">
        <v>19</v>
      </c>
      <c r="S469" s="39" t="s">
        <v>37</v>
      </c>
    </row>
    <row r="470" spans="1:19">
      <c r="A470" s="3">
        <v>2530144</v>
      </c>
      <c r="B470" t="str">
        <f>VLOOKUP(A470,File!$A:$J,2,FALSE)</f>
        <v>S Pooja</v>
      </c>
      <c r="C470" s="29">
        <f>VLOOKUP(A470,File!$A:$J,5,FALSE)</f>
        <v>46247</v>
      </c>
      <c r="D470" s="29" t="str">
        <f>VLOOKUP(A470,File!$A:$J,3,FALSE)</f>
        <v>Female</v>
      </c>
      <c r="E470" s="29" t="str">
        <f>VLOOKUP(A470,File!$A:$J,4,FALSE)</f>
        <v>FTE</v>
      </c>
      <c r="F470" s="29" t="str">
        <f>VLOOKUP(A470,File!$A:$J,6,FALSE)</f>
        <v>Chennai</v>
      </c>
      <c r="G470" s="29" t="str">
        <f>VLOOKUP(A470,File!$A:$J,7,FALSE)</f>
        <v>CIS26DWP026</v>
      </c>
      <c r="H470" s="29" t="str">
        <f>VLOOKUP(A470,File!$A:$J,8,FALSE)</f>
        <v>Shunmugasundari A</v>
      </c>
      <c r="I470" s="31">
        <f>VLOOKUP(A470,File!$A:$J,9,FALSE)</f>
        <v>46314</v>
      </c>
      <c r="J470" s="31" t="str">
        <f>VLOOKUP(A470,File!$A:$K,11,FALSE)</f>
        <v>Oct 2026</v>
      </c>
      <c r="K470" s="31" t="str">
        <f>VLOOKUP(A470,File!$A:$K,10,FALSE)</f>
        <v>In-Training</v>
      </c>
      <c r="L470" s="31" t="s">
        <v>4</v>
      </c>
      <c r="M470" t="str">
        <f>VLOOKUP(A470,Response!$A:$M,7,)</f>
        <v>PG (Paying Guest)</v>
      </c>
      <c r="N470" t="str">
        <f>VLOOKUP(A470,Response!$A:$M,8,)</f>
        <v xml:space="preserve">Krishna Nivas ladies PG, Egattur  </v>
      </c>
      <c r="O470" s="4">
        <f>VLOOKUP(A470,Response!$A:$M,10,)</f>
        <v>2</v>
      </c>
      <c r="P470" t="str">
        <f>VLOOKUP(A470,Response!$A:$M,12,)</f>
        <v>Yes</v>
      </c>
      <c r="Q470" t="str">
        <f>VLOOKUP(A470,Response!$A:$M,11,)</f>
        <v>Egattur</v>
      </c>
      <c r="R470" t="s">
        <v>19</v>
      </c>
      <c r="S470" s="39" t="s">
        <v>37</v>
      </c>
    </row>
    <row r="471" spans="1:19">
      <c r="A471" s="3">
        <v>2530187</v>
      </c>
      <c r="B471" t="str">
        <f>VLOOKUP(A471,File!$A:$J,2,FALSE)</f>
        <v>Mary Lumina Fernando M</v>
      </c>
      <c r="C471" s="29">
        <f>VLOOKUP(A471,File!$A:$J,5,FALSE)</f>
        <v>46247</v>
      </c>
      <c r="D471" s="29" t="str">
        <f>VLOOKUP(A471,File!$A:$J,3,FALSE)</f>
        <v>Female</v>
      </c>
      <c r="E471" s="29" t="str">
        <f>VLOOKUP(A471,File!$A:$J,4,FALSE)</f>
        <v>FTE</v>
      </c>
      <c r="F471" s="29" t="str">
        <f>VLOOKUP(A471,File!$A:$J,6,FALSE)</f>
        <v>Chennai</v>
      </c>
      <c r="G471" s="29" t="str">
        <f>VLOOKUP(A471,File!$A:$J,7,FALSE)</f>
        <v>CIS26DWP026</v>
      </c>
      <c r="H471" s="29" t="str">
        <f>VLOOKUP(A471,File!$A:$J,8,FALSE)</f>
        <v>Shunmugasundari A</v>
      </c>
      <c r="I471" s="31">
        <f>VLOOKUP(A471,File!$A:$J,9,FALSE)</f>
        <v>46314</v>
      </c>
      <c r="J471" s="31" t="str">
        <f>VLOOKUP(A471,File!$A:$K,11,FALSE)</f>
        <v>Oct 2026</v>
      </c>
      <c r="K471" s="31" t="str">
        <f>VLOOKUP(A471,File!$A:$K,10,FALSE)</f>
        <v>In-Training</v>
      </c>
      <c r="L471" s="31" t="s">
        <v>4</v>
      </c>
      <c r="M471" t="str">
        <f>VLOOKUP(A471,Response!$A:$M,7,)</f>
        <v>PG (Paying Guest)</v>
      </c>
      <c r="N471" t="str">
        <f>VLOOKUP(A471,Response!$A:$M,8,)</f>
        <v>Krishna Nivas Ladies PG, Egattur.</v>
      </c>
      <c r="O471" s="4" t="str">
        <f>VLOOKUP(A471,Response!$A:$M,10,)</f>
        <v>GF</v>
      </c>
      <c r="P471" t="str">
        <f>VLOOKUP(A471,Response!$A:$M,12,)</f>
        <v>Yes</v>
      </c>
      <c r="Q471" t="str">
        <f>VLOOKUP(A471,Response!$A:$M,11,)</f>
        <v>Egattur</v>
      </c>
      <c r="R471" t="s">
        <v>19</v>
      </c>
      <c r="S471" s="39" t="s">
        <v>37</v>
      </c>
    </row>
    <row r="472" spans="1:19">
      <c r="A472" s="3">
        <v>2533059</v>
      </c>
      <c r="B472" t="str">
        <f>VLOOKUP(A472,File!$A:$J,2,FALSE)</f>
        <v>Narayanam Teja Sai Saranya</v>
      </c>
      <c r="C472" s="29">
        <f>VLOOKUP(A472,File!$A:$J,5,FALSE)</f>
        <v>46259</v>
      </c>
      <c r="D472" s="29" t="str">
        <f>VLOOKUP(A472,File!$A:$J,3,FALSE)</f>
        <v>Female</v>
      </c>
      <c r="E472" s="29" t="str">
        <f>VLOOKUP(A472,File!$A:$J,4,FALSE)</f>
        <v>FTE</v>
      </c>
      <c r="F472" s="29" t="str">
        <f>VLOOKUP(A472,File!$A:$J,6,FALSE)</f>
        <v>Chennai</v>
      </c>
      <c r="G472" s="29" t="str">
        <f>VLOOKUP(A472,File!$A:$J,7,FALSE)</f>
        <v>IOT26CSJ002</v>
      </c>
      <c r="H472" s="29" t="str">
        <f>VLOOKUP(A472,File!$A:$J,8,FALSE)</f>
        <v>Pavithra Kandasamy</v>
      </c>
      <c r="I472" s="31">
        <f>VLOOKUP(A472,File!$A:$J,9,FALSE)</f>
        <v>46337</v>
      </c>
      <c r="J472" s="31" t="str">
        <f>VLOOKUP(A472,File!$A:$K,11,FALSE)</f>
        <v>Nov 2026</v>
      </c>
      <c r="K472" s="31" t="str">
        <f>VLOOKUP(A472,File!$A:$K,10,FALSE)</f>
        <v>In-Training</v>
      </c>
      <c r="L472" s="31" t="s">
        <v>4</v>
      </c>
      <c r="M472" t="str">
        <f>VLOOKUP(A472,Response!$A:$M,7,)</f>
        <v>PG (Paying Guest)</v>
      </c>
      <c r="N472" t="str">
        <f>VLOOKUP(A472,Response!$A:$M,8,)</f>
        <v>Krishna Nivas Ladies PG, Egatur</v>
      </c>
      <c r="O472" s="4">
        <f>VLOOKUP(A472,Response!$A:$M,10,)</f>
        <v>4</v>
      </c>
      <c r="P472" t="str">
        <f>VLOOKUP(A472,Response!$A:$M,12,)</f>
        <v>No</v>
      </c>
      <c r="Q472" t="str">
        <f>VLOOKUP(A472,Response!$A:$M,11,)</f>
        <v>Egattur</v>
      </c>
      <c r="R472" t="s">
        <v>19</v>
      </c>
      <c r="S472" s="39" t="s">
        <v>37</v>
      </c>
    </row>
    <row r="473" spans="1:19">
      <c r="A473" s="3">
        <v>2512354</v>
      </c>
      <c r="B473" t="str">
        <f>VLOOKUP(A473,File!$A:$J,2,FALSE)</f>
        <v>Khamithkar Srujana</v>
      </c>
      <c r="C473" s="29">
        <f>VLOOKUP(A473,File!$A:$J,5,FALSE)</f>
        <v>46170</v>
      </c>
      <c r="D473" s="29" t="str">
        <f>VLOOKUP(A473,File!$A:$J,3,FALSE)</f>
        <v>Female</v>
      </c>
      <c r="E473" s="29" t="str">
        <f>VLOOKUP(A473,File!$A:$J,4,FALSE)</f>
        <v>FTE</v>
      </c>
      <c r="F473" s="29" t="str">
        <f>VLOOKUP(A473,File!$A:$J,6,FALSE)</f>
        <v>Chennai</v>
      </c>
      <c r="G473" s="29" t="str">
        <f>VLOOKUP(A473,File!$A:$J,7,FALSE)</f>
        <v>CIS26MCPT012</v>
      </c>
      <c r="H473" s="29" t="str">
        <f>VLOOKUP(A473,File!$A:$J,8,FALSE)</f>
        <v>Uma Venkatachalam</v>
      </c>
      <c r="I473" s="31">
        <f>VLOOKUP(A473,File!$A:$J,9,FALSE)</f>
        <v>46282</v>
      </c>
      <c r="J473" s="31" t="str">
        <f>VLOOKUP(A473,File!$A:$K,11,FALSE)</f>
        <v>Sep 2026</v>
      </c>
      <c r="K473" s="31" t="str">
        <f>VLOOKUP(A473,File!$A:$K,10,FALSE)</f>
        <v>In-Training</v>
      </c>
      <c r="L473" s="31" t="s">
        <v>4</v>
      </c>
      <c r="M473" t="str">
        <f>VLOOKUP(A473,Response!$A:$M,7,)</f>
        <v>PG (Paying Guest)</v>
      </c>
      <c r="N473" t="str">
        <f>VLOOKUP(A473,Response!$A:$M,8,)</f>
        <v>Krishna Nivas Ladies Pg, Sheshadri Avenue, Rajiv Gandhi salai, Egattur,Chennai</v>
      </c>
      <c r="O473" s="4">
        <f>VLOOKUP(A473,Response!$A:$M,10,)</f>
        <v>3</v>
      </c>
      <c r="P473" t="str">
        <f>VLOOKUP(A473,Response!$A:$M,12,)</f>
        <v>No</v>
      </c>
      <c r="Q473" t="str">
        <f>VLOOKUP(A473,Response!$A:$M,11,)</f>
        <v>Egattur</v>
      </c>
      <c r="R473" t="s">
        <v>19</v>
      </c>
      <c r="S473" s="39" t="s">
        <v>37</v>
      </c>
    </row>
    <row r="474" spans="1:19">
      <c r="A474" s="3">
        <v>2533182</v>
      </c>
      <c r="B474" t="str">
        <f>VLOOKUP(A474,File!$A:$J,2,FALSE)</f>
        <v>Kosuri Lakshmi Sowjanya</v>
      </c>
      <c r="C474" s="29">
        <f>VLOOKUP(A474,File!$A:$J,5,FALSE)</f>
        <v>46259</v>
      </c>
      <c r="D474" s="29" t="str">
        <f>VLOOKUP(A474,File!$A:$J,3,FALSE)</f>
        <v>Female</v>
      </c>
      <c r="E474" s="29" t="str">
        <f>VLOOKUP(A474,File!$A:$J,4,FALSE)</f>
        <v>FTE</v>
      </c>
      <c r="F474" s="29" t="str">
        <f>VLOOKUP(A474,File!$A:$J,6,FALSE)</f>
        <v>Chennai</v>
      </c>
      <c r="G474" s="29" t="str">
        <f>VLOOKUP(A474,File!$A:$J,7,FALSE)</f>
        <v>CIS26AT007</v>
      </c>
      <c r="H474" s="29" t="str">
        <f>VLOOKUP(A474,File!$A:$J,8,FALSE)</f>
        <v>Uma Venkatachalam</v>
      </c>
      <c r="I474" s="31">
        <f>VLOOKUP(A474,File!$A:$J,9,FALSE)</f>
        <v>46365</v>
      </c>
      <c r="J474" s="31" t="str">
        <f>VLOOKUP(A474,File!$A:$K,11,FALSE)</f>
        <v>Dec 2026</v>
      </c>
      <c r="K474" s="31" t="str">
        <f>VLOOKUP(A474,File!$A:$K,10,FALSE)</f>
        <v>In-Training</v>
      </c>
      <c r="L474" s="31" t="s">
        <v>4</v>
      </c>
      <c r="M474" t="str">
        <f>VLOOKUP(A474,Response!$A:$M,7,)</f>
        <v>PG (Paying Guest)</v>
      </c>
      <c r="N474" t="str">
        <f>VLOOKUP(A474,Response!$A:$M,8,)</f>
        <v>Krishna Nivas Ladies PG,Egattur</v>
      </c>
      <c r="O474" s="4">
        <f>VLOOKUP(A474,Response!$A:$M,10,)</f>
        <v>1</v>
      </c>
      <c r="P474" t="str">
        <f>VLOOKUP(A474,Response!$A:$M,12,)</f>
        <v>No</v>
      </c>
      <c r="Q474" t="str">
        <f>VLOOKUP(A474,Response!$A:$M,11,)</f>
        <v>Egattur</v>
      </c>
      <c r="R474" t="s">
        <v>19</v>
      </c>
      <c r="S474" s="39" t="s">
        <v>37</v>
      </c>
    </row>
    <row r="475" spans="1:19">
      <c r="A475" s="3">
        <v>2521060</v>
      </c>
      <c r="B475" t="str">
        <f>VLOOKUP(A475,File!$A:$J,2,FALSE)</f>
        <v>Vibhitha V</v>
      </c>
      <c r="C475" s="29">
        <f>VLOOKUP(A475,File!$A:$J,5,FALSE)</f>
        <v>46210</v>
      </c>
      <c r="D475" s="29" t="str">
        <f>VLOOKUP(A475,File!$A:$J,3,FALSE)</f>
        <v>Female</v>
      </c>
      <c r="E475" s="29" t="str">
        <f>VLOOKUP(A475,File!$A:$J,4,FALSE)</f>
        <v>FTE</v>
      </c>
      <c r="F475" s="29" t="str">
        <f>VLOOKUP(A475,File!$A:$J,6,FALSE)</f>
        <v>Chennai</v>
      </c>
      <c r="G475" s="29" t="str">
        <f>VLOOKUP(A475,File!$A:$J,7,FALSE)</f>
        <v>HPC26DN005</v>
      </c>
      <c r="H475" s="29" t="str">
        <f>VLOOKUP(A475,File!$A:$J,8,FALSE)</f>
        <v>Viveka Preethi</v>
      </c>
      <c r="I475" s="31">
        <f>VLOOKUP(A475,File!$A:$J,9,FALSE)</f>
        <v>46296</v>
      </c>
      <c r="J475" s="31" t="str">
        <f>VLOOKUP(A475,File!$A:$K,11,FALSE)</f>
        <v>Oct 2026</v>
      </c>
      <c r="K475" s="31" t="str">
        <f>VLOOKUP(A475,File!$A:$K,10,FALSE)</f>
        <v>In-Training</v>
      </c>
      <c r="L475" s="31" t="s">
        <v>4</v>
      </c>
      <c r="M475" t="str">
        <f>VLOOKUP(A475,Response!$A:$M,7,)</f>
        <v>PG (Paying Guest)</v>
      </c>
      <c r="N475" t="str">
        <f>VLOOKUP(A475,Response!$A:$M,8,)</f>
        <v>krishna nivas ladies pg,egattur</v>
      </c>
      <c r="O475" s="4">
        <f>VLOOKUP(A475,Response!$A:$M,10,)</f>
        <v>3</v>
      </c>
      <c r="P475" t="str">
        <f>VLOOKUP(A475,Response!$A:$M,12,)</f>
        <v>Yes</v>
      </c>
      <c r="Q475" t="str">
        <f>VLOOKUP(A475,Response!$A:$M,11,)</f>
        <v>Egattur</v>
      </c>
      <c r="R475" t="s">
        <v>19</v>
      </c>
      <c r="S475" s="39" t="s">
        <v>37</v>
      </c>
    </row>
    <row r="476" spans="1:19">
      <c r="A476" s="3">
        <v>2531982</v>
      </c>
      <c r="B476" t="str">
        <f>VLOOKUP(A476,File!$A:$J,2,FALSE)</f>
        <v>Chandrika Lakshmipalem</v>
      </c>
      <c r="C476" s="29">
        <f>VLOOKUP(A476,File!$A:$J,5,FALSE)</f>
        <v>46254</v>
      </c>
      <c r="D476" s="29" t="str">
        <f>VLOOKUP(A476,File!$A:$J,3,FALSE)</f>
        <v>Female</v>
      </c>
      <c r="E476" s="29" t="str">
        <f>VLOOKUP(A476,File!$A:$J,4,FALSE)</f>
        <v>FTE</v>
      </c>
      <c r="F476" s="29" t="str">
        <f>VLOOKUP(A476,File!$A:$J,6,FALSE)</f>
        <v>Chennai</v>
      </c>
      <c r="G476" s="29" t="str">
        <f>VLOOKUP(A476,File!$A:$J,7,FALSE)</f>
        <v>CS26CS011</v>
      </c>
      <c r="H476" s="29" t="str">
        <f>VLOOKUP(A476,File!$A:$J,8,FALSE)</f>
        <v>Kishorekumar P</v>
      </c>
      <c r="I476" s="31">
        <f>VLOOKUP(A476,File!$A:$J,9,FALSE)</f>
        <v>46343</v>
      </c>
      <c r="J476" s="31" t="str">
        <f>VLOOKUP(A476,File!$A:$K,11,FALSE)</f>
        <v>Nov 2026</v>
      </c>
      <c r="K476" s="31" t="str">
        <f>VLOOKUP(A476,File!$A:$K,10,FALSE)</f>
        <v>In-Training</v>
      </c>
      <c r="L476" s="31" t="s">
        <v>4</v>
      </c>
      <c r="M476" t="str">
        <f>VLOOKUP(A476,Response!$A:$M,7,)</f>
        <v>PG (Paying Guest)</v>
      </c>
      <c r="N476" t="str">
        <f>VLOOKUP(A476,Response!$A:$M,8,)</f>
        <v>Krishna nivas ladies pg-egattur</v>
      </c>
      <c r="O476" s="4">
        <f>VLOOKUP(A476,Response!$A:$M,10,)</f>
        <v>3</v>
      </c>
      <c r="P476" t="str">
        <f>VLOOKUP(A476,Response!$A:$M,12,)</f>
        <v>Yes</v>
      </c>
      <c r="Q476" t="str">
        <f>VLOOKUP(A476,Response!$A:$M,11,)</f>
        <v>Egattur</v>
      </c>
      <c r="R476" t="s">
        <v>19</v>
      </c>
      <c r="S476" s="39" t="s">
        <v>37</v>
      </c>
    </row>
    <row r="477" spans="1:19">
      <c r="A477" s="3">
        <v>2518810</v>
      </c>
      <c r="B477" t="str">
        <f>VLOOKUP(A477,File!$A:$J,2,FALSE)</f>
        <v>Disha Shivraj Patil</v>
      </c>
      <c r="C477" s="29">
        <f>VLOOKUP(A477,File!$A:$J,5,FALSE)</f>
        <v>46203</v>
      </c>
      <c r="D477" s="29" t="str">
        <f>VLOOKUP(A477,File!$A:$J,3,FALSE)</f>
        <v>Female</v>
      </c>
      <c r="E477" s="29" t="str">
        <f>VLOOKUP(A477,File!$A:$J,4,FALSE)</f>
        <v>FTE</v>
      </c>
      <c r="F477" s="29" t="str">
        <f>VLOOKUP(A477,File!$A:$J,6,FALSE)</f>
        <v>Chennai</v>
      </c>
      <c r="G477" s="29" t="str">
        <f>VLOOKUP(A477,File!$A:$J,7,FALSE)</f>
        <v>CIS26SB001</v>
      </c>
      <c r="H477" s="29" t="str">
        <f>VLOOKUP(A477,File!$A:$J,8,FALSE)</f>
        <v>Kishorekumar P</v>
      </c>
      <c r="I477" s="31">
        <f>VLOOKUP(A477,File!$A:$J,9,FALSE)</f>
        <v>46309</v>
      </c>
      <c r="J477" s="31" t="str">
        <f>VLOOKUP(A477,File!$A:$K,11,FALSE)</f>
        <v>Oct 2026</v>
      </c>
      <c r="K477" s="31" t="str">
        <f>VLOOKUP(A477,File!$A:$K,10,FALSE)</f>
        <v>In-Training</v>
      </c>
      <c r="L477" s="31" t="s">
        <v>4</v>
      </c>
      <c r="M477" t="str">
        <f>VLOOKUP(A477,Response!$A:$M,7,)</f>
        <v>PG (Paying Guest)</v>
      </c>
      <c r="N477" t="str">
        <f>VLOOKUP(A477,Response!$A:$M,8,)</f>
        <v>Krishna Nivas pg</v>
      </c>
      <c r="O477" s="4">
        <f>VLOOKUP(A477,Response!$A:$M,10,)</f>
        <v>3</v>
      </c>
      <c r="P477" t="str">
        <f>VLOOKUP(A477,Response!$A:$M,12,)</f>
        <v>No</v>
      </c>
      <c r="Q477" t="str">
        <f>VLOOKUP(A477,Response!$A:$M,11,)</f>
        <v>Egattur</v>
      </c>
      <c r="R477" t="s">
        <v>19</v>
      </c>
      <c r="S477" s="39" t="s">
        <v>37</v>
      </c>
    </row>
    <row r="478" spans="1:19">
      <c r="A478" s="3">
        <v>2529504</v>
      </c>
      <c r="B478" t="str">
        <f>VLOOKUP(A478,File!$A:$J,2,FALSE)</f>
        <v>Akiri Sai Deepika</v>
      </c>
      <c r="C478" s="29">
        <f>VLOOKUP(A478,File!$A:$J,5,FALSE)</f>
        <v>46245</v>
      </c>
      <c r="D478" s="29" t="str">
        <f>VLOOKUP(A478,File!$A:$J,3,FALSE)</f>
        <v>Female</v>
      </c>
      <c r="E478" s="29" t="str">
        <f>VLOOKUP(A478,File!$A:$J,4,FALSE)</f>
        <v>FTE</v>
      </c>
      <c r="F478" s="29" t="str">
        <f>VLOOKUP(A478,File!$A:$J,6,FALSE)</f>
        <v>Chennai</v>
      </c>
      <c r="G478" s="29" t="str">
        <f>VLOOKUP(A478,File!$A:$J,7,FALSE)</f>
        <v>CIS26MCPT024</v>
      </c>
      <c r="H478" s="29" t="str">
        <f>VLOOKUP(A478,File!$A:$J,8,FALSE)</f>
        <v>Ashiya Begam S</v>
      </c>
      <c r="I478" s="31">
        <f>VLOOKUP(A478,File!$A:$J,9,FALSE)</f>
        <v>46359</v>
      </c>
      <c r="J478" s="31" t="str">
        <f>VLOOKUP(A478,File!$A:$K,11,FALSE)</f>
        <v>Dec 2026</v>
      </c>
      <c r="K478" s="31" t="str">
        <f>VLOOKUP(A478,File!$A:$K,10,FALSE)</f>
        <v>In-Training</v>
      </c>
      <c r="L478" s="31" t="s">
        <v>4</v>
      </c>
      <c r="M478" t="str">
        <f>VLOOKUP(A478,Response!$A:$M,7,)</f>
        <v>PG (Paying Guest)</v>
      </c>
      <c r="N478" t="str">
        <f>VLOOKUP(A478,Response!$A:$M,8,)</f>
        <v>Krishna Nivas Pg Branch 1, Egattur</v>
      </c>
      <c r="O478" s="4">
        <f>VLOOKUP(A478,Response!$A:$M,10,)</f>
        <v>4</v>
      </c>
      <c r="P478" t="str">
        <f>VLOOKUP(A478,Response!$A:$M,12,)</f>
        <v>No</v>
      </c>
      <c r="Q478" t="str">
        <f>VLOOKUP(A478,Response!$A:$M,11,)</f>
        <v>Egattur</v>
      </c>
      <c r="R478" t="s">
        <v>19</v>
      </c>
      <c r="S478" s="39" t="s">
        <v>37</v>
      </c>
    </row>
    <row r="479" spans="1:19">
      <c r="A479" s="3">
        <v>2518805</v>
      </c>
      <c r="B479" t="str">
        <f>VLOOKUP(A479,File!$A:$J,2,FALSE)</f>
        <v>Ayesha Khanam</v>
      </c>
      <c r="C479" s="29">
        <f>VLOOKUP(A479,File!$A:$J,5,FALSE)</f>
        <v>46203</v>
      </c>
      <c r="D479" s="29" t="str">
        <f>VLOOKUP(A479,File!$A:$J,3,FALSE)</f>
        <v>Female</v>
      </c>
      <c r="E479" s="29" t="str">
        <f>VLOOKUP(A479,File!$A:$J,4,FALSE)</f>
        <v>FTE</v>
      </c>
      <c r="F479" s="29" t="str">
        <f>VLOOKUP(A479,File!$A:$J,6,FALSE)</f>
        <v>Chennai</v>
      </c>
      <c r="G479" s="29" t="str">
        <f>VLOOKUP(A479,File!$A:$J,7,FALSE)</f>
        <v>CIS26SB001</v>
      </c>
      <c r="H479" s="29" t="str">
        <f>VLOOKUP(A479,File!$A:$J,8,FALSE)</f>
        <v>Kishorekumar P</v>
      </c>
      <c r="I479" s="31">
        <f>VLOOKUP(A479,File!$A:$J,9,FALSE)</f>
        <v>46309</v>
      </c>
      <c r="J479" s="31" t="str">
        <f>VLOOKUP(A479,File!$A:$K,11,FALSE)</f>
        <v>Oct 2026</v>
      </c>
      <c r="K479" s="31" t="str">
        <f>VLOOKUP(A479,File!$A:$K,10,FALSE)</f>
        <v>In-Training</v>
      </c>
      <c r="L479" s="31" t="s">
        <v>4</v>
      </c>
      <c r="M479" t="str">
        <f>VLOOKUP(A479,Response!$A:$M,7,)</f>
        <v>PG (Paying Guest)</v>
      </c>
      <c r="N479" t="str">
        <f>VLOOKUP(A479,Response!$A:$M,8,)</f>
        <v>Krishna Nivas Pg for ladies</v>
      </c>
      <c r="O479" s="4">
        <f>VLOOKUP(A479,Response!$A:$M,10,)</f>
        <v>3</v>
      </c>
      <c r="P479" t="str">
        <f>VLOOKUP(A479,Response!$A:$M,12,)</f>
        <v>No</v>
      </c>
      <c r="Q479" t="str">
        <f>VLOOKUP(A479,Response!$A:$M,11,)</f>
        <v>Egattur</v>
      </c>
      <c r="R479" t="s">
        <v>19</v>
      </c>
      <c r="S479" s="39" t="s">
        <v>37</v>
      </c>
    </row>
    <row r="480" spans="1:19">
      <c r="A480" s="3">
        <v>2521162</v>
      </c>
      <c r="B480" t="str">
        <f>VLOOKUP(A480,File!$A:$J,2,FALSE)</f>
        <v>Sai Preethi Bijjala</v>
      </c>
      <c r="C480" s="29">
        <f>VLOOKUP(A480,File!$A:$J,5,FALSE)</f>
        <v>46210</v>
      </c>
      <c r="D480" s="29" t="str">
        <f>VLOOKUP(A480,File!$A:$J,3,FALSE)</f>
        <v>Female</v>
      </c>
      <c r="E480" s="29" t="str">
        <f>VLOOKUP(A480,File!$A:$J,4,FALSE)</f>
        <v>FTE</v>
      </c>
      <c r="F480" s="29" t="str">
        <f>VLOOKUP(A480,File!$A:$J,6,FALSE)</f>
        <v>Chennai</v>
      </c>
      <c r="G480" s="29" t="str">
        <f>VLOOKUP(A480,File!$A:$J,7,FALSE)</f>
        <v>CIS26UNIX004</v>
      </c>
      <c r="H480" s="29" t="str">
        <f>VLOOKUP(A480,File!$A:$J,8,FALSE)</f>
        <v>Haritha P</v>
      </c>
      <c r="I480" s="31">
        <f>VLOOKUP(A480,File!$A:$J,9,FALSE)</f>
        <v>46289</v>
      </c>
      <c r="J480" s="31" t="str">
        <f>VLOOKUP(A480,File!$A:$K,11,FALSE)</f>
        <v>Sep 2026</v>
      </c>
      <c r="K480" s="31" t="str">
        <f>VLOOKUP(A480,File!$A:$K,10,FALSE)</f>
        <v>In-Training</v>
      </c>
      <c r="L480" s="31" t="s">
        <v>4</v>
      </c>
      <c r="M480" t="str">
        <f>VLOOKUP(A480,Response!$A:$M,7,)</f>
        <v>PG (Paying Guest)</v>
      </c>
      <c r="N480" t="str">
        <f>VLOOKUP(A480,Response!$A:$M,8,)</f>
        <v>Krishna Nivas Pg for ladies - Egattur</v>
      </c>
      <c r="O480" s="4">
        <f>VLOOKUP(A480,Response!$A:$M,10,)</f>
        <v>3</v>
      </c>
      <c r="P480" t="str">
        <f>VLOOKUP(A480,Response!$A:$M,12,)</f>
        <v>No</v>
      </c>
      <c r="Q480" t="str">
        <f>VLOOKUP(A480,Response!$A:$M,11,)</f>
        <v>Egattur</v>
      </c>
      <c r="R480" t="s">
        <v>19</v>
      </c>
      <c r="S480" s="39" t="s">
        <v>37</v>
      </c>
    </row>
    <row r="481" spans="1:19">
      <c r="A481" s="3">
        <v>2507177</v>
      </c>
      <c r="B481" t="str">
        <f>VLOOKUP(A481,File!$A:$J,2,FALSE)</f>
        <v>Kolla Tejaswi</v>
      </c>
      <c r="C481" s="29">
        <f>VLOOKUP(A481,File!$A:$J,5,FALSE)</f>
        <v>46142</v>
      </c>
      <c r="D481" s="29" t="str">
        <f>VLOOKUP(A481,File!$A:$J,3,FALSE)</f>
        <v>Female</v>
      </c>
      <c r="E481" s="29" t="str">
        <f>VLOOKUP(A481,File!$A:$J,4,FALSE)</f>
        <v>FTE</v>
      </c>
      <c r="F481" s="29" t="str">
        <f>VLOOKUP(A481,File!$A:$J,6,FALSE)</f>
        <v>Chennai</v>
      </c>
      <c r="G481" s="29" t="str">
        <f>VLOOKUP(A481,File!$A:$J,7,FALSE)</f>
        <v>ISG26JSAAT002</v>
      </c>
      <c r="H481" s="29" t="str">
        <f>VLOOKUP(A481,File!$A:$J,8,FALSE)</f>
        <v>Ashiya Begam S</v>
      </c>
      <c r="I481" s="31">
        <f>VLOOKUP(A481,File!$A:$J,9,FALSE)</f>
        <v>46269</v>
      </c>
      <c r="J481" s="31" t="str">
        <f>VLOOKUP(A481,File!$A:$K,11,FALSE)</f>
        <v>Sep 2026</v>
      </c>
      <c r="K481" s="31" t="str">
        <f>VLOOKUP(A481,File!$A:$K,10,FALSE)</f>
        <v>In-Training</v>
      </c>
      <c r="L481" s="31" t="s">
        <v>4</v>
      </c>
      <c r="M481" t="str">
        <f>VLOOKUP(A481,Response!$A:$M,7,)</f>
        <v>PG (Paying Guest)</v>
      </c>
      <c r="N481" t="str">
        <f>VLOOKUP(A481,Response!$A:$M,8,)</f>
        <v>Krishna nivas pg-egattur</v>
      </c>
      <c r="O481" s="4">
        <f>VLOOKUP(A481,Response!$A:$M,10,)</f>
        <v>1</v>
      </c>
      <c r="P481" t="str">
        <f>VLOOKUP(A481,Response!$A:$M,12,)</f>
        <v>No</v>
      </c>
      <c r="Q481" t="str">
        <f>VLOOKUP(A481,Response!$A:$M,11,)</f>
        <v>Egattur</v>
      </c>
      <c r="R481" t="s">
        <v>19</v>
      </c>
      <c r="S481" s="39" t="s">
        <v>37</v>
      </c>
    </row>
    <row r="482" spans="1:19">
      <c r="A482" s="3">
        <v>2525093</v>
      </c>
      <c r="B482" t="str">
        <f>VLOOKUP(A482,File!$A:$J,2,FALSE)</f>
        <v>Chinmayi S</v>
      </c>
      <c r="C482" s="29">
        <f>VLOOKUP(A482,File!$A:$J,5,FALSE)</f>
        <v>46226</v>
      </c>
      <c r="D482" s="29" t="str">
        <f>VLOOKUP(A482,File!$A:$J,3,FALSE)</f>
        <v>Female</v>
      </c>
      <c r="E482" s="29" t="str">
        <f>VLOOKUP(A482,File!$A:$J,4,FALSE)</f>
        <v>FTE</v>
      </c>
      <c r="F482" s="29" t="str">
        <f>VLOOKUP(A482,File!$A:$J,6,FALSE)</f>
        <v>Chennai</v>
      </c>
      <c r="G482" s="29" t="str">
        <f>VLOOKUP(A482,File!$A:$J,7,FALSE)</f>
        <v>EPS26WD005</v>
      </c>
      <c r="H482" s="29" t="str">
        <f>VLOOKUP(A482,File!$A:$J,8,FALSE)</f>
        <v>Vishnupriya Dakshnamurthy</v>
      </c>
      <c r="I482" s="31">
        <f>VLOOKUP(A482,File!$A:$J,9,FALSE)</f>
        <v>46332</v>
      </c>
      <c r="J482" s="31" t="str">
        <f>VLOOKUP(A482,File!$A:$K,11,FALSE)</f>
        <v>Nov 2026</v>
      </c>
      <c r="K482" s="31" t="str">
        <f>VLOOKUP(A482,File!$A:$K,10,FALSE)</f>
        <v>In-Training</v>
      </c>
      <c r="L482" s="31" t="s">
        <v>4</v>
      </c>
      <c r="M482" t="str">
        <f>VLOOKUP(A482,Response!$A:$M,7,)</f>
        <v>PG (Paying Guest)</v>
      </c>
      <c r="N482" t="str">
        <f>VLOOKUP(A482,Response!$A:$M,8,)</f>
        <v>Krishna Nivasa ladies PG, Egattur</v>
      </c>
      <c r="O482" s="4">
        <f>VLOOKUP(A482,Response!$A:$M,10,)</f>
        <v>2</v>
      </c>
      <c r="P482" t="str">
        <f>VLOOKUP(A482,Response!$A:$M,12,)</f>
        <v>No</v>
      </c>
      <c r="Q482" t="str">
        <f>VLOOKUP(A482,Response!$A:$M,11,)</f>
        <v>Egattur</v>
      </c>
      <c r="R482" t="s">
        <v>19</v>
      </c>
      <c r="S482" s="39" t="s">
        <v>37</v>
      </c>
    </row>
    <row r="483" spans="1:19">
      <c r="A483" s="3">
        <v>2530145</v>
      </c>
      <c r="B483" t="str">
        <f>VLOOKUP(A483,File!$A:$J,2,FALSE)</f>
        <v>Nikita Ganesh Deshmukh</v>
      </c>
      <c r="C483" s="29">
        <f>VLOOKUP(A483,File!$A:$J,5,FALSE)</f>
        <v>46247</v>
      </c>
      <c r="D483" s="29" t="str">
        <f>VLOOKUP(A483,File!$A:$J,3,FALSE)</f>
        <v>Female</v>
      </c>
      <c r="E483" s="29" t="str">
        <f>VLOOKUP(A483,File!$A:$J,4,FALSE)</f>
        <v>FTE</v>
      </c>
      <c r="F483" s="29" t="str">
        <f>VLOOKUP(A483,File!$A:$J,6,FALSE)</f>
        <v>Chennai</v>
      </c>
      <c r="G483" s="29" t="str">
        <f>VLOOKUP(A483,File!$A:$J,7,FALSE)</f>
        <v>EPS26SAP034</v>
      </c>
      <c r="H483" s="29" t="str">
        <f>VLOOKUP(A483,File!$A:$J,8,FALSE)</f>
        <v>Gayathri Ramachandran</v>
      </c>
      <c r="I483" s="31">
        <f>VLOOKUP(A483,File!$A:$J,9,FALSE)</f>
        <v>46331</v>
      </c>
      <c r="J483" s="31" t="str">
        <f>VLOOKUP(A483,File!$A:$K,11,FALSE)</f>
        <v>Nov 2026</v>
      </c>
      <c r="K483" s="31" t="str">
        <f>VLOOKUP(A483,File!$A:$K,10,FALSE)</f>
        <v>In-Training</v>
      </c>
      <c r="L483" s="31" t="s">
        <v>4</v>
      </c>
      <c r="M483" t="str">
        <f>VLOOKUP(A483,Response!$A:$M,7,)</f>
        <v>PG (Paying Guest)</v>
      </c>
      <c r="N483" t="str">
        <f>VLOOKUP(A483,Response!$A:$M,8,)</f>
        <v>KRISHNA NIWAS LADIES PG</v>
      </c>
      <c r="O483" s="4">
        <f>VLOOKUP(A483,Response!$A:$M,10,)</f>
        <v>1</v>
      </c>
      <c r="P483" t="str">
        <f>VLOOKUP(A483,Response!$A:$M,12,)</f>
        <v>No</v>
      </c>
      <c r="Q483" t="str">
        <f>VLOOKUP(A483,Response!$A:$M,11,)</f>
        <v>Navalur</v>
      </c>
      <c r="R483" t="s">
        <v>19</v>
      </c>
      <c r="S483" s="39" t="s">
        <v>37</v>
      </c>
    </row>
    <row r="484" spans="1:19">
      <c r="A484" s="3">
        <v>2521668</v>
      </c>
      <c r="B484" t="str">
        <f>VLOOKUP(A484,File!$A:$J,2,FALSE)</f>
        <v>Manchala Preethi</v>
      </c>
      <c r="C484" s="29">
        <f>VLOOKUP(A484,File!$A:$J,5,FALSE)</f>
        <v>46212</v>
      </c>
      <c r="D484" s="29" t="str">
        <f>VLOOKUP(A484,File!$A:$J,3,FALSE)</f>
        <v>Female</v>
      </c>
      <c r="E484" s="29" t="str">
        <f>VLOOKUP(A484,File!$A:$J,4,FALSE)</f>
        <v>FTE</v>
      </c>
      <c r="F484" s="29" t="str">
        <f>VLOOKUP(A484,File!$A:$J,6,FALSE)</f>
        <v>Chennai</v>
      </c>
      <c r="G484" s="29" t="str">
        <f>VLOOKUP(A484,File!$A:$J,7,FALSE)</f>
        <v>AIA26DSAT004</v>
      </c>
      <c r="H484" s="29" t="str">
        <f>VLOOKUP(A484,File!$A:$J,8,FALSE)</f>
        <v>Pavithra Kandasamy</v>
      </c>
      <c r="I484" s="31">
        <f>VLOOKUP(A484,File!$A:$J,9,FALSE)</f>
        <v>46304</v>
      </c>
      <c r="J484" s="31" t="str">
        <f>VLOOKUP(A484,File!$A:$K,11,FALSE)</f>
        <v>Oct 2026</v>
      </c>
      <c r="K484" s="31" t="str">
        <f>VLOOKUP(A484,File!$A:$K,10,FALSE)</f>
        <v>In-Training</v>
      </c>
      <c r="L484" s="31" t="s">
        <v>4</v>
      </c>
      <c r="M484" t="str">
        <f>VLOOKUP(A484,Response!$A:$M,7,)</f>
        <v>PG (Paying Guest)</v>
      </c>
      <c r="N484" t="str">
        <f>VLOOKUP(A484,Response!$A:$M,8,)</f>
        <v>Krishna Niwas PG</v>
      </c>
      <c r="O484" s="4">
        <f>VLOOKUP(A484,Response!$A:$M,10,)</f>
        <v>2</v>
      </c>
      <c r="P484" t="str">
        <f>VLOOKUP(A484,Response!$A:$M,12,)</f>
        <v>No</v>
      </c>
      <c r="Q484" t="str">
        <f>VLOOKUP(A484,Response!$A:$M,11,)</f>
        <v>Siruseri</v>
      </c>
      <c r="R484" t="s">
        <v>19</v>
      </c>
      <c r="S484" s="39" t="s">
        <v>37</v>
      </c>
    </row>
    <row r="485" spans="1:19">
      <c r="A485" s="3">
        <v>2533004</v>
      </c>
      <c r="B485" t="str">
        <f>VLOOKUP(A485,File!$A:$J,2,FALSE)</f>
        <v>Harshitha Kandula</v>
      </c>
      <c r="C485" s="29">
        <f>VLOOKUP(A485,File!$A:$J,5,FALSE)</f>
        <v>46259</v>
      </c>
      <c r="D485" s="29" t="str">
        <f>VLOOKUP(A485,File!$A:$J,3,FALSE)</f>
        <v>Female</v>
      </c>
      <c r="E485" s="29" t="str">
        <f>VLOOKUP(A485,File!$A:$J,4,FALSE)</f>
        <v>FTE</v>
      </c>
      <c r="F485" s="29" t="str">
        <f>VLOOKUP(A485,File!$A:$J,6,FALSE)</f>
        <v>Chennai</v>
      </c>
      <c r="G485" s="29" t="str">
        <f>VLOOKUP(A485,File!$A:$J,7,FALSE)</f>
        <v>CIS26MBG004</v>
      </c>
      <c r="H485" s="29" t="str">
        <f>VLOOKUP(A485,File!$A:$J,8,FALSE)</f>
        <v>Kishorekumar P</v>
      </c>
      <c r="I485" s="31">
        <f>VLOOKUP(A485,File!$A:$J,9,FALSE)</f>
        <v>46367</v>
      </c>
      <c r="J485" s="31" t="str">
        <f>VLOOKUP(A485,File!$A:$K,11,FALSE)</f>
        <v>Dec 2026</v>
      </c>
      <c r="K485" s="31" t="str">
        <f>VLOOKUP(A485,File!$A:$K,10,FALSE)</f>
        <v>In-Training</v>
      </c>
      <c r="L485" s="31" t="s">
        <v>4</v>
      </c>
      <c r="M485" t="str">
        <f>VLOOKUP(A485,Response!$A:$M,7,)</f>
        <v>PG (Paying Guest)</v>
      </c>
      <c r="N485" t="str">
        <f>VLOOKUP(A485,Response!$A:$M,8,)</f>
        <v>Krishnanivas ladies pg -egattur</v>
      </c>
      <c r="O485" s="4" t="str">
        <f>VLOOKUP(A485,Response!$A:$M,10,)</f>
        <v>GF</v>
      </c>
      <c r="P485" t="str">
        <f>VLOOKUP(A485,Response!$A:$M,12,)</f>
        <v>No</v>
      </c>
      <c r="Q485" t="str">
        <f>VLOOKUP(A485,Response!$A:$M,11,)</f>
        <v>Egattur</v>
      </c>
      <c r="R485" t="s">
        <v>19</v>
      </c>
      <c r="S485" s="39" t="s">
        <v>37</v>
      </c>
    </row>
    <row r="486" spans="1:19">
      <c r="A486" s="3">
        <v>2521885</v>
      </c>
      <c r="B486" t="str">
        <f>VLOOKUP(A486,File!$A:$J,2,FALSE)</f>
        <v>Mohammad Juned Mohd Anis Shaikh</v>
      </c>
      <c r="C486" s="29">
        <f>VLOOKUP(A486,File!$A:$J,5,FALSE)</f>
        <v>46212</v>
      </c>
      <c r="D486" s="29" t="str">
        <f>VLOOKUP(A486,File!$A:$J,3,FALSE)</f>
        <v>Male</v>
      </c>
      <c r="E486" s="29" t="str">
        <f>VLOOKUP(A486,File!$A:$J,4,FALSE)</f>
        <v>FTE</v>
      </c>
      <c r="F486" s="29" t="str">
        <f>VLOOKUP(A486,File!$A:$J,6,FALSE)</f>
        <v>Chennai</v>
      </c>
      <c r="G486" s="29" t="str">
        <f>VLOOKUP(A486,File!$A:$J,7,FALSE)</f>
        <v>AIA26DSAT004</v>
      </c>
      <c r="H486" s="29" t="str">
        <f>VLOOKUP(A486,File!$A:$J,8,FALSE)</f>
        <v>Pavithra Kandasamy</v>
      </c>
      <c r="I486" s="31">
        <f>VLOOKUP(A486,File!$A:$J,9,FALSE)</f>
        <v>46304</v>
      </c>
      <c r="J486" s="31" t="str">
        <f>VLOOKUP(A486,File!$A:$K,11,FALSE)</f>
        <v>Oct 2026</v>
      </c>
      <c r="K486" s="31" t="str">
        <f>VLOOKUP(A486,File!$A:$K,10,FALSE)</f>
        <v>In-Training</v>
      </c>
      <c r="L486" s="31" t="s">
        <v>4</v>
      </c>
      <c r="M486" t="str">
        <f>VLOOKUP(A486,Response!$A:$M,7,)</f>
        <v>PG (Paying Guest)</v>
      </c>
      <c r="N486" t="str">
        <f>VLOOKUP(A486,Response!$A:$M,8,)</f>
        <v xml:space="preserve">KSR gents PG - Egattur </v>
      </c>
      <c r="O486" s="4">
        <f>VLOOKUP(A486,Response!$A:$M,10,)</f>
        <v>2</v>
      </c>
      <c r="P486" t="str">
        <f>VLOOKUP(A486,Response!$A:$M,12,)</f>
        <v>No</v>
      </c>
      <c r="Q486" t="str">
        <f>VLOOKUP(A486,Response!$A:$M,11,)</f>
        <v>Egattur</v>
      </c>
      <c r="R486" t="s">
        <v>19</v>
      </c>
      <c r="S486" s="39" t="s">
        <v>37</v>
      </c>
    </row>
    <row r="487" spans="1:19">
      <c r="A487" s="3">
        <v>2521664</v>
      </c>
      <c r="B487" t="str">
        <f>VLOOKUP(A487,File!$A:$J,2,FALSE)</f>
        <v>Shaik Usman</v>
      </c>
      <c r="C487" s="29">
        <f>VLOOKUP(A487,File!$A:$J,5,FALSE)</f>
        <v>46212</v>
      </c>
      <c r="D487" s="29" t="str">
        <f>VLOOKUP(A487,File!$A:$J,3,FALSE)</f>
        <v>Male</v>
      </c>
      <c r="E487" s="29" t="str">
        <f>VLOOKUP(A487,File!$A:$J,4,FALSE)</f>
        <v>FTE</v>
      </c>
      <c r="F487" s="29" t="str">
        <f>VLOOKUP(A487,File!$A:$J,6,FALSE)</f>
        <v>Chennai</v>
      </c>
      <c r="G487" s="29" t="str">
        <f>VLOOKUP(A487,File!$A:$J,7,FALSE)</f>
        <v>ADM26MF010</v>
      </c>
      <c r="H487" s="29" t="str">
        <f>VLOOKUP(A487,File!$A:$J,8,FALSE)</f>
        <v>Thomas Naveen. J</v>
      </c>
      <c r="I487" s="31">
        <f>VLOOKUP(A487,File!$A:$J,9,FALSE)</f>
        <v>46328</v>
      </c>
      <c r="J487" s="31" t="str">
        <f>VLOOKUP(A487,File!$A:$K,11,FALSE)</f>
        <v>Nov 2026</v>
      </c>
      <c r="K487" s="31" t="str">
        <f>VLOOKUP(A487,File!$A:$K,10,FALSE)</f>
        <v>In-Training</v>
      </c>
      <c r="L487" s="31" t="s">
        <v>4</v>
      </c>
      <c r="M487" t="str">
        <f>VLOOKUP(A487,Response!$A:$M,7,)</f>
        <v>PG (Paying Guest)</v>
      </c>
      <c r="N487" t="str">
        <f>VLOOKUP(A487,Response!$A:$M,8,)</f>
        <v>KSR GENTS PG  Egattur, Siruseri</v>
      </c>
      <c r="O487" s="4">
        <f>VLOOKUP(A487,Response!$A:$M,10,)</f>
        <v>2</v>
      </c>
      <c r="P487" t="str">
        <f>VLOOKUP(A487,Response!$A:$M,12,)</f>
        <v>No</v>
      </c>
      <c r="Q487" t="str">
        <f>VLOOKUP(A487,Response!$A:$M,11,)</f>
        <v>Siruseri</v>
      </c>
      <c r="R487" t="s">
        <v>19</v>
      </c>
      <c r="S487" s="39" t="s">
        <v>37</v>
      </c>
    </row>
    <row r="488" spans="1:19">
      <c r="A488" s="3">
        <v>2521676</v>
      </c>
      <c r="B488" t="str">
        <f>VLOOKUP(A488,File!$A:$J,2,FALSE)</f>
        <v>Rudraprasad Bisoyi</v>
      </c>
      <c r="C488" s="29">
        <f>VLOOKUP(A488,File!$A:$J,5,FALSE)</f>
        <v>46212</v>
      </c>
      <c r="D488" s="29" t="str">
        <f>VLOOKUP(A488,File!$A:$J,3,FALSE)</f>
        <v>Male</v>
      </c>
      <c r="E488" s="29" t="str">
        <f>VLOOKUP(A488,File!$A:$J,4,FALSE)</f>
        <v>FTE</v>
      </c>
      <c r="F488" s="29" t="str">
        <f>VLOOKUP(A488,File!$A:$J,6,FALSE)</f>
        <v>Chennai</v>
      </c>
      <c r="G488" s="29" t="str">
        <f>VLOOKUP(A488,File!$A:$J,7,FALSE)</f>
        <v>ADM26MF011</v>
      </c>
      <c r="H488" s="29" t="str">
        <f>VLOOKUP(A488,File!$A:$J,8,FALSE)</f>
        <v>Abinaya R</v>
      </c>
      <c r="I488" s="31">
        <f>VLOOKUP(A488,File!$A:$J,9,FALSE)</f>
        <v>46328</v>
      </c>
      <c r="J488" s="31" t="str">
        <f>VLOOKUP(A488,File!$A:$K,11,FALSE)</f>
        <v>Nov 2026</v>
      </c>
      <c r="K488" s="31" t="str">
        <f>VLOOKUP(A488,File!$A:$K,10,FALSE)</f>
        <v>In-Training</v>
      </c>
      <c r="L488" s="31" t="s">
        <v>4</v>
      </c>
      <c r="M488" t="str">
        <f>VLOOKUP(A488,Response!$A:$M,7,)</f>
        <v>PG (Paying Guest)</v>
      </c>
      <c r="N488" t="str">
        <f>VLOOKUP(A488,Response!$A:$M,8,)</f>
        <v>KSR Gents PG, Siruseri</v>
      </c>
      <c r="O488" s="4">
        <f>VLOOKUP(A488,Response!$A:$M,10,)</f>
        <v>2</v>
      </c>
      <c r="P488" t="str">
        <f>VLOOKUP(A488,Response!$A:$M,12,)</f>
        <v>No</v>
      </c>
      <c r="Q488" t="str">
        <f>VLOOKUP(A488,Response!$A:$M,11,)</f>
        <v>Siruseri</v>
      </c>
      <c r="R488" t="s">
        <v>19</v>
      </c>
      <c r="S488" s="39" t="s">
        <v>37</v>
      </c>
    </row>
    <row r="489" spans="1:19">
      <c r="A489" s="3">
        <v>2524544</v>
      </c>
      <c r="B489" t="str">
        <f>VLOOKUP(A489,File!$A:$J,2,FALSE)</f>
        <v>Deepak Paraste</v>
      </c>
      <c r="C489" s="29">
        <f>VLOOKUP(A489,File!$A:$J,5,FALSE)</f>
        <v>46224</v>
      </c>
      <c r="D489" s="29" t="str">
        <f>VLOOKUP(A489,File!$A:$J,3,FALSE)</f>
        <v>Male</v>
      </c>
      <c r="E489" s="29" t="str">
        <f>VLOOKUP(A489,File!$A:$J,4,FALSE)</f>
        <v>FTE</v>
      </c>
      <c r="F489" s="29" t="str">
        <f>VLOOKUP(A489,File!$A:$J,6,FALSE)</f>
        <v>Chennai</v>
      </c>
      <c r="G489" s="29" t="str">
        <f>VLOOKUP(A489,File!$A:$J,7,FALSE)</f>
        <v>IOA26RPA005</v>
      </c>
      <c r="H489" s="29" t="str">
        <f>VLOOKUP(A489,File!$A:$J,8,FALSE)</f>
        <v>Adarsh J Nair</v>
      </c>
      <c r="I489" s="31">
        <f>VLOOKUP(A489,File!$A:$J,9,FALSE)</f>
        <v>46309</v>
      </c>
      <c r="J489" s="31" t="str">
        <f>VLOOKUP(A489,File!$A:$K,11,FALSE)</f>
        <v>Oct 2026</v>
      </c>
      <c r="K489" s="31" t="str">
        <f>VLOOKUP(A489,File!$A:$K,10,FALSE)</f>
        <v>In-Training</v>
      </c>
      <c r="L489" s="31" t="s">
        <v>4</v>
      </c>
      <c r="M489" t="str">
        <f>VLOOKUP(A489,Response!$A:$M,7,)</f>
        <v>PG (Paying Guest)</v>
      </c>
      <c r="N489" t="str">
        <f>VLOOKUP(A489,Response!$A:$M,8,)</f>
        <v>KSR PG, near anish pg and mensa house, eggattur</v>
      </c>
      <c r="O489" s="4">
        <f>VLOOKUP(A489,Response!$A:$M,10,)</f>
        <v>2</v>
      </c>
      <c r="P489" t="str">
        <f>VLOOKUP(A489,Response!$A:$M,12,)</f>
        <v>No</v>
      </c>
      <c r="Q489" t="str">
        <f>VLOOKUP(A489,Response!$A:$M,11,)</f>
        <v>Siruseri</v>
      </c>
      <c r="R489" t="s">
        <v>19</v>
      </c>
      <c r="S489" s="39" t="s">
        <v>37</v>
      </c>
    </row>
    <row r="490" spans="1:19">
      <c r="A490" s="3">
        <v>2531406</v>
      </c>
      <c r="B490" t="str">
        <f>VLOOKUP(A490,File!$A:$J,2,FALSE)</f>
        <v>Lavanya C</v>
      </c>
      <c r="C490" s="29">
        <f>VLOOKUP(A490,File!$A:$J,5,FALSE)</f>
        <v>46252</v>
      </c>
      <c r="D490" s="29" t="str">
        <f>VLOOKUP(A490,File!$A:$J,3,FALSE)</f>
        <v>Female</v>
      </c>
      <c r="E490" s="29" t="str">
        <f>VLOOKUP(A490,File!$A:$J,4,FALSE)</f>
        <v>FTE</v>
      </c>
      <c r="F490" s="29" t="str">
        <f>VLOOKUP(A490,File!$A:$J,6,FALSE)</f>
        <v>Chennai</v>
      </c>
      <c r="G490" s="29" t="str">
        <f>VLOOKUP(A490,File!$A:$J,7,FALSE)</f>
        <v>EPS26SAP036</v>
      </c>
      <c r="H490" s="29" t="str">
        <f>VLOOKUP(A490,File!$A:$J,8,FALSE)</f>
        <v>Vishnupriya Dakshnamurthy</v>
      </c>
      <c r="I490" s="31">
        <f>VLOOKUP(A490,File!$A:$J,9,FALSE)</f>
        <v>46335</v>
      </c>
      <c r="J490" s="31" t="str">
        <f>VLOOKUP(A490,File!$A:$K,11,FALSE)</f>
        <v>Nov 2026</v>
      </c>
      <c r="K490" s="31" t="str">
        <f>VLOOKUP(A490,File!$A:$K,10,FALSE)</f>
        <v>In-Training</v>
      </c>
      <c r="L490" s="31" t="s">
        <v>5</v>
      </c>
      <c r="M490" t="str">
        <f>VLOOKUP(A490,Response!$A:$M,7,)</f>
        <v>Permanent Residence (House/Home)</v>
      </c>
      <c r="N490" t="str">
        <f>VLOOKUP(A490,Response!$A:$M,8,)</f>
        <v>Lakshmi Illam</v>
      </c>
      <c r="O490" s="4" t="str">
        <f>VLOOKUP(A490,Response!$A:$M,10,)</f>
        <v>GF</v>
      </c>
      <c r="P490" t="str">
        <f>VLOOKUP(A490,Response!$A:$M,12,)</f>
        <v>Yes</v>
      </c>
      <c r="Q490" t="str">
        <f>VLOOKUP(A490,Response!$A:$M,11,)</f>
        <v>porur</v>
      </c>
      <c r="S490" t="s">
        <v>38</v>
      </c>
    </row>
    <row r="491" spans="1:19">
      <c r="A491" s="3">
        <v>2530210</v>
      </c>
      <c r="B491" t="str">
        <f>VLOOKUP(A491,File!$A:$J,2,FALSE)</f>
        <v>Maneesha S A</v>
      </c>
      <c r="C491" s="29">
        <f>VLOOKUP(A491,File!$A:$J,5,FALSE)</f>
        <v>46247</v>
      </c>
      <c r="D491" s="29" t="str">
        <f>VLOOKUP(A491,File!$A:$J,3,FALSE)</f>
        <v>Female</v>
      </c>
      <c r="E491" s="29" t="str">
        <f>VLOOKUP(A491,File!$A:$J,4,FALSE)</f>
        <v>FTE</v>
      </c>
      <c r="F491" s="29" t="str">
        <f>VLOOKUP(A491,File!$A:$J,6,FALSE)</f>
        <v>Chennai</v>
      </c>
      <c r="G491" s="29" t="str">
        <f>VLOOKUP(A491,File!$A:$J,7,FALSE)</f>
        <v>EPS26OSPPRO001</v>
      </c>
      <c r="H491" s="29" t="str">
        <f>VLOOKUP(A491,File!$A:$J,8,FALSE)</f>
        <v>Gayathri Ramachandran</v>
      </c>
      <c r="I491" s="31">
        <f>VLOOKUP(A491,File!$A:$J,9,FALSE)</f>
        <v>46363</v>
      </c>
      <c r="J491" s="31" t="str">
        <f>VLOOKUP(A491,File!$A:$K,11,FALSE)</f>
        <v>Dec 2026</v>
      </c>
      <c r="K491" s="31" t="str">
        <f>VLOOKUP(A491,File!$A:$K,10,FALSE)</f>
        <v>In-Training</v>
      </c>
      <c r="L491" s="31" t="s">
        <v>4</v>
      </c>
      <c r="M491" t="str">
        <f>VLOOKUP(A491,Response!$A:$M,7,)</f>
        <v>PG (Paying Guest)</v>
      </c>
      <c r="N491" t="str">
        <f>VLOOKUP(A491,Response!$A:$M,8,)</f>
        <v>Lakshmi Nivas Ladies Paying Guest - New Hostel, Kalaingar Karunanidhi Salai, Rajiv Gandhi Salai, Semmencheri, Chennai - 600119</v>
      </c>
      <c r="O491" s="4">
        <f>VLOOKUP(A491,Response!$A:$M,10,)</f>
        <v>1</v>
      </c>
      <c r="P491" t="str">
        <f>VLOOKUP(A491,Response!$A:$M,12,)</f>
        <v>Yes</v>
      </c>
      <c r="Q491" t="str">
        <f>VLOOKUP(A491,Response!$A:$M,11,)</f>
        <v>Semmancheri</v>
      </c>
      <c r="R491" t="s">
        <v>17</v>
      </c>
      <c r="S491" s="39" t="s">
        <v>37</v>
      </c>
    </row>
    <row r="492" spans="1:19">
      <c r="A492" s="3">
        <v>2523431</v>
      </c>
      <c r="B492" t="str">
        <f>VLOOKUP(A492,File!$A:$J,2,FALSE)</f>
        <v>Malyala Sathwik</v>
      </c>
      <c r="C492" s="29">
        <f>VLOOKUP(A492,File!$A:$J,5,FALSE)</f>
        <v>46219</v>
      </c>
      <c r="D492" s="29" t="str">
        <f>VLOOKUP(A492,File!$A:$J,3,FALSE)</f>
        <v>Male</v>
      </c>
      <c r="E492" s="29" t="str">
        <f>VLOOKUP(A492,File!$A:$J,4,FALSE)</f>
        <v>FTE</v>
      </c>
      <c r="F492" s="29" t="str">
        <f>VLOOKUP(A492,File!$A:$J,6,FALSE)</f>
        <v>Chennai</v>
      </c>
      <c r="G492" s="29" t="str">
        <f>VLOOKUP(A492,File!$A:$J,7,FALSE)</f>
        <v>CS26CS010</v>
      </c>
      <c r="H492" s="29" t="str">
        <f>VLOOKUP(A492,File!$A:$J,8,FALSE)</f>
        <v>Laksiya Vijayendran</v>
      </c>
      <c r="I492" s="31">
        <f>VLOOKUP(A492,File!$A:$J,9,FALSE)</f>
        <v>46314</v>
      </c>
      <c r="J492" s="31" t="str">
        <f>VLOOKUP(A492,File!$A:$K,11,FALSE)</f>
        <v>Oct 2026</v>
      </c>
      <c r="K492" s="31" t="str">
        <f>VLOOKUP(A492,File!$A:$K,10,FALSE)</f>
        <v>In-Training</v>
      </c>
      <c r="L492" s="31" t="s">
        <v>4</v>
      </c>
      <c r="M492" t="str">
        <f>VLOOKUP(A492,Response!$A:$M,7,)</f>
        <v>PG (Paying Guest)</v>
      </c>
      <c r="N492" t="str">
        <f>VLOOKUP(A492,Response!$A:$M,8,)</f>
        <v>lakshmi srinivas elite pg,egattur</v>
      </c>
      <c r="O492" s="4">
        <f>VLOOKUP(A492,Response!$A:$M,10,)</f>
        <v>3</v>
      </c>
      <c r="P492" t="str">
        <f>VLOOKUP(A492,Response!$A:$M,12,)</f>
        <v>No</v>
      </c>
      <c r="Q492" t="str">
        <f>VLOOKUP(A492,Response!$A:$M,11,)</f>
        <v>Egattur</v>
      </c>
      <c r="R492" t="s">
        <v>19</v>
      </c>
      <c r="S492" s="39" t="s">
        <v>37</v>
      </c>
    </row>
    <row r="493" spans="1:19">
      <c r="A493" s="3">
        <v>2521258</v>
      </c>
      <c r="B493" t="str">
        <f>VLOOKUP(A493,File!$A:$J,2,FALSE)</f>
        <v>Vinod S R</v>
      </c>
      <c r="C493" s="29">
        <f>VLOOKUP(A493,File!$A:$J,5,FALSE)</f>
        <v>46210</v>
      </c>
      <c r="D493" s="29" t="str">
        <f>VLOOKUP(A493,File!$A:$J,3,FALSE)</f>
        <v>Male</v>
      </c>
      <c r="E493" s="29" t="str">
        <f>VLOOKUP(A493,File!$A:$J,4,FALSE)</f>
        <v>FTE</v>
      </c>
      <c r="F493" s="29" t="str">
        <f>VLOOKUP(A493,File!$A:$J,6,FALSE)</f>
        <v>Chennai</v>
      </c>
      <c r="G493" s="29" t="str">
        <f>VLOOKUP(A493,File!$A:$J,7,FALSE)</f>
        <v>CIS26SN001</v>
      </c>
      <c r="H493" s="29" t="str">
        <f>VLOOKUP(A493,File!$A:$J,8,FALSE)</f>
        <v>Ashiya Begam S</v>
      </c>
      <c r="I493" s="31">
        <f>VLOOKUP(A493,File!$A:$J,9,FALSE)</f>
        <v>46281</v>
      </c>
      <c r="J493" s="31" t="str">
        <f>VLOOKUP(A493,File!$A:$K,11,FALSE)</f>
        <v>Sep 2026</v>
      </c>
      <c r="K493" s="31" t="str">
        <f>VLOOKUP(A493,File!$A:$K,10,FALSE)</f>
        <v>In-Training</v>
      </c>
      <c r="L493" s="31" t="s">
        <v>4</v>
      </c>
      <c r="M493" t="str">
        <f>VLOOKUP(A493,Response!$A:$M,7,)</f>
        <v>PG (Paying Guest)</v>
      </c>
      <c r="N493" t="str">
        <f>VLOOKUP(A493,Response!$A:$M,8,)</f>
        <v xml:space="preserve">Lakshmi Srinivas Mens Elite PG </v>
      </c>
      <c r="O493" s="4">
        <f>VLOOKUP(A493,Response!$A:$M,10,)</f>
        <v>4</v>
      </c>
      <c r="P493" t="str">
        <f>VLOOKUP(A493,Response!$A:$M,12,)</f>
        <v>No</v>
      </c>
      <c r="Q493" t="str">
        <f>VLOOKUP(A493,Response!$A:$M,11,)</f>
        <v>Egattur</v>
      </c>
      <c r="R493" t="s">
        <v>19</v>
      </c>
      <c r="S493" s="39" t="s">
        <v>37</v>
      </c>
    </row>
    <row r="494" spans="1:19">
      <c r="A494" s="3">
        <v>2521186</v>
      </c>
      <c r="B494" t="str">
        <f>VLOOKUP(A494,File!$A:$J,2,FALSE)</f>
        <v>Maalaiahgari Chandu</v>
      </c>
      <c r="C494" s="29">
        <f>VLOOKUP(A494,File!$A:$J,5,FALSE)</f>
        <v>46210</v>
      </c>
      <c r="D494" s="29" t="str">
        <f>VLOOKUP(A494,File!$A:$J,3,FALSE)</f>
        <v>Male</v>
      </c>
      <c r="E494" s="29" t="str">
        <f>VLOOKUP(A494,File!$A:$J,4,FALSE)</f>
        <v>FTE</v>
      </c>
      <c r="F494" s="29" t="str">
        <f>VLOOKUP(A494,File!$A:$J,6,FALSE)</f>
        <v>Chennai</v>
      </c>
      <c r="G494" s="29" t="str">
        <f>VLOOKUP(A494,File!$A:$J,7,FALSE)</f>
        <v>PG26JFR003</v>
      </c>
      <c r="H494" s="29" t="str">
        <f>VLOOKUP(A494,File!$A:$J,8,FALSE)</f>
        <v>Vijay K</v>
      </c>
      <c r="I494" s="31">
        <f>VLOOKUP(A494,File!$A:$J,9,FALSE)</f>
        <v>46322</v>
      </c>
      <c r="J494" s="31" t="str">
        <f>VLOOKUP(A494,File!$A:$K,11,FALSE)</f>
        <v>Oct 2026</v>
      </c>
      <c r="K494" s="31" t="str">
        <f>VLOOKUP(A494,File!$A:$K,10,FALSE)</f>
        <v>In-Training</v>
      </c>
      <c r="L494" s="31" t="s">
        <v>4</v>
      </c>
      <c r="M494" t="str">
        <f>VLOOKUP(A494,Response!$A:$M,7,)</f>
        <v>PG (Paying Guest)</v>
      </c>
      <c r="N494" t="str">
        <f>VLOOKUP(A494,Response!$A:$M,8,)</f>
        <v>Lakshmi Srinivasa elite Mens PG</v>
      </c>
      <c r="O494" s="4">
        <f>VLOOKUP(A494,Response!$A:$M,10,)</f>
        <v>2</v>
      </c>
      <c r="P494" t="str">
        <f>VLOOKUP(A494,Response!$A:$M,12,)</f>
        <v>No</v>
      </c>
      <c r="Q494" t="str">
        <f>VLOOKUP(A494,Response!$A:$M,11,)</f>
        <v>Egattur</v>
      </c>
      <c r="R494" t="s">
        <v>19</v>
      </c>
      <c r="S494" s="39" t="s">
        <v>37</v>
      </c>
    </row>
    <row r="495" spans="1:19">
      <c r="A495" s="3">
        <v>2519652</v>
      </c>
      <c r="B495" t="str">
        <f>VLOOKUP(A495,File!$A:$J,2,FALSE)</f>
        <v>Anandhu Das</v>
      </c>
      <c r="C495" s="29">
        <f>VLOOKUP(A495,File!$A:$J,5,FALSE)</f>
        <v>46205</v>
      </c>
      <c r="D495" s="29" t="str">
        <f>VLOOKUP(A495,File!$A:$J,3,FALSE)</f>
        <v>Male</v>
      </c>
      <c r="E495" s="29" t="str">
        <f>VLOOKUP(A495,File!$A:$J,4,FALSE)</f>
        <v>FTE</v>
      </c>
      <c r="F495" s="29" t="str">
        <f>VLOOKUP(A495,File!$A:$J,6,FALSE)</f>
        <v>Chennai</v>
      </c>
      <c r="G495" s="29" t="str">
        <f>VLOOKUP(A495,File!$A:$J,7,FALSE)</f>
        <v>CIS26MCPT013</v>
      </c>
      <c r="H495" s="29" t="str">
        <f>VLOOKUP(A495,File!$A:$J,8,FALSE)</f>
        <v>Lawrance M</v>
      </c>
      <c r="I495" s="31">
        <f>VLOOKUP(A495,File!$A:$J,9,FALSE)</f>
        <v>46324</v>
      </c>
      <c r="J495" s="31" t="str">
        <f>VLOOKUP(A495,File!$A:$K,11,FALSE)</f>
        <v>Oct 2026</v>
      </c>
      <c r="K495" s="31" t="str">
        <f>VLOOKUP(A495,File!$A:$K,10,FALSE)</f>
        <v>In-Training</v>
      </c>
      <c r="L495" s="31" t="s">
        <v>4</v>
      </c>
      <c r="M495" t="str">
        <f>VLOOKUP(A495,Response!$A:$M,7,)</f>
        <v>PG (Paying Guest)</v>
      </c>
      <c r="N495" t="str">
        <f>VLOOKUP(A495,Response!$A:$M,8,)</f>
        <v xml:space="preserve">Lakshmi Srinivasa Elite Mens PG </v>
      </c>
      <c r="O495" s="4">
        <f>VLOOKUP(A495,Response!$A:$M,10,)</f>
        <v>3</v>
      </c>
      <c r="P495" t="str">
        <f>VLOOKUP(A495,Response!$A:$M,12,)</f>
        <v>No</v>
      </c>
      <c r="Q495" t="str">
        <f>VLOOKUP(A495,Response!$A:$M,11,)</f>
        <v>Egattur</v>
      </c>
      <c r="R495" t="s">
        <v>19</v>
      </c>
      <c r="S495" s="39" t="s">
        <v>37</v>
      </c>
    </row>
    <row r="496" spans="1:19">
      <c r="A496" s="3">
        <v>2531853</v>
      </c>
      <c r="B496" t="str">
        <f>VLOOKUP(A496,File!$A:$J,2,FALSE)</f>
        <v>Saurabh Jaiswal</v>
      </c>
      <c r="C496" s="29">
        <f>VLOOKUP(A496,File!$A:$J,5,FALSE)</f>
        <v>46254</v>
      </c>
      <c r="D496" s="29" t="str">
        <f>VLOOKUP(A496,File!$A:$J,3,FALSE)</f>
        <v>Male</v>
      </c>
      <c r="E496" s="29" t="str">
        <f>VLOOKUP(A496,File!$A:$J,4,FALSE)</f>
        <v>FTE</v>
      </c>
      <c r="F496" s="29" t="str">
        <f>VLOOKUP(A496,File!$A:$J,6,FALSE)</f>
        <v>Chennai</v>
      </c>
      <c r="G496" s="29" t="str">
        <f>VLOOKUP(A496,File!$A:$J,7,FALSE)</f>
        <v>CS26CS011</v>
      </c>
      <c r="H496" s="29" t="str">
        <f>VLOOKUP(A496,File!$A:$J,8,FALSE)</f>
        <v>Kishorekumar P</v>
      </c>
      <c r="I496" s="31">
        <f>VLOOKUP(A496,File!$A:$J,9,FALSE)</f>
        <v>46343</v>
      </c>
      <c r="J496" s="31" t="str">
        <f>VLOOKUP(A496,File!$A:$K,11,FALSE)</f>
        <v>Nov 2026</v>
      </c>
      <c r="K496" s="31" t="str">
        <f>VLOOKUP(A496,File!$A:$K,10,FALSE)</f>
        <v>In-Training</v>
      </c>
      <c r="L496" s="31" t="s">
        <v>4</v>
      </c>
      <c r="M496" t="str">
        <f>VLOOKUP(A496,Response!$A:$M,7,)</f>
        <v>PG (Paying Guest)</v>
      </c>
      <c r="N496" t="str">
        <f>VLOOKUP(A496,Response!$A:$M,8,)</f>
        <v xml:space="preserve">Lakshmi srinivasa elite mens pg </v>
      </c>
      <c r="O496" s="4">
        <f>VLOOKUP(A496,Response!$A:$M,10,)</f>
        <v>3</v>
      </c>
      <c r="P496" t="str">
        <f>VLOOKUP(A496,Response!$A:$M,12,)</f>
        <v>No</v>
      </c>
      <c r="Q496" t="str">
        <f>VLOOKUP(A496,Response!$A:$M,11,)</f>
        <v>Egattur</v>
      </c>
      <c r="R496" t="s">
        <v>19</v>
      </c>
      <c r="S496" s="39" t="s">
        <v>37</v>
      </c>
    </row>
    <row r="497" spans="1:19">
      <c r="A497" s="3">
        <v>2521264</v>
      </c>
      <c r="B497" t="str">
        <f>VLOOKUP(A497,File!$A:$J,2,FALSE)</f>
        <v>Kothem Arvind Sai Teja</v>
      </c>
      <c r="C497" s="29">
        <f>VLOOKUP(A497,File!$A:$J,5,FALSE)</f>
        <v>46210</v>
      </c>
      <c r="D497" s="29" t="str">
        <f>VLOOKUP(A497,File!$A:$J,3,FALSE)</f>
        <v>Male</v>
      </c>
      <c r="E497" s="29" t="str">
        <f>VLOOKUP(A497,File!$A:$J,4,FALSE)</f>
        <v>FTE</v>
      </c>
      <c r="F497" s="29" t="str">
        <f>VLOOKUP(A497,File!$A:$J,6,FALSE)</f>
        <v>Chennai</v>
      </c>
      <c r="G497" s="29" t="str">
        <f>VLOOKUP(A497,File!$A:$J,7,FALSE)</f>
        <v>SNBG26SN004</v>
      </c>
      <c r="H497" s="29" t="str">
        <f>VLOOKUP(A497,File!$A:$J,8,FALSE)</f>
        <v>Kishorekumar P</v>
      </c>
      <c r="I497" s="31">
        <f>VLOOKUP(A497,File!$A:$J,9,FALSE)</f>
        <v>46303</v>
      </c>
      <c r="J497" s="31" t="str">
        <f>VLOOKUP(A497,File!$A:$K,11,FALSE)</f>
        <v>Oct 2026</v>
      </c>
      <c r="K497" s="31" t="str">
        <f>VLOOKUP(A497,File!$A:$K,10,FALSE)</f>
        <v>In-Training</v>
      </c>
      <c r="L497" s="31" t="s">
        <v>4</v>
      </c>
      <c r="M497" t="str">
        <f>VLOOKUP(A497,Response!$A:$M,7,)</f>
        <v>PG (Paying Guest)</v>
      </c>
      <c r="N497" t="str">
        <f>VLOOKUP(A497,Response!$A:$M,8,)</f>
        <v>Lakshmi Srinivasa Mens Elite PG</v>
      </c>
      <c r="O497" s="4">
        <f>VLOOKUP(A497,Response!$A:$M,10,)</f>
        <v>2</v>
      </c>
      <c r="P497" t="str">
        <f>VLOOKUP(A497,Response!$A:$M,12,)</f>
        <v>No</v>
      </c>
      <c r="Q497" t="str">
        <f>VLOOKUP(A497,Response!$A:$M,11,)</f>
        <v>Egattur</v>
      </c>
      <c r="R497" t="s">
        <v>19</v>
      </c>
      <c r="S497" s="39" t="s">
        <v>37</v>
      </c>
    </row>
    <row r="498" spans="1:19">
      <c r="A498" s="3">
        <v>2518812</v>
      </c>
      <c r="B498" t="str">
        <f>VLOOKUP(A498,File!$A:$J,2,FALSE)</f>
        <v>Prakash Santra</v>
      </c>
      <c r="C498" s="29">
        <f>VLOOKUP(A498,File!$A:$J,5,FALSE)</f>
        <v>46203</v>
      </c>
      <c r="D498" s="29" t="str">
        <f>VLOOKUP(A498,File!$A:$J,3,FALSE)</f>
        <v>Male</v>
      </c>
      <c r="E498" s="29" t="str">
        <f>VLOOKUP(A498,File!$A:$J,4,FALSE)</f>
        <v>FTE</v>
      </c>
      <c r="F498" s="29" t="str">
        <f>VLOOKUP(A498,File!$A:$J,6,FALSE)</f>
        <v>Chennai</v>
      </c>
      <c r="G498" s="29" t="str">
        <f>VLOOKUP(A498,File!$A:$J,7,FALSE)</f>
        <v>CIS26SB001</v>
      </c>
      <c r="H498" s="29" t="str">
        <f>VLOOKUP(A498,File!$A:$J,8,FALSE)</f>
        <v>Kishorekumar P</v>
      </c>
      <c r="I498" s="31">
        <f>VLOOKUP(A498,File!$A:$J,9,FALSE)</f>
        <v>46309</v>
      </c>
      <c r="J498" s="31" t="str">
        <f>VLOOKUP(A498,File!$A:$K,11,FALSE)</f>
        <v>Oct 2026</v>
      </c>
      <c r="K498" s="31" t="str">
        <f>VLOOKUP(A498,File!$A:$K,10,FALSE)</f>
        <v>In-Training</v>
      </c>
      <c r="L498" s="31" t="s">
        <v>4</v>
      </c>
      <c r="M498" t="str">
        <f>VLOOKUP(A498,Response!$A:$M,7,)</f>
        <v>PG (Paying Guest)</v>
      </c>
      <c r="N498" t="str">
        <f>VLOOKUP(A498,Response!$A:$M,8,)</f>
        <v>Lakshmi Srinivasa Mens Elite PG</v>
      </c>
      <c r="O498" s="4" t="str">
        <f>VLOOKUP(A498,Response!$A:$M,10,)</f>
        <v>GF</v>
      </c>
      <c r="P498" t="str">
        <f>VLOOKUP(A498,Response!$A:$M,12,)</f>
        <v>No</v>
      </c>
      <c r="Q498" t="str">
        <f>VLOOKUP(A498,Response!$A:$M,11,)</f>
        <v>Egattur</v>
      </c>
      <c r="R498" t="s">
        <v>19</v>
      </c>
      <c r="S498" s="39" t="s">
        <v>37</v>
      </c>
    </row>
    <row r="499" spans="1:19">
      <c r="A499" s="3">
        <v>2531835</v>
      </c>
      <c r="B499" t="str">
        <f>VLOOKUP(A499,File!$A:$J,2,FALSE)</f>
        <v>Tarun Kumar</v>
      </c>
      <c r="C499" s="29">
        <f>VLOOKUP(A499,File!$A:$J,5,FALSE)</f>
        <v>46254</v>
      </c>
      <c r="D499" s="29" t="str">
        <f>VLOOKUP(A499,File!$A:$J,3,FALSE)</f>
        <v>Male</v>
      </c>
      <c r="E499" s="29" t="str">
        <f>VLOOKUP(A499,File!$A:$J,4,FALSE)</f>
        <v>FTE</v>
      </c>
      <c r="F499" s="29" t="str">
        <f>VLOOKUP(A499,File!$A:$J,6,FALSE)</f>
        <v>Chennai</v>
      </c>
      <c r="G499" s="29" t="str">
        <f>VLOOKUP(A499,File!$A:$J,7,FALSE)</f>
        <v>CS26CS011</v>
      </c>
      <c r="H499" s="29" t="str">
        <f>VLOOKUP(A499,File!$A:$J,8,FALSE)</f>
        <v>Kishorekumar P</v>
      </c>
      <c r="I499" s="31">
        <f>VLOOKUP(A499,File!$A:$J,9,FALSE)</f>
        <v>46343</v>
      </c>
      <c r="J499" s="31" t="str">
        <f>VLOOKUP(A499,File!$A:$K,11,FALSE)</f>
        <v>Nov 2026</v>
      </c>
      <c r="K499" s="31" t="str">
        <f>VLOOKUP(A499,File!$A:$K,10,FALSE)</f>
        <v>In-Training</v>
      </c>
      <c r="L499" s="31" t="s">
        <v>4</v>
      </c>
      <c r="M499" t="str">
        <f>VLOOKUP(A499,Response!$A:$M,7,)</f>
        <v>PG (Paying Guest)</v>
      </c>
      <c r="N499" t="str">
        <f>VLOOKUP(A499,Response!$A:$M,8,)</f>
        <v>Lakshmi Srinivasa Mens Elite PG, Egattur</v>
      </c>
      <c r="O499" s="4">
        <f>VLOOKUP(A499,Response!$A:$M,10,)</f>
        <v>3</v>
      </c>
      <c r="P499" t="str">
        <f>VLOOKUP(A499,Response!$A:$M,12,)</f>
        <v>No</v>
      </c>
      <c r="Q499" t="str">
        <f>VLOOKUP(A499,Response!$A:$M,11,)</f>
        <v>Egattur</v>
      </c>
      <c r="R499" t="s">
        <v>19</v>
      </c>
      <c r="S499" s="39" t="s">
        <v>37</v>
      </c>
    </row>
    <row r="500" spans="1:19">
      <c r="A500" s="3">
        <v>2523449</v>
      </c>
      <c r="B500" t="str">
        <f>VLOOKUP(A500,File!$A:$J,2,FALSE)</f>
        <v>Sodum Hemanth Kumar Reddy</v>
      </c>
      <c r="C500" s="29">
        <f>VLOOKUP(A500,File!$A:$J,5,FALSE)</f>
        <v>46219</v>
      </c>
      <c r="D500" s="29" t="str">
        <f>VLOOKUP(A500,File!$A:$J,3,FALSE)</f>
        <v>Male</v>
      </c>
      <c r="E500" s="29" t="str">
        <f>VLOOKUP(A500,File!$A:$J,4,FALSE)</f>
        <v>FTE</v>
      </c>
      <c r="F500" s="29" t="str">
        <f>VLOOKUP(A500,File!$A:$J,6,FALSE)</f>
        <v>Chennai</v>
      </c>
      <c r="G500" s="29" t="str">
        <f>VLOOKUP(A500,File!$A:$J,7,FALSE)</f>
        <v>CS26CS009</v>
      </c>
      <c r="H500" s="29" t="str">
        <f>VLOOKUP(A500,File!$A:$J,8,FALSE)</f>
        <v>Laksiya Vijayendran</v>
      </c>
      <c r="I500" s="31">
        <f>VLOOKUP(A500,File!$A:$J,9,FALSE)</f>
        <v>46330</v>
      </c>
      <c r="J500" s="31" t="str">
        <f>VLOOKUP(A500,File!$A:$K,11,FALSE)</f>
        <v>Nov 2026</v>
      </c>
      <c r="K500" s="31" t="str">
        <f>VLOOKUP(A500,File!$A:$K,10,FALSE)</f>
        <v>In-Training</v>
      </c>
      <c r="L500" s="31" t="s">
        <v>4</v>
      </c>
      <c r="M500" t="str">
        <f>VLOOKUP(A500,Response!$A:$M,7,)</f>
        <v>PG (Paying Guest)</v>
      </c>
      <c r="N500" t="str">
        <f>VLOOKUP(A500,Response!$A:$M,8,)</f>
        <v>Lakshmi Srinivasa mens pg - Eggatur</v>
      </c>
      <c r="O500" s="4">
        <f>VLOOKUP(A500,Response!$A:$M,10,)</f>
        <v>2</v>
      </c>
      <c r="P500" t="str">
        <f>VLOOKUP(A500,Response!$A:$M,12,)</f>
        <v>No</v>
      </c>
      <c r="Q500" t="str">
        <f>VLOOKUP(A500,Response!$A:$M,11,)</f>
        <v>Egattur</v>
      </c>
      <c r="R500" t="s">
        <v>19</v>
      </c>
      <c r="S500" s="39" t="s">
        <v>37</v>
      </c>
    </row>
    <row r="501" spans="1:19">
      <c r="A501" s="3">
        <v>2524525</v>
      </c>
      <c r="B501" t="str">
        <f>VLOOKUP(A501,File!$A:$J,2,FALSE)</f>
        <v>Vasudha Koorma</v>
      </c>
      <c r="C501" s="29">
        <f>VLOOKUP(A501,File!$A:$J,5,FALSE)</f>
        <v>46224</v>
      </c>
      <c r="D501" s="29" t="str">
        <f>VLOOKUP(A501,File!$A:$J,3,FALSE)</f>
        <v>Female</v>
      </c>
      <c r="E501" s="29" t="str">
        <f>VLOOKUP(A501,File!$A:$J,4,FALSE)</f>
        <v>FTE</v>
      </c>
      <c r="F501" s="29" t="str">
        <f>VLOOKUP(A501,File!$A:$J,6,FALSE)</f>
        <v>Chennai</v>
      </c>
      <c r="G501" s="29" t="str">
        <f>VLOOKUP(A501,File!$A:$J,7,FALSE)</f>
        <v>IOA26RPA005</v>
      </c>
      <c r="H501" s="29" t="str">
        <f>VLOOKUP(A501,File!$A:$J,8,FALSE)</f>
        <v>Adarsh J Nair</v>
      </c>
      <c r="I501" s="31">
        <f>VLOOKUP(A501,File!$A:$J,9,FALSE)</f>
        <v>46309</v>
      </c>
      <c r="J501" s="31" t="str">
        <f>VLOOKUP(A501,File!$A:$K,11,FALSE)</f>
        <v>Oct 2026</v>
      </c>
      <c r="K501" s="31" t="str">
        <f>VLOOKUP(A501,File!$A:$K,10,FALSE)</f>
        <v>In-Training</v>
      </c>
      <c r="L501" s="31" t="s">
        <v>4</v>
      </c>
      <c r="M501" t="str">
        <f>VLOOKUP(A501,Response!$A:$M,7,)</f>
        <v>PG (Paying Guest)</v>
      </c>
      <c r="N501" t="str">
        <f>VLOOKUP(A501,Response!$A:$M,8,)</f>
        <v>Lavender Girls Pg - Siruseri, Egattur</v>
      </c>
      <c r="O501" s="4">
        <f>VLOOKUP(A501,Response!$A:$M,10,)</f>
        <v>4</v>
      </c>
      <c r="P501" t="str">
        <f>VLOOKUP(A501,Response!$A:$M,12,)</f>
        <v>No</v>
      </c>
      <c r="Q501" t="str">
        <f>VLOOKUP(A501,Response!$A:$M,11,)</f>
        <v>Navalur</v>
      </c>
      <c r="R501" t="s">
        <v>19</v>
      </c>
      <c r="S501" s="39" t="s">
        <v>37</v>
      </c>
    </row>
    <row r="502" spans="1:19">
      <c r="A502" s="3">
        <v>2524659</v>
      </c>
      <c r="B502" t="str">
        <f>VLOOKUP(A502,File!$A:$J,2,FALSE)</f>
        <v>Dwarasila Jyoshna</v>
      </c>
      <c r="C502" s="29">
        <f>VLOOKUP(A502,File!$A:$J,5,FALSE)</f>
        <v>46224</v>
      </c>
      <c r="D502" s="29" t="str">
        <f>VLOOKUP(A502,File!$A:$J,3,FALSE)</f>
        <v>Female</v>
      </c>
      <c r="E502" s="29" t="str">
        <f>VLOOKUP(A502,File!$A:$J,4,FALSE)</f>
        <v>FTE</v>
      </c>
      <c r="F502" s="29" t="str">
        <f>VLOOKUP(A502,File!$A:$J,6,FALSE)</f>
        <v>Chennai</v>
      </c>
      <c r="G502" s="29" t="str">
        <f>VLOOKUP(A502,File!$A:$J,7,FALSE)</f>
        <v>IOA26RPA005</v>
      </c>
      <c r="H502" s="29" t="str">
        <f>VLOOKUP(A502,File!$A:$J,8,FALSE)</f>
        <v>Adarsh J Nair</v>
      </c>
      <c r="I502" s="31">
        <f>VLOOKUP(A502,File!$A:$J,9,FALSE)</f>
        <v>46309</v>
      </c>
      <c r="J502" s="31" t="str">
        <f>VLOOKUP(A502,File!$A:$K,11,FALSE)</f>
        <v>Oct 2026</v>
      </c>
      <c r="K502" s="31" t="str">
        <f>VLOOKUP(A502,File!$A:$K,10,FALSE)</f>
        <v>In-Training</v>
      </c>
      <c r="L502" s="31" t="s">
        <v>4</v>
      </c>
      <c r="M502" t="str">
        <f>VLOOKUP(A502,Response!$A:$M,7,)</f>
        <v>PG (Paying Guest)</v>
      </c>
      <c r="N502" t="str">
        <f>VLOOKUP(A502,Response!$A:$M,8,)</f>
        <v>M.S.R Pg for ladies- Branch 1,Egattur</v>
      </c>
      <c r="O502" s="4" t="str">
        <f>VLOOKUP(A502,Response!$A:$M,10,)</f>
        <v>GF</v>
      </c>
      <c r="P502" t="str">
        <f>VLOOKUP(A502,Response!$A:$M,12,)</f>
        <v>No</v>
      </c>
      <c r="Q502" t="str">
        <f>VLOOKUP(A502,Response!$A:$M,11,)</f>
        <v>Siruseri</v>
      </c>
      <c r="R502" t="s">
        <v>19</v>
      </c>
      <c r="S502" s="39" t="s">
        <v>37</v>
      </c>
    </row>
    <row r="503" spans="1:19">
      <c r="A503" s="3">
        <v>2525064</v>
      </c>
      <c r="B503" t="str">
        <f>VLOOKUP(A503,File!$A:$J,2,FALSE)</f>
        <v>Devesh Joshi</v>
      </c>
      <c r="C503" s="29">
        <f>VLOOKUP(A503,File!$A:$J,5,FALSE)</f>
        <v>46226</v>
      </c>
      <c r="D503" s="29" t="str">
        <f>VLOOKUP(A503,File!$A:$J,3,FALSE)</f>
        <v>Male</v>
      </c>
      <c r="E503" s="29" t="str">
        <f>VLOOKUP(A503,File!$A:$J,4,FALSE)</f>
        <v>FTE</v>
      </c>
      <c r="F503" s="29" t="str">
        <f>VLOOKUP(A503,File!$A:$J,6,FALSE)</f>
        <v>Chennai</v>
      </c>
      <c r="G503" s="29" t="str">
        <f>VLOOKUP(A503,File!$A:$J,7,FALSE)</f>
        <v>ADM26ISMO010</v>
      </c>
      <c r="H503" s="29" t="str">
        <f>VLOOKUP(A503,File!$A:$J,8,FALSE)</f>
        <v>Thomas Naveen. J</v>
      </c>
      <c r="I503" s="31">
        <f>VLOOKUP(A503,File!$A:$J,9,FALSE)</f>
        <v>46301</v>
      </c>
      <c r="J503" s="31" t="str">
        <f>VLOOKUP(A503,File!$A:$K,11,FALSE)</f>
        <v>Oct 2026</v>
      </c>
      <c r="K503" s="31" t="str">
        <f>VLOOKUP(A503,File!$A:$K,10,FALSE)</f>
        <v>In-Training</v>
      </c>
      <c r="L503" s="31" t="s">
        <v>4</v>
      </c>
      <c r="M503" t="str">
        <f>VLOOKUP(A503,Response!$A:$M,7,)</f>
        <v>PG (Paying Guest)</v>
      </c>
      <c r="N503" t="str">
        <f>VLOOKUP(A503,Response!$A:$M,8,)</f>
        <v>Maa Durga PG</v>
      </c>
      <c r="O503" s="4">
        <f>VLOOKUP(A503,Response!$A:$M,10,)</f>
        <v>1</v>
      </c>
      <c r="P503" t="str">
        <f>VLOOKUP(A503,Response!$A:$M,12,)</f>
        <v>No</v>
      </c>
      <c r="Q503" t="str">
        <f>VLOOKUP(A503,Response!$A:$M,11,)</f>
        <v>Perumbakkam</v>
      </c>
      <c r="R503" t="s">
        <v>21</v>
      </c>
      <c r="S503" s="39" t="s">
        <v>37</v>
      </c>
    </row>
    <row r="504" spans="1:19">
      <c r="A504" s="3">
        <v>2533041</v>
      </c>
      <c r="B504" t="str">
        <f>VLOOKUP(A504,File!$A:$J,2,FALSE)</f>
        <v>Aashiq M</v>
      </c>
      <c r="C504" s="29">
        <f>VLOOKUP(A504,File!$A:$J,5,FALSE)</f>
        <v>46259</v>
      </c>
      <c r="D504" s="29" t="str">
        <f>VLOOKUP(A504,File!$A:$J,3,FALSE)</f>
        <v>Male</v>
      </c>
      <c r="E504" s="29" t="str">
        <f>VLOOKUP(A504,File!$A:$J,4,FALSE)</f>
        <v>FTE</v>
      </c>
      <c r="F504" s="29" t="str">
        <f>VLOOKUP(A504,File!$A:$J,6,FALSE)</f>
        <v>Chennai</v>
      </c>
      <c r="G504" s="29" t="str">
        <f>VLOOKUP(A504,File!$A:$J,7,FALSE)</f>
        <v>ADM27DFSA001</v>
      </c>
      <c r="H504" s="29" t="str">
        <f>VLOOKUP(A504,File!$A:$J,8,FALSE)</f>
        <v>Thomas Naveen. J</v>
      </c>
      <c r="I504" s="31">
        <f>VLOOKUP(A504,File!$A:$J,9,FALSE)</f>
        <v>46386</v>
      </c>
      <c r="J504" s="31" t="str">
        <f>VLOOKUP(A504,File!$A:$K,11,FALSE)</f>
        <v>Dec 2026</v>
      </c>
      <c r="K504" s="31" t="str">
        <f>VLOOKUP(A504,File!$A:$K,10,FALSE)</f>
        <v>In-Training</v>
      </c>
      <c r="L504" s="31" t="s">
        <v>5</v>
      </c>
      <c r="M504" t="str">
        <f>VLOOKUP(A504,Response!$A:$M,7,)</f>
        <v>Permanent Residence (House/Home)</v>
      </c>
      <c r="N504" t="str">
        <f>VLOOKUP(A504,Response!$A:$M,8,)</f>
        <v>Mahalakshmi Apartments</v>
      </c>
      <c r="O504" s="4">
        <f>VLOOKUP(A504,Response!$A:$M,10,)</f>
        <v>1</v>
      </c>
      <c r="P504" t="str">
        <f>VLOOKUP(A504,Response!$A:$M,12,)</f>
        <v>Yes</v>
      </c>
      <c r="Q504" t="str">
        <f>VLOOKUP(A504,Response!$A:$M,11,)</f>
        <v>Vadapalani</v>
      </c>
      <c r="S504" t="s">
        <v>38</v>
      </c>
    </row>
    <row r="505" spans="1:19">
      <c r="A505" s="3">
        <v>2512306</v>
      </c>
      <c r="B505" t="str">
        <f>VLOOKUP(A505,File!$A:$J,2,FALSE)</f>
        <v>Neya K M</v>
      </c>
      <c r="C505" s="29">
        <f>VLOOKUP(A505,File!$A:$J,5,FALSE)</f>
        <v>46170</v>
      </c>
      <c r="D505" s="29" t="str">
        <f>VLOOKUP(A505,File!$A:$J,3,FALSE)</f>
        <v>Female</v>
      </c>
      <c r="E505" s="29" t="str">
        <f>VLOOKUP(A505,File!$A:$J,4,FALSE)</f>
        <v>FTE</v>
      </c>
      <c r="F505" s="29" t="str">
        <f>VLOOKUP(A505,File!$A:$J,6,FALSE)</f>
        <v>Chennai</v>
      </c>
      <c r="G505" s="29" t="str">
        <f>VLOOKUP(A505,File!$A:$J,7,FALSE)</f>
        <v>CIS26MCPT011</v>
      </c>
      <c r="H505" s="29" t="str">
        <f>VLOOKUP(A505,File!$A:$J,8,FALSE)</f>
        <v>Uma Venkatachalam</v>
      </c>
      <c r="I505" s="31">
        <f>VLOOKUP(A505,File!$A:$J,9,FALSE)</f>
        <v>46282</v>
      </c>
      <c r="J505" s="31" t="str">
        <f>VLOOKUP(A505,File!$A:$K,11,FALSE)</f>
        <v>Sep 2026</v>
      </c>
      <c r="K505" s="31" t="str">
        <f>VLOOKUP(A505,File!$A:$K,10,FALSE)</f>
        <v>In-Training</v>
      </c>
      <c r="L505" s="31" t="s">
        <v>4</v>
      </c>
      <c r="M505" t="str">
        <f>VLOOKUP(A505,Response!$A:$M,7,)</f>
        <v>PG (Paying Guest)</v>
      </c>
      <c r="N505" t="str">
        <f>VLOOKUP(A505,Response!$A:$M,8,)</f>
        <v>Maiyura Ladies Hostel</v>
      </c>
      <c r="O505" s="4">
        <f>VLOOKUP(A505,Response!$A:$M,10,)</f>
        <v>3</v>
      </c>
      <c r="P505" t="str">
        <f>VLOOKUP(A505,Response!$A:$M,12,)</f>
        <v>No</v>
      </c>
      <c r="Q505" t="str">
        <f>VLOOKUP(A505,Response!$A:$M,11,)</f>
        <v>Navalur</v>
      </c>
      <c r="R505" t="s">
        <v>19</v>
      </c>
      <c r="S505" s="39" t="s">
        <v>37</v>
      </c>
    </row>
    <row r="506" spans="1:19">
      <c r="A506" s="3">
        <v>2524489</v>
      </c>
      <c r="B506" t="str">
        <f>VLOOKUP(A506,File!$A:$J,2,FALSE)</f>
        <v>Sabarinathan Anbusezhiyan</v>
      </c>
      <c r="C506" s="29">
        <f>VLOOKUP(A506,File!$A:$J,5,FALSE)</f>
        <v>46224</v>
      </c>
      <c r="D506" s="29" t="str">
        <f>VLOOKUP(A506,File!$A:$J,3,FALSE)</f>
        <v>Male</v>
      </c>
      <c r="E506" s="29" t="str">
        <f>VLOOKUP(A506,File!$A:$J,4,FALSE)</f>
        <v>FTE</v>
      </c>
      <c r="F506" s="29" t="str">
        <f>VLOOKUP(A506,File!$A:$J,6,FALSE)</f>
        <v>Chennai</v>
      </c>
      <c r="G506" s="29" t="str">
        <f>VLOOKUP(A506,File!$A:$J,7,FALSE)</f>
        <v>ADM26MF012</v>
      </c>
      <c r="H506" s="29" t="str">
        <f>VLOOKUP(A506,File!$A:$J,8,FALSE)</f>
        <v>Lourdhu Selvin Raj X</v>
      </c>
      <c r="I506" s="31">
        <f>VLOOKUP(A506,File!$A:$J,9,FALSE)</f>
        <v>46343</v>
      </c>
      <c r="J506" s="31" t="str">
        <f>VLOOKUP(A506,File!$A:$K,11,FALSE)</f>
        <v>Nov 2026</v>
      </c>
      <c r="K506" s="31" t="str">
        <f>VLOOKUP(A506,File!$A:$K,10,FALSE)</f>
        <v>In-Training</v>
      </c>
      <c r="L506" s="31" t="s">
        <v>5</v>
      </c>
      <c r="M506" t="str">
        <f>VLOOKUP(A506,Response!$A:$M,7,)</f>
        <v>Relatives Residence</v>
      </c>
      <c r="N506" t="str">
        <f>VLOOKUP(A506,Response!$A:$M,8,)</f>
        <v>Mallesh Aashira apartment , perumbakkam.</v>
      </c>
      <c r="O506" s="4">
        <f>VLOOKUP(A506,Response!$A:$M,10,)</f>
        <v>2</v>
      </c>
      <c r="P506" t="str">
        <f>VLOOKUP(A506,Response!$A:$M,12,)</f>
        <v>Yes</v>
      </c>
      <c r="Q506" t="str">
        <f>VLOOKUP(A506,Response!$A:$M,11,)</f>
        <v>Sholinganallur</v>
      </c>
      <c r="R506" t="s">
        <v>17</v>
      </c>
      <c r="S506" t="s">
        <v>38</v>
      </c>
    </row>
    <row r="507" spans="1:19">
      <c r="A507" s="3">
        <v>2512316</v>
      </c>
      <c r="B507" t="str">
        <f>VLOOKUP(A507,File!$A:$J,2,FALSE)</f>
        <v>Sabarivasan K</v>
      </c>
      <c r="C507" s="29">
        <f>VLOOKUP(A507,File!$A:$J,5,FALSE)</f>
        <v>46170</v>
      </c>
      <c r="D507" s="29" t="str">
        <f>VLOOKUP(A507,File!$A:$J,3,FALSE)</f>
        <v>Male</v>
      </c>
      <c r="E507" s="29" t="str">
        <f>VLOOKUP(A507,File!$A:$J,4,FALSE)</f>
        <v>FTE</v>
      </c>
      <c r="F507" s="29" t="str">
        <f>VLOOKUP(A507,File!$A:$J,6,FALSE)</f>
        <v>Chennai</v>
      </c>
      <c r="G507" s="29" t="str">
        <f>VLOOKUP(A507,File!$A:$J,7,FALSE)</f>
        <v>CIS26MCPT011</v>
      </c>
      <c r="H507" s="29" t="str">
        <f>VLOOKUP(A507,File!$A:$J,8,FALSE)</f>
        <v>Uma Venkatachalam</v>
      </c>
      <c r="I507" s="31">
        <f>VLOOKUP(A507,File!$A:$J,9,FALSE)</f>
        <v>46282</v>
      </c>
      <c r="J507" s="31" t="str">
        <f>VLOOKUP(A507,File!$A:$K,11,FALSE)</f>
        <v>Sep 2026</v>
      </c>
      <c r="K507" s="31" t="str">
        <f>VLOOKUP(A507,File!$A:$K,10,FALSE)</f>
        <v>In-Training</v>
      </c>
      <c r="L507" s="31" t="s">
        <v>5</v>
      </c>
      <c r="M507" t="str">
        <f>VLOOKUP(A507,Response!$A:$M,7,)</f>
        <v>Rented House/Apartment</v>
      </c>
      <c r="N507" t="str">
        <f>VLOOKUP(A507,Response!$A:$M,8,)</f>
        <v>mambakkam</v>
      </c>
      <c r="O507" s="4">
        <f>VLOOKUP(A507,Response!$A:$M,10,)</f>
        <v>7</v>
      </c>
      <c r="P507" t="str">
        <f>VLOOKUP(A507,Response!$A:$M,12,)</f>
        <v>Yes</v>
      </c>
      <c r="Q507" t="str">
        <f>VLOOKUP(A507,Response!$A:$M,11,)</f>
        <v>Kelambakkam</v>
      </c>
      <c r="R507" t="s">
        <v>15</v>
      </c>
      <c r="S507" t="s">
        <v>38</v>
      </c>
    </row>
    <row r="508" spans="1:19">
      <c r="A508" s="3">
        <v>2521802</v>
      </c>
      <c r="B508" t="str">
        <f>VLOOKUP(A508,File!$A:$J,2,FALSE)</f>
        <v>Narsingandla Suresh</v>
      </c>
      <c r="C508" s="29">
        <f>VLOOKUP(A508,File!$A:$J,5,FALSE)</f>
        <v>46212</v>
      </c>
      <c r="D508" s="29" t="str">
        <f>VLOOKUP(A508,File!$A:$J,3,FALSE)</f>
        <v>Male</v>
      </c>
      <c r="E508" s="29" t="str">
        <f>VLOOKUP(A508,File!$A:$J,4,FALSE)</f>
        <v>FTE</v>
      </c>
      <c r="F508" s="29" t="str">
        <f>VLOOKUP(A508,File!$A:$J,6,FALSE)</f>
        <v>Chennai</v>
      </c>
      <c r="G508" s="29" t="str">
        <f>VLOOKUP(A508,File!$A:$J,7,FALSE)</f>
        <v>QEA26QEPT023</v>
      </c>
      <c r="H508" s="29" t="str">
        <f>VLOOKUP(A508,File!$A:$J,8,FALSE)</f>
        <v>Sweta Thoppil</v>
      </c>
      <c r="I508" s="31">
        <f>VLOOKUP(A508,File!$A:$J,9,FALSE)</f>
        <v>46314</v>
      </c>
      <c r="J508" s="31" t="str">
        <f>VLOOKUP(A508,File!$A:$K,11,FALSE)</f>
        <v>Oct 2026</v>
      </c>
      <c r="K508" s="31" t="str">
        <f>VLOOKUP(A508,File!$A:$K,10,FALSE)</f>
        <v>In-Training</v>
      </c>
      <c r="L508" s="31" t="s">
        <v>4</v>
      </c>
      <c r="M508" t="str">
        <f>VLOOKUP(A508,Response!$A:$M,7,)</f>
        <v>PG (Paying Guest)</v>
      </c>
      <c r="N508" t="str">
        <f>VLOOKUP(A508,Response!$A:$M,8,)</f>
        <v>CNR GENTS PG BRANCH-1 SIRUSERI SIPCOT, Mamoothiamman, 3rd St, Egattur, Tamil Nadu 603103</v>
      </c>
      <c r="O508" s="4">
        <f>VLOOKUP(A508,Response!$A:$M,10,)</f>
        <v>1</v>
      </c>
      <c r="P508" t="str">
        <f>VLOOKUP(A508,Response!$A:$M,12,)</f>
        <v>No</v>
      </c>
      <c r="Q508" t="str">
        <f>VLOOKUP(A508,Response!$A:$M,11,)</f>
        <v>Siruseri</v>
      </c>
      <c r="R508" t="s">
        <v>19</v>
      </c>
      <c r="S508" s="39" t="s">
        <v>37</v>
      </c>
    </row>
    <row r="509" spans="1:19">
      <c r="A509" s="3">
        <v>2522851</v>
      </c>
      <c r="B509" t="str">
        <f>VLOOKUP(A509,File!$A:$J,2,FALSE)</f>
        <v>Mounika M</v>
      </c>
      <c r="C509" s="29">
        <f>VLOOKUP(A509,File!$A:$J,5,FALSE)</f>
        <v>46217</v>
      </c>
      <c r="D509" s="29" t="str">
        <f>VLOOKUP(A509,File!$A:$J,3,FALSE)</f>
        <v>Female</v>
      </c>
      <c r="E509" s="29" t="str">
        <f>VLOOKUP(A509,File!$A:$J,4,FALSE)</f>
        <v>FTE</v>
      </c>
      <c r="F509" s="29" t="str">
        <f>VLOOKUP(A509,File!$A:$J,6,FALSE)</f>
        <v>Chennai</v>
      </c>
      <c r="G509" s="29" t="str">
        <f>VLOOKUP(A509,File!$A:$J,7,FALSE)</f>
        <v>CIS26MCPT017</v>
      </c>
      <c r="H509" s="29" t="str">
        <f>VLOOKUP(A509,File!$A:$J,8,FALSE)</f>
        <v>Haritha P</v>
      </c>
      <c r="I509" s="31">
        <f>VLOOKUP(A509,File!$A:$J,9,FALSE)</f>
        <v>46335</v>
      </c>
      <c r="J509" s="31" t="str">
        <f>VLOOKUP(A509,File!$A:$K,11,FALSE)</f>
        <v>Nov 2026</v>
      </c>
      <c r="K509" s="31" t="str">
        <f>VLOOKUP(A509,File!$A:$K,10,FALSE)</f>
        <v>In-Training</v>
      </c>
      <c r="L509" s="31" t="s">
        <v>5</v>
      </c>
      <c r="M509" t="str">
        <f>VLOOKUP(A509,Response!$A:$M,7,)</f>
        <v>Rented House/Apartment</v>
      </c>
      <c r="N509" t="str">
        <f>VLOOKUP(A509,Response!$A:$M,8,)</f>
        <v>Mangai kamalam Appartments</v>
      </c>
      <c r="O509" s="4">
        <f>VLOOKUP(A509,Response!$A:$M,10,)</f>
        <v>2</v>
      </c>
      <c r="P509" t="str">
        <f>VLOOKUP(A509,Response!$A:$M,12,)</f>
        <v>Yes</v>
      </c>
      <c r="Q509" t="str">
        <f>VLOOKUP(A509,Response!$A:$M,11,)</f>
        <v>Siruseri</v>
      </c>
      <c r="R509" t="s">
        <v>19</v>
      </c>
      <c r="S509" t="s">
        <v>38</v>
      </c>
    </row>
    <row r="510" spans="1:19">
      <c r="A510" s="3">
        <v>2511317</v>
      </c>
      <c r="B510" t="str">
        <f>VLOOKUP(A510,File!$A:$J,2,FALSE)</f>
        <v>Hepsiba P</v>
      </c>
      <c r="C510" s="29">
        <f>VLOOKUP(A510,File!$A:$J,5,FALSE)</f>
        <v>46163</v>
      </c>
      <c r="D510" s="29" t="str">
        <f>VLOOKUP(A510,File!$A:$J,3,FALSE)</f>
        <v>Female</v>
      </c>
      <c r="E510" s="29" t="str">
        <f>VLOOKUP(A510,File!$A:$J,4,FALSE)</f>
        <v>FTE</v>
      </c>
      <c r="F510" s="29" t="str">
        <f>VLOOKUP(A510,File!$A:$J,6,FALSE)</f>
        <v>Chennai</v>
      </c>
      <c r="G510" s="29" t="str">
        <f>VLOOKUP(A510,File!$A:$J,7,FALSE)</f>
        <v>CIS26MCPT010</v>
      </c>
      <c r="H510" s="29" t="str">
        <f>VLOOKUP(A510,File!$A:$J,8,FALSE)</f>
        <v>Mohamed Harish</v>
      </c>
      <c r="I510" s="31">
        <f>VLOOKUP(A510,File!$A:$J,9,FALSE)</f>
        <v>46280</v>
      </c>
      <c r="J510" s="31" t="str">
        <f>VLOOKUP(A510,File!$A:$K,11,FALSE)</f>
        <v>Sep 2026</v>
      </c>
      <c r="K510" s="31" t="str">
        <f>VLOOKUP(A510,File!$A:$K,10,FALSE)</f>
        <v>In-Training</v>
      </c>
      <c r="L510" s="31" t="s">
        <v>4</v>
      </c>
      <c r="M510" t="str">
        <f>VLOOKUP(A510,Response!$A:$M,7,)</f>
        <v>PG (Paying Guest)</v>
      </c>
      <c r="N510" t="str">
        <f>VLOOKUP(A510,Response!$A:$M,8,)</f>
        <v>Manideep ladies Pg - Navalur</v>
      </c>
      <c r="O510" s="4">
        <f>VLOOKUP(A510,Response!$A:$M,10,)</f>
        <v>2</v>
      </c>
      <c r="P510" t="str">
        <f>VLOOKUP(A510,Response!$A:$M,12,)</f>
        <v>No</v>
      </c>
      <c r="Q510" t="str">
        <f>VLOOKUP(A510,Response!$A:$M,11,)</f>
        <v>Navalur</v>
      </c>
      <c r="R510" t="s">
        <v>19</v>
      </c>
      <c r="S510" s="39" t="s">
        <v>37</v>
      </c>
    </row>
    <row r="511" spans="1:19">
      <c r="A511" s="3">
        <v>2529779</v>
      </c>
      <c r="B511" t="str">
        <f>VLOOKUP(A511,File!$A:$J,2,FALSE)</f>
        <v>Heena Kousar</v>
      </c>
      <c r="C511" s="29">
        <f>VLOOKUP(A511,File!$A:$J,5,FALSE)</f>
        <v>46245</v>
      </c>
      <c r="D511" s="29" t="str">
        <f>VLOOKUP(A511,File!$A:$J,3,FALSE)</f>
        <v>Female</v>
      </c>
      <c r="E511" s="29" t="str">
        <f>VLOOKUP(A511,File!$A:$J,4,FALSE)</f>
        <v>FTE</v>
      </c>
      <c r="F511" s="29" t="str">
        <f>VLOOKUP(A511,File!$A:$J,6,FALSE)</f>
        <v>Chennai</v>
      </c>
      <c r="G511" s="29" t="str">
        <f>VLOOKUP(A511,File!$A:$J,7,FALSE)</f>
        <v>CIS26MCPT022</v>
      </c>
      <c r="H511" s="29" t="str">
        <f>VLOOKUP(A511,File!$A:$J,8,FALSE)</f>
        <v>Laksiya Vijayendran</v>
      </c>
      <c r="I511" s="31">
        <f>VLOOKUP(A511,File!$A:$J,9,FALSE)</f>
        <v>46359</v>
      </c>
      <c r="J511" s="31" t="str">
        <f>VLOOKUP(A511,File!$A:$K,11,FALSE)</f>
        <v>Dec 2026</v>
      </c>
      <c r="K511" s="31" t="str">
        <f>VLOOKUP(A511,File!$A:$K,10,FALSE)</f>
        <v>In-Training</v>
      </c>
      <c r="L511" s="31" t="s">
        <v>4</v>
      </c>
      <c r="M511" t="str">
        <f>VLOOKUP(A511,Response!$A:$M,7,)</f>
        <v>PG (Paying Guest)</v>
      </c>
      <c r="N511" t="str">
        <f>VLOOKUP(A511,Response!$A:$M,8,)</f>
        <v>Manikandan PG Padur BRANCH 1</v>
      </c>
      <c r="O511" s="4">
        <f>VLOOKUP(A511,Response!$A:$M,10,)</f>
        <v>1</v>
      </c>
      <c r="P511" t="str">
        <f>VLOOKUP(A511,Response!$A:$M,12,)</f>
        <v>No</v>
      </c>
      <c r="Q511" t="str">
        <f>VLOOKUP(A511,Response!$A:$M,11,)</f>
        <v>Padur</v>
      </c>
      <c r="R511" t="s">
        <v>15</v>
      </c>
      <c r="S511" s="40" t="s">
        <v>36</v>
      </c>
    </row>
    <row r="512" spans="1:19">
      <c r="A512" s="3">
        <v>2530176</v>
      </c>
      <c r="B512" t="str">
        <f>VLOOKUP(A512,File!$A:$J,2,FALSE)</f>
        <v>Giriprasad P</v>
      </c>
      <c r="C512" s="29">
        <f>VLOOKUP(A512,File!$A:$J,5,FALSE)</f>
        <v>46247</v>
      </c>
      <c r="D512" s="29" t="str">
        <f>VLOOKUP(A512,File!$A:$J,3,FALSE)</f>
        <v>Male</v>
      </c>
      <c r="E512" s="29" t="str">
        <f>VLOOKUP(A512,File!$A:$J,4,FALSE)</f>
        <v>FTE</v>
      </c>
      <c r="F512" s="29" t="str">
        <f>VLOOKUP(A512,File!$A:$J,6,FALSE)</f>
        <v>Chennai</v>
      </c>
      <c r="G512" s="29" t="str">
        <f>VLOOKUP(A512,File!$A:$J,7,FALSE)</f>
        <v>EPS26OSPPRO001</v>
      </c>
      <c r="H512" s="29" t="str">
        <f>VLOOKUP(A512,File!$A:$J,8,FALSE)</f>
        <v>Gayathri Ramachandran</v>
      </c>
      <c r="I512" s="31">
        <f>VLOOKUP(A512,File!$A:$J,9,FALSE)</f>
        <v>46363</v>
      </c>
      <c r="J512" s="31" t="str">
        <f>VLOOKUP(A512,File!$A:$K,11,FALSE)</f>
        <v>Dec 2026</v>
      </c>
      <c r="K512" s="31" t="str">
        <f>VLOOKUP(A512,File!$A:$K,10,FALSE)</f>
        <v>In-Training</v>
      </c>
      <c r="L512" s="31" t="s">
        <v>4</v>
      </c>
      <c r="M512" t="str">
        <f>VLOOKUP(A512,Response!$A:$M,7,)</f>
        <v>PG (Paying Guest)</v>
      </c>
      <c r="N512" t="str">
        <f>VLOOKUP(A512,Response!$A:$M,8,)</f>
        <v>MARK PG</v>
      </c>
      <c r="O512" s="4">
        <f>VLOOKUP(A512,Response!$A:$M,10,)</f>
        <v>1</v>
      </c>
      <c r="P512" t="str">
        <f>VLOOKUP(A512,Response!$A:$M,12,)</f>
        <v>No</v>
      </c>
      <c r="Q512" t="str">
        <f>VLOOKUP(A512,Response!$A:$M,11,)</f>
        <v>Navalur</v>
      </c>
      <c r="R512" t="s">
        <v>19</v>
      </c>
      <c r="S512" s="39" t="s">
        <v>37</v>
      </c>
    </row>
    <row r="513" spans="1:19">
      <c r="A513" s="3">
        <v>2530206</v>
      </c>
      <c r="B513" t="str">
        <f>VLOOKUP(A513,File!$A:$J,2,FALSE)</f>
        <v>Jai Vignesh Elumalai</v>
      </c>
      <c r="C513" s="29">
        <f>VLOOKUP(A513,File!$A:$J,5,FALSE)</f>
        <v>46247</v>
      </c>
      <c r="D513" s="29" t="str">
        <f>VLOOKUP(A513,File!$A:$J,3,FALSE)</f>
        <v>Male</v>
      </c>
      <c r="E513" s="29" t="str">
        <f>VLOOKUP(A513,File!$A:$J,4,FALSE)</f>
        <v>FTE</v>
      </c>
      <c r="F513" s="29" t="str">
        <f>VLOOKUP(A513,File!$A:$J,6,FALSE)</f>
        <v>Chennai</v>
      </c>
      <c r="G513" s="29" t="str">
        <f>VLOOKUP(A513,File!$A:$J,7,FALSE)</f>
        <v>EPS26OSPPRO001</v>
      </c>
      <c r="H513" s="29" t="str">
        <f>VLOOKUP(A513,File!$A:$J,8,FALSE)</f>
        <v>Gayathri Ramachandran</v>
      </c>
      <c r="I513" s="31">
        <f>VLOOKUP(A513,File!$A:$J,9,FALSE)</f>
        <v>46363</v>
      </c>
      <c r="J513" s="31" t="str">
        <f>VLOOKUP(A513,File!$A:$K,11,FALSE)</f>
        <v>Dec 2026</v>
      </c>
      <c r="K513" s="31" t="str">
        <f>VLOOKUP(A513,File!$A:$K,10,FALSE)</f>
        <v>In-Training</v>
      </c>
      <c r="L513" s="31" t="s">
        <v>4</v>
      </c>
      <c r="M513" t="str">
        <f>VLOOKUP(A513,Response!$A:$M,7,)</f>
        <v>PG (Paying Guest)</v>
      </c>
      <c r="N513" t="str">
        <f>VLOOKUP(A513,Response!$A:$M,8,)</f>
        <v xml:space="preserve">MARKS gents pg navalur </v>
      </c>
      <c r="O513" s="4">
        <f>VLOOKUP(A513,Response!$A:$M,10,)</f>
        <v>1</v>
      </c>
      <c r="P513" t="str">
        <f>VLOOKUP(A513,Response!$A:$M,12,)</f>
        <v>Yes</v>
      </c>
      <c r="Q513" t="str">
        <f>VLOOKUP(A513,Response!$A:$M,11,)</f>
        <v>Navalur</v>
      </c>
      <c r="R513" t="s">
        <v>19</v>
      </c>
      <c r="S513" s="39" t="s">
        <v>37</v>
      </c>
    </row>
    <row r="514" spans="1:19">
      <c r="A514" s="3">
        <v>2512287</v>
      </c>
      <c r="B514" t="str">
        <f>VLOOKUP(A514,File!$A:$J,2,FALSE)</f>
        <v>Shwetha Sri L</v>
      </c>
      <c r="C514" s="29">
        <f>VLOOKUP(A514,File!$A:$J,5,FALSE)</f>
        <v>46170</v>
      </c>
      <c r="D514" s="29" t="str">
        <f>VLOOKUP(A514,File!$A:$J,3,FALSE)</f>
        <v>Female</v>
      </c>
      <c r="E514" s="29" t="str">
        <f>VLOOKUP(A514,File!$A:$J,4,FALSE)</f>
        <v>FTE</v>
      </c>
      <c r="F514" s="29" t="str">
        <f>VLOOKUP(A514,File!$A:$J,6,FALSE)</f>
        <v>Chennai</v>
      </c>
      <c r="G514" s="29" t="str">
        <f>VLOOKUP(A514,File!$A:$J,7,FALSE)</f>
        <v>CIS26MCPT012</v>
      </c>
      <c r="H514" s="29" t="str">
        <f>VLOOKUP(A514,File!$A:$J,8,FALSE)</f>
        <v>Uma Venkatachalam</v>
      </c>
      <c r="I514" s="31">
        <f>VLOOKUP(A514,File!$A:$J,9,FALSE)</f>
        <v>46282</v>
      </c>
      <c r="J514" s="31" t="str">
        <f>VLOOKUP(A514,File!$A:$K,11,FALSE)</f>
        <v>Sep 2026</v>
      </c>
      <c r="K514" s="31" t="str">
        <f>VLOOKUP(A514,File!$A:$K,10,FALSE)</f>
        <v>In-Training</v>
      </c>
      <c r="L514" s="31" t="s">
        <v>4</v>
      </c>
      <c r="M514" t="str">
        <f>VLOOKUP(A514,Response!$A:$M,7,)</f>
        <v>PG (Paying Guest)</v>
      </c>
      <c r="N514" t="str">
        <f>VLOOKUP(A514,Response!$A:$M,8,)</f>
        <v>Mayura Ladies Pg,Navalur</v>
      </c>
      <c r="O514" s="4">
        <f>VLOOKUP(A514,Response!$A:$M,10,)</f>
        <v>3</v>
      </c>
      <c r="P514" t="str">
        <f>VLOOKUP(A514,Response!$A:$M,12,)</f>
        <v>Yes</v>
      </c>
      <c r="Q514" t="str">
        <f>VLOOKUP(A514,Response!$A:$M,11,)</f>
        <v>Navalur</v>
      </c>
      <c r="R514" t="s">
        <v>19</v>
      </c>
      <c r="S514" s="39" t="s">
        <v>37</v>
      </c>
    </row>
    <row r="515" spans="1:19">
      <c r="A515" s="3">
        <v>2531833</v>
      </c>
      <c r="B515" t="str">
        <f>VLOOKUP(A515,File!$A:$J,2,FALSE)</f>
        <v>Rohan Kumar Sharma</v>
      </c>
      <c r="C515" s="29">
        <f>VLOOKUP(A515,File!$A:$J,5,FALSE)</f>
        <v>46254</v>
      </c>
      <c r="D515" s="29" t="str">
        <f>VLOOKUP(A515,File!$A:$J,3,FALSE)</f>
        <v>Male</v>
      </c>
      <c r="E515" s="29" t="str">
        <f>VLOOKUP(A515,File!$A:$J,4,FALSE)</f>
        <v>FTE</v>
      </c>
      <c r="F515" s="29" t="str">
        <f>VLOOKUP(A515,File!$A:$J,6,FALSE)</f>
        <v>Chennai</v>
      </c>
      <c r="G515" s="29" t="str">
        <f>VLOOKUP(A515,File!$A:$J,7,FALSE)</f>
        <v>CS26CS012</v>
      </c>
      <c r="H515" s="29" t="str">
        <f>VLOOKUP(A515,File!$A:$J,8,FALSE)</f>
        <v>Laksiya Vijayendran</v>
      </c>
      <c r="I515" s="31">
        <f>VLOOKUP(A515,File!$A:$J,9,FALSE)</f>
        <v>46343</v>
      </c>
      <c r="J515" s="31" t="str">
        <f>VLOOKUP(A515,File!$A:$K,11,FALSE)</f>
        <v>Nov 2026</v>
      </c>
      <c r="K515" s="31" t="str">
        <f>VLOOKUP(A515,File!$A:$K,10,FALSE)</f>
        <v>In-Training</v>
      </c>
      <c r="L515" s="31" t="s">
        <v>4</v>
      </c>
      <c r="M515" t="str">
        <f>VLOOKUP(A515,Response!$A:$M,7,)</f>
        <v>PG (Paying Guest)</v>
      </c>
      <c r="N515" t="str">
        <f>VLOOKUP(A515,Response!$A:$M,8,)</f>
        <v>Meera Gents Pg , Navalur</v>
      </c>
      <c r="O515" s="4">
        <f>VLOOKUP(A515,Response!$A:$M,10,)</f>
        <v>1</v>
      </c>
      <c r="P515" t="str">
        <f>VLOOKUP(A515,Response!$A:$M,12,)</f>
        <v>No</v>
      </c>
      <c r="Q515" t="str">
        <f>VLOOKUP(A515,Response!$A:$M,11,)</f>
        <v>Navalur</v>
      </c>
      <c r="R515" t="s">
        <v>19</v>
      </c>
      <c r="S515" s="39" t="s">
        <v>37</v>
      </c>
    </row>
    <row r="516" spans="1:19">
      <c r="A516" s="3">
        <v>2530137</v>
      </c>
      <c r="B516" t="str">
        <f>VLOOKUP(A516,File!$A:$J,2,FALSE)</f>
        <v>Sangram Chavan Patil</v>
      </c>
      <c r="C516" s="29">
        <f>VLOOKUP(A516,File!$A:$J,5,FALSE)</f>
        <v>46247</v>
      </c>
      <c r="D516" s="29" t="str">
        <f>VLOOKUP(A516,File!$A:$J,3,FALSE)</f>
        <v>Male</v>
      </c>
      <c r="E516" s="29" t="str">
        <f>VLOOKUP(A516,File!$A:$J,4,FALSE)</f>
        <v>FTE</v>
      </c>
      <c r="F516" s="29" t="str">
        <f>VLOOKUP(A516,File!$A:$J,6,FALSE)</f>
        <v>Chennai</v>
      </c>
      <c r="G516" s="29" t="str">
        <f>VLOOKUP(A516,File!$A:$J,7,FALSE)</f>
        <v>EPS26SAP034</v>
      </c>
      <c r="H516" s="29" t="str">
        <f>VLOOKUP(A516,File!$A:$J,8,FALSE)</f>
        <v>Gayathri Ramachandran</v>
      </c>
      <c r="I516" s="31">
        <f>VLOOKUP(A516,File!$A:$J,9,FALSE)</f>
        <v>46331</v>
      </c>
      <c r="J516" s="31" t="str">
        <f>VLOOKUP(A516,File!$A:$K,11,FALSE)</f>
        <v>Nov 2026</v>
      </c>
      <c r="K516" s="31" t="str">
        <f>VLOOKUP(A516,File!$A:$K,10,FALSE)</f>
        <v>In-Training</v>
      </c>
      <c r="L516" s="31" t="s">
        <v>4</v>
      </c>
      <c r="M516" t="str">
        <f>VLOOKUP(A516,Response!$A:$M,7,)</f>
        <v>PG (Paying Guest)</v>
      </c>
      <c r="N516" t="str">
        <f>VLOOKUP(A516,Response!$A:$M,8,)</f>
        <v>Meera Gents PG Egattur</v>
      </c>
      <c r="O516" s="4">
        <f>VLOOKUP(A516,Response!$A:$M,10,)</f>
        <v>3</v>
      </c>
      <c r="P516" t="str">
        <f>VLOOKUP(A516,Response!$A:$M,12,)</f>
        <v>No</v>
      </c>
      <c r="Q516" t="str">
        <f>VLOOKUP(A516,Response!$A:$M,11,)</f>
        <v>Egattur</v>
      </c>
      <c r="R516" t="s">
        <v>19</v>
      </c>
      <c r="S516" s="39" t="s">
        <v>37</v>
      </c>
    </row>
    <row r="517" spans="1:19">
      <c r="A517" s="3">
        <v>2523391</v>
      </c>
      <c r="B517" t="str">
        <f>VLOOKUP(A517,File!$A:$J,2,FALSE)</f>
        <v>Manikanth Parasaram Madiwalar</v>
      </c>
      <c r="C517" s="29">
        <f>VLOOKUP(A517,File!$A:$J,5,FALSE)</f>
        <v>46219</v>
      </c>
      <c r="D517" s="29" t="str">
        <f>VLOOKUP(A517,File!$A:$J,3,FALSE)</f>
        <v>Male</v>
      </c>
      <c r="E517" s="29" t="str">
        <f>VLOOKUP(A517,File!$A:$J,4,FALSE)</f>
        <v>FTE</v>
      </c>
      <c r="F517" s="29" t="str">
        <f>VLOOKUP(A517,File!$A:$J,6,FALSE)</f>
        <v>Chennai</v>
      </c>
      <c r="G517" s="29" t="str">
        <f>VLOOKUP(A517,File!$A:$J,7,FALSE)</f>
        <v>CS26CS010</v>
      </c>
      <c r="H517" s="29" t="str">
        <f>VLOOKUP(A517,File!$A:$J,8,FALSE)</f>
        <v>Laksiya Vijayendran</v>
      </c>
      <c r="I517" s="31">
        <f>VLOOKUP(A517,File!$A:$J,9,FALSE)</f>
        <v>46314</v>
      </c>
      <c r="J517" s="31" t="str">
        <f>VLOOKUP(A517,File!$A:$K,11,FALSE)</f>
        <v>Oct 2026</v>
      </c>
      <c r="K517" s="31" t="str">
        <f>VLOOKUP(A517,File!$A:$K,10,FALSE)</f>
        <v>In-Training</v>
      </c>
      <c r="L517" s="31" t="s">
        <v>4</v>
      </c>
      <c r="M517" t="str">
        <f>VLOOKUP(A517,Response!$A:$M,7,)</f>
        <v>PG (Paying Guest)</v>
      </c>
      <c r="N517" t="str">
        <f>VLOOKUP(A517,Response!$A:$M,8,)</f>
        <v>Meera gents pg egattur</v>
      </c>
      <c r="O517" s="4">
        <f>VLOOKUP(A517,Response!$A:$M,10,)</f>
        <v>3</v>
      </c>
      <c r="P517" t="str">
        <f>VLOOKUP(A517,Response!$A:$M,12,)</f>
        <v>No</v>
      </c>
      <c r="Q517" t="str">
        <f>VLOOKUP(A517,Response!$A:$M,11,)</f>
        <v>Navalur</v>
      </c>
      <c r="R517" t="s">
        <v>19</v>
      </c>
      <c r="S517" s="39" t="s">
        <v>37</v>
      </c>
    </row>
    <row r="518" spans="1:19">
      <c r="A518" s="3">
        <v>2520951</v>
      </c>
      <c r="B518" t="str">
        <f>VLOOKUP(A518,File!$A:$J,2,FALSE)</f>
        <v>Manoj M Hatalageri</v>
      </c>
      <c r="C518" s="29">
        <f>VLOOKUP(A518,File!$A:$J,5,FALSE)</f>
        <v>46210</v>
      </c>
      <c r="D518" s="29" t="str">
        <f>VLOOKUP(A518,File!$A:$J,3,FALSE)</f>
        <v>Male</v>
      </c>
      <c r="E518" s="29" t="str">
        <f>VLOOKUP(A518,File!$A:$J,4,FALSE)</f>
        <v>FTE</v>
      </c>
      <c r="F518" s="29" t="str">
        <f>VLOOKUP(A518,File!$A:$J,6,FALSE)</f>
        <v>Chennai</v>
      </c>
      <c r="G518" s="29" t="str">
        <f>VLOOKUP(A518,File!$A:$J,7,FALSE)</f>
        <v>EPS26WD004</v>
      </c>
      <c r="H518" s="29" t="str">
        <f>VLOOKUP(A518,File!$A:$J,8,FALSE)</f>
        <v>Ajith Ganesan</v>
      </c>
      <c r="I518" s="31">
        <f>VLOOKUP(A518,File!$A:$J,9,FALSE)</f>
        <v>46310</v>
      </c>
      <c r="J518" s="31" t="str">
        <f>VLOOKUP(A518,File!$A:$K,11,FALSE)</f>
        <v>Oct 2026</v>
      </c>
      <c r="K518" s="31" t="str">
        <f>VLOOKUP(A518,File!$A:$K,10,FALSE)</f>
        <v>In-Training</v>
      </c>
      <c r="L518" s="31" t="s">
        <v>4</v>
      </c>
      <c r="M518" t="str">
        <f>VLOOKUP(A518,Response!$A:$M,7,)</f>
        <v>PG (Paying Guest)</v>
      </c>
      <c r="N518" t="str">
        <f>VLOOKUP(A518,Response!$A:$M,8,)</f>
        <v>Meera Gents Pg, Chennai,Tamilnadu</v>
      </c>
      <c r="O518" s="4">
        <f>VLOOKUP(A518,Response!$A:$M,10,)</f>
        <v>3</v>
      </c>
      <c r="P518" t="str">
        <f>VLOOKUP(A518,Response!$A:$M,12,)</f>
        <v>No</v>
      </c>
      <c r="Q518" t="str">
        <f>VLOOKUP(A518,Response!$A:$M,11,)</f>
        <v>Navalur</v>
      </c>
      <c r="R518" t="s">
        <v>19</v>
      </c>
      <c r="S518" s="39" t="s">
        <v>37</v>
      </c>
    </row>
    <row r="519" spans="1:19">
      <c r="A519" s="3">
        <v>2521845</v>
      </c>
      <c r="B519" t="str">
        <f>VLOOKUP(A519,File!$A:$J,2,FALSE)</f>
        <v>Lagadapati Ravi Teja</v>
      </c>
      <c r="C519" s="29">
        <f>VLOOKUP(A519,File!$A:$J,5,FALSE)</f>
        <v>46212</v>
      </c>
      <c r="D519" s="29" t="str">
        <f>VLOOKUP(A519,File!$A:$J,3,FALSE)</f>
        <v>Male</v>
      </c>
      <c r="E519" s="29" t="str">
        <f>VLOOKUP(A519,File!$A:$J,4,FALSE)</f>
        <v>FTE</v>
      </c>
      <c r="F519" s="29" t="str">
        <f>VLOOKUP(A519,File!$A:$J,6,FALSE)</f>
        <v>Chennai</v>
      </c>
      <c r="G519" s="29" t="str">
        <f>VLOOKUP(A519,File!$A:$J,7,FALSE)</f>
        <v>QEA26SD001</v>
      </c>
      <c r="H519" s="29" t="str">
        <f>VLOOKUP(A519,File!$A:$J,8,FALSE)</f>
        <v>Ajiesya D P</v>
      </c>
      <c r="I519" s="31">
        <f>VLOOKUP(A519,File!$A:$J,9,FALSE)</f>
        <v>46329</v>
      </c>
      <c r="J519" s="31" t="str">
        <f>VLOOKUP(A519,File!$A:$K,11,FALSE)</f>
        <v>Nov 2026</v>
      </c>
      <c r="K519" s="31" t="str">
        <f>VLOOKUP(A519,File!$A:$K,10,FALSE)</f>
        <v>In-Training</v>
      </c>
      <c r="L519" s="31" t="s">
        <v>4</v>
      </c>
      <c r="M519" t="str">
        <f>VLOOKUP(A519,Response!$A:$M,7,)</f>
        <v>PG (Paying Guest)</v>
      </c>
      <c r="N519" t="str">
        <f>VLOOKUP(A519,Response!$A:$M,8,)</f>
        <v>Meera Gents PG, Egattur</v>
      </c>
      <c r="O519" s="4" t="str">
        <f>VLOOKUP(A519,Response!$A:$M,10,)</f>
        <v>GF</v>
      </c>
      <c r="P519" t="str">
        <f>VLOOKUP(A519,Response!$A:$M,12,)</f>
        <v>No</v>
      </c>
      <c r="Q519" t="str">
        <f>VLOOKUP(A519,Response!$A:$M,11,)</f>
        <v>Navalur</v>
      </c>
      <c r="R519" t="s">
        <v>19</v>
      </c>
      <c r="S519" s="39" t="s">
        <v>37</v>
      </c>
    </row>
    <row r="520" spans="1:19">
      <c r="A520" s="3">
        <v>2521841</v>
      </c>
      <c r="B520" t="str">
        <f>VLOOKUP(A520,File!$A:$J,2,FALSE)</f>
        <v>Gamidi Vamsikrishna</v>
      </c>
      <c r="C520" s="29">
        <f>VLOOKUP(A520,File!$A:$J,5,FALSE)</f>
        <v>46212</v>
      </c>
      <c r="D520" s="29" t="str">
        <f>VLOOKUP(A520,File!$A:$J,3,FALSE)</f>
        <v>Male</v>
      </c>
      <c r="E520" s="29" t="str">
        <f>VLOOKUP(A520,File!$A:$J,4,FALSE)</f>
        <v>FTE</v>
      </c>
      <c r="F520" s="29" t="str">
        <f>VLOOKUP(A520,File!$A:$J,6,FALSE)</f>
        <v>Chennai</v>
      </c>
      <c r="G520" s="29" t="str">
        <f>VLOOKUP(A520,File!$A:$J,7,FALSE)</f>
        <v>QEA26SD001</v>
      </c>
      <c r="H520" s="29" t="str">
        <f>VLOOKUP(A520,File!$A:$J,8,FALSE)</f>
        <v>Ajiesya D P</v>
      </c>
      <c r="I520" s="31">
        <f>VLOOKUP(A520,File!$A:$J,9,FALSE)</f>
        <v>46329</v>
      </c>
      <c r="J520" s="31" t="str">
        <f>VLOOKUP(A520,File!$A:$K,11,FALSE)</f>
        <v>Nov 2026</v>
      </c>
      <c r="K520" s="31" t="str">
        <f>VLOOKUP(A520,File!$A:$K,10,FALSE)</f>
        <v>In-Training</v>
      </c>
      <c r="L520" s="31" t="s">
        <v>4</v>
      </c>
      <c r="M520" t="str">
        <f>VLOOKUP(A520,Response!$A:$M,7,)</f>
        <v>PG (Paying Guest)</v>
      </c>
      <c r="N520" t="str">
        <f>VLOOKUP(A520,Response!$A:$M,8,)</f>
        <v>Meera Gents PG, Egatur</v>
      </c>
      <c r="O520" s="4" t="str">
        <f>VLOOKUP(A520,Response!$A:$M,10,)</f>
        <v>GF</v>
      </c>
      <c r="P520" t="str">
        <f>VLOOKUP(A520,Response!$A:$M,12,)</f>
        <v>No</v>
      </c>
      <c r="Q520" t="str">
        <f>VLOOKUP(A520,Response!$A:$M,11,)</f>
        <v>Egattur</v>
      </c>
      <c r="R520" t="s">
        <v>19</v>
      </c>
      <c r="S520" s="39" t="s">
        <v>37</v>
      </c>
    </row>
    <row r="521" spans="1:19">
      <c r="A521" s="3">
        <v>2531838</v>
      </c>
      <c r="B521" t="str">
        <f>VLOOKUP(A521,File!$A:$J,2,FALSE)</f>
        <v>Chandan Swain</v>
      </c>
      <c r="C521" s="29">
        <f>VLOOKUP(A521,File!$A:$J,5,FALSE)</f>
        <v>46254</v>
      </c>
      <c r="D521" s="29" t="str">
        <f>VLOOKUP(A521,File!$A:$J,3,FALSE)</f>
        <v>Male</v>
      </c>
      <c r="E521" s="29" t="str">
        <f>VLOOKUP(A521,File!$A:$J,4,FALSE)</f>
        <v>FTE</v>
      </c>
      <c r="F521" s="29" t="str">
        <f>VLOOKUP(A521,File!$A:$J,6,FALSE)</f>
        <v>Chennai</v>
      </c>
      <c r="G521" s="29" t="str">
        <f>VLOOKUP(A521,File!$A:$J,7,FALSE)</f>
        <v>CS26CS012</v>
      </c>
      <c r="H521" s="29" t="str">
        <f>VLOOKUP(A521,File!$A:$J,8,FALSE)</f>
        <v>Laksiya Vijayendran</v>
      </c>
      <c r="I521" s="31">
        <f>VLOOKUP(A521,File!$A:$J,9,FALSE)</f>
        <v>46343</v>
      </c>
      <c r="J521" s="31" t="str">
        <f>VLOOKUP(A521,File!$A:$K,11,FALSE)</f>
        <v>Nov 2026</v>
      </c>
      <c r="K521" s="31" t="str">
        <f>VLOOKUP(A521,File!$A:$K,10,FALSE)</f>
        <v>In-Training</v>
      </c>
      <c r="L521" s="31" t="s">
        <v>4</v>
      </c>
      <c r="M521" t="str">
        <f>VLOOKUP(A521,Response!$A:$M,7,)</f>
        <v>PG (Paying Guest)</v>
      </c>
      <c r="N521" t="str">
        <f>VLOOKUP(A521,Response!$A:$M,8,)</f>
        <v>Meera Gents PG, Navalur</v>
      </c>
      <c r="O521" s="4">
        <f>VLOOKUP(A521,Response!$A:$M,10,)</f>
        <v>1</v>
      </c>
      <c r="P521" t="str">
        <f>VLOOKUP(A521,Response!$A:$M,12,)</f>
        <v>No</v>
      </c>
      <c r="Q521" t="str">
        <f>VLOOKUP(A521,Response!$A:$M,11,)</f>
        <v>Navalur</v>
      </c>
      <c r="R521" t="s">
        <v>19</v>
      </c>
      <c r="S521" s="39" t="s">
        <v>37</v>
      </c>
    </row>
    <row r="522" spans="1:19">
      <c r="A522" s="3">
        <v>2521753</v>
      </c>
      <c r="B522" t="str">
        <f>VLOOKUP(A522,File!$A:$J,2,FALSE)</f>
        <v>Bestha Bharath</v>
      </c>
      <c r="C522" s="29">
        <f>VLOOKUP(A522,File!$A:$J,5,FALSE)</f>
        <v>46212</v>
      </c>
      <c r="D522" s="29" t="str">
        <f>VLOOKUP(A522,File!$A:$J,3,FALSE)</f>
        <v>Male</v>
      </c>
      <c r="E522" s="29" t="str">
        <f>VLOOKUP(A522,File!$A:$J,4,FALSE)</f>
        <v>FTE</v>
      </c>
      <c r="F522" s="29" t="str">
        <f>VLOOKUP(A522,File!$A:$J,6,FALSE)</f>
        <v>Chennai</v>
      </c>
      <c r="G522" s="29" t="str">
        <f>VLOOKUP(A522,File!$A:$J,7,FALSE)</f>
        <v>QEA26SD001</v>
      </c>
      <c r="H522" s="29" t="str">
        <f>VLOOKUP(A522,File!$A:$J,8,FALSE)</f>
        <v>Ajiesya D P</v>
      </c>
      <c r="I522" s="31">
        <f>VLOOKUP(A522,File!$A:$J,9,FALSE)</f>
        <v>46329</v>
      </c>
      <c r="J522" s="31" t="str">
        <f>VLOOKUP(A522,File!$A:$K,11,FALSE)</f>
        <v>Nov 2026</v>
      </c>
      <c r="K522" s="31" t="str">
        <f>VLOOKUP(A522,File!$A:$K,10,FALSE)</f>
        <v>In-Training</v>
      </c>
      <c r="L522" s="31" t="s">
        <v>4</v>
      </c>
      <c r="M522" t="str">
        <f>VLOOKUP(A522,Response!$A:$M,7,)</f>
        <v>PG (Paying Guest)</v>
      </c>
      <c r="N522" t="str">
        <f>VLOOKUP(A522,Response!$A:$M,8,)</f>
        <v>meera gents pg,egattur</v>
      </c>
      <c r="O522" s="4">
        <f>VLOOKUP(A522,Response!$A:$M,10,)</f>
        <v>1</v>
      </c>
      <c r="P522" t="str">
        <f>VLOOKUP(A522,Response!$A:$M,12,)</f>
        <v>No</v>
      </c>
      <c r="Q522" t="str">
        <f>VLOOKUP(A522,Response!$A:$M,11,)</f>
        <v>Navalur</v>
      </c>
      <c r="R522" t="s">
        <v>19</v>
      </c>
      <c r="S522" s="39" t="s">
        <v>37</v>
      </c>
    </row>
    <row r="523" spans="1:19">
      <c r="A523" s="3">
        <v>2523383</v>
      </c>
      <c r="B523" t="str">
        <f>VLOOKUP(A523,File!$A:$J,2,FALSE)</f>
        <v>Mekala Narayana</v>
      </c>
      <c r="C523" s="29">
        <f>VLOOKUP(A523,File!$A:$J,5,FALSE)</f>
        <v>46219</v>
      </c>
      <c r="D523" s="29" t="str">
        <f>VLOOKUP(A523,File!$A:$J,3,FALSE)</f>
        <v>Male</v>
      </c>
      <c r="E523" s="29" t="str">
        <f>VLOOKUP(A523,File!$A:$J,4,FALSE)</f>
        <v>FTE</v>
      </c>
      <c r="F523" s="29" t="str">
        <f>VLOOKUP(A523,File!$A:$J,6,FALSE)</f>
        <v>Chennai</v>
      </c>
      <c r="G523" s="29" t="str">
        <f>VLOOKUP(A523,File!$A:$J,7,FALSE)</f>
        <v>CS26CS009</v>
      </c>
      <c r="H523" s="29" t="str">
        <f>VLOOKUP(A523,File!$A:$J,8,FALSE)</f>
        <v>Laksiya Vijayendran</v>
      </c>
      <c r="I523" s="31">
        <f>VLOOKUP(A523,File!$A:$J,9,FALSE)</f>
        <v>46309</v>
      </c>
      <c r="J523" s="31" t="str">
        <f>VLOOKUP(A523,File!$A:$K,11,FALSE)</f>
        <v>Oct 2026</v>
      </c>
      <c r="K523" s="31" t="str">
        <f>VLOOKUP(A523,File!$A:$K,10,FALSE)</f>
        <v>In-Training</v>
      </c>
      <c r="L523" s="31" t="s">
        <v>4</v>
      </c>
      <c r="M523" t="str">
        <f>VLOOKUP(A523,Response!$A:$M,7,)</f>
        <v>PG (Paying Guest)</v>
      </c>
      <c r="N523" t="str">
        <f>VLOOKUP(A523,Response!$A:$M,8,)</f>
        <v>Meghana PG, inside SIPCOT IT park, Egattur</v>
      </c>
      <c r="O523" s="4">
        <f>VLOOKUP(A523,Response!$A:$M,10,)</f>
        <v>4</v>
      </c>
      <c r="P523" t="str">
        <f>VLOOKUP(A523,Response!$A:$M,12,)</f>
        <v>Yes</v>
      </c>
      <c r="Q523" t="str">
        <f>VLOOKUP(A523,Response!$A:$M,11,)</f>
        <v>Egattur</v>
      </c>
      <c r="R523" t="s">
        <v>19</v>
      </c>
      <c r="S523" s="39" t="s">
        <v>37</v>
      </c>
    </row>
    <row r="524" spans="1:19">
      <c r="A524" s="3">
        <v>2529513</v>
      </c>
      <c r="B524" t="str">
        <f>VLOOKUP(A524,File!$A:$J,2,FALSE)</f>
        <v>Anurag Pravinrao Deshmukh</v>
      </c>
      <c r="C524" s="29">
        <f>VLOOKUP(A524,File!$A:$J,5,FALSE)</f>
        <v>46245</v>
      </c>
      <c r="D524" s="29" t="str">
        <f>VLOOKUP(A524,File!$A:$J,3,FALSE)</f>
        <v>Male</v>
      </c>
      <c r="E524" s="29" t="str">
        <f>VLOOKUP(A524,File!$A:$J,4,FALSE)</f>
        <v>FTE</v>
      </c>
      <c r="F524" s="29" t="str">
        <f>VLOOKUP(A524,File!$A:$J,6,FALSE)</f>
        <v>Chennai</v>
      </c>
      <c r="G524" s="29" t="str">
        <f>VLOOKUP(A524,File!$A:$J,7,FALSE)</f>
        <v>CIS26MCPT021</v>
      </c>
      <c r="H524" s="29" t="str">
        <f>VLOOKUP(A524,File!$A:$J,8,FALSE)</f>
        <v>Uma Venkatachalam</v>
      </c>
      <c r="I524" s="31">
        <f>VLOOKUP(A524,File!$A:$J,9,FALSE)</f>
        <v>46364</v>
      </c>
      <c r="J524" s="31" t="str">
        <f>VLOOKUP(A524,File!$A:$K,11,FALSE)</f>
        <v>Dec 2026</v>
      </c>
      <c r="K524" s="31" t="str">
        <f>VLOOKUP(A524,File!$A:$K,10,FALSE)</f>
        <v>In-Training</v>
      </c>
      <c r="L524" s="31" t="s">
        <v>4</v>
      </c>
      <c r="M524" t="str">
        <f>VLOOKUP(A524,Response!$A:$M,7,)</f>
        <v>PG (Paying Guest)</v>
      </c>
      <c r="N524" t="str">
        <f>VLOOKUP(A524,Response!$A:$M,8,)</f>
        <v xml:space="preserve">Mettu street </v>
      </c>
      <c r="O524" s="4">
        <f>VLOOKUP(A524,Response!$A:$M,10,)</f>
        <v>3</v>
      </c>
      <c r="P524" t="str">
        <f>VLOOKUP(A524,Response!$A:$M,12,)</f>
        <v>No</v>
      </c>
      <c r="Q524" t="str">
        <f>VLOOKUP(A524,Response!$A:$M,11,)</f>
        <v>Egattur</v>
      </c>
      <c r="R524" t="s">
        <v>19</v>
      </c>
      <c r="S524" s="39" t="s">
        <v>37</v>
      </c>
    </row>
    <row r="525" spans="1:19">
      <c r="A525" s="3">
        <v>2512341</v>
      </c>
      <c r="B525" t="str">
        <f>VLOOKUP(A525,File!$A:$J,2,FALSE)</f>
        <v>Althi Sai Adarsh Naidu</v>
      </c>
      <c r="C525" s="29">
        <f>VLOOKUP(A525,File!$A:$J,5,FALSE)</f>
        <v>46170</v>
      </c>
      <c r="D525" s="29" t="str">
        <f>VLOOKUP(A525,File!$A:$J,3,FALSE)</f>
        <v>Male</v>
      </c>
      <c r="E525" s="29" t="str">
        <f>VLOOKUP(A525,File!$A:$J,4,FALSE)</f>
        <v>FTE</v>
      </c>
      <c r="F525" s="29" t="str">
        <f>VLOOKUP(A525,File!$A:$J,6,FALSE)</f>
        <v>Chennai</v>
      </c>
      <c r="G525" s="29" t="str">
        <f>VLOOKUP(A525,File!$A:$J,7,FALSE)</f>
        <v>CIS26MCPT012</v>
      </c>
      <c r="H525" s="29" t="str">
        <f>VLOOKUP(A525,File!$A:$J,8,FALSE)</f>
        <v>Uma Venkatachalam</v>
      </c>
      <c r="I525" s="31">
        <f>VLOOKUP(A525,File!$A:$J,9,FALSE)</f>
        <v>46282</v>
      </c>
      <c r="J525" s="31" t="str">
        <f>VLOOKUP(A525,File!$A:$K,11,FALSE)</f>
        <v>Sep 2026</v>
      </c>
      <c r="K525" s="31" t="str">
        <f>VLOOKUP(A525,File!$A:$K,10,FALSE)</f>
        <v>In-Training</v>
      </c>
      <c r="L525" s="31" t="s">
        <v>4</v>
      </c>
      <c r="M525" t="str">
        <f>VLOOKUP(A525,Response!$A:$M,7,)</f>
        <v>PG (Paying Guest)</v>
      </c>
      <c r="N525" t="str">
        <f>VLOOKUP(A525,Response!$A:$M,8,)</f>
        <v>Mirchi Luxury Gents PG - Plot no: 71, Vijayaganapathy Nagar, 6th street, Navalur, Chennai</v>
      </c>
      <c r="O525" s="4">
        <f>VLOOKUP(A525,Response!$A:$M,10,)</f>
        <v>2</v>
      </c>
      <c r="P525" t="str">
        <f>VLOOKUP(A525,Response!$A:$M,12,)</f>
        <v>No</v>
      </c>
      <c r="Q525" t="str">
        <f>VLOOKUP(A525,Response!$A:$M,11,)</f>
        <v>Navalur</v>
      </c>
      <c r="R525" t="s">
        <v>19</v>
      </c>
      <c r="S525" s="39" t="s">
        <v>37</v>
      </c>
    </row>
    <row r="526" spans="1:19">
      <c r="A526" s="3">
        <v>2512301</v>
      </c>
      <c r="B526" t="str">
        <f>VLOOKUP(A526,File!$A:$J,2,FALSE)</f>
        <v>Jakku Sai Krishna</v>
      </c>
      <c r="C526" s="29">
        <f>VLOOKUP(A526,File!$A:$J,5,FALSE)</f>
        <v>46170</v>
      </c>
      <c r="D526" s="29" t="str">
        <f>VLOOKUP(A526,File!$A:$J,3,FALSE)</f>
        <v>Male</v>
      </c>
      <c r="E526" s="29" t="str">
        <f>VLOOKUP(A526,File!$A:$J,4,FALSE)</f>
        <v>FTE</v>
      </c>
      <c r="F526" s="29" t="str">
        <f>VLOOKUP(A526,File!$A:$J,6,FALSE)</f>
        <v>Chennai</v>
      </c>
      <c r="G526" s="29" t="str">
        <f>VLOOKUP(A526,File!$A:$J,7,FALSE)</f>
        <v>CIS26MCPT012</v>
      </c>
      <c r="H526" s="29" t="str">
        <f>VLOOKUP(A526,File!$A:$J,8,FALSE)</f>
        <v>Uma Venkatachalam</v>
      </c>
      <c r="I526" s="31">
        <f>VLOOKUP(A526,File!$A:$J,9,FALSE)</f>
        <v>46282</v>
      </c>
      <c r="J526" s="31" t="str">
        <f>VLOOKUP(A526,File!$A:$K,11,FALSE)</f>
        <v>Sep 2026</v>
      </c>
      <c r="K526" s="31" t="str">
        <f>VLOOKUP(A526,File!$A:$K,10,FALSE)</f>
        <v>In-Training</v>
      </c>
      <c r="L526" s="31" t="s">
        <v>4</v>
      </c>
      <c r="M526" t="str">
        <f>VLOOKUP(A526,Response!$A:$M,7,)</f>
        <v>PG (Paying Guest)</v>
      </c>
      <c r="N526" t="str">
        <f>VLOOKUP(A526,Response!$A:$M,8,)</f>
        <v>Mirchi luxury Gents PG , Navalur</v>
      </c>
      <c r="O526" s="4">
        <f>VLOOKUP(A526,Response!$A:$M,10,)</f>
        <v>2</v>
      </c>
      <c r="P526" t="str">
        <f>VLOOKUP(A526,Response!$A:$M,12,)</f>
        <v>No</v>
      </c>
      <c r="Q526" t="str">
        <f>VLOOKUP(A526,Response!$A:$M,11,)</f>
        <v>Navalur</v>
      </c>
      <c r="R526" t="s">
        <v>19</v>
      </c>
      <c r="S526" s="39" t="s">
        <v>37</v>
      </c>
    </row>
    <row r="527" spans="1:19">
      <c r="A527" s="3">
        <v>2507493</v>
      </c>
      <c r="B527" t="str">
        <f>VLOOKUP(A527,File!$A:$J,2,FALSE)</f>
        <v>Sourav Sikdar</v>
      </c>
      <c r="C527" s="29">
        <f>VLOOKUP(A527,File!$A:$J,5,FALSE)</f>
        <v>46142</v>
      </c>
      <c r="D527" s="29" t="str">
        <f>VLOOKUP(A527,File!$A:$J,3,FALSE)</f>
        <v>Male</v>
      </c>
      <c r="E527" s="29" t="str">
        <f>VLOOKUP(A527,File!$A:$J,4,FALSE)</f>
        <v>FTE</v>
      </c>
      <c r="F527" s="29" t="str">
        <f>VLOOKUP(A527,File!$A:$J,6,FALSE)</f>
        <v>Chennai</v>
      </c>
      <c r="G527" s="29" t="str">
        <f>VLOOKUP(A527,File!$A:$J,7,FALSE)</f>
        <v>ADM26MF009</v>
      </c>
      <c r="H527" s="29" t="str">
        <f>VLOOKUP(A527,File!$A:$J,8,FALSE)</f>
        <v>Nithyakalyani Muthukumar</v>
      </c>
      <c r="I527" s="31">
        <f>VLOOKUP(A527,File!$A:$J,9,FALSE)</f>
        <v>46269</v>
      </c>
      <c r="J527" s="31" t="str">
        <f>VLOOKUP(A527,File!$A:$K,11,FALSE)</f>
        <v>Sep 2026</v>
      </c>
      <c r="K527" s="31" t="str">
        <f>VLOOKUP(A527,File!$A:$K,10,FALSE)</f>
        <v>In-Training-Remedial</v>
      </c>
      <c r="L527" s="31" t="s">
        <v>4</v>
      </c>
      <c r="M527" t="str">
        <f>VLOOKUP(A527,Response!$A:$M,7,)</f>
        <v>PG (Paying Guest)</v>
      </c>
      <c r="N527" t="str">
        <f>VLOOKUP(A527,Response!$A:$M,8,)</f>
        <v xml:space="preserve">Mirchi pg </v>
      </c>
      <c r="O527" s="4">
        <f>VLOOKUP(A527,Response!$A:$M,10,)</f>
        <v>3</v>
      </c>
      <c r="P527" t="str">
        <f>VLOOKUP(A527,Response!$A:$M,12,)</f>
        <v>No</v>
      </c>
      <c r="Q527" t="str">
        <f>VLOOKUP(A527,Response!$A:$M,11,)</f>
        <v>Siruseri</v>
      </c>
      <c r="R527" t="s">
        <v>19</v>
      </c>
      <c r="S527" s="39" t="s">
        <v>37</v>
      </c>
    </row>
    <row r="528" spans="1:19">
      <c r="A528" s="3">
        <v>2516873</v>
      </c>
      <c r="B528" t="str">
        <f>VLOOKUP(A528,File!$A:$J,2,FALSE)</f>
        <v>Yanamala Neelima</v>
      </c>
      <c r="C528" s="29">
        <f>VLOOKUP(A528,File!$A:$J,5,FALSE)</f>
        <v>46191</v>
      </c>
      <c r="D528" s="29" t="str">
        <f>VLOOKUP(A528,File!$A:$J,3,FALSE)</f>
        <v>Female</v>
      </c>
      <c r="E528" s="29" t="str">
        <f>VLOOKUP(A528,File!$A:$J,4,FALSE)</f>
        <v>FTE</v>
      </c>
      <c r="F528" s="29" t="str">
        <f>VLOOKUP(A528,File!$A:$J,6,FALSE)</f>
        <v>Chennai</v>
      </c>
      <c r="G528" s="29" t="str">
        <f>VLOOKUP(A528,File!$A:$J,7,FALSE)</f>
        <v>CIS26MW001</v>
      </c>
      <c r="H528" s="29" t="str">
        <f>VLOOKUP(A528,File!$A:$J,8,FALSE)</f>
        <v>Ashiya Begam S</v>
      </c>
      <c r="I528" s="31">
        <f>VLOOKUP(A528,File!$A:$J,9,FALSE)</f>
        <v>46276</v>
      </c>
      <c r="J528" s="31" t="str">
        <f>VLOOKUP(A528,File!$A:$K,11,FALSE)</f>
        <v>Sep 2026</v>
      </c>
      <c r="K528" s="31" t="str">
        <f>VLOOKUP(A528,File!$A:$K,10,FALSE)</f>
        <v>In-Training</v>
      </c>
      <c r="L528" s="31" t="s">
        <v>4</v>
      </c>
      <c r="M528" t="str">
        <f>VLOOKUP(A528,Response!$A:$M,7,)</f>
        <v>PG (Paying Guest)</v>
      </c>
      <c r="N528" t="str">
        <f>VLOOKUP(A528,Response!$A:$M,8,)</f>
        <v>Moksha ladies Hostel</v>
      </c>
      <c r="O528" s="4">
        <f>VLOOKUP(A528,Response!$A:$M,10,)</f>
        <v>1</v>
      </c>
      <c r="P528" t="str">
        <f>VLOOKUP(A528,Response!$A:$M,12,)</f>
        <v>No</v>
      </c>
      <c r="Q528" t="str">
        <f>VLOOKUP(A528,Response!$A:$M,11,)</f>
        <v>Siruseri</v>
      </c>
      <c r="R528" t="s">
        <v>19</v>
      </c>
      <c r="S528" s="39" t="s">
        <v>37</v>
      </c>
    </row>
    <row r="529" spans="1:19">
      <c r="A529" s="3">
        <v>2523387</v>
      </c>
      <c r="B529" t="str">
        <f>VLOOKUP(A529,File!$A:$J,2,FALSE)</f>
        <v>Vaishnavi Prakashchand Agrawal</v>
      </c>
      <c r="C529" s="29">
        <f>VLOOKUP(A529,File!$A:$J,5,FALSE)</f>
        <v>46219</v>
      </c>
      <c r="D529" s="29" t="str">
        <f>VLOOKUP(A529,File!$A:$J,3,FALSE)</f>
        <v>Female</v>
      </c>
      <c r="E529" s="29" t="str">
        <f>VLOOKUP(A529,File!$A:$J,4,FALSE)</f>
        <v>FTE</v>
      </c>
      <c r="F529" s="29" t="str">
        <f>VLOOKUP(A529,File!$A:$J,6,FALSE)</f>
        <v>Chennai</v>
      </c>
      <c r="G529" s="29" t="str">
        <f>VLOOKUP(A529,File!$A:$J,7,FALSE)</f>
        <v>CS26CS009</v>
      </c>
      <c r="H529" s="29" t="str">
        <f>VLOOKUP(A529,File!$A:$J,8,FALSE)</f>
        <v>Laksiya Vijayendran</v>
      </c>
      <c r="I529" s="31">
        <f>VLOOKUP(A529,File!$A:$J,9,FALSE)</f>
        <v>46309</v>
      </c>
      <c r="J529" s="31" t="str">
        <f>VLOOKUP(A529,File!$A:$K,11,FALSE)</f>
        <v>Oct 2026</v>
      </c>
      <c r="K529" s="31" t="str">
        <f>VLOOKUP(A529,File!$A:$K,10,FALSE)</f>
        <v>In-Training</v>
      </c>
      <c r="L529" s="31" t="s">
        <v>4</v>
      </c>
      <c r="M529" t="str">
        <f>VLOOKUP(A529,Response!$A:$M,7,)</f>
        <v>PG (Paying Guest)</v>
      </c>
      <c r="N529" t="str">
        <f>VLOOKUP(A529,Response!$A:$M,8,)</f>
        <v>Moksha Ladies Hostel</v>
      </c>
      <c r="O529" s="4">
        <f>VLOOKUP(A529,Response!$A:$M,10,)</f>
        <v>3</v>
      </c>
      <c r="P529" t="str">
        <f>VLOOKUP(A529,Response!$A:$M,12,)</f>
        <v>No</v>
      </c>
      <c r="Q529" t="str">
        <f>VLOOKUP(A529,Response!$A:$M,11,)</f>
        <v>Egattur</v>
      </c>
      <c r="R529" t="s">
        <v>19</v>
      </c>
      <c r="S529" s="39" t="s">
        <v>37</v>
      </c>
    </row>
    <row r="530" spans="1:19">
      <c r="A530" s="3">
        <v>2533043</v>
      </c>
      <c r="B530" t="str">
        <f>VLOOKUP(A530,File!$A:$J,2,FALSE)</f>
        <v>Bhavani M</v>
      </c>
      <c r="C530" s="29">
        <f>VLOOKUP(A530,File!$A:$J,5,FALSE)</f>
        <v>46259</v>
      </c>
      <c r="D530" s="29" t="str">
        <f>VLOOKUP(A530,File!$A:$J,3,FALSE)</f>
        <v>Female</v>
      </c>
      <c r="E530" s="29" t="str">
        <f>VLOOKUP(A530,File!$A:$J,4,FALSE)</f>
        <v>FTE</v>
      </c>
      <c r="F530" s="29" t="str">
        <f>VLOOKUP(A530,File!$A:$J,6,FALSE)</f>
        <v>Chennai</v>
      </c>
      <c r="G530" s="29" t="str">
        <f>VLOOKUP(A530,File!$A:$J,7,FALSE)</f>
        <v>CIS26MBG006</v>
      </c>
      <c r="H530" s="29" t="str">
        <f>VLOOKUP(A530,File!$A:$J,8,FALSE)</f>
        <v>Angel Maria Faustina Gomez</v>
      </c>
      <c r="I530" s="31">
        <f>VLOOKUP(A530,File!$A:$J,9,FALSE)</f>
        <v>46367</v>
      </c>
      <c r="J530" s="31" t="str">
        <f>VLOOKUP(A530,File!$A:$K,11,FALSE)</f>
        <v>Dec 2026</v>
      </c>
      <c r="K530" s="31" t="str">
        <f>VLOOKUP(A530,File!$A:$K,10,FALSE)</f>
        <v>In-Training</v>
      </c>
      <c r="L530" s="31" t="s">
        <v>4</v>
      </c>
      <c r="M530" t="str">
        <f>VLOOKUP(A530,Response!$A:$M,7,)</f>
        <v>PG (Paying Guest)</v>
      </c>
      <c r="N530" t="str">
        <f>VLOOKUP(A530,Response!$A:$M,8,)</f>
        <v>Moksha Ladies Hostel</v>
      </c>
      <c r="O530" s="4">
        <f>VLOOKUP(A530,Response!$A:$M,10,)</f>
        <v>5</v>
      </c>
      <c r="P530" t="str">
        <f>VLOOKUP(A530,Response!$A:$M,12,)</f>
        <v>No</v>
      </c>
      <c r="Q530" t="str">
        <f>VLOOKUP(A530,Response!$A:$M,11,)</f>
        <v>Egattur</v>
      </c>
      <c r="R530" t="s">
        <v>19</v>
      </c>
      <c r="S530" s="39" t="s">
        <v>37</v>
      </c>
    </row>
    <row r="531" spans="1:19">
      <c r="A531" s="3">
        <v>2524632</v>
      </c>
      <c r="B531" t="str">
        <f>VLOOKUP(A531,File!$A:$J,2,FALSE)</f>
        <v>Anushya K</v>
      </c>
      <c r="C531" s="29">
        <f>VLOOKUP(A531,File!$A:$J,5,FALSE)</f>
        <v>46224</v>
      </c>
      <c r="D531" s="29" t="str">
        <f>VLOOKUP(A531,File!$A:$J,3,FALSE)</f>
        <v>Female</v>
      </c>
      <c r="E531" s="29" t="str">
        <f>VLOOKUP(A531,File!$A:$J,4,FALSE)</f>
        <v>FTE</v>
      </c>
      <c r="F531" s="29" t="str">
        <f>VLOOKUP(A531,File!$A:$J,6,FALSE)</f>
        <v>Chennai</v>
      </c>
      <c r="G531" s="29" t="str">
        <f>VLOOKUP(A531,File!$A:$J,7,FALSE)</f>
        <v>ADM26MF012</v>
      </c>
      <c r="H531" s="29" t="str">
        <f>VLOOKUP(A531,File!$A:$J,8,FALSE)</f>
        <v>Lourdhu Selvin Raj X</v>
      </c>
      <c r="I531" s="31">
        <f>VLOOKUP(A531,File!$A:$J,9,FALSE)</f>
        <v>46343</v>
      </c>
      <c r="J531" s="31" t="str">
        <f>VLOOKUP(A531,File!$A:$K,11,FALSE)</f>
        <v>Nov 2026</v>
      </c>
      <c r="K531" s="31" t="str">
        <f>VLOOKUP(A531,File!$A:$K,10,FALSE)</f>
        <v>In-Training</v>
      </c>
      <c r="L531" s="31" t="s">
        <v>4</v>
      </c>
      <c r="M531" t="str">
        <f>VLOOKUP(A531,Response!$A:$M,7,)</f>
        <v>PG (Paying Guest)</v>
      </c>
      <c r="N531" t="str">
        <f>VLOOKUP(A531,Response!$A:$M,8,)</f>
        <v xml:space="preserve">Moksha ladies hostel </v>
      </c>
      <c r="O531" s="4">
        <f>VLOOKUP(A531,Response!$A:$M,10,)</f>
        <v>4</v>
      </c>
      <c r="P531" t="str">
        <f>VLOOKUP(A531,Response!$A:$M,12,)</f>
        <v>No</v>
      </c>
      <c r="Q531" t="str">
        <f>VLOOKUP(A531,Response!$A:$M,11,)</f>
        <v>Egattur</v>
      </c>
      <c r="R531" t="s">
        <v>19</v>
      </c>
      <c r="S531" s="39" t="s">
        <v>37</v>
      </c>
    </row>
    <row r="532" spans="1:19">
      <c r="A532" s="3">
        <v>2533048</v>
      </c>
      <c r="B532" t="str">
        <f>VLOOKUP(A532,File!$A:$J,2,FALSE)</f>
        <v>Abitha M</v>
      </c>
      <c r="C532" s="29">
        <f>VLOOKUP(A532,File!$A:$J,5,FALSE)</f>
        <v>46259</v>
      </c>
      <c r="D532" s="29" t="str">
        <f>VLOOKUP(A532,File!$A:$J,3,FALSE)</f>
        <v>Female</v>
      </c>
      <c r="E532" s="29" t="str">
        <f>VLOOKUP(A532,File!$A:$J,4,FALSE)</f>
        <v>FTE</v>
      </c>
      <c r="F532" s="29" t="str">
        <f>VLOOKUP(A532,File!$A:$J,6,FALSE)</f>
        <v>Chennai</v>
      </c>
      <c r="G532" s="29" t="str">
        <f>VLOOKUP(A532,File!$A:$J,7,FALSE)</f>
        <v>CIS26AT008</v>
      </c>
      <c r="H532" s="29" t="str">
        <f>VLOOKUP(A532,File!$A:$J,8,FALSE)</f>
        <v>Uma Venkatachalam</v>
      </c>
      <c r="I532" s="31">
        <f>VLOOKUP(A532,File!$A:$J,9,FALSE)</f>
        <v>46365</v>
      </c>
      <c r="J532" s="31" t="str">
        <f>VLOOKUP(A532,File!$A:$K,11,FALSE)</f>
        <v>Dec 2026</v>
      </c>
      <c r="K532" s="31" t="str">
        <f>VLOOKUP(A532,File!$A:$K,10,FALSE)</f>
        <v>In-Training</v>
      </c>
      <c r="L532" s="31" t="s">
        <v>4</v>
      </c>
      <c r="M532" t="str">
        <f>VLOOKUP(A532,Response!$A:$M,7,)</f>
        <v>PG (Paying Guest)</v>
      </c>
      <c r="N532" t="str">
        <f>VLOOKUP(A532,Response!$A:$M,8,)</f>
        <v>Moksha Ladies Hostel - SIPCOT Siruseri</v>
      </c>
      <c r="O532" s="4">
        <f>VLOOKUP(A532,Response!$A:$M,10,)</f>
        <v>5</v>
      </c>
      <c r="P532" t="str">
        <f>VLOOKUP(A532,Response!$A:$M,12,)</f>
        <v>No</v>
      </c>
      <c r="Q532" t="str">
        <f>VLOOKUP(A532,Response!$A:$M,11,)</f>
        <v>Egattur</v>
      </c>
      <c r="R532" t="s">
        <v>19</v>
      </c>
      <c r="S532" s="39" t="s">
        <v>37</v>
      </c>
    </row>
    <row r="533" spans="1:19">
      <c r="A533" s="3">
        <v>2531449</v>
      </c>
      <c r="B533" t="str">
        <f>VLOOKUP(A533,File!$A:$J,2,FALSE)</f>
        <v>Sherin Infanta Jemimma A</v>
      </c>
      <c r="C533" s="29">
        <f>VLOOKUP(A533,File!$A:$J,5,FALSE)</f>
        <v>46252</v>
      </c>
      <c r="D533" s="29" t="str">
        <f>VLOOKUP(A533,File!$A:$J,3,FALSE)</f>
        <v>Female</v>
      </c>
      <c r="E533" s="29" t="str">
        <f>VLOOKUP(A533,File!$A:$J,4,FALSE)</f>
        <v>FTE</v>
      </c>
      <c r="F533" s="29" t="str">
        <f>VLOOKUP(A533,File!$A:$J,6,FALSE)</f>
        <v>Chennai</v>
      </c>
      <c r="G533" s="29" t="str">
        <f>VLOOKUP(A533,File!$A:$J,7,FALSE)</f>
        <v>EPS26SAP036</v>
      </c>
      <c r="H533" s="29" t="str">
        <f>VLOOKUP(A533,File!$A:$J,8,FALSE)</f>
        <v>Vishnupriya Dakshnamurthy</v>
      </c>
      <c r="I533" s="31">
        <f>VLOOKUP(A533,File!$A:$J,9,FALSE)</f>
        <v>46335</v>
      </c>
      <c r="J533" s="31" t="str">
        <f>VLOOKUP(A533,File!$A:$K,11,FALSE)</f>
        <v>Nov 2026</v>
      </c>
      <c r="K533" s="31" t="str">
        <f>VLOOKUP(A533,File!$A:$K,10,FALSE)</f>
        <v>In-Training</v>
      </c>
      <c r="L533" s="31" t="s">
        <v>4</v>
      </c>
      <c r="M533" t="str">
        <f>VLOOKUP(A533,Response!$A:$M,7,)</f>
        <v>PG (Paying Guest)</v>
      </c>
      <c r="N533" t="str">
        <f>VLOOKUP(A533,Response!$A:$M,8,)</f>
        <v>Moksha ladies hostel - egattur</v>
      </c>
      <c r="O533" s="4">
        <f>VLOOKUP(A533,Response!$A:$M,10,)</f>
        <v>1</v>
      </c>
      <c r="P533" t="str">
        <f>VLOOKUP(A533,Response!$A:$M,12,)</f>
        <v>Yes</v>
      </c>
      <c r="Q533" t="str">
        <f>VLOOKUP(A533,Response!$A:$M,11,)</f>
        <v>Siruseri</v>
      </c>
      <c r="R533" t="s">
        <v>19</v>
      </c>
      <c r="S533" s="39" t="s">
        <v>37</v>
      </c>
    </row>
    <row r="534" spans="1:19">
      <c r="A534" s="3">
        <v>2521663</v>
      </c>
      <c r="B534" t="str">
        <f>VLOOKUP(A534,File!$A:$J,2,FALSE)</f>
        <v>Dangeti Vidya Madhuri</v>
      </c>
      <c r="C534" s="29">
        <f>VLOOKUP(A534,File!$A:$J,5,FALSE)</f>
        <v>46212</v>
      </c>
      <c r="D534" s="29" t="str">
        <f>VLOOKUP(A534,File!$A:$J,3,FALSE)</f>
        <v>Female</v>
      </c>
      <c r="E534" s="29" t="str">
        <f>VLOOKUP(A534,File!$A:$J,4,FALSE)</f>
        <v>FTE</v>
      </c>
      <c r="F534" s="29" t="str">
        <f>VLOOKUP(A534,File!$A:$J,6,FALSE)</f>
        <v>Chennai</v>
      </c>
      <c r="G534" s="29" t="str">
        <f>VLOOKUP(A534,File!$A:$J,7,FALSE)</f>
        <v>ADM26MF011</v>
      </c>
      <c r="H534" s="29" t="str">
        <f>VLOOKUP(A534,File!$A:$J,8,FALSE)</f>
        <v>Abinaya R</v>
      </c>
      <c r="I534" s="31">
        <f>VLOOKUP(A534,File!$A:$J,9,FALSE)</f>
        <v>46328</v>
      </c>
      <c r="J534" s="31" t="str">
        <f>VLOOKUP(A534,File!$A:$K,11,FALSE)</f>
        <v>Nov 2026</v>
      </c>
      <c r="K534" s="31" t="str">
        <f>VLOOKUP(A534,File!$A:$K,10,FALSE)</f>
        <v>In-Training</v>
      </c>
      <c r="L534" s="31" t="s">
        <v>4</v>
      </c>
      <c r="M534" t="str">
        <f>VLOOKUP(A534,Response!$A:$M,7,)</f>
        <v>PG (Paying Guest)</v>
      </c>
      <c r="N534" t="str">
        <f>VLOOKUP(A534,Response!$A:$M,8,)</f>
        <v>Moksha Ladies Hostel -Siruseri Sipcot , Egattur</v>
      </c>
      <c r="O534" s="4">
        <f>VLOOKUP(A534,Response!$A:$M,10,)</f>
        <v>4</v>
      </c>
      <c r="P534" t="str">
        <f>VLOOKUP(A534,Response!$A:$M,12,)</f>
        <v>Yes</v>
      </c>
      <c r="Q534" t="str">
        <f>VLOOKUP(A534,Response!$A:$M,11,)</f>
        <v>Egattur</v>
      </c>
      <c r="R534" t="s">
        <v>19</v>
      </c>
      <c r="S534" s="39" t="s">
        <v>37</v>
      </c>
    </row>
    <row r="535" spans="1:19">
      <c r="A535" s="3">
        <v>2521651</v>
      </c>
      <c r="B535" t="str">
        <f>VLOOKUP(A535,File!$A:$J,2,FALSE)</f>
        <v>Leela Amrutha Eeri</v>
      </c>
      <c r="C535" s="29">
        <f>VLOOKUP(A535,File!$A:$J,5,FALSE)</f>
        <v>46212</v>
      </c>
      <c r="D535" s="29" t="str">
        <f>VLOOKUP(A535,File!$A:$J,3,FALSE)</f>
        <v>Female</v>
      </c>
      <c r="E535" s="29" t="str">
        <f>VLOOKUP(A535,File!$A:$J,4,FALSE)</f>
        <v>FTE</v>
      </c>
      <c r="F535" s="29" t="str">
        <f>VLOOKUP(A535,File!$A:$J,6,FALSE)</f>
        <v>Chennai</v>
      </c>
      <c r="G535" s="29" t="str">
        <f>VLOOKUP(A535,File!$A:$J,7,FALSE)</f>
        <v>ADM26MF011</v>
      </c>
      <c r="H535" s="29" t="str">
        <f>VLOOKUP(A535,File!$A:$J,8,FALSE)</f>
        <v>Abinaya R</v>
      </c>
      <c r="I535" s="31">
        <f>VLOOKUP(A535,File!$A:$J,9,FALSE)</f>
        <v>46328</v>
      </c>
      <c r="J535" s="31" t="str">
        <f>VLOOKUP(A535,File!$A:$K,11,FALSE)</f>
        <v>Nov 2026</v>
      </c>
      <c r="K535" s="31" t="str">
        <f>VLOOKUP(A535,File!$A:$K,10,FALSE)</f>
        <v>In-Training</v>
      </c>
      <c r="L535" s="31" t="s">
        <v>4</v>
      </c>
      <c r="M535" t="str">
        <f>VLOOKUP(A535,Response!$A:$M,7,)</f>
        <v>PG (Paying Guest)</v>
      </c>
      <c r="N535" t="str">
        <f>VLOOKUP(A535,Response!$A:$M,8,)</f>
        <v>Moksha Ladies Hostel Siruseri Sipcot, Egattur</v>
      </c>
      <c r="O535" s="4">
        <f>VLOOKUP(A535,Response!$A:$M,10,)</f>
        <v>4</v>
      </c>
      <c r="P535" t="str">
        <f>VLOOKUP(A535,Response!$A:$M,12,)</f>
        <v>No</v>
      </c>
      <c r="Q535" t="str">
        <f>VLOOKUP(A535,Response!$A:$M,11,)</f>
        <v>Egattur</v>
      </c>
      <c r="R535" t="s">
        <v>19</v>
      </c>
      <c r="S535" s="39" t="s">
        <v>37</v>
      </c>
    </row>
    <row r="536" spans="1:19">
      <c r="A536" s="3">
        <v>2529586</v>
      </c>
      <c r="B536" t="str">
        <f>VLOOKUP(A536,File!$A:$J,2,FALSE)</f>
        <v>Amulya Mukkera</v>
      </c>
      <c r="C536" s="29">
        <f>VLOOKUP(A536,File!$A:$J,5,FALSE)</f>
        <v>46245</v>
      </c>
      <c r="D536" s="29" t="str">
        <f>VLOOKUP(A536,File!$A:$J,3,FALSE)</f>
        <v>Female</v>
      </c>
      <c r="E536" s="29" t="str">
        <f>VLOOKUP(A536,File!$A:$J,4,FALSE)</f>
        <v>FTE</v>
      </c>
      <c r="F536" s="29" t="str">
        <f>VLOOKUP(A536,File!$A:$J,6,FALSE)</f>
        <v>Chennai</v>
      </c>
      <c r="G536" s="29" t="str">
        <f>VLOOKUP(A536,File!$A:$J,7,FALSE)</f>
        <v>CIS26MCPT023</v>
      </c>
      <c r="H536" s="29" t="str">
        <f>VLOOKUP(A536,File!$A:$J,8,FALSE)</f>
        <v>Kishorekumar P</v>
      </c>
      <c r="I536" s="31">
        <f>VLOOKUP(A536,File!$A:$J,9,FALSE)</f>
        <v>46359</v>
      </c>
      <c r="J536" s="31" t="str">
        <f>VLOOKUP(A536,File!$A:$K,11,FALSE)</f>
        <v>Dec 2026</v>
      </c>
      <c r="K536" s="31" t="str">
        <f>VLOOKUP(A536,File!$A:$K,10,FALSE)</f>
        <v>In-Training</v>
      </c>
      <c r="L536" s="31" t="s">
        <v>4</v>
      </c>
      <c r="M536" t="str">
        <f>VLOOKUP(A536,Response!$A:$M,7,)</f>
        <v>PG (Paying Guest)</v>
      </c>
      <c r="N536" t="str">
        <f>VLOOKUP(A536,Response!$A:$M,8,)</f>
        <v>Moksha Ladies Hostel, Sipcot</v>
      </c>
      <c r="O536" s="4">
        <f>VLOOKUP(A536,Response!$A:$M,10,)</f>
        <v>1</v>
      </c>
      <c r="P536" t="str">
        <f>VLOOKUP(A536,Response!$A:$M,12,)</f>
        <v>No</v>
      </c>
      <c r="Q536" t="str">
        <f>VLOOKUP(A536,Response!$A:$M,11,)</f>
        <v>Siruseri</v>
      </c>
      <c r="R536" t="s">
        <v>19</v>
      </c>
      <c r="S536" s="39" t="s">
        <v>37</v>
      </c>
    </row>
    <row r="537" spans="1:19">
      <c r="A537" s="3">
        <v>2519688</v>
      </c>
      <c r="B537" t="str">
        <f>VLOOKUP(A537,File!$A:$J,2,FALSE)</f>
        <v>Akhila R</v>
      </c>
      <c r="C537" s="29">
        <f>VLOOKUP(A537,File!$A:$J,5,FALSE)</f>
        <v>46205</v>
      </c>
      <c r="D537" s="29" t="str">
        <f>VLOOKUP(A537,File!$A:$J,3,FALSE)</f>
        <v>Female</v>
      </c>
      <c r="E537" s="29" t="str">
        <f>VLOOKUP(A537,File!$A:$J,4,FALSE)</f>
        <v>FTE</v>
      </c>
      <c r="F537" s="29" t="str">
        <f>VLOOKUP(A537,File!$A:$J,6,FALSE)</f>
        <v>Chennai</v>
      </c>
      <c r="G537" s="29" t="str">
        <f>VLOOKUP(A537,File!$A:$J,7,FALSE)</f>
        <v>CIS26MCPT013</v>
      </c>
      <c r="H537" s="29" t="str">
        <f>VLOOKUP(A537,File!$A:$J,8,FALSE)</f>
        <v>Lawrance M</v>
      </c>
      <c r="I537" s="31">
        <f>VLOOKUP(A537,File!$A:$J,9,FALSE)</f>
        <v>46324</v>
      </c>
      <c r="J537" s="31" t="str">
        <f>VLOOKUP(A537,File!$A:$K,11,FALSE)</f>
        <v>Oct 2026</v>
      </c>
      <c r="K537" s="31" t="str">
        <f>VLOOKUP(A537,File!$A:$K,10,FALSE)</f>
        <v>In-Training</v>
      </c>
      <c r="L537" s="31" t="s">
        <v>4</v>
      </c>
      <c r="M537" t="str">
        <f>VLOOKUP(A537,Response!$A:$M,7,)</f>
        <v>Hostel</v>
      </c>
      <c r="N537" t="str">
        <f>VLOOKUP(A537,Response!$A:$M,8,)</f>
        <v xml:space="preserve">Moksha Ladies hostel, Sipcot </v>
      </c>
      <c r="O537" s="4">
        <f>VLOOKUP(A537,Response!$A:$M,10,)</f>
        <v>2</v>
      </c>
      <c r="P537" t="str">
        <f>VLOOKUP(A537,Response!$A:$M,12,)</f>
        <v>No</v>
      </c>
      <c r="Q537" t="str">
        <f>VLOOKUP(A537,Response!$A:$M,11,)</f>
        <v>Siruseri</v>
      </c>
      <c r="R537" t="s">
        <v>19</v>
      </c>
      <c r="S537" s="39" t="s">
        <v>37</v>
      </c>
    </row>
    <row r="538" spans="1:19">
      <c r="A538" s="3">
        <v>2525082</v>
      </c>
      <c r="B538" t="str">
        <f>VLOOKUP(A538,File!$A:$J,2,FALSE)</f>
        <v>Karthikeyani K</v>
      </c>
      <c r="C538" s="29">
        <f>VLOOKUP(A538,File!$A:$J,5,FALSE)</f>
        <v>46226</v>
      </c>
      <c r="D538" s="29" t="str">
        <f>VLOOKUP(A538,File!$A:$J,3,FALSE)</f>
        <v>Female</v>
      </c>
      <c r="E538" s="29" t="str">
        <f>VLOOKUP(A538,File!$A:$J,4,FALSE)</f>
        <v>FTE</v>
      </c>
      <c r="F538" s="29" t="str">
        <f>VLOOKUP(A538,File!$A:$J,6,FALSE)</f>
        <v>Chennai</v>
      </c>
      <c r="G538" s="29" t="str">
        <f>VLOOKUP(A538,File!$A:$J,7,FALSE)</f>
        <v>CIS26DWP023</v>
      </c>
      <c r="H538" s="29" t="str">
        <f>VLOOKUP(A538,File!$A:$J,8,FALSE)</f>
        <v>Geebiga B</v>
      </c>
      <c r="I538" s="31">
        <f>VLOOKUP(A538,File!$A:$J,9,FALSE)</f>
        <v>46282</v>
      </c>
      <c r="J538" s="31" t="str">
        <f>VLOOKUP(A538,File!$A:$K,11,FALSE)</f>
        <v>Sep 2026</v>
      </c>
      <c r="K538" s="31" t="str">
        <f>VLOOKUP(A538,File!$A:$K,10,FALSE)</f>
        <v>In-Training</v>
      </c>
      <c r="L538" s="31" t="s">
        <v>4</v>
      </c>
      <c r="M538" t="str">
        <f>VLOOKUP(A538,Response!$A:$M,7,)</f>
        <v>PG (Paying Guest)</v>
      </c>
      <c r="N538" t="str">
        <f>VLOOKUP(A538,Response!$A:$M,8,)</f>
        <v>Moksha Ladies PG</v>
      </c>
      <c r="O538" s="4">
        <f>VLOOKUP(A538,Response!$A:$M,10,)</f>
        <v>5</v>
      </c>
      <c r="P538" t="str">
        <f>VLOOKUP(A538,Response!$A:$M,12,)</f>
        <v>No</v>
      </c>
      <c r="Q538" t="str">
        <f>VLOOKUP(A538,Response!$A:$M,11,)</f>
        <v>Siruseri</v>
      </c>
      <c r="R538" t="s">
        <v>19</v>
      </c>
      <c r="S538" s="39" t="s">
        <v>37</v>
      </c>
    </row>
    <row r="539" spans="1:19">
      <c r="A539" s="3">
        <v>2521711</v>
      </c>
      <c r="B539" t="str">
        <f>VLOOKUP(A539,File!$A:$J,2,FALSE)</f>
        <v>Shree Varkhedi</v>
      </c>
      <c r="C539" s="29">
        <f>VLOOKUP(A539,File!$A:$J,5,FALSE)</f>
        <v>46212</v>
      </c>
      <c r="D539" s="29" t="str">
        <f>VLOOKUP(A539,File!$A:$J,3,FALSE)</f>
        <v>Female</v>
      </c>
      <c r="E539" s="29" t="str">
        <f>VLOOKUP(A539,File!$A:$J,4,FALSE)</f>
        <v>FTE</v>
      </c>
      <c r="F539" s="29" t="str">
        <f>VLOOKUP(A539,File!$A:$J,6,FALSE)</f>
        <v>Chennai</v>
      </c>
      <c r="G539" s="29" t="str">
        <f>VLOOKUP(A539,File!$A:$J,7,FALSE)</f>
        <v>ADM26MF010</v>
      </c>
      <c r="H539" s="29" t="str">
        <f>VLOOKUP(A539,File!$A:$J,8,FALSE)</f>
        <v>Thomas Naveen. J</v>
      </c>
      <c r="I539" s="31">
        <f>VLOOKUP(A539,File!$A:$J,9,FALSE)</f>
        <v>46328</v>
      </c>
      <c r="J539" s="31" t="str">
        <f>VLOOKUP(A539,File!$A:$K,11,FALSE)</f>
        <v>Nov 2026</v>
      </c>
      <c r="K539" s="31" t="str">
        <f>VLOOKUP(A539,File!$A:$K,10,FALSE)</f>
        <v>In-Training</v>
      </c>
      <c r="L539" s="31" t="s">
        <v>4</v>
      </c>
      <c r="M539" t="str">
        <f>VLOOKUP(A539,Response!$A:$M,7,)</f>
        <v>PG (Paying Guest)</v>
      </c>
      <c r="N539" t="str">
        <f>VLOOKUP(A539,Response!$A:$M,8,)</f>
        <v xml:space="preserve">MSR 2 GIRLS PG </v>
      </c>
      <c r="O539" s="4">
        <f>VLOOKUP(A539,Response!$A:$M,10,)</f>
        <v>1</v>
      </c>
      <c r="P539" t="str">
        <f>VLOOKUP(A539,Response!$A:$M,12,)</f>
        <v>Yes</v>
      </c>
      <c r="Q539" t="str">
        <f>VLOOKUP(A539,Response!$A:$M,11,)</f>
        <v>Siruseri</v>
      </c>
      <c r="R539" t="s">
        <v>19</v>
      </c>
      <c r="S539" s="39" t="s">
        <v>37</v>
      </c>
    </row>
    <row r="540" spans="1:19">
      <c r="A540" s="3">
        <v>2521707</v>
      </c>
      <c r="B540" t="str">
        <f>VLOOKUP(A540,File!$A:$J,2,FALSE)</f>
        <v>Preeti B Nandi</v>
      </c>
      <c r="C540" s="29">
        <f>VLOOKUP(A540,File!$A:$J,5,FALSE)</f>
        <v>46212</v>
      </c>
      <c r="D540" s="29" t="str">
        <f>VLOOKUP(A540,File!$A:$J,3,FALSE)</f>
        <v>Female</v>
      </c>
      <c r="E540" s="29" t="str">
        <f>VLOOKUP(A540,File!$A:$J,4,FALSE)</f>
        <v>FTE</v>
      </c>
      <c r="F540" s="29" t="str">
        <f>VLOOKUP(A540,File!$A:$J,6,FALSE)</f>
        <v>Chennai</v>
      </c>
      <c r="G540" s="29" t="str">
        <f>VLOOKUP(A540,File!$A:$J,7,FALSE)</f>
        <v>QEA26QEPT023</v>
      </c>
      <c r="H540" s="29" t="str">
        <f>VLOOKUP(A540,File!$A:$J,8,FALSE)</f>
        <v>Sweta Thoppil</v>
      </c>
      <c r="I540" s="31">
        <f>VLOOKUP(A540,File!$A:$J,9,FALSE)</f>
        <v>46314</v>
      </c>
      <c r="J540" s="31" t="str">
        <f>VLOOKUP(A540,File!$A:$K,11,FALSE)</f>
        <v>Oct 2026</v>
      </c>
      <c r="K540" s="31" t="str">
        <f>VLOOKUP(A540,File!$A:$K,10,FALSE)</f>
        <v>In-Training</v>
      </c>
      <c r="L540" s="31" t="s">
        <v>4</v>
      </c>
      <c r="M540" t="str">
        <f>VLOOKUP(A540,Response!$A:$M,7,)</f>
        <v>PG (Paying Guest)</v>
      </c>
      <c r="N540" t="str">
        <f>VLOOKUP(A540,Response!$A:$M,8,)</f>
        <v>MSR 2ND BRANCH LADIES LUXURY PG,EGATTUR</v>
      </c>
      <c r="O540" s="4">
        <f>VLOOKUP(A540,Response!$A:$M,10,)</f>
        <v>1</v>
      </c>
      <c r="P540" t="str">
        <f>VLOOKUP(A540,Response!$A:$M,12,)</f>
        <v>Yes</v>
      </c>
      <c r="Q540" t="str">
        <f>VLOOKUP(A540,Response!$A:$M,11,)</f>
        <v>Egattur</v>
      </c>
      <c r="R540" t="s">
        <v>19</v>
      </c>
      <c r="S540" s="39" t="s">
        <v>37</v>
      </c>
    </row>
    <row r="541" spans="1:19">
      <c r="A541" s="3">
        <v>2521119</v>
      </c>
      <c r="B541" t="str">
        <f>VLOOKUP(A541,File!$A:$J,2,FALSE)</f>
        <v>Arepalli Meghana</v>
      </c>
      <c r="C541" s="29">
        <f>VLOOKUP(A541,File!$A:$J,5,FALSE)</f>
        <v>46210</v>
      </c>
      <c r="D541" s="29" t="str">
        <f>VLOOKUP(A541,File!$A:$J,3,FALSE)</f>
        <v>Female</v>
      </c>
      <c r="E541" s="29" t="str">
        <f>VLOOKUP(A541,File!$A:$J,4,FALSE)</f>
        <v>FTE</v>
      </c>
      <c r="F541" s="29" t="str">
        <f>VLOOKUP(A541,File!$A:$J,6,FALSE)</f>
        <v>Chennai</v>
      </c>
      <c r="G541" s="29" t="str">
        <f>VLOOKUP(A541,File!$A:$J,7,FALSE)</f>
        <v>CIS26SN001</v>
      </c>
      <c r="H541" s="29" t="str">
        <f>VLOOKUP(A541,File!$A:$J,8,FALSE)</f>
        <v>Ashiya Begam S</v>
      </c>
      <c r="I541" s="31">
        <f>VLOOKUP(A541,File!$A:$J,9,FALSE)</f>
        <v>46303</v>
      </c>
      <c r="J541" s="31" t="str">
        <f>VLOOKUP(A541,File!$A:$K,11,FALSE)</f>
        <v>Oct 2026</v>
      </c>
      <c r="K541" s="31" t="str">
        <f>VLOOKUP(A541,File!$A:$K,10,FALSE)</f>
        <v>In-Training</v>
      </c>
      <c r="L541" s="31" t="s">
        <v>4</v>
      </c>
      <c r="M541" t="str">
        <f>VLOOKUP(A541,Response!$A:$M,7,)</f>
        <v>PG (Paying Guest)</v>
      </c>
      <c r="N541" t="str">
        <f>VLOOKUP(A541,Response!$A:$M,8,)</f>
        <v>MSR Branch III ladies Luxury PG</v>
      </c>
      <c r="O541" s="4" t="str">
        <f>VLOOKUP(A541,Response!$A:$M,10,)</f>
        <v>GF</v>
      </c>
      <c r="P541" t="str">
        <f>VLOOKUP(A541,Response!$A:$M,12,)</f>
        <v>No</v>
      </c>
      <c r="Q541" t="str">
        <f>VLOOKUP(A541,Response!$A:$M,11,)</f>
        <v>Siruseri</v>
      </c>
      <c r="R541" t="s">
        <v>19</v>
      </c>
      <c r="S541" s="39" t="s">
        <v>37</v>
      </c>
    </row>
    <row r="542" spans="1:19">
      <c r="A542" s="3">
        <v>2529609</v>
      </c>
      <c r="B542" t="str">
        <f>VLOOKUP(A542,File!$A:$J,2,FALSE)</f>
        <v>Sakshi Manoj Chavan</v>
      </c>
      <c r="C542" s="29">
        <f>VLOOKUP(A542,File!$A:$J,5,FALSE)</f>
        <v>46245</v>
      </c>
      <c r="D542" s="29" t="str">
        <f>VLOOKUP(A542,File!$A:$J,3,FALSE)</f>
        <v>Female</v>
      </c>
      <c r="E542" s="29" t="str">
        <f>VLOOKUP(A542,File!$A:$J,4,FALSE)</f>
        <v>FTE</v>
      </c>
      <c r="F542" s="29" t="str">
        <f>VLOOKUP(A542,File!$A:$J,6,FALSE)</f>
        <v>Chennai</v>
      </c>
      <c r="G542" s="29" t="str">
        <f>VLOOKUP(A542,File!$A:$J,7,FALSE)</f>
        <v>CIS26MCPT023</v>
      </c>
      <c r="H542" s="29" t="str">
        <f>VLOOKUP(A542,File!$A:$J,8,FALSE)</f>
        <v>Kishorekumar P</v>
      </c>
      <c r="I542" s="31">
        <f>VLOOKUP(A542,File!$A:$J,9,FALSE)</f>
        <v>46359</v>
      </c>
      <c r="J542" s="31" t="str">
        <f>VLOOKUP(A542,File!$A:$K,11,FALSE)</f>
        <v>Dec 2026</v>
      </c>
      <c r="K542" s="31" t="str">
        <f>VLOOKUP(A542,File!$A:$K,10,FALSE)</f>
        <v>In-Training</v>
      </c>
      <c r="L542" s="31" t="s">
        <v>4</v>
      </c>
      <c r="M542" t="str">
        <f>VLOOKUP(A542,Response!$A:$M,7,)</f>
        <v>PG (Paying Guest)</v>
      </c>
      <c r="N542" t="str">
        <f>VLOOKUP(A542,Response!$A:$M,8,)</f>
        <v>MSR Girls PG Branch 3</v>
      </c>
      <c r="O542" s="4">
        <f>VLOOKUP(A542,Response!$A:$M,10,)</f>
        <v>1</v>
      </c>
      <c r="P542" t="str">
        <f>VLOOKUP(A542,Response!$A:$M,12,)</f>
        <v>No</v>
      </c>
      <c r="Q542" t="str">
        <f>VLOOKUP(A542,Response!$A:$M,11,)</f>
        <v>Egattur</v>
      </c>
      <c r="R542" t="s">
        <v>19</v>
      </c>
      <c r="S542" s="39" t="s">
        <v>37</v>
      </c>
    </row>
    <row r="543" spans="1:19">
      <c r="A543" s="3">
        <v>2523454</v>
      </c>
      <c r="B543" t="str">
        <f>VLOOKUP(A543,File!$A:$J,2,FALSE)</f>
        <v>Gunaganti Revan Kumar</v>
      </c>
      <c r="C543" s="29">
        <f>VLOOKUP(A543,File!$A:$J,5,FALSE)</f>
        <v>46219</v>
      </c>
      <c r="D543" s="29" t="str">
        <f>VLOOKUP(A543,File!$A:$J,3,FALSE)</f>
        <v>Male</v>
      </c>
      <c r="E543" s="29" t="str">
        <f>VLOOKUP(A543,File!$A:$J,4,FALSE)</f>
        <v>FTE</v>
      </c>
      <c r="F543" s="29" t="str">
        <f>VLOOKUP(A543,File!$A:$J,6,FALSE)</f>
        <v>Chennai</v>
      </c>
      <c r="G543" s="29" t="str">
        <f>VLOOKUP(A543,File!$A:$J,7,FALSE)</f>
        <v>CS26CS010</v>
      </c>
      <c r="H543" s="29" t="str">
        <f>VLOOKUP(A543,File!$A:$J,8,FALSE)</f>
        <v>Laksiya Vijayendran</v>
      </c>
      <c r="I543" s="31">
        <f>VLOOKUP(A543,File!$A:$J,9,FALSE)</f>
        <v>46314</v>
      </c>
      <c r="J543" s="31" t="str">
        <f>VLOOKUP(A543,File!$A:$K,11,FALSE)</f>
        <v>Oct 2026</v>
      </c>
      <c r="K543" s="31" t="str">
        <f>VLOOKUP(A543,File!$A:$K,10,FALSE)</f>
        <v>In-Training</v>
      </c>
      <c r="L543" s="31" t="s">
        <v>4</v>
      </c>
      <c r="M543" t="str">
        <f>VLOOKUP(A543,Response!$A:$M,7,)</f>
        <v>PG (Paying Guest)</v>
      </c>
      <c r="N543" t="str">
        <f>VLOOKUP(A543,Response!$A:$M,8,)</f>
        <v>MSR Grand PG Gents PG Hostel, Navalur</v>
      </c>
      <c r="O543" s="4">
        <f>VLOOKUP(A543,Response!$A:$M,10,)</f>
        <v>2</v>
      </c>
      <c r="P543" t="str">
        <f>VLOOKUP(A543,Response!$A:$M,12,)</f>
        <v>No</v>
      </c>
      <c r="Q543" t="str">
        <f>VLOOKUP(A543,Response!$A:$M,11,)</f>
        <v>Navalur</v>
      </c>
      <c r="R543" t="s">
        <v>19</v>
      </c>
      <c r="S543" s="39" t="s">
        <v>37</v>
      </c>
    </row>
    <row r="544" spans="1:19">
      <c r="A544" s="3">
        <v>2522861</v>
      </c>
      <c r="B544" t="str">
        <f>VLOOKUP(A544,File!$A:$J,2,FALSE)</f>
        <v>Sindhusena Thirunavukkarasu</v>
      </c>
      <c r="C544" s="29">
        <f>VLOOKUP(A544,File!$A:$J,5,FALSE)</f>
        <v>46217</v>
      </c>
      <c r="D544" s="29" t="str">
        <f>VLOOKUP(A544,File!$A:$J,3,FALSE)</f>
        <v>Female</v>
      </c>
      <c r="E544" s="29" t="str">
        <f>VLOOKUP(A544,File!$A:$J,4,FALSE)</f>
        <v>FTE</v>
      </c>
      <c r="F544" s="29" t="str">
        <f>VLOOKUP(A544,File!$A:$J,6,FALSE)</f>
        <v>Chennai</v>
      </c>
      <c r="G544" s="29" t="str">
        <f>VLOOKUP(A544,File!$A:$J,7,FALSE)</f>
        <v>CIS26MCPT017</v>
      </c>
      <c r="H544" s="29" t="str">
        <f>VLOOKUP(A544,File!$A:$J,8,FALSE)</f>
        <v>Haritha P</v>
      </c>
      <c r="I544" s="31">
        <f>VLOOKUP(A544,File!$A:$J,9,FALSE)</f>
        <v>46335</v>
      </c>
      <c r="J544" s="31" t="str">
        <f>VLOOKUP(A544,File!$A:$K,11,FALSE)</f>
        <v>Nov 2026</v>
      </c>
      <c r="K544" s="31" t="str">
        <f>VLOOKUP(A544,File!$A:$K,10,FALSE)</f>
        <v>In-Training</v>
      </c>
      <c r="L544" s="31" t="s">
        <v>4</v>
      </c>
      <c r="M544" t="str">
        <f>VLOOKUP(A544,Response!$A:$M,7,)</f>
        <v>PG (Paying Guest)</v>
      </c>
      <c r="N544" t="str">
        <f>VLOOKUP(A544,Response!$A:$M,8,)</f>
        <v>MSR Ladies Hostel -Branch 1, Egattur</v>
      </c>
      <c r="O544" s="4">
        <f>VLOOKUP(A544,Response!$A:$M,10,)</f>
        <v>1</v>
      </c>
      <c r="P544" t="str">
        <f>VLOOKUP(A544,Response!$A:$M,12,)</f>
        <v>Yes</v>
      </c>
      <c r="Q544" t="str">
        <f>VLOOKUP(A544,Response!$A:$M,11,)</f>
        <v>Siruseri</v>
      </c>
      <c r="R544" t="s">
        <v>19</v>
      </c>
      <c r="S544" s="39" t="s">
        <v>37</v>
      </c>
    </row>
    <row r="545" spans="1:19">
      <c r="A545" s="3">
        <v>2529533</v>
      </c>
      <c r="B545" t="str">
        <f>VLOOKUP(A545,File!$A:$J,2,FALSE)</f>
        <v>Sakshi Sunil Musale</v>
      </c>
      <c r="C545" s="29">
        <f>VLOOKUP(A545,File!$A:$J,5,FALSE)</f>
        <v>46245</v>
      </c>
      <c r="D545" s="29" t="str">
        <f>VLOOKUP(A545,File!$A:$J,3,FALSE)</f>
        <v>Female</v>
      </c>
      <c r="E545" s="29" t="str">
        <f>VLOOKUP(A545,File!$A:$J,4,FALSE)</f>
        <v>FTE</v>
      </c>
      <c r="F545" s="29" t="str">
        <f>VLOOKUP(A545,File!$A:$J,6,FALSE)</f>
        <v>Chennai</v>
      </c>
      <c r="G545" s="29" t="str">
        <f>VLOOKUP(A545,File!$A:$J,7,FALSE)</f>
        <v>CIS26MCPT024</v>
      </c>
      <c r="H545" s="29" t="str">
        <f>VLOOKUP(A545,File!$A:$J,8,FALSE)</f>
        <v>Ashiya Begam S</v>
      </c>
      <c r="I545" s="31">
        <f>VLOOKUP(A545,File!$A:$J,9,FALSE)</f>
        <v>46359</v>
      </c>
      <c r="J545" s="31" t="str">
        <f>VLOOKUP(A545,File!$A:$K,11,FALSE)</f>
        <v>Dec 2026</v>
      </c>
      <c r="K545" s="31" t="str">
        <f>VLOOKUP(A545,File!$A:$K,10,FALSE)</f>
        <v>In-Training</v>
      </c>
      <c r="L545" s="31" t="s">
        <v>4</v>
      </c>
      <c r="M545" t="str">
        <f>VLOOKUP(A545,Response!$A:$M,7,)</f>
        <v>PG (Paying Guest)</v>
      </c>
      <c r="N545" t="str">
        <f>VLOOKUP(A545,Response!$A:$M,8,)</f>
        <v>MSR Ladies Luxury PG Branch 3</v>
      </c>
      <c r="O545" s="4">
        <f>VLOOKUP(A545,Response!$A:$M,10,)</f>
        <v>1</v>
      </c>
      <c r="P545" t="str">
        <f>VLOOKUP(A545,Response!$A:$M,12,)</f>
        <v>No</v>
      </c>
      <c r="Q545" t="str">
        <f>VLOOKUP(A545,Response!$A:$M,11,)</f>
        <v>Siruseri</v>
      </c>
      <c r="R545" t="s">
        <v>19</v>
      </c>
      <c r="S545" s="39" t="s">
        <v>37</v>
      </c>
    </row>
    <row r="546" spans="1:19">
      <c r="A546" s="3">
        <v>2522824</v>
      </c>
      <c r="B546" t="str">
        <f>VLOOKUP(A546,File!$A:$J,2,FALSE)</f>
        <v>JAYAWARDHINI  Vadivelu</v>
      </c>
      <c r="C546" s="29">
        <f>VLOOKUP(A546,File!$A:$J,5,FALSE)</f>
        <v>46217</v>
      </c>
      <c r="D546" s="29" t="str">
        <f>VLOOKUP(A546,File!$A:$J,3,FALSE)</f>
        <v>Female</v>
      </c>
      <c r="E546" s="29" t="str">
        <f>VLOOKUP(A546,File!$A:$J,4,FALSE)</f>
        <v>FTE</v>
      </c>
      <c r="F546" s="29" t="str">
        <f>VLOOKUP(A546,File!$A:$J,6,FALSE)</f>
        <v>Chennai</v>
      </c>
      <c r="G546" s="29" t="str">
        <f>VLOOKUP(A546,File!$A:$J,7,FALSE)</f>
        <v>QEA26ST001</v>
      </c>
      <c r="H546" s="29" t="str">
        <f>VLOOKUP(A546,File!$A:$J,8,FALSE)</f>
        <v>Angel Maria Faustina Gomez</v>
      </c>
      <c r="I546" s="31">
        <f>VLOOKUP(A546,File!$A:$J,9,FALSE)</f>
        <v>46310</v>
      </c>
      <c r="J546" s="31" t="str">
        <f>VLOOKUP(A546,File!$A:$K,11,FALSE)</f>
        <v>Oct 2026</v>
      </c>
      <c r="K546" s="31" t="str">
        <f>VLOOKUP(A546,File!$A:$K,10,FALSE)</f>
        <v>In-Training</v>
      </c>
      <c r="L546" s="31" t="s">
        <v>4</v>
      </c>
      <c r="M546" t="str">
        <f>VLOOKUP(A546,Response!$A:$M,7,)</f>
        <v>PG (Paying Guest)</v>
      </c>
      <c r="N546" t="str">
        <f>VLOOKUP(A546,Response!$A:$M,8,)</f>
        <v>MSR LADIES LUXURY PG BRANCH 3 EGATTUR</v>
      </c>
      <c r="O546" s="4">
        <f>VLOOKUP(A546,Response!$A:$M,10,)</f>
        <v>2</v>
      </c>
      <c r="P546" t="str">
        <f>VLOOKUP(A546,Response!$A:$M,12,)</f>
        <v>No</v>
      </c>
      <c r="Q546" t="str">
        <f>VLOOKUP(A546,Response!$A:$M,11,)</f>
        <v>Egattur</v>
      </c>
      <c r="R546" t="s">
        <v>19</v>
      </c>
      <c r="S546" s="39" t="s">
        <v>37</v>
      </c>
    </row>
    <row r="547" spans="1:19">
      <c r="A547" s="3">
        <v>2524549</v>
      </c>
      <c r="B547" t="str">
        <f>VLOOKUP(A547,File!$A:$J,2,FALSE)</f>
        <v>Kajal Sambhaji Ligade</v>
      </c>
      <c r="C547" s="29">
        <f>VLOOKUP(A547,File!$A:$J,5,FALSE)</f>
        <v>46224</v>
      </c>
      <c r="D547" s="29" t="str">
        <f>VLOOKUP(A547,File!$A:$J,3,FALSE)</f>
        <v>Female</v>
      </c>
      <c r="E547" s="29" t="str">
        <f>VLOOKUP(A547,File!$A:$J,4,FALSE)</f>
        <v>FTE</v>
      </c>
      <c r="F547" s="29" t="str">
        <f>VLOOKUP(A547,File!$A:$J,6,FALSE)</f>
        <v>Chennai</v>
      </c>
      <c r="G547" s="29" t="str">
        <f>VLOOKUP(A547,File!$A:$J,7,FALSE)</f>
        <v>QEA26QEPT024</v>
      </c>
      <c r="H547" s="29" t="str">
        <f>VLOOKUP(A547,File!$A:$J,8,FALSE)</f>
        <v>Ajiesya D P</v>
      </c>
      <c r="I547" s="31">
        <f>VLOOKUP(A547,File!$A:$J,9,FALSE)</f>
        <v>46330</v>
      </c>
      <c r="J547" s="31" t="str">
        <f>VLOOKUP(A547,File!$A:$K,11,FALSE)</f>
        <v>Nov 2026</v>
      </c>
      <c r="K547" s="31" t="str">
        <f>VLOOKUP(A547,File!$A:$K,10,FALSE)</f>
        <v>In-Training</v>
      </c>
      <c r="L547" s="31" t="s">
        <v>4</v>
      </c>
      <c r="M547" t="str">
        <f>VLOOKUP(A547,Response!$A:$M,7,)</f>
        <v>PG (Paying Guest)</v>
      </c>
      <c r="N547" t="str">
        <f>VLOOKUP(A547,Response!$A:$M,8,)</f>
        <v>MSR ladies luxury PG, S.No.92/12, Gangai Amman Kovil Street, Old Mahabalipuram Road, Egattur, Siruseri. Tamil Nadu 600130</v>
      </c>
      <c r="O547" s="4">
        <f>VLOOKUP(A547,Response!$A:$M,10,)</f>
        <v>1</v>
      </c>
      <c r="P547" t="str">
        <f>VLOOKUP(A547,Response!$A:$M,12,)</f>
        <v>No</v>
      </c>
      <c r="Q547" t="str">
        <f>VLOOKUP(A547,Response!$A:$M,11,)</f>
        <v>Egattur</v>
      </c>
      <c r="R547" t="s">
        <v>19</v>
      </c>
      <c r="S547" s="39" t="s">
        <v>37</v>
      </c>
    </row>
    <row r="548" spans="1:19">
      <c r="A548" s="3">
        <v>2531804</v>
      </c>
      <c r="B548" t="str">
        <f>VLOOKUP(A548,File!$A:$J,2,FALSE)</f>
        <v>Karne Komali Bhavani</v>
      </c>
      <c r="C548" s="29">
        <f>VLOOKUP(A548,File!$A:$J,5,FALSE)</f>
        <v>46254</v>
      </c>
      <c r="D548" s="29" t="str">
        <f>VLOOKUP(A548,File!$A:$J,3,FALSE)</f>
        <v>Female</v>
      </c>
      <c r="E548" s="29" t="str">
        <f>VLOOKUP(A548,File!$A:$J,4,FALSE)</f>
        <v>Intern</v>
      </c>
      <c r="F548" s="29" t="str">
        <f>VLOOKUP(A548,File!$A:$J,6,FALSE)</f>
        <v>Chennai</v>
      </c>
      <c r="G548" s="29" t="str">
        <f>VLOOKUP(A548,File!$A:$J,7,FALSE)</f>
        <v>INTFE26FE001</v>
      </c>
      <c r="H548" s="29" t="str">
        <f>VLOOKUP(A548,File!$A:$J,8,FALSE)</f>
        <v>Grace Esther S</v>
      </c>
      <c r="I548" s="31">
        <f>VLOOKUP(A548,File!$A:$J,9,FALSE)</f>
        <v>46310</v>
      </c>
      <c r="J548" s="31" t="str">
        <f>VLOOKUP(A548,File!$A:$K,11,FALSE)</f>
        <v>Oct 2026</v>
      </c>
      <c r="K548" s="31" t="str">
        <f>VLOOKUP(A548,File!$A:$K,10,FALSE)</f>
        <v>In-Training</v>
      </c>
      <c r="L548" s="31" t="s">
        <v>4</v>
      </c>
      <c r="M548" t="str">
        <f>VLOOKUP(A548,Response!$A:$M,7,)</f>
        <v>PG (Paying Guest)</v>
      </c>
      <c r="N548" t="str">
        <f>VLOOKUP(A548,Response!$A:$M,8,)</f>
        <v>MSR Ladies PG - Branch 2, Egattur</v>
      </c>
      <c r="O548" s="4">
        <f>VLOOKUP(A548,Response!$A:$M,10,)</f>
        <v>1</v>
      </c>
      <c r="P548" t="str">
        <f>VLOOKUP(A548,Response!$A:$M,12,)</f>
        <v>No</v>
      </c>
      <c r="Q548" t="str">
        <f>VLOOKUP(A548,Response!$A:$M,11,)</f>
        <v>Egattur</v>
      </c>
      <c r="R548" t="s">
        <v>19</v>
      </c>
      <c r="S548" s="39" t="s">
        <v>37</v>
      </c>
    </row>
    <row r="549" spans="1:19">
      <c r="A549" s="3">
        <v>2520922</v>
      </c>
      <c r="B549" t="str">
        <f>VLOOKUP(A549,File!$A:$J,2,FALSE)</f>
        <v>Shruti Ashok Shigehalli</v>
      </c>
      <c r="C549" s="29">
        <f>VLOOKUP(A549,File!$A:$J,5,FALSE)</f>
        <v>46210</v>
      </c>
      <c r="D549" s="29" t="str">
        <f>VLOOKUP(A549,File!$A:$J,3,FALSE)</f>
        <v>Female</v>
      </c>
      <c r="E549" s="29" t="str">
        <f>VLOOKUP(A549,File!$A:$J,4,FALSE)</f>
        <v>FTE</v>
      </c>
      <c r="F549" s="29" t="str">
        <f>VLOOKUP(A549,File!$A:$J,6,FALSE)</f>
        <v>Chennai</v>
      </c>
      <c r="G549" s="29" t="str">
        <f>VLOOKUP(A549,File!$A:$J,7,FALSE)</f>
        <v>CIS26MCPT013</v>
      </c>
      <c r="H549" s="29" t="str">
        <f>VLOOKUP(A549,File!$A:$J,8,FALSE)</f>
        <v>Lawrance M</v>
      </c>
      <c r="I549" s="31">
        <f>VLOOKUP(A549,File!$A:$J,9,FALSE)</f>
        <v>46324</v>
      </c>
      <c r="J549" s="31" t="str">
        <f>VLOOKUP(A549,File!$A:$K,11,FALSE)</f>
        <v>Oct 2026</v>
      </c>
      <c r="K549" s="31" t="str">
        <f>VLOOKUP(A549,File!$A:$K,10,FALSE)</f>
        <v>In-Training</v>
      </c>
      <c r="L549" s="31" t="s">
        <v>4</v>
      </c>
      <c r="M549" t="str">
        <f>VLOOKUP(A549,Response!$A:$M,7,)</f>
        <v>PG (Paying Guest)</v>
      </c>
      <c r="N549" t="str">
        <f>VLOOKUP(A549,Response!$A:$M,8,)</f>
        <v>MSR Ladies PG Branch 2 Egattur</v>
      </c>
      <c r="O549" s="4">
        <f>VLOOKUP(A549,Response!$A:$M,10,)</f>
        <v>2</v>
      </c>
      <c r="P549" t="str">
        <f>VLOOKUP(A549,Response!$A:$M,12,)</f>
        <v>No</v>
      </c>
      <c r="Q549" t="str">
        <f>VLOOKUP(A549,Response!$A:$M,11,)</f>
        <v>Egattur</v>
      </c>
      <c r="R549" t="s">
        <v>19</v>
      </c>
      <c r="S549" s="39" t="s">
        <v>37</v>
      </c>
    </row>
    <row r="550" spans="1:19">
      <c r="A550" s="3">
        <v>2532950</v>
      </c>
      <c r="B550" t="str">
        <f>VLOOKUP(A550,File!$A:$J,2,FALSE)</f>
        <v>Natla Vaishnavi</v>
      </c>
      <c r="C550" s="29">
        <f>VLOOKUP(A550,File!$A:$J,5,FALSE)</f>
        <v>46259</v>
      </c>
      <c r="D550" s="29" t="str">
        <f>VLOOKUP(A550,File!$A:$J,3,FALSE)</f>
        <v>Female</v>
      </c>
      <c r="E550" s="29" t="str">
        <f>VLOOKUP(A550,File!$A:$J,4,FALSE)</f>
        <v>FTE</v>
      </c>
      <c r="F550" s="29" t="str">
        <f>VLOOKUP(A550,File!$A:$J,6,FALSE)</f>
        <v>Chennai</v>
      </c>
      <c r="G550" s="29" t="str">
        <f>VLOOKUP(A550,File!$A:$J,7,FALSE)</f>
        <v>CIS26MBG004</v>
      </c>
      <c r="H550" s="29" t="str">
        <f>VLOOKUP(A550,File!$A:$J,8,FALSE)</f>
        <v>Kishorekumar P</v>
      </c>
      <c r="I550" s="31">
        <f>VLOOKUP(A550,File!$A:$J,9,FALSE)</f>
        <v>46367</v>
      </c>
      <c r="J550" s="31" t="str">
        <f>VLOOKUP(A550,File!$A:$K,11,FALSE)</f>
        <v>Dec 2026</v>
      </c>
      <c r="K550" s="31" t="str">
        <f>VLOOKUP(A550,File!$A:$K,10,FALSE)</f>
        <v>In-Training</v>
      </c>
      <c r="L550" s="31" t="s">
        <v>4</v>
      </c>
      <c r="M550" t="str">
        <f>VLOOKUP(A550,Response!$A:$M,7,)</f>
        <v>PG (Paying Guest)</v>
      </c>
      <c r="N550" t="str">
        <f>VLOOKUP(A550,Response!$A:$M,8,)</f>
        <v>MSR ladies PG branch 2,Egattur</v>
      </c>
      <c r="O550" s="4" t="str">
        <f>VLOOKUP(A550,Response!$A:$M,10,)</f>
        <v>GF</v>
      </c>
      <c r="P550" t="str">
        <f>VLOOKUP(A550,Response!$A:$M,12,)</f>
        <v>No</v>
      </c>
      <c r="Q550" t="str">
        <f>VLOOKUP(A550,Response!$A:$M,11,)</f>
        <v>Egattur</v>
      </c>
      <c r="R550" t="s">
        <v>19</v>
      </c>
      <c r="S550" s="39" t="s">
        <v>37</v>
      </c>
    </row>
    <row r="551" spans="1:19">
      <c r="A551" s="3">
        <v>2529577</v>
      </c>
      <c r="B551" t="str">
        <f>VLOOKUP(A551,File!$A:$J,2,FALSE)</f>
        <v>Sakshi Sinha</v>
      </c>
      <c r="C551" s="29">
        <f>VLOOKUP(A551,File!$A:$J,5,FALSE)</f>
        <v>46245</v>
      </c>
      <c r="D551" s="29" t="str">
        <f>VLOOKUP(A551,File!$A:$J,3,FALSE)</f>
        <v>Female</v>
      </c>
      <c r="E551" s="29" t="str">
        <f>VLOOKUP(A551,File!$A:$J,4,FALSE)</f>
        <v>FTE</v>
      </c>
      <c r="F551" s="29" t="str">
        <f>VLOOKUP(A551,File!$A:$J,6,FALSE)</f>
        <v>Chennai</v>
      </c>
      <c r="G551" s="29" t="str">
        <f>VLOOKUP(A551,File!$A:$J,7,FALSE)</f>
        <v>CIS26MCPT021</v>
      </c>
      <c r="H551" s="29" t="str">
        <f>VLOOKUP(A551,File!$A:$J,8,FALSE)</f>
        <v>Uma Venkatachalam</v>
      </c>
      <c r="I551" s="31">
        <f>VLOOKUP(A551,File!$A:$J,9,FALSE)</f>
        <v>46364</v>
      </c>
      <c r="J551" s="31" t="str">
        <f>VLOOKUP(A551,File!$A:$K,11,FALSE)</f>
        <v>Dec 2026</v>
      </c>
      <c r="K551" s="31" t="str">
        <f>VLOOKUP(A551,File!$A:$K,10,FALSE)</f>
        <v>In-Training</v>
      </c>
      <c r="L551" s="31" t="s">
        <v>4</v>
      </c>
      <c r="M551" t="str">
        <f>VLOOKUP(A551,Response!$A:$M,7,)</f>
        <v>PG (Paying Guest)</v>
      </c>
      <c r="N551" t="str">
        <f>VLOOKUP(A551,Response!$A:$M,8,)</f>
        <v>MSR LADIES PG BRANCH 3</v>
      </c>
      <c r="O551" s="4">
        <f>VLOOKUP(A551,Response!$A:$M,10,)</f>
        <v>1</v>
      </c>
      <c r="P551" t="str">
        <f>VLOOKUP(A551,Response!$A:$M,12,)</f>
        <v>No</v>
      </c>
      <c r="Q551" t="str">
        <f>VLOOKUP(A551,Response!$A:$M,11,)</f>
        <v>Siruseri</v>
      </c>
      <c r="R551" t="s">
        <v>19</v>
      </c>
      <c r="S551" s="39" t="s">
        <v>37</v>
      </c>
    </row>
    <row r="552" spans="1:19">
      <c r="A552" s="3">
        <v>2524642</v>
      </c>
      <c r="B552" t="str">
        <f>VLOOKUP(A552,File!$A:$J,2,FALSE)</f>
        <v>Pratiksha Bhagavanrao Pawar</v>
      </c>
      <c r="C552" s="29">
        <f>VLOOKUP(A552,File!$A:$J,5,FALSE)</f>
        <v>46224</v>
      </c>
      <c r="D552" s="29" t="str">
        <f>VLOOKUP(A552,File!$A:$J,3,FALSE)</f>
        <v>Female</v>
      </c>
      <c r="E552" s="29" t="str">
        <f>VLOOKUP(A552,File!$A:$J,4,FALSE)</f>
        <v>FTE</v>
      </c>
      <c r="F552" s="29" t="str">
        <f>VLOOKUP(A552,File!$A:$J,6,FALSE)</f>
        <v>Chennai</v>
      </c>
      <c r="G552" s="29" t="str">
        <f>VLOOKUP(A552,File!$A:$J,7,FALSE)</f>
        <v>QEA26QEPT024</v>
      </c>
      <c r="H552" s="29" t="str">
        <f>VLOOKUP(A552,File!$A:$J,8,FALSE)</f>
        <v>Ajiesya D P</v>
      </c>
      <c r="I552" s="31">
        <f>VLOOKUP(A552,File!$A:$J,9,FALSE)</f>
        <v>46325</v>
      </c>
      <c r="J552" s="31" t="str">
        <f>VLOOKUP(A552,File!$A:$K,11,FALSE)</f>
        <v>Oct 2026</v>
      </c>
      <c r="K552" s="31" t="str">
        <f>VLOOKUP(A552,File!$A:$K,10,FALSE)</f>
        <v>In-Training</v>
      </c>
      <c r="L552" s="31" t="s">
        <v>4</v>
      </c>
      <c r="M552" t="str">
        <f>VLOOKUP(A552,Response!$A:$M,7,)</f>
        <v>PG (Paying Guest)</v>
      </c>
      <c r="N552" t="str">
        <f>VLOOKUP(A552,Response!$A:$M,8,)</f>
        <v>MSR Ladies Pg Branch 3, S.No.92/12, Gangai Amman Kovil Street, Old Mahabalipuram Road, Egattur, Siruseri, Tamil Nadu.</v>
      </c>
      <c r="O552" s="4">
        <f>VLOOKUP(A552,Response!$A:$M,10,)</f>
        <v>1</v>
      </c>
      <c r="P552" t="str">
        <f>VLOOKUP(A552,Response!$A:$M,12,)</f>
        <v>No</v>
      </c>
      <c r="Q552" t="str">
        <f>VLOOKUP(A552,Response!$A:$M,11,)</f>
        <v>Egattur</v>
      </c>
      <c r="R552" t="s">
        <v>19</v>
      </c>
      <c r="S552" s="39" t="s">
        <v>37</v>
      </c>
    </row>
    <row r="553" spans="1:19">
      <c r="A553" s="3">
        <v>2522849</v>
      </c>
      <c r="B553" t="str">
        <f>VLOOKUP(A553,File!$A:$J,2,FALSE)</f>
        <v>Monika S</v>
      </c>
      <c r="C553" s="29">
        <f>VLOOKUP(A553,File!$A:$J,5,FALSE)</f>
        <v>46217</v>
      </c>
      <c r="D553" s="29" t="str">
        <f>VLOOKUP(A553,File!$A:$J,3,FALSE)</f>
        <v>Female</v>
      </c>
      <c r="E553" s="29" t="str">
        <f>VLOOKUP(A553,File!$A:$J,4,FALSE)</f>
        <v>FTE</v>
      </c>
      <c r="F553" s="29" t="str">
        <f>VLOOKUP(A553,File!$A:$J,6,FALSE)</f>
        <v>Chennai</v>
      </c>
      <c r="G553" s="29" t="str">
        <f>VLOOKUP(A553,File!$A:$J,7,FALSE)</f>
        <v>CIS26MCPT017</v>
      </c>
      <c r="H553" s="29" t="str">
        <f>VLOOKUP(A553,File!$A:$J,8,FALSE)</f>
        <v>Haritha P</v>
      </c>
      <c r="I553" s="31">
        <f>VLOOKUP(A553,File!$A:$J,9,FALSE)</f>
        <v>46335</v>
      </c>
      <c r="J553" s="31" t="str">
        <f>VLOOKUP(A553,File!$A:$K,11,FALSE)</f>
        <v>Nov 2026</v>
      </c>
      <c r="K553" s="31" t="str">
        <f>VLOOKUP(A553,File!$A:$K,10,FALSE)</f>
        <v>In-Training</v>
      </c>
      <c r="L553" s="31" t="s">
        <v>4</v>
      </c>
      <c r="M553" t="str">
        <f>VLOOKUP(A553,Response!$A:$M,7,)</f>
        <v>PG (Paying Guest)</v>
      </c>
      <c r="N553" t="str">
        <f>VLOOKUP(A553,Response!$A:$M,8,)</f>
        <v>MSR Luxury Ladies PG - Branch 1, Egattur, Siruseri</v>
      </c>
      <c r="O553" s="4" t="str">
        <f>VLOOKUP(A553,Response!$A:$M,10,)</f>
        <v>GF</v>
      </c>
      <c r="P553" t="str">
        <f>VLOOKUP(A553,Response!$A:$M,12,)</f>
        <v>Yes</v>
      </c>
      <c r="Q553" t="str">
        <f>VLOOKUP(A553,Response!$A:$M,11,)</f>
        <v>Siruseri</v>
      </c>
      <c r="R553" t="s">
        <v>19</v>
      </c>
      <c r="S553" s="39" t="s">
        <v>37</v>
      </c>
    </row>
    <row r="554" spans="1:19">
      <c r="A554" s="3">
        <v>2532970</v>
      </c>
      <c r="B554" t="str">
        <f>VLOOKUP(A554,File!$A:$J,2,FALSE)</f>
        <v>Pedasingu Sanjana</v>
      </c>
      <c r="C554" s="29">
        <f>VLOOKUP(A554,File!$A:$J,5,FALSE)</f>
        <v>46259</v>
      </c>
      <c r="D554" s="29" t="str">
        <f>VLOOKUP(A554,File!$A:$J,3,FALSE)</f>
        <v>Female</v>
      </c>
      <c r="E554" s="29" t="str">
        <f>VLOOKUP(A554,File!$A:$J,4,FALSE)</f>
        <v>FTE</v>
      </c>
      <c r="F554" s="29" t="str">
        <f>VLOOKUP(A554,File!$A:$J,6,FALSE)</f>
        <v>Chennai</v>
      </c>
      <c r="G554" s="29" t="str">
        <f>VLOOKUP(A554,File!$A:$J,7,FALSE)</f>
        <v>CIS26AT008</v>
      </c>
      <c r="H554" s="29" t="str">
        <f>VLOOKUP(A554,File!$A:$J,8,FALSE)</f>
        <v>Uma Venkatachalam</v>
      </c>
      <c r="I554" s="31">
        <f>VLOOKUP(A554,File!$A:$J,9,FALSE)</f>
        <v>46365</v>
      </c>
      <c r="J554" s="31" t="str">
        <f>VLOOKUP(A554,File!$A:$K,11,FALSE)</f>
        <v>Dec 2026</v>
      </c>
      <c r="K554" s="31" t="str">
        <f>VLOOKUP(A554,File!$A:$K,10,FALSE)</f>
        <v>In-Training</v>
      </c>
      <c r="L554" s="31" t="s">
        <v>4</v>
      </c>
      <c r="M554" t="str">
        <f>VLOOKUP(A554,Response!$A:$M,7,)</f>
        <v>PG (Paying Guest)</v>
      </c>
      <c r="N554" t="str">
        <f>VLOOKUP(A554,Response!$A:$M,8,)</f>
        <v>MSR Luxury Ladies PG - Branch 3, Egattur</v>
      </c>
      <c r="O554" s="4">
        <f>VLOOKUP(A554,Response!$A:$M,10,)</f>
        <v>3</v>
      </c>
      <c r="P554" t="str">
        <f>VLOOKUP(A554,Response!$A:$M,12,)</f>
        <v>No</v>
      </c>
      <c r="Q554" t="str">
        <f>VLOOKUP(A554,Response!$A:$M,11,)</f>
        <v>Egattur</v>
      </c>
      <c r="R554" t="s">
        <v>19</v>
      </c>
      <c r="S554" s="39" t="s">
        <v>37</v>
      </c>
    </row>
    <row r="555" spans="1:19">
      <c r="A555" s="3">
        <v>2531981</v>
      </c>
      <c r="B555" t="str">
        <f>VLOOKUP(A555,File!$A:$J,2,FALSE)</f>
        <v>Mote Srija</v>
      </c>
      <c r="C555" s="29">
        <f>VLOOKUP(A555,File!$A:$J,5,FALSE)</f>
        <v>46254</v>
      </c>
      <c r="D555" s="29" t="str">
        <f>VLOOKUP(A555,File!$A:$J,3,FALSE)</f>
        <v>Female</v>
      </c>
      <c r="E555" s="29" t="str">
        <f>VLOOKUP(A555,File!$A:$J,4,FALSE)</f>
        <v>FTE</v>
      </c>
      <c r="F555" s="29" t="str">
        <f>VLOOKUP(A555,File!$A:$J,6,FALSE)</f>
        <v>Chennai</v>
      </c>
      <c r="G555" s="29" t="str">
        <f>VLOOKUP(A555,File!$A:$J,7,FALSE)</f>
        <v>CS26CS012</v>
      </c>
      <c r="H555" s="29" t="str">
        <f>VLOOKUP(A555,File!$A:$J,8,FALSE)</f>
        <v>Laksiya Vijayendran</v>
      </c>
      <c r="I555" s="31">
        <f>VLOOKUP(A555,File!$A:$J,9,FALSE)</f>
        <v>46343</v>
      </c>
      <c r="J555" s="31" t="str">
        <f>VLOOKUP(A555,File!$A:$K,11,FALSE)</f>
        <v>Nov 2026</v>
      </c>
      <c r="K555" s="31" t="str">
        <f>VLOOKUP(A555,File!$A:$K,10,FALSE)</f>
        <v>In-Training</v>
      </c>
      <c r="L555" s="31" t="s">
        <v>4</v>
      </c>
      <c r="M555" t="str">
        <f>VLOOKUP(A555,Response!$A:$M,7,)</f>
        <v>PG (Paying Guest)</v>
      </c>
      <c r="N555" t="str">
        <f>VLOOKUP(A555,Response!$A:$M,8,)</f>
        <v xml:space="preserve">MSR LUXURY LADIES PG - Branch 3,Egattur </v>
      </c>
      <c r="O555" s="4">
        <f>VLOOKUP(A555,Response!$A:$M,10,)</f>
        <v>2</v>
      </c>
      <c r="P555" t="str">
        <f>VLOOKUP(A555,Response!$A:$M,12,)</f>
        <v>No</v>
      </c>
      <c r="Q555" t="str">
        <f>VLOOKUP(A555,Response!$A:$M,11,)</f>
        <v>Siruseri</v>
      </c>
      <c r="R555" t="s">
        <v>19</v>
      </c>
      <c r="S555" s="39" t="s">
        <v>37</v>
      </c>
    </row>
    <row r="556" spans="1:19">
      <c r="A556" s="3">
        <v>2533155</v>
      </c>
      <c r="B556" t="str">
        <f>VLOOKUP(A556,File!$A:$J,2,FALSE)</f>
        <v>Yallala Veera Nishitha</v>
      </c>
      <c r="C556" s="29">
        <f>VLOOKUP(A556,File!$A:$J,5,FALSE)</f>
        <v>46259</v>
      </c>
      <c r="D556" s="29" t="str">
        <f>VLOOKUP(A556,File!$A:$J,3,FALSE)</f>
        <v>Female</v>
      </c>
      <c r="E556" s="29" t="str">
        <f>VLOOKUP(A556,File!$A:$J,4,FALSE)</f>
        <v>FTE</v>
      </c>
      <c r="F556" s="29" t="str">
        <f>VLOOKUP(A556,File!$A:$J,6,FALSE)</f>
        <v>Chennai</v>
      </c>
      <c r="G556" s="29" t="str">
        <f>VLOOKUP(A556,File!$A:$J,7,FALSE)</f>
        <v>CIS26MBG006</v>
      </c>
      <c r="H556" s="29" t="str">
        <f>VLOOKUP(A556,File!$A:$J,8,FALSE)</f>
        <v>Angel Maria Faustina Gomez</v>
      </c>
      <c r="I556" s="31">
        <f>VLOOKUP(A556,File!$A:$J,9,FALSE)</f>
        <v>46367</v>
      </c>
      <c r="J556" s="31" t="str">
        <f>VLOOKUP(A556,File!$A:$K,11,FALSE)</f>
        <v>Dec 2026</v>
      </c>
      <c r="K556" s="31" t="str">
        <f>VLOOKUP(A556,File!$A:$K,10,FALSE)</f>
        <v>In-Training</v>
      </c>
      <c r="L556" s="31" t="s">
        <v>4</v>
      </c>
      <c r="M556" t="str">
        <f>VLOOKUP(A556,Response!$A:$M,7,)</f>
        <v>PG (Paying Guest)</v>
      </c>
      <c r="N556" t="str">
        <f>VLOOKUP(A556,Response!$A:$M,8,)</f>
        <v>MSR luxury ladies pg branch 2 ,Egattur</v>
      </c>
      <c r="O556" s="4" t="str">
        <f>VLOOKUP(A556,Response!$A:$M,10,)</f>
        <v>GF</v>
      </c>
      <c r="P556" t="str">
        <f>VLOOKUP(A556,Response!$A:$M,12,)</f>
        <v>No</v>
      </c>
      <c r="Q556" t="str">
        <f>VLOOKUP(A556,Response!$A:$M,11,)</f>
        <v>Egattur</v>
      </c>
      <c r="R556" t="s">
        <v>19</v>
      </c>
      <c r="S556" s="39" t="s">
        <v>37</v>
      </c>
    </row>
    <row r="557" spans="1:19">
      <c r="A557" s="3">
        <v>2531845</v>
      </c>
      <c r="B557" t="str">
        <f>VLOOKUP(A557,File!$A:$J,2,FALSE)</f>
        <v>Priyanka Kalidas Sundalam</v>
      </c>
      <c r="C557" s="29">
        <f>VLOOKUP(A557,File!$A:$J,5,FALSE)</f>
        <v>46254</v>
      </c>
      <c r="D557" s="29" t="str">
        <f>VLOOKUP(A557,File!$A:$J,3,FALSE)</f>
        <v>Female</v>
      </c>
      <c r="E557" s="29" t="str">
        <f>VLOOKUP(A557,File!$A:$J,4,FALSE)</f>
        <v>FTE</v>
      </c>
      <c r="F557" s="29" t="str">
        <f>VLOOKUP(A557,File!$A:$J,6,FALSE)</f>
        <v>Chennai</v>
      </c>
      <c r="G557" s="29" t="str">
        <f>VLOOKUP(A557,File!$A:$J,7,FALSE)</f>
        <v>CS26CS011</v>
      </c>
      <c r="H557" s="29" t="str">
        <f>VLOOKUP(A557,File!$A:$J,8,FALSE)</f>
        <v>Kishorekumar P</v>
      </c>
      <c r="I557" s="31">
        <f>VLOOKUP(A557,File!$A:$J,9,FALSE)</f>
        <v>46343</v>
      </c>
      <c r="J557" s="31" t="str">
        <f>VLOOKUP(A557,File!$A:$K,11,FALSE)</f>
        <v>Nov 2026</v>
      </c>
      <c r="K557" s="31" t="str">
        <f>VLOOKUP(A557,File!$A:$K,10,FALSE)</f>
        <v>In-Training</v>
      </c>
      <c r="L557" s="31" t="s">
        <v>4</v>
      </c>
      <c r="M557" t="str">
        <f>VLOOKUP(A557,Response!$A:$M,7,)</f>
        <v>PG (Paying Guest)</v>
      </c>
      <c r="N557" t="str">
        <f>VLOOKUP(A557,Response!$A:$M,8,)</f>
        <v>MSR luxury ladies PG branch 2, Siruseri, Egattur</v>
      </c>
      <c r="O557" s="4" t="str">
        <f>VLOOKUP(A557,Response!$A:$M,10,)</f>
        <v>GF</v>
      </c>
      <c r="P557" t="str">
        <f>VLOOKUP(A557,Response!$A:$M,12,)</f>
        <v>No</v>
      </c>
      <c r="Q557" t="str">
        <f>VLOOKUP(A557,Response!$A:$M,11,)</f>
        <v>Siruseri</v>
      </c>
      <c r="R557" t="s">
        <v>19</v>
      </c>
      <c r="S557" s="39" t="s">
        <v>37</v>
      </c>
    </row>
    <row r="558" spans="1:19">
      <c r="A558" s="3">
        <v>2524558</v>
      </c>
      <c r="B558" t="str">
        <f>VLOOKUP(A558,File!$A:$J,2,FALSE)</f>
        <v>Sanika Suresh Lavate</v>
      </c>
      <c r="C558" s="29">
        <f>VLOOKUP(A558,File!$A:$J,5,FALSE)</f>
        <v>46224</v>
      </c>
      <c r="D558" s="29" t="str">
        <f>VLOOKUP(A558,File!$A:$J,3,FALSE)</f>
        <v>Female</v>
      </c>
      <c r="E558" s="29" t="str">
        <f>VLOOKUP(A558,File!$A:$J,4,FALSE)</f>
        <v>FTE</v>
      </c>
      <c r="F558" s="29" t="str">
        <f>VLOOKUP(A558,File!$A:$J,6,FALSE)</f>
        <v>Chennai</v>
      </c>
      <c r="G558" s="29" t="str">
        <f>VLOOKUP(A558,File!$A:$J,7,FALSE)</f>
        <v>QEA26QEPT024</v>
      </c>
      <c r="H558" s="29" t="str">
        <f>VLOOKUP(A558,File!$A:$J,8,FALSE)</f>
        <v>Ajiesya D P</v>
      </c>
      <c r="I558" s="31">
        <f>VLOOKUP(A558,File!$A:$J,9,FALSE)</f>
        <v>46330</v>
      </c>
      <c r="J558" s="31" t="str">
        <f>VLOOKUP(A558,File!$A:$K,11,FALSE)</f>
        <v>Nov 2026</v>
      </c>
      <c r="K558" s="31" t="str">
        <f>VLOOKUP(A558,File!$A:$K,10,FALSE)</f>
        <v>In-Training</v>
      </c>
      <c r="L558" s="31" t="s">
        <v>4</v>
      </c>
      <c r="M558" t="str">
        <f>VLOOKUP(A558,Response!$A:$M,7,)</f>
        <v>PG (Paying Guest)</v>
      </c>
      <c r="N558" t="str">
        <f>VLOOKUP(A558,Response!$A:$M,8,)</f>
        <v>msr luxury ladies pg branch 3 ,Gangai Amman Kovil Street, Old Mahabalipuram Road, Egattur, Siruseri, Tamil Nadu 600130</v>
      </c>
      <c r="O558" s="4">
        <f>VLOOKUP(A558,Response!$A:$M,10,)</f>
        <v>1</v>
      </c>
      <c r="P558" t="str">
        <f>VLOOKUP(A558,Response!$A:$M,12,)</f>
        <v>No</v>
      </c>
      <c r="Q558" t="str">
        <f>VLOOKUP(A558,Response!$A:$M,11,)</f>
        <v>Siruseri</v>
      </c>
      <c r="R558" t="s">
        <v>19</v>
      </c>
      <c r="S558" s="39" t="s">
        <v>37</v>
      </c>
    </row>
    <row r="559" spans="1:19">
      <c r="A559" s="3">
        <v>2533184</v>
      </c>
      <c r="B559" t="str">
        <f>VLOOKUP(A559,File!$A:$J,2,FALSE)</f>
        <v>Shradha Surendra Joshi</v>
      </c>
      <c r="C559" s="29">
        <f>VLOOKUP(A559,File!$A:$J,5,FALSE)</f>
        <v>46259</v>
      </c>
      <c r="D559" s="29" t="str">
        <f>VLOOKUP(A559,File!$A:$J,3,FALSE)</f>
        <v>Female</v>
      </c>
      <c r="E559" s="29" t="str">
        <f>VLOOKUP(A559,File!$A:$J,4,FALSE)</f>
        <v>FTE</v>
      </c>
      <c r="F559" s="29" t="str">
        <f>VLOOKUP(A559,File!$A:$J,6,FALSE)</f>
        <v>Chennai</v>
      </c>
      <c r="G559" s="29" t="str">
        <f>VLOOKUP(A559,File!$A:$J,7,FALSE)</f>
        <v>CIS26MBG003</v>
      </c>
      <c r="H559" s="29" t="str">
        <f>VLOOKUP(A559,File!$A:$J,8,FALSE)</f>
        <v>Kishorekumar P</v>
      </c>
      <c r="I559" s="31">
        <f>VLOOKUP(A559,File!$A:$J,9,FALSE)</f>
        <v>46367</v>
      </c>
      <c r="J559" s="31" t="str">
        <f>VLOOKUP(A559,File!$A:$K,11,FALSE)</f>
        <v>Dec 2026</v>
      </c>
      <c r="K559" s="31" t="str">
        <f>VLOOKUP(A559,File!$A:$K,10,FALSE)</f>
        <v>In-Training</v>
      </c>
      <c r="L559" s="31" t="s">
        <v>4</v>
      </c>
      <c r="M559" t="str">
        <f>VLOOKUP(A559,Response!$A:$M,7,)</f>
        <v>PG (Paying Guest)</v>
      </c>
      <c r="N559" t="str">
        <f>VLOOKUP(A559,Response!$A:$M,8,)</f>
        <v>MSR Luxury ladies PG branch 3,,Egattur</v>
      </c>
      <c r="O559" s="4" t="str">
        <f>VLOOKUP(A559,Response!$A:$M,10,)</f>
        <v>GF</v>
      </c>
      <c r="P559" t="str">
        <f>VLOOKUP(A559,Response!$A:$M,12,)</f>
        <v>No</v>
      </c>
      <c r="Q559" t="str">
        <f>VLOOKUP(A559,Response!$A:$M,11,)</f>
        <v>Egattur</v>
      </c>
      <c r="R559" t="s">
        <v>19</v>
      </c>
      <c r="S559" s="39" t="s">
        <v>37</v>
      </c>
    </row>
    <row r="560" spans="1:19">
      <c r="A560" s="3">
        <v>2529650</v>
      </c>
      <c r="B560" t="str">
        <f>VLOOKUP(A560,File!$A:$J,2,FALSE)</f>
        <v>Harshitha U</v>
      </c>
      <c r="C560" s="29">
        <f>VLOOKUP(A560,File!$A:$J,5,FALSE)</f>
        <v>46245</v>
      </c>
      <c r="D560" s="29" t="str">
        <f>VLOOKUP(A560,File!$A:$J,3,FALSE)</f>
        <v>Female</v>
      </c>
      <c r="E560" s="29" t="str">
        <f>VLOOKUP(A560,File!$A:$J,4,FALSE)</f>
        <v>FTE</v>
      </c>
      <c r="F560" s="29" t="str">
        <f>VLOOKUP(A560,File!$A:$J,6,FALSE)</f>
        <v>Chennai</v>
      </c>
      <c r="G560" s="29" t="str">
        <f>VLOOKUP(A560,File!$A:$J,7,FALSE)</f>
        <v>CIS26MCPT024</v>
      </c>
      <c r="H560" s="29" t="str">
        <f>VLOOKUP(A560,File!$A:$J,8,FALSE)</f>
        <v>Ashiya Begam S</v>
      </c>
      <c r="I560" s="31">
        <f>VLOOKUP(A560,File!$A:$J,9,FALSE)</f>
        <v>46359</v>
      </c>
      <c r="J560" s="31" t="str">
        <f>VLOOKUP(A560,File!$A:$K,11,FALSE)</f>
        <v>Dec 2026</v>
      </c>
      <c r="K560" s="31" t="str">
        <f>VLOOKUP(A560,File!$A:$K,10,FALSE)</f>
        <v>In-Training</v>
      </c>
      <c r="L560" s="31" t="s">
        <v>4</v>
      </c>
      <c r="M560" t="str">
        <f>VLOOKUP(A560,Response!$A:$M,7,)</f>
        <v>PG (Paying Guest)</v>
      </c>
      <c r="N560" t="str">
        <f>VLOOKUP(A560,Response!$A:$M,8,)</f>
        <v>MSR Luxury Ladies PG Branch III</v>
      </c>
      <c r="O560" s="4">
        <f>VLOOKUP(A560,Response!$A:$M,10,)</f>
        <v>2</v>
      </c>
      <c r="P560" t="str">
        <f>VLOOKUP(A560,Response!$A:$M,12,)</f>
        <v>No</v>
      </c>
      <c r="Q560" t="str">
        <f>VLOOKUP(A560,Response!$A:$M,11,)</f>
        <v>Egattur</v>
      </c>
      <c r="R560" t="s">
        <v>19</v>
      </c>
      <c r="S560" s="39" t="s">
        <v>37</v>
      </c>
    </row>
    <row r="561" spans="1:19">
      <c r="A561" s="3">
        <v>2529508</v>
      </c>
      <c r="B561" t="str">
        <f>VLOOKUP(A561,File!$A:$J,2,FALSE)</f>
        <v>Deepika S</v>
      </c>
      <c r="C561" s="29">
        <f>VLOOKUP(A561,File!$A:$J,5,FALSE)</f>
        <v>46245</v>
      </c>
      <c r="D561" s="29" t="str">
        <f>VLOOKUP(A561,File!$A:$J,3,FALSE)</f>
        <v>Female</v>
      </c>
      <c r="E561" s="29" t="str">
        <f>VLOOKUP(A561,File!$A:$J,4,FALSE)</f>
        <v>FTE</v>
      </c>
      <c r="F561" s="29" t="str">
        <f>VLOOKUP(A561,File!$A:$J,6,FALSE)</f>
        <v>Chennai</v>
      </c>
      <c r="G561" s="29" t="str">
        <f>VLOOKUP(A561,File!$A:$J,7,FALSE)</f>
        <v>CIS26MCPT022</v>
      </c>
      <c r="H561" s="29" t="str">
        <f>VLOOKUP(A561,File!$A:$J,8,FALSE)</f>
        <v>Laksiya Vijayendran</v>
      </c>
      <c r="I561" s="31">
        <f>VLOOKUP(A561,File!$A:$J,9,FALSE)</f>
        <v>46359</v>
      </c>
      <c r="J561" s="31" t="str">
        <f>VLOOKUP(A561,File!$A:$K,11,FALSE)</f>
        <v>Dec 2026</v>
      </c>
      <c r="K561" s="31" t="str">
        <f>VLOOKUP(A561,File!$A:$K,10,FALSE)</f>
        <v>In-Training</v>
      </c>
      <c r="L561" s="31" t="s">
        <v>4</v>
      </c>
      <c r="M561" t="str">
        <f>VLOOKUP(A561,Response!$A:$M,7,)</f>
        <v>PG (Paying Guest)</v>
      </c>
      <c r="N561" t="str">
        <f>VLOOKUP(A561,Response!$A:$M,8,)</f>
        <v>MSR LUXURY LADIES PG BRANCH-1, EGATTUR</v>
      </c>
      <c r="O561" s="4" t="str">
        <f>VLOOKUP(A561,Response!$A:$M,10,)</f>
        <v>GF</v>
      </c>
      <c r="P561" t="str">
        <f>VLOOKUP(A561,Response!$A:$M,12,)</f>
        <v>No</v>
      </c>
      <c r="Q561" t="str">
        <f>VLOOKUP(A561,Response!$A:$M,11,)</f>
        <v>Siruseri</v>
      </c>
      <c r="R561" t="s">
        <v>19</v>
      </c>
      <c r="S561" s="39" t="s">
        <v>37</v>
      </c>
    </row>
    <row r="562" spans="1:19">
      <c r="A562" s="3">
        <v>2511249</v>
      </c>
      <c r="B562" t="str">
        <f>VLOOKUP(A562,File!$A:$J,2,FALSE)</f>
        <v>Tumpaala Lakshmi Vaatsalya</v>
      </c>
      <c r="C562" s="29">
        <f>VLOOKUP(A562,File!$A:$J,5,FALSE)</f>
        <v>46163</v>
      </c>
      <c r="D562" s="29" t="str">
        <f>VLOOKUP(A562,File!$A:$J,3,FALSE)</f>
        <v>Female</v>
      </c>
      <c r="E562" s="29" t="str">
        <f>VLOOKUP(A562,File!$A:$J,4,FALSE)</f>
        <v>FTE</v>
      </c>
      <c r="F562" s="29" t="str">
        <f>VLOOKUP(A562,File!$A:$J,6,FALSE)</f>
        <v>Chennai</v>
      </c>
      <c r="G562" s="29" t="str">
        <f>VLOOKUP(A562,File!$A:$J,7,FALSE)</f>
        <v>CIS26MCPT010</v>
      </c>
      <c r="H562" s="29" t="str">
        <f>VLOOKUP(A562,File!$A:$J,8,FALSE)</f>
        <v>Mohamed Harish</v>
      </c>
      <c r="I562" s="31">
        <f>VLOOKUP(A562,File!$A:$J,9,FALSE)</f>
        <v>46275</v>
      </c>
      <c r="J562" s="31" t="str">
        <f>VLOOKUP(A562,File!$A:$K,11,FALSE)</f>
        <v>Sep 2026</v>
      </c>
      <c r="K562" s="31" t="str">
        <f>VLOOKUP(A562,File!$A:$K,10,FALSE)</f>
        <v>In-Training</v>
      </c>
      <c r="L562" s="31" t="s">
        <v>4</v>
      </c>
      <c r="M562" t="str">
        <f>VLOOKUP(A562,Response!$A:$M,7,)</f>
        <v>PG (Paying Guest)</v>
      </c>
      <c r="N562" t="str">
        <f>VLOOKUP(A562,Response!$A:$M,8,)</f>
        <v>MSR LUXURY LADIES PG BRANCH-3, Egattur</v>
      </c>
      <c r="O562" s="4">
        <f>VLOOKUP(A562,Response!$A:$M,10,)</f>
        <v>1</v>
      </c>
      <c r="P562" t="str">
        <f>VLOOKUP(A562,Response!$A:$M,12,)</f>
        <v>No</v>
      </c>
      <c r="Q562" t="str">
        <f>VLOOKUP(A562,Response!$A:$M,11,)</f>
        <v>Egattur</v>
      </c>
      <c r="R562" t="s">
        <v>19</v>
      </c>
      <c r="S562" s="39" t="s">
        <v>37</v>
      </c>
    </row>
    <row r="563" spans="1:19">
      <c r="A563" s="3">
        <v>2523385</v>
      </c>
      <c r="B563" t="str">
        <f>VLOOKUP(A563,File!$A:$J,2,FALSE)</f>
        <v>Aishwarya Shivappa Singaragoppa</v>
      </c>
      <c r="C563" s="29">
        <f>VLOOKUP(A563,File!$A:$J,5,FALSE)</f>
        <v>46219</v>
      </c>
      <c r="D563" s="29" t="str">
        <f>VLOOKUP(A563,File!$A:$J,3,FALSE)</f>
        <v>Female</v>
      </c>
      <c r="E563" s="29" t="str">
        <f>VLOOKUP(A563,File!$A:$J,4,FALSE)</f>
        <v>FTE</v>
      </c>
      <c r="F563" s="29" t="str">
        <f>VLOOKUP(A563,File!$A:$J,6,FALSE)</f>
        <v>Chennai</v>
      </c>
      <c r="G563" s="29" t="str">
        <f>VLOOKUP(A563,File!$A:$J,7,FALSE)</f>
        <v>CS26CS009</v>
      </c>
      <c r="H563" s="29" t="str">
        <f>VLOOKUP(A563,File!$A:$J,8,FALSE)</f>
        <v>Laksiya Vijayendran</v>
      </c>
      <c r="I563" s="31">
        <f>VLOOKUP(A563,File!$A:$J,9,FALSE)</f>
        <v>46309</v>
      </c>
      <c r="J563" s="31" t="str">
        <f>VLOOKUP(A563,File!$A:$K,11,FALSE)</f>
        <v>Oct 2026</v>
      </c>
      <c r="K563" s="31" t="str">
        <f>VLOOKUP(A563,File!$A:$K,10,FALSE)</f>
        <v>In-Training</v>
      </c>
      <c r="L563" s="31" t="s">
        <v>4</v>
      </c>
      <c r="M563" t="str">
        <f>VLOOKUP(A563,Response!$A:$M,7,)</f>
        <v>PG (Paying Guest)</v>
      </c>
      <c r="N563" t="str">
        <f>VLOOKUP(A563,Response!$A:$M,8,)</f>
        <v>MSR Luxury Ladies PG-Branch 3, Egattur</v>
      </c>
      <c r="O563" s="4">
        <f>VLOOKUP(A563,Response!$A:$M,10,)</f>
        <v>3</v>
      </c>
      <c r="P563" t="str">
        <f>VLOOKUP(A563,Response!$A:$M,12,)</f>
        <v>No</v>
      </c>
      <c r="Q563" t="str">
        <f>VLOOKUP(A563,Response!$A:$M,11,)</f>
        <v>Egattur</v>
      </c>
      <c r="R563" t="s">
        <v>19</v>
      </c>
      <c r="S563" s="39" t="s">
        <v>37</v>
      </c>
    </row>
    <row r="564" spans="1:19">
      <c r="A564" s="3">
        <v>2525058</v>
      </c>
      <c r="B564" t="str">
        <f>VLOOKUP(A564,File!$A:$J,2,FALSE)</f>
        <v>Abinaya Sivakumar</v>
      </c>
      <c r="C564" s="29">
        <f>VLOOKUP(A564,File!$A:$J,5,FALSE)</f>
        <v>46226</v>
      </c>
      <c r="D564" s="29" t="str">
        <f>VLOOKUP(A564,File!$A:$J,3,FALSE)</f>
        <v>Female</v>
      </c>
      <c r="E564" s="29" t="str">
        <f>VLOOKUP(A564,File!$A:$J,4,FALSE)</f>
        <v>FTE</v>
      </c>
      <c r="F564" s="29" t="str">
        <f>VLOOKUP(A564,File!$A:$J,6,FALSE)</f>
        <v>Chennai</v>
      </c>
      <c r="G564" s="29" t="str">
        <f>VLOOKUP(A564,File!$A:$J,7,FALSE)</f>
        <v>ADM26ISMO010</v>
      </c>
      <c r="H564" s="29" t="str">
        <f>VLOOKUP(A564,File!$A:$J,8,FALSE)</f>
        <v>Thomas Naveen. J</v>
      </c>
      <c r="I564" s="31">
        <f>VLOOKUP(A564,File!$A:$J,9,FALSE)</f>
        <v>46301</v>
      </c>
      <c r="J564" s="31" t="str">
        <f>VLOOKUP(A564,File!$A:$K,11,FALSE)</f>
        <v>Oct 2026</v>
      </c>
      <c r="K564" s="31" t="str">
        <f>VLOOKUP(A564,File!$A:$K,10,FALSE)</f>
        <v>In-Training</v>
      </c>
      <c r="L564" s="31" t="s">
        <v>4</v>
      </c>
      <c r="M564" t="str">
        <f>VLOOKUP(A564,Response!$A:$M,7,)</f>
        <v>PG (Paying Guest)</v>
      </c>
      <c r="N564" t="str">
        <f>VLOOKUP(A564,Response!$A:$M,8,)</f>
        <v>MSR Luxury PG</v>
      </c>
      <c r="O564" s="4">
        <f>VLOOKUP(A564,Response!$A:$M,10,)</f>
        <v>1</v>
      </c>
      <c r="P564" t="str">
        <f>VLOOKUP(A564,Response!$A:$M,12,)</f>
        <v>No</v>
      </c>
      <c r="Q564" t="str">
        <f>VLOOKUP(A564,Response!$A:$M,11,)</f>
        <v>Siruseri</v>
      </c>
      <c r="R564" t="s">
        <v>19</v>
      </c>
      <c r="S564" s="39" t="s">
        <v>37</v>
      </c>
    </row>
    <row r="565" spans="1:19">
      <c r="A565" s="3">
        <v>2522858</v>
      </c>
      <c r="B565" t="str">
        <f>VLOOKUP(A565,File!$A:$J,2,FALSE)</f>
        <v>Sri Hareeni G</v>
      </c>
      <c r="C565" s="29">
        <f>VLOOKUP(A565,File!$A:$J,5,FALSE)</f>
        <v>46217</v>
      </c>
      <c r="D565" s="29" t="str">
        <f>VLOOKUP(A565,File!$A:$J,3,FALSE)</f>
        <v>Female</v>
      </c>
      <c r="E565" s="29" t="str">
        <f>VLOOKUP(A565,File!$A:$J,4,FALSE)</f>
        <v>FTE</v>
      </c>
      <c r="F565" s="29" t="str">
        <f>VLOOKUP(A565,File!$A:$J,6,FALSE)</f>
        <v>Chennai</v>
      </c>
      <c r="G565" s="29" t="str">
        <f>VLOOKUP(A565,File!$A:$J,7,FALSE)</f>
        <v>CIS26MCPT017</v>
      </c>
      <c r="H565" s="29" t="str">
        <f>VLOOKUP(A565,File!$A:$J,8,FALSE)</f>
        <v>Haritha P</v>
      </c>
      <c r="I565" s="31">
        <f>VLOOKUP(A565,File!$A:$J,9,FALSE)</f>
        <v>46335</v>
      </c>
      <c r="J565" s="31" t="str">
        <f>VLOOKUP(A565,File!$A:$K,11,FALSE)</f>
        <v>Nov 2026</v>
      </c>
      <c r="K565" s="31" t="str">
        <f>VLOOKUP(A565,File!$A:$K,10,FALSE)</f>
        <v>In-Training</v>
      </c>
      <c r="L565" s="31" t="s">
        <v>4</v>
      </c>
      <c r="M565" t="str">
        <f>VLOOKUP(A565,Response!$A:$M,7,)</f>
        <v>PG (Paying Guest)</v>
      </c>
      <c r="N565" t="str">
        <f>VLOOKUP(A565,Response!$A:$M,8,)</f>
        <v>MSR Luxury PG</v>
      </c>
      <c r="O565" s="4" t="str">
        <f>VLOOKUP(A565,Response!$A:$M,10,)</f>
        <v>GF</v>
      </c>
      <c r="P565" t="str">
        <f>VLOOKUP(A565,Response!$A:$M,12,)</f>
        <v>No</v>
      </c>
      <c r="Q565" t="str">
        <f>VLOOKUP(A565,Response!$A:$M,11,)</f>
        <v>Egattur</v>
      </c>
      <c r="R565" t="s">
        <v>19</v>
      </c>
      <c r="S565" s="39" t="s">
        <v>37</v>
      </c>
    </row>
    <row r="566" spans="1:19">
      <c r="A566" s="3">
        <v>2512295</v>
      </c>
      <c r="B566" t="str">
        <f>VLOOKUP(A566,File!$A:$J,2,FALSE)</f>
        <v>Pranathi S</v>
      </c>
      <c r="C566" s="29">
        <f>VLOOKUP(A566,File!$A:$J,5,FALSE)</f>
        <v>46170</v>
      </c>
      <c r="D566" s="29" t="str">
        <f>VLOOKUP(A566,File!$A:$J,3,FALSE)</f>
        <v>Female</v>
      </c>
      <c r="E566" s="29" t="str">
        <f>VLOOKUP(A566,File!$A:$J,4,FALSE)</f>
        <v>FTE</v>
      </c>
      <c r="F566" s="29" t="str">
        <f>VLOOKUP(A566,File!$A:$J,6,FALSE)</f>
        <v>Chennai</v>
      </c>
      <c r="G566" s="29" t="str">
        <f>VLOOKUP(A566,File!$A:$J,7,FALSE)</f>
        <v>CIS26MCPT012</v>
      </c>
      <c r="H566" s="29" t="str">
        <f>VLOOKUP(A566,File!$A:$J,8,FALSE)</f>
        <v>Uma Venkatachalam</v>
      </c>
      <c r="I566" s="31">
        <f>VLOOKUP(A566,File!$A:$J,9,FALSE)</f>
        <v>46282</v>
      </c>
      <c r="J566" s="31" t="str">
        <f>VLOOKUP(A566,File!$A:$K,11,FALSE)</f>
        <v>Sep 2026</v>
      </c>
      <c r="K566" s="31" t="str">
        <f>VLOOKUP(A566,File!$A:$K,10,FALSE)</f>
        <v>In-Training</v>
      </c>
      <c r="L566" s="31" t="s">
        <v>4</v>
      </c>
      <c r="M566" t="str">
        <f>VLOOKUP(A566,Response!$A:$M,7,)</f>
        <v>PG (Paying Guest)</v>
      </c>
      <c r="N566" t="str">
        <f>VLOOKUP(A566,Response!$A:$M,8,)</f>
        <v>MSR LUXURY PG - BRANCH 1</v>
      </c>
      <c r="O566" s="4">
        <f>VLOOKUP(A566,Response!$A:$M,10,)</f>
        <v>2</v>
      </c>
      <c r="P566" t="str">
        <f>VLOOKUP(A566,Response!$A:$M,12,)</f>
        <v>No</v>
      </c>
      <c r="Q566" t="str">
        <f>VLOOKUP(A566,Response!$A:$M,11,)</f>
        <v>Siruseri</v>
      </c>
      <c r="R566" t="s">
        <v>19</v>
      </c>
      <c r="S566" s="39" t="s">
        <v>37</v>
      </c>
    </row>
    <row r="567" spans="1:19">
      <c r="A567" s="3">
        <v>2525062</v>
      </c>
      <c r="B567" t="str">
        <f>VLOOKUP(A567,File!$A:$J,2,FALSE)</f>
        <v>Kakara Nanda Mounika</v>
      </c>
      <c r="C567" s="29">
        <f>VLOOKUP(A567,File!$A:$J,5,FALSE)</f>
        <v>46226</v>
      </c>
      <c r="D567" s="29" t="str">
        <f>VLOOKUP(A567,File!$A:$J,3,FALSE)</f>
        <v>Female</v>
      </c>
      <c r="E567" s="29" t="str">
        <f>VLOOKUP(A567,File!$A:$J,4,FALSE)</f>
        <v>FTE</v>
      </c>
      <c r="F567" s="29" t="str">
        <f>VLOOKUP(A567,File!$A:$J,6,FALSE)</f>
        <v>Chennai</v>
      </c>
      <c r="G567" s="29" t="str">
        <f>VLOOKUP(A567,File!$A:$J,7,FALSE)</f>
        <v>ADM26ISMO010</v>
      </c>
      <c r="H567" s="29" t="str">
        <f>VLOOKUP(A567,File!$A:$J,8,FALSE)</f>
        <v>Thomas Naveen. J</v>
      </c>
      <c r="I567" s="31">
        <f>VLOOKUP(A567,File!$A:$J,9,FALSE)</f>
        <v>46301</v>
      </c>
      <c r="J567" s="31" t="str">
        <f>VLOOKUP(A567,File!$A:$K,11,FALSE)</f>
        <v>Oct 2026</v>
      </c>
      <c r="K567" s="31" t="str">
        <f>VLOOKUP(A567,File!$A:$K,10,FALSE)</f>
        <v>In-Training</v>
      </c>
      <c r="L567" s="31" t="s">
        <v>4</v>
      </c>
      <c r="M567" t="str">
        <f>VLOOKUP(A567,Response!$A:$M,7,)</f>
        <v>Hostel</v>
      </c>
      <c r="N567" t="str">
        <f>VLOOKUP(A567,Response!$A:$M,8,)</f>
        <v>MSR LADIES PG - Branch 1, Egattu</v>
      </c>
      <c r="O567" s="4" t="str">
        <f>VLOOKUP(A567,Response!$A:$M,10,)</f>
        <v>GF</v>
      </c>
      <c r="P567" t="str">
        <f>VLOOKUP(A567,Response!$A:$M,12,)</f>
        <v>No</v>
      </c>
      <c r="Q567" t="str">
        <f>VLOOKUP(A567,Response!$A:$M,11,)</f>
        <v>Egattur</v>
      </c>
      <c r="R567" t="s">
        <v>19</v>
      </c>
      <c r="S567" s="39" t="s">
        <v>37</v>
      </c>
    </row>
    <row r="568" spans="1:19">
      <c r="A568" s="3">
        <v>2529560</v>
      </c>
      <c r="B568" t="str">
        <f>VLOOKUP(A568,File!$A:$J,2,FALSE)</f>
        <v>Sandhya Illingi</v>
      </c>
      <c r="C568" s="29">
        <f>VLOOKUP(A568,File!$A:$J,5,FALSE)</f>
        <v>46245</v>
      </c>
      <c r="D568" s="29" t="str">
        <f>VLOOKUP(A568,File!$A:$J,3,FALSE)</f>
        <v>Female</v>
      </c>
      <c r="E568" s="29" t="str">
        <f>VLOOKUP(A568,File!$A:$J,4,FALSE)</f>
        <v>FTE</v>
      </c>
      <c r="F568" s="29" t="str">
        <f>VLOOKUP(A568,File!$A:$J,6,FALSE)</f>
        <v>Chennai</v>
      </c>
      <c r="G568" s="29" t="str">
        <f>VLOOKUP(A568,File!$A:$J,7,FALSE)</f>
        <v>CIS26MCPT026</v>
      </c>
      <c r="H568" s="29" t="str">
        <f>VLOOKUP(A568,File!$A:$J,8,FALSE)</f>
        <v>Mohamed Harish</v>
      </c>
      <c r="I568" s="31">
        <f>VLOOKUP(A568,File!$A:$J,9,FALSE)</f>
        <v>46364</v>
      </c>
      <c r="J568" s="31" t="str">
        <f>VLOOKUP(A568,File!$A:$K,11,FALSE)</f>
        <v>Dec 2026</v>
      </c>
      <c r="K568" s="31" t="str">
        <f>VLOOKUP(A568,File!$A:$K,10,FALSE)</f>
        <v>In-Training</v>
      </c>
      <c r="L568" s="31" t="s">
        <v>4</v>
      </c>
      <c r="M568" t="str">
        <f>VLOOKUP(A568,Response!$A:$M,7,)</f>
        <v>Hostel</v>
      </c>
      <c r="N568" t="str">
        <f>VLOOKUP(A568,Response!$A:$M,8,)</f>
        <v>MSR Luxury PG - Branch 2, A/31, Egattur</v>
      </c>
      <c r="O568" s="4">
        <f>VLOOKUP(A568,Response!$A:$M,10,)</f>
        <v>1</v>
      </c>
      <c r="P568" t="str">
        <f>VLOOKUP(A568,Response!$A:$M,12,)</f>
        <v>No</v>
      </c>
      <c r="Q568" t="str">
        <f>VLOOKUP(A568,Response!$A:$M,11,)</f>
        <v>Siruseri</v>
      </c>
      <c r="R568" t="s">
        <v>19</v>
      </c>
      <c r="S568" s="39" t="s">
        <v>37</v>
      </c>
    </row>
    <row r="569" spans="1:19">
      <c r="A569" s="3">
        <v>2521749</v>
      </c>
      <c r="B569" t="str">
        <f>VLOOKUP(A569,File!$A:$J,2,FALSE)</f>
        <v>Lakshamithra S A B</v>
      </c>
      <c r="C569" s="29">
        <f>VLOOKUP(A569,File!$A:$J,5,FALSE)</f>
        <v>46212</v>
      </c>
      <c r="D569" s="29" t="str">
        <f>VLOOKUP(A569,File!$A:$J,3,FALSE)</f>
        <v>Female</v>
      </c>
      <c r="E569" s="29" t="str">
        <f>VLOOKUP(A569,File!$A:$J,4,FALSE)</f>
        <v>FTE</v>
      </c>
      <c r="F569" s="29" t="str">
        <f>VLOOKUP(A569,File!$A:$J,6,FALSE)</f>
        <v>Chennai</v>
      </c>
      <c r="G569" s="29" t="str">
        <f>VLOOKUP(A569,File!$A:$J,7,FALSE)</f>
        <v>QEA26NFTPA001</v>
      </c>
      <c r="H569" s="29" t="str">
        <f>VLOOKUP(A569,File!$A:$J,8,FALSE)</f>
        <v>Lourdhu Selvin Raj X</v>
      </c>
      <c r="I569" s="31">
        <f>VLOOKUP(A569,File!$A:$J,9,FALSE)</f>
        <v>46337</v>
      </c>
      <c r="J569" s="31" t="str">
        <f>VLOOKUP(A569,File!$A:$K,11,FALSE)</f>
        <v>Nov 2026</v>
      </c>
      <c r="K569" s="31" t="str">
        <f>VLOOKUP(A569,File!$A:$K,10,FALSE)</f>
        <v>In-Training</v>
      </c>
      <c r="L569" s="31" t="s">
        <v>4</v>
      </c>
      <c r="M569" t="str">
        <f>VLOOKUP(A569,Response!$A:$M,7,)</f>
        <v>PG (Paying Guest)</v>
      </c>
      <c r="N569" t="str">
        <f>VLOOKUP(A569,Response!$A:$M,8,)</f>
        <v>MSR Luxury PG - Branch 2, Egatur</v>
      </c>
      <c r="O569" s="4">
        <f>VLOOKUP(A569,Response!$A:$M,10,)</f>
        <v>2</v>
      </c>
      <c r="P569" t="str">
        <f>VLOOKUP(A569,Response!$A:$M,12,)</f>
        <v>No</v>
      </c>
      <c r="Q569" t="str">
        <f>VLOOKUP(A569,Response!$A:$M,11,)</f>
        <v>Egattur</v>
      </c>
      <c r="R569" t="s">
        <v>19</v>
      </c>
      <c r="S569" s="39" t="s">
        <v>37</v>
      </c>
    </row>
    <row r="570" spans="1:19">
      <c r="A570" s="3">
        <v>2512314</v>
      </c>
      <c r="B570" t="str">
        <f>VLOOKUP(A570,File!$A:$J,2,FALSE)</f>
        <v>Priya P</v>
      </c>
      <c r="C570" s="29">
        <f>VLOOKUP(A570,File!$A:$J,5,FALSE)</f>
        <v>46170</v>
      </c>
      <c r="D570" s="29" t="str">
        <f>VLOOKUP(A570,File!$A:$J,3,FALSE)</f>
        <v>Female</v>
      </c>
      <c r="E570" s="29" t="str">
        <f>VLOOKUP(A570,File!$A:$J,4,FALSE)</f>
        <v>FTE</v>
      </c>
      <c r="F570" s="29" t="str">
        <f>VLOOKUP(A570,File!$A:$J,6,FALSE)</f>
        <v>Chennai</v>
      </c>
      <c r="G570" s="29" t="str">
        <f>VLOOKUP(A570,File!$A:$J,7,FALSE)</f>
        <v>CIS26MCPT011</v>
      </c>
      <c r="H570" s="29" t="str">
        <f>VLOOKUP(A570,File!$A:$J,8,FALSE)</f>
        <v>Uma Venkatachalam</v>
      </c>
      <c r="I570" s="31">
        <f>VLOOKUP(A570,File!$A:$J,9,FALSE)</f>
        <v>46282</v>
      </c>
      <c r="J570" s="31" t="str">
        <f>VLOOKUP(A570,File!$A:$K,11,FALSE)</f>
        <v>Sep 2026</v>
      </c>
      <c r="K570" s="31" t="str">
        <f>VLOOKUP(A570,File!$A:$K,10,FALSE)</f>
        <v>In-Training</v>
      </c>
      <c r="L570" s="31" t="s">
        <v>4</v>
      </c>
      <c r="M570" t="str">
        <f>VLOOKUP(A570,Response!$A:$M,7,)</f>
        <v>PG (Paying Guest)</v>
      </c>
      <c r="N570" t="str">
        <f>VLOOKUP(A570,Response!$A:$M,8,)</f>
        <v>MSR Luxury PG Branch 1</v>
      </c>
      <c r="O570" s="4">
        <f>VLOOKUP(A570,Response!$A:$M,10,)</f>
        <v>2</v>
      </c>
      <c r="P570" t="str">
        <f>VLOOKUP(A570,Response!$A:$M,12,)</f>
        <v>No</v>
      </c>
      <c r="Q570" t="str">
        <f>VLOOKUP(A570,Response!$A:$M,11,)</f>
        <v>Siruseri</v>
      </c>
      <c r="R570" t="s">
        <v>19</v>
      </c>
      <c r="S570" s="39" t="s">
        <v>37</v>
      </c>
    </row>
    <row r="571" spans="1:19">
      <c r="A571" s="3">
        <v>2511225</v>
      </c>
      <c r="B571" t="str">
        <f>VLOOKUP(A571,File!$A:$J,2,FALSE)</f>
        <v>Chinmayi H P</v>
      </c>
      <c r="C571" s="29">
        <f>VLOOKUP(A571,File!$A:$J,5,FALSE)</f>
        <v>46163</v>
      </c>
      <c r="D571" s="29" t="str">
        <f>VLOOKUP(A571,File!$A:$J,3,FALSE)</f>
        <v>Female</v>
      </c>
      <c r="E571" s="29" t="str">
        <f>VLOOKUP(A571,File!$A:$J,4,FALSE)</f>
        <v>FTE</v>
      </c>
      <c r="F571" s="29" t="str">
        <f>VLOOKUP(A571,File!$A:$J,6,FALSE)</f>
        <v>Chennai</v>
      </c>
      <c r="G571" s="29" t="str">
        <f>VLOOKUP(A571,File!$A:$J,7,FALSE)</f>
        <v>CIS26MCPT010</v>
      </c>
      <c r="H571" s="29" t="str">
        <f>VLOOKUP(A571,File!$A:$J,8,FALSE)</f>
        <v>Mohamed Harish</v>
      </c>
      <c r="I571" s="31">
        <f>VLOOKUP(A571,File!$A:$J,9,FALSE)</f>
        <v>46275</v>
      </c>
      <c r="J571" s="31" t="str">
        <f>VLOOKUP(A571,File!$A:$K,11,FALSE)</f>
        <v>Sep 2026</v>
      </c>
      <c r="K571" s="31" t="str">
        <f>VLOOKUP(A571,File!$A:$K,10,FALSE)</f>
        <v>In-Training</v>
      </c>
      <c r="L571" s="31" t="s">
        <v>4</v>
      </c>
      <c r="M571" t="str">
        <f>VLOOKUP(A571,Response!$A:$M,7,)</f>
        <v>PG (Paying Guest)</v>
      </c>
      <c r="N571" t="str">
        <f>VLOOKUP(A571,Response!$A:$M,8,)</f>
        <v>MSR LUXURY PG BRANCH 2</v>
      </c>
      <c r="O571" s="4" t="str">
        <f>VLOOKUP(A571,Response!$A:$M,10,)</f>
        <v>GF</v>
      </c>
      <c r="P571" t="str">
        <f>VLOOKUP(A571,Response!$A:$M,12,)</f>
        <v>Yes</v>
      </c>
      <c r="Q571" t="str">
        <f>VLOOKUP(A571,Response!$A:$M,11,)</f>
        <v>Siruseri</v>
      </c>
      <c r="R571" t="s">
        <v>19</v>
      </c>
      <c r="S571" s="39" t="s">
        <v>37</v>
      </c>
    </row>
    <row r="572" spans="1:19">
      <c r="A572" s="3">
        <v>2511314</v>
      </c>
      <c r="B572" t="str">
        <f>VLOOKUP(A572,File!$A:$J,2,FALSE)</f>
        <v>Harshavarthini S</v>
      </c>
      <c r="C572" s="29">
        <f>VLOOKUP(A572,File!$A:$J,5,FALSE)</f>
        <v>46163</v>
      </c>
      <c r="D572" s="29" t="str">
        <f>VLOOKUP(A572,File!$A:$J,3,FALSE)</f>
        <v>Female</v>
      </c>
      <c r="E572" s="29" t="str">
        <f>VLOOKUP(A572,File!$A:$J,4,FALSE)</f>
        <v>FTE</v>
      </c>
      <c r="F572" s="29" t="str">
        <f>VLOOKUP(A572,File!$A:$J,6,FALSE)</f>
        <v>Chennai</v>
      </c>
      <c r="G572" s="29" t="str">
        <f>VLOOKUP(A572,File!$A:$J,7,FALSE)</f>
        <v>CIS26MCPT010</v>
      </c>
      <c r="H572" s="29" t="str">
        <f>VLOOKUP(A572,File!$A:$J,8,FALSE)</f>
        <v>Mohamed Harish</v>
      </c>
      <c r="I572" s="31">
        <f>VLOOKUP(A572,File!$A:$J,9,FALSE)</f>
        <v>46280</v>
      </c>
      <c r="J572" s="31" t="str">
        <f>VLOOKUP(A572,File!$A:$K,11,FALSE)</f>
        <v>Sep 2026</v>
      </c>
      <c r="K572" s="31" t="str">
        <f>VLOOKUP(A572,File!$A:$K,10,FALSE)</f>
        <v>In-Training</v>
      </c>
      <c r="L572" s="31" t="s">
        <v>4</v>
      </c>
      <c r="M572" t="str">
        <f>VLOOKUP(A572,Response!$A:$M,7,)</f>
        <v>PG (Paying Guest)</v>
      </c>
      <c r="N572" t="str">
        <f>VLOOKUP(A572,Response!$A:$M,8,)</f>
        <v>MSR LUXURY PG BRANCH 3</v>
      </c>
      <c r="O572" s="4">
        <f>VLOOKUP(A572,Response!$A:$M,10,)</f>
        <v>4</v>
      </c>
      <c r="P572" t="str">
        <f>VLOOKUP(A572,Response!$A:$M,12,)</f>
        <v>No</v>
      </c>
      <c r="Q572" t="str">
        <f>VLOOKUP(A572,Response!$A:$M,11,)</f>
        <v>Siruseri</v>
      </c>
      <c r="R572" t="s">
        <v>19</v>
      </c>
      <c r="S572" s="39" t="s">
        <v>37</v>
      </c>
    </row>
    <row r="573" spans="1:19">
      <c r="A573" s="3">
        <v>2531281</v>
      </c>
      <c r="B573" t="str">
        <f>VLOOKUP(A573,File!$A:$J,2,FALSE)</f>
        <v>Sudha B</v>
      </c>
      <c r="C573" s="29">
        <f>VLOOKUP(A573,File!$A:$J,5,FALSE)</f>
        <v>46252</v>
      </c>
      <c r="D573" s="29" t="str">
        <f>VLOOKUP(A573,File!$A:$J,3,FALSE)</f>
        <v>Female</v>
      </c>
      <c r="E573" s="29" t="str">
        <f>VLOOKUP(A573,File!$A:$J,4,FALSE)</f>
        <v>FTE</v>
      </c>
      <c r="F573" s="29" t="str">
        <f>VLOOKUP(A573,File!$A:$J,6,FALSE)</f>
        <v>Chennai</v>
      </c>
      <c r="G573" s="29" t="str">
        <f>VLOOKUP(A573,File!$A:$J,7,FALSE)</f>
        <v>EPS26SAP033</v>
      </c>
      <c r="H573" s="29" t="str">
        <f>VLOOKUP(A573,File!$A:$J,8,FALSE)</f>
        <v>Ajith Ganesan</v>
      </c>
      <c r="I573" s="31">
        <f>VLOOKUP(A573,File!$A:$J,9,FALSE)</f>
        <v>46330</v>
      </c>
      <c r="J573" s="31" t="str">
        <f>VLOOKUP(A573,File!$A:$K,11,FALSE)</f>
        <v>Nov 2026</v>
      </c>
      <c r="K573" s="31" t="str">
        <f>VLOOKUP(A573,File!$A:$K,10,FALSE)</f>
        <v>In-Training</v>
      </c>
      <c r="L573" s="31" t="s">
        <v>4</v>
      </c>
      <c r="M573" t="str">
        <f>VLOOKUP(A573,Response!$A:$M,7,)</f>
        <v>PG (Paying Guest)</v>
      </c>
      <c r="N573" t="str">
        <f>VLOOKUP(A573,Response!$A:$M,8,)</f>
        <v>MSR LUXURY PG -BRANCH 3,SIRU SERI</v>
      </c>
      <c r="O573" s="4">
        <f>VLOOKUP(A573,Response!$A:$M,10,)</f>
        <v>3</v>
      </c>
      <c r="P573" t="str">
        <f>VLOOKUP(A573,Response!$A:$M,12,)</f>
        <v>Yes</v>
      </c>
      <c r="Q573" t="str">
        <f>VLOOKUP(A573,Response!$A:$M,11,)</f>
        <v>Siruseri</v>
      </c>
      <c r="R573" t="s">
        <v>19</v>
      </c>
      <c r="S573" s="39" t="s">
        <v>37</v>
      </c>
    </row>
    <row r="574" spans="1:19">
      <c r="A574" s="3">
        <v>2533014</v>
      </c>
      <c r="B574" t="str">
        <f>VLOOKUP(A574,File!$A:$J,2,FALSE)</f>
        <v>Gunasundhari N</v>
      </c>
      <c r="C574" s="29">
        <f>VLOOKUP(A574,File!$A:$J,5,FALSE)</f>
        <v>46259</v>
      </c>
      <c r="D574" s="29" t="str">
        <f>VLOOKUP(A574,File!$A:$J,3,FALSE)</f>
        <v>Female</v>
      </c>
      <c r="E574" s="29" t="str">
        <f>VLOOKUP(A574,File!$A:$J,4,FALSE)</f>
        <v>FTE</v>
      </c>
      <c r="F574" s="29" t="str">
        <f>VLOOKUP(A574,File!$A:$J,6,FALSE)</f>
        <v>Chennai</v>
      </c>
      <c r="G574" s="29" t="str">
        <f>VLOOKUP(A574,File!$A:$J,7,FALSE)</f>
        <v>ADM27DFSA001</v>
      </c>
      <c r="H574" s="29" t="str">
        <f>VLOOKUP(A574,File!$A:$J,8,FALSE)</f>
        <v>Thomas Naveen. J</v>
      </c>
      <c r="I574" s="31">
        <f>VLOOKUP(A574,File!$A:$J,9,FALSE)</f>
        <v>46386</v>
      </c>
      <c r="J574" s="31" t="str">
        <f>VLOOKUP(A574,File!$A:$K,11,FALSE)</f>
        <v>Dec 2026</v>
      </c>
      <c r="K574" s="31" t="str">
        <f>VLOOKUP(A574,File!$A:$K,10,FALSE)</f>
        <v>In-Training</v>
      </c>
      <c r="L574" s="31" t="s">
        <v>4</v>
      </c>
      <c r="M574" t="str">
        <f>VLOOKUP(A574,Response!$A:$M,7,)</f>
        <v>PG (Paying Guest)</v>
      </c>
      <c r="N574" t="str">
        <f>VLOOKUP(A574,Response!$A:$M,8,)</f>
        <v>MSR LUXURY PG BRANCH III, GANGAI AMMAN KOIL STREET, OMR, EGATTUR, SIRUSERI, CHENNAI-600130</v>
      </c>
      <c r="O574" s="4" t="str">
        <f>VLOOKUP(A574,Response!$A:$M,10,)</f>
        <v>GF</v>
      </c>
      <c r="P574" t="str">
        <f>VLOOKUP(A574,Response!$A:$M,12,)</f>
        <v>No</v>
      </c>
      <c r="Q574" t="str">
        <f>VLOOKUP(A574,Response!$A:$M,11,)</f>
        <v>Egattur</v>
      </c>
      <c r="R574" t="s">
        <v>19</v>
      </c>
      <c r="S574" s="39" t="s">
        <v>37</v>
      </c>
    </row>
    <row r="575" spans="1:19">
      <c r="A575" s="3">
        <v>2532976</v>
      </c>
      <c r="B575" t="str">
        <f>VLOOKUP(A575,File!$A:$J,2,FALSE)</f>
        <v>Kolli Mounika</v>
      </c>
      <c r="C575" s="29">
        <f>VLOOKUP(A575,File!$A:$J,5,FALSE)</f>
        <v>46259</v>
      </c>
      <c r="D575" s="29" t="str">
        <f>VLOOKUP(A575,File!$A:$J,3,FALSE)</f>
        <v>Female</v>
      </c>
      <c r="E575" s="29" t="str">
        <f>VLOOKUP(A575,File!$A:$J,4,FALSE)</f>
        <v>FTE</v>
      </c>
      <c r="F575" s="29" t="str">
        <f>VLOOKUP(A575,File!$A:$J,6,FALSE)</f>
        <v>Chennai</v>
      </c>
      <c r="G575" s="29" t="str">
        <f>VLOOKUP(A575,File!$A:$J,7,FALSE)</f>
        <v>CIS26MBG005</v>
      </c>
      <c r="H575" s="29" t="str">
        <f>VLOOKUP(A575,File!$A:$J,8,FALSE)</f>
        <v>Angel Maria Faustina Gomez</v>
      </c>
      <c r="I575" s="31">
        <f>VLOOKUP(A575,File!$A:$J,9,FALSE)</f>
        <v>46367</v>
      </c>
      <c r="J575" s="31" t="str">
        <f>VLOOKUP(A575,File!$A:$K,11,FALSE)</f>
        <v>Dec 2026</v>
      </c>
      <c r="K575" s="31" t="str">
        <f>VLOOKUP(A575,File!$A:$K,10,FALSE)</f>
        <v>In-Training</v>
      </c>
      <c r="L575" s="31" t="s">
        <v>4</v>
      </c>
      <c r="M575" t="str">
        <f>VLOOKUP(A575,Response!$A:$M,7,)</f>
        <v>PG (Paying Guest)</v>
      </c>
      <c r="N575" t="str">
        <f>VLOOKUP(A575,Response!$A:$M,8,)</f>
        <v>MSR Luxury PG for Ladies</v>
      </c>
      <c r="O575" s="4">
        <f>VLOOKUP(A575,Response!$A:$M,10,)</f>
        <v>1</v>
      </c>
      <c r="P575" t="str">
        <f>VLOOKUP(A575,Response!$A:$M,12,)</f>
        <v>No</v>
      </c>
      <c r="Q575" t="str">
        <f>VLOOKUP(A575,Response!$A:$M,11,)</f>
        <v>Egattur</v>
      </c>
      <c r="R575" t="s">
        <v>19</v>
      </c>
      <c r="S575" s="39" t="s">
        <v>37</v>
      </c>
    </row>
    <row r="576" spans="1:19">
      <c r="A576" s="3">
        <v>2521266</v>
      </c>
      <c r="B576" t="str">
        <f>VLOOKUP(A576,File!$A:$J,2,FALSE)</f>
        <v>Perumalla Harshitha</v>
      </c>
      <c r="C576" s="29">
        <f>VLOOKUP(A576,File!$A:$J,5,FALSE)</f>
        <v>46210</v>
      </c>
      <c r="D576" s="29" t="str">
        <f>VLOOKUP(A576,File!$A:$J,3,FALSE)</f>
        <v>Female</v>
      </c>
      <c r="E576" s="29" t="str">
        <f>VLOOKUP(A576,File!$A:$J,4,FALSE)</f>
        <v>FTE</v>
      </c>
      <c r="F576" s="29" t="str">
        <f>VLOOKUP(A576,File!$A:$J,6,FALSE)</f>
        <v>Chennai</v>
      </c>
      <c r="G576" s="29" t="str">
        <f>VLOOKUP(A576,File!$A:$J,7,FALSE)</f>
        <v>CS26CS006</v>
      </c>
      <c r="H576" s="29" t="str">
        <f>VLOOKUP(A576,File!$A:$J,8,FALSE)</f>
        <v>Lawrance M</v>
      </c>
      <c r="I576" s="31">
        <f>VLOOKUP(A576,File!$A:$J,9,FALSE)</f>
        <v>46269</v>
      </c>
      <c r="J576" s="31" t="str">
        <f>VLOOKUP(A576,File!$A:$K,11,FALSE)</f>
        <v>Sep 2026</v>
      </c>
      <c r="K576" s="31" t="str">
        <f>VLOOKUP(A576,File!$A:$K,10,FALSE)</f>
        <v>In-Training</v>
      </c>
      <c r="L576" s="31" t="s">
        <v>4</v>
      </c>
      <c r="M576" t="str">
        <f>VLOOKUP(A576,Response!$A:$M,7,)</f>
        <v>PG (Paying Guest)</v>
      </c>
      <c r="N576" t="str">
        <f>VLOOKUP(A576,Response!$A:$M,8,)</f>
        <v xml:space="preserve">MSR Luxury PG for Ladies </v>
      </c>
      <c r="O576" s="4">
        <f>VLOOKUP(A576,Response!$A:$M,10,)</f>
        <v>3</v>
      </c>
      <c r="P576" t="str">
        <f>VLOOKUP(A576,Response!$A:$M,12,)</f>
        <v>No</v>
      </c>
      <c r="Q576" t="str">
        <f>VLOOKUP(A576,Response!$A:$M,11,)</f>
        <v>Siruseri</v>
      </c>
      <c r="R576" t="s">
        <v>19</v>
      </c>
      <c r="S576" s="39" t="s">
        <v>37</v>
      </c>
    </row>
    <row r="577" spans="1:19">
      <c r="A577" s="3">
        <v>2521047</v>
      </c>
      <c r="B577" t="str">
        <f>VLOOKUP(A577,File!$A:$J,2,FALSE)</f>
        <v>Kaviya P</v>
      </c>
      <c r="C577" s="29">
        <f>VLOOKUP(A577,File!$A:$J,5,FALSE)</f>
        <v>46210</v>
      </c>
      <c r="D577" s="29" t="str">
        <f>VLOOKUP(A577,File!$A:$J,3,FALSE)</f>
        <v>Female</v>
      </c>
      <c r="E577" s="29" t="str">
        <f>VLOOKUP(A577,File!$A:$J,4,FALSE)</f>
        <v>FTE</v>
      </c>
      <c r="F577" s="29" t="str">
        <f>VLOOKUP(A577,File!$A:$J,6,FALSE)</f>
        <v>Chennai</v>
      </c>
      <c r="G577" s="29" t="str">
        <f>VLOOKUP(A577,File!$A:$J,7,FALSE)</f>
        <v>CS26CS007</v>
      </c>
      <c r="H577" s="29" t="str">
        <f>VLOOKUP(A577,File!$A:$J,8,FALSE)</f>
        <v>Lawrance M</v>
      </c>
      <c r="I577" s="31">
        <f>VLOOKUP(A577,File!$A:$J,9,FALSE)</f>
        <v>46272</v>
      </c>
      <c r="J577" s="31" t="str">
        <f>VLOOKUP(A577,File!$A:$K,11,FALSE)</f>
        <v>Sep 2026</v>
      </c>
      <c r="K577" s="31" t="str">
        <f>VLOOKUP(A577,File!$A:$K,10,FALSE)</f>
        <v>In-Training</v>
      </c>
      <c r="L577" s="31" t="s">
        <v>4</v>
      </c>
      <c r="M577" t="str">
        <f>VLOOKUP(A577,Response!$A:$M,7,)</f>
        <v>PG (Paying Guest)</v>
      </c>
      <c r="N577" t="str">
        <f>VLOOKUP(A577,Response!$A:$M,8,)</f>
        <v>MSR Luxury PG for Ladies - Branch 1</v>
      </c>
      <c r="O577" s="4" t="str">
        <f>VLOOKUP(A577,Response!$A:$M,10,)</f>
        <v>GF</v>
      </c>
      <c r="P577" t="str">
        <f>VLOOKUP(A577,Response!$A:$M,12,)</f>
        <v>No</v>
      </c>
      <c r="Q577" t="str">
        <f>VLOOKUP(A577,Response!$A:$M,11,)</f>
        <v>Egattur</v>
      </c>
      <c r="R577" t="s">
        <v>19</v>
      </c>
      <c r="S577" s="39" t="s">
        <v>37</v>
      </c>
    </row>
    <row r="578" spans="1:19">
      <c r="A578" s="3">
        <v>2521037</v>
      </c>
      <c r="B578" t="str">
        <f>VLOOKUP(A578,File!$A:$J,2,FALSE)</f>
        <v>Srimathidevi Palanisamy</v>
      </c>
      <c r="C578" s="29">
        <f>VLOOKUP(A578,File!$A:$J,5,FALSE)</f>
        <v>46210</v>
      </c>
      <c r="D578" s="29" t="str">
        <f>VLOOKUP(A578,File!$A:$J,3,FALSE)</f>
        <v>Female</v>
      </c>
      <c r="E578" s="29" t="str">
        <f>VLOOKUP(A578,File!$A:$J,4,FALSE)</f>
        <v>FTE</v>
      </c>
      <c r="F578" s="29" t="str">
        <f>VLOOKUP(A578,File!$A:$J,6,FALSE)</f>
        <v>Chennai</v>
      </c>
      <c r="G578" s="29" t="str">
        <f>VLOOKUP(A578,File!$A:$J,7,FALSE)</f>
        <v>CIS26SN001</v>
      </c>
      <c r="H578" s="29" t="str">
        <f>VLOOKUP(A578,File!$A:$J,8,FALSE)</f>
        <v>Ashiya Begam S</v>
      </c>
      <c r="I578" s="31">
        <f>VLOOKUP(A578,File!$A:$J,9,FALSE)</f>
        <v>46303</v>
      </c>
      <c r="J578" s="31" t="str">
        <f>VLOOKUP(A578,File!$A:$K,11,FALSE)</f>
        <v>Oct 2026</v>
      </c>
      <c r="K578" s="31" t="str">
        <f>VLOOKUP(A578,File!$A:$K,10,FALSE)</f>
        <v>In-Training</v>
      </c>
      <c r="L578" s="31" t="s">
        <v>4</v>
      </c>
      <c r="M578" t="str">
        <f>VLOOKUP(A578,Response!$A:$M,7,)</f>
        <v>PG (Paying Guest)</v>
      </c>
      <c r="N578" t="str">
        <f>VLOOKUP(A578,Response!$A:$M,8,)</f>
        <v>MSR Luxury PG for Ladies - Branch 1, Egattur</v>
      </c>
      <c r="O578" s="4" t="str">
        <f>VLOOKUP(A578,Response!$A:$M,10,)</f>
        <v>GF</v>
      </c>
      <c r="P578" t="str">
        <f>VLOOKUP(A578,Response!$A:$M,12,)</f>
        <v>No</v>
      </c>
      <c r="Q578" t="str">
        <f>VLOOKUP(A578,Response!$A:$M,11,)</f>
        <v>Egattur</v>
      </c>
      <c r="R578" t="s">
        <v>19</v>
      </c>
      <c r="S578" s="39" t="s">
        <v>37</v>
      </c>
    </row>
    <row r="579" spans="1:19">
      <c r="A579" s="3">
        <v>2521038</v>
      </c>
      <c r="B579" t="str">
        <f>VLOOKUP(A579,File!$A:$J,2,FALSE)</f>
        <v>Santhiya Subramaniam</v>
      </c>
      <c r="C579" s="29">
        <f>VLOOKUP(A579,File!$A:$J,5,FALSE)</f>
        <v>46210</v>
      </c>
      <c r="D579" s="29" t="str">
        <f>VLOOKUP(A579,File!$A:$J,3,FALSE)</f>
        <v>Female</v>
      </c>
      <c r="E579" s="29" t="str">
        <f>VLOOKUP(A579,File!$A:$J,4,FALSE)</f>
        <v>FTE</v>
      </c>
      <c r="F579" s="29" t="str">
        <f>VLOOKUP(A579,File!$A:$J,6,FALSE)</f>
        <v>Chennai</v>
      </c>
      <c r="G579" s="29" t="str">
        <f>VLOOKUP(A579,File!$A:$J,7,FALSE)</f>
        <v>CIS26SN001</v>
      </c>
      <c r="H579" s="29" t="str">
        <f>VLOOKUP(A579,File!$A:$J,8,FALSE)</f>
        <v>Ashiya Begam S</v>
      </c>
      <c r="I579" s="31">
        <f>VLOOKUP(A579,File!$A:$J,9,FALSE)</f>
        <v>46303</v>
      </c>
      <c r="J579" s="31" t="str">
        <f>VLOOKUP(A579,File!$A:$K,11,FALSE)</f>
        <v>Oct 2026</v>
      </c>
      <c r="K579" s="31" t="str">
        <f>VLOOKUP(A579,File!$A:$K,10,FALSE)</f>
        <v>In-Training</v>
      </c>
      <c r="L579" s="31" t="s">
        <v>4</v>
      </c>
      <c r="M579" t="str">
        <f>VLOOKUP(A579,Response!$A:$M,7,)</f>
        <v>PG (Paying Guest)</v>
      </c>
      <c r="N579" t="str">
        <f>VLOOKUP(A579,Response!$A:$M,8,)</f>
        <v>MSR LUXURY PG FOR LADIES - Branch 1, Egattur</v>
      </c>
      <c r="O579" s="4" t="str">
        <f>VLOOKUP(A579,Response!$A:$M,10,)</f>
        <v>GF</v>
      </c>
      <c r="P579" t="str">
        <f>VLOOKUP(A579,Response!$A:$M,12,)</f>
        <v>No</v>
      </c>
      <c r="Q579" t="str">
        <f>VLOOKUP(A579,Response!$A:$M,11,)</f>
        <v>Egattur</v>
      </c>
      <c r="R579" t="s">
        <v>19</v>
      </c>
      <c r="S579" s="39" t="s">
        <v>37</v>
      </c>
    </row>
    <row r="580" spans="1:19">
      <c r="A580" s="3">
        <v>2529535</v>
      </c>
      <c r="B580" t="str">
        <f>VLOOKUP(A580,File!$A:$J,2,FALSE)</f>
        <v>Nasika Parvin Raja Mohamed</v>
      </c>
      <c r="C580" s="29">
        <f>VLOOKUP(A580,File!$A:$J,5,FALSE)</f>
        <v>46245</v>
      </c>
      <c r="D580" s="29" t="str">
        <f>VLOOKUP(A580,File!$A:$J,3,FALSE)</f>
        <v>Female</v>
      </c>
      <c r="E580" s="29" t="str">
        <f>VLOOKUP(A580,File!$A:$J,4,FALSE)</f>
        <v>FTE</v>
      </c>
      <c r="F580" s="29" t="str">
        <f>VLOOKUP(A580,File!$A:$J,6,FALSE)</f>
        <v>Chennai</v>
      </c>
      <c r="G580" s="29" t="str">
        <f>VLOOKUP(A580,File!$A:$J,7,FALSE)</f>
        <v>CIS26MCPT025</v>
      </c>
      <c r="H580" s="29" t="str">
        <f>VLOOKUP(A580,File!$A:$J,8,FALSE)</f>
        <v>Vignesh S</v>
      </c>
      <c r="I580" s="31">
        <f>VLOOKUP(A580,File!$A:$J,9,FALSE)</f>
        <v>46359</v>
      </c>
      <c r="J580" s="31" t="str">
        <f>VLOOKUP(A580,File!$A:$K,11,FALSE)</f>
        <v>Dec 2026</v>
      </c>
      <c r="K580" s="31" t="str">
        <f>VLOOKUP(A580,File!$A:$K,10,FALSE)</f>
        <v>In-Training</v>
      </c>
      <c r="L580" s="31" t="s">
        <v>4</v>
      </c>
      <c r="M580" t="str">
        <f>VLOOKUP(A580,Response!$A:$M,7,)</f>
        <v>PG (Paying Guest)</v>
      </c>
      <c r="N580" t="str">
        <f>VLOOKUP(A580,Response!$A:$M,8,)</f>
        <v>MSR Luxury PG for Ladies - Branch 1, Egattur</v>
      </c>
      <c r="O580" s="4" t="str">
        <f>VLOOKUP(A580,Response!$A:$M,10,)</f>
        <v>GF</v>
      </c>
      <c r="P580" t="str">
        <f>VLOOKUP(A580,Response!$A:$M,12,)</f>
        <v>Yes</v>
      </c>
      <c r="Q580" t="str">
        <f>VLOOKUP(A580,Response!$A:$M,11,)</f>
        <v>Siruseri</v>
      </c>
      <c r="R580" t="s">
        <v>19</v>
      </c>
      <c r="S580" s="39" t="s">
        <v>37</v>
      </c>
    </row>
    <row r="581" spans="1:19">
      <c r="A581" s="3">
        <v>2531840</v>
      </c>
      <c r="B581" t="str">
        <f>VLOOKUP(A581,File!$A:$J,2,FALSE)</f>
        <v>Aishwarya Appasaheb Waje</v>
      </c>
      <c r="C581" s="29">
        <f>VLOOKUP(A581,File!$A:$J,5,FALSE)</f>
        <v>46254</v>
      </c>
      <c r="D581" s="29" t="str">
        <f>VLOOKUP(A581,File!$A:$J,3,FALSE)</f>
        <v>Female</v>
      </c>
      <c r="E581" s="29" t="str">
        <f>VLOOKUP(A581,File!$A:$J,4,FALSE)</f>
        <v>FTE</v>
      </c>
      <c r="F581" s="29" t="str">
        <f>VLOOKUP(A581,File!$A:$J,6,FALSE)</f>
        <v>Chennai</v>
      </c>
      <c r="G581" s="29" t="str">
        <f>VLOOKUP(A581,File!$A:$J,7,FALSE)</f>
        <v>CS26CS012</v>
      </c>
      <c r="H581" s="29" t="str">
        <f>VLOOKUP(A581,File!$A:$J,8,FALSE)</f>
        <v>Laksiya Vijayendran</v>
      </c>
      <c r="I581" s="31">
        <f>VLOOKUP(A581,File!$A:$J,9,FALSE)</f>
        <v>46343</v>
      </c>
      <c r="J581" s="31" t="str">
        <f>VLOOKUP(A581,File!$A:$K,11,FALSE)</f>
        <v>Nov 2026</v>
      </c>
      <c r="K581" s="31" t="str">
        <f>VLOOKUP(A581,File!$A:$K,10,FALSE)</f>
        <v>In-Training</v>
      </c>
      <c r="L581" s="31" t="s">
        <v>4</v>
      </c>
      <c r="M581" t="str">
        <f>VLOOKUP(A581,Response!$A:$M,7,)</f>
        <v>PG (Paying Guest)</v>
      </c>
      <c r="N581" t="str">
        <f>VLOOKUP(A581,Response!$A:$M,8,)</f>
        <v>MSR Luxury PG for Ladies - Branch 2, Siruseri</v>
      </c>
      <c r="O581" s="4" t="str">
        <f>VLOOKUP(A581,Response!$A:$M,10,)</f>
        <v>GF</v>
      </c>
      <c r="P581" t="str">
        <f>VLOOKUP(A581,Response!$A:$M,12,)</f>
        <v>No</v>
      </c>
      <c r="Q581" t="str">
        <f>VLOOKUP(A581,Response!$A:$M,11,)</f>
        <v>Siruseri</v>
      </c>
      <c r="R581" t="s">
        <v>19</v>
      </c>
      <c r="S581" s="39" t="s">
        <v>37</v>
      </c>
    </row>
    <row r="582" spans="1:19">
      <c r="A582" s="3">
        <v>2533149</v>
      </c>
      <c r="B582" t="str">
        <f>VLOOKUP(A582,File!$A:$J,2,FALSE)</f>
        <v>Pooja Basker</v>
      </c>
      <c r="C582" s="29">
        <f>VLOOKUP(A582,File!$A:$J,5,FALSE)</f>
        <v>46259</v>
      </c>
      <c r="D582" s="29" t="str">
        <f>VLOOKUP(A582,File!$A:$J,3,FALSE)</f>
        <v>Female</v>
      </c>
      <c r="E582" s="29" t="str">
        <f>VLOOKUP(A582,File!$A:$J,4,FALSE)</f>
        <v>FTE</v>
      </c>
      <c r="F582" s="29" t="str">
        <f>VLOOKUP(A582,File!$A:$J,6,FALSE)</f>
        <v>Chennai</v>
      </c>
      <c r="G582" s="29" t="str">
        <f>VLOOKUP(A582,File!$A:$J,7,FALSE)</f>
        <v>CIS26DWP032</v>
      </c>
      <c r="H582" s="29" t="str">
        <f>VLOOKUP(A582,File!$A:$J,8,FALSE)</f>
        <v>Aiswarya A Kumar</v>
      </c>
      <c r="I582" s="31">
        <f>VLOOKUP(A582,File!$A:$J,9,FALSE)</f>
        <v>46330</v>
      </c>
      <c r="J582" s="31" t="str">
        <f>VLOOKUP(A582,File!$A:$K,11,FALSE)</f>
        <v>Nov 2026</v>
      </c>
      <c r="K582" s="31" t="str">
        <f>VLOOKUP(A582,File!$A:$K,10,FALSE)</f>
        <v>In-Training</v>
      </c>
      <c r="L582" s="31" t="s">
        <v>4</v>
      </c>
      <c r="M582" t="str">
        <f>VLOOKUP(A582,Response!$A:$M,7,)</f>
        <v>PG (Paying Guest)</v>
      </c>
      <c r="N582" t="str">
        <f>VLOOKUP(A582,Response!$A:$M,8,)</f>
        <v>MSR Luxury PG for Ladies - Branch 3 ,  Egattur</v>
      </c>
      <c r="O582" s="4">
        <f>VLOOKUP(A582,Response!$A:$M,10,)</f>
        <v>1</v>
      </c>
      <c r="P582" t="str">
        <f>VLOOKUP(A582,Response!$A:$M,12,)</f>
        <v>Yes</v>
      </c>
      <c r="Q582" t="str">
        <f>VLOOKUP(A582,Response!$A:$M,11,)</f>
        <v>Siruseri</v>
      </c>
      <c r="R582" t="s">
        <v>19</v>
      </c>
      <c r="S582" s="39" t="s">
        <v>37</v>
      </c>
    </row>
    <row r="583" spans="1:19">
      <c r="A583" s="3">
        <v>2521725</v>
      </c>
      <c r="B583" t="str">
        <f>VLOOKUP(A583,File!$A:$J,2,FALSE)</f>
        <v>Neya Charlote S A</v>
      </c>
      <c r="C583" s="29">
        <f>VLOOKUP(A583,File!$A:$J,5,FALSE)</f>
        <v>46212</v>
      </c>
      <c r="D583" s="29" t="str">
        <f>VLOOKUP(A583,File!$A:$J,3,FALSE)</f>
        <v>Female</v>
      </c>
      <c r="E583" s="29" t="str">
        <f>VLOOKUP(A583,File!$A:$J,4,FALSE)</f>
        <v>FTE</v>
      </c>
      <c r="F583" s="29" t="str">
        <f>VLOOKUP(A583,File!$A:$J,6,FALSE)</f>
        <v>Chennai</v>
      </c>
      <c r="G583" s="29" t="str">
        <f>VLOOKUP(A583,File!$A:$J,7,FALSE)</f>
        <v>QEA26NFTPA001</v>
      </c>
      <c r="H583" s="29" t="str">
        <f>VLOOKUP(A583,File!$A:$J,8,FALSE)</f>
        <v>Lourdhu Selvin Raj X</v>
      </c>
      <c r="I583" s="31">
        <f>VLOOKUP(A583,File!$A:$J,9,FALSE)</f>
        <v>46337</v>
      </c>
      <c r="J583" s="31" t="str">
        <f>VLOOKUP(A583,File!$A:$K,11,FALSE)</f>
        <v>Nov 2026</v>
      </c>
      <c r="K583" s="31" t="str">
        <f>VLOOKUP(A583,File!$A:$K,10,FALSE)</f>
        <v>In-Training</v>
      </c>
      <c r="L583" s="31" t="s">
        <v>4</v>
      </c>
      <c r="M583" t="str">
        <f>VLOOKUP(A583,Response!$A:$M,7,)</f>
        <v>PG (Paying Guest)</v>
      </c>
      <c r="N583" t="str">
        <f>VLOOKUP(A583,Response!$A:$M,8,)</f>
        <v>MSR Luxury PG for Ladies - Branch 3, Egattur</v>
      </c>
      <c r="O583" s="4">
        <f>VLOOKUP(A583,Response!$A:$M,10,)</f>
        <v>3</v>
      </c>
      <c r="P583" t="str">
        <f>VLOOKUP(A583,Response!$A:$M,12,)</f>
        <v>Yes</v>
      </c>
      <c r="Q583" t="str">
        <f>VLOOKUP(A583,Response!$A:$M,11,)</f>
        <v>Siruseri</v>
      </c>
      <c r="R583" t="s">
        <v>19</v>
      </c>
      <c r="S583" s="39" t="s">
        <v>37</v>
      </c>
    </row>
    <row r="584" spans="1:19">
      <c r="A584" s="3">
        <v>2522902</v>
      </c>
      <c r="B584" t="str">
        <f>VLOOKUP(A584,File!$A:$J,2,FALSE)</f>
        <v>PRIYANKA  Pandey</v>
      </c>
      <c r="C584" s="29">
        <f>VLOOKUP(A584,File!$A:$J,5,FALSE)</f>
        <v>46217</v>
      </c>
      <c r="D584" s="29" t="str">
        <f>VLOOKUP(A584,File!$A:$J,3,FALSE)</f>
        <v>Female</v>
      </c>
      <c r="E584" s="29" t="str">
        <f>VLOOKUP(A584,File!$A:$J,4,FALSE)</f>
        <v>FTE</v>
      </c>
      <c r="F584" s="29" t="str">
        <f>VLOOKUP(A584,File!$A:$J,6,FALSE)</f>
        <v>Chennai</v>
      </c>
      <c r="G584" s="29" t="str">
        <f>VLOOKUP(A584,File!$A:$J,7,FALSE)</f>
        <v>QEA26ST001</v>
      </c>
      <c r="H584" s="29" t="str">
        <f>VLOOKUP(A584,File!$A:$J,8,FALSE)</f>
        <v>Angel Maria Faustina Gomez</v>
      </c>
      <c r="I584" s="31">
        <f>VLOOKUP(A584,File!$A:$J,9,FALSE)</f>
        <v>46310</v>
      </c>
      <c r="J584" s="31" t="str">
        <f>VLOOKUP(A584,File!$A:$K,11,FALSE)</f>
        <v>Oct 2026</v>
      </c>
      <c r="K584" s="31" t="str">
        <f>VLOOKUP(A584,File!$A:$K,10,FALSE)</f>
        <v>In-Training</v>
      </c>
      <c r="L584" s="31" t="s">
        <v>4</v>
      </c>
      <c r="M584" t="str">
        <f>VLOOKUP(A584,Response!$A:$M,7,)</f>
        <v>PG (Paying Guest)</v>
      </c>
      <c r="N584" t="str">
        <f>VLOOKUP(A584,Response!$A:$M,8,)</f>
        <v>MSR Luxury PG for ladies - Branch 3,Egattur</v>
      </c>
      <c r="O584" s="4">
        <f>VLOOKUP(A584,Response!$A:$M,10,)</f>
        <v>2</v>
      </c>
      <c r="P584" t="str">
        <f>VLOOKUP(A584,Response!$A:$M,12,)</f>
        <v>No</v>
      </c>
      <c r="Q584" t="str">
        <f>VLOOKUP(A584,Response!$A:$M,11,)</f>
        <v>Siruseri</v>
      </c>
      <c r="R584" t="s">
        <v>19</v>
      </c>
      <c r="S584" s="39" t="s">
        <v>37</v>
      </c>
    </row>
    <row r="585" spans="1:19">
      <c r="A585" s="3">
        <v>2531993</v>
      </c>
      <c r="B585" t="str">
        <f>VLOOKUP(A585,File!$A:$J,2,FALSE)</f>
        <v>Rishitha Vooturi</v>
      </c>
      <c r="C585" s="29">
        <f>VLOOKUP(A585,File!$A:$J,5,FALSE)</f>
        <v>46254</v>
      </c>
      <c r="D585" s="29" t="str">
        <f>VLOOKUP(A585,File!$A:$J,3,FALSE)</f>
        <v>Female</v>
      </c>
      <c r="E585" s="29" t="str">
        <f>VLOOKUP(A585,File!$A:$J,4,FALSE)</f>
        <v>FTE</v>
      </c>
      <c r="F585" s="29" t="str">
        <f>VLOOKUP(A585,File!$A:$J,6,FALSE)</f>
        <v>Chennai</v>
      </c>
      <c r="G585" s="29" t="str">
        <f>VLOOKUP(A585,File!$A:$J,7,FALSE)</f>
        <v>CS26CS012</v>
      </c>
      <c r="H585" s="29" t="str">
        <f>VLOOKUP(A585,File!$A:$J,8,FALSE)</f>
        <v>Laksiya Vijayendran</v>
      </c>
      <c r="I585" s="31">
        <f>VLOOKUP(A585,File!$A:$J,9,FALSE)</f>
        <v>46343</v>
      </c>
      <c r="J585" s="31" t="str">
        <f>VLOOKUP(A585,File!$A:$K,11,FALSE)</f>
        <v>Nov 2026</v>
      </c>
      <c r="K585" s="31" t="str">
        <f>VLOOKUP(A585,File!$A:$K,10,FALSE)</f>
        <v>In-Training</v>
      </c>
      <c r="L585" s="31" t="s">
        <v>4</v>
      </c>
      <c r="M585" t="str">
        <f>VLOOKUP(A585,Response!$A:$M,7,)</f>
        <v>PG (Paying Guest)</v>
      </c>
      <c r="N585" t="str">
        <f>VLOOKUP(A585,Response!$A:$M,8,)</f>
        <v>MSR Luxury PG for Ladies - Branch 3,Egattur</v>
      </c>
      <c r="O585" s="4">
        <f>VLOOKUP(A585,Response!$A:$M,10,)</f>
        <v>2</v>
      </c>
      <c r="P585" t="str">
        <f>VLOOKUP(A585,Response!$A:$M,12,)</f>
        <v>No</v>
      </c>
      <c r="Q585" t="str">
        <f>VLOOKUP(A585,Response!$A:$M,11,)</f>
        <v>Siruseri</v>
      </c>
      <c r="R585" t="s">
        <v>19</v>
      </c>
      <c r="S585" s="39" t="s">
        <v>37</v>
      </c>
    </row>
    <row r="586" spans="1:19">
      <c r="A586" s="3">
        <v>2521740</v>
      </c>
      <c r="B586" t="str">
        <f>VLOOKUP(A586,File!$A:$J,2,FALSE)</f>
        <v>Sarumathi N</v>
      </c>
      <c r="C586" s="29">
        <f>VLOOKUP(A586,File!$A:$J,5,FALSE)</f>
        <v>46212</v>
      </c>
      <c r="D586" s="29" t="str">
        <f>VLOOKUP(A586,File!$A:$J,3,FALSE)</f>
        <v>Female</v>
      </c>
      <c r="E586" s="29" t="str">
        <f>VLOOKUP(A586,File!$A:$J,4,FALSE)</f>
        <v>FTE</v>
      </c>
      <c r="F586" s="29" t="str">
        <f>VLOOKUP(A586,File!$A:$J,6,FALSE)</f>
        <v>Chennai</v>
      </c>
      <c r="G586" s="29" t="str">
        <f>VLOOKUP(A586,File!$A:$J,7,FALSE)</f>
        <v>QEA26NFTPA001</v>
      </c>
      <c r="H586" s="29" t="str">
        <f>VLOOKUP(A586,File!$A:$J,8,FALSE)</f>
        <v>Lourdhu Selvin Raj X</v>
      </c>
      <c r="I586" s="31">
        <f>VLOOKUP(A586,File!$A:$J,9,FALSE)</f>
        <v>46337</v>
      </c>
      <c r="J586" s="31" t="str">
        <f>VLOOKUP(A586,File!$A:$K,11,FALSE)</f>
        <v>Nov 2026</v>
      </c>
      <c r="K586" s="31" t="str">
        <f>VLOOKUP(A586,File!$A:$K,10,FALSE)</f>
        <v>In-Training</v>
      </c>
      <c r="L586" s="31" t="s">
        <v>4</v>
      </c>
      <c r="M586" t="str">
        <f>VLOOKUP(A586,Response!$A:$M,7,)</f>
        <v>PG (Paying Guest)</v>
      </c>
      <c r="N586" t="str">
        <f>VLOOKUP(A586,Response!$A:$M,8,)</f>
        <v>MSR Luxury PG for LADIES-  Branch II , Egattur</v>
      </c>
      <c r="O586" s="4">
        <f>VLOOKUP(A586,Response!$A:$M,10,)</f>
        <v>2</v>
      </c>
      <c r="P586" t="str">
        <f>VLOOKUP(A586,Response!$A:$M,12,)</f>
        <v>No</v>
      </c>
      <c r="Q586" t="str">
        <f>VLOOKUP(A586,Response!$A:$M,11,)</f>
        <v>Egattur</v>
      </c>
      <c r="R586" t="s">
        <v>19</v>
      </c>
      <c r="S586" s="39" t="s">
        <v>37</v>
      </c>
    </row>
    <row r="587" spans="1:19">
      <c r="A587" s="3">
        <v>2533020</v>
      </c>
      <c r="B587" t="str">
        <f>VLOOKUP(A587,File!$A:$J,2,FALSE)</f>
        <v>Saranyashree Vijayakumar</v>
      </c>
      <c r="C587" s="29">
        <f>VLOOKUP(A587,File!$A:$J,5,FALSE)</f>
        <v>46259</v>
      </c>
      <c r="D587" s="29" t="str">
        <f>VLOOKUP(A587,File!$A:$J,3,FALSE)</f>
        <v>Female</v>
      </c>
      <c r="E587" s="29" t="str">
        <f>VLOOKUP(A587,File!$A:$J,4,FALSE)</f>
        <v>FTE</v>
      </c>
      <c r="F587" s="29" t="str">
        <f>VLOOKUP(A587,File!$A:$J,6,FALSE)</f>
        <v>Chennai</v>
      </c>
      <c r="G587" s="29" t="str">
        <f>VLOOKUP(A587,File!$A:$J,7,FALSE)</f>
        <v>ADM27DFSA001</v>
      </c>
      <c r="H587" s="29" t="str">
        <f>VLOOKUP(A587,File!$A:$J,8,FALSE)</f>
        <v>Thomas Naveen. J</v>
      </c>
      <c r="I587" s="31">
        <f>VLOOKUP(A587,File!$A:$J,9,FALSE)</f>
        <v>46386</v>
      </c>
      <c r="J587" s="31" t="str">
        <f>VLOOKUP(A587,File!$A:$K,11,FALSE)</f>
        <v>Dec 2026</v>
      </c>
      <c r="K587" s="31" t="str">
        <f>VLOOKUP(A587,File!$A:$K,10,FALSE)</f>
        <v>In-Training</v>
      </c>
      <c r="L587" s="31" t="s">
        <v>4</v>
      </c>
      <c r="M587" t="str">
        <f>VLOOKUP(A587,Response!$A:$M,7,)</f>
        <v>PG (Paying Guest)</v>
      </c>
      <c r="N587" t="str">
        <f>VLOOKUP(A587,Response!$A:$M,8,)</f>
        <v>MSR Luxury PG for Ladies - Branch III, Egatur</v>
      </c>
      <c r="O587" s="4">
        <f>VLOOKUP(A587,Response!$A:$M,10,)</f>
        <v>2</v>
      </c>
      <c r="P587" t="str">
        <f>VLOOKUP(A587,Response!$A:$M,12,)</f>
        <v>Yes</v>
      </c>
      <c r="Q587" t="str">
        <f>VLOOKUP(A587,Response!$A:$M,11,)</f>
        <v>Egattur</v>
      </c>
      <c r="R587" t="s">
        <v>19</v>
      </c>
      <c r="S587" s="39" t="s">
        <v>37</v>
      </c>
    </row>
    <row r="588" spans="1:19">
      <c r="A588" s="3">
        <v>2521747</v>
      </c>
      <c r="B588" t="str">
        <f>VLOOKUP(A588,File!$A:$J,2,FALSE)</f>
        <v>Pamula Indhu Sri</v>
      </c>
      <c r="C588" s="29">
        <f>VLOOKUP(A588,File!$A:$J,5,FALSE)</f>
        <v>46212</v>
      </c>
      <c r="D588" s="29" t="str">
        <f>VLOOKUP(A588,File!$A:$J,3,FALSE)</f>
        <v>Female</v>
      </c>
      <c r="E588" s="29" t="str">
        <f>VLOOKUP(A588,File!$A:$J,4,FALSE)</f>
        <v>FTE</v>
      </c>
      <c r="F588" s="29" t="str">
        <f>VLOOKUP(A588,File!$A:$J,6,FALSE)</f>
        <v>Chennai</v>
      </c>
      <c r="G588" s="29" t="str">
        <f>VLOOKUP(A588,File!$A:$J,7,FALSE)</f>
        <v>QEA26SD001</v>
      </c>
      <c r="H588" s="29" t="str">
        <f>VLOOKUP(A588,File!$A:$J,8,FALSE)</f>
        <v>Ajiesya D P</v>
      </c>
      <c r="I588" s="31">
        <f>VLOOKUP(A588,File!$A:$J,9,FALSE)</f>
        <v>46329</v>
      </c>
      <c r="J588" s="31" t="str">
        <f>VLOOKUP(A588,File!$A:$K,11,FALSE)</f>
        <v>Nov 2026</v>
      </c>
      <c r="K588" s="31" t="str">
        <f>VLOOKUP(A588,File!$A:$K,10,FALSE)</f>
        <v>In-Training</v>
      </c>
      <c r="L588" s="31" t="s">
        <v>4</v>
      </c>
      <c r="M588" t="str">
        <f>VLOOKUP(A588,Response!$A:$M,7,)</f>
        <v>PG (Paying Guest)</v>
      </c>
      <c r="N588" t="str">
        <f>VLOOKUP(A588,Response!$A:$M,8,)</f>
        <v>MSR Luxury PG for Ladies (Branch 2)</v>
      </c>
      <c r="O588" s="4">
        <f>VLOOKUP(A588,Response!$A:$M,10,)</f>
        <v>2</v>
      </c>
      <c r="P588" t="str">
        <f>VLOOKUP(A588,Response!$A:$M,12,)</f>
        <v>Yes</v>
      </c>
      <c r="Q588" t="str">
        <f>VLOOKUP(A588,Response!$A:$M,11,)</f>
        <v>Egattur</v>
      </c>
      <c r="R588" t="s">
        <v>19</v>
      </c>
      <c r="S588" s="39" t="s">
        <v>37</v>
      </c>
    </row>
    <row r="589" spans="1:19">
      <c r="A589" s="3">
        <v>2532933</v>
      </c>
      <c r="B589" t="str">
        <f>VLOOKUP(A589,File!$A:$J,2,FALSE)</f>
        <v>Thrisala K</v>
      </c>
      <c r="C589" s="29">
        <f>VLOOKUP(A589,File!$A:$J,5,FALSE)</f>
        <v>46259</v>
      </c>
      <c r="D589" s="29" t="str">
        <f>VLOOKUP(A589,File!$A:$J,3,FALSE)</f>
        <v>Female</v>
      </c>
      <c r="E589" s="29" t="str">
        <f>VLOOKUP(A589,File!$A:$J,4,FALSE)</f>
        <v>FTE</v>
      </c>
      <c r="F589" s="29" t="str">
        <f>VLOOKUP(A589,File!$A:$J,6,FALSE)</f>
        <v>Chennai</v>
      </c>
      <c r="G589" s="29" t="str">
        <f>VLOOKUP(A589,File!$A:$J,7,FALSE)</f>
        <v>IOT26CSJ002</v>
      </c>
      <c r="H589" s="29" t="str">
        <f>VLOOKUP(A589,File!$A:$J,8,FALSE)</f>
        <v>Pavithra Kandasamy</v>
      </c>
      <c r="I589" s="31">
        <f>VLOOKUP(A589,File!$A:$J,9,FALSE)</f>
        <v>46337</v>
      </c>
      <c r="J589" s="31" t="str">
        <f>VLOOKUP(A589,File!$A:$K,11,FALSE)</f>
        <v>Nov 2026</v>
      </c>
      <c r="K589" s="31" t="str">
        <f>VLOOKUP(A589,File!$A:$K,10,FALSE)</f>
        <v>In-Training</v>
      </c>
      <c r="L589" s="31" t="s">
        <v>4</v>
      </c>
      <c r="M589" t="str">
        <f>VLOOKUP(A589,Response!$A:$M,7,)</f>
        <v>PG (Paying Guest)</v>
      </c>
      <c r="N589" t="str">
        <f>VLOOKUP(A589,Response!$A:$M,8,)</f>
        <v>MSR Luxury PG for Ladies (branch 3)</v>
      </c>
      <c r="O589" s="4">
        <f>VLOOKUP(A589,Response!$A:$M,10,)</f>
        <v>2</v>
      </c>
      <c r="P589" t="str">
        <f>VLOOKUP(A589,Response!$A:$M,12,)</f>
        <v>Yes</v>
      </c>
      <c r="Q589" t="str">
        <f>VLOOKUP(A589,Response!$A:$M,11,)</f>
        <v>Siruseri</v>
      </c>
      <c r="R589" t="s">
        <v>19</v>
      </c>
      <c r="S589" s="39" t="s">
        <v>37</v>
      </c>
    </row>
    <row r="590" spans="1:19">
      <c r="A590" s="3">
        <v>2524478</v>
      </c>
      <c r="B590" t="str">
        <f>VLOOKUP(A590,File!$A:$J,2,FALSE)</f>
        <v>Shrushti Arun Shelke</v>
      </c>
      <c r="C590" s="29">
        <f>VLOOKUP(A590,File!$A:$J,5,FALSE)</f>
        <v>46224</v>
      </c>
      <c r="D590" s="29" t="str">
        <f>VLOOKUP(A590,File!$A:$J,3,FALSE)</f>
        <v>Female</v>
      </c>
      <c r="E590" s="29" t="str">
        <f>VLOOKUP(A590,File!$A:$J,4,FALSE)</f>
        <v>FTE</v>
      </c>
      <c r="F590" s="29" t="str">
        <f>VLOOKUP(A590,File!$A:$J,6,FALSE)</f>
        <v>Chennai</v>
      </c>
      <c r="G590" s="29" t="str">
        <f>VLOOKUP(A590,File!$A:$J,7,FALSE)</f>
        <v>ADM26MF012</v>
      </c>
      <c r="H590" s="29" t="str">
        <f>VLOOKUP(A590,File!$A:$J,8,FALSE)</f>
        <v>Lourdhu Selvin Raj X</v>
      </c>
      <c r="I590" s="31">
        <f>VLOOKUP(A590,File!$A:$J,9,FALSE)</f>
        <v>46343</v>
      </c>
      <c r="J590" s="31" t="str">
        <f>VLOOKUP(A590,File!$A:$K,11,FALSE)</f>
        <v>Nov 2026</v>
      </c>
      <c r="K590" s="31" t="str">
        <f>VLOOKUP(A590,File!$A:$K,10,FALSE)</f>
        <v>In-Training</v>
      </c>
      <c r="L590" s="31" t="s">
        <v>4</v>
      </c>
      <c r="M590" t="str">
        <f>VLOOKUP(A590,Response!$A:$M,7,)</f>
        <v>PG (Paying Guest)</v>
      </c>
      <c r="N590" t="str">
        <f>VLOOKUP(A590,Response!$A:$M,8,)</f>
        <v>MSR Luxury PG for Ladies (Branch 3), Siruseri, Tamil Nadu.</v>
      </c>
      <c r="O590" s="4">
        <f>VLOOKUP(A590,Response!$A:$M,10,)</f>
        <v>3</v>
      </c>
      <c r="P590" t="str">
        <f>VLOOKUP(A590,Response!$A:$M,12,)</f>
        <v>No</v>
      </c>
      <c r="Q590" t="str">
        <f>VLOOKUP(A590,Response!$A:$M,11,)</f>
        <v>Siruseri</v>
      </c>
      <c r="R590" t="s">
        <v>19</v>
      </c>
      <c r="S590" s="39" t="s">
        <v>37</v>
      </c>
    </row>
    <row r="591" spans="1:19">
      <c r="A591" s="3">
        <v>2521069</v>
      </c>
      <c r="B591" t="str">
        <f>VLOOKUP(A591,File!$A:$J,2,FALSE)</f>
        <v>Andra Tulasi Lakshmi Tanya</v>
      </c>
      <c r="C591" s="29">
        <f>VLOOKUP(A591,File!$A:$J,5,FALSE)</f>
        <v>46210</v>
      </c>
      <c r="D591" s="29" t="str">
        <f>VLOOKUP(A591,File!$A:$J,3,FALSE)</f>
        <v>Female</v>
      </c>
      <c r="E591" s="29" t="str">
        <f>VLOOKUP(A591,File!$A:$J,4,FALSE)</f>
        <v>FTE</v>
      </c>
      <c r="F591" s="29" t="str">
        <f>VLOOKUP(A591,File!$A:$J,6,FALSE)</f>
        <v>Chennai</v>
      </c>
      <c r="G591" s="29" t="str">
        <f>VLOOKUP(A591,File!$A:$J,7,FALSE)</f>
        <v>SNBG26SN004</v>
      </c>
      <c r="H591" s="29" t="str">
        <f>VLOOKUP(A591,File!$A:$J,8,FALSE)</f>
        <v>Kishorekumar P</v>
      </c>
      <c r="I591" s="31">
        <f>VLOOKUP(A591,File!$A:$J,9,FALSE)</f>
        <v>46303</v>
      </c>
      <c r="J591" s="31" t="str">
        <f>VLOOKUP(A591,File!$A:$K,11,FALSE)</f>
        <v>Oct 2026</v>
      </c>
      <c r="K591" s="31" t="str">
        <f>VLOOKUP(A591,File!$A:$K,10,FALSE)</f>
        <v>In-Training</v>
      </c>
      <c r="L591" s="31" t="s">
        <v>4</v>
      </c>
      <c r="M591" t="str">
        <f>VLOOKUP(A591,Response!$A:$M,7,)</f>
        <v>PG (Paying Guest)</v>
      </c>
      <c r="N591" t="str">
        <f>VLOOKUP(A591,Response!$A:$M,8,)</f>
        <v>MSR Luxury PG for Ladies (Branch II)</v>
      </c>
      <c r="O591" s="4">
        <f>VLOOKUP(A591,Response!$A:$M,10,)</f>
        <v>2</v>
      </c>
      <c r="P591" t="str">
        <f>VLOOKUP(A591,Response!$A:$M,12,)</f>
        <v>No</v>
      </c>
      <c r="Q591" t="str">
        <f>VLOOKUP(A591,Response!$A:$M,11,)</f>
        <v>Egattur</v>
      </c>
      <c r="R591" t="s">
        <v>19</v>
      </c>
      <c r="S591" s="39" t="s">
        <v>37</v>
      </c>
    </row>
    <row r="592" spans="1:19">
      <c r="A592" s="3">
        <v>2518813</v>
      </c>
      <c r="B592" t="str">
        <f>VLOOKUP(A592,File!$A:$J,2,FALSE)</f>
        <v>Anusri Saha</v>
      </c>
      <c r="C592" s="29">
        <f>VLOOKUP(A592,File!$A:$J,5,FALSE)</f>
        <v>46203</v>
      </c>
      <c r="D592" s="29" t="str">
        <f>VLOOKUP(A592,File!$A:$J,3,FALSE)</f>
        <v>Female</v>
      </c>
      <c r="E592" s="29" t="str">
        <f>VLOOKUP(A592,File!$A:$J,4,FALSE)</f>
        <v>FTE</v>
      </c>
      <c r="F592" s="29" t="str">
        <f>VLOOKUP(A592,File!$A:$J,6,FALSE)</f>
        <v>Chennai</v>
      </c>
      <c r="G592" s="29" t="str">
        <f>VLOOKUP(A592,File!$A:$J,7,FALSE)</f>
        <v>CIS26SB001</v>
      </c>
      <c r="H592" s="29" t="str">
        <f>VLOOKUP(A592,File!$A:$J,8,FALSE)</f>
        <v>Kishorekumar P</v>
      </c>
      <c r="I592" s="31">
        <f>VLOOKUP(A592,File!$A:$J,9,FALSE)</f>
        <v>46309</v>
      </c>
      <c r="J592" s="31" t="str">
        <f>VLOOKUP(A592,File!$A:$K,11,FALSE)</f>
        <v>Oct 2026</v>
      </c>
      <c r="K592" s="31" t="str">
        <f>VLOOKUP(A592,File!$A:$K,10,FALSE)</f>
        <v>In-Training</v>
      </c>
      <c r="L592" s="31" t="s">
        <v>4</v>
      </c>
      <c r="M592" t="str">
        <f>VLOOKUP(A592,Response!$A:$M,7,)</f>
        <v>PG (Paying Guest)</v>
      </c>
      <c r="N592" t="str">
        <f>VLOOKUP(A592,Response!$A:$M,8,)</f>
        <v>MSR Luxury PG for Ladies (Branch III)</v>
      </c>
      <c r="O592" s="4">
        <f>VLOOKUP(A592,Response!$A:$M,10,)</f>
        <v>3</v>
      </c>
      <c r="P592" t="str">
        <f>VLOOKUP(A592,Response!$A:$M,12,)</f>
        <v>No</v>
      </c>
      <c r="Q592" t="str">
        <f>VLOOKUP(A592,Response!$A:$M,11,)</f>
        <v>Egattur</v>
      </c>
      <c r="R592" t="s">
        <v>19</v>
      </c>
      <c r="S592" s="39" t="s">
        <v>37</v>
      </c>
    </row>
    <row r="593" spans="1:19">
      <c r="A593" s="3">
        <v>2521055</v>
      </c>
      <c r="B593" t="str">
        <f>VLOOKUP(A593,File!$A:$J,2,FALSE)</f>
        <v>M Vikasini</v>
      </c>
      <c r="C593" s="29">
        <f>VLOOKUP(A593,File!$A:$J,5,FALSE)</f>
        <v>46210</v>
      </c>
      <c r="D593" s="29" t="str">
        <f>VLOOKUP(A593,File!$A:$J,3,FALSE)</f>
        <v>Female</v>
      </c>
      <c r="E593" s="29" t="str">
        <f>VLOOKUP(A593,File!$A:$J,4,FALSE)</f>
        <v>FTE</v>
      </c>
      <c r="F593" s="29" t="str">
        <f>VLOOKUP(A593,File!$A:$J,6,FALSE)</f>
        <v>Chennai</v>
      </c>
      <c r="G593" s="29" t="str">
        <f>VLOOKUP(A593,File!$A:$J,7,FALSE)</f>
        <v>CS26CS007</v>
      </c>
      <c r="H593" s="29" t="str">
        <f>VLOOKUP(A593,File!$A:$J,8,FALSE)</f>
        <v>Lawrance M</v>
      </c>
      <c r="I593" s="31">
        <f>VLOOKUP(A593,File!$A:$J,9,FALSE)</f>
        <v>46272</v>
      </c>
      <c r="J593" s="31" t="str">
        <f>VLOOKUP(A593,File!$A:$K,11,FALSE)</f>
        <v>Sep 2026</v>
      </c>
      <c r="K593" s="31" t="str">
        <f>VLOOKUP(A593,File!$A:$K,10,FALSE)</f>
        <v>In-Training</v>
      </c>
      <c r="L593" s="31" t="s">
        <v>5</v>
      </c>
      <c r="M593" t="str">
        <f>VLOOKUP(A593,Response!$A:$M,7,)</f>
        <v>Permanent Residence (House/Home)</v>
      </c>
      <c r="N593" t="str">
        <f>VLOOKUP(A593,Response!$A:$M,8,)</f>
        <v>MSR Luxury PG for Ladies (Branch III)</v>
      </c>
      <c r="O593" s="4">
        <f>VLOOKUP(A593,Response!$A:$M,10,)</f>
        <v>3</v>
      </c>
      <c r="P593" t="str">
        <f>VLOOKUP(A593,Response!$A:$M,12,)</f>
        <v>No</v>
      </c>
      <c r="Q593" t="str">
        <f>VLOOKUP(A593,Response!$A:$M,11,)</f>
        <v>Egattur</v>
      </c>
      <c r="R593" t="s">
        <v>19</v>
      </c>
      <c r="S593" t="s">
        <v>38</v>
      </c>
    </row>
    <row r="594" spans="1:19">
      <c r="A594" s="3">
        <v>2521093</v>
      </c>
      <c r="B594" t="str">
        <f>VLOOKUP(A594,File!$A:$J,2,FALSE)</f>
        <v>Nidharshnaa S T</v>
      </c>
      <c r="C594" s="29">
        <f>VLOOKUP(A594,File!$A:$J,5,FALSE)</f>
        <v>46210</v>
      </c>
      <c r="D594" s="29" t="str">
        <f>VLOOKUP(A594,File!$A:$J,3,FALSE)</f>
        <v>Female</v>
      </c>
      <c r="E594" s="29" t="str">
        <f>VLOOKUP(A594,File!$A:$J,4,FALSE)</f>
        <v>FTE</v>
      </c>
      <c r="F594" s="29" t="str">
        <f>VLOOKUP(A594,File!$A:$J,6,FALSE)</f>
        <v>Chennai</v>
      </c>
      <c r="G594" s="29" t="str">
        <f>VLOOKUP(A594,File!$A:$J,7,FALSE)</f>
        <v>CS26CS007</v>
      </c>
      <c r="H594" s="29" t="str">
        <f>VLOOKUP(A594,File!$A:$J,8,FALSE)</f>
        <v>Lawrance M</v>
      </c>
      <c r="I594" s="31">
        <f>VLOOKUP(A594,File!$A:$J,9,FALSE)</f>
        <v>46272</v>
      </c>
      <c r="J594" s="31" t="str">
        <f>VLOOKUP(A594,File!$A:$K,11,FALSE)</f>
        <v>Sep 2026</v>
      </c>
      <c r="K594" s="31" t="str">
        <f>VLOOKUP(A594,File!$A:$K,10,FALSE)</f>
        <v>In-Training</v>
      </c>
      <c r="L594" s="31" t="s">
        <v>4</v>
      </c>
      <c r="M594" t="str">
        <f>VLOOKUP(A594,Response!$A:$M,7,)</f>
        <v>PG (Paying Guest)</v>
      </c>
      <c r="N594" t="str">
        <f>VLOOKUP(A594,Response!$A:$M,8,)</f>
        <v xml:space="preserve">MSR Luxury PG for Ladies (Branch III), </v>
      </c>
      <c r="O594" s="4">
        <f>VLOOKUP(A594,Response!$A:$M,10,)</f>
        <v>1</v>
      </c>
      <c r="P594" t="str">
        <f>VLOOKUP(A594,Response!$A:$M,12,)</f>
        <v>No</v>
      </c>
      <c r="Q594" t="str">
        <f>VLOOKUP(A594,Response!$A:$M,11,)</f>
        <v>Egattur</v>
      </c>
      <c r="R594" t="s">
        <v>19</v>
      </c>
      <c r="S594" s="39" t="s">
        <v>37</v>
      </c>
    </row>
    <row r="595" spans="1:19">
      <c r="A595" s="3">
        <v>2521319</v>
      </c>
      <c r="B595" t="str">
        <f>VLOOKUP(A595,File!$A:$J,2,FALSE)</f>
        <v>Delry Davis</v>
      </c>
      <c r="C595" s="29">
        <f>VLOOKUP(A595,File!$A:$J,5,FALSE)</f>
        <v>46210</v>
      </c>
      <c r="D595" s="29" t="str">
        <f>VLOOKUP(A595,File!$A:$J,3,FALSE)</f>
        <v>Female</v>
      </c>
      <c r="E595" s="29" t="str">
        <f>VLOOKUP(A595,File!$A:$J,4,FALSE)</f>
        <v>FTE</v>
      </c>
      <c r="F595" s="29" t="str">
        <f>VLOOKUP(A595,File!$A:$J,6,FALSE)</f>
        <v>Chennai</v>
      </c>
      <c r="G595" s="29" t="str">
        <f>VLOOKUP(A595,File!$A:$J,7,FALSE)</f>
        <v>CIS26MCPT013</v>
      </c>
      <c r="H595" s="29" t="str">
        <f>VLOOKUP(A595,File!$A:$J,8,FALSE)</f>
        <v>Lawrance M</v>
      </c>
      <c r="I595" s="31">
        <f>VLOOKUP(A595,File!$A:$J,9,FALSE)</f>
        <v>46324</v>
      </c>
      <c r="J595" s="31" t="str">
        <f>VLOOKUP(A595,File!$A:$K,11,FALSE)</f>
        <v>Oct 2026</v>
      </c>
      <c r="K595" s="31" t="str">
        <f>VLOOKUP(A595,File!$A:$K,10,FALSE)</f>
        <v>In-Training</v>
      </c>
      <c r="L595" s="31" t="s">
        <v>4</v>
      </c>
      <c r="M595" t="str">
        <f>VLOOKUP(A595,Response!$A:$M,7,)</f>
        <v>PG (Paying Guest)</v>
      </c>
      <c r="N595" t="str">
        <f>VLOOKUP(A595,Response!$A:$M,8,)</f>
        <v>MSR Luxury PG for Ladies (Branch III),S.No.92/12</v>
      </c>
      <c r="O595" s="4">
        <f>VLOOKUP(A595,Response!$A:$M,10,)</f>
        <v>2</v>
      </c>
      <c r="P595" t="str">
        <f>VLOOKUP(A595,Response!$A:$M,12,)</f>
        <v>No</v>
      </c>
      <c r="Q595" t="str">
        <f>VLOOKUP(A595,Response!$A:$M,11,)</f>
        <v>Siruseri</v>
      </c>
      <c r="R595" t="s">
        <v>19</v>
      </c>
      <c r="S595" s="39" t="s">
        <v>37</v>
      </c>
    </row>
    <row r="596" spans="1:19">
      <c r="A596" s="3">
        <v>2529592</v>
      </c>
      <c r="B596" t="str">
        <f>VLOOKUP(A596,File!$A:$J,2,FALSE)</f>
        <v>Mathumitha E</v>
      </c>
      <c r="C596" s="29">
        <f>VLOOKUP(A596,File!$A:$J,5,FALSE)</f>
        <v>46245</v>
      </c>
      <c r="D596" s="29" t="str">
        <f>VLOOKUP(A596,File!$A:$J,3,FALSE)</f>
        <v>Female</v>
      </c>
      <c r="E596" s="29" t="str">
        <f>VLOOKUP(A596,File!$A:$J,4,FALSE)</f>
        <v>FTE</v>
      </c>
      <c r="F596" s="29" t="str">
        <f>VLOOKUP(A596,File!$A:$J,6,FALSE)</f>
        <v>Chennai</v>
      </c>
      <c r="G596" s="29" t="str">
        <f>VLOOKUP(A596,File!$A:$J,7,FALSE)</f>
        <v>CIS26MCPT022</v>
      </c>
      <c r="H596" s="29" t="str">
        <f>VLOOKUP(A596,File!$A:$J,8,FALSE)</f>
        <v>Laksiya Vijayendran</v>
      </c>
      <c r="I596" s="31">
        <f>VLOOKUP(A596,File!$A:$J,9,FALSE)</f>
        <v>46359</v>
      </c>
      <c r="J596" s="31" t="str">
        <f>VLOOKUP(A596,File!$A:$K,11,FALSE)</f>
        <v>Dec 2026</v>
      </c>
      <c r="K596" s="31" t="str">
        <f>VLOOKUP(A596,File!$A:$K,10,FALSE)</f>
        <v>In-Training</v>
      </c>
      <c r="L596" s="31" t="s">
        <v>4</v>
      </c>
      <c r="M596" t="str">
        <f>VLOOKUP(A596,Response!$A:$M,7,)</f>
        <v>PG (Paying Guest)</v>
      </c>
      <c r="N596" t="str">
        <f>VLOOKUP(A596,Response!$A:$M,8,)</f>
        <v>MSR luxury pg for ladies 3 - Egattur, Siruseri</v>
      </c>
      <c r="O596" s="4">
        <f>VLOOKUP(A596,Response!$A:$M,10,)</f>
        <v>1</v>
      </c>
      <c r="P596" t="str">
        <f>VLOOKUP(A596,Response!$A:$M,12,)</f>
        <v>Yes</v>
      </c>
      <c r="Q596" t="str">
        <f>VLOOKUP(A596,Response!$A:$M,11,)</f>
        <v>Perumbakkam</v>
      </c>
      <c r="R596" t="s">
        <v>21</v>
      </c>
      <c r="S596" s="39" t="s">
        <v>37</v>
      </c>
    </row>
    <row r="597" spans="1:19">
      <c r="A597" s="3">
        <v>2521728</v>
      </c>
      <c r="B597" t="str">
        <f>VLOOKUP(A597,File!$A:$J,2,FALSE)</f>
        <v>Sri Ramana Manjarry T</v>
      </c>
      <c r="C597" s="29">
        <f>VLOOKUP(A597,File!$A:$J,5,FALSE)</f>
        <v>46212</v>
      </c>
      <c r="D597" s="29" t="str">
        <f>VLOOKUP(A597,File!$A:$J,3,FALSE)</f>
        <v>Female</v>
      </c>
      <c r="E597" s="29" t="str">
        <f>VLOOKUP(A597,File!$A:$J,4,FALSE)</f>
        <v>FTE</v>
      </c>
      <c r="F597" s="29" t="str">
        <f>VLOOKUP(A597,File!$A:$J,6,FALSE)</f>
        <v>Chennai</v>
      </c>
      <c r="G597" s="29" t="str">
        <f>VLOOKUP(A597,File!$A:$J,7,FALSE)</f>
        <v>QEA26NFTPA002</v>
      </c>
      <c r="H597" s="29" t="str">
        <f>VLOOKUP(A597,File!$A:$J,8,FALSE)</f>
        <v>Lourdhu Selvin Raj X</v>
      </c>
      <c r="I597" s="31">
        <f>VLOOKUP(A597,File!$A:$J,9,FALSE)</f>
        <v>46337</v>
      </c>
      <c r="J597" s="31" t="str">
        <f>VLOOKUP(A597,File!$A:$K,11,FALSE)</f>
        <v>Nov 2026</v>
      </c>
      <c r="K597" s="31" t="str">
        <f>VLOOKUP(A597,File!$A:$K,10,FALSE)</f>
        <v>In-Training</v>
      </c>
      <c r="L597" s="31" t="s">
        <v>4</v>
      </c>
      <c r="M597" t="str">
        <f>VLOOKUP(A597,Response!$A:$M,7,)</f>
        <v>PG (Paying Guest)</v>
      </c>
      <c r="N597" t="str">
        <f>VLOOKUP(A597,Response!$A:$M,8,)</f>
        <v>MSR LUXURY PG FOR LADIES BRANCH - 2 , Egattur</v>
      </c>
      <c r="O597" s="4">
        <f>VLOOKUP(A597,Response!$A:$M,10,)</f>
        <v>2</v>
      </c>
      <c r="P597" t="str">
        <f>VLOOKUP(A597,Response!$A:$M,12,)</f>
        <v>No</v>
      </c>
      <c r="Q597" t="str">
        <f>VLOOKUP(A597,Response!$A:$M,11,)</f>
        <v>Egattur</v>
      </c>
      <c r="R597" t="s">
        <v>19</v>
      </c>
      <c r="S597" s="39" t="s">
        <v>37</v>
      </c>
    </row>
    <row r="598" spans="1:19">
      <c r="A598" s="3">
        <v>2521720</v>
      </c>
      <c r="B598" t="str">
        <f>VLOOKUP(A598,File!$A:$J,2,FALSE)</f>
        <v>Akshaya M S</v>
      </c>
      <c r="C598" s="29">
        <f>VLOOKUP(A598,File!$A:$J,5,FALSE)</f>
        <v>46212</v>
      </c>
      <c r="D598" s="29" t="str">
        <f>VLOOKUP(A598,File!$A:$J,3,FALSE)</f>
        <v>Female</v>
      </c>
      <c r="E598" s="29" t="str">
        <f>VLOOKUP(A598,File!$A:$J,4,FALSE)</f>
        <v>FTE</v>
      </c>
      <c r="F598" s="29" t="str">
        <f>VLOOKUP(A598,File!$A:$J,6,FALSE)</f>
        <v>Chennai</v>
      </c>
      <c r="G598" s="29" t="str">
        <f>VLOOKUP(A598,File!$A:$J,7,FALSE)</f>
        <v>QEA26NFTPA001</v>
      </c>
      <c r="H598" s="29" t="str">
        <f>VLOOKUP(A598,File!$A:$J,8,FALSE)</f>
        <v>Lourdhu Selvin Raj X</v>
      </c>
      <c r="I598" s="31">
        <f>VLOOKUP(A598,File!$A:$J,9,FALSE)</f>
        <v>46337</v>
      </c>
      <c r="J598" s="31" t="str">
        <f>VLOOKUP(A598,File!$A:$K,11,FALSE)</f>
        <v>Nov 2026</v>
      </c>
      <c r="K598" s="31" t="str">
        <f>VLOOKUP(A598,File!$A:$K,10,FALSE)</f>
        <v>In-Training</v>
      </c>
      <c r="L598" s="31" t="s">
        <v>4</v>
      </c>
      <c r="M598" t="str">
        <f>VLOOKUP(A598,Response!$A:$M,7,)</f>
        <v>PG (Paying Guest)</v>
      </c>
      <c r="N598" t="str">
        <f>VLOOKUP(A598,Response!$A:$M,8,)</f>
        <v>MSR Luxury PG for Ladies- Branch 1, Egattur</v>
      </c>
      <c r="O598" s="4" t="str">
        <f>VLOOKUP(A598,Response!$A:$M,10,)</f>
        <v>GF</v>
      </c>
      <c r="P598" t="str">
        <f>VLOOKUP(A598,Response!$A:$M,12,)</f>
        <v>No</v>
      </c>
      <c r="Q598" t="str">
        <f>VLOOKUP(A598,Response!$A:$M,11,)</f>
        <v>Siruseri</v>
      </c>
      <c r="R598" t="s">
        <v>19</v>
      </c>
      <c r="S598" s="39" t="s">
        <v>37</v>
      </c>
    </row>
    <row r="599" spans="1:19">
      <c r="A599" s="3">
        <v>2521745</v>
      </c>
      <c r="B599" t="str">
        <f>VLOOKUP(A599,File!$A:$J,2,FALSE)</f>
        <v>Thirandi Ramya</v>
      </c>
      <c r="C599" s="29">
        <f>VLOOKUP(A599,File!$A:$J,5,FALSE)</f>
        <v>46212</v>
      </c>
      <c r="D599" s="29" t="str">
        <f>VLOOKUP(A599,File!$A:$J,3,FALSE)</f>
        <v>Female</v>
      </c>
      <c r="E599" s="29" t="str">
        <f>VLOOKUP(A599,File!$A:$J,4,FALSE)</f>
        <v>FTE</v>
      </c>
      <c r="F599" s="29" t="str">
        <f>VLOOKUP(A599,File!$A:$J,6,FALSE)</f>
        <v>Chennai</v>
      </c>
      <c r="G599" s="29" t="str">
        <f>VLOOKUP(A599,File!$A:$J,7,FALSE)</f>
        <v>QEA26SD001</v>
      </c>
      <c r="H599" s="29" t="str">
        <f>VLOOKUP(A599,File!$A:$J,8,FALSE)</f>
        <v>Ajiesya D P</v>
      </c>
      <c r="I599" s="31">
        <f>VLOOKUP(A599,File!$A:$J,9,FALSE)</f>
        <v>46329</v>
      </c>
      <c r="J599" s="31" t="str">
        <f>VLOOKUP(A599,File!$A:$K,11,FALSE)</f>
        <v>Nov 2026</v>
      </c>
      <c r="K599" s="31" t="str">
        <f>VLOOKUP(A599,File!$A:$K,10,FALSE)</f>
        <v>In-Training</v>
      </c>
      <c r="L599" s="31" t="s">
        <v>4</v>
      </c>
      <c r="M599" t="str">
        <f>VLOOKUP(A599,Response!$A:$M,7,)</f>
        <v>PG (Paying Guest)</v>
      </c>
      <c r="N599" t="str">
        <f>VLOOKUP(A599,Response!$A:$M,8,)</f>
        <v>MSR LUXURY PG for Ladies Branch- 2</v>
      </c>
      <c r="O599" s="4">
        <f>VLOOKUP(A599,Response!$A:$M,10,)</f>
        <v>3</v>
      </c>
      <c r="P599" t="str">
        <f>VLOOKUP(A599,Response!$A:$M,12,)</f>
        <v>No</v>
      </c>
      <c r="Q599" t="str">
        <f>VLOOKUP(A599,Response!$A:$M,11,)</f>
        <v>Egattur</v>
      </c>
      <c r="R599" t="s">
        <v>19</v>
      </c>
      <c r="S599" s="39" t="s">
        <v>37</v>
      </c>
    </row>
    <row r="600" spans="1:19">
      <c r="A600" s="3">
        <v>2531820</v>
      </c>
      <c r="B600" t="str">
        <f>VLOOKUP(A600,File!$A:$J,2,FALSE)</f>
        <v>Pranjal Ramesh Tanpure</v>
      </c>
      <c r="C600" s="29">
        <f>VLOOKUP(A600,File!$A:$J,5,FALSE)</f>
        <v>46254</v>
      </c>
      <c r="D600" s="29" t="str">
        <f>VLOOKUP(A600,File!$A:$J,3,FALSE)</f>
        <v>Female</v>
      </c>
      <c r="E600" s="29" t="str">
        <f>VLOOKUP(A600,File!$A:$J,4,FALSE)</f>
        <v>FTE</v>
      </c>
      <c r="F600" s="29" t="str">
        <f>VLOOKUP(A600,File!$A:$J,6,FALSE)</f>
        <v>Chennai</v>
      </c>
      <c r="G600" s="29" t="str">
        <f>VLOOKUP(A600,File!$A:$J,7,FALSE)</f>
        <v>CS26CS011</v>
      </c>
      <c r="H600" s="29" t="str">
        <f>VLOOKUP(A600,File!$A:$J,8,FALSE)</f>
        <v>Kishorekumar P</v>
      </c>
      <c r="I600" s="31">
        <f>VLOOKUP(A600,File!$A:$J,9,FALSE)</f>
        <v>46343</v>
      </c>
      <c r="J600" s="31" t="str">
        <f>VLOOKUP(A600,File!$A:$K,11,FALSE)</f>
        <v>Nov 2026</v>
      </c>
      <c r="K600" s="31" t="str">
        <f>VLOOKUP(A600,File!$A:$K,10,FALSE)</f>
        <v>In-Training</v>
      </c>
      <c r="L600" s="31" t="s">
        <v>4</v>
      </c>
      <c r="M600" t="str">
        <f>VLOOKUP(A600,Response!$A:$M,7,)</f>
        <v>PG (Paying Guest)</v>
      </c>
      <c r="N600" t="str">
        <f>VLOOKUP(A600,Response!$A:$M,8,)</f>
        <v>MSR Luxury PG for Ladies -Branch 2,Egattur</v>
      </c>
      <c r="O600" s="4">
        <f>VLOOKUP(A600,Response!$A:$M,10,)</f>
        <v>3</v>
      </c>
      <c r="P600" t="str">
        <f>VLOOKUP(A600,Response!$A:$M,12,)</f>
        <v>No</v>
      </c>
      <c r="Q600" t="str">
        <f>VLOOKUP(A600,Response!$A:$M,11,)</f>
        <v>Siruseri</v>
      </c>
      <c r="R600" t="s">
        <v>19</v>
      </c>
      <c r="S600" s="39" t="s">
        <v>37</v>
      </c>
    </row>
    <row r="601" spans="1:19">
      <c r="A601" s="3">
        <v>2519640</v>
      </c>
      <c r="B601" t="str">
        <f>VLOOKUP(A601,File!$A:$J,2,FALSE)</f>
        <v>Shravani Dasari</v>
      </c>
      <c r="C601" s="29">
        <f>VLOOKUP(A601,File!$A:$J,5,FALSE)</f>
        <v>46205</v>
      </c>
      <c r="D601" s="29" t="str">
        <f>VLOOKUP(A601,File!$A:$J,3,FALSE)</f>
        <v>Female</v>
      </c>
      <c r="E601" s="29" t="str">
        <f>VLOOKUP(A601,File!$A:$J,4,FALSE)</f>
        <v>FTE</v>
      </c>
      <c r="F601" s="29" t="str">
        <f>VLOOKUP(A601,File!$A:$J,6,FALSE)</f>
        <v>Chennai</v>
      </c>
      <c r="G601" s="29" t="str">
        <f>VLOOKUP(A601,File!$A:$J,7,FALSE)</f>
        <v>CIS26MCPT013</v>
      </c>
      <c r="H601" s="29" t="str">
        <f>VLOOKUP(A601,File!$A:$J,8,FALSE)</f>
        <v>Lawrance M</v>
      </c>
      <c r="I601" s="31">
        <f>VLOOKUP(A601,File!$A:$J,9,FALSE)</f>
        <v>46324</v>
      </c>
      <c r="J601" s="31" t="str">
        <f>VLOOKUP(A601,File!$A:$K,11,FALSE)</f>
        <v>Oct 2026</v>
      </c>
      <c r="K601" s="31" t="str">
        <f>VLOOKUP(A601,File!$A:$K,10,FALSE)</f>
        <v>In-Training</v>
      </c>
      <c r="L601" s="31" t="s">
        <v>4</v>
      </c>
      <c r="M601" t="str">
        <f>VLOOKUP(A601,Response!$A:$M,7,)</f>
        <v>PG (Paying Guest)</v>
      </c>
      <c r="N601" t="str">
        <f>VLOOKUP(A601,Response!$A:$M,8,)</f>
        <v>MSR Luxury PG for Ladies Branch II</v>
      </c>
      <c r="O601" s="4">
        <f>VLOOKUP(A601,Response!$A:$M,10,)</f>
        <v>2</v>
      </c>
      <c r="P601" t="str">
        <f>VLOOKUP(A601,Response!$A:$M,12,)</f>
        <v>No</v>
      </c>
      <c r="Q601" t="str">
        <f>VLOOKUP(A601,Response!$A:$M,11,)</f>
        <v>Egattur</v>
      </c>
      <c r="R601" t="s">
        <v>19</v>
      </c>
      <c r="S601" s="39" t="s">
        <v>37</v>
      </c>
    </row>
    <row r="602" spans="1:19">
      <c r="A602" s="3">
        <v>2519623</v>
      </c>
      <c r="B602" t="str">
        <f>VLOOKUP(A602,File!$A:$J,2,FALSE)</f>
        <v>Divya Shree V</v>
      </c>
      <c r="C602" s="29">
        <f>VLOOKUP(A602,File!$A:$J,5,FALSE)</f>
        <v>46205</v>
      </c>
      <c r="D602" s="29" t="str">
        <f>VLOOKUP(A602,File!$A:$J,3,FALSE)</f>
        <v>Female</v>
      </c>
      <c r="E602" s="29" t="str">
        <f>VLOOKUP(A602,File!$A:$J,4,FALSE)</f>
        <v>FTE</v>
      </c>
      <c r="F602" s="29" t="str">
        <f>VLOOKUP(A602,File!$A:$J,6,FALSE)</f>
        <v>Chennai</v>
      </c>
      <c r="G602" s="29" t="str">
        <f>VLOOKUP(A602,File!$A:$J,7,FALSE)</f>
        <v>CIS26MCPT013</v>
      </c>
      <c r="H602" s="29" t="str">
        <f>VLOOKUP(A602,File!$A:$J,8,FALSE)</f>
        <v>Lawrance M</v>
      </c>
      <c r="I602" s="31">
        <f>VLOOKUP(A602,File!$A:$J,9,FALSE)</f>
        <v>46324</v>
      </c>
      <c r="J602" s="31" t="str">
        <f>VLOOKUP(A602,File!$A:$K,11,FALSE)</f>
        <v>Oct 2026</v>
      </c>
      <c r="K602" s="31" t="str">
        <f>VLOOKUP(A602,File!$A:$K,10,FALSE)</f>
        <v>In-Training</v>
      </c>
      <c r="L602" s="31" t="s">
        <v>4</v>
      </c>
      <c r="M602" t="str">
        <f>VLOOKUP(A602,Response!$A:$M,7,)</f>
        <v>PG (Paying Guest)</v>
      </c>
      <c r="N602" t="str">
        <f>VLOOKUP(A602,Response!$A:$M,8,)</f>
        <v>MSR Luxury PG for Ladies -Branch III ,Egattur</v>
      </c>
      <c r="O602" s="4">
        <f>VLOOKUP(A602,Response!$A:$M,10,)</f>
        <v>1</v>
      </c>
      <c r="P602" t="str">
        <f>VLOOKUP(A602,Response!$A:$M,12,)</f>
        <v>Yes</v>
      </c>
      <c r="Q602" t="str">
        <f>VLOOKUP(A602,Response!$A:$M,11,)</f>
        <v>Siruseri</v>
      </c>
      <c r="R602" t="s">
        <v>19</v>
      </c>
      <c r="S602" s="39" t="s">
        <v>37</v>
      </c>
    </row>
    <row r="603" spans="1:19">
      <c r="A603" s="3">
        <v>2519705</v>
      </c>
      <c r="B603" t="str">
        <f>VLOOKUP(A603,File!$A:$J,2,FALSE)</f>
        <v>Lipishree H S</v>
      </c>
      <c r="C603" s="29">
        <f>VLOOKUP(A603,File!$A:$J,5,FALSE)</f>
        <v>46205</v>
      </c>
      <c r="D603" s="29" t="str">
        <f>VLOOKUP(A603,File!$A:$J,3,FALSE)</f>
        <v>Female</v>
      </c>
      <c r="E603" s="29" t="str">
        <f>VLOOKUP(A603,File!$A:$J,4,FALSE)</f>
        <v>FTE</v>
      </c>
      <c r="F603" s="29" t="str">
        <f>VLOOKUP(A603,File!$A:$J,6,FALSE)</f>
        <v>Chennai</v>
      </c>
      <c r="G603" s="29" t="str">
        <f>VLOOKUP(A603,File!$A:$J,7,FALSE)</f>
        <v>CIS26UNIX003</v>
      </c>
      <c r="H603" s="29" t="str">
        <f>VLOOKUP(A603,File!$A:$J,8,FALSE)</f>
        <v>Haritha P</v>
      </c>
      <c r="I603" s="31">
        <f>VLOOKUP(A603,File!$A:$J,9,FALSE)</f>
        <v>46289</v>
      </c>
      <c r="J603" s="31" t="str">
        <f>VLOOKUP(A603,File!$A:$K,11,FALSE)</f>
        <v>Sep 2026</v>
      </c>
      <c r="K603" s="31" t="str">
        <f>VLOOKUP(A603,File!$A:$K,10,FALSE)</f>
        <v>In-Training</v>
      </c>
      <c r="L603" s="31" t="s">
        <v>4</v>
      </c>
      <c r="M603" t="str">
        <f>VLOOKUP(A603,Response!$A:$M,7,)</f>
        <v>PG (Paying Guest)</v>
      </c>
      <c r="N603" t="str">
        <f>VLOOKUP(A603,Response!$A:$M,8,)</f>
        <v>MSR luxury pg for ladies, Branch 3, Egattur</v>
      </c>
      <c r="O603" s="4">
        <f>VLOOKUP(A603,Response!$A:$M,10,)</f>
        <v>1</v>
      </c>
      <c r="P603" t="str">
        <f>VLOOKUP(A603,Response!$A:$M,12,)</f>
        <v>No</v>
      </c>
      <c r="Q603" t="str">
        <f>VLOOKUP(A603,Response!$A:$M,11,)</f>
        <v>Siruseri</v>
      </c>
      <c r="R603" t="s">
        <v>19</v>
      </c>
      <c r="S603" s="39" t="s">
        <v>37</v>
      </c>
    </row>
    <row r="604" spans="1:19">
      <c r="A604" s="3">
        <v>2532920</v>
      </c>
      <c r="B604" t="str">
        <f>VLOOKUP(A604,File!$A:$J,2,FALSE)</f>
        <v>Shreayaa LNU</v>
      </c>
      <c r="C604" s="29">
        <f>VLOOKUP(A604,File!$A:$J,5,FALSE)</f>
        <v>46259</v>
      </c>
      <c r="D604" s="29" t="str">
        <f>VLOOKUP(A604,File!$A:$J,3,FALSE)</f>
        <v>Female</v>
      </c>
      <c r="E604" s="29" t="str">
        <f>VLOOKUP(A604,File!$A:$J,4,FALSE)</f>
        <v>FTE</v>
      </c>
      <c r="F604" s="29" t="str">
        <f>VLOOKUP(A604,File!$A:$J,6,FALSE)</f>
        <v>Chennai</v>
      </c>
      <c r="G604" s="29" t="str">
        <f>VLOOKUP(A604,File!$A:$J,7,FALSE)</f>
        <v>IOT26CSJ002</v>
      </c>
      <c r="H604" s="29" t="str">
        <f>VLOOKUP(A604,File!$A:$J,8,FALSE)</f>
        <v>Pavithra Kandasamy</v>
      </c>
      <c r="I604" s="31">
        <f>VLOOKUP(A604,File!$A:$J,9,FALSE)</f>
        <v>46337</v>
      </c>
      <c r="J604" s="31" t="str">
        <f>VLOOKUP(A604,File!$A:$K,11,FALSE)</f>
        <v>Nov 2026</v>
      </c>
      <c r="K604" s="31" t="str">
        <f>VLOOKUP(A604,File!$A:$K,10,FALSE)</f>
        <v>In-Training</v>
      </c>
      <c r="L604" s="31" t="s">
        <v>4</v>
      </c>
      <c r="M604" t="str">
        <f>VLOOKUP(A604,Response!$A:$M,7,)</f>
        <v>PG (Paying Guest)</v>
      </c>
      <c r="N604" t="str">
        <f>VLOOKUP(A604,Response!$A:$M,8,)</f>
        <v>MSR Luxury PG for Ladies, BRANCH 3, EGATTUR</v>
      </c>
      <c r="O604" s="4">
        <f>VLOOKUP(A604,Response!$A:$M,10,)</f>
        <v>2</v>
      </c>
      <c r="P604" t="str">
        <f>VLOOKUP(A604,Response!$A:$M,12,)</f>
        <v>Yes</v>
      </c>
      <c r="Q604" t="str">
        <f>VLOOKUP(A604,Response!$A:$M,11,)</f>
        <v>Siruseri</v>
      </c>
      <c r="R604" t="s">
        <v>19</v>
      </c>
      <c r="S604" s="39" t="s">
        <v>37</v>
      </c>
    </row>
    <row r="605" spans="1:19">
      <c r="A605" s="3">
        <v>2532958</v>
      </c>
      <c r="B605" t="str">
        <f>VLOOKUP(A605,File!$A:$J,2,FALSE)</f>
        <v>Jaldu Kavya Sree Lakshmi</v>
      </c>
      <c r="C605" s="29">
        <f>VLOOKUP(A605,File!$A:$J,5,FALSE)</f>
        <v>46259</v>
      </c>
      <c r="D605" s="29" t="str">
        <f>VLOOKUP(A605,File!$A:$J,3,FALSE)</f>
        <v>Female</v>
      </c>
      <c r="E605" s="29" t="str">
        <f>VLOOKUP(A605,File!$A:$J,4,FALSE)</f>
        <v>FTE</v>
      </c>
      <c r="F605" s="29" t="str">
        <f>VLOOKUP(A605,File!$A:$J,6,FALSE)</f>
        <v>Chennai</v>
      </c>
      <c r="G605" s="29" t="str">
        <f>VLOOKUP(A605,File!$A:$J,7,FALSE)</f>
        <v>CIS26MBG007</v>
      </c>
      <c r="H605" s="29" t="str">
        <f>VLOOKUP(A605,File!$A:$J,8,FALSE)</f>
        <v>Lawrance M</v>
      </c>
      <c r="I605" s="31">
        <f>VLOOKUP(A605,File!$A:$J,9,FALSE)</f>
        <v>46367</v>
      </c>
      <c r="J605" s="31" t="str">
        <f>VLOOKUP(A605,File!$A:$K,11,FALSE)</f>
        <v>Dec 2026</v>
      </c>
      <c r="K605" s="31" t="str">
        <f>VLOOKUP(A605,File!$A:$K,10,FALSE)</f>
        <v>In-Training</v>
      </c>
      <c r="L605" s="31" t="s">
        <v>4</v>
      </c>
      <c r="M605" t="str">
        <f>VLOOKUP(A605,Response!$A:$M,7,)</f>
        <v>PG (Paying Guest)</v>
      </c>
      <c r="N605" t="str">
        <f>VLOOKUP(A605,Response!$A:$M,8,)</f>
        <v>MSR LUXURY PG FOR LADIES, BRANCH-3, AMMAN KOVLI STREET ,EGATTUR</v>
      </c>
      <c r="O605" s="4">
        <f>VLOOKUP(A605,Response!$A:$M,10,)</f>
        <v>3</v>
      </c>
      <c r="P605" t="str">
        <f>VLOOKUP(A605,Response!$A:$M,12,)</f>
        <v>No</v>
      </c>
      <c r="Q605" t="str">
        <f>VLOOKUP(A605,Response!$A:$M,11,)</f>
        <v>Siruseri</v>
      </c>
      <c r="R605" t="s">
        <v>19</v>
      </c>
      <c r="S605" s="39" t="s">
        <v>37</v>
      </c>
    </row>
    <row r="606" spans="1:19">
      <c r="A606" s="3">
        <v>2533016</v>
      </c>
      <c r="B606" t="str">
        <f>VLOOKUP(A606,File!$A:$J,2,FALSE)</f>
        <v>Varsha Mude</v>
      </c>
      <c r="C606" s="29">
        <f>VLOOKUP(A606,File!$A:$J,5,FALSE)</f>
        <v>46259</v>
      </c>
      <c r="D606" s="29" t="str">
        <f>VLOOKUP(A606,File!$A:$J,3,FALSE)</f>
        <v>Female</v>
      </c>
      <c r="E606" s="29" t="str">
        <f>VLOOKUP(A606,File!$A:$J,4,FALSE)</f>
        <v>FTE</v>
      </c>
      <c r="F606" s="29" t="str">
        <f>VLOOKUP(A606,File!$A:$J,6,FALSE)</f>
        <v>Chennai</v>
      </c>
      <c r="G606" s="29" t="str">
        <f>VLOOKUP(A606,File!$A:$J,7,FALSE)</f>
        <v>IOT26CSJ002</v>
      </c>
      <c r="H606" s="29" t="str">
        <f>VLOOKUP(A606,File!$A:$J,8,FALSE)</f>
        <v>Pavithra Kandasamy</v>
      </c>
      <c r="I606" s="31">
        <f>VLOOKUP(A606,File!$A:$J,9,FALSE)</f>
        <v>46337</v>
      </c>
      <c r="J606" s="31" t="str">
        <f>VLOOKUP(A606,File!$A:$K,11,FALSE)</f>
        <v>Nov 2026</v>
      </c>
      <c r="K606" s="31" t="str">
        <f>VLOOKUP(A606,File!$A:$K,10,FALSE)</f>
        <v>In-Training</v>
      </c>
      <c r="L606" s="31" t="s">
        <v>4</v>
      </c>
      <c r="M606" t="str">
        <f>VLOOKUP(A606,Response!$A:$M,7,)</f>
        <v>PG (Paying Guest)</v>
      </c>
      <c r="N606" t="str">
        <f>VLOOKUP(A606,Response!$A:$M,8,)</f>
        <v xml:space="preserve">MSR Luxury PG for Ladies, SIPCOT IT Park, No: 4/239, Gangai Amman Kovil Street, Egattur, Near Marina Mall, Chennai, Tamil Nadu, 600130 </v>
      </c>
      <c r="O606" s="4">
        <f>VLOOKUP(A606,Response!$A:$M,10,)</f>
        <v>1</v>
      </c>
      <c r="P606" t="str">
        <f>VLOOKUP(A606,Response!$A:$M,12,)</f>
        <v>No</v>
      </c>
      <c r="Q606" t="str">
        <f>VLOOKUP(A606,Response!$A:$M,11,)</f>
        <v>Egattur</v>
      </c>
      <c r="R606" t="s">
        <v>19</v>
      </c>
      <c r="S606" s="39" t="s">
        <v>37</v>
      </c>
    </row>
    <row r="607" spans="1:19">
      <c r="A607" s="3">
        <v>2533586</v>
      </c>
      <c r="B607" t="str">
        <f>VLOOKUP(A607,File!$A:$J,2,FALSE)</f>
        <v>Kurama Mohana Lakshmi</v>
      </c>
      <c r="C607" s="29">
        <f>VLOOKUP(A607,File!$A:$J,5,FALSE)</f>
        <v>46261</v>
      </c>
      <c r="D607" s="29" t="str">
        <f>VLOOKUP(A607,File!$A:$J,3,FALSE)</f>
        <v>Female</v>
      </c>
      <c r="E607" s="29" t="str">
        <f>VLOOKUP(A607,File!$A:$J,4,FALSE)</f>
        <v>FTE</v>
      </c>
      <c r="F607" s="29" t="str">
        <f>VLOOKUP(A607,File!$A:$J,6,FALSE)</f>
        <v>Chennai</v>
      </c>
      <c r="G607" s="29" t="str">
        <f>VLOOKUP(A607,File!$A:$J,7,FALSE)</f>
        <v>EPS26SAP038</v>
      </c>
      <c r="H607" s="29" t="str">
        <f>VLOOKUP(A607,File!$A:$J,8,FALSE)</f>
        <v>Ajith Ganesan</v>
      </c>
      <c r="I607" s="31">
        <f>VLOOKUP(A607,File!$A:$J,9,FALSE)</f>
        <v>46322</v>
      </c>
      <c r="J607" s="31" t="str">
        <f>VLOOKUP(A607,File!$A:$K,11,FALSE)</f>
        <v>Oct 2026</v>
      </c>
      <c r="K607" s="31" t="str">
        <f>VLOOKUP(A607,File!$A:$K,10,FALSE)</f>
        <v>In-Training</v>
      </c>
      <c r="L607" s="31" t="s">
        <v>4</v>
      </c>
      <c r="M607" t="str">
        <f>VLOOKUP(A607,Response!$A:$M,7,)</f>
        <v>PG (Paying Guest)</v>
      </c>
      <c r="N607" t="str">
        <f>VLOOKUP(A607,Response!$A:$M,8,)</f>
        <v>MSR Luxury PG for Ladies-Branch 1, Egattur</v>
      </c>
      <c r="O607" s="4">
        <f>VLOOKUP(A607,Response!$A:$M,10,)</f>
        <v>1</v>
      </c>
      <c r="P607" t="str">
        <f>VLOOKUP(A607,Response!$A:$M,12,)</f>
        <v>No</v>
      </c>
      <c r="Q607" t="str">
        <f>VLOOKUP(A607,Response!$A:$M,11,)</f>
        <v>Egattur</v>
      </c>
      <c r="R607" t="s">
        <v>19</v>
      </c>
      <c r="S607" s="39" t="s">
        <v>37</v>
      </c>
    </row>
    <row r="608" spans="1:19">
      <c r="A608" s="3">
        <v>2531794</v>
      </c>
      <c r="B608" t="str">
        <f>VLOOKUP(A608,File!$A:$J,2,FALSE)</f>
        <v>Annapareddy Dwarakamai</v>
      </c>
      <c r="C608" s="29">
        <f>VLOOKUP(A608,File!$A:$J,5,FALSE)</f>
        <v>46254</v>
      </c>
      <c r="D608" s="29" t="str">
        <f>VLOOKUP(A608,File!$A:$J,3,FALSE)</f>
        <v>Female</v>
      </c>
      <c r="E608" s="29" t="str">
        <f>VLOOKUP(A608,File!$A:$J,4,FALSE)</f>
        <v>Intern</v>
      </c>
      <c r="F608" s="29" t="str">
        <f>VLOOKUP(A608,File!$A:$J,6,FALSE)</f>
        <v>Chennai</v>
      </c>
      <c r="G608" s="29" t="str">
        <f>VLOOKUP(A608,File!$A:$J,7,FALSE)</f>
        <v>INTFE26FE001</v>
      </c>
      <c r="H608" s="29" t="str">
        <f>VLOOKUP(A608,File!$A:$J,8,FALSE)</f>
        <v>Grace Esther S</v>
      </c>
      <c r="I608" s="31">
        <f>VLOOKUP(A608,File!$A:$J,9,FALSE)</f>
        <v>46310</v>
      </c>
      <c r="J608" s="31" t="str">
        <f>VLOOKUP(A608,File!$A:$K,11,FALSE)</f>
        <v>Oct 2026</v>
      </c>
      <c r="K608" s="31" t="str">
        <f>VLOOKUP(A608,File!$A:$K,10,FALSE)</f>
        <v>In-Training</v>
      </c>
      <c r="L608" s="31" t="s">
        <v>4</v>
      </c>
      <c r="M608" t="str">
        <f>VLOOKUP(A608,Response!$A:$M,7,)</f>
        <v>PG (Paying Guest)</v>
      </c>
      <c r="N608" t="str">
        <f>VLOOKUP(A608,Response!$A:$M,8,)</f>
        <v>MSR Luxury PG for Ladies-Branch 2, Egattur</v>
      </c>
      <c r="O608" s="4">
        <f>VLOOKUP(A608,Response!$A:$M,10,)</f>
        <v>1</v>
      </c>
      <c r="P608" t="str">
        <f>VLOOKUP(A608,Response!$A:$M,12,)</f>
        <v>No</v>
      </c>
      <c r="Q608" t="str">
        <f>VLOOKUP(A608,Response!$A:$M,11,)</f>
        <v>Egattur</v>
      </c>
      <c r="R608" t="s">
        <v>19</v>
      </c>
      <c r="S608" s="39" t="s">
        <v>37</v>
      </c>
    </row>
    <row r="609" spans="1:19">
      <c r="A609" s="3">
        <v>2521724</v>
      </c>
      <c r="B609" t="str">
        <f>VLOOKUP(A609,File!$A:$J,2,FALSE)</f>
        <v>Sudharsana Ramalingam</v>
      </c>
      <c r="C609" s="29">
        <f>VLOOKUP(A609,File!$A:$J,5,FALSE)</f>
        <v>46212</v>
      </c>
      <c r="D609" s="29" t="str">
        <f>VLOOKUP(A609,File!$A:$J,3,FALSE)</f>
        <v>Female</v>
      </c>
      <c r="E609" s="29" t="str">
        <f>VLOOKUP(A609,File!$A:$J,4,FALSE)</f>
        <v>FTE</v>
      </c>
      <c r="F609" s="29" t="str">
        <f>VLOOKUP(A609,File!$A:$J,6,FALSE)</f>
        <v>Chennai</v>
      </c>
      <c r="G609" s="29" t="str">
        <f>VLOOKUP(A609,File!$A:$J,7,FALSE)</f>
        <v>QEA26NFTPA001</v>
      </c>
      <c r="H609" s="29" t="str">
        <f>VLOOKUP(A609,File!$A:$J,8,FALSE)</f>
        <v>Lourdhu Selvin Raj X</v>
      </c>
      <c r="I609" s="31">
        <f>VLOOKUP(A609,File!$A:$J,9,FALSE)</f>
        <v>46337</v>
      </c>
      <c r="J609" s="31" t="str">
        <f>VLOOKUP(A609,File!$A:$K,11,FALSE)</f>
        <v>Nov 2026</v>
      </c>
      <c r="K609" s="31" t="str">
        <f>VLOOKUP(A609,File!$A:$K,10,FALSE)</f>
        <v>In-Training</v>
      </c>
      <c r="L609" s="31" t="s">
        <v>4</v>
      </c>
      <c r="M609" t="str">
        <f>VLOOKUP(A609,Response!$A:$M,7,)</f>
        <v>PG (Paying Guest)</v>
      </c>
      <c r="N609" t="str">
        <f>VLOOKUP(A609,Response!$A:$M,8,)</f>
        <v>MSR LUXURY PG FOR LADIES-BRANCH 3 , EGATTUR.</v>
      </c>
      <c r="O609" s="4">
        <f>VLOOKUP(A609,Response!$A:$M,10,)</f>
        <v>3</v>
      </c>
      <c r="P609" t="str">
        <f>VLOOKUP(A609,Response!$A:$M,12,)</f>
        <v>Yes</v>
      </c>
      <c r="Q609" t="str">
        <f>VLOOKUP(A609,Response!$A:$M,11,)</f>
        <v>Siruseri</v>
      </c>
      <c r="R609" t="s">
        <v>19</v>
      </c>
      <c r="S609" s="39" t="s">
        <v>37</v>
      </c>
    </row>
    <row r="610" spans="1:19">
      <c r="A610" s="3">
        <v>2522853</v>
      </c>
      <c r="B610" t="str">
        <f>VLOOKUP(A610,File!$A:$J,2,FALSE)</f>
        <v>Swathi Selvaraj</v>
      </c>
      <c r="C610" s="29">
        <f>VLOOKUP(A610,File!$A:$J,5,FALSE)</f>
        <v>46217</v>
      </c>
      <c r="D610" s="29" t="str">
        <f>VLOOKUP(A610,File!$A:$J,3,FALSE)</f>
        <v>Female</v>
      </c>
      <c r="E610" s="29" t="str">
        <f>VLOOKUP(A610,File!$A:$J,4,FALSE)</f>
        <v>FTE</v>
      </c>
      <c r="F610" s="29" t="str">
        <f>VLOOKUP(A610,File!$A:$J,6,FALSE)</f>
        <v>Chennai</v>
      </c>
      <c r="G610" s="29" t="str">
        <f>VLOOKUP(A610,File!$A:$J,7,FALSE)</f>
        <v>CIS26MCPT017</v>
      </c>
      <c r="H610" s="29" t="str">
        <f>VLOOKUP(A610,File!$A:$J,8,FALSE)</f>
        <v>Haritha P</v>
      </c>
      <c r="I610" s="31">
        <f>VLOOKUP(A610,File!$A:$J,9,FALSE)</f>
        <v>46335</v>
      </c>
      <c r="J610" s="31" t="str">
        <f>VLOOKUP(A610,File!$A:$K,11,FALSE)</f>
        <v>Nov 2026</v>
      </c>
      <c r="K610" s="31" t="str">
        <f>VLOOKUP(A610,File!$A:$K,10,FALSE)</f>
        <v>In-Training</v>
      </c>
      <c r="L610" s="31" t="s">
        <v>4</v>
      </c>
      <c r="M610" t="str">
        <f>VLOOKUP(A610,Response!$A:$M,7,)</f>
        <v>PG (Paying Guest)</v>
      </c>
      <c r="N610" t="str">
        <f>VLOOKUP(A610,Response!$A:$M,8,)</f>
        <v>MSR Luxury PG for Women</v>
      </c>
      <c r="O610" s="4" t="str">
        <f>VLOOKUP(A610,Response!$A:$M,10,)</f>
        <v>GF</v>
      </c>
      <c r="P610" t="str">
        <f>VLOOKUP(A610,Response!$A:$M,12,)</f>
        <v>No</v>
      </c>
      <c r="Q610" t="str">
        <f>VLOOKUP(A610,Response!$A:$M,11,)</f>
        <v>Siruseri</v>
      </c>
      <c r="R610" t="s">
        <v>19</v>
      </c>
      <c r="S610" s="39" t="s">
        <v>37</v>
      </c>
    </row>
    <row r="611" spans="1:19">
      <c r="A611" s="3">
        <v>2521768</v>
      </c>
      <c r="B611" t="str">
        <f>VLOOKUP(A611,File!$A:$J,2,FALSE)</f>
        <v>Guduri Pranathi</v>
      </c>
      <c r="C611" s="29">
        <f>VLOOKUP(A611,File!$A:$J,5,FALSE)</f>
        <v>46212</v>
      </c>
      <c r="D611" s="29" t="str">
        <f>VLOOKUP(A611,File!$A:$J,3,FALSE)</f>
        <v>Female</v>
      </c>
      <c r="E611" s="29" t="str">
        <f>VLOOKUP(A611,File!$A:$J,4,FALSE)</f>
        <v>FTE</v>
      </c>
      <c r="F611" s="29" t="str">
        <f>VLOOKUP(A611,File!$A:$J,6,FALSE)</f>
        <v>Chennai</v>
      </c>
      <c r="G611" s="29" t="str">
        <f>VLOOKUP(A611,File!$A:$J,7,FALSE)</f>
        <v>QEA26SD001</v>
      </c>
      <c r="H611" s="29" t="str">
        <f>VLOOKUP(A611,File!$A:$J,8,FALSE)</f>
        <v>Ajiesya D P</v>
      </c>
      <c r="I611" s="31">
        <f>VLOOKUP(A611,File!$A:$J,9,FALSE)</f>
        <v>46329</v>
      </c>
      <c r="J611" s="31" t="str">
        <f>VLOOKUP(A611,File!$A:$K,11,FALSE)</f>
        <v>Nov 2026</v>
      </c>
      <c r="K611" s="31" t="str">
        <f>VLOOKUP(A611,File!$A:$K,10,FALSE)</f>
        <v>In-Training</v>
      </c>
      <c r="L611" s="31" t="s">
        <v>4</v>
      </c>
      <c r="M611" t="str">
        <f>VLOOKUP(A611,Response!$A:$M,7,)</f>
        <v>PG (Paying Guest)</v>
      </c>
      <c r="N611" t="str">
        <f>VLOOKUP(A611,Response!$A:$M,8,)</f>
        <v>MSR LUXURY PG FOR WOMEN - Branch 3, Egattur.</v>
      </c>
      <c r="O611" s="4">
        <f>VLOOKUP(A611,Response!$A:$M,10,)</f>
        <v>4</v>
      </c>
      <c r="P611" t="str">
        <f>VLOOKUP(A611,Response!$A:$M,12,)</f>
        <v>No</v>
      </c>
      <c r="Q611" t="str">
        <f>VLOOKUP(A611,Response!$A:$M,11,)</f>
        <v>Egattur</v>
      </c>
      <c r="R611" t="s">
        <v>19</v>
      </c>
      <c r="S611" s="39" t="s">
        <v>37</v>
      </c>
    </row>
    <row r="612" spans="1:19">
      <c r="A612" s="3">
        <v>2519671</v>
      </c>
      <c r="B612" t="str">
        <f>VLOOKUP(A612,File!$A:$J,2,FALSE)</f>
        <v>Talachutla Satyavathi</v>
      </c>
      <c r="C612" s="29">
        <f>VLOOKUP(A612,File!$A:$J,5,FALSE)</f>
        <v>46205</v>
      </c>
      <c r="D612" s="29" t="str">
        <f>VLOOKUP(A612,File!$A:$J,3,FALSE)</f>
        <v>Female</v>
      </c>
      <c r="E612" s="29" t="str">
        <f>VLOOKUP(A612,File!$A:$J,4,FALSE)</f>
        <v>FTE</v>
      </c>
      <c r="F612" s="29" t="str">
        <f>VLOOKUP(A612,File!$A:$J,6,FALSE)</f>
        <v>Chennai</v>
      </c>
      <c r="G612" s="29" t="str">
        <f>VLOOKUP(A612,File!$A:$J,7,FALSE)</f>
        <v>CIS26UNIX004</v>
      </c>
      <c r="H612" s="29" t="str">
        <f>VLOOKUP(A612,File!$A:$J,8,FALSE)</f>
        <v>Haritha P</v>
      </c>
      <c r="I612" s="31">
        <f>VLOOKUP(A612,File!$A:$J,9,FALSE)</f>
        <v>46289</v>
      </c>
      <c r="J612" s="31" t="str">
        <f>VLOOKUP(A612,File!$A:$K,11,FALSE)</f>
        <v>Sep 2026</v>
      </c>
      <c r="K612" s="31" t="str">
        <f>VLOOKUP(A612,File!$A:$K,10,FALSE)</f>
        <v>In-Training</v>
      </c>
      <c r="L612" s="31" t="s">
        <v>4</v>
      </c>
      <c r="M612" t="str">
        <f>VLOOKUP(A612,Response!$A:$M,7,)</f>
        <v>PG (Paying Guest)</v>
      </c>
      <c r="N612" t="str">
        <f>VLOOKUP(A612,Response!$A:$M,8,)</f>
        <v>MSR PG -Branch 2,Egattur</v>
      </c>
      <c r="O612" s="4">
        <f>VLOOKUP(A612,Response!$A:$M,10,)</f>
        <v>2</v>
      </c>
      <c r="P612" t="str">
        <f>VLOOKUP(A612,Response!$A:$M,12,)</f>
        <v>No</v>
      </c>
      <c r="Q612" t="str">
        <f>VLOOKUP(A612,Response!$A:$M,11,)</f>
        <v>Siruseri</v>
      </c>
      <c r="R612" t="s">
        <v>19</v>
      </c>
      <c r="S612" s="39" t="s">
        <v>37</v>
      </c>
    </row>
    <row r="613" spans="1:19">
      <c r="A613" s="3">
        <v>2522863</v>
      </c>
      <c r="B613" t="str">
        <f>VLOOKUP(A613,File!$A:$J,2,FALSE)</f>
        <v>Afeefa Begum M</v>
      </c>
      <c r="C613" s="29">
        <f>VLOOKUP(A613,File!$A:$J,5,FALSE)</f>
        <v>46217</v>
      </c>
      <c r="D613" s="29" t="str">
        <f>VLOOKUP(A613,File!$A:$J,3,FALSE)</f>
        <v>Female</v>
      </c>
      <c r="E613" s="29" t="str">
        <f>VLOOKUP(A613,File!$A:$J,4,FALSE)</f>
        <v>FTE</v>
      </c>
      <c r="F613" s="29" t="str">
        <f>VLOOKUP(A613,File!$A:$J,6,FALSE)</f>
        <v>Chennai</v>
      </c>
      <c r="G613" s="29" t="str">
        <f>VLOOKUP(A613,File!$A:$J,7,FALSE)</f>
        <v>CIS26MCPT017</v>
      </c>
      <c r="H613" s="29" t="str">
        <f>VLOOKUP(A613,File!$A:$J,8,FALSE)</f>
        <v>Haritha P</v>
      </c>
      <c r="I613" s="31">
        <f>VLOOKUP(A613,File!$A:$J,9,FALSE)</f>
        <v>46335</v>
      </c>
      <c r="J613" s="31" t="str">
        <f>VLOOKUP(A613,File!$A:$K,11,FALSE)</f>
        <v>Nov 2026</v>
      </c>
      <c r="K613" s="31" t="str">
        <f>VLOOKUP(A613,File!$A:$K,10,FALSE)</f>
        <v>In-Training</v>
      </c>
      <c r="L613" s="31" t="s">
        <v>4</v>
      </c>
      <c r="M613" t="str">
        <f>VLOOKUP(A613,Response!$A:$M,7,)</f>
        <v>PG (Paying Guest)</v>
      </c>
      <c r="N613" t="str">
        <f>VLOOKUP(A613,Response!$A:$M,8,)</f>
        <v>MSR-3 Branch</v>
      </c>
      <c r="O613" s="4">
        <f>VLOOKUP(A613,Response!$A:$M,10,)</f>
        <v>2</v>
      </c>
      <c r="P613" t="str">
        <f>VLOOKUP(A613,Response!$A:$M,12,)</f>
        <v>Yes</v>
      </c>
      <c r="Q613" t="str">
        <f>VLOOKUP(A613,Response!$A:$M,11,)</f>
        <v>Siruseri</v>
      </c>
      <c r="R613" t="s">
        <v>19</v>
      </c>
      <c r="S613" s="39" t="s">
        <v>37</v>
      </c>
    </row>
    <row r="614" spans="1:19">
      <c r="A614" s="3">
        <v>2519701</v>
      </c>
      <c r="B614" t="str">
        <f>VLOOKUP(A614,File!$A:$J,2,FALSE)</f>
        <v>Matta Anand Krishna</v>
      </c>
      <c r="C614" s="29">
        <f>VLOOKUP(A614,File!$A:$J,5,FALSE)</f>
        <v>46205</v>
      </c>
      <c r="D614" s="29" t="str">
        <f>VLOOKUP(A614,File!$A:$J,3,FALSE)</f>
        <v>Male</v>
      </c>
      <c r="E614" s="29" t="str">
        <f>VLOOKUP(A614,File!$A:$J,4,FALSE)</f>
        <v>FTE</v>
      </c>
      <c r="F614" s="29" t="str">
        <f>VLOOKUP(A614,File!$A:$J,6,FALSE)</f>
        <v>Chennai</v>
      </c>
      <c r="G614" s="29" t="str">
        <f>VLOOKUP(A614,File!$A:$J,7,FALSE)</f>
        <v>CIS26UNIX004</v>
      </c>
      <c r="H614" s="29" t="str">
        <f>VLOOKUP(A614,File!$A:$J,8,FALSE)</f>
        <v>Haritha P</v>
      </c>
      <c r="I614" s="31">
        <f>VLOOKUP(A614,File!$A:$J,9,FALSE)</f>
        <v>46289</v>
      </c>
      <c r="J614" s="31" t="str">
        <f>VLOOKUP(A614,File!$A:$K,11,FALSE)</f>
        <v>Sep 2026</v>
      </c>
      <c r="K614" s="31" t="str">
        <f>VLOOKUP(A614,File!$A:$K,10,FALSE)</f>
        <v>In-Training</v>
      </c>
      <c r="L614" s="31" t="s">
        <v>4</v>
      </c>
      <c r="M614" t="str">
        <f>VLOOKUP(A614,Response!$A:$M,7,)</f>
        <v>PG (Paying Guest)</v>
      </c>
      <c r="N614" t="str">
        <f>VLOOKUP(A614,Response!$A:$M,8,)</f>
        <v>Murugan PG, Navalur Signal, Navalur</v>
      </c>
      <c r="O614" s="4">
        <f>VLOOKUP(A614,Response!$A:$M,10,)</f>
        <v>2</v>
      </c>
      <c r="P614" t="str">
        <f>VLOOKUP(A614,Response!$A:$M,12,)</f>
        <v>No</v>
      </c>
      <c r="Q614" t="str">
        <f>VLOOKUP(A614,Response!$A:$M,11,)</f>
        <v>Navalur</v>
      </c>
      <c r="R614" t="s">
        <v>19</v>
      </c>
      <c r="S614" s="39" t="s">
        <v>37</v>
      </c>
    </row>
    <row r="615" spans="1:19">
      <c r="A615" s="3">
        <v>2512319</v>
      </c>
      <c r="B615" t="str">
        <f>VLOOKUP(A615,File!$A:$J,2,FALSE)</f>
        <v>Dinesh R</v>
      </c>
      <c r="C615" s="29">
        <f>VLOOKUP(A615,File!$A:$J,5,FALSE)</f>
        <v>46170</v>
      </c>
      <c r="D615" s="29" t="str">
        <f>VLOOKUP(A615,File!$A:$J,3,FALSE)</f>
        <v>Male</v>
      </c>
      <c r="E615" s="29" t="str">
        <f>VLOOKUP(A615,File!$A:$J,4,FALSE)</f>
        <v>FTE</v>
      </c>
      <c r="F615" s="29" t="str">
        <f>VLOOKUP(A615,File!$A:$J,6,FALSE)</f>
        <v>Chennai</v>
      </c>
      <c r="G615" s="29" t="str">
        <f>VLOOKUP(A615,File!$A:$J,7,FALSE)</f>
        <v>CIS26MCPT011</v>
      </c>
      <c r="H615" s="29" t="str">
        <f>VLOOKUP(A615,File!$A:$J,8,FALSE)</f>
        <v>Uma Venkatachalam</v>
      </c>
      <c r="I615" s="31">
        <f>VLOOKUP(A615,File!$A:$J,9,FALSE)</f>
        <v>46282</v>
      </c>
      <c r="J615" s="31" t="str">
        <f>VLOOKUP(A615,File!$A:$K,11,FALSE)</f>
        <v>Sep 2026</v>
      </c>
      <c r="K615" s="31" t="str">
        <f>VLOOKUP(A615,File!$A:$K,10,FALSE)</f>
        <v>In-Training</v>
      </c>
      <c r="L615" s="31" t="s">
        <v>5</v>
      </c>
      <c r="M615" t="str">
        <f>VLOOKUP(A615,Response!$A:$M,7,)</f>
        <v>Rented House/Apartment</v>
      </c>
      <c r="N615" t="str">
        <f>VLOOKUP(A615,Response!$A:$M,8,)</f>
        <v>N/A</v>
      </c>
      <c r="O615" s="4" t="str">
        <f>VLOOKUP(A615,Response!$A:$M,10,)</f>
        <v>GF</v>
      </c>
      <c r="P615" t="str">
        <f>VLOOKUP(A615,Response!$A:$M,12,)</f>
        <v>Yes</v>
      </c>
      <c r="Q615" t="str">
        <f>VLOOKUP(A615,Response!$A:$M,11,)</f>
        <v>Chromepet</v>
      </c>
      <c r="R615" t="s">
        <v>63</v>
      </c>
      <c r="S615" t="s">
        <v>38</v>
      </c>
    </row>
    <row r="616" spans="1:19">
      <c r="A616" s="3">
        <v>2533128</v>
      </c>
      <c r="B616" t="str">
        <f>VLOOKUP(A616,File!$A:$J,2,FALSE)</f>
        <v>Stefna LNU</v>
      </c>
      <c r="C616" s="29">
        <f>VLOOKUP(A616,File!$A:$J,5,FALSE)</f>
        <v>46259</v>
      </c>
      <c r="D616" s="29" t="str">
        <f>VLOOKUP(A616,File!$A:$J,3,FALSE)</f>
        <v>Female</v>
      </c>
      <c r="E616" s="29" t="str">
        <f>VLOOKUP(A616,File!$A:$J,4,FALSE)</f>
        <v>FTE</v>
      </c>
      <c r="F616" s="29" t="str">
        <f>VLOOKUP(A616,File!$A:$J,6,FALSE)</f>
        <v>Chennai</v>
      </c>
      <c r="G616" s="29" t="str">
        <f>VLOOKUP(A616,File!$A:$J,7,FALSE)</f>
        <v>CIS26MBG007</v>
      </c>
      <c r="H616" s="29" t="str">
        <f>VLOOKUP(A616,File!$A:$J,8,FALSE)</f>
        <v>Lawrance M</v>
      </c>
      <c r="I616" s="31">
        <f>VLOOKUP(A616,File!$A:$J,9,FALSE)</f>
        <v>46367</v>
      </c>
      <c r="J616" s="31" t="str">
        <f>VLOOKUP(A616,File!$A:$K,11,FALSE)</f>
        <v>Dec 2026</v>
      </c>
      <c r="K616" s="31" t="str">
        <f>VLOOKUP(A616,File!$A:$K,10,FALSE)</f>
        <v>In-Training</v>
      </c>
      <c r="L616" s="31" t="s">
        <v>5</v>
      </c>
      <c r="M616" t="str">
        <f>VLOOKUP(A616,Response!$A:$M,7,)</f>
        <v>Permanent Residence (House/Home)</v>
      </c>
      <c r="N616" t="str">
        <f>VLOOKUP(A616,Response!$A:$M,8,)</f>
        <v>NA</v>
      </c>
      <c r="O616" s="4">
        <f>VLOOKUP(A616,Response!$A:$M,10,)</f>
        <v>1</v>
      </c>
      <c r="P616" t="str">
        <f>VLOOKUP(A616,Response!$A:$M,12,)</f>
        <v>Yes</v>
      </c>
      <c r="Q616" t="str">
        <f>VLOOKUP(A616,Response!$A:$M,11,)</f>
        <v>Ramapuram</v>
      </c>
      <c r="S616" t="s">
        <v>38</v>
      </c>
    </row>
    <row r="617" spans="1:19">
      <c r="A617" s="3">
        <v>2525043</v>
      </c>
      <c r="B617" t="str">
        <f>VLOOKUP(A617,File!$A:$J,2,FALSE)</f>
        <v>Eshwar S</v>
      </c>
      <c r="C617" s="29">
        <f>VLOOKUP(A617,File!$A:$J,5,FALSE)</f>
        <v>46226</v>
      </c>
      <c r="D617" s="29" t="str">
        <f>VLOOKUP(A617,File!$A:$J,3,FALSE)</f>
        <v>Male</v>
      </c>
      <c r="E617" s="29" t="str">
        <f>VLOOKUP(A617,File!$A:$J,4,FALSE)</f>
        <v>FTE</v>
      </c>
      <c r="F617" s="29" t="str">
        <f>VLOOKUP(A617,File!$A:$J,6,FALSE)</f>
        <v>Chennai</v>
      </c>
      <c r="G617" s="29" t="str">
        <f>VLOOKUP(A617,File!$A:$J,7,FALSE)</f>
        <v>ADM26ISMO010</v>
      </c>
      <c r="H617" s="29" t="str">
        <f>VLOOKUP(A617,File!$A:$J,8,FALSE)</f>
        <v>Thomas Naveen. J</v>
      </c>
      <c r="I617" s="31">
        <f>VLOOKUP(A617,File!$A:$J,9,FALSE)</f>
        <v>46301</v>
      </c>
      <c r="J617" s="31" t="str">
        <f>VLOOKUP(A617,File!$A:$K,11,FALSE)</f>
        <v>Oct 2026</v>
      </c>
      <c r="K617" s="31" t="str">
        <f>VLOOKUP(A617,File!$A:$K,10,FALSE)</f>
        <v>In-Training</v>
      </c>
      <c r="L617" s="31" t="s">
        <v>5</v>
      </c>
      <c r="M617" t="str">
        <f>VLOOKUP(A617,Response!$A:$M,7,)</f>
        <v>Permanent Residence (House/Home)</v>
      </c>
      <c r="N617" t="str">
        <f>VLOOKUP(A617,Response!$A:$M,8,)</f>
        <v>NA</v>
      </c>
      <c r="O617" s="4">
        <f>VLOOKUP(A617,Response!$A:$M,10,)</f>
        <v>1</v>
      </c>
      <c r="P617" t="str">
        <f>VLOOKUP(A617,Response!$A:$M,12,)</f>
        <v>Yes</v>
      </c>
      <c r="Q617" t="str">
        <f>VLOOKUP(A617,Response!$A:$M,11,)</f>
        <v>Tambaram</v>
      </c>
      <c r="S617" t="s">
        <v>38</v>
      </c>
    </row>
    <row r="618" spans="1:19">
      <c r="A618" s="3">
        <v>2512359</v>
      </c>
      <c r="B618" t="str">
        <f>VLOOKUP(A618,File!$A:$J,2,FALSE)</f>
        <v>Thiyagarajan C</v>
      </c>
      <c r="C618" s="29">
        <f>VLOOKUP(A618,File!$A:$J,5,FALSE)</f>
        <v>46170</v>
      </c>
      <c r="D618" s="29" t="str">
        <f>VLOOKUP(A618,File!$A:$J,3,FALSE)</f>
        <v>Male</v>
      </c>
      <c r="E618" s="29" t="str">
        <f>VLOOKUP(A618,File!$A:$J,4,FALSE)</f>
        <v>FTE</v>
      </c>
      <c r="F618" s="29" t="str">
        <f>VLOOKUP(A618,File!$A:$J,6,FALSE)</f>
        <v>Chennai</v>
      </c>
      <c r="G618" s="29" t="str">
        <f>VLOOKUP(A618,File!$A:$J,7,FALSE)</f>
        <v>CIS26MCPT012</v>
      </c>
      <c r="H618" s="29" t="str">
        <f>VLOOKUP(A618,File!$A:$J,8,FALSE)</f>
        <v>Uma Venkatachalam</v>
      </c>
      <c r="I618" s="31">
        <f>VLOOKUP(A618,File!$A:$J,9,FALSE)</f>
        <v>46282</v>
      </c>
      <c r="J618" s="31" t="str">
        <f>VLOOKUP(A618,File!$A:$K,11,FALSE)</f>
        <v>Sep 2026</v>
      </c>
      <c r="K618" s="31" t="str">
        <f>VLOOKUP(A618,File!$A:$K,10,FALSE)</f>
        <v>In-Training</v>
      </c>
      <c r="L618" s="31" t="s">
        <v>5</v>
      </c>
      <c r="M618" t="str">
        <f>VLOOKUP(A618,Response!$A:$M,7,)</f>
        <v>Permanent Residence (House/Home)</v>
      </c>
      <c r="N618" t="str">
        <f>VLOOKUP(A618,Response!$A:$M,8,)</f>
        <v>NA</v>
      </c>
      <c r="O618" s="4">
        <f>VLOOKUP(A618,Response!$A:$M,10,)</f>
        <v>2</v>
      </c>
      <c r="P618" t="str">
        <f>VLOOKUP(A618,Response!$A:$M,12,)</f>
        <v>Yes</v>
      </c>
      <c r="Q618" t="str">
        <f>VLOOKUP(A618,Response!$A:$M,11,)</f>
        <v>Vadapalani</v>
      </c>
      <c r="S618" t="s">
        <v>38</v>
      </c>
    </row>
    <row r="619" spans="1:19">
      <c r="A619" s="3">
        <v>2533131</v>
      </c>
      <c r="B619" t="str">
        <f>VLOOKUP(A619,File!$A:$J,2,FALSE)</f>
        <v>Preethi LNU</v>
      </c>
      <c r="C619" s="29">
        <f>VLOOKUP(A619,File!$A:$J,5,FALSE)</f>
        <v>46259</v>
      </c>
      <c r="D619" s="29" t="str">
        <f>VLOOKUP(A619,File!$A:$J,3,FALSE)</f>
        <v>Female</v>
      </c>
      <c r="E619" s="29" t="str">
        <f>VLOOKUP(A619,File!$A:$J,4,FALSE)</f>
        <v>FTE</v>
      </c>
      <c r="F619" s="29" t="str">
        <f>VLOOKUP(A619,File!$A:$J,6,FALSE)</f>
        <v>Chennai</v>
      </c>
      <c r="G619" s="29" t="str">
        <f>VLOOKUP(A619,File!$A:$J,7,FALSE)</f>
        <v>CIS26MBG007</v>
      </c>
      <c r="H619" s="29" t="str">
        <f>VLOOKUP(A619,File!$A:$J,8,FALSE)</f>
        <v>Lawrance M</v>
      </c>
      <c r="I619" s="31">
        <f>VLOOKUP(A619,File!$A:$J,9,FALSE)</f>
        <v>46367</v>
      </c>
      <c r="J619" s="31" t="str">
        <f>VLOOKUP(A619,File!$A:$K,11,FALSE)</f>
        <v>Dec 2026</v>
      </c>
      <c r="K619" s="31" t="str">
        <f>VLOOKUP(A619,File!$A:$K,10,FALSE)</f>
        <v>In-Training</v>
      </c>
      <c r="L619" s="31" t="s">
        <v>5</v>
      </c>
      <c r="M619" t="str">
        <f>VLOOKUP(A619,Response!$A:$M,7,)</f>
        <v>Permanent Residence (House/Home)</v>
      </c>
      <c r="N619" t="str">
        <f>VLOOKUP(A619,Response!$A:$M,8,)</f>
        <v>NA</v>
      </c>
      <c r="O619" s="4">
        <f>VLOOKUP(A619,Response!$A:$M,10,)</f>
        <v>2</v>
      </c>
      <c r="P619" t="str">
        <f>VLOOKUP(A619,Response!$A:$M,12,)</f>
        <v>Yes</v>
      </c>
      <c r="Q619" t="str">
        <f>VLOOKUP(A619,Response!$A:$M,11,)</f>
        <v>SANTHOME</v>
      </c>
      <c r="S619" t="s">
        <v>38</v>
      </c>
    </row>
    <row r="620" spans="1:19">
      <c r="A620" s="3">
        <v>2533206</v>
      </c>
      <c r="B620" t="str">
        <f>VLOOKUP(A620,File!$A:$J,2,FALSE)</f>
        <v>Ruchitha Nevas Pasupula</v>
      </c>
      <c r="C620" s="29">
        <f>VLOOKUP(A620,File!$A:$J,5,FALSE)</f>
        <v>46259</v>
      </c>
      <c r="D620" s="29" t="str">
        <f>VLOOKUP(A620,File!$A:$J,3,FALSE)</f>
        <v>Female</v>
      </c>
      <c r="E620" s="29" t="str">
        <f>VLOOKUP(A620,File!$A:$J,4,FALSE)</f>
        <v>FTE</v>
      </c>
      <c r="F620" s="29" t="str">
        <f>VLOOKUP(A620,File!$A:$J,6,FALSE)</f>
        <v>Chennai</v>
      </c>
      <c r="G620" s="29" t="str">
        <f>VLOOKUP(A620,File!$A:$J,7,FALSE)</f>
        <v>CIS26MBG003</v>
      </c>
      <c r="H620" s="29" t="str">
        <f>VLOOKUP(A620,File!$A:$J,8,FALSE)</f>
        <v>Kishorekumar P</v>
      </c>
      <c r="I620" s="31">
        <f>VLOOKUP(A620,File!$A:$J,9,FALSE)</f>
        <v>46367</v>
      </c>
      <c r="J620" s="31" t="str">
        <f>VLOOKUP(A620,File!$A:$K,11,FALSE)</f>
        <v>Dec 2026</v>
      </c>
      <c r="K620" s="31" t="str">
        <f>VLOOKUP(A620,File!$A:$K,10,FALSE)</f>
        <v>In-Training</v>
      </c>
      <c r="L620" s="31" t="s">
        <v>5</v>
      </c>
      <c r="M620" t="str">
        <f>VLOOKUP(A620,Response!$A:$M,7,)</f>
        <v>Relatives Residence</v>
      </c>
      <c r="N620" t="str">
        <f>VLOOKUP(A620,Response!$A:$M,8,)</f>
        <v>NA</v>
      </c>
      <c r="O620" s="4" t="str">
        <f>VLOOKUP(A620,Response!$A:$M,10,)</f>
        <v>GF</v>
      </c>
      <c r="P620" t="str">
        <f>VLOOKUP(A620,Response!$A:$M,12,)</f>
        <v>Yes</v>
      </c>
      <c r="Q620" t="str">
        <f>VLOOKUP(A620,Response!$A:$M,11,)</f>
        <v>Kovilambakkam</v>
      </c>
      <c r="S620" t="s">
        <v>38</v>
      </c>
    </row>
    <row r="621" spans="1:19">
      <c r="A621" s="3">
        <v>2529608</v>
      </c>
      <c r="B621" t="str">
        <f>VLOOKUP(A621,File!$A:$J,2,FALSE)</f>
        <v>Jeevanandham K</v>
      </c>
      <c r="C621" s="29">
        <f>VLOOKUP(A621,File!$A:$J,5,FALSE)</f>
        <v>46245</v>
      </c>
      <c r="D621" s="29" t="str">
        <f>VLOOKUP(A621,File!$A:$J,3,FALSE)</f>
        <v>Male</v>
      </c>
      <c r="E621" s="29" t="str">
        <f>VLOOKUP(A621,File!$A:$J,4,FALSE)</f>
        <v>FTE</v>
      </c>
      <c r="F621" s="29" t="str">
        <f>VLOOKUP(A621,File!$A:$J,6,FALSE)</f>
        <v>Chennai</v>
      </c>
      <c r="G621" s="29" t="str">
        <f>VLOOKUP(A621,File!$A:$J,7,FALSE)</f>
        <v>CIS26MCPT023</v>
      </c>
      <c r="H621" s="29" t="str">
        <f>VLOOKUP(A621,File!$A:$J,8,FALSE)</f>
        <v>Kishorekumar P</v>
      </c>
      <c r="I621" s="31">
        <f>VLOOKUP(A621,File!$A:$J,9,FALSE)</f>
        <v>46359</v>
      </c>
      <c r="J621" s="31" t="str">
        <f>VLOOKUP(A621,File!$A:$K,11,FALSE)</f>
        <v>Dec 2026</v>
      </c>
      <c r="K621" s="31" t="str">
        <f>VLOOKUP(A621,File!$A:$K,10,FALSE)</f>
        <v>In-Training</v>
      </c>
      <c r="L621" s="31" t="s">
        <v>5</v>
      </c>
      <c r="M621" t="str">
        <f>VLOOKUP(A621,Response!$A:$M,7,)</f>
        <v>Relatives Residence</v>
      </c>
      <c r="N621" t="str">
        <f>VLOOKUP(A621,Response!$A:$M,8,)</f>
        <v>NA</v>
      </c>
      <c r="O621" s="4" t="str">
        <f>VLOOKUP(A621,Response!$A:$M,10,)</f>
        <v>GF</v>
      </c>
      <c r="P621" t="str">
        <f>VLOOKUP(A621,Response!$A:$M,12,)</f>
        <v>Yes</v>
      </c>
      <c r="Q621" t="str">
        <f>VLOOKUP(A621,Response!$A:$M,11,)</f>
        <v>Medavakkam</v>
      </c>
      <c r="S621" t="s">
        <v>38</v>
      </c>
    </row>
    <row r="622" spans="1:19">
      <c r="A622" s="3">
        <v>2529742</v>
      </c>
      <c r="B622" t="str">
        <f>VLOOKUP(A622,File!$A:$J,2,FALSE)</f>
        <v>Priyadharshini G K</v>
      </c>
      <c r="C622" s="29">
        <f>VLOOKUP(A622,File!$A:$J,5,FALSE)</f>
        <v>46245</v>
      </c>
      <c r="D622" s="29" t="str">
        <f>VLOOKUP(A622,File!$A:$J,3,FALSE)</f>
        <v>Female</v>
      </c>
      <c r="E622" s="29" t="str">
        <f>VLOOKUP(A622,File!$A:$J,4,FALSE)</f>
        <v>FTE</v>
      </c>
      <c r="F622" s="29" t="str">
        <f>VLOOKUP(A622,File!$A:$J,6,FALSE)</f>
        <v>Chennai</v>
      </c>
      <c r="G622" s="29" t="str">
        <f>VLOOKUP(A622,File!$A:$J,7,FALSE)</f>
        <v>EPS26SAP031</v>
      </c>
      <c r="H622" s="29" t="str">
        <f>VLOOKUP(A622,File!$A:$J,8,FALSE)</f>
        <v>Akashraj R</v>
      </c>
      <c r="I622" s="31">
        <f>VLOOKUP(A622,File!$A:$J,9,FALSE)</f>
        <v>46330</v>
      </c>
      <c r="J622" s="31" t="str">
        <f>VLOOKUP(A622,File!$A:$K,11,FALSE)</f>
        <v>Nov 2026</v>
      </c>
      <c r="K622" s="31" t="str">
        <f>VLOOKUP(A622,File!$A:$K,10,FALSE)</f>
        <v>In-Training</v>
      </c>
      <c r="L622" s="31" t="s">
        <v>5</v>
      </c>
      <c r="M622" t="str">
        <f>VLOOKUP(A622,Response!$A:$M,7,)</f>
        <v>Rented House/Apartment</v>
      </c>
      <c r="N622" t="str">
        <f>VLOOKUP(A622,Response!$A:$M,8,)</f>
        <v>NA</v>
      </c>
      <c r="O622" s="4">
        <f>VLOOKUP(A622,Response!$A:$M,10,)</f>
        <v>3</v>
      </c>
      <c r="P622" t="str">
        <f>VLOOKUP(A622,Response!$A:$M,12,)</f>
        <v>Yes</v>
      </c>
      <c r="Q622" t="str">
        <f>VLOOKUP(A622,Response!$A:$M,11,)</f>
        <v>Medavakkam</v>
      </c>
      <c r="R622" t="s">
        <v>17</v>
      </c>
      <c r="S622" s="39" t="s">
        <v>37</v>
      </c>
    </row>
    <row r="623" spans="1:19">
      <c r="A623" s="3">
        <v>2531990</v>
      </c>
      <c r="B623" t="str">
        <f>VLOOKUP(A623,File!$A:$J,2,FALSE)</f>
        <v>Manasa D</v>
      </c>
      <c r="C623" s="29">
        <f>VLOOKUP(A623,File!$A:$J,5,FALSE)</f>
        <v>46254</v>
      </c>
      <c r="D623" s="29" t="str">
        <f>VLOOKUP(A623,File!$A:$J,3,FALSE)</f>
        <v>Female</v>
      </c>
      <c r="E623" s="29" t="str">
        <f>VLOOKUP(A623,File!$A:$J,4,FALSE)</f>
        <v>FTE</v>
      </c>
      <c r="F623" s="29" t="str">
        <f>VLOOKUP(A623,File!$A:$J,6,FALSE)</f>
        <v>Chennai</v>
      </c>
      <c r="G623" s="29" t="str">
        <f>VLOOKUP(A623,File!$A:$J,7,FALSE)</f>
        <v>EPS26OSP011</v>
      </c>
      <c r="H623" s="29" t="str">
        <f>VLOOKUP(A623,File!$A:$J,8,FALSE)</f>
        <v>Gayathri Ramachandran</v>
      </c>
      <c r="I623" s="31" t="str">
        <f>VLOOKUP(A623,File!$A:$J,9,FALSE)</f>
        <v/>
      </c>
      <c r="J623" s="44" t="s">
        <v>33</v>
      </c>
      <c r="K623" s="31" t="str">
        <f>VLOOKUP(A623,File!$A:$K,10,FALSE)</f>
        <v>Training - ON Hold</v>
      </c>
      <c r="L623" s="31" t="s">
        <v>4</v>
      </c>
      <c r="M623" t="str">
        <f>VLOOKUP(A623,Response!$A:$M,7,)</f>
        <v>PG (Paying Guest)</v>
      </c>
      <c r="N623" t="str">
        <f>VLOOKUP(A623,Response!$A:$M,8,)</f>
        <v>Nakshatra womens pg, Navalur.</v>
      </c>
      <c r="O623" s="4">
        <f>VLOOKUP(A623,Response!$A:$M,10,)</f>
        <v>4</v>
      </c>
      <c r="P623" t="str">
        <f>VLOOKUP(A623,Response!$A:$M,12,)</f>
        <v>No</v>
      </c>
      <c r="Q623" t="str">
        <f>VLOOKUP(A623,Response!$A:$M,11,)</f>
        <v>Navalur</v>
      </c>
      <c r="R623" t="s">
        <v>19</v>
      </c>
      <c r="S623" s="39" t="s">
        <v>37</v>
      </c>
    </row>
    <row r="624" spans="1:19">
      <c r="A624" s="3">
        <v>2531386</v>
      </c>
      <c r="B624" t="str">
        <f>VLOOKUP(A624,File!$A:$J,2,FALSE)</f>
        <v>Mutheeswar Paramasivam</v>
      </c>
      <c r="C624" s="29">
        <f>VLOOKUP(A624,File!$A:$J,5,FALSE)</f>
        <v>46252</v>
      </c>
      <c r="D624" s="29" t="str">
        <f>VLOOKUP(A624,File!$A:$J,3,FALSE)</f>
        <v>Male</v>
      </c>
      <c r="E624" s="29" t="str">
        <f>VLOOKUP(A624,File!$A:$J,4,FALSE)</f>
        <v>FTE</v>
      </c>
      <c r="F624" s="29" t="str">
        <f>VLOOKUP(A624,File!$A:$J,6,FALSE)</f>
        <v>Chennai</v>
      </c>
      <c r="G624" s="29" t="str">
        <f>VLOOKUP(A624,File!$A:$J,7,FALSE)</f>
        <v>EPS26SAP034</v>
      </c>
      <c r="H624" s="29" t="str">
        <f>VLOOKUP(A624,File!$A:$J,8,FALSE)</f>
        <v>Gayathri Ramachandran</v>
      </c>
      <c r="I624" s="31">
        <f>VLOOKUP(A624,File!$A:$J,9,FALSE)</f>
        <v>46331</v>
      </c>
      <c r="J624" s="31" t="str">
        <f>VLOOKUP(A624,File!$A:$K,11,FALSE)</f>
        <v>Nov 2026</v>
      </c>
      <c r="K624" s="31" t="str">
        <f>VLOOKUP(A624,File!$A:$K,10,FALSE)</f>
        <v>In-Training</v>
      </c>
      <c r="L624" s="31" t="s">
        <v>4</v>
      </c>
      <c r="M624" t="str">
        <f>VLOOKUP(A624,Response!$A:$M,7,)</f>
        <v>PG (Paying Guest)</v>
      </c>
      <c r="N624" t="str">
        <f>VLOOKUP(A624,Response!$A:$M,8,)</f>
        <v xml:space="preserve">Narayan gents pg </v>
      </c>
      <c r="O624" s="4">
        <f>VLOOKUP(A624,Response!$A:$M,10,)</f>
        <v>3</v>
      </c>
      <c r="P624" t="str">
        <f>VLOOKUP(A624,Response!$A:$M,12,)</f>
        <v>Yes</v>
      </c>
      <c r="Q624" t="str">
        <f>VLOOKUP(A624,Response!$A:$M,11,)</f>
        <v>Navalur</v>
      </c>
      <c r="R624" t="s">
        <v>19</v>
      </c>
      <c r="S624" s="39" t="s">
        <v>37</v>
      </c>
    </row>
    <row r="625" spans="1:19">
      <c r="A625" s="3">
        <v>2523396</v>
      </c>
      <c r="B625" t="str">
        <f>VLOOKUP(A625,File!$A:$J,2,FALSE)</f>
        <v>Nagaraj P</v>
      </c>
      <c r="C625" s="29">
        <f>VLOOKUP(A625,File!$A:$J,5,FALSE)</f>
        <v>46219</v>
      </c>
      <c r="D625" s="29" t="str">
        <f>VLOOKUP(A625,File!$A:$J,3,FALSE)</f>
        <v>Male</v>
      </c>
      <c r="E625" s="29" t="str">
        <f>VLOOKUP(A625,File!$A:$J,4,FALSE)</f>
        <v>FTE</v>
      </c>
      <c r="F625" s="29" t="str">
        <f>VLOOKUP(A625,File!$A:$J,6,FALSE)</f>
        <v>Chennai</v>
      </c>
      <c r="G625" s="29" t="str">
        <f>VLOOKUP(A625,File!$A:$J,7,FALSE)</f>
        <v>CS26CS010</v>
      </c>
      <c r="H625" s="29" t="str">
        <f>VLOOKUP(A625,File!$A:$J,8,FALSE)</f>
        <v>Laksiya Vijayendran</v>
      </c>
      <c r="I625" s="31">
        <f>VLOOKUP(A625,File!$A:$J,9,FALSE)</f>
        <v>46314</v>
      </c>
      <c r="J625" s="31" t="str">
        <f>VLOOKUP(A625,File!$A:$K,11,FALSE)</f>
        <v>Oct 2026</v>
      </c>
      <c r="K625" s="31" t="str">
        <f>VLOOKUP(A625,File!$A:$K,10,FALSE)</f>
        <v>In-Training</v>
      </c>
      <c r="L625" s="31" t="s">
        <v>4</v>
      </c>
      <c r="M625" t="str">
        <f>VLOOKUP(A625,Response!$A:$M,7,)</f>
        <v>PG (Paying Guest)</v>
      </c>
      <c r="N625" t="str">
        <f>VLOOKUP(A625,Response!$A:$M,8,)</f>
        <v>Narayana gents pg</v>
      </c>
      <c r="O625" s="4">
        <f>VLOOKUP(A625,Response!$A:$M,10,)</f>
        <v>3</v>
      </c>
      <c r="P625" t="str">
        <f>VLOOKUP(A625,Response!$A:$M,12,)</f>
        <v>Yes</v>
      </c>
      <c r="Q625" t="str">
        <f>VLOOKUP(A625,Response!$A:$M,11,)</f>
        <v>Navalur</v>
      </c>
      <c r="R625" t="s">
        <v>19</v>
      </c>
      <c r="S625" s="39" t="s">
        <v>37</v>
      </c>
    </row>
    <row r="626" spans="1:19">
      <c r="A626" s="3">
        <v>2531421</v>
      </c>
      <c r="B626" t="str">
        <f>VLOOKUP(A626,File!$A:$J,2,FALSE)</f>
        <v>Vasanth K V</v>
      </c>
      <c r="C626" s="29">
        <f>VLOOKUP(A626,File!$A:$J,5,FALSE)</f>
        <v>46252</v>
      </c>
      <c r="D626" s="29" t="str">
        <f>VLOOKUP(A626,File!$A:$J,3,FALSE)</f>
        <v>Male</v>
      </c>
      <c r="E626" s="29" t="str">
        <f>VLOOKUP(A626,File!$A:$J,4,FALSE)</f>
        <v>FTE</v>
      </c>
      <c r="F626" s="29" t="str">
        <f>VLOOKUP(A626,File!$A:$J,6,FALSE)</f>
        <v>Chennai</v>
      </c>
      <c r="G626" s="29" t="str">
        <f>VLOOKUP(A626,File!$A:$J,7,FALSE)</f>
        <v>EPS26WD006</v>
      </c>
      <c r="H626" s="29" t="str">
        <f>VLOOKUP(A626,File!$A:$J,8,FALSE)</f>
        <v>Vishnupriya Dakshnamurthy</v>
      </c>
      <c r="I626" s="31">
        <f>VLOOKUP(A626,File!$A:$J,9,FALSE)</f>
        <v>46353</v>
      </c>
      <c r="J626" s="31" t="str">
        <f>VLOOKUP(A626,File!$A:$K,11,FALSE)</f>
        <v>Nov 2026</v>
      </c>
      <c r="K626" s="31" t="str">
        <f>VLOOKUP(A626,File!$A:$K,10,FALSE)</f>
        <v>In-Training</v>
      </c>
      <c r="L626" s="31" t="s">
        <v>4</v>
      </c>
      <c r="M626" t="str">
        <f>VLOOKUP(A626,Response!$A:$M,7,)</f>
        <v>PG (Paying Guest)</v>
      </c>
      <c r="N626" t="str">
        <f>VLOOKUP(A626,Response!$A:$M,8,)</f>
        <v>Narayana Gents PG</v>
      </c>
      <c r="O626" s="4">
        <f>VLOOKUP(A626,Response!$A:$M,10,)</f>
        <v>4</v>
      </c>
      <c r="P626" t="str">
        <f>VLOOKUP(A626,Response!$A:$M,12,)</f>
        <v>Yes</v>
      </c>
      <c r="Q626" t="str">
        <f>VLOOKUP(A626,Response!$A:$M,11,)</f>
        <v>Navalur</v>
      </c>
      <c r="R626" t="s">
        <v>19</v>
      </c>
      <c r="S626" s="39" t="s">
        <v>37</v>
      </c>
    </row>
    <row r="627" spans="1:19">
      <c r="A627" s="3">
        <v>2531357</v>
      </c>
      <c r="B627" t="str">
        <f>VLOOKUP(A627,File!$A:$J,2,FALSE)</f>
        <v>Hari Krishnan M</v>
      </c>
      <c r="C627" s="29">
        <f>VLOOKUP(A627,File!$A:$J,5,FALSE)</f>
        <v>46252</v>
      </c>
      <c r="D627" s="29" t="str">
        <f>VLOOKUP(A627,File!$A:$J,3,FALSE)</f>
        <v>Male</v>
      </c>
      <c r="E627" s="29" t="str">
        <f>VLOOKUP(A627,File!$A:$J,4,FALSE)</f>
        <v>FTE</v>
      </c>
      <c r="F627" s="29" t="str">
        <f>VLOOKUP(A627,File!$A:$J,6,FALSE)</f>
        <v>Chennai</v>
      </c>
      <c r="G627" s="29" t="str">
        <f>VLOOKUP(A627,File!$A:$J,7,FALSE)</f>
        <v>EPS26WD006</v>
      </c>
      <c r="H627" s="29" t="str">
        <f>VLOOKUP(A627,File!$A:$J,8,FALSE)</f>
        <v>Vishnupriya Dakshnamurthy</v>
      </c>
      <c r="I627" s="31">
        <f>VLOOKUP(A627,File!$A:$J,9,FALSE)</f>
        <v>46353</v>
      </c>
      <c r="J627" s="31" t="str">
        <f>VLOOKUP(A627,File!$A:$K,11,FALSE)</f>
        <v>Nov 2026</v>
      </c>
      <c r="K627" s="31" t="str">
        <f>VLOOKUP(A627,File!$A:$K,10,FALSE)</f>
        <v>In-Training</v>
      </c>
      <c r="L627" s="31" t="s">
        <v>4</v>
      </c>
      <c r="M627" t="str">
        <f>VLOOKUP(A627,Response!$A:$M,7,)</f>
        <v>PG (Paying Guest)</v>
      </c>
      <c r="N627" t="str">
        <f>VLOOKUP(A627,Response!$A:$M,8,)</f>
        <v>NARAYANA MENS PG, NAVALUR</v>
      </c>
      <c r="O627" s="4">
        <f>VLOOKUP(A627,Response!$A:$M,10,)</f>
        <v>4</v>
      </c>
      <c r="P627" t="str">
        <f>VLOOKUP(A627,Response!$A:$M,12,)</f>
        <v>Yes</v>
      </c>
      <c r="Q627" t="str">
        <f>VLOOKUP(A627,Response!$A:$M,11,)</f>
        <v>Navalur</v>
      </c>
      <c r="R627" t="s">
        <v>19</v>
      </c>
      <c r="S627" s="39" t="s">
        <v>37</v>
      </c>
    </row>
    <row r="628" spans="1:19">
      <c r="A628" s="3">
        <v>2521104</v>
      </c>
      <c r="B628" t="str">
        <f>VLOOKUP(A628,File!$A:$J,2,FALSE)</f>
        <v>Mohammad Imthiyaz Mohammad Rafeeq</v>
      </c>
      <c r="C628" s="29">
        <f>VLOOKUP(A628,File!$A:$J,5,FALSE)</f>
        <v>46210</v>
      </c>
      <c r="D628" s="29" t="str">
        <f>VLOOKUP(A628,File!$A:$J,3,FALSE)</f>
        <v>Male</v>
      </c>
      <c r="E628" s="29" t="str">
        <f>VLOOKUP(A628,File!$A:$J,4,FALSE)</f>
        <v>FTE</v>
      </c>
      <c r="F628" s="29" t="str">
        <f>VLOOKUP(A628,File!$A:$J,6,FALSE)</f>
        <v>Chennai</v>
      </c>
      <c r="G628" s="29" t="str">
        <f>VLOOKUP(A628,File!$A:$J,7,FALSE)</f>
        <v>HPC26DN005</v>
      </c>
      <c r="H628" s="29" t="str">
        <f>VLOOKUP(A628,File!$A:$J,8,FALSE)</f>
        <v>Viveka Preethi</v>
      </c>
      <c r="I628" s="31">
        <f>VLOOKUP(A628,File!$A:$J,9,FALSE)</f>
        <v>46296</v>
      </c>
      <c r="J628" s="31" t="str">
        <f>VLOOKUP(A628,File!$A:$K,11,FALSE)</f>
        <v>Oct 2026</v>
      </c>
      <c r="K628" s="31" t="str">
        <f>VLOOKUP(A628,File!$A:$K,10,FALSE)</f>
        <v>In-Training</v>
      </c>
      <c r="L628" s="31" t="s">
        <v>4</v>
      </c>
      <c r="M628" t="str">
        <f>VLOOKUP(A628,Response!$A:$M,7,)</f>
        <v>PG (Paying Guest)</v>
      </c>
      <c r="N628" t="str">
        <f>VLOOKUP(A628,Response!$A:$M,8,)</f>
        <v>Narayanan Gents PG - Navalur</v>
      </c>
      <c r="O628" s="4">
        <f>VLOOKUP(A628,Response!$A:$M,10,)</f>
        <v>1</v>
      </c>
      <c r="P628" t="str">
        <f>VLOOKUP(A628,Response!$A:$M,12,)</f>
        <v>Yes</v>
      </c>
      <c r="Q628" t="str">
        <f>VLOOKUP(A628,Response!$A:$M,11,)</f>
        <v>Navalur</v>
      </c>
      <c r="R628" t="s">
        <v>19</v>
      </c>
      <c r="S628" s="39" t="s">
        <v>37</v>
      </c>
    </row>
    <row r="629" spans="1:19">
      <c r="A629" s="3">
        <v>2523453</v>
      </c>
      <c r="B629" t="str">
        <f>VLOOKUP(A629,File!$A:$J,2,FALSE)</f>
        <v>J Riyas Ahamed</v>
      </c>
      <c r="C629" s="29">
        <f>VLOOKUP(A629,File!$A:$J,5,FALSE)</f>
        <v>46219</v>
      </c>
      <c r="D629" s="29" t="str">
        <f>VLOOKUP(A629,File!$A:$J,3,FALSE)</f>
        <v>Male</v>
      </c>
      <c r="E629" s="29" t="str">
        <f>VLOOKUP(A629,File!$A:$J,4,FALSE)</f>
        <v>FTE</v>
      </c>
      <c r="F629" s="29" t="str">
        <f>VLOOKUP(A629,File!$A:$J,6,FALSE)</f>
        <v>Chennai</v>
      </c>
      <c r="G629" s="29" t="str">
        <f>VLOOKUP(A629,File!$A:$J,7,FALSE)</f>
        <v>CS26CS010</v>
      </c>
      <c r="H629" s="29" t="str">
        <f>VLOOKUP(A629,File!$A:$J,8,FALSE)</f>
        <v>Laksiya Vijayendran</v>
      </c>
      <c r="I629" s="31">
        <f>VLOOKUP(A629,File!$A:$J,9,FALSE)</f>
        <v>46314</v>
      </c>
      <c r="J629" s="31" t="str">
        <f>VLOOKUP(A629,File!$A:$K,11,FALSE)</f>
        <v>Oct 2026</v>
      </c>
      <c r="K629" s="31" t="str">
        <f>VLOOKUP(A629,File!$A:$K,10,FALSE)</f>
        <v>In-Training</v>
      </c>
      <c r="L629" s="31" t="s">
        <v>4</v>
      </c>
      <c r="M629" t="str">
        <f>VLOOKUP(A629,Response!$A:$M,7,)</f>
        <v>PG (Paying Guest)</v>
      </c>
      <c r="N629" t="str">
        <f>VLOOKUP(A629,Response!$A:$M,8,)</f>
        <v>Narayanan Gents PG,</v>
      </c>
      <c r="O629" s="4">
        <f>VLOOKUP(A629,Response!$A:$M,10,)</f>
        <v>1</v>
      </c>
      <c r="P629" t="str">
        <f>VLOOKUP(A629,Response!$A:$M,12,)</f>
        <v>No</v>
      </c>
      <c r="Q629" t="str">
        <f>VLOOKUP(A629,Response!$A:$M,11,)</f>
        <v>Navalur</v>
      </c>
      <c r="R629" t="s">
        <v>19</v>
      </c>
      <c r="S629" s="39" t="s">
        <v>37</v>
      </c>
    </row>
    <row r="630" spans="1:19">
      <c r="A630" s="3">
        <v>2521132</v>
      </c>
      <c r="B630" t="str">
        <f>VLOOKUP(A630,File!$A:$J,2,FALSE)</f>
        <v>Vignesha Perumal R</v>
      </c>
      <c r="C630" s="29">
        <f>VLOOKUP(A630,File!$A:$J,5,FALSE)</f>
        <v>46210</v>
      </c>
      <c r="D630" s="29" t="str">
        <f>VLOOKUP(A630,File!$A:$J,3,FALSE)</f>
        <v>Male</v>
      </c>
      <c r="E630" s="29" t="str">
        <f>VLOOKUP(A630,File!$A:$J,4,FALSE)</f>
        <v>FTE</v>
      </c>
      <c r="F630" s="29" t="str">
        <f>VLOOKUP(A630,File!$A:$J,6,FALSE)</f>
        <v>Chennai</v>
      </c>
      <c r="G630" s="29" t="str">
        <f>VLOOKUP(A630,File!$A:$J,7,FALSE)</f>
        <v>HPC26DN005</v>
      </c>
      <c r="H630" s="29" t="str">
        <f>VLOOKUP(A630,File!$A:$J,8,FALSE)</f>
        <v>Viveka Preethi</v>
      </c>
      <c r="I630" s="31">
        <f>VLOOKUP(A630,File!$A:$J,9,FALSE)</f>
        <v>46296</v>
      </c>
      <c r="J630" s="31" t="str">
        <f>VLOOKUP(A630,File!$A:$K,11,FALSE)</f>
        <v>Oct 2026</v>
      </c>
      <c r="K630" s="31" t="str">
        <f>VLOOKUP(A630,File!$A:$K,10,FALSE)</f>
        <v>In-Training</v>
      </c>
      <c r="L630" s="31" t="s">
        <v>4</v>
      </c>
      <c r="M630" t="str">
        <f>VLOOKUP(A630,Response!$A:$M,7,)</f>
        <v>PG (Paying Guest)</v>
      </c>
      <c r="N630" t="str">
        <f>VLOOKUP(A630,Response!$A:$M,8,)</f>
        <v>Narayanan Gents PG, Navalur</v>
      </c>
      <c r="O630" s="4">
        <f>VLOOKUP(A630,Response!$A:$M,10,)</f>
        <v>3</v>
      </c>
      <c r="P630" t="str">
        <f>VLOOKUP(A630,Response!$A:$M,12,)</f>
        <v>Yes</v>
      </c>
      <c r="Q630" t="str">
        <f>VLOOKUP(A630,Response!$A:$M,11,)</f>
        <v>Navalur</v>
      </c>
      <c r="R630" t="s">
        <v>19</v>
      </c>
      <c r="S630" s="39" t="s">
        <v>37</v>
      </c>
    </row>
    <row r="631" spans="1:19">
      <c r="A631" s="3">
        <v>2533029</v>
      </c>
      <c r="B631" t="str">
        <f>VLOOKUP(A631,File!$A:$J,2,FALSE)</f>
        <v>Hariprasath S</v>
      </c>
      <c r="C631" s="29">
        <f>VLOOKUP(A631,File!$A:$J,5,FALSE)</f>
        <v>46259</v>
      </c>
      <c r="D631" s="29" t="str">
        <f>VLOOKUP(A631,File!$A:$J,3,FALSE)</f>
        <v>Male</v>
      </c>
      <c r="E631" s="29" t="str">
        <f>VLOOKUP(A631,File!$A:$J,4,FALSE)</f>
        <v>FTE</v>
      </c>
      <c r="F631" s="29" t="str">
        <f>VLOOKUP(A631,File!$A:$J,6,FALSE)</f>
        <v>Chennai</v>
      </c>
      <c r="G631" s="29" t="str">
        <f>VLOOKUP(A631,File!$A:$J,7,FALSE)</f>
        <v>CIS26MBG003</v>
      </c>
      <c r="H631" s="29" t="str">
        <f>VLOOKUP(A631,File!$A:$J,8,FALSE)</f>
        <v>Kishorekumar P</v>
      </c>
      <c r="I631" s="31">
        <f>VLOOKUP(A631,File!$A:$J,9,FALSE)</f>
        <v>46367</v>
      </c>
      <c r="J631" s="31" t="str">
        <f>VLOOKUP(A631,File!$A:$K,11,FALSE)</f>
        <v>Dec 2026</v>
      </c>
      <c r="K631" s="31" t="str">
        <f>VLOOKUP(A631,File!$A:$K,10,FALSE)</f>
        <v>In-Training</v>
      </c>
      <c r="L631" s="31" t="s">
        <v>4</v>
      </c>
      <c r="M631" t="str">
        <f>VLOOKUP(A631,Response!$A:$M,7,)</f>
        <v>PG (Paying Guest)</v>
      </c>
      <c r="N631" t="str">
        <f>VLOOKUP(A631,Response!$A:$M,8,)</f>
        <v>Narayanan Gents Pg, Navalur, Chennai-600130, Tamil Nadu</v>
      </c>
      <c r="O631" s="4">
        <f>VLOOKUP(A631,Response!$A:$M,10,)</f>
        <v>4</v>
      </c>
      <c r="P631" t="str">
        <f>VLOOKUP(A631,Response!$A:$M,12,)</f>
        <v>No</v>
      </c>
      <c r="Q631" t="str">
        <f>VLOOKUP(A631,Response!$A:$M,11,)</f>
        <v>Navalur</v>
      </c>
      <c r="R631" t="s">
        <v>19</v>
      </c>
      <c r="S631" s="39" t="s">
        <v>37</v>
      </c>
    </row>
    <row r="632" spans="1:19">
      <c r="A632" s="3">
        <v>2531401</v>
      </c>
      <c r="B632" t="str">
        <f>VLOOKUP(A632,File!$A:$J,2,FALSE)</f>
        <v>Karthikeyan R</v>
      </c>
      <c r="C632" s="29">
        <f>VLOOKUP(A632,File!$A:$J,5,FALSE)</f>
        <v>46252</v>
      </c>
      <c r="D632" s="29" t="str">
        <f>VLOOKUP(A632,File!$A:$J,3,FALSE)</f>
        <v>Male</v>
      </c>
      <c r="E632" s="29" t="str">
        <f>VLOOKUP(A632,File!$A:$J,4,FALSE)</f>
        <v>FTE</v>
      </c>
      <c r="F632" s="29" t="str">
        <f>VLOOKUP(A632,File!$A:$J,6,FALSE)</f>
        <v>Chennai</v>
      </c>
      <c r="G632" s="29" t="str">
        <f>VLOOKUP(A632,File!$A:$J,7,FALSE)</f>
        <v>EPS26WD006</v>
      </c>
      <c r="H632" s="29" t="str">
        <f>VLOOKUP(A632,File!$A:$J,8,FALSE)</f>
        <v>Vishnupriya Dakshnamurthy</v>
      </c>
      <c r="I632" s="31">
        <f>VLOOKUP(A632,File!$A:$J,9,FALSE)</f>
        <v>46353</v>
      </c>
      <c r="J632" s="31" t="str">
        <f>VLOOKUP(A632,File!$A:$K,11,FALSE)</f>
        <v>Nov 2026</v>
      </c>
      <c r="K632" s="31" t="str">
        <f>VLOOKUP(A632,File!$A:$K,10,FALSE)</f>
        <v>In-Training</v>
      </c>
      <c r="L632" s="31" t="s">
        <v>4</v>
      </c>
      <c r="M632" t="str">
        <f>VLOOKUP(A632,Response!$A:$M,7,)</f>
        <v>PG (Paying Guest)</v>
      </c>
      <c r="N632" t="str">
        <f>VLOOKUP(A632,Response!$A:$M,8,)</f>
        <v>Narayanan PG</v>
      </c>
      <c r="O632" s="4">
        <f>VLOOKUP(A632,Response!$A:$M,10,)</f>
        <v>2</v>
      </c>
      <c r="P632" t="str">
        <f>VLOOKUP(A632,Response!$A:$M,12,)</f>
        <v>No</v>
      </c>
      <c r="Q632" t="str">
        <f>VLOOKUP(A632,Response!$A:$M,11,)</f>
        <v>Navalur</v>
      </c>
      <c r="R632" t="s">
        <v>19</v>
      </c>
      <c r="S632" s="39" t="s">
        <v>37</v>
      </c>
    </row>
    <row r="633" spans="1:19">
      <c r="A633" s="3">
        <v>2531403</v>
      </c>
      <c r="B633" t="str">
        <f>VLOOKUP(A633,File!$A:$J,2,FALSE)</f>
        <v>Manimaran Ganeshkumar</v>
      </c>
      <c r="C633" s="29">
        <f>VLOOKUP(A633,File!$A:$J,5,FALSE)</f>
        <v>46252</v>
      </c>
      <c r="D633" s="29" t="str">
        <f>VLOOKUP(A633,File!$A:$J,3,FALSE)</f>
        <v>Male</v>
      </c>
      <c r="E633" s="29" t="str">
        <f>VLOOKUP(A633,File!$A:$J,4,FALSE)</f>
        <v>FTE</v>
      </c>
      <c r="F633" s="29" t="str">
        <f>VLOOKUP(A633,File!$A:$J,6,FALSE)</f>
        <v>Chennai</v>
      </c>
      <c r="G633" s="29" t="str">
        <f>VLOOKUP(A633,File!$A:$J,7,FALSE)</f>
        <v>EPS26SAP034</v>
      </c>
      <c r="H633" s="29" t="str">
        <f>VLOOKUP(A633,File!$A:$J,8,FALSE)</f>
        <v>Gayathri Ramachandran</v>
      </c>
      <c r="I633" s="31">
        <f>VLOOKUP(A633,File!$A:$J,9,FALSE)</f>
        <v>46331</v>
      </c>
      <c r="J633" s="31" t="str">
        <f>VLOOKUP(A633,File!$A:$K,11,FALSE)</f>
        <v>Nov 2026</v>
      </c>
      <c r="K633" s="31" t="str">
        <f>VLOOKUP(A633,File!$A:$K,10,FALSE)</f>
        <v>In-Training</v>
      </c>
      <c r="L633" s="31" t="s">
        <v>4</v>
      </c>
      <c r="M633" t="str">
        <f>VLOOKUP(A633,Response!$A:$M,7,)</f>
        <v>PG (Paying Guest)</v>
      </c>
      <c r="N633" t="str">
        <f>VLOOKUP(A633,Response!$A:$M,8,)</f>
        <v>Narayanan PG</v>
      </c>
      <c r="O633" s="4">
        <f>VLOOKUP(A633,Response!$A:$M,10,)</f>
        <v>3</v>
      </c>
      <c r="P633" t="str">
        <f>VLOOKUP(A633,Response!$A:$M,12,)</f>
        <v>Yes</v>
      </c>
      <c r="Q633" t="str">
        <f>VLOOKUP(A633,Response!$A:$M,11,)</f>
        <v>Navalur</v>
      </c>
      <c r="R633" t="s">
        <v>19</v>
      </c>
      <c r="S633" s="39" t="s">
        <v>37</v>
      </c>
    </row>
    <row r="634" spans="1:19">
      <c r="A634" s="3">
        <v>2531384</v>
      </c>
      <c r="B634" t="str">
        <f>VLOOKUP(A634,File!$A:$J,2,FALSE)</f>
        <v>Neha Vidyashankar</v>
      </c>
      <c r="C634" s="29">
        <f>VLOOKUP(A634,File!$A:$J,5,FALSE)</f>
        <v>46252</v>
      </c>
      <c r="D634" s="29" t="str">
        <f>VLOOKUP(A634,File!$A:$J,3,FALSE)</f>
        <v>Female</v>
      </c>
      <c r="E634" s="29" t="str">
        <f>VLOOKUP(A634,File!$A:$J,4,FALSE)</f>
        <v>FTE</v>
      </c>
      <c r="F634" s="29" t="str">
        <f>VLOOKUP(A634,File!$A:$J,6,FALSE)</f>
        <v>Chennai</v>
      </c>
      <c r="G634" s="29" t="str">
        <f>VLOOKUP(A634,File!$A:$J,7,FALSE)</f>
        <v>EPS26SAP036</v>
      </c>
      <c r="H634" s="29" t="str">
        <f>VLOOKUP(A634,File!$A:$J,8,FALSE)</f>
        <v>Vishnupriya Dakshnamurthy</v>
      </c>
      <c r="I634" s="31">
        <f>VLOOKUP(A634,File!$A:$J,9,FALSE)</f>
        <v>46335</v>
      </c>
      <c r="J634" s="31" t="str">
        <f>VLOOKUP(A634,File!$A:$K,11,FALSE)</f>
        <v>Nov 2026</v>
      </c>
      <c r="K634" s="31" t="str">
        <f>VLOOKUP(A634,File!$A:$K,10,FALSE)</f>
        <v>In-Training</v>
      </c>
      <c r="L634" s="31" t="s">
        <v>5</v>
      </c>
      <c r="M634" t="str">
        <f>VLOOKUP(A634,Response!$A:$M,7,)</f>
        <v>Permanent Residence (House/Home)</v>
      </c>
      <c r="N634" t="str">
        <f>VLOOKUP(A634,Response!$A:$M,8,)</f>
        <v>Navins Rajendra Gardens</v>
      </c>
      <c r="O634" s="4">
        <f>VLOOKUP(A634,Response!$A:$M,10,)</f>
        <v>3</v>
      </c>
      <c r="P634" t="str">
        <f>VLOOKUP(A634,Response!$A:$M,12,)</f>
        <v>Yes</v>
      </c>
      <c r="Q634" t="str">
        <f>VLOOKUP(A634,Response!$A:$M,11,)</f>
        <v>Navalur</v>
      </c>
      <c r="R634" t="s">
        <v>19</v>
      </c>
      <c r="S634" t="s">
        <v>38</v>
      </c>
    </row>
    <row r="635" spans="1:19">
      <c r="A635" s="3">
        <v>2533078</v>
      </c>
      <c r="B635" t="str">
        <f>VLOOKUP(A635,File!$A:$J,2,FALSE)</f>
        <v>Yazhvanan M A</v>
      </c>
      <c r="C635" s="29">
        <f>VLOOKUP(A635,File!$A:$J,5,FALSE)</f>
        <v>46259</v>
      </c>
      <c r="D635" s="29" t="str">
        <f>VLOOKUP(A635,File!$A:$J,3,FALSE)</f>
        <v>Male</v>
      </c>
      <c r="E635" s="29" t="str">
        <f>VLOOKUP(A635,File!$A:$J,4,FALSE)</f>
        <v>FTE</v>
      </c>
      <c r="F635" s="29" t="str">
        <f>VLOOKUP(A635,File!$A:$J,6,FALSE)</f>
        <v>Chennai</v>
      </c>
      <c r="G635" s="29" t="str">
        <f>VLOOKUP(A635,File!$A:$J,7,FALSE)</f>
        <v>ADM27DFSA001</v>
      </c>
      <c r="H635" s="29" t="str">
        <f>VLOOKUP(A635,File!$A:$J,8,FALSE)</f>
        <v>Thomas Naveen. J</v>
      </c>
      <c r="I635" s="31">
        <f>VLOOKUP(A635,File!$A:$J,9,FALSE)</f>
        <v>46386</v>
      </c>
      <c r="J635" s="31" t="str">
        <f>VLOOKUP(A635,File!$A:$K,11,FALSE)</f>
        <v>Dec 2026</v>
      </c>
      <c r="K635" s="31" t="str">
        <f>VLOOKUP(A635,File!$A:$K,10,FALSE)</f>
        <v>In-Training</v>
      </c>
      <c r="L635" s="31" t="s">
        <v>5</v>
      </c>
      <c r="M635" t="str">
        <f>VLOOKUP(A635,Response!$A:$M,7,)</f>
        <v>Rented House/Apartment</v>
      </c>
      <c r="N635" t="str">
        <f>VLOOKUP(A635,Response!$A:$M,8,)</f>
        <v>Neelkamal Apartments</v>
      </c>
      <c r="O635" s="4">
        <f>VLOOKUP(A635,Response!$A:$M,10,)</f>
        <v>17</v>
      </c>
      <c r="P635" t="str">
        <f>VLOOKUP(A635,Response!$A:$M,12,)</f>
        <v>Yes</v>
      </c>
      <c r="Q635" t="str">
        <f>VLOOKUP(A635,Response!$A:$M,11,)</f>
        <v>Siruseri</v>
      </c>
      <c r="R635" t="s">
        <v>19</v>
      </c>
      <c r="S635" t="s">
        <v>38</v>
      </c>
    </row>
    <row r="636" spans="1:19">
      <c r="A636" s="3">
        <v>2512321</v>
      </c>
      <c r="B636" t="str">
        <f>VLOOKUP(A636,File!$A:$J,2,FALSE)</f>
        <v>Saranya M P</v>
      </c>
      <c r="C636" s="29">
        <f>VLOOKUP(A636,File!$A:$J,5,FALSE)</f>
        <v>46170</v>
      </c>
      <c r="D636" s="29" t="str">
        <f>VLOOKUP(A636,File!$A:$J,3,FALSE)</f>
        <v>Female</v>
      </c>
      <c r="E636" s="29" t="str">
        <f>VLOOKUP(A636,File!$A:$J,4,FALSE)</f>
        <v>FTE</v>
      </c>
      <c r="F636" s="29" t="str">
        <f>VLOOKUP(A636,File!$A:$J,6,FALSE)</f>
        <v>Chennai</v>
      </c>
      <c r="G636" s="29" t="str">
        <f>VLOOKUP(A636,File!$A:$J,7,FALSE)</f>
        <v>CIS26MCPT011</v>
      </c>
      <c r="H636" s="29" t="str">
        <f>VLOOKUP(A636,File!$A:$J,8,FALSE)</f>
        <v>Uma Venkatachalam</v>
      </c>
      <c r="I636" s="31">
        <f>VLOOKUP(A636,File!$A:$J,9,FALSE)</f>
        <v>46282</v>
      </c>
      <c r="J636" s="31" t="str">
        <f>VLOOKUP(A636,File!$A:$K,11,FALSE)</f>
        <v>Sep 2026</v>
      </c>
      <c r="K636" s="31" t="str">
        <f>VLOOKUP(A636,File!$A:$K,10,FALSE)</f>
        <v>In-Training</v>
      </c>
      <c r="L636" s="31" t="s">
        <v>4</v>
      </c>
      <c r="M636" t="str">
        <f>VLOOKUP(A636,Response!$A:$M,7,)</f>
        <v>PG (Paying Guest)</v>
      </c>
      <c r="N636" t="str">
        <f>VLOOKUP(A636,Response!$A:$M,8,)</f>
        <v xml:space="preserve">New Manigandan Ladies PG/hostel - 14th branch, Kalipattur </v>
      </c>
      <c r="O636" s="4">
        <f>VLOOKUP(A636,Response!$A:$M,10,)</f>
        <v>4</v>
      </c>
      <c r="P636" t="str">
        <f>VLOOKUP(A636,Response!$A:$M,12,)</f>
        <v>No</v>
      </c>
      <c r="Q636" t="str">
        <f>VLOOKUP(A636,Response!$A:$M,11,)</f>
        <v>Siruseri</v>
      </c>
      <c r="R636" t="s">
        <v>19</v>
      </c>
      <c r="S636" s="39" t="s">
        <v>37</v>
      </c>
    </row>
    <row r="637" spans="1:19">
      <c r="A637" s="3">
        <v>2525084</v>
      </c>
      <c r="B637" t="str">
        <f>VLOOKUP(A637,File!$A:$J,2,FALSE)</f>
        <v>Kirthika A</v>
      </c>
      <c r="C637" s="29">
        <f>VLOOKUP(A637,File!$A:$J,5,FALSE)</f>
        <v>46226</v>
      </c>
      <c r="D637" s="29" t="str">
        <f>VLOOKUP(A637,File!$A:$J,3,FALSE)</f>
        <v>Female</v>
      </c>
      <c r="E637" s="29" t="str">
        <f>VLOOKUP(A637,File!$A:$J,4,FALSE)</f>
        <v>FTE</v>
      </c>
      <c r="F637" s="29" t="str">
        <f>VLOOKUP(A637,File!$A:$J,6,FALSE)</f>
        <v>Chennai</v>
      </c>
      <c r="G637" s="29" t="str">
        <f>VLOOKUP(A637,File!$A:$J,7,FALSE)</f>
        <v>CIS26DWP023</v>
      </c>
      <c r="H637" s="29" t="str">
        <f>VLOOKUP(A637,File!$A:$J,8,FALSE)</f>
        <v>Geebiga B</v>
      </c>
      <c r="I637" s="31">
        <f>VLOOKUP(A637,File!$A:$J,9,FALSE)</f>
        <v>46282</v>
      </c>
      <c r="J637" s="31" t="str">
        <f>VLOOKUP(A637,File!$A:$K,11,FALSE)</f>
        <v>Sep 2026</v>
      </c>
      <c r="K637" s="31" t="str">
        <f>VLOOKUP(A637,File!$A:$K,10,FALSE)</f>
        <v>In-Training</v>
      </c>
      <c r="L637" s="31" t="s">
        <v>4</v>
      </c>
      <c r="M637" t="str">
        <f>VLOOKUP(A637,Response!$A:$M,7,)</f>
        <v>PG (Paying Guest)</v>
      </c>
      <c r="N637" t="str">
        <f>VLOOKUP(A637,Response!$A:$M,8,)</f>
        <v>New Manikandam Ladies hostel Branch 14</v>
      </c>
      <c r="O637" s="4">
        <f>VLOOKUP(A637,Response!$A:$M,10,)</f>
        <v>2</v>
      </c>
      <c r="P637" t="str">
        <f>VLOOKUP(A637,Response!$A:$M,12,)</f>
        <v>No</v>
      </c>
      <c r="Q637" t="str">
        <f>VLOOKUP(A637,Response!$A:$M,11,)</f>
        <v>Siruseri</v>
      </c>
      <c r="R637" t="s">
        <v>19</v>
      </c>
      <c r="S637" s="39" t="s">
        <v>37</v>
      </c>
    </row>
    <row r="638" spans="1:19">
      <c r="A638" s="3">
        <v>2521250</v>
      </c>
      <c r="B638" t="str">
        <f>VLOOKUP(A638,File!$A:$J,2,FALSE)</f>
        <v>R Kalaivani</v>
      </c>
      <c r="C638" s="29">
        <f>VLOOKUP(A638,File!$A:$J,5,FALSE)</f>
        <v>46210</v>
      </c>
      <c r="D638" s="29" t="str">
        <f>VLOOKUP(A638,File!$A:$J,3,FALSE)</f>
        <v>Female</v>
      </c>
      <c r="E638" s="29" t="str">
        <f>VLOOKUP(A638,File!$A:$J,4,FALSE)</f>
        <v>FTE</v>
      </c>
      <c r="F638" s="29" t="str">
        <f>VLOOKUP(A638,File!$A:$J,6,FALSE)</f>
        <v>Chennai</v>
      </c>
      <c r="G638" s="29" t="str">
        <f>VLOOKUP(A638,File!$A:$J,7,FALSE)</f>
        <v>CS26CS007</v>
      </c>
      <c r="H638" s="29" t="str">
        <f>VLOOKUP(A638,File!$A:$J,8,FALSE)</f>
        <v>Lawrance M</v>
      </c>
      <c r="I638" s="31">
        <f>VLOOKUP(A638,File!$A:$J,9,FALSE)</f>
        <v>46272</v>
      </c>
      <c r="J638" s="31" t="str">
        <f>VLOOKUP(A638,File!$A:$K,11,FALSE)</f>
        <v>Sep 2026</v>
      </c>
      <c r="K638" s="31" t="str">
        <f>VLOOKUP(A638,File!$A:$K,10,FALSE)</f>
        <v>In-Training</v>
      </c>
      <c r="L638" s="31" t="s">
        <v>4</v>
      </c>
      <c r="M638" t="str">
        <f>VLOOKUP(A638,Response!$A:$M,7,)</f>
        <v>PG (Paying Guest)</v>
      </c>
      <c r="N638" t="str">
        <f>VLOOKUP(A638,Response!$A:$M,8,)</f>
        <v>New Manikandan   ladies hostel,   branch 14</v>
      </c>
      <c r="O638" s="4">
        <f>VLOOKUP(A638,Response!$A:$M,10,)</f>
        <v>3</v>
      </c>
      <c r="P638" t="str">
        <f>VLOOKUP(A638,Response!$A:$M,12,)</f>
        <v>No</v>
      </c>
      <c r="Q638" t="str">
        <f>VLOOKUP(A638,Response!$A:$M,11,)</f>
        <v>Egattur</v>
      </c>
      <c r="R638" t="s">
        <v>19</v>
      </c>
      <c r="S638" s="39" t="s">
        <v>37</v>
      </c>
    </row>
    <row r="639" spans="1:19">
      <c r="A639" s="3">
        <v>2521254</v>
      </c>
      <c r="B639" t="str">
        <f>VLOOKUP(A639,File!$A:$J,2,FALSE)</f>
        <v>Gayathri V</v>
      </c>
      <c r="C639" s="29">
        <f>VLOOKUP(A639,File!$A:$J,5,FALSE)</f>
        <v>46210</v>
      </c>
      <c r="D639" s="29" t="str">
        <f>VLOOKUP(A639,File!$A:$J,3,FALSE)</f>
        <v>Female</v>
      </c>
      <c r="E639" s="29" t="str">
        <f>VLOOKUP(A639,File!$A:$J,4,FALSE)</f>
        <v>FTE</v>
      </c>
      <c r="F639" s="29" t="str">
        <f>VLOOKUP(A639,File!$A:$J,6,FALSE)</f>
        <v>Chennai</v>
      </c>
      <c r="G639" s="29" t="str">
        <f>VLOOKUP(A639,File!$A:$J,7,FALSE)</f>
        <v>CS26CS007</v>
      </c>
      <c r="H639" s="29" t="str">
        <f>VLOOKUP(A639,File!$A:$J,8,FALSE)</f>
        <v>Lawrance M</v>
      </c>
      <c r="I639" s="31">
        <f>VLOOKUP(A639,File!$A:$J,9,FALSE)</f>
        <v>46272</v>
      </c>
      <c r="J639" s="31" t="str">
        <f>VLOOKUP(A639,File!$A:$K,11,FALSE)</f>
        <v>Sep 2026</v>
      </c>
      <c r="K639" s="31" t="str">
        <f>VLOOKUP(A639,File!$A:$K,10,FALSE)</f>
        <v>In-Training</v>
      </c>
      <c r="L639" s="31" t="s">
        <v>4</v>
      </c>
      <c r="M639" t="str">
        <f>VLOOKUP(A639,Response!$A:$M,7,)</f>
        <v>PG (Paying Guest)</v>
      </c>
      <c r="N639" t="str">
        <f>VLOOKUP(A639,Response!$A:$M,8,)</f>
        <v>New Manikandan   ladies hostel,   branch 14</v>
      </c>
      <c r="O639" s="4">
        <f>VLOOKUP(A639,Response!$A:$M,10,)</f>
        <v>3</v>
      </c>
      <c r="P639" t="str">
        <f>VLOOKUP(A639,Response!$A:$M,12,)</f>
        <v>No</v>
      </c>
      <c r="Q639" t="str">
        <f>VLOOKUP(A639,Response!$A:$M,11,)</f>
        <v>Egattur</v>
      </c>
      <c r="R639" t="s">
        <v>19</v>
      </c>
      <c r="S639" s="39" t="s">
        <v>37</v>
      </c>
    </row>
    <row r="640" spans="1:19">
      <c r="A640" s="3">
        <v>2531958</v>
      </c>
      <c r="B640" t="str">
        <f>VLOOKUP(A640,File!$A:$J,2,FALSE)</f>
        <v>Shanthini Shameer</v>
      </c>
      <c r="C640" s="29">
        <f>VLOOKUP(A640,File!$A:$J,5,FALSE)</f>
        <v>46254</v>
      </c>
      <c r="D640" s="29" t="str">
        <f>VLOOKUP(A640,File!$A:$J,3,FALSE)</f>
        <v>Female</v>
      </c>
      <c r="E640" s="29" t="str">
        <f>VLOOKUP(A640,File!$A:$J,4,FALSE)</f>
        <v>FTE</v>
      </c>
      <c r="F640" s="29" t="str">
        <f>VLOOKUP(A640,File!$A:$J,6,FALSE)</f>
        <v>Chennai</v>
      </c>
      <c r="G640" s="29" t="str">
        <f>VLOOKUP(A640,File!$A:$J,7,FALSE)</f>
        <v>EPS26OSP011</v>
      </c>
      <c r="H640" s="29" t="str">
        <f>VLOOKUP(A640,File!$A:$J,8,FALSE)</f>
        <v>Gayathri Ramachandran</v>
      </c>
      <c r="I640" s="31" t="str">
        <f>VLOOKUP(A640,File!$A:$J,9,FALSE)</f>
        <v/>
      </c>
      <c r="J640" s="44" t="s">
        <v>33</v>
      </c>
      <c r="K640" s="31" t="str">
        <f>VLOOKUP(A640,File!$A:$K,10,FALSE)</f>
        <v>Training - ON Hold</v>
      </c>
      <c r="L640" s="31" t="s">
        <v>4</v>
      </c>
      <c r="M640" t="str">
        <f>VLOOKUP(A640,Response!$A:$M,7,)</f>
        <v>PG (Paying Guest)</v>
      </c>
      <c r="N640" t="str">
        <f>VLOOKUP(A640,Response!$A:$M,8,)</f>
        <v>New Manikandan Hostel Ladies PG</v>
      </c>
      <c r="O640" s="4">
        <f>VLOOKUP(A640,Response!$A:$M,10,)</f>
        <v>2</v>
      </c>
      <c r="P640" t="str">
        <f>VLOOKUP(A640,Response!$A:$M,12,)</f>
        <v>Yes</v>
      </c>
      <c r="Q640" t="str">
        <f>VLOOKUP(A640,Response!$A:$M,11,)</f>
        <v>Siruseri</v>
      </c>
      <c r="R640" t="s">
        <v>19</v>
      </c>
      <c r="S640" s="39" t="s">
        <v>37</v>
      </c>
    </row>
    <row r="641" spans="1:19">
      <c r="A641" s="3">
        <v>2529633</v>
      </c>
      <c r="B641" t="str">
        <f>VLOOKUP(A641,File!$A:$J,2,FALSE)</f>
        <v>Ishwarya J R</v>
      </c>
      <c r="C641" s="29">
        <f>VLOOKUP(A641,File!$A:$J,5,FALSE)</f>
        <v>46245</v>
      </c>
      <c r="D641" s="29" t="str">
        <f>VLOOKUP(A641,File!$A:$J,3,FALSE)</f>
        <v>Female</v>
      </c>
      <c r="E641" s="29" t="str">
        <f>VLOOKUP(A641,File!$A:$J,4,FALSE)</f>
        <v>FTE</v>
      </c>
      <c r="F641" s="29" t="str">
        <f>VLOOKUP(A641,File!$A:$J,6,FALSE)</f>
        <v>Chennai</v>
      </c>
      <c r="G641" s="29" t="str">
        <f>VLOOKUP(A641,File!$A:$J,7,FALSE)</f>
        <v>CIS26MCPT024</v>
      </c>
      <c r="H641" s="29" t="str">
        <f>VLOOKUP(A641,File!$A:$J,8,FALSE)</f>
        <v>Ashiya Begam S</v>
      </c>
      <c r="I641" s="31">
        <f>VLOOKUP(A641,File!$A:$J,9,FALSE)</f>
        <v>46359</v>
      </c>
      <c r="J641" s="31" t="str">
        <f>VLOOKUP(A641,File!$A:$K,11,FALSE)</f>
        <v>Dec 2026</v>
      </c>
      <c r="K641" s="31" t="str">
        <f>VLOOKUP(A641,File!$A:$K,10,FALSE)</f>
        <v>In-Training</v>
      </c>
      <c r="L641" s="31" t="s">
        <v>4</v>
      </c>
      <c r="M641" t="str">
        <f>VLOOKUP(A641,Response!$A:$M,7,)</f>
        <v>PG (Paying Guest)</v>
      </c>
      <c r="N641" t="str">
        <f>VLOOKUP(A641,Response!$A:$M,8,)</f>
        <v>New Manikandan Ladies Hostel - Branch 1, kalipathur</v>
      </c>
      <c r="O641" s="4">
        <f>VLOOKUP(A641,Response!$A:$M,10,)</f>
        <v>1</v>
      </c>
      <c r="P641" t="str">
        <f>VLOOKUP(A641,Response!$A:$M,12,)</f>
        <v>Yes</v>
      </c>
      <c r="Q641" t="str">
        <f>VLOOKUP(A641,Response!$A:$M,11,)</f>
        <v>Kazhipattur</v>
      </c>
      <c r="R641" t="s">
        <v>15</v>
      </c>
      <c r="S641" s="40" t="s">
        <v>36</v>
      </c>
    </row>
    <row r="642" spans="1:19">
      <c r="A642" s="3">
        <v>2512308</v>
      </c>
      <c r="B642" t="str">
        <f>VLOOKUP(A642,File!$A:$J,2,FALSE)</f>
        <v>Elakiya Panneerselvam</v>
      </c>
      <c r="C642" s="29">
        <f>VLOOKUP(A642,File!$A:$J,5,FALSE)</f>
        <v>46170</v>
      </c>
      <c r="D642" s="29" t="str">
        <f>VLOOKUP(A642,File!$A:$J,3,FALSE)</f>
        <v>Female</v>
      </c>
      <c r="E642" s="29" t="str">
        <f>VLOOKUP(A642,File!$A:$J,4,FALSE)</f>
        <v>FTE</v>
      </c>
      <c r="F642" s="29" t="str">
        <f>VLOOKUP(A642,File!$A:$J,6,FALSE)</f>
        <v>Chennai</v>
      </c>
      <c r="G642" s="29" t="str">
        <f>VLOOKUP(A642,File!$A:$J,7,FALSE)</f>
        <v>CIS26MCPT011</v>
      </c>
      <c r="H642" s="29" t="str">
        <f>VLOOKUP(A642,File!$A:$J,8,FALSE)</f>
        <v>Uma Venkatachalam</v>
      </c>
      <c r="I642" s="31">
        <f>VLOOKUP(A642,File!$A:$J,9,FALSE)</f>
        <v>46282</v>
      </c>
      <c r="J642" s="31" t="str">
        <f>VLOOKUP(A642,File!$A:$K,11,FALSE)</f>
        <v>Sep 2026</v>
      </c>
      <c r="K642" s="31" t="str">
        <f>VLOOKUP(A642,File!$A:$K,10,FALSE)</f>
        <v>In-Training</v>
      </c>
      <c r="L642" s="31" t="s">
        <v>4</v>
      </c>
      <c r="M642" t="str">
        <f>VLOOKUP(A642,Response!$A:$M,7,)</f>
        <v>PG (Paying Guest)</v>
      </c>
      <c r="N642" t="str">
        <f>VLOOKUP(A642,Response!$A:$M,8,)</f>
        <v>New Manikandan Ladies Hostel - Branch 14</v>
      </c>
      <c r="O642" s="4">
        <f>VLOOKUP(A642,Response!$A:$M,10,)</f>
        <v>4</v>
      </c>
      <c r="P642" t="str">
        <f>VLOOKUP(A642,Response!$A:$M,12,)</f>
        <v>Yes</v>
      </c>
      <c r="Q642" t="str">
        <f>VLOOKUP(A642,Response!$A:$M,11,)</f>
        <v>Siruseri</v>
      </c>
      <c r="R642" t="s">
        <v>19</v>
      </c>
      <c r="S642" s="39" t="s">
        <v>37</v>
      </c>
    </row>
    <row r="643" spans="1:19">
      <c r="A643" s="3">
        <v>2532974</v>
      </c>
      <c r="B643" t="str">
        <f>VLOOKUP(A643,File!$A:$J,2,FALSE)</f>
        <v>Dhivyasubashini K</v>
      </c>
      <c r="C643" s="29">
        <f>VLOOKUP(A643,File!$A:$J,5,FALSE)</f>
        <v>46259</v>
      </c>
      <c r="D643" s="29" t="str">
        <f>VLOOKUP(A643,File!$A:$J,3,FALSE)</f>
        <v>Female</v>
      </c>
      <c r="E643" s="29" t="str">
        <f>VLOOKUP(A643,File!$A:$J,4,FALSE)</f>
        <v>FTE</v>
      </c>
      <c r="F643" s="29" t="str">
        <f>VLOOKUP(A643,File!$A:$J,6,FALSE)</f>
        <v>Chennai</v>
      </c>
      <c r="G643" s="29" t="str">
        <f>VLOOKUP(A643,File!$A:$J,7,FALSE)</f>
        <v>ADM27DFSA001</v>
      </c>
      <c r="H643" s="29" t="str">
        <f>VLOOKUP(A643,File!$A:$J,8,FALSE)</f>
        <v>Thomas Naveen. J</v>
      </c>
      <c r="I643" s="31">
        <f>VLOOKUP(A643,File!$A:$J,9,FALSE)</f>
        <v>46386</v>
      </c>
      <c r="J643" s="31" t="str">
        <f>VLOOKUP(A643,File!$A:$K,11,FALSE)</f>
        <v>Dec 2026</v>
      </c>
      <c r="K643" s="31" t="str">
        <f>VLOOKUP(A643,File!$A:$K,10,FALSE)</f>
        <v>In-Training</v>
      </c>
      <c r="L643" s="31" t="s">
        <v>4</v>
      </c>
      <c r="M643" t="str">
        <f>VLOOKUP(A643,Response!$A:$M,7,)</f>
        <v>PG (Paying Guest)</v>
      </c>
      <c r="N643" t="str">
        <f>VLOOKUP(A643,Response!$A:$M,8,)</f>
        <v>New Manikandan Ladies Hostel - Branch 14, Kalipattur</v>
      </c>
      <c r="O643" s="4">
        <f>VLOOKUP(A643,Response!$A:$M,10,)</f>
        <v>1</v>
      </c>
      <c r="P643" t="str">
        <f>VLOOKUP(A643,Response!$A:$M,12,)</f>
        <v>No</v>
      </c>
      <c r="Q643" t="str">
        <f>VLOOKUP(A643,Response!$A:$M,11,)</f>
        <v>Vaniyanchavadi Padma Adarsh School, Kalipattur</v>
      </c>
      <c r="R643" t="s">
        <v>19</v>
      </c>
      <c r="S643" s="39" t="s">
        <v>37</v>
      </c>
    </row>
    <row r="644" spans="1:19">
      <c r="A644" s="3">
        <v>2531862</v>
      </c>
      <c r="B644" t="str">
        <f>VLOOKUP(A644,File!$A:$J,2,FALSE)</f>
        <v>S A Sangavi</v>
      </c>
      <c r="C644" s="29">
        <f>VLOOKUP(A644,File!$A:$J,5,FALSE)</f>
        <v>46254</v>
      </c>
      <c r="D644" s="29" t="str">
        <f>VLOOKUP(A644,File!$A:$J,3,FALSE)</f>
        <v>Female</v>
      </c>
      <c r="E644" s="29" t="str">
        <f>VLOOKUP(A644,File!$A:$J,4,FALSE)</f>
        <v>FTE</v>
      </c>
      <c r="F644" s="29" t="str">
        <f>VLOOKUP(A644,File!$A:$J,6,FALSE)</f>
        <v>Chennai</v>
      </c>
      <c r="G644" s="29" t="str">
        <f>VLOOKUP(A644,File!$A:$J,7,FALSE)</f>
        <v>CS26CS011</v>
      </c>
      <c r="H644" s="29" t="str">
        <f>VLOOKUP(A644,File!$A:$J,8,FALSE)</f>
        <v>Kishorekumar P</v>
      </c>
      <c r="I644" s="31">
        <f>VLOOKUP(A644,File!$A:$J,9,FALSE)</f>
        <v>46343</v>
      </c>
      <c r="J644" s="31" t="str">
        <f>VLOOKUP(A644,File!$A:$K,11,FALSE)</f>
        <v>Nov 2026</v>
      </c>
      <c r="K644" s="31" t="str">
        <f>VLOOKUP(A644,File!$A:$K,10,FALSE)</f>
        <v>In-Training</v>
      </c>
      <c r="L644" s="31" t="s">
        <v>4</v>
      </c>
      <c r="M644" t="str">
        <f>VLOOKUP(A644,Response!$A:$M,7,)</f>
        <v>Hostel</v>
      </c>
      <c r="N644" t="str">
        <f>VLOOKUP(A644,Response!$A:$M,8,)</f>
        <v>New Manikandan Ladies Hostel - Branch 14, Kazhipattur</v>
      </c>
      <c r="O644" s="4">
        <f>VLOOKUP(A644,Response!$A:$M,10,)</f>
        <v>5</v>
      </c>
      <c r="P644" t="str">
        <f>VLOOKUP(A644,Response!$A:$M,12,)</f>
        <v>Yes</v>
      </c>
      <c r="Q644" t="str">
        <f>VLOOKUP(A644,Response!$A:$M,11,)</f>
        <v>Siruseri</v>
      </c>
      <c r="R644" t="s">
        <v>19</v>
      </c>
      <c r="S644" s="39" t="s">
        <v>37</v>
      </c>
    </row>
    <row r="645" spans="1:19">
      <c r="A645" s="3">
        <v>2525060</v>
      </c>
      <c r="B645" t="str">
        <f>VLOOKUP(A645,File!$A:$J,2,FALSE)</f>
        <v>Geddamuri Purna Narayanamma</v>
      </c>
      <c r="C645" s="29">
        <f>VLOOKUP(A645,File!$A:$J,5,FALSE)</f>
        <v>46226</v>
      </c>
      <c r="D645" s="29" t="str">
        <f>VLOOKUP(A645,File!$A:$J,3,FALSE)</f>
        <v>Female</v>
      </c>
      <c r="E645" s="29" t="str">
        <f>VLOOKUP(A645,File!$A:$J,4,FALSE)</f>
        <v>FTE</v>
      </c>
      <c r="F645" s="29" t="str">
        <f>VLOOKUP(A645,File!$A:$J,6,FALSE)</f>
        <v>Chennai</v>
      </c>
      <c r="G645" s="29" t="str">
        <f>VLOOKUP(A645,File!$A:$J,7,FALSE)</f>
        <v>ADM26ISMO010</v>
      </c>
      <c r="H645" s="29" t="str">
        <f>VLOOKUP(A645,File!$A:$J,8,FALSE)</f>
        <v>Thomas Naveen. J</v>
      </c>
      <c r="I645" s="31">
        <f>VLOOKUP(A645,File!$A:$J,9,FALSE)</f>
        <v>46301</v>
      </c>
      <c r="J645" s="31" t="str">
        <f>VLOOKUP(A645,File!$A:$K,11,FALSE)</f>
        <v>Oct 2026</v>
      </c>
      <c r="K645" s="31" t="str">
        <f>VLOOKUP(A645,File!$A:$K,10,FALSE)</f>
        <v>In-Training</v>
      </c>
      <c r="L645" s="31" t="s">
        <v>4</v>
      </c>
      <c r="M645" t="str">
        <f>VLOOKUP(A645,Response!$A:$M,7,)</f>
        <v>PG (Paying Guest)</v>
      </c>
      <c r="N645" t="str">
        <f>VLOOKUP(A645,Response!$A:$M,8,)</f>
        <v>New Manikandan Ladies Hostel - Branch 5,Egattur</v>
      </c>
      <c r="O645" s="4">
        <f>VLOOKUP(A645,Response!$A:$M,10,)</f>
        <v>5</v>
      </c>
      <c r="P645" t="str">
        <f>VLOOKUP(A645,Response!$A:$M,12,)</f>
        <v>No</v>
      </c>
      <c r="Q645" t="str">
        <f>VLOOKUP(A645,Response!$A:$M,11,)</f>
        <v>Siruseri</v>
      </c>
      <c r="R645" t="s">
        <v>19</v>
      </c>
      <c r="S645" s="39" t="s">
        <v>37</v>
      </c>
    </row>
    <row r="646" spans="1:19">
      <c r="A646" s="3">
        <v>2522866</v>
      </c>
      <c r="B646" t="str">
        <f>VLOOKUP(A646,File!$A:$J,2,FALSE)</f>
        <v>Sarva Chandrasekaran</v>
      </c>
      <c r="C646" s="29">
        <f>VLOOKUP(A646,File!$A:$J,5,FALSE)</f>
        <v>46217</v>
      </c>
      <c r="D646" s="29" t="str">
        <f>VLOOKUP(A646,File!$A:$J,3,FALSE)</f>
        <v>Female</v>
      </c>
      <c r="E646" s="29" t="str">
        <f>VLOOKUP(A646,File!$A:$J,4,FALSE)</f>
        <v>FTE</v>
      </c>
      <c r="F646" s="29" t="str">
        <f>VLOOKUP(A646,File!$A:$J,6,FALSE)</f>
        <v>Chennai</v>
      </c>
      <c r="G646" s="29" t="str">
        <f>VLOOKUP(A646,File!$A:$J,7,FALSE)</f>
        <v>CIS26MCPT017</v>
      </c>
      <c r="H646" s="29" t="str">
        <f>VLOOKUP(A646,File!$A:$J,8,FALSE)</f>
        <v>Haritha P</v>
      </c>
      <c r="I646" s="31">
        <f>VLOOKUP(A646,File!$A:$J,9,FALSE)</f>
        <v>46335</v>
      </c>
      <c r="J646" s="31" t="str">
        <f>VLOOKUP(A646,File!$A:$K,11,FALSE)</f>
        <v>Nov 2026</v>
      </c>
      <c r="K646" s="31" t="str">
        <f>VLOOKUP(A646,File!$A:$K,10,FALSE)</f>
        <v>In-Training</v>
      </c>
      <c r="L646" s="31" t="s">
        <v>4</v>
      </c>
      <c r="M646" t="str">
        <f>VLOOKUP(A646,Response!$A:$M,7,)</f>
        <v>PG (Paying Guest)</v>
      </c>
      <c r="N646" t="str">
        <f>VLOOKUP(A646,Response!$A:$M,8,)</f>
        <v>New Manikandan ladies hostel - branch 8, Egattur</v>
      </c>
      <c r="O646" s="4">
        <f>VLOOKUP(A646,Response!$A:$M,10,)</f>
        <v>1</v>
      </c>
      <c r="P646" t="str">
        <f>VLOOKUP(A646,Response!$A:$M,12,)</f>
        <v>Yes</v>
      </c>
      <c r="Q646" t="str">
        <f>VLOOKUP(A646,Response!$A:$M,11,)</f>
        <v>Siruseri</v>
      </c>
      <c r="R646" t="s">
        <v>19</v>
      </c>
      <c r="S646" s="39" t="s">
        <v>37</v>
      </c>
    </row>
    <row r="647" spans="1:19">
      <c r="A647" s="3">
        <v>2507505</v>
      </c>
      <c r="B647" t="str">
        <f>VLOOKUP(A647,File!$A:$J,2,FALSE)</f>
        <v>Elakkiya G</v>
      </c>
      <c r="C647" s="29">
        <f>VLOOKUP(A647,File!$A:$J,5,FALSE)</f>
        <v>46142</v>
      </c>
      <c r="D647" s="29" t="str">
        <f>VLOOKUP(A647,File!$A:$J,3,FALSE)</f>
        <v>Female</v>
      </c>
      <c r="E647" s="29" t="str">
        <f>VLOOKUP(A647,File!$A:$J,4,FALSE)</f>
        <v>FTE</v>
      </c>
      <c r="F647" s="29" t="str">
        <f>VLOOKUP(A647,File!$A:$J,6,FALSE)</f>
        <v>Chennai</v>
      </c>
      <c r="G647" s="29" t="str">
        <f>VLOOKUP(A647,File!$A:$J,7,FALSE)</f>
        <v>ISG26JSAAT002</v>
      </c>
      <c r="H647" s="29" t="str">
        <f>VLOOKUP(A647,File!$A:$J,8,FALSE)</f>
        <v>Ashiya Begam S</v>
      </c>
      <c r="I647" s="31">
        <f>VLOOKUP(A647,File!$A:$J,9,FALSE)</f>
        <v>46272</v>
      </c>
      <c r="J647" s="31" t="str">
        <f>VLOOKUP(A647,File!$A:$K,11,FALSE)</f>
        <v>Sep 2026</v>
      </c>
      <c r="K647" s="31" t="str">
        <f>VLOOKUP(A647,File!$A:$K,10,FALSE)</f>
        <v>In-Training-Remedial</v>
      </c>
      <c r="L647" s="31" t="s">
        <v>4</v>
      </c>
      <c r="M647" t="str">
        <f>VLOOKUP(A647,Response!$A:$M,7,)</f>
        <v>PG (Paying Guest)</v>
      </c>
      <c r="N647" t="str">
        <f>VLOOKUP(A647,Response!$A:$M,8,)</f>
        <v>New Manikandan ladies hostel ,branch 4</v>
      </c>
      <c r="O647" s="4">
        <f>VLOOKUP(A647,Response!$A:$M,10,)</f>
        <v>1</v>
      </c>
      <c r="P647" t="str">
        <f>VLOOKUP(A647,Response!$A:$M,12,)</f>
        <v>No</v>
      </c>
      <c r="Q647" t="str">
        <f>VLOOKUP(A647,Response!$A:$M,11,)</f>
        <v>Egattur</v>
      </c>
      <c r="R647" t="s">
        <v>19</v>
      </c>
      <c r="S647" s="39" t="s">
        <v>37</v>
      </c>
    </row>
    <row r="648" spans="1:19">
      <c r="A648" s="3">
        <v>2512293</v>
      </c>
      <c r="B648" t="str">
        <f>VLOOKUP(A648,File!$A:$J,2,FALSE)</f>
        <v>Monisha M</v>
      </c>
      <c r="C648" s="29">
        <f>VLOOKUP(A648,File!$A:$J,5,FALSE)</f>
        <v>46170</v>
      </c>
      <c r="D648" s="29" t="str">
        <f>VLOOKUP(A648,File!$A:$J,3,FALSE)</f>
        <v>Female</v>
      </c>
      <c r="E648" s="29" t="str">
        <f>VLOOKUP(A648,File!$A:$J,4,FALSE)</f>
        <v>FTE</v>
      </c>
      <c r="F648" s="29" t="str">
        <f>VLOOKUP(A648,File!$A:$J,6,FALSE)</f>
        <v>Chennai</v>
      </c>
      <c r="G648" s="29" t="str">
        <f>VLOOKUP(A648,File!$A:$J,7,FALSE)</f>
        <v>CIS26MCPT012</v>
      </c>
      <c r="H648" s="29" t="str">
        <f>VLOOKUP(A648,File!$A:$J,8,FALSE)</f>
        <v>Uma Venkatachalam</v>
      </c>
      <c r="I648" s="31">
        <f>VLOOKUP(A648,File!$A:$J,9,FALSE)</f>
        <v>46282</v>
      </c>
      <c r="J648" s="31" t="str">
        <f>VLOOKUP(A648,File!$A:$K,11,FALSE)</f>
        <v>Sep 2026</v>
      </c>
      <c r="K648" s="31" t="str">
        <f>VLOOKUP(A648,File!$A:$K,10,FALSE)</f>
        <v>In-Training</v>
      </c>
      <c r="L648" s="31" t="s">
        <v>4</v>
      </c>
      <c r="M648" t="str">
        <f>VLOOKUP(A648,Response!$A:$M,7,)</f>
        <v>Hostel</v>
      </c>
      <c r="N648" t="str">
        <f>VLOOKUP(A648,Response!$A:$M,8,)</f>
        <v>New Manikandan Ladies Hostel ,Branch 5,Egattur</v>
      </c>
      <c r="O648" s="4">
        <f>VLOOKUP(A648,Response!$A:$M,10,)</f>
        <v>2</v>
      </c>
      <c r="P648" t="str">
        <f>VLOOKUP(A648,Response!$A:$M,12,)</f>
        <v>No</v>
      </c>
      <c r="Q648" t="str">
        <f>VLOOKUP(A648,Response!$A:$M,11,)</f>
        <v>Siruseri</v>
      </c>
      <c r="R648" t="s">
        <v>19</v>
      </c>
      <c r="S648" s="39" t="s">
        <v>37</v>
      </c>
    </row>
    <row r="649" spans="1:19">
      <c r="A649" s="3">
        <v>2533207</v>
      </c>
      <c r="B649" t="str">
        <f>VLOOKUP(A649,File!$A:$J,2,FALSE)</f>
        <v>Sindhu Tumu</v>
      </c>
      <c r="C649" s="29">
        <f>VLOOKUP(A649,File!$A:$J,5,FALSE)</f>
        <v>46259</v>
      </c>
      <c r="D649" s="29" t="str">
        <f>VLOOKUP(A649,File!$A:$J,3,FALSE)</f>
        <v>Female</v>
      </c>
      <c r="E649" s="29" t="str">
        <f>VLOOKUP(A649,File!$A:$J,4,FALSE)</f>
        <v>FTE</v>
      </c>
      <c r="F649" s="29" t="str">
        <f>VLOOKUP(A649,File!$A:$J,6,FALSE)</f>
        <v>Chennai</v>
      </c>
      <c r="G649" s="29" t="str">
        <f>VLOOKUP(A649,File!$A:$J,7,FALSE)</f>
        <v>CIS26MBG007</v>
      </c>
      <c r="H649" s="29" t="str">
        <f>VLOOKUP(A649,File!$A:$J,8,FALSE)</f>
        <v>Lawrance M</v>
      </c>
      <c r="I649" s="31">
        <f>VLOOKUP(A649,File!$A:$J,9,FALSE)</f>
        <v>46367</v>
      </c>
      <c r="J649" s="31" t="str">
        <f>VLOOKUP(A649,File!$A:$K,11,FALSE)</f>
        <v>Dec 2026</v>
      </c>
      <c r="K649" s="31" t="str">
        <f>VLOOKUP(A649,File!$A:$K,10,FALSE)</f>
        <v>In-Training</v>
      </c>
      <c r="L649" s="31" t="s">
        <v>4</v>
      </c>
      <c r="M649" t="str">
        <f>VLOOKUP(A649,Response!$A:$M,7,)</f>
        <v>PG (Paying Guest)</v>
      </c>
      <c r="N649" t="str">
        <f>VLOOKUP(A649,Response!$A:$M,8,)</f>
        <v>New manikandan ladies hostel branch-14 ,egattur</v>
      </c>
      <c r="O649" s="4" t="str">
        <f>VLOOKUP(A649,Response!$A:$M,10,)</f>
        <v>GF</v>
      </c>
      <c r="P649" t="str">
        <f>VLOOKUP(A649,Response!$A:$M,12,)</f>
        <v>No</v>
      </c>
      <c r="Q649" t="str">
        <f>VLOOKUP(A649,Response!$A:$M,11,)</f>
        <v>Egattur</v>
      </c>
      <c r="R649" t="s">
        <v>19</v>
      </c>
      <c r="S649" s="39" t="s">
        <v>37</v>
      </c>
    </row>
    <row r="650" spans="1:19">
      <c r="A650" s="3">
        <v>2512322</v>
      </c>
      <c r="B650" t="str">
        <f>VLOOKUP(A650,File!$A:$J,2,FALSE)</f>
        <v>Ajita M</v>
      </c>
      <c r="C650" s="29">
        <f>VLOOKUP(A650,File!$A:$J,5,FALSE)</f>
        <v>46170</v>
      </c>
      <c r="D650" s="29" t="str">
        <f>VLOOKUP(A650,File!$A:$J,3,FALSE)</f>
        <v>Female</v>
      </c>
      <c r="E650" s="29" t="str">
        <f>VLOOKUP(A650,File!$A:$J,4,FALSE)</f>
        <v>FTE</v>
      </c>
      <c r="F650" s="29" t="str">
        <f>VLOOKUP(A650,File!$A:$J,6,FALSE)</f>
        <v>Chennai</v>
      </c>
      <c r="G650" s="29" t="str">
        <f>VLOOKUP(A650,File!$A:$J,7,FALSE)</f>
        <v>CIS26MCPT012</v>
      </c>
      <c r="H650" s="29" t="str">
        <f>VLOOKUP(A650,File!$A:$J,8,FALSE)</f>
        <v>Uma Venkatachalam</v>
      </c>
      <c r="I650" s="31">
        <f>VLOOKUP(A650,File!$A:$J,9,FALSE)</f>
        <v>46282</v>
      </c>
      <c r="J650" s="31" t="str">
        <f>VLOOKUP(A650,File!$A:$K,11,FALSE)</f>
        <v>Sep 2026</v>
      </c>
      <c r="K650" s="31" t="str">
        <f>VLOOKUP(A650,File!$A:$K,10,FALSE)</f>
        <v>In-Training</v>
      </c>
      <c r="L650" s="31" t="s">
        <v>4</v>
      </c>
      <c r="M650" t="str">
        <f>VLOOKUP(A650,Response!$A:$M,7,)</f>
        <v>PG (Paying Guest)</v>
      </c>
      <c r="N650" t="str">
        <f>VLOOKUP(A650,Response!$A:$M,8,)</f>
        <v>New Manikandan Ladies Hostel Branch-14</v>
      </c>
      <c r="O650" s="4">
        <f>VLOOKUP(A650,Response!$A:$M,10,)</f>
        <v>4</v>
      </c>
      <c r="P650" t="str">
        <f>VLOOKUP(A650,Response!$A:$M,12,)</f>
        <v>Yes</v>
      </c>
      <c r="Q650" t="str">
        <f>VLOOKUP(A650,Response!$A:$M,11,)</f>
        <v>Siruseri</v>
      </c>
      <c r="R650" t="s">
        <v>19</v>
      </c>
      <c r="S650" s="39" t="s">
        <v>37</v>
      </c>
    </row>
    <row r="651" spans="1:19">
      <c r="A651" s="3">
        <v>2516878</v>
      </c>
      <c r="B651" t="str">
        <f>VLOOKUP(A651,File!$A:$J,2,FALSE)</f>
        <v>G Nikila</v>
      </c>
      <c r="C651" s="29">
        <f>VLOOKUP(A651,File!$A:$J,5,FALSE)</f>
        <v>46191</v>
      </c>
      <c r="D651" s="29" t="str">
        <f>VLOOKUP(A651,File!$A:$J,3,FALSE)</f>
        <v>Female</v>
      </c>
      <c r="E651" s="29" t="str">
        <f>VLOOKUP(A651,File!$A:$J,4,FALSE)</f>
        <v>FTE</v>
      </c>
      <c r="F651" s="29" t="str">
        <f>VLOOKUP(A651,File!$A:$J,6,FALSE)</f>
        <v>Chennai</v>
      </c>
      <c r="G651" s="29" t="str">
        <f>VLOOKUP(A651,File!$A:$J,7,FALSE)</f>
        <v>CIS26MW001</v>
      </c>
      <c r="H651" s="29" t="str">
        <f>VLOOKUP(A651,File!$A:$J,8,FALSE)</f>
        <v>Ashiya Begam S</v>
      </c>
      <c r="I651" s="31">
        <f>VLOOKUP(A651,File!$A:$J,9,FALSE)</f>
        <v>46276</v>
      </c>
      <c r="J651" s="31" t="str">
        <f>VLOOKUP(A651,File!$A:$K,11,FALSE)</f>
        <v>Sep 2026</v>
      </c>
      <c r="K651" s="31" t="str">
        <f>VLOOKUP(A651,File!$A:$K,10,FALSE)</f>
        <v>In-Training</v>
      </c>
      <c r="L651" s="31" t="s">
        <v>4</v>
      </c>
      <c r="M651" t="str">
        <f>VLOOKUP(A651,Response!$A:$M,7,)</f>
        <v>PG (Paying Guest)</v>
      </c>
      <c r="N651" t="str">
        <f>VLOOKUP(A651,Response!$A:$M,8,)</f>
        <v>New Manikandan Ladies hostel - Branch 14</v>
      </c>
      <c r="O651" s="4">
        <f>VLOOKUP(A651,Response!$A:$M,10,)</f>
        <v>2</v>
      </c>
      <c r="P651" t="str">
        <f>VLOOKUP(A651,Response!$A:$M,12,)</f>
        <v>No</v>
      </c>
      <c r="Q651" t="str">
        <f>VLOOKUP(A651,Response!$A:$M,11,)</f>
        <v>Siruseri</v>
      </c>
      <c r="R651" t="s">
        <v>19</v>
      </c>
      <c r="S651" s="39" t="s">
        <v>37</v>
      </c>
    </row>
    <row r="652" spans="1:19">
      <c r="A652" s="3">
        <v>2531984</v>
      </c>
      <c r="B652" t="str">
        <f>VLOOKUP(A652,File!$A:$J,2,FALSE)</f>
        <v>Kanika S</v>
      </c>
      <c r="C652" s="29">
        <f>VLOOKUP(A652,File!$A:$J,5,FALSE)</f>
        <v>46254</v>
      </c>
      <c r="D652" s="29" t="str">
        <f>VLOOKUP(A652,File!$A:$J,3,FALSE)</f>
        <v>Female</v>
      </c>
      <c r="E652" s="29" t="str">
        <f>VLOOKUP(A652,File!$A:$J,4,FALSE)</f>
        <v>FTE</v>
      </c>
      <c r="F652" s="29" t="str">
        <f>VLOOKUP(A652,File!$A:$J,6,FALSE)</f>
        <v>Chennai</v>
      </c>
      <c r="G652" s="29" t="str">
        <f>VLOOKUP(A652,File!$A:$J,7,FALSE)</f>
        <v>CS26CS012</v>
      </c>
      <c r="H652" s="29" t="str">
        <f>VLOOKUP(A652,File!$A:$J,8,FALSE)</f>
        <v>Laksiya Vijayendran</v>
      </c>
      <c r="I652" s="31">
        <f>VLOOKUP(A652,File!$A:$J,9,FALSE)</f>
        <v>46343</v>
      </c>
      <c r="J652" s="31" t="str">
        <f>VLOOKUP(A652,File!$A:$K,11,FALSE)</f>
        <v>Nov 2026</v>
      </c>
      <c r="K652" s="31" t="str">
        <f>VLOOKUP(A652,File!$A:$K,10,FALSE)</f>
        <v>In-Training</v>
      </c>
      <c r="L652" s="31" t="s">
        <v>4</v>
      </c>
      <c r="M652" t="str">
        <f>VLOOKUP(A652,Response!$A:$M,7,)</f>
        <v>PG (Paying Guest)</v>
      </c>
      <c r="N652" t="str">
        <f>VLOOKUP(A652,Response!$A:$M,8,)</f>
        <v>New manikandan Ladies hostel PG-Branch14,kalipattur</v>
      </c>
      <c r="O652" s="4">
        <f>VLOOKUP(A652,Response!$A:$M,10,)</f>
        <v>5</v>
      </c>
      <c r="P652" t="str">
        <f>VLOOKUP(A652,Response!$A:$M,12,)</f>
        <v>Yes</v>
      </c>
      <c r="Q652" t="str">
        <f>VLOOKUP(A652,Response!$A:$M,11,)</f>
        <v>Siruseri</v>
      </c>
      <c r="R652" t="s">
        <v>19</v>
      </c>
      <c r="S652" s="39" t="s">
        <v>37</v>
      </c>
    </row>
    <row r="653" spans="1:19">
      <c r="A653" s="3">
        <v>2531971</v>
      </c>
      <c r="B653" t="str">
        <f>VLOOKUP(A653,File!$A:$J,2,FALSE)</f>
        <v>Shriya Ramachandran</v>
      </c>
      <c r="C653" s="29">
        <f>VLOOKUP(A653,File!$A:$J,5,FALSE)</f>
        <v>46254</v>
      </c>
      <c r="D653" s="29" t="str">
        <f>VLOOKUP(A653,File!$A:$J,3,FALSE)</f>
        <v>Female</v>
      </c>
      <c r="E653" s="29" t="str">
        <f>VLOOKUP(A653,File!$A:$J,4,FALSE)</f>
        <v>FTE</v>
      </c>
      <c r="F653" s="29" t="str">
        <f>VLOOKUP(A653,File!$A:$J,6,FALSE)</f>
        <v>Chennai</v>
      </c>
      <c r="G653" s="29" t="str">
        <f>VLOOKUP(A653,File!$A:$J,7,FALSE)</f>
        <v>EPS26OSP011</v>
      </c>
      <c r="H653" s="29" t="str">
        <f>VLOOKUP(A653,File!$A:$J,8,FALSE)</f>
        <v>Gayathri Ramachandran</v>
      </c>
      <c r="I653" s="31" t="str">
        <f>VLOOKUP(A653,File!$A:$J,9,FALSE)</f>
        <v/>
      </c>
      <c r="J653" s="44" t="s">
        <v>33</v>
      </c>
      <c r="K653" s="31" t="str">
        <f>VLOOKUP(A653,File!$A:$K,10,FALSE)</f>
        <v>Training - ON Hold</v>
      </c>
      <c r="L653" s="31" t="s">
        <v>4</v>
      </c>
      <c r="M653" t="str">
        <f>VLOOKUP(A653,Response!$A:$M,7,)</f>
        <v>Hostel</v>
      </c>
      <c r="N653" t="str">
        <f>VLOOKUP(A653,Response!$A:$M,8,)</f>
        <v>New Manikandan Ladies Hostel, 36, Mettur Street, Kazhipattur, Tamil Nadu 603103</v>
      </c>
      <c r="O653" s="4" t="str">
        <f>VLOOKUP(A653,Response!$A:$M,10,)</f>
        <v>GF</v>
      </c>
      <c r="P653" t="str">
        <f>VLOOKUP(A653,Response!$A:$M,12,)</f>
        <v>No</v>
      </c>
      <c r="Q653" t="str">
        <f>VLOOKUP(A653,Response!$A:$M,11,)</f>
        <v>Navalur</v>
      </c>
      <c r="R653" t="s">
        <v>19</v>
      </c>
      <c r="S653" s="39" t="s">
        <v>37</v>
      </c>
    </row>
    <row r="654" spans="1:19">
      <c r="A654" s="3">
        <v>2521245</v>
      </c>
      <c r="B654" t="str">
        <f>VLOOKUP(A654,File!$A:$J,2,FALSE)</f>
        <v>Deepana D</v>
      </c>
      <c r="C654" s="29">
        <f>VLOOKUP(A654,File!$A:$J,5,FALSE)</f>
        <v>46210</v>
      </c>
      <c r="D654" s="29" t="str">
        <f>VLOOKUP(A654,File!$A:$J,3,FALSE)</f>
        <v>Female</v>
      </c>
      <c r="E654" s="29" t="str">
        <f>VLOOKUP(A654,File!$A:$J,4,FALSE)</f>
        <v>FTE</v>
      </c>
      <c r="F654" s="29" t="str">
        <f>VLOOKUP(A654,File!$A:$J,6,FALSE)</f>
        <v>Chennai</v>
      </c>
      <c r="G654" s="29" t="str">
        <f>VLOOKUP(A654,File!$A:$J,7,FALSE)</f>
        <v>CS26CS007</v>
      </c>
      <c r="H654" s="29" t="str">
        <f>VLOOKUP(A654,File!$A:$J,8,FALSE)</f>
        <v>Lawrance M</v>
      </c>
      <c r="I654" s="31">
        <f>VLOOKUP(A654,File!$A:$J,9,FALSE)</f>
        <v>46272</v>
      </c>
      <c r="J654" s="31" t="str">
        <f>VLOOKUP(A654,File!$A:$K,11,FALSE)</f>
        <v>Sep 2026</v>
      </c>
      <c r="K654" s="31" t="str">
        <f>VLOOKUP(A654,File!$A:$K,10,FALSE)</f>
        <v>In-Training</v>
      </c>
      <c r="L654" s="31" t="s">
        <v>4</v>
      </c>
      <c r="M654" t="str">
        <f>VLOOKUP(A654,Response!$A:$M,7,)</f>
        <v>PG (Paying Guest)</v>
      </c>
      <c r="N654" t="str">
        <f>VLOOKUP(A654,Response!$A:$M,8,)</f>
        <v>New Manikandan Ladies Hostel, Branch 14</v>
      </c>
      <c r="O654" s="4">
        <f>VLOOKUP(A654,Response!$A:$M,10,)</f>
        <v>3</v>
      </c>
      <c r="P654" t="str">
        <f>VLOOKUP(A654,Response!$A:$M,12,)</f>
        <v>No</v>
      </c>
      <c r="Q654" t="str">
        <f>VLOOKUP(A654,Response!$A:$M,11,)</f>
        <v>Egattur</v>
      </c>
      <c r="R654" t="s">
        <v>19</v>
      </c>
      <c r="S654" s="39" t="s">
        <v>37</v>
      </c>
    </row>
    <row r="655" spans="1:19">
      <c r="A655" s="3">
        <v>2521305</v>
      </c>
      <c r="B655" t="str">
        <f>VLOOKUP(A655,File!$A:$J,2,FALSE)</f>
        <v>Raveena Pm</v>
      </c>
      <c r="C655" s="29">
        <f>VLOOKUP(A655,File!$A:$J,5,FALSE)</f>
        <v>46210</v>
      </c>
      <c r="D655" s="29" t="str">
        <f>VLOOKUP(A655,File!$A:$J,3,FALSE)</f>
        <v>Female</v>
      </c>
      <c r="E655" s="29" t="str">
        <f>VLOOKUP(A655,File!$A:$J,4,FALSE)</f>
        <v>FTE</v>
      </c>
      <c r="F655" s="29" t="str">
        <f>VLOOKUP(A655,File!$A:$J,6,FALSE)</f>
        <v>Chennai</v>
      </c>
      <c r="G655" s="29" t="str">
        <f>VLOOKUP(A655,File!$A:$J,7,FALSE)</f>
        <v>CS26CS007</v>
      </c>
      <c r="H655" s="29" t="str">
        <f>VLOOKUP(A655,File!$A:$J,8,FALSE)</f>
        <v>Lawrance M</v>
      </c>
      <c r="I655" s="31">
        <f>VLOOKUP(A655,File!$A:$J,9,FALSE)</f>
        <v>46272</v>
      </c>
      <c r="J655" s="31" t="str">
        <f>VLOOKUP(A655,File!$A:$K,11,FALSE)</f>
        <v>Sep 2026</v>
      </c>
      <c r="K655" s="31" t="str">
        <f>VLOOKUP(A655,File!$A:$K,10,FALSE)</f>
        <v>In-Training</v>
      </c>
      <c r="L655" s="31" t="s">
        <v>4</v>
      </c>
      <c r="M655" t="str">
        <f>VLOOKUP(A655,Response!$A:$M,7,)</f>
        <v>PG (Paying Guest)</v>
      </c>
      <c r="N655" t="str">
        <f>VLOOKUP(A655,Response!$A:$M,8,)</f>
        <v>New Manikandan ladies hostel, branch 14</v>
      </c>
      <c r="O655" s="4">
        <f>VLOOKUP(A655,Response!$A:$M,10,)</f>
        <v>3</v>
      </c>
      <c r="P655" t="str">
        <f>VLOOKUP(A655,Response!$A:$M,12,)</f>
        <v>No</v>
      </c>
      <c r="Q655" t="str">
        <f>VLOOKUP(A655,Response!$A:$M,11,)</f>
        <v>Egattur</v>
      </c>
      <c r="R655" t="s">
        <v>19</v>
      </c>
      <c r="S655" s="39" t="s">
        <v>37</v>
      </c>
    </row>
    <row r="656" spans="1:19">
      <c r="A656" s="3">
        <v>2521767</v>
      </c>
      <c r="B656" t="str">
        <f>VLOOKUP(A656,File!$A:$J,2,FALSE)</f>
        <v>Bhuvaneshwari V</v>
      </c>
      <c r="C656" s="29">
        <f>VLOOKUP(A656,File!$A:$J,5,FALSE)</f>
        <v>46212</v>
      </c>
      <c r="D656" s="29" t="str">
        <f>VLOOKUP(A656,File!$A:$J,3,FALSE)</f>
        <v>Female</v>
      </c>
      <c r="E656" s="29" t="str">
        <f>VLOOKUP(A656,File!$A:$J,4,FALSE)</f>
        <v>FTE</v>
      </c>
      <c r="F656" s="29" t="str">
        <f>VLOOKUP(A656,File!$A:$J,6,FALSE)</f>
        <v>Chennai</v>
      </c>
      <c r="G656" s="29" t="str">
        <f>VLOOKUP(A656,File!$A:$J,7,FALSE)</f>
        <v>QEA26NFTPA001</v>
      </c>
      <c r="H656" s="29" t="str">
        <f>VLOOKUP(A656,File!$A:$J,8,FALSE)</f>
        <v>Lourdhu Selvin Raj X</v>
      </c>
      <c r="I656" s="31">
        <f>VLOOKUP(A656,File!$A:$J,9,FALSE)</f>
        <v>46337</v>
      </c>
      <c r="J656" s="31" t="str">
        <f>VLOOKUP(A656,File!$A:$K,11,FALSE)</f>
        <v>Nov 2026</v>
      </c>
      <c r="K656" s="31" t="str">
        <f>VLOOKUP(A656,File!$A:$K,10,FALSE)</f>
        <v>In-Training</v>
      </c>
      <c r="L656" s="31" t="s">
        <v>4</v>
      </c>
      <c r="M656" t="str">
        <f>VLOOKUP(A656,Response!$A:$M,7,)</f>
        <v>PG (Paying Guest)</v>
      </c>
      <c r="N656" t="str">
        <f>VLOOKUP(A656,Response!$A:$M,8,)</f>
        <v>New Manikandan Ladies Hostel, Branch 14, Kazhipattur</v>
      </c>
      <c r="O656" s="4">
        <f>VLOOKUP(A656,Response!$A:$M,10,)</f>
        <v>1</v>
      </c>
      <c r="P656" t="str">
        <f>VLOOKUP(A656,Response!$A:$M,12,)</f>
        <v>Yes</v>
      </c>
      <c r="Q656" t="str">
        <f>VLOOKUP(A656,Response!$A:$M,11,)</f>
        <v>Siruseri</v>
      </c>
      <c r="R656" t="s">
        <v>19</v>
      </c>
      <c r="S656" s="39" t="s">
        <v>37</v>
      </c>
    </row>
    <row r="657" spans="1:19">
      <c r="A657" s="3">
        <v>2521723</v>
      </c>
      <c r="B657" t="str">
        <f>VLOOKUP(A657,File!$A:$J,2,FALSE)</f>
        <v>Indhumathi M</v>
      </c>
      <c r="C657" s="29">
        <f>VLOOKUP(A657,File!$A:$J,5,FALSE)</f>
        <v>46212</v>
      </c>
      <c r="D657" s="29" t="str">
        <f>VLOOKUP(A657,File!$A:$J,3,FALSE)</f>
        <v>Female</v>
      </c>
      <c r="E657" s="29" t="str">
        <f>VLOOKUP(A657,File!$A:$J,4,FALSE)</f>
        <v>FTE</v>
      </c>
      <c r="F657" s="29" t="str">
        <f>VLOOKUP(A657,File!$A:$J,6,FALSE)</f>
        <v>Chennai</v>
      </c>
      <c r="G657" s="29" t="str">
        <f>VLOOKUP(A657,File!$A:$J,7,FALSE)</f>
        <v>QEA26NFTPA001</v>
      </c>
      <c r="H657" s="29" t="str">
        <f>VLOOKUP(A657,File!$A:$J,8,FALSE)</f>
        <v>Lourdhu Selvin Raj X</v>
      </c>
      <c r="I657" s="31">
        <f>VLOOKUP(A657,File!$A:$J,9,FALSE)</f>
        <v>46337</v>
      </c>
      <c r="J657" s="31" t="str">
        <f>VLOOKUP(A657,File!$A:$K,11,FALSE)</f>
        <v>Nov 2026</v>
      </c>
      <c r="K657" s="31" t="str">
        <f>VLOOKUP(A657,File!$A:$K,10,FALSE)</f>
        <v>In-Training</v>
      </c>
      <c r="L657" s="31" t="s">
        <v>4</v>
      </c>
      <c r="M657" t="str">
        <f>VLOOKUP(A657,Response!$A:$M,7,)</f>
        <v>PG (Paying Guest)</v>
      </c>
      <c r="N657" t="str">
        <f>VLOOKUP(A657,Response!$A:$M,8,)</f>
        <v>NEW MANIKANDAN LADIES HOSTEL,BRANCH 14, KAZHIPATTUR</v>
      </c>
      <c r="O657" s="4">
        <f>VLOOKUP(A657,Response!$A:$M,10,)</f>
        <v>1</v>
      </c>
      <c r="P657" t="str">
        <f>VLOOKUP(A657,Response!$A:$M,12,)</f>
        <v>Yes</v>
      </c>
      <c r="Q657" t="str">
        <f>VLOOKUP(A657,Response!$A:$M,11,)</f>
        <v>Siruseri</v>
      </c>
      <c r="R657" t="s">
        <v>19</v>
      </c>
      <c r="S657" s="39" t="s">
        <v>37</v>
      </c>
    </row>
    <row r="658" spans="1:19">
      <c r="A658" s="3">
        <v>2521727</v>
      </c>
      <c r="B658" t="str">
        <f>VLOOKUP(A658,File!$A:$J,2,FALSE)</f>
        <v>Dharshini S S</v>
      </c>
      <c r="C658" s="29">
        <f>VLOOKUP(A658,File!$A:$J,5,FALSE)</f>
        <v>46212</v>
      </c>
      <c r="D658" s="29" t="str">
        <f>VLOOKUP(A658,File!$A:$J,3,FALSE)</f>
        <v>Female</v>
      </c>
      <c r="E658" s="29" t="str">
        <f>VLOOKUP(A658,File!$A:$J,4,FALSE)</f>
        <v>FTE</v>
      </c>
      <c r="F658" s="29" t="str">
        <f>VLOOKUP(A658,File!$A:$J,6,FALSE)</f>
        <v>Chennai</v>
      </c>
      <c r="G658" s="29" t="str">
        <f>VLOOKUP(A658,File!$A:$J,7,FALSE)</f>
        <v>QEA26NFTPA002</v>
      </c>
      <c r="H658" s="29" t="str">
        <f>VLOOKUP(A658,File!$A:$J,8,FALSE)</f>
        <v>Lourdhu Selvin Raj X</v>
      </c>
      <c r="I658" s="31">
        <f>VLOOKUP(A658,File!$A:$J,9,FALSE)</f>
        <v>46337</v>
      </c>
      <c r="J658" s="31" t="str">
        <f>VLOOKUP(A658,File!$A:$K,11,FALSE)</f>
        <v>Nov 2026</v>
      </c>
      <c r="K658" s="31" t="str">
        <f>VLOOKUP(A658,File!$A:$K,10,FALSE)</f>
        <v>In-Training</v>
      </c>
      <c r="L658" s="31" t="s">
        <v>4</v>
      </c>
      <c r="M658" t="str">
        <f>VLOOKUP(A658,Response!$A:$M,7,)</f>
        <v>PG (Paying Guest)</v>
      </c>
      <c r="N658" t="str">
        <f>VLOOKUP(A658,Response!$A:$M,8,)</f>
        <v>New Manikandan Ladies Hostel-Branch 14,Kalipattur</v>
      </c>
      <c r="O658" s="4">
        <f>VLOOKUP(A658,Response!$A:$M,10,)</f>
        <v>1</v>
      </c>
      <c r="P658" t="str">
        <f>VLOOKUP(A658,Response!$A:$M,12,)</f>
        <v>No</v>
      </c>
      <c r="Q658" t="str">
        <f>VLOOKUP(A658,Response!$A:$M,11,)</f>
        <v>Siruseri</v>
      </c>
      <c r="R658" t="s">
        <v>19</v>
      </c>
      <c r="S658" s="39" t="s">
        <v>37</v>
      </c>
    </row>
    <row r="659" spans="1:19">
      <c r="A659" s="3">
        <v>2532968</v>
      </c>
      <c r="B659" t="str">
        <f>VLOOKUP(A659,File!$A:$J,2,FALSE)</f>
        <v>Malavika Arumugam</v>
      </c>
      <c r="C659" s="29">
        <f>VLOOKUP(A659,File!$A:$J,5,FALSE)</f>
        <v>46259</v>
      </c>
      <c r="D659" s="29" t="str">
        <f>VLOOKUP(A659,File!$A:$J,3,FALSE)</f>
        <v>Female</v>
      </c>
      <c r="E659" s="29" t="str">
        <f>VLOOKUP(A659,File!$A:$J,4,FALSE)</f>
        <v>FTE</v>
      </c>
      <c r="F659" s="29" t="str">
        <f>VLOOKUP(A659,File!$A:$J,6,FALSE)</f>
        <v>Chennai</v>
      </c>
      <c r="G659" s="29" t="str">
        <f>VLOOKUP(A659,File!$A:$J,7,FALSE)</f>
        <v>CIS26MBG006</v>
      </c>
      <c r="H659" s="29" t="str">
        <f>VLOOKUP(A659,File!$A:$J,8,FALSE)</f>
        <v>Angel Maria Faustina Gomez</v>
      </c>
      <c r="I659" s="31">
        <f>VLOOKUP(A659,File!$A:$J,9,FALSE)</f>
        <v>46367</v>
      </c>
      <c r="J659" s="31" t="str">
        <f>VLOOKUP(A659,File!$A:$K,11,FALSE)</f>
        <v>Dec 2026</v>
      </c>
      <c r="K659" s="31" t="str">
        <f>VLOOKUP(A659,File!$A:$K,10,FALSE)</f>
        <v>In-Training</v>
      </c>
      <c r="L659" s="31" t="s">
        <v>4</v>
      </c>
      <c r="M659" t="str">
        <f>VLOOKUP(A659,Response!$A:$M,7,)</f>
        <v>PG (Paying Guest)</v>
      </c>
      <c r="N659" t="str">
        <f>VLOOKUP(A659,Response!$A:$M,8,)</f>
        <v>New Manikandan Ladies PG - Branch 14, Kalipattur.</v>
      </c>
      <c r="O659" s="4">
        <f>VLOOKUP(A659,Response!$A:$M,10,)</f>
        <v>1</v>
      </c>
      <c r="P659" t="str">
        <f>VLOOKUP(A659,Response!$A:$M,12,)</f>
        <v>Yes</v>
      </c>
      <c r="Q659" t="str">
        <f>VLOOKUP(A659,Response!$A:$M,11,)</f>
        <v>Siruseri</v>
      </c>
      <c r="R659" t="s">
        <v>19</v>
      </c>
      <c r="S659" s="39" t="s">
        <v>37</v>
      </c>
    </row>
    <row r="660" spans="1:19">
      <c r="A660" s="3">
        <v>2531860</v>
      </c>
      <c r="B660" t="str">
        <f>VLOOKUP(A660,File!$A:$J,2,FALSE)</f>
        <v>S P Divyanka</v>
      </c>
      <c r="C660" s="29">
        <f>VLOOKUP(A660,File!$A:$J,5,FALSE)</f>
        <v>46254</v>
      </c>
      <c r="D660" s="29" t="str">
        <f>VLOOKUP(A660,File!$A:$J,3,FALSE)</f>
        <v>Female</v>
      </c>
      <c r="E660" s="29" t="str">
        <f>VLOOKUP(A660,File!$A:$J,4,FALSE)</f>
        <v>FTE</v>
      </c>
      <c r="F660" s="29" t="str">
        <f>VLOOKUP(A660,File!$A:$J,6,FALSE)</f>
        <v>Chennai</v>
      </c>
      <c r="G660" s="29" t="str">
        <f>VLOOKUP(A660,File!$A:$J,7,FALSE)</f>
        <v>CS26CS011</v>
      </c>
      <c r="H660" s="29" t="str">
        <f>VLOOKUP(A660,File!$A:$J,8,FALSE)</f>
        <v>Kishorekumar P</v>
      </c>
      <c r="I660" s="31">
        <f>VLOOKUP(A660,File!$A:$J,9,FALSE)</f>
        <v>46343</v>
      </c>
      <c r="J660" s="31" t="str">
        <f>VLOOKUP(A660,File!$A:$K,11,FALSE)</f>
        <v>Nov 2026</v>
      </c>
      <c r="K660" s="31" t="str">
        <f>VLOOKUP(A660,File!$A:$K,10,FALSE)</f>
        <v>In-Training</v>
      </c>
      <c r="L660" s="31" t="s">
        <v>4</v>
      </c>
      <c r="M660" t="str">
        <f>VLOOKUP(A660,Response!$A:$M,7,)</f>
        <v>PG (Paying Guest)</v>
      </c>
      <c r="N660" t="str">
        <f>VLOOKUP(A660,Response!$A:$M,8,)</f>
        <v>New Manikandan Ladies PG - Branch 14, Kazhipattur</v>
      </c>
      <c r="O660" s="4">
        <f>VLOOKUP(A660,Response!$A:$M,10,)</f>
        <v>5</v>
      </c>
      <c r="P660" t="str">
        <f>VLOOKUP(A660,Response!$A:$M,12,)</f>
        <v>No</v>
      </c>
      <c r="Q660" t="str">
        <f>VLOOKUP(A660,Response!$A:$M,11,)</f>
        <v>Siruseri</v>
      </c>
      <c r="R660" t="s">
        <v>19</v>
      </c>
      <c r="S660" s="39" t="s">
        <v>37</v>
      </c>
    </row>
    <row r="661" spans="1:19">
      <c r="A661" s="3">
        <v>2521630</v>
      </c>
      <c r="B661" t="str">
        <f>VLOOKUP(A661,File!$A:$J,2,FALSE)</f>
        <v>Pavithra Thangaraj</v>
      </c>
      <c r="C661" s="29">
        <f>VLOOKUP(A661,File!$A:$J,5,FALSE)</f>
        <v>46212</v>
      </c>
      <c r="D661" s="29" t="str">
        <f>VLOOKUP(A661,File!$A:$J,3,FALSE)</f>
        <v>Female</v>
      </c>
      <c r="E661" s="29" t="str">
        <f>VLOOKUP(A661,File!$A:$J,4,FALSE)</f>
        <v>FTE</v>
      </c>
      <c r="F661" s="29" t="str">
        <f>VLOOKUP(A661,File!$A:$J,6,FALSE)</f>
        <v>Chennai</v>
      </c>
      <c r="G661" s="29" t="str">
        <f>VLOOKUP(A661,File!$A:$J,7,FALSE)</f>
        <v>ADM26DNAT003</v>
      </c>
      <c r="H661" s="29" t="str">
        <f>VLOOKUP(A661,File!$A:$J,8,FALSE)</f>
        <v>Athira P</v>
      </c>
      <c r="I661" s="31">
        <f>VLOOKUP(A661,File!$A:$J,9,FALSE)</f>
        <v>46318</v>
      </c>
      <c r="J661" s="31" t="str">
        <f>VLOOKUP(A661,File!$A:$K,11,FALSE)</f>
        <v>Oct 2026</v>
      </c>
      <c r="K661" s="31" t="str">
        <f>VLOOKUP(A661,File!$A:$K,10,FALSE)</f>
        <v>In-Training</v>
      </c>
      <c r="L661" s="31" t="s">
        <v>4</v>
      </c>
      <c r="M661" t="str">
        <f>VLOOKUP(A661,Response!$A:$M,7,)</f>
        <v>PG (Paying Guest)</v>
      </c>
      <c r="N661" t="str">
        <f>VLOOKUP(A661,Response!$A:$M,8,)</f>
        <v>New Manikandan Ladies PG (branch 8)</v>
      </c>
      <c r="O661" s="4">
        <f>VLOOKUP(A661,Response!$A:$M,10,)</f>
        <v>3</v>
      </c>
      <c r="P661" t="str">
        <f>VLOOKUP(A661,Response!$A:$M,12,)</f>
        <v>No</v>
      </c>
      <c r="Q661" t="str">
        <f>VLOOKUP(A661,Response!$A:$M,11,)</f>
        <v>Egattur</v>
      </c>
      <c r="R661" t="s">
        <v>19</v>
      </c>
      <c r="S661" s="39" t="s">
        <v>37</v>
      </c>
    </row>
    <row r="662" spans="1:19">
      <c r="A662" s="3">
        <v>2512324</v>
      </c>
      <c r="B662" t="str">
        <f>VLOOKUP(A662,File!$A:$J,2,FALSE)</f>
        <v>Rajeshwari Sundarraj</v>
      </c>
      <c r="C662" s="29">
        <f>VLOOKUP(A662,File!$A:$J,5,FALSE)</f>
        <v>46170</v>
      </c>
      <c r="D662" s="29" t="str">
        <f>VLOOKUP(A662,File!$A:$J,3,FALSE)</f>
        <v>Female</v>
      </c>
      <c r="E662" s="29" t="str">
        <f>VLOOKUP(A662,File!$A:$J,4,FALSE)</f>
        <v>FTE</v>
      </c>
      <c r="F662" s="29" t="str">
        <f>VLOOKUP(A662,File!$A:$J,6,FALSE)</f>
        <v>Chennai</v>
      </c>
      <c r="G662" s="29" t="str">
        <f>VLOOKUP(A662,File!$A:$J,7,FALSE)</f>
        <v>CIS26MCPT012</v>
      </c>
      <c r="H662" s="29" t="str">
        <f>VLOOKUP(A662,File!$A:$J,8,FALSE)</f>
        <v>Uma Venkatachalam</v>
      </c>
      <c r="I662" s="31">
        <f>VLOOKUP(A662,File!$A:$J,9,FALSE)</f>
        <v>46282</v>
      </c>
      <c r="J662" s="31" t="str">
        <f>VLOOKUP(A662,File!$A:$K,11,FALSE)</f>
        <v>Sep 2026</v>
      </c>
      <c r="K662" s="31" t="str">
        <f>VLOOKUP(A662,File!$A:$K,10,FALSE)</f>
        <v>In-Training</v>
      </c>
      <c r="L662" s="31" t="s">
        <v>4</v>
      </c>
      <c r="M662" t="str">
        <f>VLOOKUP(A662,Response!$A:$M,7,)</f>
        <v>Hostel</v>
      </c>
      <c r="N662" t="str">
        <f>VLOOKUP(A662,Response!$A:$M,8,)</f>
        <v>New Manikandan Ladies PG branch-10,Navalur</v>
      </c>
      <c r="O662" s="4">
        <f>VLOOKUP(A662,Response!$A:$M,10,)</f>
        <v>3</v>
      </c>
      <c r="P662" t="str">
        <f>VLOOKUP(A662,Response!$A:$M,12,)</f>
        <v>No</v>
      </c>
      <c r="Q662" t="str">
        <f>VLOOKUP(A662,Response!$A:$M,11,)</f>
        <v>Navalur</v>
      </c>
      <c r="R662" t="s">
        <v>19</v>
      </c>
      <c r="S662" s="39" t="s">
        <v>37</v>
      </c>
    </row>
    <row r="663" spans="1:19">
      <c r="A663" s="3">
        <v>2531995</v>
      </c>
      <c r="B663" t="str">
        <f>VLOOKUP(A663,File!$A:$J,2,FALSE)</f>
        <v>Kanimozhi P</v>
      </c>
      <c r="C663" s="29">
        <f>VLOOKUP(A663,File!$A:$J,5,FALSE)</f>
        <v>46254</v>
      </c>
      <c r="D663" s="29" t="str">
        <f>VLOOKUP(A663,File!$A:$J,3,FALSE)</f>
        <v>Female</v>
      </c>
      <c r="E663" s="29" t="str">
        <f>VLOOKUP(A663,File!$A:$J,4,FALSE)</f>
        <v>FTE</v>
      </c>
      <c r="F663" s="29" t="str">
        <f>VLOOKUP(A663,File!$A:$J,6,FALSE)</f>
        <v>Chennai</v>
      </c>
      <c r="G663" s="29" t="str">
        <f>VLOOKUP(A663,File!$A:$J,7,FALSE)</f>
        <v>CS26CS011</v>
      </c>
      <c r="H663" s="29" t="str">
        <f>VLOOKUP(A663,File!$A:$J,8,FALSE)</f>
        <v>Kishorekumar P</v>
      </c>
      <c r="I663" s="31">
        <f>VLOOKUP(A663,File!$A:$J,9,FALSE)</f>
        <v>46343</v>
      </c>
      <c r="J663" s="31" t="str">
        <f>VLOOKUP(A663,File!$A:$K,11,FALSE)</f>
        <v>Nov 2026</v>
      </c>
      <c r="K663" s="31" t="str">
        <f>VLOOKUP(A663,File!$A:$K,10,FALSE)</f>
        <v>In-Training</v>
      </c>
      <c r="L663" s="31" t="s">
        <v>4</v>
      </c>
      <c r="M663" t="str">
        <f>VLOOKUP(A663,Response!$A:$M,7,)</f>
        <v>PG (Paying Guest)</v>
      </c>
      <c r="N663" t="str">
        <f>VLOOKUP(A663,Response!$A:$M,8,)</f>
        <v>New Manikandan PG - Branch 14, Kazhipattur</v>
      </c>
      <c r="O663" s="4">
        <f>VLOOKUP(A663,Response!$A:$M,10,)</f>
        <v>5</v>
      </c>
      <c r="P663" t="str">
        <f>VLOOKUP(A663,Response!$A:$M,12,)</f>
        <v>No</v>
      </c>
      <c r="Q663" t="str">
        <f>VLOOKUP(A663,Response!$A:$M,11,)</f>
        <v>Siruseri</v>
      </c>
      <c r="R663" t="s">
        <v>19</v>
      </c>
      <c r="S663" s="39" t="s">
        <v>37</v>
      </c>
    </row>
    <row r="664" spans="1:19">
      <c r="A664" s="3">
        <v>2520959</v>
      </c>
      <c r="B664" t="str">
        <f>VLOOKUP(A664,File!$A:$J,2,FALSE)</f>
        <v>Priya M M</v>
      </c>
      <c r="C664" s="29">
        <f>VLOOKUP(A664,File!$A:$J,5,FALSE)</f>
        <v>46210</v>
      </c>
      <c r="D664" s="29" t="str">
        <f>VLOOKUP(A664,File!$A:$J,3,FALSE)</f>
        <v>Female</v>
      </c>
      <c r="E664" s="29" t="str">
        <f>VLOOKUP(A664,File!$A:$J,4,FALSE)</f>
        <v>FTE</v>
      </c>
      <c r="F664" s="29" t="str">
        <f>VLOOKUP(A664,File!$A:$J,6,FALSE)</f>
        <v>Chennai</v>
      </c>
      <c r="G664" s="29" t="str">
        <f>VLOOKUP(A664,File!$A:$J,7,FALSE)</f>
        <v>EPS26WD004</v>
      </c>
      <c r="H664" s="29" t="str">
        <f>VLOOKUP(A664,File!$A:$J,8,FALSE)</f>
        <v>Ajith Ganesan</v>
      </c>
      <c r="I664" s="31">
        <f>VLOOKUP(A664,File!$A:$J,9,FALSE)</f>
        <v>46310</v>
      </c>
      <c r="J664" s="31" t="str">
        <f>VLOOKUP(A664,File!$A:$K,11,FALSE)</f>
        <v>Oct 2026</v>
      </c>
      <c r="K664" s="31" t="str">
        <f>VLOOKUP(A664,File!$A:$K,10,FALSE)</f>
        <v>In-Training</v>
      </c>
      <c r="L664" s="31" t="s">
        <v>4</v>
      </c>
      <c r="M664" t="str">
        <f>VLOOKUP(A664,Response!$A:$M,7,)</f>
        <v>PG (Paying Guest)</v>
      </c>
      <c r="N664" t="str">
        <f>VLOOKUP(A664,Response!$A:$M,8,)</f>
        <v>New Manikandan pg- Branch 14, Kalipattur</v>
      </c>
      <c r="O664" s="4">
        <f>VLOOKUP(A664,Response!$A:$M,10,)</f>
        <v>2</v>
      </c>
      <c r="P664" t="str">
        <f>VLOOKUP(A664,Response!$A:$M,12,)</f>
        <v>No</v>
      </c>
      <c r="Q664" t="str">
        <f>VLOOKUP(A664,Response!$A:$M,11,)</f>
        <v>Siruseri</v>
      </c>
      <c r="R664" t="s">
        <v>19</v>
      </c>
      <c r="S664" s="39" t="s">
        <v>37</v>
      </c>
    </row>
    <row r="665" spans="1:19">
      <c r="A665" s="3">
        <v>2524508</v>
      </c>
      <c r="B665" t="str">
        <f>VLOOKUP(A665,File!$A:$J,2,FALSE)</f>
        <v>Tamanna Shamsing Solanki</v>
      </c>
      <c r="C665" s="29">
        <f>VLOOKUP(A665,File!$A:$J,5,FALSE)</f>
        <v>46224</v>
      </c>
      <c r="D665" s="29" t="str">
        <f>VLOOKUP(A665,File!$A:$J,3,FALSE)</f>
        <v>Female</v>
      </c>
      <c r="E665" s="29" t="str">
        <f>VLOOKUP(A665,File!$A:$J,4,FALSE)</f>
        <v>FTE</v>
      </c>
      <c r="F665" s="29" t="str">
        <f>VLOOKUP(A665,File!$A:$J,6,FALSE)</f>
        <v>Chennai</v>
      </c>
      <c r="G665" s="29" t="str">
        <f>VLOOKUP(A665,File!$A:$J,7,FALSE)</f>
        <v>QEA26QEPT024</v>
      </c>
      <c r="H665" s="29" t="str">
        <f>VLOOKUP(A665,File!$A:$J,8,FALSE)</f>
        <v>Ajiesya D P</v>
      </c>
      <c r="I665" s="31">
        <f>VLOOKUP(A665,File!$A:$J,9,FALSE)</f>
        <v>46330</v>
      </c>
      <c r="J665" s="31" t="str">
        <f>VLOOKUP(A665,File!$A:$K,11,FALSE)</f>
        <v>Nov 2026</v>
      </c>
      <c r="K665" s="31" t="str">
        <f>VLOOKUP(A665,File!$A:$K,10,FALSE)</f>
        <v>In-Training</v>
      </c>
      <c r="L665" s="31" t="s">
        <v>4</v>
      </c>
      <c r="M665" t="str">
        <f>VLOOKUP(A665,Response!$A:$M,7,)</f>
        <v>PG (Paying Guest)</v>
      </c>
      <c r="N665" t="str">
        <f>VLOOKUP(A665,Response!$A:$M,8,)</f>
        <v>New Manikandan pg services, Branch 1, Mettu Street, Chennai, Tamil Nadu, India</v>
      </c>
      <c r="O665" s="4">
        <f>VLOOKUP(A665,Response!$A:$M,10,)</f>
        <v>1</v>
      </c>
      <c r="P665" t="str">
        <f>VLOOKUP(A665,Response!$A:$M,12,)</f>
        <v>No</v>
      </c>
      <c r="Q665" t="str">
        <f>VLOOKUP(A665,Response!$A:$M,11,)</f>
        <v>Siruseri</v>
      </c>
      <c r="R665" t="s">
        <v>19</v>
      </c>
      <c r="S665" s="39" t="s">
        <v>37</v>
      </c>
    </row>
    <row r="666" spans="1:19">
      <c r="A666" s="3">
        <v>2479361</v>
      </c>
      <c r="B666" t="str">
        <f>VLOOKUP(A666,File!$A:$J,2,FALSE)</f>
        <v>B Archana</v>
      </c>
      <c r="C666" s="29">
        <f>VLOOKUP(A666,File!$A:$J,5,FALSE)</f>
        <v>46254</v>
      </c>
      <c r="D666" s="29" t="str">
        <f>VLOOKUP(A666,File!$A:$J,3,FALSE)</f>
        <v>Female</v>
      </c>
      <c r="E666" s="29" t="str">
        <f>VLOOKUP(A666,File!$A:$J,4,FALSE)</f>
        <v>CSD</v>
      </c>
      <c r="F666" s="29" t="str">
        <f>VLOOKUP(A666,File!$A:$J,6,FALSE)</f>
        <v>Chennai</v>
      </c>
      <c r="G666" s="29" t="str">
        <f>VLOOKUP(A666,File!$A:$J,7,FALSE)</f>
        <v>INTFE26FE001</v>
      </c>
      <c r="H666" s="29" t="str">
        <f>VLOOKUP(A666,File!$A:$J,8,FALSE)</f>
        <v>Grace Esther S</v>
      </c>
      <c r="I666" s="31">
        <f>VLOOKUP(A666,File!$A:$J,9,FALSE)</f>
        <v>46310</v>
      </c>
      <c r="J666" s="31" t="str">
        <f>VLOOKUP(A666,File!$A:$K,11,FALSE)</f>
        <v>Oct 2026</v>
      </c>
      <c r="K666" s="31" t="str">
        <f>VLOOKUP(A666,File!$A:$K,10,FALSE)</f>
        <v>In-Training</v>
      </c>
      <c r="L666" s="31" t="s">
        <v>4</v>
      </c>
      <c r="M666" t="str">
        <f>VLOOKUP(A666,Response!$A:$M,7,)</f>
        <v>PG (Paying Guest)</v>
      </c>
      <c r="N666" t="str">
        <f>VLOOKUP(A666,Response!$A:$M,8,)</f>
        <v>New Manikandan PG,kalipattur</v>
      </c>
      <c r="O666" s="4">
        <f>VLOOKUP(A666,Response!$A:$M,10,)</f>
        <v>1</v>
      </c>
      <c r="P666" t="str">
        <f>VLOOKUP(A666,Response!$A:$M,12,)</f>
        <v>Yes</v>
      </c>
      <c r="Q666" t="str">
        <f>VLOOKUP(A666,Response!$A:$M,11,)</f>
        <v>Siruseri</v>
      </c>
      <c r="R666" t="s">
        <v>19</v>
      </c>
      <c r="S666" s="39" t="s">
        <v>37</v>
      </c>
    </row>
    <row r="667" spans="1:19">
      <c r="A667" s="3">
        <v>2521721</v>
      </c>
      <c r="B667" t="str">
        <f>VLOOKUP(A667,File!$A:$J,2,FALSE)</f>
        <v>Pooja D R</v>
      </c>
      <c r="C667" s="29">
        <f>VLOOKUP(A667,File!$A:$J,5,FALSE)</f>
        <v>46212</v>
      </c>
      <c r="D667" s="29" t="str">
        <f>VLOOKUP(A667,File!$A:$J,3,FALSE)</f>
        <v>Female</v>
      </c>
      <c r="E667" s="29" t="str">
        <f>VLOOKUP(A667,File!$A:$J,4,FALSE)</f>
        <v>FTE</v>
      </c>
      <c r="F667" s="29" t="str">
        <f>VLOOKUP(A667,File!$A:$J,6,FALSE)</f>
        <v>Chennai</v>
      </c>
      <c r="G667" s="29" t="str">
        <f>VLOOKUP(A667,File!$A:$J,7,FALSE)</f>
        <v>QEA26NFTPA002</v>
      </c>
      <c r="H667" s="29" t="str">
        <f>VLOOKUP(A667,File!$A:$J,8,FALSE)</f>
        <v>Lourdhu Selvin Raj X</v>
      </c>
      <c r="I667" s="31">
        <f>VLOOKUP(A667,File!$A:$J,9,FALSE)</f>
        <v>46337</v>
      </c>
      <c r="J667" s="31" t="str">
        <f>VLOOKUP(A667,File!$A:$K,11,FALSE)</f>
        <v>Nov 2026</v>
      </c>
      <c r="K667" s="31" t="str">
        <f>VLOOKUP(A667,File!$A:$K,10,FALSE)</f>
        <v>In-Training</v>
      </c>
      <c r="L667" s="31" t="s">
        <v>4</v>
      </c>
      <c r="M667" t="str">
        <f>VLOOKUP(A667,Response!$A:$M,7,)</f>
        <v>PG (Paying Guest)</v>
      </c>
      <c r="N667" t="str">
        <f>VLOOKUP(A667,Response!$A:$M,8,)</f>
        <v>New Manikandan PG-Branch 14,Kazhipattur</v>
      </c>
      <c r="O667" s="4" t="str">
        <f>VLOOKUP(A667,Response!$A:$M,10,)</f>
        <v>GF</v>
      </c>
      <c r="P667" t="str">
        <f>VLOOKUP(A667,Response!$A:$M,12,)</f>
        <v>No</v>
      </c>
      <c r="Q667" t="str">
        <f>VLOOKUP(A667,Response!$A:$M,11,)</f>
        <v>Siruseri</v>
      </c>
      <c r="R667" t="s">
        <v>19</v>
      </c>
      <c r="S667" s="39" t="s">
        <v>37</v>
      </c>
    </row>
    <row r="668" spans="1:19">
      <c r="A668" s="3">
        <v>2512342</v>
      </c>
      <c r="B668" t="str">
        <f>VLOOKUP(A668,File!$A:$J,2,FALSE)</f>
        <v>Asin Sahana Fathima T</v>
      </c>
      <c r="C668" s="29">
        <f>VLOOKUP(A668,File!$A:$J,5,FALSE)</f>
        <v>46170</v>
      </c>
      <c r="D668" s="29" t="str">
        <f>VLOOKUP(A668,File!$A:$J,3,FALSE)</f>
        <v>Female</v>
      </c>
      <c r="E668" s="29" t="str">
        <f>VLOOKUP(A668,File!$A:$J,4,FALSE)</f>
        <v>FTE</v>
      </c>
      <c r="F668" s="29" t="str">
        <f>VLOOKUP(A668,File!$A:$J,6,FALSE)</f>
        <v>Chennai</v>
      </c>
      <c r="G668" s="29" t="str">
        <f>VLOOKUP(A668,File!$A:$J,7,FALSE)</f>
        <v>CIS26MCPT012</v>
      </c>
      <c r="H668" s="29" t="str">
        <f>VLOOKUP(A668,File!$A:$J,8,FALSE)</f>
        <v>Uma Venkatachalam</v>
      </c>
      <c r="I668" s="31">
        <f>VLOOKUP(A668,File!$A:$J,9,FALSE)</f>
        <v>46282</v>
      </c>
      <c r="J668" s="31" t="str">
        <f>VLOOKUP(A668,File!$A:$K,11,FALSE)</f>
        <v>Sep 2026</v>
      </c>
      <c r="K668" s="31" t="str">
        <f>VLOOKUP(A668,File!$A:$K,10,FALSE)</f>
        <v>In-Training</v>
      </c>
      <c r="L668" s="31" t="s">
        <v>4</v>
      </c>
      <c r="M668" t="str">
        <f>VLOOKUP(A668,Response!$A:$M,7,)</f>
        <v>PG (Paying Guest)</v>
      </c>
      <c r="N668" t="str">
        <f>VLOOKUP(A668,Response!$A:$M,8,)</f>
        <v>New Manikandans Ladies PG, Branch 10, sambalal street,Navallur,chennai.</v>
      </c>
      <c r="O668" s="4" t="str">
        <f>VLOOKUP(A668,Response!$A:$M,10,)</f>
        <v>GF</v>
      </c>
      <c r="P668" t="str">
        <f>VLOOKUP(A668,Response!$A:$M,12,)</f>
        <v>Yes</v>
      </c>
      <c r="Q668" t="str">
        <f>VLOOKUP(A668,Response!$A:$M,11,)</f>
        <v>Navalur</v>
      </c>
      <c r="R668" t="s">
        <v>19</v>
      </c>
      <c r="S668" s="39" t="s">
        <v>37</v>
      </c>
    </row>
    <row r="669" spans="1:19">
      <c r="A669" s="3">
        <v>2533167</v>
      </c>
      <c r="B669" t="str">
        <f>VLOOKUP(A669,File!$A:$J,2,FALSE)</f>
        <v>Manasa Divi</v>
      </c>
      <c r="C669" s="29">
        <f>VLOOKUP(A669,File!$A:$J,5,FALSE)</f>
        <v>46259</v>
      </c>
      <c r="D669" s="29" t="str">
        <f>VLOOKUP(A669,File!$A:$J,3,FALSE)</f>
        <v>Female</v>
      </c>
      <c r="E669" s="29" t="str">
        <f>VLOOKUP(A669,File!$A:$J,4,FALSE)</f>
        <v>FTE</v>
      </c>
      <c r="F669" s="29" t="str">
        <f>VLOOKUP(A669,File!$A:$J,6,FALSE)</f>
        <v>Chennai</v>
      </c>
      <c r="G669" s="29" t="str">
        <f>VLOOKUP(A669,File!$A:$J,7,FALSE)</f>
        <v>CIS26AT007</v>
      </c>
      <c r="H669" s="29" t="str">
        <f>VLOOKUP(A669,File!$A:$J,8,FALSE)</f>
        <v>Uma Venkatachalam</v>
      </c>
      <c r="I669" s="31">
        <f>VLOOKUP(A669,File!$A:$J,9,FALSE)</f>
        <v>46365</v>
      </c>
      <c r="J669" s="31" t="str">
        <f>VLOOKUP(A669,File!$A:$K,11,FALSE)</f>
        <v>Dec 2026</v>
      </c>
      <c r="K669" s="31" t="str">
        <f>VLOOKUP(A669,File!$A:$K,10,FALSE)</f>
        <v>In-Training</v>
      </c>
      <c r="L669" s="31" t="s">
        <v>4</v>
      </c>
      <c r="M669" t="str">
        <f>VLOOKUP(A669,Response!$A:$M,7,)</f>
        <v>Hostel</v>
      </c>
      <c r="N669" t="str">
        <f>VLOOKUP(A669,Response!$A:$M,8,)</f>
        <v>New Manikandhan ladies hostel branch 2</v>
      </c>
      <c r="O669" s="4">
        <f>VLOOKUP(A669,Response!$A:$M,10,)</f>
        <v>1</v>
      </c>
      <c r="P669" t="str">
        <f>VLOOKUP(A669,Response!$A:$M,12,)</f>
        <v>No</v>
      </c>
      <c r="Q669" t="str">
        <f>VLOOKUP(A669,Response!$A:$M,11,)</f>
        <v>Siruseri</v>
      </c>
      <c r="R669" t="s">
        <v>19</v>
      </c>
      <c r="S669" s="39" t="s">
        <v>37</v>
      </c>
    </row>
    <row r="670" spans="1:19">
      <c r="A670" s="3">
        <v>2533200</v>
      </c>
      <c r="B670" t="str">
        <f>VLOOKUP(A670,File!$A:$J,2,FALSE)</f>
        <v>Balasri Swaroopa Saka</v>
      </c>
      <c r="C670" s="29">
        <f>VLOOKUP(A670,File!$A:$J,5,FALSE)</f>
        <v>46259</v>
      </c>
      <c r="D670" s="29" t="str">
        <f>VLOOKUP(A670,File!$A:$J,3,FALSE)</f>
        <v>Female</v>
      </c>
      <c r="E670" s="29" t="str">
        <f>VLOOKUP(A670,File!$A:$J,4,FALSE)</f>
        <v>FTE</v>
      </c>
      <c r="F670" s="29" t="str">
        <f>VLOOKUP(A670,File!$A:$J,6,FALSE)</f>
        <v>Chennai</v>
      </c>
      <c r="G670" s="29" t="str">
        <f>VLOOKUP(A670,File!$A:$J,7,FALSE)</f>
        <v>CIS26AT008</v>
      </c>
      <c r="H670" s="29" t="str">
        <f>VLOOKUP(A670,File!$A:$J,8,FALSE)</f>
        <v>Uma Venkatachalam</v>
      </c>
      <c r="I670" s="31">
        <f>VLOOKUP(A670,File!$A:$J,9,FALSE)</f>
        <v>46365</v>
      </c>
      <c r="J670" s="31" t="str">
        <f>VLOOKUP(A670,File!$A:$K,11,FALSE)</f>
        <v>Dec 2026</v>
      </c>
      <c r="K670" s="31" t="str">
        <f>VLOOKUP(A670,File!$A:$K,10,FALSE)</f>
        <v>In-Training</v>
      </c>
      <c r="L670" s="31" t="s">
        <v>4</v>
      </c>
      <c r="M670" t="str">
        <f>VLOOKUP(A670,Response!$A:$M,7,)</f>
        <v>PG (Paying Guest)</v>
      </c>
      <c r="N670" t="str">
        <f>VLOOKUP(A670,Response!$A:$M,8,)</f>
        <v>New Manikandhan Ladies PG</v>
      </c>
      <c r="O670" s="4" t="str">
        <f>VLOOKUP(A670,Response!$A:$M,10,)</f>
        <v>GF</v>
      </c>
      <c r="P670" t="str">
        <f>VLOOKUP(A670,Response!$A:$M,12,)</f>
        <v>No</v>
      </c>
      <c r="Q670" t="str">
        <f>VLOOKUP(A670,Response!$A:$M,11,)</f>
        <v>Egattur</v>
      </c>
      <c r="R670" t="s">
        <v>19</v>
      </c>
      <c r="S670" s="39" t="s">
        <v>37</v>
      </c>
    </row>
    <row r="671" spans="1:19">
      <c r="A671" s="3">
        <v>2519684</v>
      </c>
      <c r="B671" t="str">
        <f>VLOOKUP(A671,File!$A:$J,2,FALSE)</f>
        <v>Haritha S</v>
      </c>
      <c r="C671" s="29">
        <f>VLOOKUP(A671,File!$A:$J,5,FALSE)</f>
        <v>46205</v>
      </c>
      <c r="D671" s="29" t="str">
        <f>VLOOKUP(A671,File!$A:$J,3,FALSE)</f>
        <v>Female</v>
      </c>
      <c r="E671" s="29" t="str">
        <f>VLOOKUP(A671,File!$A:$J,4,FALSE)</f>
        <v>FTE</v>
      </c>
      <c r="F671" s="29" t="str">
        <f>VLOOKUP(A671,File!$A:$J,6,FALSE)</f>
        <v>Chennai</v>
      </c>
      <c r="G671" s="29" t="str">
        <f>VLOOKUP(A671,File!$A:$J,7,FALSE)</f>
        <v>CIS26MCPT013</v>
      </c>
      <c r="H671" s="29" t="str">
        <f>VLOOKUP(A671,File!$A:$J,8,FALSE)</f>
        <v>Lawrance M</v>
      </c>
      <c r="I671" s="31">
        <f>VLOOKUP(A671,File!$A:$J,9,FALSE)</f>
        <v>46324</v>
      </c>
      <c r="J671" s="31" t="str">
        <f>VLOOKUP(A671,File!$A:$K,11,FALSE)</f>
        <v>Oct 2026</v>
      </c>
      <c r="K671" s="31" t="str">
        <f>VLOOKUP(A671,File!$A:$K,10,FALSE)</f>
        <v>In-Training</v>
      </c>
      <c r="L671" s="31" t="s">
        <v>4</v>
      </c>
      <c r="M671" t="str">
        <f>VLOOKUP(A671,Response!$A:$M,7,)</f>
        <v>PG (Paying Guest)</v>
      </c>
      <c r="N671" t="str">
        <f>VLOOKUP(A671,Response!$A:$M,8,)</f>
        <v>New Phoenix PG</v>
      </c>
      <c r="O671" s="4" t="str">
        <f>VLOOKUP(A671,Response!$A:$M,10,)</f>
        <v>GF</v>
      </c>
      <c r="P671" t="str">
        <f>VLOOKUP(A671,Response!$A:$M,12,)</f>
        <v>Yes</v>
      </c>
      <c r="Q671" t="str">
        <f>VLOOKUP(A671,Response!$A:$M,11,)</f>
        <v>Siruseri</v>
      </c>
      <c r="R671" t="s">
        <v>19</v>
      </c>
      <c r="S671" s="39" t="s">
        <v>37</v>
      </c>
    </row>
    <row r="672" spans="1:19">
      <c r="A672" s="3">
        <v>2531847</v>
      </c>
      <c r="B672" t="str">
        <f>VLOOKUP(A672,File!$A:$J,2,FALSE)</f>
        <v>Sobanapriya S</v>
      </c>
      <c r="C672" s="29">
        <f>VLOOKUP(A672,File!$A:$J,5,FALSE)</f>
        <v>46254</v>
      </c>
      <c r="D672" s="29" t="str">
        <f>VLOOKUP(A672,File!$A:$J,3,FALSE)</f>
        <v>Female</v>
      </c>
      <c r="E672" s="29" t="str">
        <f>VLOOKUP(A672,File!$A:$J,4,FALSE)</f>
        <v>FTE</v>
      </c>
      <c r="F672" s="29" t="str">
        <f>VLOOKUP(A672,File!$A:$J,6,FALSE)</f>
        <v>Chennai</v>
      </c>
      <c r="G672" s="29" t="str">
        <f>VLOOKUP(A672,File!$A:$J,7,FALSE)</f>
        <v>EPS26OSP011</v>
      </c>
      <c r="H672" s="29" t="str">
        <f>VLOOKUP(A672,File!$A:$J,8,FALSE)</f>
        <v>Gayathri Ramachandran</v>
      </c>
      <c r="I672" s="31" t="str">
        <f>VLOOKUP(A672,File!$A:$J,9,FALSE)</f>
        <v/>
      </c>
      <c r="J672" s="44" t="s">
        <v>33</v>
      </c>
      <c r="K672" s="31" t="str">
        <f>VLOOKUP(A672,File!$A:$K,10,FALSE)</f>
        <v>Training - ON Hold</v>
      </c>
      <c r="L672" s="31" t="s">
        <v>5</v>
      </c>
      <c r="M672" t="str">
        <f>VLOOKUP(A672,Response!$A:$M,7,)</f>
        <v>Rented House/Apartment</v>
      </c>
      <c r="N672" t="str">
        <f>VLOOKUP(A672,Response!$A:$M,8,)</f>
        <v>NIL</v>
      </c>
      <c r="O672" s="4">
        <f>VLOOKUP(A672,Response!$A:$M,10,)</f>
        <v>1</v>
      </c>
      <c r="P672" t="str">
        <f>VLOOKUP(A672,Response!$A:$M,12,)</f>
        <v>Yes</v>
      </c>
      <c r="Q672" t="str">
        <f>VLOOKUP(A672,Response!$A:$M,11,)</f>
        <v>CHEPAUK</v>
      </c>
      <c r="R672" t="s">
        <v>65</v>
      </c>
      <c r="S672" t="s">
        <v>38</v>
      </c>
    </row>
    <row r="673" spans="1:19">
      <c r="A673" s="3">
        <v>2531377</v>
      </c>
      <c r="B673" t="str">
        <f>VLOOKUP(A673,File!$A:$J,2,FALSE)</f>
        <v>Sujitha S</v>
      </c>
      <c r="C673" s="29">
        <f>VLOOKUP(A673,File!$A:$J,5,FALSE)</f>
        <v>46252</v>
      </c>
      <c r="D673" s="29" t="str">
        <f>VLOOKUP(A673,File!$A:$J,3,FALSE)</f>
        <v>Female</v>
      </c>
      <c r="E673" s="29" t="str">
        <f>VLOOKUP(A673,File!$A:$J,4,FALSE)</f>
        <v>FTE</v>
      </c>
      <c r="F673" s="29" t="str">
        <f>VLOOKUP(A673,File!$A:$J,6,FALSE)</f>
        <v>Chennai</v>
      </c>
      <c r="G673" s="29" t="str">
        <f>VLOOKUP(A673,File!$A:$J,7,FALSE)</f>
        <v>EPS26SAP036</v>
      </c>
      <c r="H673" s="29" t="str">
        <f>VLOOKUP(A673,File!$A:$J,8,FALSE)</f>
        <v>Vishnupriya Dakshnamurthy</v>
      </c>
      <c r="I673" s="31">
        <f>VLOOKUP(A673,File!$A:$J,9,FALSE)</f>
        <v>46335</v>
      </c>
      <c r="J673" s="31" t="str">
        <f>VLOOKUP(A673,File!$A:$K,11,FALSE)</f>
        <v>Nov 2026</v>
      </c>
      <c r="K673" s="31" t="str">
        <f>VLOOKUP(A673,File!$A:$K,10,FALSE)</f>
        <v>In-Training</v>
      </c>
      <c r="L673" s="31" t="s">
        <v>5</v>
      </c>
      <c r="M673" t="str">
        <f>VLOOKUP(A673,Response!$A:$M,7,)</f>
        <v>Permanent Residence (House/Home)</v>
      </c>
      <c r="N673" t="str">
        <f>VLOOKUP(A673,Response!$A:$M,8,)</f>
        <v>Nil</v>
      </c>
      <c r="O673" s="4">
        <f>VLOOKUP(A673,Response!$A:$M,10,)</f>
        <v>1</v>
      </c>
      <c r="P673" t="str">
        <f>VLOOKUP(A673,Response!$A:$M,12,)</f>
        <v>Yes</v>
      </c>
      <c r="Q673" t="str">
        <f>VLOOKUP(A673,Response!$A:$M,11,)</f>
        <v>Ekkattuthangal</v>
      </c>
      <c r="S673" t="s">
        <v>38</v>
      </c>
    </row>
    <row r="674" spans="1:19">
      <c r="A674" s="3">
        <v>2532923</v>
      </c>
      <c r="B674" t="str">
        <f>VLOOKUP(A674,File!$A:$J,2,FALSE)</f>
        <v>Karthik Krishnan</v>
      </c>
      <c r="C674" s="29">
        <f>VLOOKUP(A674,File!$A:$J,5,FALSE)</f>
        <v>46259</v>
      </c>
      <c r="D674" s="29" t="str">
        <f>VLOOKUP(A674,File!$A:$J,3,FALSE)</f>
        <v>Male</v>
      </c>
      <c r="E674" s="29" t="str">
        <f>VLOOKUP(A674,File!$A:$J,4,FALSE)</f>
        <v>FTE</v>
      </c>
      <c r="F674" s="29" t="str">
        <f>VLOOKUP(A674,File!$A:$J,6,FALSE)</f>
        <v>Chennai</v>
      </c>
      <c r="G674" s="29" t="str">
        <f>VLOOKUP(A674,File!$A:$J,7,FALSE)</f>
        <v>ADM27DFSA001</v>
      </c>
      <c r="H674" s="29" t="str">
        <f>VLOOKUP(A674,File!$A:$J,8,FALSE)</f>
        <v>Thomas Naveen. J</v>
      </c>
      <c r="I674" s="31">
        <f>VLOOKUP(A674,File!$A:$J,9,FALSE)</f>
        <v>46386</v>
      </c>
      <c r="J674" s="31" t="str">
        <f>VLOOKUP(A674,File!$A:$K,11,FALSE)</f>
        <v>Dec 2026</v>
      </c>
      <c r="K674" s="31" t="str">
        <f>VLOOKUP(A674,File!$A:$K,10,FALSE)</f>
        <v>In-Training</v>
      </c>
      <c r="L674" s="31" t="s">
        <v>5</v>
      </c>
      <c r="M674" t="str">
        <f>VLOOKUP(A674,Response!$A:$M,7,)</f>
        <v>Permanent Residence (House/Home)</v>
      </c>
      <c r="N674" t="str">
        <f>VLOOKUP(A674,Response!$A:$M,8,)</f>
        <v>NIL</v>
      </c>
      <c r="O674" s="4" t="str">
        <f>VLOOKUP(A674,Response!$A:$M,10,)</f>
        <v>GF</v>
      </c>
      <c r="P674" t="str">
        <f>VLOOKUP(A674,Response!$A:$M,12,)</f>
        <v>Yes</v>
      </c>
      <c r="Q674" t="str">
        <f>VLOOKUP(A674,Response!$A:$M,11,)</f>
        <v>Tambaram</v>
      </c>
      <c r="S674" t="s">
        <v>38</v>
      </c>
    </row>
    <row r="675" spans="1:19">
      <c r="A675" s="3">
        <v>2526594</v>
      </c>
      <c r="B675" t="str">
        <f>VLOOKUP(A675,File!$A:$J,2,FALSE)</f>
        <v>Rahul M</v>
      </c>
      <c r="C675" s="29">
        <f>VLOOKUP(A675,File!$A:$J,5,FALSE)</f>
        <v>46233</v>
      </c>
      <c r="D675" s="29" t="str">
        <f>VLOOKUP(A675,File!$A:$J,3,FALSE)</f>
        <v>Male</v>
      </c>
      <c r="E675" s="29" t="str">
        <f>VLOOKUP(A675,File!$A:$J,4,FALSE)</f>
        <v>FTE</v>
      </c>
      <c r="F675" s="29" t="str">
        <f>VLOOKUP(A675,File!$A:$J,6,FALSE)</f>
        <v>Chennai</v>
      </c>
      <c r="G675" s="29" t="str">
        <f>VLOOKUP(A675,File!$A:$J,7,FALSE)</f>
        <v>QEA26JP001</v>
      </c>
      <c r="H675" s="29" t="str">
        <f>VLOOKUP(A675,File!$A:$J,8,FALSE)</f>
        <v>Ajiesya D P</v>
      </c>
      <c r="I675" s="31" t="str">
        <f>VLOOKUP(A675,File!$A:$J,9,FALSE)</f>
        <v/>
      </c>
      <c r="J675" s="44" t="s">
        <v>33</v>
      </c>
      <c r="K675" s="31" t="str">
        <f>VLOOKUP(A675,File!$A:$K,10,FALSE)</f>
        <v>Training - ON Hold</v>
      </c>
      <c r="L675" s="31" t="s">
        <v>5</v>
      </c>
      <c r="M675" t="str">
        <f>VLOOKUP(A675,Response!$A:$M,7,)</f>
        <v>Permanent Residence (House/Home)</v>
      </c>
      <c r="N675" t="str">
        <f>VLOOKUP(A675,Response!$A:$M,8,)</f>
        <v>Nil</v>
      </c>
      <c r="O675" s="4">
        <f>VLOOKUP(A675,Response!$A:$M,10,)</f>
        <v>2</v>
      </c>
      <c r="P675" t="str">
        <f>VLOOKUP(A675,Response!$A:$M,12,)</f>
        <v>Yes</v>
      </c>
      <c r="Q675" t="str">
        <f>VLOOKUP(A675,Response!$A:$M,11,)</f>
        <v>Tambaram</v>
      </c>
      <c r="S675" t="s">
        <v>38</v>
      </c>
    </row>
    <row r="676" spans="1:19">
      <c r="A676" s="3">
        <v>2529629</v>
      </c>
      <c r="B676" t="str">
        <f>VLOOKUP(A676,File!$A:$J,2,FALSE)</f>
        <v>Harsudan S</v>
      </c>
      <c r="C676" s="29">
        <f>VLOOKUP(A676,File!$A:$J,5,FALSE)</f>
        <v>46245</v>
      </c>
      <c r="D676" s="29" t="str">
        <f>VLOOKUP(A676,File!$A:$J,3,FALSE)</f>
        <v>Male</v>
      </c>
      <c r="E676" s="29" t="str">
        <f>VLOOKUP(A676,File!$A:$J,4,FALSE)</f>
        <v>FTE</v>
      </c>
      <c r="F676" s="29" t="str">
        <f>VLOOKUP(A676,File!$A:$J,6,FALSE)</f>
        <v>Chennai</v>
      </c>
      <c r="G676" s="29" t="str">
        <f>VLOOKUP(A676,File!$A:$J,7,FALSE)</f>
        <v>CIS26MCPT021</v>
      </c>
      <c r="H676" s="29" t="str">
        <f>VLOOKUP(A676,File!$A:$J,8,FALSE)</f>
        <v>Uma Venkatachalam</v>
      </c>
      <c r="I676" s="31">
        <f>VLOOKUP(A676,File!$A:$J,9,FALSE)</f>
        <v>46364</v>
      </c>
      <c r="J676" s="31" t="str">
        <f>VLOOKUP(A676,File!$A:$K,11,FALSE)</f>
        <v>Dec 2026</v>
      </c>
      <c r="K676" s="31" t="str">
        <f>VLOOKUP(A676,File!$A:$K,10,FALSE)</f>
        <v>In-Training</v>
      </c>
      <c r="L676" s="31" t="s">
        <v>5</v>
      </c>
      <c r="M676" t="str">
        <f>VLOOKUP(A676,Response!$A:$M,7,)</f>
        <v>Permanent Residence (House/Home)</v>
      </c>
      <c r="N676" t="str">
        <f>VLOOKUP(A676,Response!$A:$M,8,)</f>
        <v>nill</v>
      </c>
      <c r="O676" s="4">
        <f>VLOOKUP(A676,Response!$A:$M,10,)</f>
        <v>2</v>
      </c>
      <c r="P676" t="str">
        <f>VLOOKUP(A676,Response!$A:$M,12,)</f>
        <v>Yes</v>
      </c>
      <c r="Q676" t="str">
        <f>VLOOKUP(A676,Response!$A:$M,11,)</f>
        <v>Guindy</v>
      </c>
      <c r="S676" t="s">
        <v>38</v>
      </c>
    </row>
    <row r="677" spans="1:19">
      <c r="A677" s="3">
        <v>2530203</v>
      </c>
      <c r="B677" t="str">
        <f>VLOOKUP(A677,File!$A:$J,2,FALSE)</f>
        <v>Vishnu Mahendran</v>
      </c>
      <c r="C677" s="29">
        <f>VLOOKUP(A677,File!$A:$J,5,FALSE)</f>
        <v>46247</v>
      </c>
      <c r="D677" s="29" t="str">
        <f>VLOOKUP(A677,File!$A:$J,3,FALSE)</f>
        <v>Male</v>
      </c>
      <c r="E677" s="29" t="str">
        <f>VLOOKUP(A677,File!$A:$J,4,FALSE)</f>
        <v>FTE</v>
      </c>
      <c r="F677" s="29" t="str">
        <f>VLOOKUP(A677,File!$A:$J,6,FALSE)</f>
        <v>Chennai</v>
      </c>
      <c r="G677" s="29" t="str">
        <f>VLOOKUP(A677,File!$A:$J,7,FALSE)</f>
        <v>EPS26OSPPRO001</v>
      </c>
      <c r="H677" s="29" t="str">
        <f>VLOOKUP(A677,File!$A:$J,8,FALSE)</f>
        <v>Gayathri Ramachandran</v>
      </c>
      <c r="I677" s="31">
        <f>VLOOKUP(A677,File!$A:$J,9,FALSE)</f>
        <v>46363</v>
      </c>
      <c r="J677" s="31" t="str">
        <f>VLOOKUP(A677,File!$A:$K,11,FALSE)</f>
        <v>Dec 2026</v>
      </c>
      <c r="K677" s="31" t="str">
        <f>VLOOKUP(A677,File!$A:$K,10,FALSE)</f>
        <v>In-Training</v>
      </c>
      <c r="L677" s="31" t="s">
        <v>4</v>
      </c>
      <c r="M677" t="str">
        <f>VLOOKUP(A677,Response!$A:$M,7,)</f>
        <v>PG (Paying Guest)</v>
      </c>
      <c r="N677" t="str">
        <f>VLOOKUP(A677,Response!$A:$M,8,)</f>
        <v>NKS MENS PG</v>
      </c>
      <c r="O677" s="4">
        <f>VLOOKUP(A677,Response!$A:$M,10,)</f>
        <v>3</v>
      </c>
      <c r="P677" t="str">
        <f>VLOOKUP(A677,Response!$A:$M,12,)</f>
        <v>Yes</v>
      </c>
      <c r="Q677" t="str">
        <f>VLOOKUP(A677,Response!$A:$M,11,)</f>
        <v>Siruseri</v>
      </c>
      <c r="R677" t="s">
        <v>19</v>
      </c>
      <c r="S677" s="39" t="s">
        <v>37</v>
      </c>
    </row>
    <row r="678" spans="1:19">
      <c r="A678" s="3">
        <v>2529656</v>
      </c>
      <c r="B678" t="str">
        <f>VLOOKUP(A678,File!$A:$J,2,FALSE)</f>
        <v>Balaji K</v>
      </c>
      <c r="C678" s="29">
        <f>VLOOKUP(A678,File!$A:$J,5,FALSE)</f>
        <v>46245</v>
      </c>
      <c r="D678" s="29" t="str">
        <f>VLOOKUP(A678,File!$A:$J,3,FALSE)</f>
        <v>Male</v>
      </c>
      <c r="E678" s="29" t="str">
        <f>VLOOKUP(A678,File!$A:$J,4,FALSE)</f>
        <v>FTE</v>
      </c>
      <c r="F678" s="29" t="str">
        <f>VLOOKUP(A678,File!$A:$J,6,FALSE)</f>
        <v>Chennai</v>
      </c>
      <c r="G678" s="29" t="str">
        <f>VLOOKUP(A678,File!$A:$J,7,FALSE)</f>
        <v>EPS26SAP031</v>
      </c>
      <c r="H678" s="29" t="str">
        <f>VLOOKUP(A678,File!$A:$J,8,FALSE)</f>
        <v>Akashraj R</v>
      </c>
      <c r="I678" s="31">
        <f>VLOOKUP(A678,File!$A:$J,9,FALSE)</f>
        <v>46330</v>
      </c>
      <c r="J678" s="31" t="str">
        <f>VLOOKUP(A678,File!$A:$K,11,FALSE)</f>
        <v>Nov 2026</v>
      </c>
      <c r="K678" s="31" t="str">
        <f>VLOOKUP(A678,File!$A:$K,10,FALSE)</f>
        <v>In-Training</v>
      </c>
      <c r="L678" s="31" t="s">
        <v>4</v>
      </c>
      <c r="M678" t="str">
        <f>VLOOKUP(A678,Response!$A:$M,7,)</f>
        <v>PG (Paying Guest)</v>
      </c>
      <c r="N678" t="str">
        <f>VLOOKUP(A678,Response!$A:$M,8,)</f>
        <v>NKS Mens PG</v>
      </c>
      <c r="O678" s="4">
        <f>VLOOKUP(A678,Response!$A:$M,10,)</f>
        <v>4</v>
      </c>
      <c r="P678" t="str">
        <f>VLOOKUP(A678,Response!$A:$M,12,)</f>
        <v>Yes</v>
      </c>
      <c r="Q678" t="str">
        <f>VLOOKUP(A678,Response!$A:$M,11,)</f>
        <v>Egattur</v>
      </c>
      <c r="R678" t="s">
        <v>19</v>
      </c>
      <c r="S678" s="39" t="s">
        <v>37</v>
      </c>
    </row>
    <row r="679" spans="1:19">
      <c r="A679" s="3">
        <v>2531854</v>
      </c>
      <c r="B679" t="str">
        <f>VLOOKUP(A679,File!$A:$J,2,FALSE)</f>
        <v>Daksina Veera Rohit Muthukumar</v>
      </c>
      <c r="C679" s="29">
        <f>VLOOKUP(A679,File!$A:$J,5,FALSE)</f>
        <v>46254</v>
      </c>
      <c r="D679" s="29" t="str">
        <f>VLOOKUP(A679,File!$A:$J,3,FALSE)</f>
        <v>Male</v>
      </c>
      <c r="E679" s="29" t="str">
        <f>VLOOKUP(A679,File!$A:$J,4,FALSE)</f>
        <v>FTE</v>
      </c>
      <c r="F679" s="29" t="str">
        <f>VLOOKUP(A679,File!$A:$J,6,FALSE)</f>
        <v>Chennai</v>
      </c>
      <c r="G679" s="29" t="str">
        <f>VLOOKUP(A679,File!$A:$J,7,FALSE)</f>
        <v>EPS26OSP011</v>
      </c>
      <c r="H679" s="29" t="str">
        <f>VLOOKUP(A679,File!$A:$J,8,FALSE)</f>
        <v>Gayathri Ramachandran</v>
      </c>
      <c r="I679" s="31" t="str">
        <f>VLOOKUP(A679,File!$A:$J,9,FALSE)</f>
        <v/>
      </c>
      <c r="J679" s="44" t="s">
        <v>33</v>
      </c>
      <c r="K679" s="31" t="str">
        <f>VLOOKUP(A679,File!$A:$K,10,FALSE)</f>
        <v>Training - ON Hold</v>
      </c>
      <c r="L679" s="31" t="s">
        <v>4</v>
      </c>
      <c r="M679" t="str">
        <f>VLOOKUP(A679,Response!$A:$M,7,)</f>
        <v>PG (Paying Guest)</v>
      </c>
      <c r="N679" t="str">
        <f>VLOOKUP(A679,Response!$A:$M,8,)</f>
        <v>NKS MENS PG</v>
      </c>
      <c r="O679" s="4">
        <f>VLOOKUP(A679,Response!$A:$M,10,)</f>
        <v>4</v>
      </c>
      <c r="P679" t="str">
        <f>VLOOKUP(A679,Response!$A:$M,12,)</f>
        <v>Yes</v>
      </c>
      <c r="Q679" t="str">
        <f>VLOOKUP(A679,Response!$A:$M,11,)</f>
        <v>Siruseri</v>
      </c>
      <c r="R679" t="s">
        <v>19</v>
      </c>
      <c r="S679" s="39" t="s">
        <v>37</v>
      </c>
    </row>
    <row r="680" spans="1:19">
      <c r="A680" s="3">
        <v>2531985</v>
      </c>
      <c r="B680" t="str">
        <f>VLOOKUP(A680,File!$A:$J,2,FALSE)</f>
        <v>Abhijith Purathel Anilkumar</v>
      </c>
      <c r="C680" s="29">
        <f>VLOOKUP(A680,File!$A:$J,5,FALSE)</f>
        <v>46254</v>
      </c>
      <c r="D680" s="29" t="str">
        <f>VLOOKUP(A680,File!$A:$J,3,FALSE)</f>
        <v>Male</v>
      </c>
      <c r="E680" s="29" t="str">
        <f>VLOOKUP(A680,File!$A:$J,4,FALSE)</f>
        <v>FTE</v>
      </c>
      <c r="F680" s="29" t="str">
        <f>VLOOKUP(A680,File!$A:$J,6,FALSE)</f>
        <v>Chennai</v>
      </c>
      <c r="G680" s="29" t="str">
        <f>VLOOKUP(A680,File!$A:$J,7,FALSE)</f>
        <v>EPS26OSP011</v>
      </c>
      <c r="H680" s="29" t="str">
        <f>VLOOKUP(A680,File!$A:$J,8,FALSE)</f>
        <v>Gayathri Ramachandran</v>
      </c>
      <c r="I680" s="31" t="str">
        <f>VLOOKUP(A680,File!$A:$J,9,FALSE)</f>
        <v/>
      </c>
      <c r="J680" s="44" t="s">
        <v>33</v>
      </c>
      <c r="K680" s="31" t="str">
        <f>VLOOKUP(A680,File!$A:$K,10,FALSE)</f>
        <v>Training - ON Hold</v>
      </c>
      <c r="L680" s="31" t="s">
        <v>4</v>
      </c>
      <c r="M680" t="str">
        <f>VLOOKUP(A680,Response!$A:$M,7,)</f>
        <v>PG (Paying Guest)</v>
      </c>
      <c r="N680" t="str">
        <f>VLOOKUP(A680,Response!$A:$M,8,)</f>
        <v>NKS Mens PG</v>
      </c>
      <c r="O680" s="4">
        <f>VLOOKUP(A680,Response!$A:$M,10,)</f>
        <v>4</v>
      </c>
      <c r="P680" t="str">
        <f>VLOOKUP(A680,Response!$A:$M,12,)</f>
        <v>No</v>
      </c>
      <c r="Q680" t="str">
        <f>VLOOKUP(A680,Response!$A:$M,11,)</f>
        <v>Siruseri</v>
      </c>
      <c r="R680" t="s">
        <v>19</v>
      </c>
      <c r="S680" s="39" t="s">
        <v>37</v>
      </c>
    </row>
    <row r="681" spans="1:19">
      <c r="A681" s="3">
        <v>2531961</v>
      </c>
      <c r="B681" t="str">
        <f>VLOOKUP(A681,File!$A:$J,2,FALSE)</f>
        <v>Sai Suryaa Narayan A M</v>
      </c>
      <c r="C681" s="29">
        <f>VLOOKUP(A681,File!$A:$J,5,FALSE)</f>
        <v>46254</v>
      </c>
      <c r="D681" s="29" t="str">
        <f>VLOOKUP(A681,File!$A:$J,3,FALSE)</f>
        <v>Male</v>
      </c>
      <c r="E681" s="29" t="str">
        <f>VLOOKUP(A681,File!$A:$J,4,FALSE)</f>
        <v>FTE</v>
      </c>
      <c r="F681" s="29" t="str">
        <f>VLOOKUP(A681,File!$A:$J,6,FALSE)</f>
        <v>Chennai</v>
      </c>
      <c r="G681" s="29" t="str">
        <f>VLOOKUP(A681,File!$A:$J,7,FALSE)</f>
        <v>EPS26OSP011</v>
      </c>
      <c r="H681" s="29" t="str">
        <f>VLOOKUP(A681,File!$A:$J,8,FALSE)</f>
        <v>Gayathri Ramachandran</v>
      </c>
      <c r="I681" s="31" t="str">
        <f>VLOOKUP(A681,File!$A:$J,9,FALSE)</f>
        <v/>
      </c>
      <c r="J681" s="44" t="s">
        <v>33</v>
      </c>
      <c r="K681" s="31" t="str">
        <f>VLOOKUP(A681,File!$A:$K,10,FALSE)</f>
        <v>Training - ON Hold</v>
      </c>
      <c r="L681" s="31" t="s">
        <v>4</v>
      </c>
      <c r="M681" t="str">
        <f>VLOOKUP(A681,Response!$A:$M,7,)</f>
        <v>PG (Paying Guest)</v>
      </c>
      <c r="N681" t="str">
        <f>VLOOKUP(A681,Response!$A:$M,8,)</f>
        <v>NKS mens pg</v>
      </c>
      <c r="O681" s="4">
        <f>VLOOKUP(A681,Response!$A:$M,10,)</f>
        <v>4</v>
      </c>
      <c r="P681" t="str">
        <f>VLOOKUP(A681,Response!$A:$M,12,)</f>
        <v>No</v>
      </c>
      <c r="Q681" t="str">
        <f>VLOOKUP(A681,Response!$A:$M,11,)</f>
        <v>Siruseri</v>
      </c>
      <c r="R681" t="s">
        <v>19</v>
      </c>
      <c r="S681" s="39" t="s">
        <v>37</v>
      </c>
    </row>
    <row r="682" spans="1:19">
      <c r="A682" s="3">
        <v>2521224</v>
      </c>
      <c r="B682" t="str">
        <f>VLOOKUP(A682,File!$A:$J,2,FALSE)</f>
        <v>Ankit Kumar Dwivedi</v>
      </c>
      <c r="C682" s="29">
        <f>VLOOKUP(A682,File!$A:$J,5,FALSE)</f>
        <v>46210</v>
      </c>
      <c r="D682" s="29" t="str">
        <f>VLOOKUP(A682,File!$A:$J,3,FALSE)</f>
        <v>Male</v>
      </c>
      <c r="E682" s="29" t="str">
        <f>VLOOKUP(A682,File!$A:$J,4,FALSE)</f>
        <v>FTE</v>
      </c>
      <c r="F682" s="29" t="str">
        <f>VLOOKUP(A682,File!$A:$J,6,FALSE)</f>
        <v>Chennai</v>
      </c>
      <c r="G682" s="29" t="str">
        <f>VLOOKUP(A682,File!$A:$J,7,FALSE)</f>
        <v>EPS26WD004</v>
      </c>
      <c r="H682" s="29" t="str">
        <f>VLOOKUP(A682,File!$A:$J,8,FALSE)</f>
        <v>Ajith Ganesan</v>
      </c>
      <c r="I682" s="31">
        <f>VLOOKUP(A682,File!$A:$J,9,FALSE)</f>
        <v>46310</v>
      </c>
      <c r="J682" s="31" t="str">
        <f>VLOOKUP(A682,File!$A:$K,11,FALSE)</f>
        <v>Oct 2026</v>
      </c>
      <c r="K682" s="31" t="str">
        <f>VLOOKUP(A682,File!$A:$K,10,FALSE)</f>
        <v>In-Training</v>
      </c>
      <c r="L682" s="31" t="s">
        <v>4</v>
      </c>
      <c r="M682" t="str">
        <f>VLOOKUP(A682,Response!$A:$M,7,)</f>
        <v>PG (Paying Guest)</v>
      </c>
      <c r="N682" t="str">
        <f>VLOOKUP(A682,Response!$A:$M,8,)</f>
        <v>NKS MENS PG</v>
      </c>
      <c r="O682" s="4">
        <f>VLOOKUP(A682,Response!$A:$M,10,)</f>
        <v>5</v>
      </c>
      <c r="P682" t="str">
        <f>VLOOKUP(A682,Response!$A:$M,12,)</f>
        <v>No</v>
      </c>
      <c r="Q682" t="str">
        <f>VLOOKUP(A682,Response!$A:$M,11,)</f>
        <v>Siruseri</v>
      </c>
      <c r="R682" t="s">
        <v>19</v>
      </c>
      <c r="S682" s="39" t="s">
        <v>37</v>
      </c>
    </row>
    <row r="683" spans="1:19">
      <c r="A683" s="3">
        <v>2530204</v>
      </c>
      <c r="B683" t="str">
        <f>VLOOKUP(A683,File!$A:$J,2,FALSE)</f>
        <v>Amarnadh Narne</v>
      </c>
      <c r="C683" s="29">
        <f>VLOOKUP(A683,File!$A:$J,5,FALSE)</f>
        <v>46247</v>
      </c>
      <c r="D683" s="29" t="str">
        <f>VLOOKUP(A683,File!$A:$J,3,FALSE)</f>
        <v>Male</v>
      </c>
      <c r="E683" s="29" t="str">
        <f>VLOOKUP(A683,File!$A:$J,4,FALSE)</f>
        <v>FTE</v>
      </c>
      <c r="F683" s="29" t="str">
        <f>VLOOKUP(A683,File!$A:$J,6,FALSE)</f>
        <v>Chennai</v>
      </c>
      <c r="G683" s="29" t="str">
        <f>VLOOKUP(A683,File!$A:$J,7,FALSE)</f>
        <v>EPS26OSPPRO001</v>
      </c>
      <c r="H683" s="29" t="str">
        <f>VLOOKUP(A683,File!$A:$J,8,FALSE)</f>
        <v>Gayathri Ramachandran</v>
      </c>
      <c r="I683" s="31">
        <f>VLOOKUP(A683,File!$A:$J,9,FALSE)</f>
        <v>46363</v>
      </c>
      <c r="J683" s="31" t="str">
        <f>VLOOKUP(A683,File!$A:$K,11,FALSE)</f>
        <v>Dec 2026</v>
      </c>
      <c r="K683" s="31" t="str">
        <f>VLOOKUP(A683,File!$A:$K,10,FALSE)</f>
        <v>In-Training</v>
      </c>
      <c r="L683" s="31" t="s">
        <v>4</v>
      </c>
      <c r="M683" t="str">
        <f>VLOOKUP(A683,Response!$A:$M,7,)</f>
        <v>PG (Paying Guest)</v>
      </c>
      <c r="N683" t="str">
        <f>VLOOKUP(A683,Response!$A:$M,8,)</f>
        <v xml:space="preserve">Nks Mens Pg </v>
      </c>
      <c r="O683" s="4">
        <f>VLOOKUP(A683,Response!$A:$M,10,)</f>
        <v>4</v>
      </c>
      <c r="P683" t="str">
        <f>VLOOKUP(A683,Response!$A:$M,12,)</f>
        <v>Yes</v>
      </c>
      <c r="Q683" t="str">
        <f>VLOOKUP(A683,Response!$A:$M,11,)</f>
        <v>Navalur</v>
      </c>
      <c r="R683" t="s">
        <v>19</v>
      </c>
      <c r="S683" s="39" t="s">
        <v>37</v>
      </c>
    </row>
    <row r="684" spans="1:19">
      <c r="A684" s="3">
        <v>2531979</v>
      </c>
      <c r="B684" t="str">
        <f>VLOOKUP(A684,File!$A:$J,2,FALSE)</f>
        <v>Manoj Kumar G</v>
      </c>
      <c r="C684" s="29">
        <f>VLOOKUP(A684,File!$A:$J,5,FALSE)</f>
        <v>46254</v>
      </c>
      <c r="D684" s="29" t="str">
        <f>VLOOKUP(A684,File!$A:$J,3,FALSE)</f>
        <v>Male</v>
      </c>
      <c r="E684" s="29" t="str">
        <f>VLOOKUP(A684,File!$A:$J,4,FALSE)</f>
        <v>FTE</v>
      </c>
      <c r="F684" s="29" t="str">
        <f>VLOOKUP(A684,File!$A:$J,6,FALSE)</f>
        <v>Chennai</v>
      </c>
      <c r="G684" s="29" t="str">
        <f>VLOOKUP(A684,File!$A:$J,7,FALSE)</f>
        <v>EPS26OSP011</v>
      </c>
      <c r="H684" s="29" t="str">
        <f>VLOOKUP(A684,File!$A:$J,8,FALSE)</f>
        <v>Gayathri Ramachandran</v>
      </c>
      <c r="I684" s="31" t="str">
        <f>VLOOKUP(A684,File!$A:$J,9,FALSE)</f>
        <v/>
      </c>
      <c r="J684" s="44" t="s">
        <v>33</v>
      </c>
      <c r="K684" s="31" t="str">
        <f>VLOOKUP(A684,File!$A:$K,10,FALSE)</f>
        <v>Training - ON Hold</v>
      </c>
      <c r="L684" s="31" t="s">
        <v>4</v>
      </c>
      <c r="M684" t="str">
        <f>VLOOKUP(A684,Response!$A:$M,7,)</f>
        <v>PG (Paying Guest)</v>
      </c>
      <c r="N684" t="str">
        <f>VLOOKUP(A684,Response!$A:$M,8,)</f>
        <v xml:space="preserve">NKS MENS PG </v>
      </c>
      <c r="O684" s="4">
        <f>VLOOKUP(A684,Response!$A:$M,10,)</f>
        <v>4</v>
      </c>
      <c r="P684" t="str">
        <f>VLOOKUP(A684,Response!$A:$M,12,)</f>
        <v>No</v>
      </c>
      <c r="Q684" t="str">
        <f>VLOOKUP(A684,Response!$A:$M,11,)</f>
        <v>Egattur</v>
      </c>
      <c r="R684" t="s">
        <v>19</v>
      </c>
      <c r="S684" s="39" t="s">
        <v>37</v>
      </c>
    </row>
    <row r="685" spans="1:19">
      <c r="A685" s="3">
        <v>2529655</v>
      </c>
      <c r="B685" t="str">
        <f>VLOOKUP(A685,File!$A:$J,2,FALSE)</f>
        <v>Joe Maxwell Boniface D</v>
      </c>
      <c r="C685" s="29">
        <f>VLOOKUP(A685,File!$A:$J,5,FALSE)</f>
        <v>46245</v>
      </c>
      <c r="D685" s="29" t="str">
        <f>VLOOKUP(A685,File!$A:$J,3,FALSE)</f>
        <v>Male</v>
      </c>
      <c r="E685" s="29" t="str">
        <f>VLOOKUP(A685,File!$A:$J,4,FALSE)</f>
        <v>FTE</v>
      </c>
      <c r="F685" s="29" t="str">
        <f>VLOOKUP(A685,File!$A:$J,6,FALSE)</f>
        <v>Chennai</v>
      </c>
      <c r="G685" s="29" t="str">
        <f>VLOOKUP(A685,File!$A:$J,7,FALSE)</f>
        <v>EPS26SAP031</v>
      </c>
      <c r="H685" s="29" t="str">
        <f>VLOOKUP(A685,File!$A:$J,8,FALSE)</f>
        <v>Akashraj R</v>
      </c>
      <c r="I685" s="31">
        <f>VLOOKUP(A685,File!$A:$J,9,FALSE)</f>
        <v>46330</v>
      </c>
      <c r="J685" s="31" t="str">
        <f>VLOOKUP(A685,File!$A:$K,11,FALSE)</f>
        <v>Nov 2026</v>
      </c>
      <c r="K685" s="31" t="str">
        <f>VLOOKUP(A685,File!$A:$K,10,FALSE)</f>
        <v>In-Training</v>
      </c>
      <c r="L685" s="31" t="s">
        <v>4</v>
      </c>
      <c r="M685" t="str">
        <f>VLOOKUP(A685,Response!$A:$M,7,)</f>
        <v>PG (Paying Guest)</v>
      </c>
      <c r="N685" t="str">
        <f>VLOOKUP(A685,Response!$A:$M,8,)</f>
        <v>NKS Mens PG - Egattur</v>
      </c>
      <c r="O685" s="4">
        <f>VLOOKUP(A685,Response!$A:$M,10,)</f>
        <v>1</v>
      </c>
      <c r="P685" t="str">
        <f>VLOOKUP(A685,Response!$A:$M,12,)</f>
        <v>No</v>
      </c>
      <c r="Q685" t="str">
        <f>VLOOKUP(A685,Response!$A:$M,11,)</f>
        <v>Siruseri</v>
      </c>
      <c r="R685" t="s">
        <v>19</v>
      </c>
      <c r="S685" s="39" t="s">
        <v>37</v>
      </c>
    </row>
    <row r="686" spans="1:19">
      <c r="A686" s="3">
        <v>2521197</v>
      </c>
      <c r="B686" t="str">
        <f>VLOOKUP(A686,File!$A:$J,2,FALSE)</f>
        <v>Narayan Nayak</v>
      </c>
      <c r="C686" s="29">
        <f>VLOOKUP(A686,File!$A:$J,5,FALSE)</f>
        <v>46210</v>
      </c>
      <c r="D686" s="29" t="str">
        <f>VLOOKUP(A686,File!$A:$J,3,FALSE)</f>
        <v>Male</v>
      </c>
      <c r="E686" s="29" t="str">
        <f>VLOOKUP(A686,File!$A:$J,4,FALSE)</f>
        <v>FTE</v>
      </c>
      <c r="F686" s="29" t="str">
        <f>VLOOKUP(A686,File!$A:$J,6,FALSE)</f>
        <v>Chennai</v>
      </c>
      <c r="G686" s="29" t="str">
        <f>VLOOKUP(A686,File!$A:$J,7,FALSE)</f>
        <v>HPC26DN005</v>
      </c>
      <c r="H686" s="29" t="str">
        <f>VLOOKUP(A686,File!$A:$J,8,FALSE)</f>
        <v>Viveka Preethi</v>
      </c>
      <c r="I686" s="31">
        <f>VLOOKUP(A686,File!$A:$J,9,FALSE)</f>
        <v>46296</v>
      </c>
      <c r="J686" s="31" t="str">
        <f>VLOOKUP(A686,File!$A:$K,11,FALSE)</f>
        <v>Oct 2026</v>
      </c>
      <c r="K686" s="31" t="str">
        <f>VLOOKUP(A686,File!$A:$K,10,FALSE)</f>
        <v>In-Training</v>
      </c>
      <c r="L686" s="31" t="s">
        <v>4</v>
      </c>
      <c r="M686" t="str">
        <f>VLOOKUP(A686,Response!$A:$M,7,)</f>
        <v>PG (Paying Guest)</v>
      </c>
      <c r="N686" t="str">
        <f>VLOOKUP(A686,Response!$A:$M,8,)</f>
        <v>NKS MENS PG , CITY PARK LAYOUT , 78A, THIRD CROSS ROAD NEAR SIRUSERI IT SIPCOT , EGATTUR</v>
      </c>
      <c r="O686" s="4">
        <f>VLOOKUP(A686,Response!$A:$M,10,)</f>
        <v>2</v>
      </c>
      <c r="P686" t="str">
        <f>VLOOKUP(A686,Response!$A:$M,12,)</f>
        <v>No</v>
      </c>
      <c r="Q686" t="str">
        <f>VLOOKUP(A686,Response!$A:$M,11,)</f>
        <v>Siruseri</v>
      </c>
      <c r="R686" t="s">
        <v>19</v>
      </c>
      <c r="S686" s="39" t="s">
        <v>37</v>
      </c>
    </row>
    <row r="687" spans="1:19">
      <c r="A687" s="3">
        <v>2521112</v>
      </c>
      <c r="B687" t="str">
        <f>VLOOKUP(A687,File!$A:$J,2,FALSE)</f>
        <v>Ankit Rai</v>
      </c>
      <c r="C687" s="29">
        <f>VLOOKUP(A687,File!$A:$J,5,FALSE)</f>
        <v>46210</v>
      </c>
      <c r="D687" s="29" t="str">
        <f>VLOOKUP(A687,File!$A:$J,3,FALSE)</f>
        <v>Male</v>
      </c>
      <c r="E687" s="29" t="str">
        <f>VLOOKUP(A687,File!$A:$J,4,FALSE)</f>
        <v>FTE</v>
      </c>
      <c r="F687" s="29" t="str">
        <f>VLOOKUP(A687,File!$A:$J,6,FALSE)</f>
        <v>Chennai</v>
      </c>
      <c r="G687" s="29" t="str">
        <f>VLOOKUP(A687,File!$A:$J,7,FALSE)</f>
        <v>CS26CS007</v>
      </c>
      <c r="H687" s="29" t="str">
        <f>VLOOKUP(A687,File!$A:$J,8,FALSE)</f>
        <v>Lawrance M</v>
      </c>
      <c r="I687" s="31">
        <f>VLOOKUP(A687,File!$A:$J,9,FALSE)</f>
        <v>46272</v>
      </c>
      <c r="J687" s="31" t="str">
        <f>VLOOKUP(A687,File!$A:$K,11,FALSE)</f>
        <v>Sep 2026</v>
      </c>
      <c r="K687" s="31" t="str">
        <f>VLOOKUP(A687,File!$A:$K,10,FALSE)</f>
        <v>In-Training</v>
      </c>
      <c r="L687" s="31" t="s">
        <v>4</v>
      </c>
      <c r="M687" t="str">
        <f>VLOOKUP(A687,Response!$A:$M,7,)</f>
        <v>PG (Paying Guest)</v>
      </c>
      <c r="N687" t="str">
        <f>VLOOKUP(A687,Response!$A:$M,8,)</f>
        <v xml:space="preserve">Nks mens pg siruseri </v>
      </c>
      <c r="O687" s="4">
        <f>VLOOKUP(A687,Response!$A:$M,10,)</f>
        <v>2</v>
      </c>
      <c r="P687" t="str">
        <f>VLOOKUP(A687,Response!$A:$M,12,)</f>
        <v>No</v>
      </c>
      <c r="Q687" t="str">
        <f>VLOOKUP(A687,Response!$A:$M,11,)</f>
        <v>Siruseri</v>
      </c>
      <c r="R687" t="s">
        <v>19</v>
      </c>
      <c r="S687" s="39" t="s">
        <v>37</v>
      </c>
    </row>
    <row r="688" spans="1:19">
      <c r="A688" s="3">
        <v>2521123</v>
      </c>
      <c r="B688" t="str">
        <f>VLOOKUP(A688,File!$A:$J,2,FALSE)</f>
        <v>Shorya Garg</v>
      </c>
      <c r="C688" s="29">
        <f>VLOOKUP(A688,File!$A:$J,5,FALSE)</f>
        <v>46210</v>
      </c>
      <c r="D688" s="29" t="str">
        <f>VLOOKUP(A688,File!$A:$J,3,FALSE)</f>
        <v>Male</v>
      </c>
      <c r="E688" s="29" t="str">
        <f>VLOOKUP(A688,File!$A:$J,4,FALSE)</f>
        <v>FTE</v>
      </c>
      <c r="F688" s="29" t="str">
        <f>VLOOKUP(A688,File!$A:$J,6,FALSE)</f>
        <v>Chennai</v>
      </c>
      <c r="G688" s="29" t="str">
        <f>VLOOKUP(A688,File!$A:$J,7,FALSE)</f>
        <v>SNBG26SN003</v>
      </c>
      <c r="H688" s="29" t="str">
        <f>VLOOKUP(A688,File!$A:$J,8,FALSE)</f>
        <v>Lawrance M</v>
      </c>
      <c r="I688" s="31">
        <f>VLOOKUP(A688,File!$A:$J,9,FALSE)</f>
        <v>46303</v>
      </c>
      <c r="J688" s="31" t="str">
        <f>VLOOKUP(A688,File!$A:$K,11,FALSE)</f>
        <v>Oct 2026</v>
      </c>
      <c r="K688" s="31" t="str">
        <f>VLOOKUP(A688,File!$A:$K,10,FALSE)</f>
        <v>In-Training</v>
      </c>
      <c r="L688" s="31" t="s">
        <v>4</v>
      </c>
      <c r="M688" t="str">
        <f>VLOOKUP(A688,Response!$A:$M,7,)</f>
        <v>PG (Paying Guest)</v>
      </c>
      <c r="N688" t="str">
        <f>VLOOKUP(A688,Response!$A:$M,8,)</f>
        <v>NKS MENS PG, City Park Layout Egattur Village, Siruseri</v>
      </c>
      <c r="O688" s="4">
        <f>VLOOKUP(A688,Response!$A:$M,10,)</f>
        <v>2</v>
      </c>
      <c r="P688" t="str">
        <f>VLOOKUP(A688,Response!$A:$M,12,)</f>
        <v>No</v>
      </c>
      <c r="Q688" t="str">
        <f>VLOOKUP(A688,Response!$A:$M,11,)</f>
        <v>Siruseri</v>
      </c>
      <c r="R688" t="s">
        <v>19</v>
      </c>
      <c r="S688" s="39" t="s">
        <v>37</v>
      </c>
    </row>
    <row r="689" spans="1:19">
      <c r="A689" s="3">
        <v>2521840</v>
      </c>
      <c r="B689" t="str">
        <f>VLOOKUP(A689,File!$A:$J,2,FALSE)</f>
        <v>Arjun Bathula</v>
      </c>
      <c r="C689" s="29">
        <f>VLOOKUP(A689,File!$A:$J,5,FALSE)</f>
        <v>46212</v>
      </c>
      <c r="D689" s="29" t="str">
        <f>VLOOKUP(A689,File!$A:$J,3,FALSE)</f>
        <v>Male</v>
      </c>
      <c r="E689" s="29" t="str">
        <f>VLOOKUP(A689,File!$A:$J,4,FALSE)</f>
        <v>FTE</v>
      </c>
      <c r="F689" s="29" t="str">
        <f>VLOOKUP(A689,File!$A:$J,6,FALSE)</f>
        <v>Chennai</v>
      </c>
      <c r="G689" s="29" t="str">
        <f>VLOOKUP(A689,File!$A:$J,7,FALSE)</f>
        <v>QEA26DS001</v>
      </c>
      <c r="H689" s="29" t="str">
        <f>VLOOKUP(A689,File!$A:$J,8,FALSE)</f>
        <v>Lourdhu Selvin Raj X</v>
      </c>
      <c r="I689" s="31">
        <f>VLOOKUP(A689,File!$A:$J,9,FALSE)</f>
        <v>46325</v>
      </c>
      <c r="J689" s="31" t="str">
        <f>VLOOKUP(A689,File!$A:$K,11,FALSE)</f>
        <v>Oct 2026</v>
      </c>
      <c r="K689" s="31" t="str">
        <f>VLOOKUP(A689,File!$A:$K,10,FALSE)</f>
        <v>In-Training</v>
      </c>
      <c r="L689" s="31" t="s">
        <v>4</v>
      </c>
      <c r="M689" t="str">
        <f>VLOOKUP(A689,Response!$A:$M,7,)</f>
        <v>PG (Paying Guest)</v>
      </c>
      <c r="N689" t="str">
        <f>VLOOKUP(A689,Response!$A:$M,8,)</f>
        <v>NKS MENS PG, city park layout, 78 A, Third Cross Road, near siruseri, sipcot IT park, Egattur</v>
      </c>
      <c r="O689" s="4">
        <f>VLOOKUP(A689,Response!$A:$M,10,)</f>
        <v>1</v>
      </c>
      <c r="P689" t="str">
        <f>VLOOKUP(A689,Response!$A:$M,12,)</f>
        <v>No</v>
      </c>
      <c r="Q689" t="str">
        <f>VLOOKUP(A689,Response!$A:$M,11,)</f>
        <v>Siruseri</v>
      </c>
      <c r="R689" t="s">
        <v>19</v>
      </c>
      <c r="S689" s="39" t="s">
        <v>37</v>
      </c>
    </row>
    <row r="690" spans="1:19">
      <c r="A690" s="3">
        <v>2526147</v>
      </c>
      <c r="B690" t="str">
        <f>VLOOKUP(A690,File!$A:$J,2,FALSE)</f>
        <v>Mohd Muzammil</v>
      </c>
      <c r="C690" s="29">
        <f>VLOOKUP(A690,File!$A:$J,5,FALSE)</f>
        <v>46231</v>
      </c>
      <c r="D690" s="29" t="str">
        <f>VLOOKUP(A690,File!$A:$J,3,FALSE)</f>
        <v>Male</v>
      </c>
      <c r="E690" s="29" t="str">
        <f>VLOOKUP(A690,File!$A:$J,4,FALSE)</f>
        <v>FTE</v>
      </c>
      <c r="F690" s="29" t="str">
        <f>VLOOKUP(A690,File!$A:$J,6,FALSE)</f>
        <v>Chennai</v>
      </c>
      <c r="G690" s="29" t="str">
        <f>VLOOKUP(A690,File!$A:$J,7,FALSE)</f>
        <v>QEA26DS001</v>
      </c>
      <c r="H690" s="29" t="str">
        <f>VLOOKUP(A690,File!$A:$J,8,FALSE)</f>
        <v>Lourdhu Selvin Raj X</v>
      </c>
      <c r="I690" s="31">
        <f>VLOOKUP(A690,File!$A:$J,9,FALSE)</f>
        <v>46325</v>
      </c>
      <c r="J690" s="31" t="str">
        <f>VLOOKUP(A690,File!$A:$K,11,FALSE)</f>
        <v>Oct 2026</v>
      </c>
      <c r="K690" s="31" t="str">
        <f>VLOOKUP(A690,File!$A:$K,10,FALSE)</f>
        <v>In-Training</v>
      </c>
      <c r="L690" s="31" t="s">
        <v>4</v>
      </c>
      <c r="M690" t="str">
        <f>VLOOKUP(A690,Response!$A:$M,7,)</f>
        <v>PG (Paying Guest)</v>
      </c>
      <c r="N690" t="str">
        <f>VLOOKUP(A690,Response!$A:$M,8,)</f>
        <v>NKS MENS PG, city park layout, 78 A, Third Cross Road, near siruseri, sipcot IT park, Egattur</v>
      </c>
      <c r="O690" s="4">
        <f>VLOOKUP(A690,Response!$A:$M,10,)</f>
        <v>3</v>
      </c>
      <c r="P690" t="str">
        <f>VLOOKUP(A690,Response!$A:$M,12,)</f>
        <v>No</v>
      </c>
      <c r="Q690" t="str">
        <f>VLOOKUP(A690,Response!$A:$M,11,)</f>
        <v>Siruseri</v>
      </c>
      <c r="R690" t="s">
        <v>19</v>
      </c>
      <c r="S690" s="39" t="s">
        <v>37</v>
      </c>
    </row>
    <row r="691" spans="1:19">
      <c r="A691" s="3">
        <v>2526591</v>
      </c>
      <c r="B691" t="str">
        <f>VLOOKUP(A691,File!$A:$J,2,FALSE)</f>
        <v>Rupesh Kailas Deshmukh</v>
      </c>
      <c r="C691" s="29">
        <f>VLOOKUP(A691,File!$A:$J,5,FALSE)</f>
        <v>46233</v>
      </c>
      <c r="D691" s="29" t="str">
        <f>VLOOKUP(A691,File!$A:$J,3,FALSE)</f>
        <v>Male</v>
      </c>
      <c r="E691" s="29" t="str">
        <f>VLOOKUP(A691,File!$A:$J,4,FALSE)</f>
        <v>FTE</v>
      </c>
      <c r="F691" s="29" t="str">
        <f>VLOOKUP(A691,File!$A:$J,6,FALSE)</f>
        <v>Chennai</v>
      </c>
      <c r="G691" s="29" t="str">
        <f>VLOOKUP(A691,File!$A:$J,7,FALSE)</f>
        <v>QEA26JP002</v>
      </c>
      <c r="H691" s="29" t="str">
        <f>VLOOKUP(A691,File!$A:$J,8,FALSE)</f>
        <v>Ajiesya D P</v>
      </c>
      <c r="I691" s="31" t="str">
        <f>VLOOKUP(A691,File!$A:$J,9,FALSE)</f>
        <v/>
      </c>
      <c r="J691" s="44" t="s">
        <v>33</v>
      </c>
      <c r="K691" s="31" t="str">
        <f>VLOOKUP(A691,File!$A:$K,10,FALSE)</f>
        <v>Training - ON Hold</v>
      </c>
      <c r="L691" s="31" t="s">
        <v>4</v>
      </c>
      <c r="M691" t="str">
        <f>VLOOKUP(A691,Response!$A:$M,7,)</f>
        <v>PG (Paying Guest)</v>
      </c>
      <c r="N691" t="str">
        <f>VLOOKUP(A691,Response!$A:$M,8,)</f>
        <v>NKS MENS PG, Egattur</v>
      </c>
      <c r="O691" s="4">
        <f>VLOOKUP(A691,Response!$A:$M,10,)</f>
        <v>2</v>
      </c>
      <c r="P691" t="str">
        <f>VLOOKUP(A691,Response!$A:$M,12,)</f>
        <v>No</v>
      </c>
      <c r="Q691" t="str">
        <f>VLOOKUP(A691,Response!$A:$M,11,)</f>
        <v>Egattur</v>
      </c>
      <c r="R691" t="s">
        <v>19</v>
      </c>
      <c r="S691" s="39" t="s">
        <v>37</v>
      </c>
    </row>
    <row r="692" spans="1:19">
      <c r="A692" s="3">
        <v>2526146</v>
      </c>
      <c r="B692" t="str">
        <f>VLOOKUP(A692,File!$A:$J,2,FALSE)</f>
        <v>O Sai Srujan</v>
      </c>
      <c r="C692" s="29">
        <f>VLOOKUP(A692,File!$A:$J,5,FALSE)</f>
        <v>46231</v>
      </c>
      <c r="D692" s="29" t="str">
        <f>VLOOKUP(A692,File!$A:$J,3,FALSE)</f>
        <v>Male</v>
      </c>
      <c r="E692" s="29" t="str">
        <f>VLOOKUP(A692,File!$A:$J,4,FALSE)</f>
        <v>FTE</v>
      </c>
      <c r="F692" s="29" t="str">
        <f>VLOOKUP(A692,File!$A:$J,6,FALSE)</f>
        <v>Chennai</v>
      </c>
      <c r="G692" s="29" t="str">
        <f>VLOOKUP(A692,File!$A:$J,7,FALSE)</f>
        <v>QEA26DS001</v>
      </c>
      <c r="H692" s="29" t="str">
        <f>VLOOKUP(A692,File!$A:$J,8,FALSE)</f>
        <v>Lourdhu Selvin Raj X</v>
      </c>
      <c r="I692" s="31">
        <f>VLOOKUP(A692,File!$A:$J,9,FALSE)</f>
        <v>46325</v>
      </c>
      <c r="J692" s="31" t="str">
        <f>VLOOKUP(A692,File!$A:$K,11,FALSE)</f>
        <v>Oct 2026</v>
      </c>
      <c r="K692" s="31" t="str">
        <f>VLOOKUP(A692,File!$A:$K,10,FALSE)</f>
        <v>In-Training</v>
      </c>
      <c r="L692" s="31" t="s">
        <v>4</v>
      </c>
      <c r="M692" t="str">
        <f>VLOOKUP(A692,Response!$A:$M,7,)</f>
        <v>PG (Paying Guest)</v>
      </c>
      <c r="N692" t="str">
        <f>VLOOKUP(A692,Response!$A:$M,8,)</f>
        <v>NKS MENS PG, Egattur</v>
      </c>
      <c r="O692" s="4">
        <f>VLOOKUP(A692,Response!$A:$M,10,)</f>
        <v>2</v>
      </c>
      <c r="P692" t="str">
        <f>VLOOKUP(A692,Response!$A:$M,12,)</f>
        <v>Yes</v>
      </c>
      <c r="Q692" t="str">
        <f>VLOOKUP(A692,Response!$A:$M,11,)</f>
        <v>Siruseri</v>
      </c>
      <c r="R692" t="s">
        <v>19</v>
      </c>
      <c r="S692" s="39" t="s">
        <v>37</v>
      </c>
    </row>
    <row r="693" spans="1:19">
      <c r="A693" s="3">
        <v>2524540</v>
      </c>
      <c r="B693" t="str">
        <f>VLOOKUP(A693,File!$A:$J,2,FALSE)</f>
        <v>Sachin Narayanan S</v>
      </c>
      <c r="C693" s="29">
        <f>VLOOKUP(A693,File!$A:$J,5,FALSE)</f>
        <v>46224</v>
      </c>
      <c r="D693" s="29" t="str">
        <f>VLOOKUP(A693,File!$A:$J,3,FALSE)</f>
        <v>Male</v>
      </c>
      <c r="E693" s="29" t="str">
        <f>VLOOKUP(A693,File!$A:$J,4,FALSE)</f>
        <v>FTE</v>
      </c>
      <c r="F693" s="29" t="str">
        <f>VLOOKUP(A693,File!$A:$J,6,FALSE)</f>
        <v>Chennai</v>
      </c>
      <c r="G693" s="29" t="str">
        <f>VLOOKUP(A693,File!$A:$J,7,FALSE)</f>
        <v>IOA26RPA005</v>
      </c>
      <c r="H693" s="29" t="str">
        <f>VLOOKUP(A693,File!$A:$J,8,FALSE)</f>
        <v>Adarsh J Nair</v>
      </c>
      <c r="I693" s="31">
        <f>VLOOKUP(A693,File!$A:$J,9,FALSE)</f>
        <v>46309</v>
      </c>
      <c r="J693" s="31" t="str">
        <f>VLOOKUP(A693,File!$A:$K,11,FALSE)</f>
        <v>Oct 2026</v>
      </c>
      <c r="K693" s="31" t="str">
        <f>VLOOKUP(A693,File!$A:$K,10,FALSE)</f>
        <v>In-Training</v>
      </c>
      <c r="L693" s="31" t="s">
        <v>4</v>
      </c>
      <c r="M693" t="str">
        <f>VLOOKUP(A693,Response!$A:$M,7,)</f>
        <v>PG (Paying Guest)</v>
      </c>
      <c r="N693" t="str">
        <f>VLOOKUP(A693,Response!$A:$M,8,)</f>
        <v>NKS mens PG, Egattur, Siruseri</v>
      </c>
      <c r="O693" s="4">
        <f>VLOOKUP(A693,Response!$A:$M,10,)</f>
        <v>2</v>
      </c>
      <c r="P693" t="str">
        <f>VLOOKUP(A693,Response!$A:$M,12,)</f>
        <v>Yes</v>
      </c>
      <c r="Q693" t="str">
        <f>VLOOKUP(A693,Response!$A:$M,11,)</f>
        <v>Siruseri</v>
      </c>
      <c r="R693" t="s">
        <v>19</v>
      </c>
      <c r="S693" s="39" t="s">
        <v>37</v>
      </c>
    </row>
    <row r="694" spans="1:19">
      <c r="A694" s="3">
        <v>2519710</v>
      </c>
      <c r="B694" t="str">
        <f>VLOOKUP(A694,File!$A:$J,2,FALSE)</f>
        <v>Eshank Pal</v>
      </c>
      <c r="C694" s="29">
        <f>VLOOKUP(A694,File!$A:$J,5,FALSE)</f>
        <v>46205</v>
      </c>
      <c r="D694" s="29" t="str">
        <f>VLOOKUP(A694,File!$A:$J,3,FALSE)</f>
        <v>Male</v>
      </c>
      <c r="E694" s="29" t="str">
        <f>VLOOKUP(A694,File!$A:$J,4,FALSE)</f>
        <v>FTE</v>
      </c>
      <c r="F694" s="29" t="str">
        <f>VLOOKUP(A694,File!$A:$J,6,FALSE)</f>
        <v>Chennai</v>
      </c>
      <c r="G694" s="29" t="str">
        <f>VLOOKUP(A694,File!$A:$J,7,FALSE)</f>
        <v>CIS26UNIX004</v>
      </c>
      <c r="H694" s="29" t="str">
        <f>VLOOKUP(A694,File!$A:$J,8,FALSE)</f>
        <v>Haritha P</v>
      </c>
      <c r="I694" s="31">
        <f>VLOOKUP(A694,File!$A:$J,9,FALSE)</f>
        <v>46289</v>
      </c>
      <c r="J694" s="31" t="str">
        <f>VLOOKUP(A694,File!$A:$K,11,FALSE)</f>
        <v>Sep 2026</v>
      </c>
      <c r="K694" s="31" t="str">
        <f>VLOOKUP(A694,File!$A:$K,10,FALSE)</f>
        <v>In-Training</v>
      </c>
      <c r="L694" s="31" t="s">
        <v>4</v>
      </c>
      <c r="M694" t="str">
        <f>VLOOKUP(A694,Response!$A:$M,7,)</f>
        <v>PG (Paying Guest)</v>
      </c>
      <c r="N694" t="str">
        <f>VLOOKUP(A694,Response!$A:$M,8,)</f>
        <v>NKS MENS PG, SIPCOT IT PARK, EGATTUR</v>
      </c>
      <c r="O694" s="4">
        <f>VLOOKUP(A694,Response!$A:$M,10,)</f>
        <v>4</v>
      </c>
      <c r="P694" t="str">
        <f>VLOOKUP(A694,Response!$A:$M,12,)</f>
        <v>No</v>
      </c>
      <c r="Q694" t="str">
        <f>VLOOKUP(A694,Response!$A:$M,11,)</f>
        <v>Siruseri</v>
      </c>
      <c r="R694" t="s">
        <v>19</v>
      </c>
      <c r="S694" s="39" t="s">
        <v>37</v>
      </c>
    </row>
    <row r="695" spans="1:19">
      <c r="A695" s="3">
        <v>2529563</v>
      </c>
      <c r="B695" t="str">
        <f>VLOOKUP(A695,File!$A:$J,2,FALSE)</f>
        <v>Nandhakumar J</v>
      </c>
      <c r="C695" s="29">
        <f>VLOOKUP(A695,File!$A:$J,5,FALSE)</f>
        <v>46245</v>
      </c>
      <c r="D695" s="29" t="str">
        <f>VLOOKUP(A695,File!$A:$J,3,FALSE)</f>
        <v>Male</v>
      </c>
      <c r="E695" s="29" t="str">
        <f>VLOOKUP(A695,File!$A:$J,4,FALSE)</f>
        <v>FTE</v>
      </c>
      <c r="F695" s="29" t="str">
        <f>VLOOKUP(A695,File!$A:$J,6,FALSE)</f>
        <v>Chennai</v>
      </c>
      <c r="G695" s="29" t="str">
        <f>VLOOKUP(A695,File!$A:$J,7,FALSE)</f>
        <v>CIS26MCPT021</v>
      </c>
      <c r="H695" s="29" t="str">
        <f>VLOOKUP(A695,File!$A:$J,8,FALSE)</f>
        <v>Uma Venkatachalam</v>
      </c>
      <c r="I695" s="31">
        <f>VLOOKUP(A695,File!$A:$J,9,FALSE)</f>
        <v>46364</v>
      </c>
      <c r="J695" s="31" t="str">
        <f>VLOOKUP(A695,File!$A:$K,11,FALSE)</f>
        <v>Dec 2026</v>
      </c>
      <c r="K695" s="31" t="str">
        <f>VLOOKUP(A695,File!$A:$K,10,FALSE)</f>
        <v>In-Training</v>
      </c>
      <c r="L695" s="31" t="s">
        <v>4</v>
      </c>
      <c r="M695" t="str">
        <f>VLOOKUP(A695,Response!$A:$M,7,)</f>
        <v>PG (Paying Guest)</v>
      </c>
      <c r="N695" t="str">
        <f>VLOOKUP(A695,Response!$A:$M,8,)</f>
        <v>NKS Mens PG, Siruseri It Sipcot City park layout,78 A,Third Cross road,Egattur</v>
      </c>
      <c r="O695" s="4">
        <f>VLOOKUP(A695,Response!$A:$M,10,)</f>
        <v>4</v>
      </c>
      <c r="P695" t="str">
        <f>VLOOKUP(A695,Response!$A:$M,12,)</f>
        <v>No</v>
      </c>
      <c r="Q695" t="str">
        <f>VLOOKUP(A695,Response!$A:$M,11,)</f>
        <v>Siruseri</v>
      </c>
      <c r="R695" t="s">
        <v>19</v>
      </c>
      <c r="S695" s="39" t="s">
        <v>37</v>
      </c>
    </row>
    <row r="696" spans="1:19">
      <c r="A696" s="3">
        <v>2523455</v>
      </c>
      <c r="B696" t="str">
        <f>VLOOKUP(A696,File!$A:$J,2,FALSE)</f>
        <v>Kirubaharan D</v>
      </c>
      <c r="C696" s="29">
        <f>VLOOKUP(A696,File!$A:$J,5,FALSE)</f>
        <v>46219</v>
      </c>
      <c r="D696" s="29" t="str">
        <f>VLOOKUP(A696,File!$A:$J,3,FALSE)</f>
        <v>Male</v>
      </c>
      <c r="E696" s="29" t="str">
        <f>VLOOKUP(A696,File!$A:$J,4,FALSE)</f>
        <v>FTE</v>
      </c>
      <c r="F696" s="29" t="str">
        <f>VLOOKUP(A696,File!$A:$J,6,FALSE)</f>
        <v>Chennai</v>
      </c>
      <c r="G696" s="29" t="str">
        <f>VLOOKUP(A696,File!$A:$J,7,FALSE)</f>
        <v>CS26CS010</v>
      </c>
      <c r="H696" s="29" t="str">
        <f>VLOOKUP(A696,File!$A:$J,8,FALSE)</f>
        <v>Laksiya Vijayendran</v>
      </c>
      <c r="I696" s="31">
        <f>VLOOKUP(A696,File!$A:$J,9,FALSE)</f>
        <v>46314</v>
      </c>
      <c r="J696" s="31" t="str">
        <f>VLOOKUP(A696,File!$A:$K,11,FALSE)</f>
        <v>Oct 2026</v>
      </c>
      <c r="K696" s="31" t="str">
        <f>VLOOKUP(A696,File!$A:$K,10,FALSE)</f>
        <v>In-Training</v>
      </c>
      <c r="L696" s="31" t="s">
        <v>4</v>
      </c>
      <c r="M696" t="str">
        <f>VLOOKUP(A696,Response!$A:$M,7,)</f>
        <v>PG (Paying Guest)</v>
      </c>
      <c r="N696" t="str">
        <f>VLOOKUP(A696,Response!$A:$M,8,)</f>
        <v>No 15 A1, SR Mens PG, Rajiv Gandhi Salai, Citypark Layout, Egattur, Chennai, Tamil Nadu</v>
      </c>
      <c r="O696" s="4">
        <f>VLOOKUP(A696,Response!$A:$M,10,)</f>
        <v>4</v>
      </c>
      <c r="P696" t="str">
        <f>VLOOKUP(A696,Response!$A:$M,12,)</f>
        <v>Yes</v>
      </c>
      <c r="Q696" t="str">
        <f>VLOOKUP(A696,Response!$A:$M,11,)</f>
        <v>Egattur</v>
      </c>
      <c r="R696" t="s">
        <v>19</v>
      </c>
      <c r="S696" s="39" t="s">
        <v>37</v>
      </c>
    </row>
    <row r="697" spans="1:19">
      <c r="A697" s="3">
        <v>2531393</v>
      </c>
      <c r="B697" t="str">
        <f>VLOOKUP(A697,File!$A:$J,2,FALSE)</f>
        <v>Sruthi S</v>
      </c>
      <c r="C697" s="29">
        <f>VLOOKUP(A697,File!$A:$J,5,FALSE)</f>
        <v>46252</v>
      </c>
      <c r="D697" s="29" t="str">
        <f>VLOOKUP(A697,File!$A:$J,3,FALSE)</f>
        <v>Female</v>
      </c>
      <c r="E697" s="29" t="str">
        <f>VLOOKUP(A697,File!$A:$J,4,FALSE)</f>
        <v>FTE</v>
      </c>
      <c r="F697" s="29" t="str">
        <f>VLOOKUP(A697,File!$A:$J,6,FALSE)</f>
        <v>Chennai</v>
      </c>
      <c r="G697" s="29" t="str">
        <f>VLOOKUP(A697,File!$A:$J,7,FALSE)</f>
        <v>EPS26SAP036</v>
      </c>
      <c r="H697" s="29" t="str">
        <f>VLOOKUP(A697,File!$A:$J,8,FALSE)</f>
        <v>Vishnupriya Dakshnamurthy</v>
      </c>
      <c r="I697" s="31">
        <f>VLOOKUP(A697,File!$A:$J,9,FALSE)</f>
        <v>46335</v>
      </c>
      <c r="J697" s="31" t="str">
        <f>VLOOKUP(A697,File!$A:$K,11,FALSE)</f>
        <v>Nov 2026</v>
      </c>
      <c r="K697" s="31" t="str">
        <f>VLOOKUP(A697,File!$A:$K,10,FALSE)</f>
        <v>In-Training</v>
      </c>
      <c r="L697" s="31" t="s">
        <v>5</v>
      </c>
      <c r="M697" t="str">
        <f>VLOOKUP(A697,Response!$A:$M,7,)</f>
        <v>Permanent Residence (House/Home)</v>
      </c>
      <c r="N697" t="str">
        <f>VLOOKUP(A697,Response!$A:$M,8,)</f>
        <v>No 223, 2nd Street, Gajalakshmi Nagar, Chinna Nolambur, Maduravoyal, Chennai 95</v>
      </c>
      <c r="O697" s="4">
        <f>VLOOKUP(A697,Response!$A:$M,10,)</f>
        <v>1</v>
      </c>
      <c r="P697" t="str">
        <f>VLOOKUP(A697,Response!$A:$M,12,)</f>
        <v>No</v>
      </c>
      <c r="Q697" t="str">
        <f>VLOOKUP(A697,Response!$A:$M,11,)</f>
        <v>Maduravoyal</v>
      </c>
      <c r="S697" t="s">
        <v>38</v>
      </c>
    </row>
    <row r="698" spans="1:19">
      <c r="A698" s="3">
        <v>2529518</v>
      </c>
      <c r="B698" t="str">
        <f>VLOOKUP(A698,File!$A:$J,2,FALSE)</f>
        <v>Aarthi S</v>
      </c>
      <c r="C698" s="29">
        <f>VLOOKUP(A698,File!$A:$J,5,FALSE)</f>
        <v>46245</v>
      </c>
      <c r="D698" s="29" t="str">
        <f>VLOOKUP(A698,File!$A:$J,3,FALSE)</f>
        <v>Female</v>
      </c>
      <c r="E698" s="29" t="str">
        <f>VLOOKUP(A698,File!$A:$J,4,FALSE)</f>
        <v>FTE</v>
      </c>
      <c r="F698" s="29" t="str">
        <f>VLOOKUP(A698,File!$A:$J,6,FALSE)</f>
        <v>Chennai</v>
      </c>
      <c r="G698" s="29" t="str">
        <f>VLOOKUP(A698,File!$A:$J,7,FALSE)</f>
        <v>CIS26MCPT024</v>
      </c>
      <c r="H698" s="29" t="str">
        <f>VLOOKUP(A698,File!$A:$J,8,FALSE)</f>
        <v>Ashiya Begam S</v>
      </c>
      <c r="I698" s="31">
        <f>VLOOKUP(A698,File!$A:$J,9,FALSE)</f>
        <v>46359</v>
      </c>
      <c r="J698" s="31" t="str">
        <f>VLOOKUP(A698,File!$A:$K,11,FALSE)</f>
        <v>Dec 2026</v>
      </c>
      <c r="K698" s="31" t="str">
        <f>VLOOKUP(A698,File!$A:$K,10,FALSE)</f>
        <v>In-Training</v>
      </c>
      <c r="L698" s="31" t="s">
        <v>5</v>
      </c>
      <c r="M698" t="str">
        <f>VLOOKUP(A698,Response!$A:$M,7,)</f>
        <v>Permanent Residence (House/Home)</v>
      </c>
      <c r="N698" t="str">
        <f>VLOOKUP(A698,Response!$A:$M,8,)</f>
        <v>NO 52B karpoora chetty kulam street natham post chengalpattu 603002</v>
      </c>
      <c r="O698" s="4">
        <f>VLOOKUP(A698,Response!$A:$M,10,)</f>
        <v>1</v>
      </c>
      <c r="P698" t="str">
        <f>VLOOKUP(A698,Response!$A:$M,12,)</f>
        <v>Yes</v>
      </c>
      <c r="Q698" t="str">
        <f>VLOOKUP(A698,Response!$A:$M,11,)</f>
        <v>Thiruporur,Chengalpattu</v>
      </c>
      <c r="R698" t="s">
        <v>15</v>
      </c>
      <c r="S698" t="s">
        <v>38</v>
      </c>
    </row>
    <row r="699" spans="1:19">
      <c r="A699" s="3">
        <v>2526141</v>
      </c>
      <c r="B699" t="str">
        <f>VLOOKUP(A699,File!$A:$J,2,FALSE)</f>
        <v>Pranavbalaji P</v>
      </c>
      <c r="C699" s="29">
        <f>VLOOKUP(A699,File!$A:$J,5,FALSE)</f>
        <v>46231</v>
      </c>
      <c r="D699" s="29" t="str">
        <f>VLOOKUP(A699,File!$A:$J,3,FALSE)</f>
        <v>Male</v>
      </c>
      <c r="E699" s="29" t="str">
        <f>VLOOKUP(A699,File!$A:$J,4,FALSE)</f>
        <v>FTE</v>
      </c>
      <c r="F699" s="29" t="str">
        <f>VLOOKUP(A699,File!$A:$J,6,FALSE)</f>
        <v>Chennai</v>
      </c>
      <c r="G699" s="29" t="str">
        <f>VLOOKUP(A699,File!$A:$J,7,FALSE)</f>
        <v>CIS26DWP024</v>
      </c>
      <c r="H699" s="29" t="str">
        <f>VLOOKUP(A699,File!$A:$J,8,FALSE)</f>
        <v>Lakavath Udhaya Bhavana</v>
      </c>
      <c r="I699" s="31">
        <f>VLOOKUP(A699,File!$A:$J,9,FALSE)</f>
        <v>46286</v>
      </c>
      <c r="J699" s="31" t="str">
        <f>VLOOKUP(A699,File!$A:$K,11,FALSE)</f>
        <v>Sep 2026</v>
      </c>
      <c r="K699" s="31" t="str">
        <f>VLOOKUP(A699,File!$A:$K,10,FALSE)</f>
        <v>In-Training</v>
      </c>
      <c r="L699" s="31" t="s">
        <v>5</v>
      </c>
      <c r="M699" t="str">
        <f>VLOOKUP(A699,Response!$A:$M,7,)</f>
        <v>Permanent Residence (House/Home)</v>
      </c>
      <c r="N699" t="str">
        <f>VLOOKUP(A699,Response!$A:$M,8,)</f>
        <v>No 77/11G SANIMOORTHI KOVIL STREET, THIRUVOTTIYUR CHENNAI-600019.</v>
      </c>
      <c r="O699" s="4">
        <f>VLOOKUP(A699,Response!$A:$M,10,)</f>
        <v>1</v>
      </c>
      <c r="P699" t="str">
        <f>VLOOKUP(A699,Response!$A:$M,12,)</f>
        <v>Yes</v>
      </c>
      <c r="Q699" t="str">
        <f>VLOOKUP(A699,Response!$A:$M,11,)</f>
        <v>Perumbakkam</v>
      </c>
      <c r="S699" t="s">
        <v>38</v>
      </c>
    </row>
    <row r="700" spans="1:19">
      <c r="A700" s="3">
        <v>2521689</v>
      </c>
      <c r="B700" t="str">
        <f>VLOOKUP(A700,File!$A:$J,2,FALSE)</f>
        <v>Manish Shrikant Nucche</v>
      </c>
      <c r="C700" s="29">
        <f>VLOOKUP(A700,File!$A:$J,5,FALSE)</f>
        <v>46212</v>
      </c>
      <c r="D700" s="29" t="str">
        <f>VLOOKUP(A700,File!$A:$J,3,FALSE)</f>
        <v>Male</v>
      </c>
      <c r="E700" s="29" t="str">
        <f>VLOOKUP(A700,File!$A:$J,4,FALSE)</f>
        <v>FTE</v>
      </c>
      <c r="F700" s="29" t="str">
        <f>VLOOKUP(A700,File!$A:$J,6,FALSE)</f>
        <v>Chennai</v>
      </c>
      <c r="G700" s="29" t="str">
        <f>VLOOKUP(A700,File!$A:$J,7,FALSE)</f>
        <v>ADM26MF010</v>
      </c>
      <c r="H700" s="29" t="str">
        <f>VLOOKUP(A700,File!$A:$J,8,FALSE)</f>
        <v>Thomas Naveen. J</v>
      </c>
      <c r="I700" s="31">
        <f>VLOOKUP(A700,File!$A:$J,9,FALSE)</f>
        <v>46328</v>
      </c>
      <c r="J700" s="31" t="str">
        <f>VLOOKUP(A700,File!$A:$K,11,FALSE)</f>
        <v>Nov 2026</v>
      </c>
      <c r="K700" s="31" t="str">
        <f>VLOOKUP(A700,File!$A:$K,10,FALSE)</f>
        <v>In-Training</v>
      </c>
      <c r="L700" s="31" t="s">
        <v>4</v>
      </c>
      <c r="M700" t="str">
        <f>VLOOKUP(A700,Response!$A:$M,7,)</f>
        <v>PG (Paying Guest)</v>
      </c>
      <c r="N700" t="str">
        <f>VLOOKUP(A700,Response!$A:$M,8,)</f>
        <v>No 89C, city park layout, 3rd left street, Egattur, Siruseri, Chennai, Tamil Nadu 603103</v>
      </c>
      <c r="O700" s="4">
        <f>VLOOKUP(A700,Response!$A:$M,10,)</f>
        <v>2</v>
      </c>
      <c r="P700" t="str">
        <f>VLOOKUP(A700,Response!$A:$M,12,)</f>
        <v>No</v>
      </c>
      <c r="Q700" t="str">
        <f>VLOOKUP(A700,Response!$A:$M,11,)</f>
        <v>Egattur</v>
      </c>
      <c r="R700" t="s">
        <v>19</v>
      </c>
      <c r="S700" s="39" t="s">
        <v>37</v>
      </c>
    </row>
    <row r="701" spans="1:19">
      <c r="A701" s="3">
        <v>2523377</v>
      </c>
      <c r="B701" t="str">
        <f>VLOOKUP(A701,File!$A:$J,2,FALSE)</f>
        <v>Dineshkumar R</v>
      </c>
      <c r="C701" s="29">
        <f>VLOOKUP(A701,File!$A:$J,5,FALSE)</f>
        <v>46219</v>
      </c>
      <c r="D701" s="29" t="str">
        <f>VLOOKUP(A701,File!$A:$J,3,FALSE)</f>
        <v>Male</v>
      </c>
      <c r="E701" s="29" t="str">
        <f>VLOOKUP(A701,File!$A:$J,4,FALSE)</f>
        <v>FTE</v>
      </c>
      <c r="F701" s="29" t="str">
        <f>VLOOKUP(A701,File!$A:$J,6,FALSE)</f>
        <v>Chennai</v>
      </c>
      <c r="G701" s="29" t="str">
        <f>VLOOKUP(A701,File!$A:$J,7,FALSE)</f>
        <v>CS26CS009</v>
      </c>
      <c r="H701" s="29" t="str">
        <f>VLOOKUP(A701,File!$A:$J,8,FALSE)</f>
        <v>Laksiya Vijayendran</v>
      </c>
      <c r="I701" s="31">
        <f>VLOOKUP(A701,File!$A:$J,9,FALSE)</f>
        <v>46309</v>
      </c>
      <c r="J701" s="31" t="str">
        <f>VLOOKUP(A701,File!$A:$K,11,FALSE)</f>
        <v>Oct 2026</v>
      </c>
      <c r="K701" s="31" t="str">
        <f>VLOOKUP(A701,File!$A:$K,10,FALSE)</f>
        <v>In-Training</v>
      </c>
      <c r="L701" s="31" t="s">
        <v>5</v>
      </c>
      <c r="M701" t="str">
        <f>VLOOKUP(A701,Response!$A:$M,7,)</f>
        <v>Rented House/Apartment</v>
      </c>
      <c r="N701" t="str">
        <f>VLOOKUP(A701,Response!$A:$M,8,)</f>
        <v>No 9 Vedagiri Street , Pasumponn nagar, Pammal, Chennai 600075</v>
      </c>
      <c r="O701" s="4">
        <f>VLOOKUP(A701,Response!$A:$M,10,)</f>
        <v>1</v>
      </c>
      <c r="P701" t="str">
        <f>VLOOKUP(A701,Response!$A:$M,12,)</f>
        <v>Yes</v>
      </c>
      <c r="Q701" t="str">
        <f>VLOOKUP(A701,Response!$A:$M,11,)</f>
        <v>Chromepet</v>
      </c>
      <c r="R701" t="s">
        <v>63</v>
      </c>
      <c r="S701" t="s">
        <v>38</v>
      </c>
    </row>
    <row r="702" spans="1:19">
      <c r="A702" s="3">
        <v>2522857</v>
      </c>
      <c r="B702" t="str">
        <f>VLOOKUP(A702,File!$A:$J,2,FALSE)</f>
        <v>Srilekha G</v>
      </c>
      <c r="C702" s="29">
        <f>VLOOKUP(A702,File!$A:$J,5,FALSE)</f>
        <v>46217</v>
      </c>
      <c r="D702" s="29" t="str">
        <f>VLOOKUP(A702,File!$A:$J,3,FALSE)</f>
        <v>Female</v>
      </c>
      <c r="E702" s="29" t="str">
        <f>VLOOKUP(A702,File!$A:$J,4,FALSE)</f>
        <v>FTE</v>
      </c>
      <c r="F702" s="29" t="str">
        <f>VLOOKUP(A702,File!$A:$J,6,FALSE)</f>
        <v>Chennai</v>
      </c>
      <c r="G702" s="29" t="str">
        <f>VLOOKUP(A702,File!$A:$J,7,FALSE)</f>
        <v>CIS26MCPT017</v>
      </c>
      <c r="H702" s="29" t="str">
        <f>VLOOKUP(A702,File!$A:$J,8,FALSE)</f>
        <v>Haritha P</v>
      </c>
      <c r="I702" s="31">
        <f>VLOOKUP(A702,File!$A:$J,9,FALSE)</f>
        <v>46335</v>
      </c>
      <c r="J702" s="31" t="str">
        <f>VLOOKUP(A702,File!$A:$K,11,FALSE)</f>
        <v>Nov 2026</v>
      </c>
      <c r="K702" s="31" t="str">
        <f>VLOOKUP(A702,File!$A:$K,10,FALSE)</f>
        <v>In-Training</v>
      </c>
      <c r="L702" s="31" t="s">
        <v>5</v>
      </c>
      <c r="M702" t="str">
        <f>VLOOKUP(A702,Response!$A:$M,7,)</f>
        <v>Permanent Residence (House/Home)</v>
      </c>
      <c r="N702" t="str">
        <f>VLOOKUP(A702,Response!$A:$M,8,)</f>
        <v>No C6/3 todhunter nagar saidapet chennai-15</v>
      </c>
      <c r="O702" s="4">
        <f>VLOOKUP(A702,Response!$A:$M,10,)</f>
        <v>1</v>
      </c>
      <c r="P702" t="str">
        <f>VLOOKUP(A702,Response!$A:$M,12,)</f>
        <v>Yes</v>
      </c>
      <c r="Q702" t="str">
        <f>VLOOKUP(A702,Response!$A:$M,11,)</f>
        <v>saidapet</v>
      </c>
      <c r="S702" t="s">
        <v>38</v>
      </c>
    </row>
    <row r="703" spans="1:19">
      <c r="A703" s="3">
        <v>2531348</v>
      </c>
      <c r="B703" t="str">
        <f>VLOOKUP(A703,File!$A:$J,2,FALSE)</f>
        <v>Harini S</v>
      </c>
      <c r="C703" s="29">
        <f>VLOOKUP(A703,File!$A:$J,5,FALSE)</f>
        <v>46252</v>
      </c>
      <c r="D703" s="29" t="str">
        <f>VLOOKUP(A703,File!$A:$J,3,FALSE)</f>
        <v>Female</v>
      </c>
      <c r="E703" s="29" t="str">
        <f>VLOOKUP(A703,File!$A:$J,4,FALSE)</f>
        <v>FTE</v>
      </c>
      <c r="F703" s="29" t="str">
        <f>VLOOKUP(A703,File!$A:$J,6,FALSE)</f>
        <v>Chennai</v>
      </c>
      <c r="G703" s="29" t="str">
        <f>VLOOKUP(A703,File!$A:$J,7,FALSE)</f>
        <v>EPS26SAP037</v>
      </c>
      <c r="H703" s="29" t="str">
        <f>VLOOKUP(A703,File!$A:$J,8,FALSE)</f>
        <v>Gayathri Ramachandran</v>
      </c>
      <c r="I703" s="31">
        <f>VLOOKUP(A703,File!$A:$J,9,FALSE)</f>
        <v>46330</v>
      </c>
      <c r="J703" s="31" t="str">
        <f>VLOOKUP(A703,File!$A:$K,11,FALSE)</f>
        <v>Nov 2026</v>
      </c>
      <c r="K703" s="31" t="str">
        <f>VLOOKUP(A703,File!$A:$K,10,FALSE)</f>
        <v>In-Training</v>
      </c>
      <c r="L703" s="31" t="s">
        <v>5</v>
      </c>
      <c r="M703" t="str">
        <f>VLOOKUP(A703,Response!$A:$M,7,)</f>
        <v>Permanent Residence (House/Home)</v>
      </c>
      <c r="N703" t="str">
        <f>VLOOKUP(A703,Response!$A:$M,8,)</f>
        <v>No. 143, 1st street, eshwaran Nagar, Thiruverkadu-600077</v>
      </c>
      <c r="O703" s="4" t="str">
        <f>VLOOKUP(A703,Response!$A:$M,10,)</f>
        <v>GF</v>
      </c>
      <c r="P703" t="str">
        <f>VLOOKUP(A703,Response!$A:$M,12,)</f>
        <v>Yes</v>
      </c>
      <c r="Q703" t="str">
        <f>VLOOKUP(A703,Response!$A:$M,11,)</f>
        <v>Thiruverkadu</v>
      </c>
      <c r="S703" t="s">
        <v>38</v>
      </c>
    </row>
    <row r="704" spans="1:19">
      <c r="A704" s="3">
        <v>2529580</v>
      </c>
      <c r="B704" t="str">
        <f>VLOOKUP(A704,File!$A:$J,2,FALSE)</f>
        <v>Nikhil Singh</v>
      </c>
      <c r="C704" s="29">
        <f>VLOOKUP(A704,File!$A:$J,5,FALSE)</f>
        <v>46245</v>
      </c>
      <c r="D704" s="29" t="str">
        <f>VLOOKUP(A704,File!$A:$J,3,FALSE)</f>
        <v>Male</v>
      </c>
      <c r="E704" s="29" t="str">
        <f>VLOOKUP(A704,File!$A:$J,4,FALSE)</f>
        <v>FTE</v>
      </c>
      <c r="F704" s="29" t="str">
        <f>VLOOKUP(A704,File!$A:$J,6,FALSE)</f>
        <v>Chennai</v>
      </c>
      <c r="G704" s="29" t="str">
        <f>VLOOKUP(A704,File!$A:$J,7,FALSE)</f>
        <v>CIS26MCPT023</v>
      </c>
      <c r="H704" s="29" t="str">
        <f>VLOOKUP(A704,File!$A:$J,8,FALSE)</f>
        <v>Kishorekumar P</v>
      </c>
      <c r="I704" s="31">
        <f>VLOOKUP(A704,File!$A:$J,9,FALSE)</f>
        <v>46359</v>
      </c>
      <c r="J704" s="31" t="str">
        <f>VLOOKUP(A704,File!$A:$K,11,FALSE)</f>
        <v>Dec 2026</v>
      </c>
      <c r="K704" s="31" t="str">
        <f>VLOOKUP(A704,File!$A:$K,10,FALSE)</f>
        <v>In-Training</v>
      </c>
      <c r="L704" s="31" t="s">
        <v>4</v>
      </c>
      <c r="M704" t="str">
        <f>VLOOKUP(A704,Response!$A:$M,7,)</f>
        <v>PG (Paying Guest)</v>
      </c>
      <c r="N704" t="str">
        <f>VLOOKUP(A704,Response!$A:$M,8,)</f>
        <v>No. 37, Thiruvalluvar Salai, Vaniyanchavadi, Kazhipattur / Siruseri, Chennai - 603103, opposite to Padma Adharsh School</v>
      </c>
      <c r="O704" s="4">
        <f>VLOOKUP(A704,Response!$A:$M,10,)</f>
        <v>2</v>
      </c>
      <c r="P704" t="str">
        <f>VLOOKUP(A704,Response!$A:$M,12,)</f>
        <v>No</v>
      </c>
      <c r="Q704" t="str">
        <f>VLOOKUP(A704,Response!$A:$M,11,)</f>
        <v>Siruseri</v>
      </c>
      <c r="R704" t="s">
        <v>19</v>
      </c>
      <c r="S704" s="39" t="s">
        <v>37</v>
      </c>
    </row>
    <row r="705" spans="1:19">
      <c r="A705" s="3">
        <v>2524517</v>
      </c>
      <c r="B705" t="str">
        <f>VLOOKUP(A705,File!$A:$J,2,FALSE)</f>
        <v>Lokesh S</v>
      </c>
      <c r="C705" s="29">
        <f>VLOOKUP(A705,File!$A:$J,5,FALSE)</f>
        <v>46224</v>
      </c>
      <c r="D705" s="29" t="str">
        <f>VLOOKUP(A705,File!$A:$J,3,FALSE)</f>
        <v>Male</v>
      </c>
      <c r="E705" s="29" t="str">
        <f>VLOOKUP(A705,File!$A:$J,4,FALSE)</f>
        <v>FTE</v>
      </c>
      <c r="F705" s="29" t="str">
        <f>VLOOKUP(A705,File!$A:$J,6,FALSE)</f>
        <v>Chennai</v>
      </c>
      <c r="G705" s="29" t="str">
        <f>VLOOKUP(A705,File!$A:$J,7,FALSE)</f>
        <v>ADM26MF012</v>
      </c>
      <c r="H705" s="29" t="str">
        <f>VLOOKUP(A705,File!$A:$J,8,FALSE)</f>
        <v>Lourdhu Selvin Raj X</v>
      </c>
      <c r="I705" s="31">
        <f>VLOOKUP(A705,File!$A:$J,9,FALSE)</f>
        <v>46343</v>
      </c>
      <c r="J705" s="31" t="str">
        <f>VLOOKUP(A705,File!$A:$K,11,FALSE)</f>
        <v>Nov 2026</v>
      </c>
      <c r="K705" s="31" t="str">
        <f>VLOOKUP(A705,File!$A:$K,10,FALSE)</f>
        <v>In-Training</v>
      </c>
      <c r="L705" s="31" t="s">
        <v>5</v>
      </c>
      <c r="M705" t="str">
        <f>VLOOKUP(A705,Response!$A:$M,7,)</f>
        <v>Rented House/Apartment</v>
      </c>
      <c r="N705" t="str">
        <f>VLOOKUP(A705,Response!$A:$M,8,)</f>
        <v>No.1 Parry Colony Keelkattalai chennai 600117</v>
      </c>
      <c r="O705" s="4">
        <f>VLOOKUP(A705,Response!$A:$M,10,)</f>
        <v>1</v>
      </c>
      <c r="P705" t="str">
        <f>VLOOKUP(A705,Response!$A:$M,12,)</f>
        <v>Yes</v>
      </c>
      <c r="Q705" t="str">
        <f>VLOOKUP(A705,Response!$A:$M,11,)</f>
        <v>Siruseri</v>
      </c>
      <c r="R705" t="s">
        <v>19</v>
      </c>
      <c r="S705" t="s">
        <v>38</v>
      </c>
    </row>
    <row r="706" spans="1:19">
      <c r="A706" s="3">
        <v>2531391</v>
      </c>
      <c r="B706" t="str">
        <f>VLOOKUP(A706,File!$A:$J,2,FALSE)</f>
        <v>Gomathi G</v>
      </c>
      <c r="C706" s="29">
        <f>VLOOKUP(A706,File!$A:$J,5,FALSE)</f>
        <v>46252</v>
      </c>
      <c r="D706" s="29" t="str">
        <f>VLOOKUP(A706,File!$A:$J,3,FALSE)</f>
        <v>Female</v>
      </c>
      <c r="E706" s="29" t="str">
        <f>VLOOKUP(A706,File!$A:$J,4,FALSE)</f>
        <v>FTE</v>
      </c>
      <c r="F706" s="29" t="str">
        <f>VLOOKUP(A706,File!$A:$J,6,FALSE)</f>
        <v>Chennai</v>
      </c>
      <c r="G706" s="29" t="str">
        <f>VLOOKUP(A706,File!$A:$J,7,FALSE)</f>
        <v>EPS26SAP036</v>
      </c>
      <c r="H706" s="29" t="str">
        <f>VLOOKUP(A706,File!$A:$J,8,FALSE)</f>
        <v>Vishnupriya Dakshnamurthy</v>
      </c>
      <c r="I706" s="31">
        <f>VLOOKUP(A706,File!$A:$J,9,FALSE)</f>
        <v>46335</v>
      </c>
      <c r="J706" s="31" t="str">
        <f>VLOOKUP(A706,File!$A:$K,11,FALSE)</f>
        <v>Nov 2026</v>
      </c>
      <c r="K706" s="31" t="str">
        <f>VLOOKUP(A706,File!$A:$K,10,FALSE)</f>
        <v>In-Training</v>
      </c>
      <c r="L706" s="31" t="s">
        <v>5</v>
      </c>
      <c r="M706" t="str">
        <f>VLOOKUP(A706,Response!$A:$M,7,)</f>
        <v>Permanent Residence (House/Home)</v>
      </c>
      <c r="N706" t="str">
        <f>VLOOKUP(A706,Response!$A:$M,8,)</f>
        <v>No.12 Sakthivel nagar, kolathur</v>
      </c>
      <c r="O706" s="4" t="str">
        <f>VLOOKUP(A706,Response!$A:$M,10,)</f>
        <v>GF</v>
      </c>
      <c r="P706" t="str">
        <f>VLOOKUP(A706,Response!$A:$M,12,)</f>
        <v>No</v>
      </c>
      <c r="Q706" t="str">
        <f>VLOOKUP(A706,Response!$A:$M,11,)</f>
        <v>Rettery</v>
      </c>
      <c r="S706" t="s">
        <v>38</v>
      </c>
    </row>
    <row r="707" spans="1:19">
      <c r="A707" s="3">
        <v>2531956</v>
      </c>
      <c r="B707" t="str">
        <f>VLOOKUP(A707,File!$A:$J,2,FALSE)</f>
        <v>Dharshini R</v>
      </c>
      <c r="C707" s="29">
        <f>VLOOKUP(A707,File!$A:$J,5,FALSE)</f>
        <v>46254</v>
      </c>
      <c r="D707" s="29" t="str">
        <f>VLOOKUP(A707,File!$A:$J,3,FALSE)</f>
        <v>Female</v>
      </c>
      <c r="E707" s="29" t="str">
        <f>VLOOKUP(A707,File!$A:$J,4,FALSE)</f>
        <v>FTE</v>
      </c>
      <c r="F707" s="29" t="str">
        <f>VLOOKUP(A707,File!$A:$J,6,FALSE)</f>
        <v>Chennai</v>
      </c>
      <c r="G707" s="29" t="str">
        <f>VLOOKUP(A707,File!$A:$J,7,FALSE)</f>
        <v>EPS26OSP011</v>
      </c>
      <c r="H707" s="29" t="str">
        <f>VLOOKUP(A707,File!$A:$J,8,FALSE)</f>
        <v>Gayathri Ramachandran</v>
      </c>
      <c r="I707" s="31" t="str">
        <f>VLOOKUP(A707,File!$A:$J,9,FALSE)</f>
        <v/>
      </c>
      <c r="J707" s="44" t="s">
        <v>33</v>
      </c>
      <c r="K707" s="31" t="str">
        <f>VLOOKUP(A707,File!$A:$K,10,FALSE)</f>
        <v>Training - ON Hold</v>
      </c>
      <c r="L707" s="31" t="s">
        <v>5</v>
      </c>
      <c r="M707" t="str">
        <f>VLOOKUP(A707,Response!$A:$M,7,)</f>
        <v>Permanent Residence (House/Home)</v>
      </c>
      <c r="N707" t="str">
        <f>VLOOKUP(A707,Response!$A:$M,8,)</f>
        <v>No.12,Gandhi Avenue 1st street,Thiruvottriyur</v>
      </c>
      <c r="O707" s="4">
        <f>VLOOKUP(A707,Response!$A:$M,10,)</f>
        <v>1</v>
      </c>
      <c r="P707" t="str">
        <f>VLOOKUP(A707,Response!$A:$M,12,)</f>
        <v>Yes</v>
      </c>
      <c r="Q707" t="str">
        <f>VLOOKUP(A707,Response!$A:$M,11,)</f>
        <v>Thiruvottriyur</v>
      </c>
      <c r="S707" t="s">
        <v>38</v>
      </c>
    </row>
    <row r="708" spans="1:19">
      <c r="A708" s="3">
        <v>2531416</v>
      </c>
      <c r="B708" t="str">
        <f>VLOOKUP(A708,File!$A:$J,2,FALSE)</f>
        <v>Madhangi LNU</v>
      </c>
      <c r="C708" s="29">
        <f>VLOOKUP(A708,File!$A:$J,5,FALSE)</f>
        <v>46252</v>
      </c>
      <c r="D708" s="29" t="str">
        <f>VLOOKUP(A708,File!$A:$J,3,FALSE)</f>
        <v>Female</v>
      </c>
      <c r="E708" s="29" t="str">
        <f>VLOOKUP(A708,File!$A:$J,4,FALSE)</f>
        <v>FTE</v>
      </c>
      <c r="F708" s="29" t="str">
        <f>VLOOKUP(A708,File!$A:$J,6,FALSE)</f>
        <v>Chennai</v>
      </c>
      <c r="G708" s="29" t="str">
        <f>VLOOKUP(A708,File!$A:$J,7,FALSE)</f>
        <v>EPS26SAP036</v>
      </c>
      <c r="H708" s="29" t="str">
        <f>VLOOKUP(A708,File!$A:$J,8,FALSE)</f>
        <v>Vishnupriya Dakshnamurthy</v>
      </c>
      <c r="I708" s="31">
        <f>VLOOKUP(A708,File!$A:$J,9,FALSE)</f>
        <v>46335</v>
      </c>
      <c r="J708" s="31" t="str">
        <f>VLOOKUP(A708,File!$A:$K,11,FALSE)</f>
        <v>Nov 2026</v>
      </c>
      <c r="K708" s="31" t="str">
        <f>VLOOKUP(A708,File!$A:$K,10,FALSE)</f>
        <v>In-Training</v>
      </c>
      <c r="L708" s="31" t="s">
        <v>5</v>
      </c>
      <c r="M708" t="str">
        <f>VLOOKUP(A708,Response!$A:$M,7,)</f>
        <v>Permanent Residence (House/Home)</v>
      </c>
      <c r="N708" t="str">
        <f>VLOOKUP(A708,Response!$A:$M,8,)</f>
        <v>No.3 Koil cross street, Gandhi Nagar, Ambattur</v>
      </c>
      <c r="O708" s="4" t="str">
        <f>VLOOKUP(A708,Response!$A:$M,10,)</f>
        <v>GF</v>
      </c>
      <c r="P708" t="str">
        <f>VLOOKUP(A708,Response!$A:$M,12,)</f>
        <v>Yes</v>
      </c>
      <c r="Q708" t="str">
        <f>VLOOKUP(A708,Response!$A:$M,11,)</f>
        <v>Koyembedu</v>
      </c>
      <c r="S708" t="s">
        <v>38</v>
      </c>
    </row>
    <row r="709" spans="1:19">
      <c r="A709" s="3">
        <v>2521243</v>
      </c>
      <c r="B709" t="str">
        <f>VLOOKUP(A709,File!$A:$J,2,FALSE)</f>
        <v>Golla Yashoda Mahitha</v>
      </c>
      <c r="C709" s="29">
        <f>VLOOKUP(A709,File!$A:$J,5,FALSE)</f>
        <v>46210</v>
      </c>
      <c r="D709" s="29" t="str">
        <f>VLOOKUP(A709,File!$A:$J,3,FALSE)</f>
        <v>Female</v>
      </c>
      <c r="E709" s="29" t="str">
        <f>VLOOKUP(A709,File!$A:$J,4,FALSE)</f>
        <v>FTE</v>
      </c>
      <c r="F709" s="29" t="str">
        <f>VLOOKUP(A709,File!$A:$J,6,FALSE)</f>
        <v>Chennai</v>
      </c>
      <c r="G709" s="29" t="str">
        <f>VLOOKUP(A709,File!$A:$J,7,FALSE)</f>
        <v>SNBG26SN003</v>
      </c>
      <c r="H709" s="29" t="str">
        <f>VLOOKUP(A709,File!$A:$J,8,FALSE)</f>
        <v>Lawrance M</v>
      </c>
      <c r="I709" s="31">
        <f>VLOOKUP(A709,File!$A:$J,9,FALSE)</f>
        <v>46281</v>
      </c>
      <c r="J709" s="31" t="str">
        <f>VLOOKUP(A709,File!$A:$K,11,FALSE)</f>
        <v>Sep 2026</v>
      </c>
      <c r="K709" s="31" t="str">
        <f>VLOOKUP(A709,File!$A:$K,10,FALSE)</f>
        <v>In-Training</v>
      </c>
      <c r="L709" s="31" t="s">
        <v>4</v>
      </c>
      <c r="M709" t="str">
        <f>VLOOKUP(A709,Response!$A:$M,7,)</f>
        <v>PG (Paying Guest)</v>
      </c>
      <c r="N709" t="str">
        <f>VLOOKUP(A709,Response!$A:$M,8,)</f>
        <v>No.4/211, Dr. Ambethkar Street, Near Navalur, Sipcot Egattur, Egattur, Chennai-603103, Tamil Nadu</v>
      </c>
      <c r="O709" s="4">
        <f>VLOOKUP(A709,Response!$A:$M,10,)</f>
        <v>2</v>
      </c>
      <c r="P709" t="str">
        <f>VLOOKUP(A709,Response!$A:$M,12,)</f>
        <v>No</v>
      </c>
      <c r="Q709" t="str">
        <f>VLOOKUP(A709,Response!$A:$M,11,)</f>
        <v>Siruseri</v>
      </c>
      <c r="R709" t="s">
        <v>19</v>
      </c>
      <c r="S709" s="39" t="s">
        <v>37</v>
      </c>
    </row>
    <row r="710" spans="1:19">
      <c r="A710" s="3">
        <v>2521244</v>
      </c>
      <c r="B710" t="str">
        <f>VLOOKUP(A710,File!$A:$J,2,FALSE)</f>
        <v>Buriga Shakeena</v>
      </c>
      <c r="C710" s="29">
        <f>VLOOKUP(A710,File!$A:$J,5,FALSE)</f>
        <v>46210</v>
      </c>
      <c r="D710" s="29" t="str">
        <f>VLOOKUP(A710,File!$A:$J,3,FALSE)</f>
        <v>Female</v>
      </c>
      <c r="E710" s="29" t="str">
        <f>VLOOKUP(A710,File!$A:$J,4,FALSE)</f>
        <v>FTE</v>
      </c>
      <c r="F710" s="29" t="str">
        <f>VLOOKUP(A710,File!$A:$J,6,FALSE)</f>
        <v>Chennai</v>
      </c>
      <c r="G710" s="29" t="str">
        <f>VLOOKUP(A710,File!$A:$J,7,FALSE)</f>
        <v>SNBG26SN002</v>
      </c>
      <c r="H710" s="29" t="str">
        <f>VLOOKUP(A710,File!$A:$J,8,FALSE)</f>
        <v>Lawrance M</v>
      </c>
      <c r="I710" s="31">
        <f>VLOOKUP(A710,File!$A:$J,9,FALSE)</f>
        <v>46281</v>
      </c>
      <c r="J710" s="31" t="str">
        <f>VLOOKUP(A710,File!$A:$K,11,FALSE)</f>
        <v>Sep 2026</v>
      </c>
      <c r="K710" s="31" t="str">
        <f>VLOOKUP(A710,File!$A:$K,10,FALSE)</f>
        <v>In-Training</v>
      </c>
      <c r="L710" s="31" t="s">
        <v>4</v>
      </c>
      <c r="M710" t="str">
        <f>VLOOKUP(A710,Response!$A:$M,7,)</f>
        <v>PG (Paying Guest)</v>
      </c>
      <c r="N710" t="str">
        <f>VLOOKUP(A710,Response!$A:$M,8,)</f>
        <v>No.4/211, Dr. Ambethkar Street, Near Navalur, Sipcot Egattur, Egattur, Chennai-603103, Tamil Nadu</v>
      </c>
      <c r="O710" s="4">
        <f>VLOOKUP(A710,Response!$A:$M,10,)</f>
        <v>2</v>
      </c>
      <c r="P710" t="str">
        <f>VLOOKUP(A710,Response!$A:$M,12,)</f>
        <v>No</v>
      </c>
      <c r="Q710" t="str">
        <f>VLOOKUP(A710,Response!$A:$M,11,)</f>
        <v>Egattur</v>
      </c>
      <c r="R710" t="s">
        <v>19</v>
      </c>
      <c r="S710" s="39" t="s">
        <v>37</v>
      </c>
    </row>
    <row r="711" spans="1:19">
      <c r="A711" s="3">
        <v>2531361</v>
      </c>
      <c r="B711" t="str">
        <f>VLOOKUP(A711,File!$A:$J,2,FALSE)</f>
        <v>Madhumitha V</v>
      </c>
      <c r="C711" s="29">
        <f>VLOOKUP(A711,File!$A:$J,5,FALSE)</f>
        <v>46252</v>
      </c>
      <c r="D711" s="29" t="str">
        <f>VLOOKUP(A711,File!$A:$J,3,FALSE)</f>
        <v>Female</v>
      </c>
      <c r="E711" s="29" t="str">
        <f>VLOOKUP(A711,File!$A:$J,4,FALSE)</f>
        <v>FTE</v>
      </c>
      <c r="F711" s="29" t="str">
        <f>VLOOKUP(A711,File!$A:$J,6,FALSE)</f>
        <v>Chennai</v>
      </c>
      <c r="G711" s="29" t="str">
        <f>VLOOKUP(A711,File!$A:$J,7,FALSE)</f>
        <v>EPS26SAP036</v>
      </c>
      <c r="H711" s="29" t="str">
        <f>VLOOKUP(A711,File!$A:$J,8,FALSE)</f>
        <v>Vishnupriya Dakshnamurthy</v>
      </c>
      <c r="I711" s="31">
        <f>VLOOKUP(A711,File!$A:$J,9,FALSE)</f>
        <v>46335</v>
      </c>
      <c r="J711" s="31" t="str">
        <f>VLOOKUP(A711,File!$A:$K,11,FALSE)</f>
        <v>Nov 2026</v>
      </c>
      <c r="K711" s="31" t="str">
        <f>VLOOKUP(A711,File!$A:$K,10,FALSE)</f>
        <v>In-Training</v>
      </c>
      <c r="L711" s="31" t="s">
        <v>5</v>
      </c>
      <c r="M711" t="str">
        <f>VLOOKUP(A711,Response!$A:$M,7,)</f>
        <v>Permanent Residence (House/Home)</v>
      </c>
      <c r="N711" t="str">
        <f>VLOOKUP(A711,Response!$A:$M,8,)</f>
        <v>NO.5, BALAKRISHNAN STREET, NEHRU NAGAR, ERUKANCHERRY, CHENNAI - 600118</v>
      </c>
      <c r="O711" s="4" t="str">
        <f>VLOOKUP(A711,Response!$A:$M,10,)</f>
        <v>GF</v>
      </c>
      <c r="P711" t="str">
        <f>VLOOKUP(A711,Response!$A:$M,12,)</f>
        <v>Yes</v>
      </c>
      <c r="Q711" t="str">
        <f>VLOOKUP(A711,Response!$A:$M,11,)</f>
        <v>MADHAVARAM</v>
      </c>
      <c r="S711" t="s">
        <v>38</v>
      </c>
    </row>
    <row r="712" spans="1:19">
      <c r="A712" s="3">
        <v>2522859</v>
      </c>
      <c r="B712" t="str">
        <f>VLOOKUP(A712,File!$A:$J,2,FALSE)</f>
        <v>Jothilakshmi B</v>
      </c>
      <c r="C712" s="29">
        <f>VLOOKUP(A712,File!$A:$J,5,FALSE)</f>
        <v>46217</v>
      </c>
      <c r="D712" s="29" t="str">
        <f>VLOOKUP(A712,File!$A:$J,3,FALSE)</f>
        <v>Female</v>
      </c>
      <c r="E712" s="29" t="str">
        <f>VLOOKUP(A712,File!$A:$J,4,FALSE)</f>
        <v>FTE</v>
      </c>
      <c r="F712" s="29" t="str">
        <f>VLOOKUP(A712,File!$A:$J,6,FALSE)</f>
        <v>Chennai</v>
      </c>
      <c r="G712" s="29" t="str">
        <f>VLOOKUP(A712,File!$A:$J,7,FALSE)</f>
        <v>CIS26MCPT017</v>
      </c>
      <c r="H712" s="29" t="str">
        <f>VLOOKUP(A712,File!$A:$J,8,FALSE)</f>
        <v>Haritha P</v>
      </c>
      <c r="I712" s="31">
        <f>VLOOKUP(A712,File!$A:$J,9,FALSE)</f>
        <v>46335</v>
      </c>
      <c r="J712" s="31" t="str">
        <f>VLOOKUP(A712,File!$A:$K,11,FALSE)</f>
        <v>Nov 2026</v>
      </c>
      <c r="K712" s="31" t="str">
        <f>VLOOKUP(A712,File!$A:$K,10,FALSE)</f>
        <v>In-Training</v>
      </c>
      <c r="L712" s="31" t="s">
        <v>5</v>
      </c>
      <c r="M712" t="str">
        <f>VLOOKUP(A712,Response!$A:$M,7,)</f>
        <v>Permanent Residence (House/Home)</v>
      </c>
      <c r="N712" t="str">
        <f>VLOOKUP(A712,Response!$A:$M,8,)</f>
        <v>NO:02 AA Block Visalatchi Garden Mylapore Chennai-04</v>
      </c>
      <c r="O712" s="4" t="str">
        <f>VLOOKUP(A712,Response!$A:$M,10,)</f>
        <v>GF</v>
      </c>
      <c r="P712" t="str">
        <f>VLOOKUP(A712,Response!$A:$M,12,)</f>
        <v>No</v>
      </c>
      <c r="Q712" t="str">
        <f>VLOOKUP(A712,Response!$A:$M,11,)</f>
        <v>Mylapore</v>
      </c>
      <c r="S712" t="s">
        <v>38</v>
      </c>
    </row>
    <row r="713" spans="1:19">
      <c r="A713" s="3">
        <v>2512327</v>
      </c>
      <c r="B713" t="str">
        <f>VLOOKUP(A713,File!$A:$J,2,FALSE)</f>
        <v>Kasik Chakravarthi</v>
      </c>
      <c r="C713" s="29">
        <f>VLOOKUP(A713,File!$A:$J,5,FALSE)</f>
        <v>46170</v>
      </c>
      <c r="D713" s="29" t="str">
        <f>VLOOKUP(A713,File!$A:$J,3,FALSE)</f>
        <v>Male</v>
      </c>
      <c r="E713" s="29" t="str">
        <f>VLOOKUP(A713,File!$A:$J,4,FALSE)</f>
        <v>FTE</v>
      </c>
      <c r="F713" s="29" t="str">
        <f>VLOOKUP(A713,File!$A:$J,6,FALSE)</f>
        <v>Chennai</v>
      </c>
      <c r="G713" s="29" t="str">
        <f>VLOOKUP(A713,File!$A:$J,7,FALSE)</f>
        <v>CIS26MCPT012</v>
      </c>
      <c r="H713" s="29" t="str">
        <f>VLOOKUP(A713,File!$A:$J,8,FALSE)</f>
        <v>Uma Venkatachalam</v>
      </c>
      <c r="I713" s="31">
        <f>VLOOKUP(A713,File!$A:$J,9,FALSE)</f>
        <v>46282</v>
      </c>
      <c r="J713" s="31" t="str">
        <f>VLOOKUP(A713,File!$A:$K,11,FALSE)</f>
        <v>Sep 2026</v>
      </c>
      <c r="K713" s="31" t="str">
        <f>VLOOKUP(A713,File!$A:$K,10,FALSE)</f>
        <v>In-Training</v>
      </c>
      <c r="L713" s="31" t="s">
        <v>5</v>
      </c>
      <c r="M713" t="str">
        <f>VLOOKUP(A713,Response!$A:$M,7,)</f>
        <v>Permanent Residence (House/Home)</v>
      </c>
      <c r="N713" t="str">
        <f>VLOOKUP(A713,Response!$A:$M,8,)</f>
        <v>No:3/13, 1st main road, Sathya nagar, Ramapuram road, Manapakkam, Chennai-600125</v>
      </c>
      <c r="O713" s="4" t="str">
        <f>VLOOKUP(A713,Response!$A:$M,10,)</f>
        <v>GF</v>
      </c>
      <c r="P713" t="str">
        <f>VLOOKUP(A713,Response!$A:$M,12,)</f>
        <v>Yes</v>
      </c>
      <c r="Q713" t="str">
        <f>VLOOKUP(A713,Response!$A:$M,11,)</f>
        <v>Ramapuram</v>
      </c>
      <c r="S713" t="s">
        <v>38</v>
      </c>
    </row>
    <row r="714" spans="1:19">
      <c r="A714" s="3">
        <v>2524492</v>
      </c>
      <c r="B714" t="str">
        <f>VLOOKUP(A714,File!$A:$J,2,FALSE)</f>
        <v>Monica M</v>
      </c>
      <c r="C714" s="29">
        <f>VLOOKUP(A714,File!$A:$J,5,FALSE)</f>
        <v>46224</v>
      </c>
      <c r="D714" s="29" t="str">
        <f>VLOOKUP(A714,File!$A:$J,3,FALSE)</f>
        <v>Female</v>
      </c>
      <c r="E714" s="29" t="str">
        <f>VLOOKUP(A714,File!$A:$J,4,FALSE)</f>
        <v>FTE</v>
      </c>
      <c r="F714" s="29" t="str">
        <f>VLOOKUP(A714,File!$A:$J,6,FALSE)</f>
        <v>Chennai</v>
      </c>
      <c r="G714" s="29" t="str">
        <f>VLOOKUP(A714,File!$A:$J,7,FALSE)</f>
        <v>ADM26DFSA007</v>
      </c>
      <c r="H714" s="29" t="str">
        <f>VLOOKUP(A714,File!$A:$J,8,FALSE)</f>
        <v>Sweta Thoppil</v>
      </c>
      <c r="I714" s="31">
        <f>VLOOKUP(A714,File!$A:$J,9,FALSE)</f>
        <v>46336</v>
      </c>
      <c r="J714" s="31" t="str">
        <f>VLOOKUP(A714,File!$A:$K,11,FALSE)</f>
        <v>Nov 2026</v>
      </c>
      <c r="K714" s="31" t="str">
        <f>VLOOKUP(A714,File!$A:$K,10,FALSE)</f>
        <v>In-Training</v>
      </c>
      <c r="L714" s="31" t="s">
        <v>5</v>
      </c>
      <c r="M714" t="str">
        <f>VLOOKUP(A714,Response!$A:$M,7,)</f>
        <v>Rented House/Apartment</v>
      </c>
      <c r="N714" t="str">
        <f>VLOOKUP(A714,Response!$A:$M,8,)</f>
        <v>No-63/43, 1st street, Ramakrishna nagar, ennore, Chennai-57</v>
      </c>
      <c r="O714" s="4" t="str">
        <f>VLOOKUP(A714,Response!$A:$M,10,)</f>
        <v>GF</v>
      </c>
      <c r="P714" t="str">
        <f>VLOOKUP(A714,Response!$A:$M,12,)</f>
        <v>Yes</v>
      </c>
      <c r="Q714" t="str">
        <f>VLOOKUP(A714,Response!$A:$M,11,)</f>
        <v>Thiruvottiyur</v>
      </c>
      <c r="R714" t="s">
        <v>62</v>
      </c>
      <c r="S714" s="40" t="s">
        <v>36</v>
      </c>
    </row>
    <row r="715" spans="1:19">
      <c r="A715" s="3">
        <v>2525027</v>
      </c>
      <c r="B715" t="str">
        <f>VLOOKUP(A715,File!$A:$J,2,FALSE)</f>
        <v>Ranjitha Padmanaban</v>
      </c>
      <c r="C715" s="29">
        <f>VLOOKUP(A715,File!$A:$J,5,FALSE)</f>
        <v>46226</v>
      </c>
      <c r="D715" s="29" t="str">
        <f>VLOOKUP(A715,File!$A:$J,3,FALSE)</f>
        <v>Female</v>
      </c>
      <c r="E715" s="29" t="str">
        <f>VLOOKUP(A715,File!$A:$J,4,FALSE)</f>
        <v>FTE</v>
      </c>
      <c r="F715" s="29" t="str">
        <f>VLOOKUP(A715,File!$A:$J,6,FALSE)</f>
        <v>Chennai</v>
      </c>
      <c r="G715" s="29" t="str">
        <f>VLOOKUP(A715,File!$A:$J,7,FALSE)</f>
        <v>ADM26ISMO010</v>
      </c>
      <c r="H715" s="29" t="str">
        <f>VLOOKUP(A715,File!$A:$J,8,FALSE)</f>
        <v>Thomas Naveen. J</v>
      </c>
      <c r="I715" s="31">
        <f>VLOOKUP(A715,File!$A:$J,9,FALSE)</f>
        <v>46301</v>
      </c>
      <c r="J715" s="31" t="str">
        <f>VLOOKUP(A715,File!$A:$K,11,FALSE)</f>
        <v>Oct 2026</v>
      </c>
      <c r="K715" s="31" t="str">
        <f>VLOOKUP(A715,File!$A:$K,10,FALSE)</f>
        <v>In-Training</v>
      </c>
      <c r="L715" s="31" t="s">
        <v>5</v>
      </c>
      <c r="M715" t="str">
        <f>VLOOKUP(A715,Response!$A:$M,7,)</f>
        <v>Permanent Residence (House/Home)</v>
      </c>
      <c r="N715" t="str">
        <f>VLOOKUP(A715,Response!$A:$M,8,)</f>
        <v>Not Applicable</v>
      </c>
      <c r="O715" s="4" t="str">
        <f>VLOOKUP(A715,Response!$A:$M,10,)</f>
        <v>GF</v>
      </c>
      <c r="P715" t="str">
        <f>VLOOKUP(A715,Response!$A:$M,12,)</f>
        <v>Yes</v>
      </c>
      <c r="Q715" t="str">
        <f>VLOOKUP(A715,Response!$A:$M,11,)</f>
        <v>Siruseri</v>
      </c>
      <c r="R715" t="s">
        <v>19</v>
      </c>
      <c r="S715" t="s">
        <v>38</v>
      </c>
    </row>
    <row r="716" spans="1:19">
      <c r="A716" s="3">
        <v>2530185</v>
      </c>
      <c r="B716" t="str">
        <f>VLOOKUP(A716,File!$A:$J,2,FALSE)</f>
        <v>Abhinav P Menon</v>
      </c>
      <c r="C716" s="29">
        <f>VLOOKUP(A716,File!$A:$J,5,FALSE)</f>
        <v>46247</v>
      </c>
      <c r="D716" s="29" t="str">
        <f>VLOOKUP(A716,File!$A:$J,3,FALSE)</f>
        <v>Male</v>
      </c>
      <c r="E716" s="29" t="str">
        <f>VLOOKUP(A716,File!$A:$J,4,FALSE)</f>
        <v>FTE</v>
      </c>
      <c r="F716" s="29" t="str">
        <f>VLOOKUP(A716,File!$A:$J,6,FALSE)</f>
        <v>Chennai</v>
      </c>
      <c r="G716" s="29" t="str">
        <f>VLOOKUP(A716,File!$A:$J,7,FALSE)</f>
        <v>EPS26OSPPRO001</v>
      </c>
      <c r="H716" s="29" t="str">
        <f>VLOOKUP(A716,File!$A:$J,8,FALSE)</f>
        <v>Gayathri Ramachandran</v>
      </c>
      <c r="I716" s="31">
        <f>VLOOKUP(A716,File!$A:$J,9,FALSE)</f>
        <v>46363</v>
      </c>
      <c r="J716" s="31" t="str">
        <f>VLOOKUP(A716,File!$A:$K,11,FALSE)</f>
        <v>Dec 2026</v>
      </c>
      <c r="K716" s="31" t="str">
        <f>VLOOKUP(A716,File!$A:$K,10,FALSE)</f>
        <v>In-Training</v>
      </c>
      <c r="L716" s="31" t="s">
        <v>4</v>
      </c>
      <c r="M716" t="str">
        <f>VLOOKUP(A716,Response!$A:$M,7,)</f>
        <v>PG (Paying Guest)</v>
      </c>
      <c r="N716" t="str">
        <f>VLOOKUP(A716,Response!$A:$M,8,)</f>
        <v>NUS HOSTEL (PG FOR MEN) - Sholinganallur( Ponniyaamman kovil)</v>
      </c>
      <c r="O716" s="4">
        <f>VLOOKUP(A716,Response!$A:$M,10,)</f>
        <v>1</v>
      </c>
      <c r="P716" t="str">
        <f>VLOOKUP(A716,Response!$A:$M,12,)</f>
        <v>No</v>
      </c>
      <c r="Q716" t="str">
        <f>VLOOKUP(A716,Response!$A:$M,11,)</f>
        <v>Sholinganallur</v>
      </c>
      <c r="R716" t="s">
        <v>17</v>
      </c>
      <c r="S716" s="39" t="s">
        <v>37</v>
      </c>
    </row>
    <row r="717" spans="1:19">
      <c r="A717" s="3">
        <v>2519632</v>
      </c>
      <c r="B717" t="str">
        <f>VLOOKUP(A717,File!$A:$J,2,FALSE)</f>
        <v>Anitha A</v>
      </c>
      <c r="C717" s="29">
        <f>VLOOKUP(A717,File!$A:$J,5,FALSE)</f>
        <v>46205</v>
      </c>
      <c r="D717" s="29" t="str">
        <f>VLOOKUP(A717,File!$A:$J,3,FALSE)</f>
        <v>Female</v>
      </c>
      <c r="E717" s="29" t="str">
        <f>VLOOKUP(A717,File!$A:$J,4,FALSE)</f>
        <v>FTE</v>
      </c>
      <c r="F717" s="29" t="str">
        <f>VLOOKUP(A717,File!$A:$J,6,FALSE)</f>
        <v>Chennai</v>
      </c>
      <c r="G717" s="29" t="str">
        <f>VLOOKUP(A717,File!$A:$J,7,FALSE)</f>
        <v>CIS26MCPT013</v>
      </c>
      <c r="H717" s="29" t="str">
        <f>VLOOKUP(A717,File!$A:$J,8,FALSE)</f>
        <v>Lawrance M</v>
      </c>
      <c r="I717" s="31">
        <f>VLOOKUP(A717,File!$A:$J,9,FALSE)</f>
        <v>46324</v>
      </c>
      <c r="J717" s="31" t="str">
        <f>VLOOKUP(A717,File!$A:$K,11,FALSE)</f>
        <v>Oct 2026</v>
      </c>
      <c r="K717" s="31" t="str">
        <f>VLOOKUP(A717,File!$A:$K,10,FALSE)</f>
        <v>In-Training</v>
      </c>
      <c r="L717" s="31" t="s">
        <v>4</v>
      </c>
      <c r="M717" t="str">
        <f>VLOOKUP(A717,Response!$A:$M,7,)</f>
        <v>PG (Paying Guest)</v>
      </c>
      <c r="N717" t="str">
        <f>VLOOKUP(A717,Response!$A:$M,8,)</f>
        <v>Nwe phonix   girls hostel</v>
      </c>
      <c r="O717" s="4" t="str">
        <f>VLOOKUP(A717,Response!$A:$M,10,)</f>
        <v>GF</v>
      </c>
      <c r="P717" t="str">
        <f>VLOOKUP(A717,Response!$A:$M,12,)</f>
        <v>No</v>
      </c>
      <c r="Q717" t="str">
        <f>VLOOKUP(A717,Response!$A:$M,11,)</f>
        <v>Siruseri</v>
      </c>
      <c r="R717" t="s">
        <v>19</v>
      </c>
      <c r="S717" s="39" t="s">
        <v>37</v>
      </c>
    </row>
    <row r="718" spans="1:19">
      <c r="A718" s="3">
        <v>2533003</v>
      </c>
      <c r="B718" t="str">
        <f>VLOOKUP(A718,File!$A:$J,2,FALSE)</f>
        <v>Kodam Adhvaith</v>
      </c>
      <c r="C718" s="29">
        <f>VLOOKUP(A718,File!$A:$J,5,FALSE)</f>
        <v>46259</v>
      </c>
      <c r="D718" s="29" t="str">
        <f>VLOOKUP(A718,File!$A:$J,3,FALSE)</f>
        <v>Male</v>
      </c>
      <c r="E718" s="29" t="str">
        <f>VLOOKUP(A718,File!$A:$J,4,FALSE)</f>
        <v>FTE</v>
      </c>
      <c r="F718" s="29" t="str">
        <f>VLOOKUP(A718,File!$A:$J,6,FALSE)</f>
        <v>Chennai</v>
      </c>
      <c r="G718" s="29" t="str">
        <f>VLOOKUP(A718,File!$A:$J,7,FALSE)</f>
        <v>CIS26MBG003</v>
      </c>
      <c r="H718" s="29" t="str">
        <f>VLOOKUP(A718,File!$A:$J,8,FALSE)</f>
        <v>Kishorekumar P</v>
      </c>
      <c r="I718" s="31">
        <f>VLOOKUP(A718,File!$A:$J,9,FALSE)</f>
        <v>46367</v>
      </c>
      <c r="J718" s="31" t="str">
        <f>VLOOKUP(A718,File!$A:$K,11,FALSE)</f>
        <v>Dec 2026</v>
      </c>
      <c r="K718" s="31" t="str">
        <f>VLOOKUP(A718,File!$A:$K,10,FALSE)</f>
        <v>In-Training</v>
      </c>
      <c r="L718" s="31" t="s">
        <v>5</v>
      </c>
      <c r="M718" t="str">
        <f>VLOOKUP(A718,Response!$A:$M,7,)</f>
        <v>Rented House/Apartment</v>
      </c>
      <c r="N718" t="str">
        <f>VLOOKUP(A718,Response!$A:$M,8,)</f>
        <v xml:space="preserve">olampia opalane </v>
      </c>
      <c r="O718" s="4">
        <f>VLOOKUP(A718,Response!$A:$M,10,)</f>
        <v>5</v>
      </c>
      <c r="P718" t="str">
        <f>VLOOKUP(A718,Response!$A:$M,12,)</f>
        <v>No</v>
      </c>
      <c r="Q718" t="str">
        <f>VLOOKUP(A718,Response!$A:$M,11,)</f>
        <v>Navalur</v>
      </c>
      <c r="R718" t="s">
        <v>19</v>
      </c>
      <c r="S718" t="s">
        <v>38</v>
      </c>
    </row>
    <row r="719" spans="1:19">
      <c r="A719" s="3">
        <v>2511240</v>
      </c>
      <c r="B719" t="str">
        <f>VLOOKUP(A719,File!$A:$J,2,FALSE)</f>
        <v>Razeen Gani S</v>
      </c>
      <c r="C719" s="29">
        <f>VLOOKUP(A719,File!$A:$J,5,FALSE)</f>
        <v>46163</v>
      </c>
      <c r="D719" s="29" t="str">
        <f>VLOOKUP(A719,File!$A:$J,3,FALSE)</f>
        <v>Male</v>
      </c>
      <c r="E719" s="29" t="str">
        <f>VLOOKUP(A719,File!$A:$J,4,FALSE)</f>
        <v>FTE</v>
      </c>
      <c r="F719" s="29" t="str">
        <f>VLOOKUP(A719,File!$A:$J,6,FALSE)</f>
        <v>Chennai</v>
      </c>
      <c r="G719" s="29" t="str">
        <f>VLOOKUP(A719,File!$A:$J,7,FALSE)</f>
        <v>CIS26MCPT010</v>
      </c>
      <c r="H719" s="29" t="str">
        <f>VLOOKUP(A719,File!$A:$J,8,FALSE)</f>
        <v>Mohamed Harish</v>
      </c>
      <c r="I719" s="31">
        <f>VLOOKUP(A719,File!$A:$J,9,FALSE)</f>
        <v>46275</v>
      </c>
      <c r="J719" s="31" t="str">
        <f>VLOOKUP(A719,File!$A:$K,11,FALSE)</f>
        <v>Sep 2026</v>
      </c>
      <c r="K719" s="31" t="str">
        <f>VLOOKUP(A719,File!$A:$K,10,FALSE)</f>
        <v>In-Training</v>
      </c>
      <c r="L719" s="31" t="s">
        <v>5</v>
      </c>
      <c r="M719" t="str">
        <f>VLOOKUP(A719,Response!$A:$M,7,)</f>
        <v>Rented House/Apartment</v>
      </c>
      <c r="N719" t="str">
        <f>VLOOKUP(A719,Response!$A:$M,8,)</f>
        <v>Old Washermenpet</v>
      </c>
      <c r="O719" s="4">
        <f>VLOOKUP(A719,Response!$A:$M,10,)</f>
        <v>1</v>
      </c>
      <c r="P719" t="str">
        <f>VLOOKUP(A719,Response!$A:$M,12,)</f>
        <v>Yes</v>
      </c>
      <c r="Q719" t="str">
        <f>VLOOKUP(A719,Response!$A:$M,11,)</f>
        <v>Siruseri</v>
      </c>
      <c r="R719" t="s">
        <v>19</v>
      </c>
      <c r="S719" t="s">
        <v>38</v>
      </c>
    </row>
    <row r="720" spans="1:19">
      <c r="A720" s="3">
        <v>2533005</v>
      </c>
      <c r="B720" t="str">
        <f>VLOOKUP(A720,File!$A:$J,2,FALSE)</f>
        <v>Sriman Narayana Mandala</v>
      </c>
      <c r="C720" s="29">
        <f>VLOOKUP(A720,File!$A:$J,5,FALSE)</f>
        <v>46259</v>
      </c>
      <c r="D720" s="29" t="str">
        <f>VLOOKUP(A720,File!$A:$J,3,FALSE)</f>
        <v>Male</v>
      </c>
      <c r="E720" s="29" t="str">
        <f>VLOOKUP(A720,File!$A:$J,4,FALSE)</f>
        <v>FTE</v>
      </c>
      <c r="F720" s="29" t="str">
        <f>VLOOKUP(A720,File!$A:$J,6,FALSE)</f>
        <v>Chennai</v>
      </c>
      <c r="G720" s="29" t="str">
        <f>VLOOKUP(A720,File!$A:$J,7,FALSE)</f>
        <v>CIS26MBG004</v>
      </c>
      <c r="H720" s="29" t="str">
        <f>VLOOKUP(A720,File!$A:$J,8,FALSE)</f>
        <v>Kishorekumar P</v>
      </c>
      <c r="I720" s="31">
        <f>VLOOKUP(A720,File!$A:$J,9,FALSE)</f>
        <v>46367</v>
      </c>
      <c r="J720" s="31" t="str">
        <f>VLOOKUP(A720,File!$A:$K,11,FALSE)</f>
        <v>Dec 2026</v>
      </c>
      <c r="K720" s="31" t="str">
        <f>VLOOKUP(A720,File!$A:$K,10,FALSE)</f>
        <v>In-Training</v>
      </c>
      <c r="L720" s="31" t="s">
        <v>4</v>
      </c>
      <c r="M720" t="str">
        <f>VLOOKUP(A720,Response!$A:$M,7,)</f>
        <v>PG (Paying Guest)</v>
      </c>
      <c r="N720" t="str">
        <f>VLOOKUP(A720,Response!$A:$M,8,)</f>
        <v>Olympia opaline apartment , moonstone olympia opaline , navalur .</v>
      </c>
      <c r="O720" s="4">
        <f>VLOOKUP(A720,Response!$A:$M,10,)</f>
        <v>5</v>
      </c>
      <c r="P720" t="str">
        <f>VLOOKUP(A720,Response!$A:$M,12,)</f>
        <v>No</v>
      </c>
      <c r="Q720" t="str">
        <f>VLOOKUP(A720,Response!$A:$M,11,)</f>
        <v>Navalur</v>
      </c>
      <c r="R720" t="s">
        <v>19</v>
      </c>
      <c r="S720" s="39" t="s">
        <v>37</v>
      </c>
    </row>
    <row r="721" spans="1:19">
      <c r="A721" s="3">
        <v>2533056</v>
      </c>
      <c r="B721" t="str">
        <f>VLOOKUP(A721,File!$A:$J,2,FALSE)</f>
        <v>Sankrishna Kuchana</v>
      </c>
      <c r="C721" s="29">
        <f>VLOOKUP(A721,File!$A:$J,5,FALSE)</f>
        <v>46259</v>
      </c>
      <c r="D721" s="29" t="str">
        <f>VLOOKUP(A721,File!$A:$J,3,FALSE)</f>
        <v>Male</v>
      </c>
      <c r="E721" s="29" t="str">
        <f>VLOOKUP(A721,File!$A:$J,4,FALSE)</f>
        <v>FTE</v>
      </c>
      <c r="F721" s="29" t="str">
        <f>VLOOKUP(A721,File!$A:$J,6,FALSE)</f>
        <v>Chennai</v>
      </c>
      <c r="G721" s="29" t="str">
        <f>VLOOKUP(A721,File!$A:$J,7,FALSE)</f>
        <v>IOT26CSJ002</v>
      </c>
      <c r="H721" s="29" t="str">
        <f>VLOOKUP(A721,File!$A:$J,8,FALSE)</f>
        <v>Pavithra Kandasamy</v>
      </c>
      <c r="I721" s="31">
        <f>VLOOKUP(A721,File!$A:$J,9,FALSE)</f>
        <v>46337</v>
      </c>
      <c r="J721" s="31" t="str">
        <f>VLOOKUP(A721,File!$A:$K,11,FALSE)</f>
        <v>Nov 2026</v>
      </c>
      <c r="K721" s="31" t="str">
        <f>VLOOKUP(A721,File!$A:$K,10,FALSE)</f>
        <v>In-Training</v>
      </c>
      <c r="L721" s="31" t="s">
        <v>5</v>
      </c>
      <c r="M721" t="str">
        <f>VLOOKUP(A721,Response!$A:$M,7,)</f>
        <v>Rented House/Apartment</v>
      </c>
      <c r="N721" t="str">
        <f>VLOOKUP(A721,Response!$A:$M,8,)</f>
        <v>olympia opaline moonstone</v>
      </c>
      <c r="O721" s="4">
        <f>VLOOKUP(A721,Response!$A:$M,10,)</f>
        <v>5</v>
      </c>
      <c r="P721" t="str">
        <f>VLOOKUP(A721,Response!$A:$M,12,)</f>
        <v>No</v>
      </c>
      <c r="Q721" t="str">
        <f>VLOOKUP(A721,Response!$A:$M,11,)</f>
        <v>Navalur</v>
      </c>
      <c r="R721" t="s">
        <v>19</v>
      </c>
      <c r="S721" t="s">
        <v>38</v>
      </c>
    </row>
    <row r="722" spans="1:19">
      <c r="A722" s="3">
        <v>2521213</v>
      </c>
      <c r="B722" t="str">
        <f>VLOOKUP(A722,File!$A:$J,2,FALSE)</f>
        <v>Yash Deorao Barbate</v>
      </c>
      <c r="C722" s="29">
        <f>VLOOKUP(A722,File!$A:$J,5,FALSE)</f>
        <v>46210</v>
      </c>
      <c r="D722" s="29" t="str">
        <f>VLOOKUP(A722,File!$A:$J,3,FALSE)</f>
        <v>Male</v>
      </c>
      <c r="E722" s="29" t="str">
        <f>VLOOKUP(A722,File!$A:$J,4,FALSE)</f>
        <v>FTE</v>
      </c>
      <c r="F722" s="29" t="str">
        <f>VLOOKUP(A722,File!$A:$J,6,FALSE)</f>
        <v>Chennai</v>
      </c>
      <c r="G722" s="29" t="str">
        <f>VLOOKUP(A722,File!$A:$J,7,FALSE)</f>
        <v>CS26CS007</v>
      </c>
      <c r="H722" s="29" t="str">
        <f>VLOOKUP(A722,File!$A:$J,8,FALSE)</f>
        <v>Lawrance M</v>
      </c>
      <c r="I722" s="31">
        <f>VLOOKUP(A722,File!$A:$J,9,FALSE)</f>
        <v>46272</v>
      </c>
      <c r="J722" s="31" t="str">
        <f>VLOOKUP(A722,File!$A:$K,11,FALSE)</f>
        <v>Sep 2026</v>
      </c>
      <c r="K722" s="31" t="str">
        <f>VLOOKUP(A722,File!$A:$K,10,FALSE)</f>
        <v>In-Training</v>
      </c>
      <c r="L722" s="31" t="s">
        <v>5</v>
      </c>
      <c r="M722" t="str">
        <f>VLOOKUP(A722,Response!$A:$M,7,)</f>
        <v>Relatives Residence</v>
      </c>
      <c r="N722" t="str">
        <f>VLOOKUP(A722,Response!$A:$M,8,)</f>
        <v>Olympia Opaline, OMR Road, Navalur</v>
      </c>
      <c r="O722" s="4">
        <f>VLOOKUP(A722,Response!$A:$M,10,)</f>
        <v>18</v>
      </c>
      <c r="P722" t="str">
        <f>VLOOKUP(A722,Response!$A:$M,12,)</f>
        <v>Yes</v>
      </c>
      <c r="Q722" t="str">
        <f>VLOOKUP(A722,Response!$A:$M,11,)</f>
        <v>Navalur</v>
      </c>
      <c r="R722" t="s">
        <v>19</v>
      </c>
      <c r="S722" t="s">
        <v>38</v>
      </c>
    </row>
    <row r="723" spans="1:19">
      <c r="A723" s="3">
        <v>2480307</v>
      </c>
      <c r="B723" t="str">
        <f>VLOOKUP(A723,File!$A:$J,2,FALSE)</f>
        <v>Nandhitha B</v>
      </c>
      <c r="C723" s="29">
        <f>VLOOKUP(A723,File!$A:$J,5,FALSE)</f>
        <v>46254</v>
      </c>
      <c r="D723" s="29" t="str">
        <f>VLOOKUP(A723,File!$A:$J,3,FALSE)</f>
        <v>Female</v>
      </c>
      <c r="E723" s="29" t="str">
        <f>VLOOKUP(A723,File!$A:$J,4,FALSE)</f>
        <v>CSD</v>
      </c>
      <c r="F723" s="29" t="str">
        <f>VLOOKUP(A723,File!$A:$J,6,FALSE)</f>
        <v>Chennai</v>
      </c>
      <c r="G723" s="29" t="str">
        <f>VLOOKUP(A723,File!$A:$J,7,FALSE)</f>
        <v>INTFE26FE001</v>
      </c>
      <c r="H723" s="29" t="str">
        <f>VLOOKUP(A723,File!$A:$J,8,FALSE)</f>
        <v>Grace Esther S</v>
      </c>
      <c r="I723" s="31">
        <f>VLOOKUP(A723,File!$A:$J,9,FALSE)</f>
        <v>46310</v>
      </c>
      <c r="J723" s="31" t="str">
        <f>VLOOKUP(A723,File!$A:$K,11,FALSE)</f>
        <v>Oct 2026</v>
      </c>
      <c r="K723" s="31" t="str">
        <f>VLOOKUP(A723,File!$A:$K,10,FALSE)</f>
        <v>In-Training</v>
      </c>
      <c r="L723" s="31" t="s">
        <v>5</v>
      </c>
      <c r="M723" t="str">
        <f>VLOOKUP(A723,Response!$A:$M,7,)</f>
        <v>Permanent Residence (House/Home)</v>
      </c>
      <c r="N723" t="str">
        <f>VLOOKUP(A723,Response!$A:$M,8,)</f>
        <v>Own House</v>
      </c>
      <c r="O723" s="4">
        <f>VLOOKUP(A723,Response!$A:$M,10,)</f>
        <v>1</v>
      </c>
      <c r="P723" t="str">
        <f>VLOOKUP(A723,Response!$A:$M,12,)</f>
        <v>Yes</v>
      </c>
      <c r="Q723" t="str">
        <f>VLOOKUP(A723,Response!$A:$M,11,)</f>
        <v>Tambaram</v>
      </c>
      <c r="S723" t="s">
        <v>38</v>
      </c>
    </row>
    <row r="724" spans="1:19">
      <c r="A724" s="3">
        <v>2511315</v>
      </c>
      <c r="B724" t="str">
        <f>VLOOKUP(A724,File!$A:$J,2,FALSE)</f>
        <v>Mohammed Thanish K</v>
      </c>
      <c r="C724" s="29">
        <f>VLOOKUP(A724,File!$A:$J,5,FALSE)</f>
        <v>46163</v>
      </c>
      <c r="D724" s="29" t="str">
        <f>VLOOKUP(A724,File!$A:$J,3,FALSE)</f>
        <v>Male</v>
      </c>
      <c r="E724" s="29" t="str">
        <f>VLOOKUP(A724,File!$A:$J,4,FALSE)</f>
        <v>FTE</v>
      </c>
      <c r="F724" s="29" t="str">
        <f>VLOOKUP(A724,File!$A:$J,6,FALSE)</f>
        <v>Chennai</v>
      </c>
      <c r="G724" s="29" t="str">
        <f>VLOOKUP(A724,File!$A:$J,7,FALSE)</f>
        <v>CIS26MCPT010</v>
      </c>
      <c r="H724" s="29" t="str">
        <f>VLOOKUP(A724,File!$A:$J,8,FALSE)</f>
        <v>Mohamed Harish</v>
      </c>
      <c r="I724" s="31">
        <f>VLOOKUP(A724,File!$A:$J,9,FALSE)</f>
        <v>46280</v>
      </c>
      <c r="J724" s="31" t="str">
        <f>VLOOKUP(A724,File!$A:$K,11,FALSE)</f>
        <v>Sep 2026</v>
      </c>
      <c r="K724" s="31" t="str">
        <f>VLOOKUP(A724,File!$A:$K,10,FALSE)</f>
        <v>In-Training</v>
      </c>
      <c r="L724" s="31" t="s">
        <v>5</v>
      </c>
      <c r="M724" t="str">
        <f>VLOOKUP(A724,Response!$A:$M,7,)</f>
        <v>Permanent Residence (House/Home)</v>
      </c>
      <c r="N724" t="str">
        <f>VLOOKUP(A724,Response!$A:$M,8,)</f>
        <v>own house, Medavakkam.</v>
      </c>
      <c r="O724" s="4" t="str">
        <f>VLOOKUP(A724,Response!$A:$M,10,)</f>
        <v>GF</v>
      </c>
      <c r="P724" t="str">
        <f>VLOOKUP(A724,Response!$A:$M,12,)</f>
        <v>Yes</v>
      </c>
      <c r="Q724" t="str">
        <f>VLOOKUP(A724,Response!$A:$M,11,)</f>
        <v>Medavakkam</v>
      </c>
      <c r="S724" t="s">
        <v>38</v>
      </c>
    </row>
    <row r="725" spans="1:19">
      <c r="A725" s="3">
        <v>2484070</v>
      </c>
      <c r="B725" t="str">
        <f>VLOOKUP(A725,File!$A:$J,2,FALSE)</f>
        <v>Umar Ashif M</v>
      </c>
      <c r="C725" s="29">
        <f>VLOOKUP(A725,File!$A:$J,5,FALSE)</f>
        <v>46067</v>
      </c>
      <c r="D725" s="29" t="str">
        <f>VLOOKUP(A725,File!$A:$J,3,FALSE)</f>
        <v>Male</v>
      </c>
      <c r="E725" s="29" t="str">
        <f>VLOOKUP(A725,File!$A:$J,4,FALSE)</f>
        <v>FTE</v>
      </c>
      <c r="F725" s="29" t="str">
        <f>VLOOKUP(A725,File!$A:$J,6,FALSE)</f>
        <v>Chennai</v>
      </c>
      <c r="G725" s="29" t="str">
        <f>VLOOKUP(A725,File!$A:$J,7,FALSE)</f>
        <v>QEA26QEPT023</v>
      </c>
      <c r="H725" s="29" t="str">
        <f>VLOOKUP(A725,File!$A:$J,8,FALSE)</f>
        <v>Sweta Thoppil</v>
      </c>
      <c r="I725" s="31">
        <f>VLOOKUP(A725,File!$A:$J,9,FALSE)</f>
        <v>46314</v>
      </c>
      <c r="J725" s="31" t="str">
        <f>VLOOKUP(A725,File!$A:$K,11,FALSE)</f>
        <v>Oct 2026</v>
      </c>
      <c r="K725" s="31" t="str">
        <f>VLOOKUP(A725,File!$A:$K,10,FALSE)</f>
        <v>In-Training</v>
      </c>
      <c r="L725" s="31" t="s">
        <v>5</v>
      </c>
      <c r="M725" t="str">
        <f>VLOOKUP(A725,Response!$A:$M,7,)</f>
        <v>Permanent Residence (House/Home)</v>
      </c>
      <c r="N725" t="str">
        <f>VLOOKUP(A725,Response!$A:$M,8,)</f>
        <v>Own house ,</v>
      </c>
      <c r="O725" s="4" t="str">
        <f>VLOOKUP(A725,Response!$A:$M,10,)</f>
        <v>GF</v>
      </c>
      <c r="P725" t="str">
        <f>VLOOKUP(A725,Response!$A:$M,12,)</f>
        <v>Yes</v>
      </c>
      <c r="Q725" t="str">
        <f>VLOOKUP(A725,Response!$A:$M,11,)</f>
        <v>Perumbakkam</v>
      </c>
      <c r="S725" t="s">
        <v>38</v>
      </c>
    </row>
    <row r="726" spans="1:19">
      <c r="A726" s="3">
        <v>2520948</v>
      </c>
      <c r="B726" t="str">
        <f>VLOOKUP(A726,File!$A:$J,2,FALSE)</f>
        <v>Mayur Sanjay Lad</v>
      </c>
      <c r="C726" s="29">
        <f>VLOOKUP(A726,File!$A:$J,5,FALSE)</f>
        <v>46210</v>
      </c>
      <c r="D726" s="29" t="str">
        <f>VLOOKUP(A726,File!$A:$J,3,FALSE)</f>
        <v>Male</v>
      </c>
      <c r="E726" s="29" t="str">
        <f>VLOOKUP(A726,File!$A:$J,4,FALSE)</f>
        <v>FTE</v>
      </c>
      <c r="F726" s="29" t="str">
        <f>VLOOKUP(A726,File!$A:$J,6,FALSE)</f>
        <v>Chennai</v>
      </c>
      <c r="G726" s="29" t="str">
        <f>VLOOKUP(A726,File!$A:$J,7,FALSE)</f>
        <v>CS26CS008</v>
      </c>
      <c r="H726" s="29" t="str">
        <f>VLOOKUP(A726,File!$A:$J,8,FALSE)</f>
        <v>Kishorekumar P</v>
      </c>
      <c r="I726" s="31">
        <f>VLOOKUP(A726,File!$A:$J,9,FALSE)</f>
        <v>46323</v>
      </c>
      <c r="J726" s="31" t="str">
        <f>VLOOKUP(A726,File!$A:$K,11,FALSE)</f>
        <v>Oct 2026</v>
      </c>
      <c r="K726" s="31" t="str">
        <f>VLOOKUP(A726,File!$A:$K,10,FALSE)</f>
        <v>In-Training</v>
      </c>
      <c r="L726" s="31" t="s">
        <v>4</v>
      </c>
      <c r="M726" t="str">
        <f>VLOOKUP(A726,Response!$A:$M,7,)</f>
        <v>PG (Paying Guest)</v>
      </c>
      <c r="N726" t="str">
        <f>VLOOKUP(A726,Response!$A:$M,8,)</f>
        <v>Ozone Techno Park, 24, Rajiv Gandhi Salai, Navalur, Chennai, Tamil Nadu 600130</v>
      </c>
      <c r="O726" s="4">
        <f>VLOOKUP(A726,Response!$A:$M,10,)</f>
        <v>1</v>
      </c>
      <c r="P726" t="str">
        <f>VLOOKUP(A726,Response!$A:$M,12,)</f>
        <v>No</v>
      </c>
      <c r="Q726" t="str">
        <f>VLOOKUP(A726,Response!$A:$M,11,)</f>
        <v>Navalur</v>
      </c>
      <c r="R726" t="s">
        <v>19</v>
      </c>
      <c r="S726" s="39" t="s">
        <v>37</v>
      </c>
    </row>
    <row r="727" spans="1:19">
      <c r="A727" s="3">
        <v>2531973</v>
      </c>
      <c r="B727" t="str">
        <f>VLOOKUP(A727,File!$A:$J,2,FALSE)</f>
        <v>Hani S</v>
      </c>
      <c r="C727" s="29">
        <f>VLOOKUP(A727,File!$A:$J,5,FALSE)</f>
        <v>46254</v>
      </c>
      <c r="D727" s="29" t="str">
        <f>VLOOKUP(A727,File!$A:$J,3,FALSE)</f>
        <v>Female</v>
      </c>
      <c r="E727" s="29" t="str">
        <f>VLOOKUP(A727,File!$A:$J,4,FALSE)</f>
        <v>FTE</v>
      </c>
      <c r="F727" s="29" t="str">
        <f>VLOOKUP(A727,File!$A:$J,6,FALSE)</f>
        <v>Chennai</v>
      </c>
      <c r="G727" s="29" t="str">
        <f>VLOOKUP(A727,File!$A:$J,7,FALSE)</f>
        <v>EPS26OSP011</v>
      </c>
      <c r="H727" s="29" t="str">
        <f>VLOOKUP(A727,File!$A:$J,8,FALSE)</f>
        <v>Gayathri Ramachandran</v>
      </c>
      <c r="I727" s="31" t="str">
        <f>VLOOKUP(A727,File!$A:$J,9,FALSE)</f>
        <v/>
      </c>
      <c r="J727" s="44" t="s">
        <v>33</v>
      </c>
      <c r="K727" s="31" t="str">
        <f>VLOOKUP(A727,File!$A:$K,10,FALSE)</f>
        <v>Training - ON Hold</v>
      </c>
      <c r="L727" s="31" t="s">
        <v>5</v>
      </c>
      <c r="M727" t="str">
        <f>VLOOKUP(A727,Response!$A:$M,7,)</f>
        <v>Rented House/Apartment</v>
      </c>
      <c r="N727" t="str">
        <f>VLOOKUP(A727,Response!$A:$M,8,)</f>
        <v>PARIMALA ELLAM</v>
      </c>
      <c r="O727" s="4" t="str">
        <f>VLOOKUP(A727,Response!$A:$M,10,)</f>
        <v>GF</v>
      </c>
      <c r="P727" t="str">
        <f>VLOOKUP(A727,Response!$A:$M,12,)</f>
        <v>Yes</v>
      </c>
      <c r="Q727" t="str">
        <f>VLOOKUP(A727,Response!$A:$M,11,)</f>
        <v>koyambedu</v>
      </c>
      <c r="R727" t="s">
        <v>66</v>
      </c>
      <c r="S727" s="40" t="s">
        <v>36</v>
      </c>
    </row>
    <row r="728" spans="1:19">
      <c r="A728" s="3">
        <v>2524557</v>
      </c>
      <c r="B728" t="str">
        <f>VLOOKUP(A728,File!$A:$J,2,FALSE)</f>
        <v>Sakshi Rahul Devsthali</v>
      </c>
      <c r="C728" s="29">
        <f>VLOOKUP(A728,File!$A:$J,5,FALSE)</f>
        <v>46224</v>
      </c>
      <c r="D728" s="29" t="str">
        <f>VLOOKUP(A728,File!$A:$J,3,FALSE)</f>
        <v>Female</v>
      </c>
      <c r="E728" s="29" t="str">
        <f>VLOOKUP(A728,File!$A:$J,4,FALSE)</f>
        <v>FTE</v>
      </c>
      <c r="F728" s="29" t="str">
        <f>VLOOKUP(A728,File!$A:$J,6,FALSE)</f>
        <v>Chennai</v>
      </c>
      <c r="G728" s="29" t="str">
        <f>VLOOKUP(A728,File!$A:$J,7,FALSE)</f>
        <v>QEA26QEPT024</v>
      </c>
      <c r="H728" s="29" t="str">
        <f>VLOOKUP(A728,File!$A:$J,8,FALSE)</f>
        <v>Ajiesya D P</v>
      </c>
      <c r="I728" s="31">
        <f>VLOOKUP(A728,File!$A:$J,9,FALSE)</f>
        <v>46330</v>
      </c>
      <c r="J728" s="31" t="str">
        <f>VLOOKUP(A728,File!$A:$K,11,FALSE)</f>
        <v>Nov 2026</v>
      </c>
      <c r="K728" s="31" t="str">
        <f>VLOOKUP(A728,File!$A:$K,10,FALSE)</f>
        <v>In-Training</v>
      </c>
      <c r="L728" s="31" t="s">
        <v>4</v>
      </c>
      <c r="M728" t="str">
        <f>VLOOKUP(A728,Response!$A:$M,7,)</f>
        <v>PG (Paying Guest)</v>
      </c>
      <c r="N728" t="str">
        <f>VLOOKUP(A728,Response!$A:$M,8,)</f>
        <v>Parin ladies pg</v>
      </c>
      <c r="O728" s="4">
        <f>VLOOKUP(A728,Response!$A:$M,10,)</f>
        <v>1</v>
      </c>
      <c r="P728" t="str">
        <f>VLOOKUP(A728,Response!$A:$M,12,)</f>
        <v>No</v>
      </c>
      <c r="Q728" t="str">
        <f>VLOOKUP(A728,Response!$A:$M,11,)</f>
        <v>Egattur</v>
      </c>
      <c r="R728" t="s">
        <v>19</v>
      </c>
      <c r="S728" s="39" t="s">
        <v>37</v>
      </c>
    </row>
    <row r="729" spans="1:19">
      <c r="A729" s="3">
        <v>2512333</v>
      </c>
      <c r="B729" t="str">
        <f>VLOOKUP(A729,File!$A:$J,2,FALSE)</f>
        <v>Vadlakunta Veda</v>
      </c>
      <c r="C729" s="29">
        <f>VLOOKUP(A729,File!$A:$J,5,FALSE)</f>
        <v>46170</v>
      </c>
      <c r="D729" s="29" t="str">
        <f>VLOOKUP(A729,File!$A:$J,3,FALSE)</f>
        <v>Female</v>
      </c>
      <c r="E729" s="29" t="str">
        <f>VLOOKUP(A729,File!$A:$J,4,FALSE)</f>
        <v>FTE</v>
      </c>
      <c r="F729" s="29" t="str">
        <f>VLOOKUP(A729,File!$A:$J,6,FALSE)</f>
        <v>Chennai</v>
      </c>
      <c r="G729" s="29" t="str">
        <f>VLOOKUP(A729,File!$A:$J,7,FALSE)</f>
        <v>CIS26MCPT011</v>
      </c>
      <c r="H729" s="29" t="str">
        <f>VLOOKUP(A729,File!$A:$J,8,FALSE)</f>
        <v>Uma Venkatachalam</v>
      </c>
      <c r="I729" s="31">
        <f>VLOOKUP(A729,File!$A:$J,9,FALSE)</f>
        <v>46282</v>
      </c>
      <c r="J729" s="31" t="str">
        <f>VLOOKUP(A729,File!$A:$K,11,FALSE)</f>
        <v>Sep 2026</v>
      </c>
      <c r="K729" s="31" t="str">
        <f>VLOOKUP(A729,File!$A:$K,10,FALSE)</f>
        <v>In-Training</v>
      </c>
      <c r="L729" s="31" t="s">
        <v>4</v>
      </c>
      <c r="M729" t="str">
        <f>VLOOKUP(A729,Response!$A:$M,7,)</f>
        <v>PG (Paying Guest)</v>
      </c>
      <c r="N729" t="str">
        <f>VLOOKUP(A729,Response!$A:$M,8,)</f>
        <v>Parin Luxury Ladies Pg</v>
      </c>
      <c r="O729" s="4">
        <f>VLOOKUP(A729,Response!$A:$M,10,)</f>
        <v>1</v>
      </c>
      <c r="P729" t="str">
        <f>VLOOKUP(A729,Response!$A:$M,12,)</f>
        <v>No</v>
      </c>
      <c r="Q729" t="str">
        <f>VLOOKUP(A729,Response!$A:$M,11,)</f>
        <v>Egattur</v>
      </c>
      <c r="R729" t="s">
        <v>19</v>
      </c>
      <c r="S729" s="39" t="s">
        <v>37</v>
      </c>
    </row>
    <row r="730" spans="1:19">
      <c r="A730" s="3">
        <v>2524542</v>
      </c>
      <c r="B730" t="str">
        <f>VLOOKUP(A730,File!$A:$J,2,FALSE)</f>
        <v>Shruti Jagannath Shinde</v>
      </c>
      <c r="C730" s="29">
        <f>VLOOKUP(A730,File!$A:$J,5,FALSE)</f>
        <v>46224</v>
      </c>
      <c r="D730" s="29" t="str">
        <f>VLOOKUP(A730,File!$A:$J,3,FALSE)</f>
        <v>Female</v>
      </c>
      <c r="E730" s="29" t="str">
        <f>VLOOKUP(A730,File!$A:$J,4,FALSE)</f>
        <v>FTE</v>
      </c>
      <c r="F730" s="29" t="str">
        <f>VLOOKUP(A730,File!$A:$J,6,FALSE)</f>
        <v>Chennai</v>
      </c>
      <c r="G730" s="29" t="str">
        <f>VLOOKUP(A730,File!$A:$J,7,FALSE)</f>
        <v>QEA26QEPT024</v>
      </c>
      <c r="H730" s="29" t="str">
        <f>VLOOKUP(A730,File!$A:$J,8,FALSE)</f>
        <v>Ajiesya D P</v>
      </c>
      <c r="I730" s="31">
        <f>VLOOKUP(A730,File!$A:$J,9,FALSE)</f>
        <v>46330</v>
      </c>
      <c r="J730" s="31" t="str">
        <f>VLOOKUP(A730,File!$A:$K,11,FALSE)</f>
        <v>Nov 2026</v>
      </c>
      <c r="K730" s="31" t="str">
        <f>VLOOKUP(A730,File!$A:$K,10,FALSE)</f>
        <v>In-Training</v>
      </c>
      <c r="L730" s="31" t="s">
        <v>4</v>
      </c>
      <c r="M730" t="str">
        <f>VLOOKUP(A730,Response!$A:$M,7,)</f>
        <v>PG (Paying Guest)</v>
      </c>
      <c r="N730" t="str">
        <f>VLOOKUP(A730,Response!$A:$M,8,)</f>
        <v>Parin luxury ladies pg</v>
      </c>
      <c r="O730" s="4">
        <f>VLOOKUP(A730,Response!$A:$M,10,)</f>
        <v>1</v>
      </c>
      <c r="P730" t="str">
        <f>VLOOKUP(A730,Response!$A:$M,12,)</f>
        <v>No</v>
      </c>
      <c r="Q730" t="str">
        <f>VLOOKUP(A730,Response!$A:$M,11,)</f>
        <v>Egattur</v>
      </c>
      <c r="R730" t="s">
        <v>19</v>
      </c>
      <c r="S730" s="39" t="s">
        <v>37</v>
      </c>
    </row>
    <row r="731" spans="1:19">
      <c r="A731" s="3">
        <v>2525037</v>
      </c>
      <c r="B731" t="str">
        <f>VLOOKUP(A731,File!$A:$J,2,FALSE)</f>
        <v>Janani N</v>
      </c>
      <c r="C731" s="29">
        <f>VLOOKUP(A731,File!$A:$J,5,FALSE)</f>
        <v>46226</v>
      </c>
      <c r="D731" s="29" t="str">
        <f>VLOOKUP(A731,File!$A:$J,3,FALSE)</f>
        <v>Female</v>
      </c>
      <c r="E731" s="29" t="str">
        <f>VLOOKUP(A731,File!$A:$J,4,FALSE)</f>
        <v>FTE</v>
      </c>
      <c r="F731" s="29" t="str">
        <f>VLOOKUP(A731,File!$A:$J,6,FALSE)</f>
        <v>Chennai</v>
      </c>
      <c r="G731" s="29" t="str">
        <f>VLOOKUP(A731,File!$A:$J,7,FALSE)</f>
        <v>ADM26ISMO010</v>
      </c>
      <c r="H731" s="29" t="str">
        <f>VLOOKUP(A731,File!$A:$J,8,FALSE)</f>
        <v>Thomas Naveen. J</v>
      </c>
      <c r="I731" s="31">
        <f>VLOOKUP(A731,File!$A:$J,9,FALSE)</f>
        <v>46301</v>
      </c>
      <c r="J731" s="31" t="str">
        <f>VLOOKUP(A731,File!$A:$K,11,FALSE)</f>
        <v>Oct 2026</v>
      </c>
      <c r="K731" s="31" t="str">
        <f>VLOOKUP(A731,File!$A:$K,10,FALSE)</f>
        <v>In-Training</v>
      </c>
      <c r="L731" s="31" t="s">
        <v>4</v>
      </c>
      <c r="M731" t="str">
        <f>VLOOKUP(A731,Response!$A:$M,7,)</f>
        <v>PG (Paying Guest)</v>
      </c>
      <c r="N731" t="str">
        <f>VLOOKUP(A731,Response!$A:$M,8,)</f>
        <v>Parin Luxury Ladies Pg</v>
      </c>
      <c r="O731" s="4">
        <f>VLOOKUP(A731,Response!$A:$M,10,)</f>
        <v>1</v>
      </c>
      <c r="P731" t="str">
        <f>VLOOKUP(A731,Response!$A:$M,12,)</f>
        <v>No</v>
      </c>
      <c r="Q731" t="str">
        <f>VLOOKUP(A731,Response!$A:$M,11,)</f>
        <v>Egattur</v>
      </c>
      <c r="R731" t="s">
        <v>19</v>
      </c>
      <c r="S731" s="39" t="s">
        <v>37</v>
      </c>
    </row>
    <row r="732" spans="1:19">
      <c r="A732" s="3">
        <v>2519580</v>
      </c>
      <c r="B732" t="str">
        <f>VLOOKUP(A732,File!$A:$J,2,FALSE)</f>
        <v>P Divitha</v>
      </c>
      <c r="C732" s="29">
        <f>VLOOKUP(A732,File!$A:$J,5,FALSE)</f>
        <v>46205</v>
      </c>
      <c r="D732" s="29" t="str">
        <f>VLOOKUP(A732,File!$A:$J,3,FALSE)</f>
        <v>Female</v>
      </c>
      <c r="E732" s="29" t="str">
        <f>VLOOKUP(A732,File!$A:$J,4,FALSE)</f>
        <v>FTE</v>
      </c>
      <c r="F732" s="29" t="str">
        <f>VLOOKUP(A732,File!$A:$J,6,FALSE)</f>
        <v>Chennai</v>
      </c>
      <c r="G732" s="29" t="str">
        <f>VLOOKUP(A732,File!$A:$J,7,FALSE)</f>
        <v>CIS26UNIX003</v>
      </c>
      <c r="H732" s="29" t="str">
        <f>VLOOKUP(A732,File!$A:$J,8,FALSE)</f>
        <v>Haritha P</v>
      </c>
      <c r="I732" s="31">
        <f>VLOOKUP(A732,File!$A:$J,9,FALSE)</f>
        <v>46289</v>
      </c>
      <c r="J732" s="31" t="str">
        <f>VLOOKUP(A732,File!$A:$K,11,FALSE)</f>
        <v>Sep 2026</v>
      </c>
      <c r="K732" s="31" t="str">
        <f>VLOOKUP(A732,File!$A:$K,10,FALSE)</f>
        <v>In-Training</v>
      </c>
      <c r="L732" s="31" t="s">
        <v>4</v>
      </c>
      <c r="M732" t="str">
        <f>VLOOKUP(A732,Response!$A:$M,7,)</f>
        <v>PG (Paying Guest)</v>
      </c>
      <c r="N732" t="str">
        <f>VLOOKUP(A732,Response!$A:$M,8,)</f>
        <v xml:space="preserve">parin luxury ladies pg </v>
      </c>
      <c r="O732" s="4">
        <f>VLOOKUP(A732,Response!$A:$M,10,)</f>
        <v>3</v>
      </c>
      <c r="P732" t="str">
        <f>VLOOKUP(A732,Response!$A:$M,12,)</f>
        <v>No</v>
      </c>
      <c r="Q732" t="str">
        <f>VLOOKUP(A732,Response!$A:$M,11,)</f>
        <v>Egattur</v>
      </c>
      <c r="R732" t="s">
        <v>19</v>
      </c>
      <c r="S732" s="39" t="s">
        <v>37</v>
      </c>
    </row>
    <row r="733" spans="1:19">
      <c r="A733" s="3">
        <v>2524970</v>
      </c>
      <c r="B733" t="str">
        <f>VLOOKUP(A733,File!$A:$J,2,FALSE)</f>
        <v>Tanzeela Naaz A I</v>
      </c>
      <c r="C733" s="29">
        <f>VLOOKUP(A733,File!$A:$J,5,FALSE)</f>
        <v>46226</v>
      </c>
      <c r="D733" s="29" t="str">
        <f>VLOOKUP(A733,File!$A:$J,3,FALSE)</f>
        <v>Female</v>
      </c>
      <c r="E733" s="29" t="str">
        <f>VLOOKUP(A733,File!$A:$J,4,FALSE)</f>
        <v>FTE</v>
      </c>
      <c r="F733" s="29" t="str">
        <f>VLOOKUP(A733,File!$A:$J,6,FALSE)</f>
        <v>Chennai</v>
      </c>
      <c r="G733" s="29" t="str">
        <f>VLOOKUP(A733,File!$A:$J,7,FALSE)</f>
        <v>CIS26DWP023</v>
      </c>
      <c r="H733" s="29" t="str">
        <f>VLOOKUP(A733,File!$A:$J,8,FALSE)</f>
        <v>Geebiga B</v>
      </c>
      <c r="I733" s="31">
        <f>VLOOKUP(A733,File!$A:$J,9,FALSE)</f>
        <v>46282</v>
      </c>
      <c r="J733" s="31" t="str">
        <f>VLOOKUP(A733,File!$A:$K,11,FALSE)</f>
        <v>Sep 2026</v>
      </c>
      <c r="K733" s="31" t="str">
        <f>VLOOKUP(A733,File!$A:$K,10,FALSE)</f>
        <v>In-Training</v>
      </c>
      <c r="L733" s="31" t="s">
        <v>4</v>
      </c>
      <c r="M733" t="str">
        <f>VLOOKUP(A733,Response!$A:$M,7,)</f>
        <v>PG (Paying Guest)</v>
      </c>
      <c r="N733" t="str">
        <f>VLOOKUP(A733,Response!$A:$M,8,)</f>
        <v>Parin Luxury Ladies pg Egattur</v>
      </c>
      <c r="O733" s="4">
        <f>VLOOKUP(A733,Response!$A:$M,10,)</f>
        <v>4</v>
      </c>
      <c r="P733" t="str">
        <f>VLOOKUP(A733,Response!$A:$M,12,)</f>
        <v>Yes</v>
      </c>
      <c r="Q733" t="str">
        <f>VLOOKUP(A733,Response!$A:$M,11,)</f>
        <v>Siruseri</v>
      </c>
      <c r="R733" t="s">
        <v>19</v>
      </c>
      <c r="S733" s="39" t="s">
        <v>37</v>
      </c>
    </row>
    <row r="734" spans="1:19">
      <c r="A734" s="3">
        <v>2529564</v>
      </c>
      <c r="B734" t="str">
        <f>VLOOKUP(A734,File!$A:$J,2,FALSE)</f>
        <v>Anushka Shankarrao Shinde</v>
      </c>
      <c r="C734" s="29">
        <f>VLOOKUP(A734,File!$A:$J,5,FALSE)</f>
        <v>46245</v>
      </c>
      <c r="D734" s="29" t="str">
        <f>VLOOKUP(A734,File!$A:$J,3,FALSE)</f>
        <v>Female</v>
      </c>
      <c r="E734" s="29" t="str">
        <f>VLOOKUP(A734,File!$A:$J,4,FALSE)</f>
        <v>FTE</v>
      </c>
      <c r="F734" s="29" t="str">
        <f>VLOOKUP(A734,File!$A:$J,6,FALSE)</f>
        <v>Chennai</v>
      </c>
      <c r="G734" s="29" t="str">
        <f>VLOOKUP(A734,File!$A:$J,7,FALSE)</f>
        <v>CIS26MCPT023</v>
      </c>
      <c r="H734" s="29" t="str">
        <f>VLOOKUP(A734,File!$A:$J,8,FALSE)</f>
        <v>Kishorekumar P</v>
      </c>
      <c r="I734" s="31">
        <f>VLOOKUP(A734,File!$A:$J,9,FALSE)</f>
        <v>46359</v>
      </c>
      <c r="J734" s="31" t="str">
        <f>VLOOKUP(A734,File!$A:$K,11,FALSE)</f>
        <v>Dec 2026</v>
      </c>
      <c r="K734" s="31" t="str">
        <f>VLOOKUP(A734,File!$A:$K,10,FALSE)</f>
        <v>In-Training</v>
      </c>
      <c r="L734" s="31" t="s">
        <v>4</v>
      </c>
      <c r="M734" t="str">
        <f>VLOOKUP(A734,Response!$A:$M,7,)</f>
        <v>PG (Paying Guest)</v>
      </c>
      <c r="N734" t="str">
        <f>VLOOKUP(A734,Response!$A:$M,8,)</f>
        <v>Parin Luxury Ladies PG, Palandi Amman Koil St, Egattur, Chennai, Tamil Nadu</v>
      </c>
      <c r="O734" s="4">
        <f>VLOOKUP(A734,Response!$A:$M,10,)</f>
        <v>1</v>
      </c>
      <c r="P734" t="str">
        <f>VLOOKUP(A734,Response!$A:$M,12,)</f>
        <v>No</v>
      </c>
      <c r="Q734" t="str">
        <f>VLOOKUP(A734,Response!$A:$M,11,)</f>
        <v>Egattur</v>
      </c>
      <c r="R734" t="s">
        <v>19</v>
      </c>
      <c r="S734" s="39" t="s">
        <v>37</v>
      </c>
    </row>
    <row r="735" spans="1:19">
      <c r="A735" s="3">
        <v>2519655</v>
      </c>
      <c r="B735" t="str">
        <f>VLOOKUP(A735,File!$A:$J,2,FALSE)</f>
        <v>Deepa R</v>
      </c>
      <c r="C735" s="29">
        <f>VLOOKUP(A735,File!$A:$J,5,FALSE)</f>
        <v>46205</v>
      </c>
      <c r="D735" s="29" t="str">
        <f>VLOOKUP(A735,File!$A:$J,3,FALSE)</f>
        <v>Female</v>
      </c>
      <c r="E735" s="29" t="str">
        <f>VLOOKUP(A735,File!$A:$J,4,FALSE)</f>
        <v>FTE</v>
      </c>
      <c r="F735" s="29" t="str">
        <f>VLOOKUP(A735,File!$A:$J,6,FALSE)</f>
        <v>Chennai</v>
      </c>
      <c r="G735" s="29" t="str">
        <f>VLOOKUP(A735,File!$A:$J,7,FALSE)</f>
        <v>CIS26UNIX003</v>
      </c>
      <c r="H735" s="29" t="str">
        <f>VLOOKUP(A735,File!$A:$J,8,FALSE)</f>
        <v>Haritha P</v>
      </c>
      <c r="I735" s="31">
        <f>VLOOKUP(A735,File!$A:$J,9,FALSE)</f>
        <v>46289</v>
      </c>
      <c r="J735" s="31" t="str">
        <f>VLOOKUP(A735,File!$A:$K,11,FALSE)</f>
        <v>Sep 2026</v>
      </c>
      <c r="K735" s="31" t="str">
        <f>VLOOKUP(A735,File!$A:$K,10,FALSE)</f>
        <v>In-Training</v>
      </c>
      <c r="L735" s="31" t="s">
        <v>4</v>
      </c>
      <c r="M735" t="str">
        <f>VLOOKUP(A735,Response!$A:$M,7,)</f>
        <v>PG (Paying Guest)</v>
      </c>
      <c r="N735" t="str">
        <f>VLOOKUP(A735,Response!$A:$M,8,)</f>
        <v>Parin Luxury Ladies PG-Egattur Branch</v>
      </c>
      <c r="O735" s="4">
        <f>VLOOKUP(A735,Response!$A:$M,10,)</f>
        <v>3</v>
      </c>
      <c r="P735" t="str">
        <f>VLOOKUP(A735,Response!$A:$M,12,)</f>
        <v>No</v>
      </c>
      <c r="Q735" t="str">
        <f>VLOOKUP(A735,Response!$A:$M,11,)</f>
        <v>Egattur</v>
      </c>
      <c r="R735" t="s">
        <v>19</v>
      </c>
      <c r="S735" s="39" t="s">
        <v>37</v>
      </c>
    </row>
    <row r="736" spans="1:19">
      <c r="A736" s="3">
        <v>2525098</v>
      </c>
      <c r="B736" t="str">
        <f>VLOOKUP(A736,File!$A:$J,2,FALSE)</f>
        <v>Rakshitha R</v>
      </c>
      <c r="C736" s="29">
        <f>VLOOKUP(A736,File!$A:$J,5,FALSE)</f>
        <v>46226</v>
      </c>
      <c r="D736" s="29" t="str">
        <f>VLOOKUP(A736,File!$A:$J,3,FALSE)</f>
        <v>Female</v>
      </c>
      <c r="E736" s="29" t="str">
        <f>VLOOKUP(A736,File!$A:$J,4,FALSE)</f>
        <v>FTE</v>
      </c>
      <c r="F736" s="29" t="str">
        <f>VLOOKUP(A736,File!$A:$J,6,FALSE)</f>
        <v>Chennai</v>
      </c>
      <c r="G736" s="29" t="str">
        <f>VLOOKUP(A736,File!$A:$J,7,FALSE)</f>
        <v>CIS26DWP023</v>
      </c>
      <c r="H736" s="29" t="str">
        <f>VLOOKUP(A736,File!$A:$J,8,FALSE)</f>
        <v>Geebiga B</v>
      </c>
      <c r="I736" s="31">
        <f>VLOOKUP(A736,File!$A:$J,9,FALSE)</f>
        <v>46282</v>
      </c>
      <c r="J736" s="31" t="str">
        <f>VLOOKUP(A736,File!$A:$K,11,FALSE)</f>
        <v>Sep 2026</v>
      </c>
      <c r="K736" s="31" t="str">
        <f>VLOOKUP(A736,File!$A:$K,10,FALSE)</f>
        <v>In-Training</v>
      </c>
      <c r="L736" s="31" t="s">
        <v>4</v>
      </c>
      <c r="M736" t="str">
        <f>VLOOKUP(A736,Response!$A:$M,7,)</f>
        <v>PG (Paying Guest)</v>
      </c>
      <c r="N736" t="str">
        <f>VLOOKUP(A736,Response!$A:$M,8,)</f>
        <v xml:space="preserve">Parins Luxury Ladies PG, Egattur </v>
      </c>
      <c r="O736" s="4">
        <f>VLOOKUP(A736,Response!$A:$M,10,)</f>
        <v>4</v>
      </c>
      <c r="P736" t="str">
        <f>VLOOKUP(A736,Response!$A:$M,12,)</f>
        <v>Yes</v>
      </c>
      <c r="Q736" t="str">
        <f>VLOOKUP(A736,Response!$A:$M,11,)</f>
        <v>Egattur</v>
      </c>
      <c r="R736" t="s">
        <v>19</v>
      </c>
      <c r="S736" s="39" t="s">
        <v>37</v>
      </c>
    </row>
    <row r="737" spans="1:19">
      <c r="A737" s="3">
        <v>2521701</v>
      </c>
      <c r="B737" t="str">
        <f>VLOOKUP(A737,File!$A:$J,2,FALSE)</f>
        <v>Prachi Soni</v>
      </c>
      <c r="C737" s="29">
        <f>VLOOKUP(A737,File!$A:$J,5,FALSE)</f>
        <v>46212</v>
      </c>
      <c r="D737" s="29" t="str">
        <f>VLOOKUP(A737,File!$A:$J,3,FALSE)</f>
        <v>Female</v>
      </c>
      <c r="E737" s="29" t="str">
        <f>VLOOKUP(A737,File!$A:$J,4,FALSE)</f>
        <v>FTE</v>
      </c>
      <c r="F737" s="29" t="str">
        <f>VLOOKUP(A737,File!$A:$J,6,FALSE)</f>
        <v>Chennai</v>
      </c>
      <c r="G737" s="29" t="str">
        <f>VLOOKUP(A737,File!$A:$J,7,FALSE)</f>
        <v>ADM26MF010</v>
      </c>
      <c r="H737" s="29" t="str">
        <f>VLOOKUP(A737,File!$A:$J,8,FALSE)</f>
        <v>Thomas Naveen. J</v>
      </c>
      <c r="I737" s="31">
        <f>VLOOKUP(A737,File!$A:$J,9,FALSE)</f>
        <v>46328</v>
      </c>
      <c r="J737" s="31" t="str">
        <f>VLOOKUP(A737,File!$A:$K,11,FALSE)</f>
        <v>Nov 2026</v>
      </c>
      <c r="K737" s="31" t="str">
        <f>VLOOKUP(A737,File!$A:$K,10,FALSE)</f>
        <v>In-Training</v>
      </c>
      <c r="L737" s="31" t="s">
        <v>4</v>
      </c>
      <c r="M737" t="str">
        <f>VLOOKUP(A737,Response!$A:$M,7,)</f>
        <v>PG (Paying Guest)</v>
      </c>
      <c r="N737" t="str">
        <f>VLOOKUP(A737,Response!$A:$M,8,)</f>
        <v>PARIYAR ST , EGATTUR , UTHANDI, EGATTUR ,TAMIL NADU , 600130</v>
      </c>
      <c r="O737" s="4">
        <f>VLOOKUP(A737,Response!$A:$M,10,)</f>
        <v>3</v>
      </c>
      <c r="P737" t="str">
        <f>VLOOKUP(A737,Response!$A:$M,12,)</f>
        <v>No</v>
      </c>
      <c r="Q737" t="str">
        <f>VLOOKUP(A737,Response!$A:$M,11,)</f>
        <v>Egattur</v>
      </c>
      <c r="R737" t="s">
        <v>19</v>
      </c>
      <c r="S737" s="39" t="s">
        <v>37</v>
      </c>
    </row>
    <row r="738" spans="1:19">
      <c r="A738" s="3">
        <v>2511227</v>
      </c>
      <c r="B738" t="str">
        <f>VLOOKUP(A738,File!$A:$J,2,FALSE)</f>
        <v>Shahrukh Ahmed</v>
      </c>
      <c r="C738" s="29">
        <f>VLOOKUP(A738,File!$A:$J,5,FALSE)</f>
        <v>46163</v>
      </c>
      <c r="D738" s="29" t="str">
        <f>VLOOKUP(A738,File!$A:$J,3,FALSE)</f>
        <v>Male</v>
      </c>
      <c r="E738" s="29" t="str">
        <f>VLOOKUP(A738,File!$A:$J,4,FALSE)</f>
        <v>FTE</v>
      </c>
      <c r="F738" s="29" t="str">
        <f>VLOOKUP(A738,File!$A:$J,6,FALSE)</f>
        <v>Chennai</v>
      </c>
      <c r="G738" s="29" t="str">
        <f>VLOOKUP(A738,File!$A:$J,7,FALSE)</f>
        <v>CIS26MCPT010</v>
      </c>
      <c r="H738" s="29" t="str">
        <f>VLOOKUP(A738,File!$A:$J,8,FALSE)</f>
        <v>Mohamed Harish</v>
      </c>
      <c r="I738" s="31">
        <f>VLOOKUP(A738,File!$A:$J,9,FALSE)</f>
        <v>46275</v>
      </c>
      <c r="J738" s="31" t="str">
        <f>VLOOKUP(A738,File!$A:$K,11,FALSE)</f>
        <v>Sep 2026</v>
      </c>
      <c r="K738" s="31" t="str">
        <f>VLOOKUP(A738,File!$A:$K,10,FALSE)</f>
        <v>In-Training</v>
      </c>
      <c r="L738" s="31" t="s">
        <v>4</v>
      </c>
      <c r="M738" t="str">
        <f>VLOOKUP(A738,Response!$A:$M,7,)</f>
        <v>PG (Paying Guest)</v>
      </c>
      <c r="N738" t="str">
        <f>VLOOKUP(A738,Response!$A:$M,8,)</f>
        <v>Pasanga Paradise PG - Branch 1, Egattur</v>
      </c>
      <c r="O738" s="4">
        <f>VLOOKUP(A738,Response!$A:$M,10,)</f>
        <v>1</v>
      </c>
      <c r="P738" t="str">
        <f>VLOOKUP(A738,Response!$A:$M,12,)</f>
        <v>Yes</v>
      </c>
      <c r="Q738" t="str">
        <f>VLOOKUP(A738,Response!$A:$M,11,)</f>
        <v>Egattur</v>
      </c>
      <c r="R738" t="s">
        <v>19</v>
      </c>
      <c r="S738" s="39" t="s">
        <v>37</v>
      </c>
    </row>
    <row r="739" spans="1:19">
      <c r="A739" s="3">
        <v>2529694</v>
      </c>
      <c r="B739" t="str">
        <f>VLOOKUP(A739,File!$A:$J,2,FALSE)</f>
        <v>Rishi Prasad Sahani</v>
      </c>
      <c r="C739" s="29">
        <f>VLOOKUP(A739,File!$A:$J,5,FALSE)</f>
        <v>46245</v>
      </c>
      <c r="D739" s="29" t="str">
        <f>VLOOKUP(A739,File!$A:$J,3,FALSE)</f>
        <v>Male</v>
      </c>
      <c r="E739" s="29" t="str">
        <f>VLOOKUP(A739,File!$A:$J,4,FALSE)</f>
        <v>FTE</v>
      </c>
      <c r="F739" s="29" t="str">
        <f>VLOOKUP(A739,File!$A:$J,6,FALSE)</f>
        <v>Chennai</v>
      </c>
      <c r="G739" s="29" t="str">
        <f>VLOOKUP(A739,File!$A:$J,7,FALSE)</f>
        <v>CIS26AZ001</v>
      </c>
      <c r="H739" s="29" t="str">
        <f>VLOOKUP(A739,File!$A:$J,8,FALSE)</f>
        <v>Ashiya Begam S</v>
      </c>
      <c r="I739" s="31">
        <f>VLOOKUP(A739,File!$A:$J,9,FALSE)</f>
        <v>46335</v>
      </c>
      <c r="J739" s="31" t="str">
        <f>VLOOKUP(A739,File!$A:$K,11,FALSE)</f>
        <v>Nov 2026</v>
      </c>
      <c r="K739" s="31" t="str">
        <f>VLOOKUP(A739,File!$A:$K,10,FALSE)</f>
        <v>In-Training</v>
      </c>
      <c r="L739" s="31" t="s">
        <v>4</v>
      </c>
      <c r="M739" t="str">
        <f>VLOOKUP(A739,Response!$A:$M,7,)</f>
        <v>PG (Paying Guest)</v>
      </c>
      <c r="N739" t="str">
        <f>VLOOKUP(A739,Response!$A:$M,8,)</f>
        <v>Pasanga Paradise PG - Branch 1, Egattur</v>
      </c>
      <c r="O739" s="4">
        <f>VLOOKUP(A739,Response!$A:$M,10,)</f>
        <v>1</v>
      </c>
      <c r="P739" t="str">
        <f>VLOOKUP(A739,Response!$A:$M,12,)</f>
        <v>No</v>
      </c>
      <c r="Q739" t="str">
        <f>VLOOKUP(A739,Response!$A:$M,11,)</f>
        <v>Egattur</v>
      </c>
      <c r="R739" t="s">
        <v>19</v>
      </c>
      <c r="S739" s="39" t="s">
        <v>37</v>
      </c>
    </row>
    <row r="740" spans="1:19">
      <c r="A740" s="3">
        <v>2532938</v>
      </c>
      <c r="B740" t="str">
        <f>VLOOKUP(A740,File!$A:$J,2,FALSE)</f>
        <v>Pavul Chinnappan D</v>
      </c>
      <c r="C740" s="29">
        <f>VLOOKUP(A740,File!$A:$J,5,FALSE)</f>
        <v>46259</v>
      </c>
      <c r="D740" s="29" t="str">
        <f>VLOOKUP(A740,File!$A:$J,3,FALSE)</f>
        <v>Male</v>
      </c>
      <c r="E740" s="29" t="str">
        <f>VLOOKUP(A740,File!$A:$J,4,FALSE)</f>
        <v>FTE</v>
      </c>
      <c r="F740" s="29" t="str">
        <f>VLOOKUP(A740,File!$A:$J,6,FALSE)</f>
        <v>Chennai</v>
      </c>
      <c r="G740" s="29" t="str">
        <f>VLOOKUP(A740,File!$A:$J,7,FALSE)</f>
        <v>CIS26MBG005</v>
      </c>
      <c r="H740" s="29" t="str">
        <f>VLOOKUP(A740,File!$A:$J,8,FALSE)</f>
        <v>Angel Maria Faustina Gomez</v>
      </c>
      <c r="I740" s="31">
        <f>VLOOKUP(A740,File!$A:$J,9,FALSE)</f>
        <v>46367</v>
      </c>
      <c r="J740" s="31" t="str">
        <f>VLOOKUP(A740,File!$A:$K,11,FALSE)</f>
        <v>Dec 2026</v>
      </c>
      <c r="K740" s="31" t="str">
        <f>VLOOKUP(A740,File!$A:$K,10,FALSE)</f>
        <v>In-Training</v>
      </c>
      <c r="L740" s="31" t="s">
        <v>4</v>
      </c>
      <c r="M740" t="str">
        <f>VLOOKUP(A740,Response!$A:$M,7,)</f>
        <v>PG (Paying Guest)</v>
      </c>
      <c r="N740" t="str">
        <f>VLOOKUP(A740,Response!$A:$M,8,)</f>
        <v>Pasanga Paradise PG - Branch 1, Egattur</v>
      </c>
      <c r="O740" s="4">
        <f>VLOOKUP(A740,Response!$A:$M,10,)</f>
        <v>2</v>
      </c>
      <c r="P740" t="str">
        <f>VLOOKUP(A740,Response!$A:$M,12,)</f>
        <v>No</v>
      </c>
      <c r="Q740" t="str">
        <f>VLOOKUP(A740,Response!$A:$M,11,)</f>
        <v>Egattur</v>
      </c>
      <c r="R740" t="s">
        <v>19</v>
      </c>
      <c r="S740" s="39" t="s">
        <v>37</v>
      </c>
    </row>
    <row r="741" spans="1:19">
      <c r="A741" s="3">
        <v>2521800</v>
      </c>
      <c r="B741" t="str">
        <f>VLOOKUP(A741,File!$A:$J,2,FALSE)</f>
        <v>Manoj Priyan Jeyaraman</v>
      </c>
      <c r="C741" s="29">
        <f>VLOOKUP(A741,File!$A:$J,5,FALSE)</f>
        <v>46212</v>
      </c>
      <c r="D741" s="29" t="str">
        <f>VLOOKUP(A741,File!$A:$J,3,FALSE)</f>
        <v>Male</v>
      </c>
      <c r="E741" s="29" t="str">
        <f>VLOOKUP(A741,File!$A:$J,4,FALSE)</f>
        <v>FTE</v>
      </c>
      <c r="F741" s="29" t="str">
        <f>VLOOKUP(A741,File!$A:$J,6,FALSE)</f>
        <v>Chennai</v>
      </c>
      <c r="G741" s="29" t="str">
        <f>VLOOKUP(A741,File!$A:$J,7,FALSE)</f>
        <v>QEA26QEPT023</v>
      </c>
      <c r="H741" s="29" t="str">
        <f>VLOOKUP(A741,File!$A:$J,8,FALSE)</f>
        <v>Sweta Thoppil</v>
      </c>
      <c r="I741" s="31">
        <f>VLOOKUP(A741,File!$A:$J,9,FALSE)</f>
        <v>46314</v>
      </c>
      <c r="J741" s="31" t="str">
        <f>VLOOKUP(A741,File!$A:$K,11,FALSE)</f>
        <v>Oct 2026</v>
      </c>
      <c r="K741" s="31" t="str">
        <f>VLOOKUP(A741,File!$A:$K,10,FALSE)</f>
        <v>In-Training</v>
      </c>
      <c r="L741" s="31" t="s">
        <v>4</v>
      </c>
      <c r="M741" t="str">
        <f>VLOOKUP(A741,Response!$A:$M,7,)</f>
        <v>PG (Paying Guest)</v>
      </c>
      <c r="N741" t="str">
        <f>VLOOKUP(A741,Response!$A:$M,8,)</f>
        <v>Pasanga Paradise PG - Branch 1, Egattur</v>
      </c>
      <c r="O741" s="4">
        <f>VLOOKUP(A741,Response!$A:$M,10,)</f>
        <v>3</v>
      </c>
      <c r="P741" t="str">
        <f>VLOOKUP(A741,Response!$A:$M,12,)</f>
        <v>No</v>
      </c>
      <c r="Q741" t="str">
        <f>VLOOKUP(A741,Response!$A:$M,11,)</f>
        <v>Egattur</v>
      </c>
      <c r="R741" t="s">
        <v>19</v>
      </c>
      <c r="S741" s="39" t="s">
        <v>37</v>
      </c>
    </row>
    <row r="742" spans="1:19">
      <c r="A742" s="3">
        <v>2524603</v>
      </c>
      <c r="B742" t="str">
        <f>VLOOKUP(A742,File!$A:$J,2,FALSE)</f>
        <v>Arjun Dattatray Aware</v>
      </c>
      <c r="C742" s="29">
        <f>VLOOKUP(A742,File!$A:$J,5,FALSE)</f>
        <v>46224</v>
      </c>
      <c r="D742" s="29" t="str">
        <f>VLOOKUP(A742,File!$A:$J,3,FALSE)</f>
        <v>Male</v>
      </c>
      <c r="E742" s="29" t="str">
        <f>VLOOKUP(A742,File!$A:$J,4,FALSE)</f>
        <v>FTE</v>
      </c>
      <c r="F742" s="29" t="str">
        <f>VLOOKUP(A742,File!$A:$J,6,FALSE)</f>
        <v>Chennai</v>
      </c>
      <c r="G742" s="29" t="str">
        <f>VLOOKUP(A742,File!$A:$J,7,FALSE)</f>
        <v>QEA26QEPT024</v>
      </c>
      <c r="H742" s="29" t="str">
        <f>VLOOKUP(A742,File!$A:$J,8,FALSE)</f>
        <v>Ajiesya D P</v>
      </c>
      <c r="I742" s="31">
        <f>VLOOKUP(A742,File!$A:$J,9,FALSE)</f>
        <v>46325</v>
      </c>
      <c r="J742" s="31" t="str">
        <f>VLOOKUP(A742,File!$A:$K,11,FALSE)</f>
        <v>Oct 2026</v>
      </c>
      <c r="K742" s="31" t="str">
        <f>VLOOKUP(A742,File!$A:$K,10,FALSE)</f>
        <v>In-Training</v>
      </c>
      <c r="L742" s="31" t="s">
        <v>4</v>
      </c>
      <c r="M742" t="str">
        <f>VLOOKUP(A742,Response!$A:$M,7,)</f>
        <v>PG (Paying Guest)</v>
      </c>
      <c r="N742" t="str">
        <f>VLOOKUP(A742,Response!$A:$M,8,)</f>
        <v>Pasanga Paradise PG - Branch 1, Egattur</v>
      </c>
      <c r="O742" s="4">
        <f>VLOOKUP(A742,Response!$A:$M,10,)</f>
        <v>4</v>
      </c>
      <c r="P742" t="str">
        <f>VLOOKUP(A742,Response!$A:$M,12,)</f>
        <v>No</v>
      </c>
      <c r="Q742" t="str">
        <f>VLOOKUP(A742,Response!$A:$M,11,)</f>
        <v>Siruseri</v>
      </c>
      <c r="R742" t="s">
        <v>19</v>
      </c>
      <c r="S742" s="39" t="s">
        <v>37</v>
      </c>
    </row>
    <row r="743" spans="1:19">
      <c r="A743" s="3">
        <v>2519642</v>
      </c>
      <c r="B743" t="str">
        <f>VLOOKUP(A743,File!$A:$J,2,FALSE)</f>
        <v>Nikhilan A</v>
      </c>
      <c r="C743" s="29">
        <f>VLOOKUP(A743,File!$A:$J,5,FALSE)</f>
        <v>46205</v>
      </c>
      <c r="D743" s="29" t="str">
        <f>VLOOKUP(A743,File!$A:$J,3,FALSE)</f>
        <v>Male</v>
      </c>
      <c r="E743" s="29" t="str">
        <f>VLOOKUP(A743,File!$A:$J,4,FALSE)</f>
        <v>FTE</v>
      </c>
      <c r="F743" s="29" t="str">
        <f>VLOOKUP(A743,File!$A:$J,6,FALSE)</f>
        <v>Chennai</v>
      </c>
      <c r="G743" s="29" t="str">
        <f>VLOOKUP(A743,File!$A:$J,7,FALSE)</f>
        <v>CIS26UNIX004</v>
      </c>
      <c r="H743" s="29" t="str">
        <f>VLOOKUP(A743,File!$A:$J,8,FALSE)</f>
        <v>Haritha P</v>
      </c>
      <c r="I743" s="31">
        <f>VLOOKUP(A743,File!$A:$J,9,FALSE)</f>
        <v>46289</v>
      </c>
      <c r="J743" s="31" t="str">
        <f>VLOOKUP(A743,File!$A:$K,11,FALSE)</f>
        <v>Sep 2026</v>
      </c>
      <c r="K743" s="31" t="str">
        <f>VLOOKUP(A743,File!$A:$K,10,FALSE)</f>
        <v>In-Training</v>
      </c>
      <c r="L743" s="31" t="s">
        <v>4</v>
      </c>
      <c r="M743" t="str">
        <f>VLOOKUP(A743,Response!$A:$M,7,)</f>
        <v>PG (Paying Guest)</v>
      </c>
      <c r="N743" t="str">
        <f>VLOOKUP(A743,Response!$A:$M,8,)</f>
        <v>Pasanga Paradise PG - Branch 1, Egattur</v>
      </c>
      <c r="O743" s="4">
        <f>VLOOKUP(A743,Response!$A:$M,10,)</f>
        <v>4</v>
      </c>
      <c r="P743" t="str">
        <f>VLOOKUP(A743,Response!$A:$M,12,)</f>
        <v>Yes</v>
      </c>
      <c r="Q743" t="str">
        <f>VLOOKUP(A743,Response!$A:$M,11,)</f>
        <v>Siruseri</v>
      </c>
      <c r="R743" t="s">
        <v>19</v>
      </c>
      <c r="S743" s="39" t="s">
        <v>37</v>
      </c>
    </row>
    <row r="744" spans="1:19">
      <c r="A744" s="3">
        <v>2522807</v>
      </c>
      <c r="B744" t="str">
        <f>VLOOKUP(A744,File!$A:$J,2,FALSE)</f>
        <v>Deva Murugan</v>
      </c>
      <c r="C744" s="29">
        <f>VLOOKUP(A744,File!$A:$J,5,FALSE)</f>
        <v>46217</v>
      </c>
      <c r="D744" s="29" t="str">
        <f>VLOOKUP(A744,File!$A:$J,3,FALSE)</f>
        <v>Male</v>
      </c>
      <c r="E744" s="29" t="str">
        <f>VLOOKUP(A744,File!$A:$J,4,FALSE)</f>
        <v>FTE</v>
      </c>
      <c r="F744" s="29" t="str">
        <f>VLOOKUP(A744,File!$A:$J,6,FALSE)</f>
        <v>Chennai</v>
      </c>
      <c r="G744" s="29" t="str">
        <f>VLOOKUP(A744,File!$A:$J,7,FALSE)</f>
        <v>CIS26MCPT017</v>
      </c>
      <c r="H744" s="29" t="str">
        <f>VLOOKUP(A744,File!$A:$J,8,FALSE)</f>
        <v>Haritha P</v>
      </c>
      <c r="I744" s="31">
        <f>VLOOKUP(A744,File!$A:$J,9,FALSE)</f>
        <v>46335</v>
      </c>
      <c r="J744" s="31" t="str">
        <f>VLOOKUP(A744,File!$A:$K,11,FALSE)</f>
        <v>Nov 2026</v>
      </c>
      <c r="K744" s="31" t="str">
        <f>VLOOKUP(A744,File!$A:$K,10,FALSE)</f>
        <v>In-Training</v>
      </c>
      <c r="L744" s="31" t="s">
        <v>4</v>
      </c>
      <c r="M744" t="str">
        <f>VLOOKUP(A744,Response!$A:$M,7,)</f>
        <v>PG (Paying Guest)</v>
      </c>
      <c r="N744" t="str">
        <f>VLOOKUP(A744,Response!$A:$M,8,)</f>
        <v>Pasanga Paradise PG - Branch 1, Egattur</v>
      </c>
      <c r="O744" s="4" t="str">
        <f>VLOOKUP(A744,Response!$A:$M,10,)</f>
        <v>GF</v>
      </c>
      <c r="P744" t="str">
        <f>VLOOKUP(A744,Response!$A:$M,12,)</f>
        <v>Yes</v>
      </c>
      <c r="Q744" t="str">
        <f>VLOOKUP(A744,Response!$A:$M,11,)</f>
        <v>Egattur</v>
      </c>
      <c r="R744" t="s">
        <v>19</v>
      </c>
      <c r="S744" s="39" t="s">
        <v>37</v>
      </c>
    </row>
    <row r="745" spans="1:19">
      <c r="A745" s="3">
        <v>2518816</v>
      </c>
      <c r="B745" t="str">
        <f>VLOOKUP(A745,File!$A:$J,2,FALSE)</f>
        <v>Jolly Jebastin J</v>
      </c>
      <c r="C745" s="29">
        <f>VLOOKUP(A745,File!$A:$J,5,FALSE)</f>
        <v>46203</v>
      </c>
      <c r="D745" s="29" t="str">
        <f>VLOOKUP(A745,File!$A:$J,3,FALSE)</f>
        <v>Male</v>
      </c>
      <c r="E745" s="29" t="str">
        <f>VLOOKUP(A745,File!$A:$J,4,FALSE)</f>
        <v>FTE</v>
      </c>
      <c r="F745" s="29" t="str">
        <f>VLOOKUP(A745,File!$A:$J,6,FALSE)</f>
        <v>Chennai</v>
      </c>
      <c r="G745" s="29" t="str">
        <f>VLOOKUP(A745,File!$A:$J,7,FALSE)</f>
        <v>CIS26SB001</v>
      </c>
      <c r="H745" s="29" t="str">
        <f>VLOOKUP(A745,File!$A:$J,8,FALSE)</f>
        <v>Kishorekumar P</v>
      </c>
      <c r="I745" s="31">
        <f>VLOOKUP(A745,File!$A:$J,9,FALSE)</f>
        <v>46309</v>
      </c>
      <c r="J745" s="31" t="str">
        <f>VLOOKUP(A745,File!$A:$K,11,FALSE)</f>
        <v>Oct 2026</v>
      </c>
      <c r="K745" s="31" t="str">
        <f>VLOOKUP(A745,File!$A:$K,10,FALSE)</f>
        <v>In-Training</v>
      </c>
      <c r="L745" s="31" t="s">
        <v>4</v>
      </c>
      <c r="M745" t="str">
        <f>VLOOKUP(A745,Response!$A:$M,7,)</f>
        <v>PG (Paying Guest)</v>
      </c>
      <c r="N745" t="str">
        <f>VLOOKUP(A745,Response!$A:$M,8,)</f>
        <v>Pasanga Paradise PG - Branch 2, Egattur</v>
      </c>
      <c r="O745" s="4">
        <f>VLOOKUP(A745,Response!$A:$M,10,)</f>
        <v>4</v>
      </c>
      <c r="P745" t="str">
        <f>VLOOKUP(A745,Response!$A:$M,12,)</f>
        <v>Yes</v>
      </c>
      <c r="Q745" t="str">
        <f>VLOOKUP(A745,Response!$A:$M,11,)</f>
        <v>Egattur</v>
      </c>
      <c r="R745" t="s">
        <v>19</v>
      </c>
      <c r="S745" s="39" t="s">
        <v>37</v>
      </c>
    </row>
    <row r="746" spans="1:19">
      <c r="A746" s="3">
        <v>2511302</v>
      </c>
      <c r="B746" t="str">
        <f>VLOOKUP(A746,File!$A:$J,2,FALSE)</f>
        <v>Srivarshan LNU</v>
      </c>
      <c r="C746" s="29">
        <f>VLOOKUP(A746,File!$A:$J,5,FALSE)</f>
        <v>46163</v>
      </c>
      <c r="D746" s="29" t="str">
        <f>VLOOKUP(A746,File!$A:$J,3,FALSE)</f>
        <v>Male</v>
      </c>
      <c r="E746" s="29" t="str">
        <f>VLOOKUP(A746,File!$A:$J,4,FALSE)</f>
        <v>FTE</v>
      </c>
      <c r="F746" s="29" t="str">
        <f>VLOOKUP(A746,File!$A:$J,6,FALSE)</f>
        <v>Chennai</v>
      </c>
      <c r="G746" s="29" t="str">
        <f>VLOOKUP(A746,File!$A:$J,7,FALSE)</f>
        <v>CIS26MCPT010</v>
      </c>
      <c r="H746" s="29" t="str">
        <f>VLOOKUP(A746,File!$A:$J,8,FALSE)</f>
        <v>Mohamed Harish</v>
      </c>
      <c r="I746" s="31">
        <f>VLOOKUP(A746,File!$A:$J,9,FALSE)</f>
        <v>46280</v>
      </c>
      <c r="J746" s="31" t="str">
        <f>VLOOKUP(A746,File!$A:$K,11,FALSE)</f>
        <v>Sep 2026</v>
      </c>
      <c r="K746" s="31" t="str">
        <f>VLOOKUP(A746,File!$A:$K,10,FALSE)</f>
        <v>In-Training</v>
      </c>
      <c r="L746" s="31" t="s">
        <v>5</v>
      </c>
      <c r="M746" t="str">
        <f>VLOOKUP(A746,Response!$A:$M,7,)</f>
        <v>Permanent Residence (House/Home)</v>
      </c>
      <c r="N746" t="str">
        <f>VLOOKUP(A746,Response!$A:$M,8,)</f>
        <v>Permanent house</v>
      </c>
      <c r="O746" s="4">
        <f>VLOOKUP(A746,Response!$A:$M,10,)</f>
        <v>1</v>
      </c>
      <c r="P746" t="str">
        <f>VLOOKUP(A746,Response!$A:$M,12,)</f>
        <v>Yes</v>
      </c>
      <c r="Q746" t="str">
        <f>VLOOKUP(A746,Response!$A:$M,11,)</f>
        <v>Siruseri</v>
      </c>
      <c r="R746" t="s">
        <v>19</v>
      </c>
      <c r="S746" t="s">
        <v>38</v>
      </c>
    </row>
    <row r="747" spans="1:19">
      <c r="A747" s="3">
        <v>2531313</v>
      </c>
      <c r="B747" t="str">
        <f>VLOOKUP(A747,File!$A:$J,2,FALSE)</f>
        <v>KV Sanjay Ragesh</v>
      </c>
      <c r="C747" s="29">
        <f>VLOOKUP(A747,File!$A:$J,5,FALSE)</f>
        <v>46252</v>
      </c>
      <c r="D747" s="29" t="str">
        <f>VLOOKUP(A747,File!$A:$J,3,FALSE)</f>
        <v>Male</v>
      </c>
      <c r="E747" s="29" t="str">
        <f>VLOOKUP(A747,File!$A:$J,4,FALSE)</f>
        <v>FTE</v>
      </c>
      <c r="F747" s="29" t="str">
        <f>VLOOKUP(A747,File!$A:$J,6,FALSE)</f>
        <v>Chennai</v>
      </c>
      <c r="G747" s="29" t="str">
        <f>VLOOKUP(A747,File!$A:$J,7,FALSE)</f>
        <v>CIS26DWP030</v>
      </c>
      <c r="H747" s="29" t="str">
        <f>VLOOKUP(A747,File!$A:$J,8,FALSE)</f>
        <v>Prokriti Biswas</v>
      </c>
      <c r="I747" s="31">
        <f>VLOOKUP(A747,File!$A:$J,9,FALSE)</f>
        <v>46324</v>
      </c>
      <c r="J747" s="31" t="str">
        <f>VLOOKUP(A747,File!$A:$K,11,FALSE)</f>
        <v>Oct 2026</v>
      </c>
      <c r="K747" s="31" t="str">
        <f>VLOOKUP(A747,File!$A:$K,10,FALSE)</f>
        <v>In-Training</v>
      </c>
      <c r="L747" s="31" t="s">
        <v>5</v>
      </c>
      <c r="M747" t="str">
        <f>VLOOKUP(A747,Response!$A:$M,7,)</f>
        <v>Permanent Residence (House/Home)</v>
      </c>
      <c r="N747" t="str">
        <f>VLOOKUP(A747,Response!$A:$M,8,)</f>
        <v>personal home</v>
      </c>
      <c r="O747" s="4">
        <f>VLOOKUP(A747,Response!$A:$M,10,)</f>
        <v>1</v>
      </c>
      <c r="P747" t="str">
        <f>VLOOKUP(A747,Response!$A:$M,12,)</f>
        <v>No</v>
      </c>
      <c r="Q747" t="str">
        <f>VLOOKUP(A747,Response!$A:$M,11,)</f>
        <v>Ekkatuthangal</v>
      </c>
      <c r="S747" t="s">
        <v>38</v>
      </c>
    </row>
    <row r="748" spans="1:19">
      <c r="A748" s="3">
        <v>2520986</v>
      </c>
      <c r="B748" t="str">
        <f>VLOOKUP(A748,File!$A:$J,2,FALSE)</f>
        <v>Dhana Bala Murugan M</v>
      </c>
      <c r="C748" s="29">
        <f>VLOOKUP(A748,File!$A:$J,5,FALSE)</f>
        <v>46210</v>
      </c>
      <c r="D748" s="29" t="str">
        <f>VLOOKUP(A748,File!$A:$J,3,FALSE)</f>
        <v>Male</v>
      </c>
      <c r="E748" s="29" t="str">
        <f>VLOOKUP(A748,File!$A:$J,4,FALSE)</f>
        <v>FTE</v>
      </c>
      <c r="F748" s="29" t="str">
        <f>VLOOKUP(A748,File!$A:$J,6,FALSE)</f>
        <v>Chennai</v>
      </c>
      <c r="G748" s="29" t="str">
        <f>VLOOKUP(A748,File!$A:$J,7,FALSE)</f>
        <v>HPC26DN005</v>
      </c>
      <c r="H748" s="29" t="str">
        <f>VLOOKUP(A748,File!$A:$J,8,FALSE)</f>
        <v>Viveka Preethi</v>
      </c>
      <c r="I748" s="31">
        <f>VLOOKUP(A748,File!$A:$J,9,FALSE)</f>
        <v>46296</v>
      </c>
      <c r="J748" s="31" t="str">
        <f>VLOOKUP(A748,File!$A:$K,11,FALSE)</f>
        <v>Oct 2026</v>
      </c>
      <c r="K748" s="31" t="str">
        <f>VLOOKUP(A748,File!$A:$K,10,FALSE)</f>
        <v>In-Training</v>
      </c>
      <c r="L748" s="31" t="s">
        <v>4</v>
      </c>
      <c r="M748" t="str">
        <f>VLOOKUP(A748,Response!$A:$M,7,)</f>
        <v>PG (Paying Guest)</v>
      </c>
      <c r="N748" t="str">
        <f>VLOOKUP(A748,Response!$A:$M,8,)</f>
        <v>Phoenix Mens Hostel</v>
      </c>
      <c r="O748" s="4">
        <f>VLOOKUP(A748,Response!$A:$M,10,)</f>
        <v>1</v>
      </c>
      <c r="P748" t="str">
        <f>VLOOKUP(A748,Response!$A:$M,12,)</f>
        <v>No</v>
      </c>
      <c r="Q748" t="str">
        <f>VLOOKUP(A748,Response!$A:$M,11,)</f>
        <v>Egattur</v>
      </c>
      <c r="R748" t="s">
        <v>19</v>
      </c>
      <c r="S748" s="39" t="s">
        <v>37</v>
      </c>
    </row>
    <row r="749" spans="1:19">
      <c r="A749" s="3">
        <v>2519669</v>
      </c>
      <c r="B749" t="str">
        <f>VLOOKUP(A749,File!$A:$J,2,FALSE)</f>
        <v>Venkatesh B</v>
      </c>
      <c r="C749" s="29">
        <f>VLOOKUP(A749,File!$A:$J,5,FALSE)</f>
        <v>46205</v>
      </c>
      <c r="D749" s="29" t="str">
        <f>VLOOKUP(A749,File!$A:$J,3,FALSE)</f>
        <v>Male</v>
      </c>
      <c r="E749" s="29" t="str">
        <f>VLOOKUP(A749,File!$A:$J,4,FALSE)</f>
        <v>FTE</v>
      </c>
      <c r="F749" s="29" t="str">
        <f>VLOOKUP(A749,File!$A:$J,6,FALSE)</f>
        <v>Chennai</v>
      </c>
      <c r="G749" s="29" t="str">
        <f>VLOOKUP(A749,File!$A:$J,7,FALSE)</f>
        <v>CIS26MCPT013</v>
      </c>
      <c r="H749" s="29" t="str">
        <f>VLOOKUP(A749,File!$A:$J,8,FALSE)</f>
        <v>Lawrance M</v>
      </c>
      <c r="I749" s="31">
        <f>VLOOKUP(A749,File!$A:$J,9,FALSE)</f>
        <v>46324</v>
      </c>
      <c r="J749" s="31" t="str">
        <f>VLOOKUP(A749,File!$A:$K,11,FALSE)</f>
        <v>Oct 2026</v>
      </c>
      <c r="K749" s="31" t="str">
        <f>VLOOKUP(A749,File!$A:$K,10,FALSE)</f>
        <v>In-Training</v>
      </c>
      <c r="L749" s="31" t="s">
        <v>4</v>
      </c>
      <c r="M749" t="str">
        <f>VLOOKUP(A749,Response!$A:$M,7,)</f>
        <v>PG (Paying Guest)</v>
      </c>
      <c r="N749" t="str">
        <f>VLOOKUP(A749,Response!$A:$M,8,)</f>
        <v>Phoenix Mens Pg Egattur</v>
      </c>
      <c r="O749" s="4">
        <f>VLOOKUP(A749,Response!$A:$M,10,)</f>
        <v>1</v>
      </c>
      <c r="P749" t="str">
        <f>VLOOKUP(A749,Response!$A:$M,12,)</f>
        <v>No</v>
      </c>
      <c r="Q749" t="str">
        <f>VLOOKUP(A749,Response!$A:$M,11,)</f>
        <v>Egattur</v>
      </c>
      <c r="R749" t="s">
        <v>19</v>
      </c>
      <c r="S749" s="39" t="s">
        <v>37</v>
      </c>
    </row>
    <row r="750" spans="1:19">
      <c r="A750" s="3">
        <v>2521659</v>
      </c>
      <c r="B750" t="str">
        <f>VLOOKUP(A750,File!$A:$J,2,FALSE)</f>
        <v>Deephika R</v>
      </c>
      <c r="C750" s="29">
        <f>VLOOKUP(A750,File!$A:$J,5,FALSE)</f>
        <v>46212</v>
      </c>
      <c r="D750" s="29" t="str">
        <f>VLOOKUP(A750,File!$A:$J,3,FALSE)</f>
        <v>Female</v>
      </c>
      <c r="E750" s="29" t="str">
        <f>VLOOKUP(A750,File!$A:$J,4,FALSE)</f>
        <v>FTE</v>
      </c>
      <c r="F750" s="29" t="str">
        <f>VLOOKUP(A750,File!$A:$J,6,FALSE)</f>
        <v>Chennai</v>
      </c>
      <c r="G750" s="29" t="str">
        <f>VLOOKUP(A750,File!$A:$J,7,FALSE)</f>
        <v>AIA26DSAT004</v>
      </c>
      <c r="H750" s="29" t="str">
        <f>VLOOKUP(A750,File!$A:$J,8,FALSE)</f>
        <v>Pavithra Kandasamy</v>
      </c>
      <c r="I750" s="31">
        <f>VLOOKUP(A750,File!$A:$J,9,FALSE)</f>
        <v>46304</v>
      </c>
      <c r="J750" s="31" t="str">
        <f>VLOOKUP(A750,File!$A:$K,11,FALSE)</f>
        <v>Oct 2026</v>
      </c>
      <c r="K750" s="31" t="str">
        <f>VLOOKUP(A750,File!$A:$K,10,FALSE)</f>
        <v>In-Training</v>
      </c>
      <c r="L750" s="31" t="s">
        <v>5</v>
      </c>
      <c r="M750" t="str">
        <f>VLOOKUP(A750,Response!$A:$M,7,)</f>
        <v>Rented House/Apartment</v>
      </c>
      <c r="N750" t="str">
        <f>VLOOKUP(A750,Response!$A:$M,8,)</f>
        <v>Plaza Verdant Phase 2, Perumbakkam</v>
      </c>
      <c r="O750" s="4">
        <f>VLOOKUP(A750,Response!$A:$M,10,)</f>
        <v>4</v>
      </c>
      <c r="P750" t="str">
        <f>VLOOKUP(A750,Response!$A:$M,12,)</f>
        <v>Yes</v>
      </c>
      <c r="Q750" t="str">
        <f>VLOOKUP(A750,Response!$A:$M,11,)</f>
        <v>Semmancheri</v>
      </c>
      <c r="R750" t="s">
        <v>17</v>
      </c>
      <c r="S750" t="s">
        <v>38</v>
      </c>
    </row>
    <row r="751" spans="1:19">
      <c r="A751" s="3">
        <v>2521846</v>
      </c>
      <c r="B751" t="str">
        <f>VLOOKUP(A751,File!$A:$J,2,FALSE)</f>
        <v>Akhil Kompally</v>
      </c>
      <c r="C751" s="29">
        <f>VLOOKUP(A751,File!$A:$J,5,FALSE)</f>
        <v>46212</v>
      </c>
      <c r="D751" s="29" t="str">
        <f>VLOOKUP(A751,File!$A:$J,3,FALSE)</f>
        <v>Male</v>
      </c>
      <c r="E751" s="29" t="str">
        <f>VLOOKUP(A751,File!$A:$J,4,FALSE)</f>
        <v>FTE</v>
      </c>
      <c r="F751" s="29" t="str">
        <f>VLOOKUP(A751,File!$A:$J,6,FALSE)</f>
        <v>Chennai</v>
      </c>
      <c r="G751" s="29" t="str">
        <f>VLOOKUP(A751,File!$A:$J,7,FALSE)</f>
        <v>QEA26DS001</v>
      </c>
      <c r="H751" s="29" t="str">
        <f>VLOOKUP(A751,File!$A:$J,8,FALSE)</f>
        <v>Lourdhu Selvin Raj X</v>
      </c>
      <c r="I751" s="31">
        <f>VLOOKUP(A751,File!$A:$J,9,FALSE)</f>
        <v>46325</v>
      </c>
      <c r="J751" s="31" t="str">
        <f>VLOOKUP(A751,File!$A:$K,11,FALSE)</f>
        <v>Oct 2026</v>
      </c>
      <c r="K751" s="31" t="str">
        <f>VLOOKUP(A751,File!$A:$K,10,FALSE)</f>
        <v>In-Training</v>
      </c>
      <c r="L751" s="31" t="s">
        <v>4</v>
      </c>
      <c r="M751" t="str">
        <f>VLOOKUP(A751,Response!$A:$M,7,)</f>
        <v>PG (Paying Guest)</v>
      </c>
      <c r="N751" t="str">
        <f>VLOOKUP(A751,Response!$A:$M,8,)</f>
        <v>Plot 48, TVH Terra Hub</v>
      </c>
      <c r="O751" s="4">
        <f>VLOOKUP(A751,Response!$A:$M,10,)</f>
        <v>3</v>
      </c>
      <c r="P751" t="str">
        <f>VLOOKUP(A751,Response!$A:$M,12,)</f>
        <v>No</v>
      </c>
      <c r="Q751" t="str">
        <f>VLOOKUP(A751,Response!$A:$M,11,)</f>
        <v>Siruseri</v>
      </c>
      <c r="R751" t="s">
        <v>19</v>
      </c>
      <c r="S751" s="39" t="s">
        <v>37</v>
      </c>
    </row>
    <row r="752" spans="1:19">
      <c r="A752" s="3">
        <v>2521094</v>
      </c>
      <c r="B752" t="str">
        <f>VLOOKUP(A752,File!$A:$J,2,FALSE)</f>
        <v>Kesara Tejaswini Reddy</v>
      </c>
      <c r="C752" s="29">
        <f>VLOOKUP(A752,File!$A:$J,5,FALSE)</f>
        <v>46210</v>
      </c>
      <c r="D752" s="29" t="str">
        <f>VLOOKUP(A752,File!$A:$J,3,FALSE)</f>
        <v>Female</v>
      </c>
      <c r="E752" s="29" t="str">
        <f>VLOOKUP(A752,File!$A:$J,4,FALSE)</f>
        <v>FTE</v>
      </c>
      <c r="F752" s="29" t="str">
        <f>VLOOKUP(A752,File!$A:$J,6,FALSE)</f>
        <v>Chennai</v>
      </c>
      <c r="G752" s="29" t="str">
        <f>VLOOKUP(A752,File!$A:$J,7,FALSE)</f>
        <v>SNBG26SN002</v>
      </c>
      <c r="H752" s="29" t="str">
        <f>VLOOKUP(A752,File!$A:$J,8,FALSE)</f>
        <v>Lawrance M</v>
      </c>
      <c r="I752" s="31">
        <f>VLOOKUP(A752,File!$A:$J,9,FALSE)</f>
        <v>46303</v>
      </c>
      <c r="J752" s="31" t="str">
        <f>VLOOKUP(A752,File!$A:$K,11,FALSE)</f>
        <v>Oct 2026</v>
      </c>
      <c r="K752" s="31" t="str">
        <f>VLOOKUP(A752,File!$A:$K,10,FALSE)</f>
        <v>In-Training</v>
      </c>
      <c r="L752" s="31" t="s">
        <v>4</v>
      </c>
      <c r="M752" t="str">
        <f>VLOOKUP(A752,Response!$A:$M,7,)</f>
        <v>PG (Paying Guest)</v>
      </c>
      <c r="N752" t="str">
        <f>VLOOKUP(A752,Response!$A:$M,8,)</f>
        <v>Plot No. 3/29, Svb Luxury Ladies Pg, Ibaco Back Side, Thiruvalluvar Street, Omr Main Road, Navalur, Chennai-600130, Tamil Nadu</v>
      </c>
      <c r="O752" s="4">
        <f>VLOOKUP(A752,Response!$A:$M,10,)</f>
        <v>2</v>
      </c>
      <c r="P752" t="str">
        <f>VLOOKUP(A752,Response!$A:$M,12,)</f>
        <v>No</v>
      </c>
      <c r="Q752" t="str">
        <f>VLOOKUP(A752,Response!$A:$M,11,)</f>
        <v>Navalur</v>
      </c>
      <c r="R752" t="s">
        <v>19</v>
      </c>
      <c r="S752" s="39" t="s">
        <v>37</v>
      </c>
    </row>
    <row r="753" spans="1:19">
      <c r="A753" s="3">
        <v>2523425</v>
      </c>
      <c r="B753" t="str">
        <f>VLOOKUP(A753,File!$A:$J,2,FALSE)</f>
        <v>Nalinkumar L</v>
      </c>
      <c r="C753" s="29">
        <f>VLOOKUP(A753,File!$A:$J,5,FALSE)</f>
        <v>46219</v>
      </c>
      <c r="D753" s="29" t="str">
        <f>VLOOKUP(A753,File!$A:$J,3,FALSE)</f>
        <v>Male</v>
      </c>
      <c r="E753" s="29" t="str">
        <f>VLOOKUP(A753,File!$A:$J,4,FALSE)</f>
        <v>FTE</v>
      </c>
      <c r="F753" s="29" t="str">
        <f>VLOOKUP(A753,File!$A:$J,6,FALSE)</f>
        <v>Chennai</v>
      </c>
      <c r="G753" s="29" t="str">
        <f>VLOOKUP(A753,File!$A:$J,7,FALSE)</f>
        <v>CS26CS009</v>
      </c>
      <c r="H753" s="29" t="str">
        <f>VLOOKUP(A753,File!$A:$J,8,FALSE)</f>
        <v>Laksiya Vijayendran</v>
      </c>
      <c r="I753" s="31">
        <f>VLOOKUP(A753,File!$A:$J,9,FALSE)</f>
        <v>46309</v>
      </c>
      <c r="J753" s="31" t="str">
        <f>VLOOKUP(A753,File!$A:$K,11,FALSE)</f>
        <v>Oct 2026</v>
      </c>
      <c r="K753" s="31" t="str">
        <f>VLOOKUP(A753,File!$A:$K,10,FALSE)</f>
        <v>In-Training</v>
      </c>
      <c r="L753" s="31" t="s">
        <v>5</v>
      </c>
      <c r="M753" t="str">
        <f>VLOOKUP(A753,Response!$A:$M,7,)</f>
        <v>Permanent Residence (House/Home)</v>
      </c>
      <c r="N753" t="str">
        <f>VLOOKUP(A753,Response!$A:$M,8,)</f>
        <v>Plot no.143, Samayapuram 7th cross street, 5th main road, Irandamkattalai, Chennai - 600128</v>
      </c>
      <c r="O753" s="4" t="str">
        <f>VLOOKUP(A753,Response!$A:$M,10,)</f>
        <v>GF</v>
      </c>
      <c r="P753" t="str">
        <f>VLOOKUP(A753,Response!$A:$M,12,)</f>
        <v>Yes</v>
      </c>
      <c r="Q753" t="str">
        <f>VLOOKUP(A753,Response!$A:$M,11,)</f>
        <v>Chromepet</v>
      </c>
      <c r="S753" t="s">
        <v>38</v>
      </c>
    </row>
    <row r="754" spans="1:19">
      <c r="A754" s="3">
        <v>2511269</v>
      </c>
      <c r="B754" t="str">
        <f>VLOOKUP(A754,File!$A:$J,2,FALSE)</f>
        <v>Saran Veerabathiran</v>
      </c>
      <c r="C754" s="29">
        <f>VLOOKUP(A754,File!$A:$J,5,FALSE)</f>
        <v>46163</v>
      </c>
      <c r="D754" s="29" t="str">
        <f>VLOOKUP(A754,File!$A:$J,3,FALSE)</f>
        <v>Male</v>
      </c>
      <c r="E754" s="29" t="str">
        <f>VLOOKUP(A754,File!$A:$J,4,FALSE)</f>
        <v>FTE</v>
      </c>
      <c r="F754" s="29" t="str">
        <f>VLOOKUP(A754,File!$A:$J,6,FALSE)</f>
        <v>Chennai</v>
      </c>
      <c r="G754" s="29" t="str">
        <f>VLOOKUP(A754,File!$A:$J,7,FALSE)</f>
        <v>CIS26MCPT010</v>
      </c>
      <c r="H754" s="29" t="str">
        <f>VLOOKUP(A754,File!$A:$J,8,FALSE)</f>
        <v>Mohamed Harish</v>
      </c>
      <c r="I754" s="31">
        <f>VLOOKUP(A754,File!$A:$J,9,FALSE)</f>
        <v>46275</v>
      </c>
      <c r="J754" s="31" t="str">
        <f>VLOOKUP(A754,File!$A:$K,11,FALSE)</f>
        <v>Sep 2026</v>
      </c>
      <c r="K754" s="31" t="str">
        <f>VLOOKUP(A754,File!$A:$K,10,FALSE)</f>
        <v>In-Training</v>
      </c>
      <c r="L754" s="31" t="s">
        <v>5</v>
      </c>
      <c r="M754" t="str">
        <f>VLOOKUP(A754,Response!$A:$M,7,)</f>
        <v>Rented House/Apartment</v>
      </c>
      <c r="N754" t="str">
        <f>VLOOKUP(A754,Response!$A:$M,8,)</f>
        <v>Plot no:2, Peramanur Village, Maraimalai Nagar</v>
      </c>
      <c r="O754" s="4" t="str">
        <f>VLOOKUP(A754,Response!$A:$M,10,)</f>
        <v>GF</v>
      </c>
      <c r="P754" t="str">
        <f>VLOOKUP(A754,Response!$A:$M,12,)</f>
        <v>Yes</v>
      </c>
      <c r="Q754" t="str">
        <f>VLOOKUP(A754,Response!$A:$M,11,)</f>
        <v>Maraimalai Nagar</v>
      </c>
      <c r="R754" t="s">
        <v>20</v>
      </c>
      <c r="S754" t="s">
        <v>38</v>
      </c>
    </row>
    <row r="755" spans="1:19">
      <c r="A755" s="3">
        <v>2532946</v>
      </c>
      <c r="B755" t="str">
        <f>VLOOKUP(A755,File!$A:$J,2,FALSE)</f>
        <v>Yogashree P</v>
      </c>
      <c r="C755" s="29">
        <f>VLOOKUP(A755,File!$A:$J,5,FALSE)</f>
        <v>46259</v>
      </c>
      <c r="D755" s="29" t="str">
        <f>VLOOKUP(A755,File!$A:$J,3,FALSE)</f>
        <v>Female</v>
      </c>
      <c r="E755" s="29" t="str">
        <f>VLOOKUP(A755,File!$A:$J,4,FALSE)</f>
        <v>FTE</v>
      </c>
      <c r="F755" s="29" t="str">
        <f>VLOOKUP(A755,File!$A:$J,6,FALSE)</f>
        <v>Chennai</v>
      </c>
      <c r="G755" s="29" t="str">
        <f>VLOOKUP(A755,File!$A:$J,7,FALSE)</f>
        <v>CIS26DWP032</v>
      </c>
      <c r="H755" s="29" t="str">
        <f>VLOOKUP(A755,File!$A:$J,8,FALSE)</f>
        <v>Aiswarya A Kumar</v>
      </c>
      <c r="I755" s="31">
        <f>VLOOKUP(A755,File!$A:$J,9,FALSE)</f>
        <v>46330</v>
      </c>
      <c r="J755" s="31" t="str">
        <f>VLOOKUP(A755,File!$A:$K,11,FALSE)</f>
        <v>Nov 2026</v>
      </c>
      <c r="K755" s="31" t="str">
        <f>VLOOKUP(A755,File!$A:$K,10,FALSE)</f>
        <v>In-Training</v>
      </c>
      <c r="L755" s="31" t="s">
        <v>5</v>
      </c>
      <c r="M755" t="str">
        <f>VLOOKUP(A755,Response!$A:$M,7,)</f>
        <v>Permanent Residence (House/Home)</v>
      </c>
      <c r="N755" t="str">
        <f>VLOOKUP(A755,Response!$A:$M,8,)</f>
        <v>Plot.103, Korattur</v>
      </c>
      <c r="O755" s="4">
        <f>VLOOKUP(A755,Response!$A:$M,10,)</f>
        <v>2</v>
      </c>
      <c r="P755" t="str">
        <f>VLOOKUP(A755,Response!$A:$M,12,)</f>
        <v>Yes</v>
      </c>
      <c r="Q755" t="str">
        <f>VLOOKUP(A755,Response!$A:$M,11,)</f>
        <v>Anna Nagar</v>
      </c>
      <c r="S755" t="s">
        <v>38</v>
      </c>
    </row>
    <row r="756" spans="1:19">
      <c r="A756" s="3">
        <v>2529622</v>
      </c>
      <c r="B756" t="str">
        <f>VLOOKUP(A756,File!$A:$J,2,FALSE)</f>
        <v>Vishwa Peniel J</v>
      </c>
      <c r="C756" s="29">
        <f>VLOOKUP(A756,File!$A:$J,5,FALSE)</f>
        <v>46245</v>
      </c>
      <c r="D756" s="29" t="str">
        <f>VLOOKUP(A756,File!$A:$J,3,FALSE)</f>
        <v>Male</v>
      </c>
      <c r="E756" s="29" t="str">
        <f>VLOOKUP(A756,File!$A:$J,4,FALSE)</f>
        <v>FTE</v>
      </c>
      <c r="F756" s="29" t="str">
        <f>VLOOKUP(A756,File!$A:$J,6,FALSE)</f>
        <v>Chennai</v>
      </c>
      <c r="G756" s="29" t="str">
        <f>VLOOKUP(A756,File!$A:$J,7,FALSE)</f>
        <v>CIS26MCPT026</v>
      </c>
      <c r="H756" s="29" t="str">
        <f>VLOOKUP(A756,File!$A:$J,8,FALSE)</f>
        <v>Mohamed Harish</v>
      </c>
      <c r="I756" s="31">
        <f>VLOOKUP(A756,File!$A:$J,9,FALSE)</f>
        <v>46364</v>
      </c>
      <c r="J756" s="31" t="str">
        <f>VLOOKUP(A756,File!$A:$K,11,FALSE)</f>
        <v>Dec 2026</v>
      </c>
      <c r="K756" s="31" t="str">
        <f>VLOOKUP(A756,File!$A:$K,10,FALSE)</f>
        <v>In-Training</v>
      </c>
      <c r="L756" s="31" t="s">
        <v>5</v>
      </c>
      <c r="M756" t="str">
        <f>VLOOKUP(A756,Response!$A:$M,7,)</f>
        <v>Rented House/Apartment</v>
      </c>
      <c r="N756" t="str">
        <f>VLOOKUP(A756,Response!$A:$M,8,)</f>
        <v>Porur</v>
      </c>
      <c r="O756" s="4" t="str">
        <f>VLOOKUP(A756,Response!$A:$M,10,)</f>
        <v>GF</v>
      </c>
      <c r="P756" t="str">
        <f>VLOOKUP(A756,Response!$A:$M,12,)</f>
        <v>Yes</v>
      </c>
      <c r="Q756" t="str">
        <f>VLOOKUP(A756,Response!$A:$M,11,)</f>
        <v>Tambaram,Porur</v>
      </c>
      <c r="R756" t="s">
        <v>63</v>
      </c>
      <c r="S756" s="40" t="s">
        <v>36</v>
      </c>
    </row>
    <row r="757" spans="1:19">
      <c r="A757" s="3">
        <v>2518819</v>
      </c>
      <c r="B757" t="str">
        <f>VLOOKUP(A757,File!$A:$J,2,FALSE)</f>
        <v>S Poojitha</v>
      </c>
      <c r="C757" s="29">
        <f>VLOOKUP(A757,File!$A:$J,5,FALSE)</f>
        <v>46203</v>
      </c>
      <c r="D757" s="29" t="str">
        <f>VLOOKUP(A757,File!$A:$J,3,FALSE)</f>
        <v>Female</v>
      </c>
      <c r="E757" s="29" t="str">
        <f>VLOOKUP(A757,File!$A:$J,4,FALSE)</f>
        <v>FTE</v>
      </c>
      <c r="F757" s="29" t="str">
        <f>VLOOKUP(A757,File!$A:$J,6,FALSE)</f>
        <v>Chennai</v>
      </c>
      <c r="G757" s="29" t="str">
        <f>VLOOKUP(A757,File!$A:$J,7,FALSE)</f>
        <v>CIS26SB001</v>
      </c>
      <c r="H757" s="29" t="str">
        <f>VLOOKUP(A757,File!$A:$J,8,FALSE)</f>
        <v>Kishorekumar P</v>
      </c>
      <c r="I757" s="31">
        <f>VLOOKUP(A757,File!$A:$J,9,FALSE)</f>
        <v>46309</v>
      </c>
      <c r="J757" s="31" t="str">
        <f>VLOOKUP(A757,File!$A:$K,11,FALSE)</f>
        <v>Oct 2026</v>
      </c>
      <c r="K757" s="31" t="str">
        <f>VLOOKUP(A757,File!$A:$K,10,FALSE)</f>
        <v>In-Training</v>
      </c>
      <c r="L757" s="31" t="s">
        <v>5</v>
      </c>
      <c r="M757" t="str">
        <f>VLOOKUP(A757,Response!$A:$M,7,)</f>
        <v>Permanent Residence (House/Home)</v>
      </c>
      <c r="N757" t="str">
        <f>VLOOKUP(A757,Response!$A:$M,8,)</f>
        <v>Praneel Indra</v>
      </c>
      <c r="O757" s="4">
        <f>VLOOKUP(A757,Response!$A:$M,10,)</f>
        <v>1</v>
      </c>
      <c r="P757" t="str">
        <f>VLOOKUP(A757,Response!$A:$M,12,)</f>
        <v>Yes</v>
      </c>
      <c r="Q757" t="str">
        <f>VLOOKUP(A757,Response!$A:$M,11,)</f>
        <v>Siruseri</v>
      </c>
      <c r="R757" t="s">
        <v>19</v>
      </c>
      <c r="S757" t="s">
        <v>38</v>
      </c>
    </row>
    <row r="758" spans="1:19">
      <c r="A758" s="3">
        <v>2516875</v>
      </c>
      <c r="B758" t="str">
        <f>VLOOKUP(A758,File!$A:$J,2,FALSE)</f>
        <v>Preeti Hombalmath</v>
      </c>
      <c r="C758" s="29">
        <f>VLOOKUP(A758,File!$A:$J,5,FALSE)</f>
        <v>46191</v>
      </c>
      <c r="D758" s="29" t="str">
        <f>VLOOKUP(A758,File!$A:$J,3,FALSE)</f>
        <v>Female</v>
      </c>
      <c r="E758" s="29" t="str">
        <f>VLOOKUP(A758,File!$A:$J,4,FALSE)</f>
        <v>FTE</v>
      </c>
      <c r="F758" s="29" t="str">
        <f>VLOOKUP(A758,File!$A:$J,6,FALSE)</f>
        <v>Chennai</v>
      </c>
      <c r="G758" s="29" t="str">
        <f>VLOOKUP(A758,File!$A:$J,7,FALSE)</f>
        <v>CIS26MW001</v>
      </c>
      <c r="H758" s="29" t="str">
        <f>VLOOKUP(A758,File!$A:$J,8,FALSE)</f>
        <v>Ashiya Begam S</v>
      </c>
      <c r="I758" s="31">
        <f>VLOOKUP(A758,File!$A:$J,9,FALSE)</f>
        <v>46276</v>
      </c>
      <c r="J758" s="31" t="str">
        <f>VLOOKUP(A758,File!$A:$K,11,FALSE)</f>
        <v>Sep 2026</v>
      </c>
      <c r="K758" s="31" t="str">
        <f>VLOOKUP(A758,File!$A:$K,10,FALSE)</f>
        <v>In-Training</v>
      </c>
      <c r="L758" s="31" t="s">
        <v>4</v>
      </c>
      <c r="M758" t="str">
        <f>VLOOKUP(A758,Response!$A:$M,7,)</f>
        <v>PG (Paying Guest)</v>
      </c>
      <c r="N758" t="str">
        <f>VLOOKUP(A758,Response!$A:$M,8,)</f>
        <v>Queen luxury PG - siruseri</v>
      </c>
      <c r="O758" s="4">
        <f>VLOOKUP(A758,Response!$A:$M,10,)</f>
        <v>2</v>
      </c>
      <c r="P758" t="str">
        <f>VLOOKUP(A758,Response!$A:$M,12,)</f>
        <v>No</v>
      </c>
      <c r="Q758" t="str">
        <f>VLOOKUP(A758,Response!$A:$M,11,)</f>
        <v>Siruseri</v>
      </c>
      <c r="R758" t="s">
        <v>19</v>
      </c>
      <c r="S758" s="39" t="s">
        <v>37</v>
      </c>
    </row>
    <row r="759" spans="1:19">
      <c r="A759" s="3">
        <v>2516851</v>
      </c>
      <c r="B759" t="str">
        <f>VLOOKUP(A759,File!$A:$J,2,FALSE)</f>
        <v>Haripriya L Gudi</v>
      </c>
      <c r="C759" s="29">
        <f>VLOOKUP(A759,File!$A:$J,5,FALSE)</f>
        <v>46191</v>
      </c>
      <c r="D759" s="29" t="str">
        <f>VLOOKUP(A759,File!$A:$J,3,FALSE)</f>
        <v>Female</v>
      </c>
      <c r="E759" s="29" t="str">
        <f>VLOOKUP(A759,File!$A:$J,4,FALSE)</f>
        <v>FTE</v>
      </c>
      <c r="F759" s="29" t="str">
        <f>VLOOKUP(A759,File!$A:$J,6,FALSE)</f>
        <v>Chennai</v>
      </c>
      <c r="G759" s="29" t="str">
        <f>VLOOKUP(A759,File!$A:$J,7,FALSE)</f>
        <v>CIS26MW001</v>
      </c>
      <c r="H759" s="29" t="str">
        <f>VLOOKUP(A759,File!$A:$J,8,FALSE)</f>
        <v>Ashiya Begam S</v>
      </c>
      <c r="I759" s="31">
        <f>VLOOKUP(A759,File!$A:$J,9,FALSE)</f>
        <v>46276</v>
      </c>
      <c r="J759" s="31" t="str">
        <f>VLOOKUP(A759,File!$A:$K,11,FALSE)</f>
        <v>Sep 2026</v>
      </c>
      <c r="K759" s="31" t="str">
        <f>VLOOKUP(A759,File!$A:$K,10,FALSE)</f>
        <v>In-Training</v>
      </c>
      <c r="L759" s="31" t="s">
        <v>4</v>
      </c>
      <c r="M759" t="str">
        <f>VLOOKUP(A759,Response!$A:$M,7,)</f>
        <v>PG (Paying Guest)</v>
      </c>
      <c r="N759" t="str">
        <f>VLOOKUP(A759,Response!$A:$M,8,)</f>
        <v>Queens ladies luxury pg</v>
      </c>
      <c r="O759" s="4">
        <f>VLOOKUP(A759,Response!$A:$M,10,)</f>
        <v>3</v>
      </c>
      <c r="P759" t="str">
        <f>VLOOKUP(A759,Response!$A:$M,12,)</f>
        <v>No</v>
      </c>
      <c r="Q759" t="str">
        <f>VLOOKUP(A759,Response!$A:$M,11,)</f>
        <v>Egattur</v>
      </c>
      <c r="R759" t="s">
        <v>19</v>
      </c>
      <c r="S759" s="39" t="s">
        <v>37</v>
      </c>
    </row>
    <row r="760" spans="1:19">
      <c r="A760" s="3">
        <v>2516872</v>
      </c>
      <c r="B760" t="str">
        <f>VLOOKUP(A760,File!$A:$J,2,FALSE)</f>
        <v>Savitri Sadashiv Santi</v>
      </c>
      <c r="C760" s="29">
        <f>VLOOKUP(A760,File!$A:$J,5,FALSE)</f>
        <v>46191</v>
      </c>
      <c r="D760" s="29" t="str">
        <f>VLOOKUP(A760,File!$A:$J,3,FALSE)</f>
        <v>Female</v>
      </c>
      <c r="E760" s="29" t="str">
        <f>VLOOKUP(A760,File!$A:$J,4,FALSE)</f>
        <v>FTE</v>
      </c>
      <c r="F760" s="29" t="str">
        <f>VLOOKUP(A760,File!$A:$J,6,FALSE)</f>
        <v>Chennai</v>
      </c>
      <c r="G760" s="29" t="str">
        <f>VLOOKUP(A760,File!$A:$J,7,FALSE)</f>
        <v>CIS26MW001</v>
      </c>
      <c r="H760" s="29" t="str">
        <f>VLOOKUP(A760,File!$A:$J,8,FALSE)</f>
        <v>Ashiya Begam S</v>
      </c>
      <c r="I760" s="31">
        <f>VLOOKUP(A760,File!$A:$J,9,FALSE)</f>
        <v>46276</v>
      </c>
      <c r="J760" s="31" t="str">
        <f>VLOOKUP(A760,File!$A:$K,11,FALSE)</f>
        <v>Sep 2026</v>
      </c>
      <c r="K760" s="31" t="str">
        <f>VLOOKUP(A760,File!$A:$K,10,FALSE)</f>
        <v>In-Training</v>
      </c>
      <c r="L760" s="31" t="s">
        <v>4</v>
      </c>
      <c r="M760" t="str">
        <f>VLOOKUP(A760,Response!$A:$M,7,)</f>
        <v>PG (Paying Guest)</v>
      </c>
      <c r="N760" t="str">
        <f>VLOOKUP(A760,Response!$A:$M,8,)</f>
        <v>Queens laxury ladies pg, Siruseri</v>
      </c>
      <c r="O760" s="4">
        <f>VLOOKUP(A760,Response!$A:$M,10,)</f>
        <v>2</v>
      </c>
      <c r="P760" t="str">
        <f>VLOOKUP(A760,Response!$A:$M,12,)</f>
        <v>No</v>
      </c>
      <c r="Q760" t="str">
        <f>VLOOKUP(A760,Response!$A:$M,11,)</f>
        <v>Siruseri</v>
      </c>
      <c r="R760" t="s">
        <v>19</v>
      </c>
      <c r="S760" s="39" t="s">
        <v>37</v>
      </c>
    </row>
    <row r="761" spans="1:19">
      <c r="A761" s="3">
        <v>2529736</v>
      </c>
      <c r="B761" t="str">
        <f>VLOOKUP(A761,File!$A:$J,2,FALSE)</f>
        <v>Nithya R</v>
      </c>
      <c r="C761" s="29">
        <f>VLOOKUP(A761,File!$A:$J,5,FALSE)</f>
        <v>46245</v>
      </c>
      <c r="D761" s="29" t="str">
        <f>VLOOKUP(A761,File!$A:$J,3,FALSE)</f>
        <v>Female</v>
      </c>
      <c r="E761" s="29" t="str">
        <f>VLOOKUP(A761,File!$A:$J,4,FALSE)</f>
        <v>FTE</v>
      </c>
      <c r="F761" s="29" t="str">
        <f>VLOOKUP(A761,File!$A:$J,6,FALSE)</f>
        <v>Chennai</v>
      </c>
      <c r="G761" s="29" t="str">
        <f>VLOOKUP(A761,File!$A:$J,7,FALSE)</f>
        <v>EPS26SAP031</v>
      </c>
      <c r="H761" s="29" t="str">
        <f>VLOOKUP(A761,File!$A:$J,8,FALSE)</f>
        <v>Akashraj R</v>
      </c>
      <c r="I761" s="31">
        <f>VLOOKUP(A761,File!$A:$J,9,FALSE)</f>
        <v>46330</v>
      </c>
      <c r="J761" s="31" t="str">
        <f>VLOOKUP(A761,File!$A:$K,11,FALSE)</f>
        <v>Nov 2026</v>
      </c>
      <c r="K761" s="31" t="str">
        <f>VLOOKUP(A761,File!$A:$K,10,FALSE)</f>
        <v>In-Training</v>
      </c>
      <c r="L761" s="31" t="s">
        <v>4</v>
      </c>
      <c r="M761" t="str">
        <f>VLOOKUP(A761,Response!$A:$M,7,)</f>
        <v>PG (Paying Guest)</v>
      </c>
      <c r="N761" t="str">
        <f>VLOOKUP(A761,Response!$A:$M,8,)</f>
        <v>Queens Luxury Ladies PG</v>
      </c>
      <c r="O761" s="4">
        <f>VLOOKUP(A761,Response!$A:$M,10,)</f>
        <v>1</v>
      </c>
      <c r="P761" t="str">
        <f>VLOOKUP(A761,Response!$A:$M,12,)</f>
        <v>No</v>
      </c>
      <c r="Q761" t="str">
        <f>VLOOKUP(A761,Response!$A:$M,11,)</f>
        <v>Siruseri</v>
      </c>
      <c r="R761" t="s">
        <v>19</v>
      </c>
      <c r="S761" s="39" t="s">
        <v>37</v>
      </c>
    </row>
    <row r="762" spans="1:19">
      <c r="A762" s="3">
        <v>2512370</v>
      </c>
      <c r="B762" t="str">
        <f>VLOOKUP(A762,File!$A:$J,2,FALSE)</f>
        <v>Aishwarya Jangampeta</v>
      </c>
      <c r="C762" s="29">
        <f>VLOOKUP(A762,File!$A:$J,5,FALSE)</f>
        <v>46170</v>
      </c>
      <c r="D762" s="29" t="str">
        <f>VLOOKUP(A762,File!$A:$J,3,FALSE)</f>
        <v>Female</v>
      </c>
      <c r="E762" s="29" t="str">
        <f>VLOOKUP(A762,File!$A:$J,4,FALSE)</f>
        <v>FTE</v>
      </c>
      <c r="F762" s="29" t="str">
        <f>VLOOKUP(A762,File!$A:$J,6,FALSE)</f>
        <v>Chennai</v>
      </c>
      <c r="G762" s="29" t="str">
        <f>VLOOKUP(A762,File!$A:$J,7,FALSE)</f>
        <v>CIS26MCPT011</v>
      </c>
      <c r="H762" s="29" t="str">
        <f>VLOOKUP(A762,File!$A:$J,8,FALSE)</f>
        <v>Uma Venkatachalam</v>
      </c>
      <c r="I762" s="31">
        <f>VLOOKUP(A762,File!$A:$J,9,FALSE)</f>
        <v>46282</v>
      </c>
      <c r="J762" s="31" t="str">
        <f>VLOOKUP(A762,File!$A:$K,11,FALSE)</f>
        <v>Sep 2026</v>
      </c>
      <c r="K762" s="31" t="str">
        <f>VLOOKUP(A762,File!$A:$K,10,FALSE)</f>
        <v>In-Training</v>
      </c>
      <c r="L762" s="31" t="s">
        <v>4</v>
      </c>
      <c r="M762" t="str">
        <f>VLOOKUP(A762,Response!$A:$M,7,)</f>
        <v>PG (Paying Guest)</v>
      </c>
      <c r="N762" t="str">
        <f>VLOOKUP(A762,Response!$A:$M,8,)</f>
        <v>Queens Luxury Ladies PG</v>
      </c>
      <c r="O762" s="4">
        <f>VLOOKUP(A762,Response!$A:$M,10,)</f>
        <v>2</v>
      </c>
      <c r="P762" t="str">
        <f>VLOOKUP(A762,Response!$A:$M,12,)</f>
        <v>No</v>
      </c>
      <c r="Q762" t="str">
        <f>VLOOKUP(A762,Response!$A:$M,11,)</f>
        <v>Egattur</v>
      </c>
      <c r="R762" t="s">
        <v>19</v>
      </c>
      <c r="S762" s="39" t="s">
        <v>37</v>
      </c>
    </row>
    <row r="763" spans="1:19">
      <c r="A763" s="3">
        <v>2521099</v>
      </c>
      <c r="B763" t="str">
        <f>VLOOKUP(A763,File!$A:$J,2,FALSE)</f>
        <v>Gandikota Laxmi Praveena</v>
      </c>
      <c r="C763" s="29">
        <f>VLOOKUP(A763,File!$A:$J,5,FALSE)</f>
        <v>46210</v>
      </c>
      <c r="D763" s="29" t="str">
        <f>VLOOKUP(A763,File!$A:$J,3,FALSE)</f>
        <v>Female</v>
      </c>
      <c r="E763" s="29" t="str">
        <f>VLOOKUP(A763,File!$A:$J,4,FALSE)</f>
        <v>FTE</v>
      </c>
      <c r="F763" s="29" t="str">
        <f>VLOOKUP(A763,File!$A:$J,6,FALSE)</f>
        <v>Chennai</v>
      </c>
      <c r="G763" s="29" t="str">
        <f>VLOOKUP(A763,File!$A:$J,7,FALSE)</f>
        <v>SNBG26SN003</v>
      </c>
      <c r="H763" s="29" t="str">
        <f>VLOOKUP(A763,File!$A:$J,8,FALSE)</f>
        <v>Lawrance M</v>
      </c>
      <c r="I763" s="31">
        <f>VLOOKUP(A763,File!$A:$J,9,FALSE)</f>
        <v>46281</v>
      </c>
      <c r="J763" s="31" t="str">
        <f>VLOOKUP(A763,File!$A:$K,11,FALSE)</f>
        <v>Sep 2026</v>
      </c>
      <c r="K763" s="31" t="str">
        <f>VLOOKUP(A763,File!$A:$K,10,FALSE)</f>
        <v>In-Training</v>
      </c>
      <c r="L763" s="31" t="s">
        <v>4</v>
      </c>
      <c r="M763" t="str">
        <f>VLOOKUP(A763,Response!$A:$M,7,)</f>
        <v>PG (Paying Guest)</v>
      </c>
      <c r="N763" t="str">
        <f>VLOOKUP(A763,Response!$A:$M,8,)</f>
        <v>Queens Luxury Ladies PG</v>
      </c>
      <c r="O763" s="4">
        <f>VLOOKUP(A763,Response!$A:$M,10,)</f>
        <v>3</v>
      </c>
      <c r="P763" t="str">
        <f>VLOOKUP(A763,Response!$A:$M,12,)</f>
        <v>No</v>
      </c>
      <c r="Q763" t="str">
        <f>VLOOKUP(A763,Response!$A:$M,11,)</f>
        <v>Siruseri</v>
      </c>
      <c r="R763" t="s">
        <v>19</v>
      </c>
      <c r="S763" s="39" t="s">
        <v>37</v>
      </c>
    </row>
    <row r="764" spans="1:19">
      <c r="A764" s="3">
        <v>2521128</v>
      </c>
      <c r="B764" t="str">
        <f>VLOOKUP(A764,File!$A:$J,2,FALSE)</f>
        <v>Akhila Datrak</v>
      </c>
      <c r="C764" s="29">
        <f>VLOOKUP(A764,File!$A:$J,5,FALSE)</f>
        <v>46210</v>
      </c>
      <c r="D764" s="29" t="str">
        <f>VLOOKUP(A764,File!$A:$J,3,FALSE)</f>
        <v>Female</v>
      </c>
      <c r="E764" s="29" t="str">
        <f>VLOOKUP(A764,File!$A:$J,4,FALSE)</f>
        <v>FTE</v>
      </c>
      <c r="F764" s="29" t="str">
        <f>VLOOKUP(A764,File!$A:$J,6,FALSE)</f>
        <v>Chennai</v>
      </c>
      <c r="G764" s="29" t="str">
        <f>VLOOKUP(A764,File!$A:$J,7,FALSE)</f>
        <v>CIS26SN001</v>
      </c>
      <c r="H764" s="29" t="str">
        <f>VLOOKUP(A764,File!$A:$J,8,FALSE)</f>
        <v>Ashiya Begam S</v>
      </c>
      <c r="I764" s="31">
        <f>VLOOKUP(A764,File!$A:$J,9,FALSE)</f>
        <v>46281</v>
      </c>
      <c r="J764" s="31" t="str">
        <f>VLOOKUP(A764,File!$A:$K,11,FALSE)</f>
        <v>Sep 2026</v>
      </c>
      <c r="K764" s="31" t="str">
        <f>VLOOKUP(A764,File!$A:$K,10,FALSE)</f>
        <v>In-Training</v>
      </c>
      <c r="L764" s="31" t="s">
        <v>4</v>
      </c>
      <c r="M764" t="str">
        <f>VLOOKUP(A764,Response!$A:$M,7,)</f>
        <v>PG (Paying Guest)</v>
      </c>
      <c r="N764" t="str">
        <f>VLOOKUP(A764,Response!$A:$M,8,)</f>
        <v>Queens Luxury Ladies PG</v>
      </c>
      <c r="O764" s="4">
        <f>VLOOKUP(A764,Response!$A:$M,10,)</f>
        <v>4</v>
      </c>
      <c r="P764" t="str">
        <f>VLOOKUP(A764,Response!$A:$M,12,)</f>
        <v>No</v>
      </c>
      <c r="Q764" t="str">
        <f>VLOOKUP(A764,Response!$A:$M,11,)</f>
        <v>Siruseri</v>
      </c>
      <c r="R764" t="s">
        <v>19</v>
      </c>
      <c r="S764" s="39" t="s">
        <v>37</v>
      </c>
    </row>
    <row r="765" spans="1:19">
      <c r="A765" s="3">
        <v>2521113</v>
      </c>
      <c r="B765" t="str">
        <f>VLOOKUP(A765,File!$A:$J,2,FALSE)</f>
        <v>Munagala Aishwarya Reddy</v>
      </c>
      <c r="C765" s="29">
        <f>VLOOKUP(A765,File!$A:$J,5,FALSE)</f>
        <v>46210</v>
      </c>
      <c r="D765" s="29" t="str">
        <f>VLOOKUP(A765,File!$A:$J,3,FALSE)</f>
        <v>Female</v>
      </c>
      <c r="E765" s="29" t="str">
        <f>VLOOKUP(A765,File!$A:$J,4,FALSE)</f>
        <v>FTE</v>
      </c>
      <c r="F765" s="29" t="str">
        <f>VLOOKUP(A765,File!$A:$J,6,FALSE)</f>
        <v>Chennai</v>
      </c>
      <c r="G765" s="29" t="str">
        <f>VLOOKUP(A765,File!$A:$J,7,FALSE)</f>
        <v>SNBG26SN004</v>
      </c>
      <c r="H765" s="29" t="str">
        <f>VLOOKUP(A765,File!$A:$J,8,FALSE)</f>
        <v>Kishorekumar P</v>
      </c>
      <c r="I765" s="31">
        <f>VLOOKUP(A765,File!$A:$J,9,FALSE)</f>
        <v>46281</v>
      </c>
      <c r="J765" s="31" t="str">
        <f>VLOOKUP(A765,File!$A:$K,11,FALSE)</f>
        <v>Sep 2026</v>
      </c>
      <c r="K765" s="31" t="str">
        <f>VLOOKUP(A765,File!$A:$K,10,FALSE)</f>
        <v>In-Training</v>
      </c>
      <c r="L765" s="31" t="s">
        <v>4</v>
      </c>
      <c r="M765" t="str">
        <f>VLOOKUP(A765,Response!$A:$M,7,)</f>
        <v>PG (Paying Guest)</v>
      </c>
      <c r="N765" t="str">
        <f>VLOOKUP(A765,Response!$A:$M,8,)</f>
        <v>Queens Luxury ladies PG</v>
      </c>
      <c r="O765" s="4">
        <f>VLOOKUP(A765,Response!$A:$M,10,)</f>
        <v>4</v>
      </c>
      <c r="P765" t="str">
        <f>VLOOKUP(A765,Response!$A:$M,12,)</f>
        <v>No</v>
      </c>
      <c r="Q765" t="str">
        <f>VLOOKUP(A765,Response!$A:$M,11,)</f>
        <v>Navalur</v>
      </c>
      <c r="R765" t="s">
        <v>19</v>
      </c>
      <c r="S765" s="39" t="s">
        <v>37</v>
      </c>
    </row>
    <row r="766" spans="1:19">
      <c r="A766" s="3">
        <v>2530180</v>
      </c>
      <c r="B766" t="str">
        <f>VLOOKUP(A766,File!$A:$J,2,FALSE)</f>
        <v>Arsha Maria Joyson</v>
      </c>
      <c r="C766" s="29">
        <f>VLOOKUP(A766,File!$A:$J,5,FALSE)</f>
        <v>46247</v>
      </c>
      <c r="D766" s="29" t="str">
        <f>VLOOKUP(A766,File!$A:$J,3,FALSE)</f>
        <v>Female</v>
      </c>
      <c r="E766" s="29" t="str">
        <f>VLOOKUP(A766,File!$A:$J,4,FALSE)</f>
        <v>FTE</v>
      </c>
      <c r="F766" s="29" t="str">
        <f>VLOOKUP(A766,File!$A:$J,6,FALSE)</f>
        <v>Chennai</v>
      </c>
      <c r="G766" s="29" t="str">
        <f>VLOOKUP(A766,File!$A:$J,7,FALSE)</f>
        <v>EPS26OSPPRO001</v>
      </c>
      <c r="H766" s="29" t="str">
        <f>VLOOKUP(A766,File!$A:$J,8,FALSE)</f>
        <v>Gayathri Ramachandran</v>
      </c>
      <c r="I766" s="31">
        <f>VLOOKUP(A766,File!$A:$J,9,FALSE)</f>
        <v>46363</v>
      </c>
      <c r="J766" s="31" t="str">
        <f>VLOOKUP(A766,File!$A:$K,11,FALSE)</f>
        <v>Dec 2026</v>
      </c>
      <c r="K766" s="31" t="str">
        <f>VLOOKUP(A766,File!$A:$K,10,FALSE)</f>
        <v>In-Training</v>
      </c>
      <c r="L766" s="31" t="s">
        <v>4</v>
      </c>
      <c r="M766" t="str">
        <f>VLOOKUP(A766,Response!$A:$M,7,)</f>
        <v>PG (Paying Guest)</v>
      </c>
      <c r="N766" t="str">
        <f>VLOOKUP(A766,Response!$A:$M,8,)</f>
        <v xml:space="preserve">Queens Luxury Ladies PG </v>
      </c>
      <c r="O766" s="4">
        <f>VLOOKUP(A766,Response!$A:$M,10,)</f>
        <v>1</v>
      </c>
      <c r="P766" t="str">
        <f>VLOOKUP(A766,Response!$A:$M,12,)</f>
        <v>No</v>
      </c>
      <c r="Q766" t="str">
        <f>VLOOKUP(A766,Response!$A:$M,11,)</f>
        <v>Siruseri</v>
      </c>
      <c r="R766" t="s">
        <v>19</v>
      </c>
      <c r="S766" s="39" t="s">
        <v>37</v>
      </c>
    </row>
    <row r="767" spans="1:19">
      <c r="A767" s="3">
        <v>2529683</v>
      </c>
      <c r="B767" t="str">
        <f>VLOOKUP(A767,File!$A:$J,2,FALSE)</f>
        <v>Thakkallapally Soumini</v>
      </c>
      <c r="C767" s="29">
        <f>VLOOKUP(A767,File!$A:$J,5,FALSE)</f>
        <v>46245</v>
      </c>
      <c r="D767" s="29" t="str">
        <f>VLOOKUP(A767,File!$A:$J,3,FALSE)</f>
        <v>Female</v>
      </c>
      <c r="E767" s="29" t="str">
        <f>VLOOKUP(A767,File!$A:$J,4,FALSE)</f>
        <v>FTE</v>
      </c>
      <c r="F767" s="29" t="str">
        <f>VLOOKUP(A767,File!$A:$J,6,FALSE)</f>
        <v>Chennai</v>
      </c>
      <c r="G767" s="29" t="str">
        <f>VLOOKUP(A767,File!$A:$J,7,FALSE)</f>
        <v>CIS26AZ001</v>
      </c>
      <c r="H767" s="29" t="str">
        <f>VLOOKUP(A767,File!$A:$J,8,FALSE)</f>
        <v>Ashiya Begam S</v>
      </c>
      <c r="I767" s="31">
        <f>VLOOKUP(A767,File!$A:$J,9,FALSE)</f>
        <v>46335</v>
      </c>
      <c r="J767" s="31" t="str">
        <f>VLOOKUP(A767,File!$A:$K,11,FALSE)</f>
        <v>Nov 2026</v>
      </c>
      <c r="K767" s="31" t="str">
        <f>VLOOKUP(A767,File!$A:$K,10,FALSE)</f>
        <v>In-Training</v>
      </c>
      <c r="L767" s="31" t="s">
        <v>4</v>
      </c>
      <c r="M767" t="str">
        <f>VLOOKUP(A767,Response!$A:$M,7,)</f>
        <v>PG (Paying Guest)</v>
      </c>
      <c r="N767" t="str">
        <f>VLOOKUP(A767,Response!$A:$M,8,)</f>
        <v xml:space="preserve">QUEENS luxury ladies pg </v>
      </c>
      <c r="O767" s="4">
        <f>VLOOKUP(A767,Response!$A:$M,10,)</f>
        <v>1</v>
      </c>
      <c r="P767" t="str">
        <f>VLOOKUP(A767,Response!$A:$M,12,)</f>
        <v>No</v>
      </c>
      <c r="Q767" t="str">
        <f>VLOOKUP(A767,Response!$A:$M,11,)</f>
        <v>Egattur</v>
      </c>
      <c r="R767" t="s">
        <v>19</v>
      </c>
      <c r="S767" s="39" t="s">
        <v>37</v>
      </c>
    </row>
    <row r="768" spans="1:19">
      <c r="A768" s="3">
        <v>2529722</v>
      </c>
      <c r="B768" t="str">
        <f>VLOOKUP(A768,File!$A:$J,2,FALSE)</f>
        <v>Meghana Bajjuri</v>
      </c>
      <c r="C768" s="29">
        <f>VLOOKUP(A768,File!$A:$J,5,FALSE)</f>
        <v>46245</v>
      </c>
      <c r="D768" s="29" t="str">
        <f>VLOOKUP(A768,File!$A:$J,3,FALSE)</f>
        <v>Female</v>
      </c>
      <c r="E768" s="29" t="str">
        <f>VLOOKUP(A768,File!$A:$J,4,FALSE)</f>
        <v>FTE</v>
      </c>
      <c r="F768" s="29" t="str">
        <f>VLOOKUP(A768,File!$A:$J,6,FALSE)</f>
        <v>Chennai</v>
      </c>
      <c r="G768" s="29" t="str">
        <f>VLOOKUP(A768,File!$A:$J,7,FALSE)</f>
        <v>CIS26AZ001</v>
      </c>
      <c r="H768" s="29" t="str">
        <f>VLOOKUP(A768,File!$A:$J,8,FALSE)</f>
        <v>Ashiya Begam S</v>
      </c>
      <c r="I768" s="31">
        <f>VLOOKUP(A768,File!$A:$J,9,FALSE)</f>
        <v>46335</v>
      </c>
      <c r="J768" s="31" t="str">
        <f>VLOOKUP(A768,File!$A:$K,11,FALSE)</f>
        <v>Nov 2026</v>
      </c>
      <c r="K768" s="31" t="str">
        <f>VLOOKUP(A768,File!$A:$K,10,FALSE)</f>
        <v>In-Training</v>
      </c>
      <c r="L768" s="31" t="s">
        <v>4</v>
      </c>
      <c r="M768" t="str">
        <f>VLOOKUP(A768,Response!$A:$M,7,)</f>
        <v>PG (Paying Guest)</v>
      </c>
      <c r="N768" t="str">
        <f>VLOOKUP(A768,Response!$A:$M,8,)</f>
        <v xml:space="preserve">Queens Luxury Ladies PG </v>
      </c>
      <c r="O768" s="4">
        <f>VLOOKUP(A768,Response!$A:$M,10,)</f>
        <v>1</v>
      </c>
      <c r="P768" t="str">
        <f>VLOOKUP(A768,Response!$A:$M,12,)</f>
        <v>No</v>
      </c>
      <c r="Q768" t="str">
        <f>VLOOKUP(A768,Response!$A:$M,11,)</f>
        <v>Siruseri</v>
      </c>
      <c r="R768" t="s">
        <v>19</v>
      </c>
      <c r="S768" s="39" t="s">
        <v>37</v>
      </c>
    </row>
    <row r="769" spans="1:19">
      <c r="A769" s="3">
        <v>2524657</v>
      </c>
      <c r="B769" t="str">
        <f>VLOOKUP(A769,File!$A:$J,2,FALSE)</f>
        <v>Khushi Kumari</v>
      </c>
      <c r="C769" s="29">
        <f>VLOOKUP(A769,File!$A:$J,5,FALSE)</f>
        <v>46224</v>
      </c>
      <c r="D769" s="29" t="str">
        <f>VLOOKUP(A769,File!$A:$J,3,FALSE)</f>
        <v>Female</v>
      </c>
      <c r="E769" s="29" t="str">
        <f>VLOOKUP(A769,File!$A:$J,4,FALSE)</f>
        <v>FTE</v>
      </c>
      <c r="F769" s="29" t="str">
        <f>VLOOKUP(A769,File!$A:$J,6,FALSE)</f>
        <v>Chennai</v>
      </c>
      <c r="G769" s="29" t="str">
        <f>VLOOKUP(A769,File!$A:$J,7,FALSE)</f>
        <v>QEA26QEPT024</v>
      </c>
      <c r="H769" s="29" t="str">
        <f>VLOOKUP(A769,File!$A:$J,8,FALSE)</f>
        <v>Ajiesya D P</v>
      </c>
      <c r="I769" s="31">
        <f>VLOOKUP(A769,File!$A:$J,9,FALSE)</f>
        <v>46325</v>
      </c>
      <c r="J769" s="31" t="str">
        <f>VLOOKUP(A769,File!$A:$K,11,FALSE)</f>
        <v>Oct 2026</v>
      </c>
      <c r="K769" s="31" t="str">
        <f>VLOOKUP(A769,File!$A:$K,10,FALSE)</f>
        <v>In-Training</v>
      </c>
      <c r="L769" s="31" t="s">
        <v>4</v>
      </c>
      <c r="M769" t="str">
        <f>VLOOKUP(A769,Response!$A:$M,7,)</f>
        <v>PG (Paying Guest)</v>
      </c>
      <c r="N769" t="str">
        <f>VLOOKUP(A769,Response!$A:$M,8,)</f>
        <v>Queens Luxury Ladies Pg - Egattur</v>
      </c>
      <c r="O769" s="4">
        <f>VLOOKUP(A769,Response!$A:$M,10,)</f>
        <v>1</v>
      </c>
      <c r="P769" t="str">
        <f>VLOOKUP(A769,Response!$A:$M,12,)</f>
        <v>No</v>
      </c>
      <c r="Q769" t="str">
        <f>VLOOKUP(A769,Response!$A:$M,11,)</f>
        <v>Egattur</v>
      </c>
      <c r="R769" t="s">
        <v>19</v>
      </c>
      <c r="S769" s="39" t="s">
        <v>37</v>
      </c>
    </row>
    <row r="770" spans="1:19">
      <c r="A770" s="3">
        <v>2521095</v>
      </c>
      <c r="B770" t="str">
        <f>VLOOKUP(A770,File!$A:$J,2,FALSE)</f>
        <v>Eamani Srilakshmi</v>
      </c>
      <c r="C770" s="29">
        <f>VLOOKUP(A770,File!$A:$J,5,FALSE)</f>
        <v>46210</v>
      </c>
      <c r="D770" s="29" t="str">
        <f>VLOOKUP(A770,File!$A:$J,3,FALSE)</f>
        <v>Female</v>
      </c>
      <c r="E770" s="29" t="str">
        <f>VLOOKUP(A770,File!$A:$J,4,FALSE)</f>
        <v>FTE</v>
      </c>
      <c r="F770" s="29" t="str">
        <f>VLOOKUP(A770,File!$A:$J,6,FALSE)</f>
        <v>Chennai</v>
      </c>
      <c r="G770" s="29" t="str">
        <f>VLOOKUP(A770,File!$A:$J,7,FALSE)</f>
        <v>SNBG26SN002</v>
      </c>
      <c r="H770" s="29" t="str">
        <f>VLOOKUP(A770,File!$A:$J,8,FALSE)</f>
        <v>Lawrance M</v>
      </c>
      <c r="I770" s="31">
        <f>VLOOKUP(A770,File!$A:$J,9,FALSE)</f>
        <v>46281</v>
      </c>
      <c r="J770" s="31" t="str">
        <f>VLOOKUP(A770,File!$A:$K,11,FALSE)</f>
        <v>Sep 2026</v>
      </c>
      <c r="K770" s="31" t="str">
        <f>VLOOKUP(A770,File!$A:$K,10,FALSE)</f>
        <v>In-Training</v>
      </c>
      <c r="L770" s="31" t="s">
        <v>4</v>
      </c>
      <c r="M770" t="str">
        <f>VLOOKUP(A770,Response!$A:$M,7,)</f>
        <v>PG (Paying Guest)</v>
      </c>
      <c r="N770" t="str">
        <f>VLOOKUP(A770,Response!$A:$M,8,)</f>
        <v>Queens Luxury Ladies PG,  Egattur</v>
      </c>
      <c r="O770" s="4">
        <f>VLOOKUP(A770,Response!$A:$M,10,)</f>
        <v>3</v>
      </c>
      <c r="P770" t="str">
        <f>VLOOKUP(A770,Response!$A:$M,12,)</f>
        <v>No</v>
      </c>
      <c r="Q770" t="str">
        <f>VLOOKUP(A770,Response!$A:$M,11,)</f>
        <v>Siruseri</v>
      </c>
      <c r="R770" t="s">
        <v>19</v>
      </c>
      <c r="S770" s="39" t="s">
        <v>37</v>
      </c>
    </row>
    <row r="771" spans="1:19">
      <c r="A771" s="3">
        <v>2521253</v>
      </c>
      <c r="B771" t="str">
        <f>VLOOKUP(A771,File!$A:$J,2,FALSE)</f>
        <v>Sravani M</v>
      </c>
      <c r="C771" s="29">
        <f>VLOOKUP(A771,File!$A:$J,5,FALSE)</f>
        <v>46210</v>
      </c>
      <c r="D771" s="29" t="str">
        <f>VLOOKUP(A771,File!$A:$J,3,FALSE)</f>
        <v>Female</v>
      </c>
      <c r="E771" s="29" t="str">
        <f>VLOOKUP(A771,File!$A:$J,4,FALSE)</f>
        <v>FTE</v>
      </c>
      <c r="F771" s="29" t="str">
        <f>VLOOKUP(A771,File!$A:$J,6,FALSE)</f>
        <v>Chennai</v>
      </c>
      <c r="G771" s="29" t="str">
        <f>VLOOKUP(A771,File!$A:$J,7,FALSE)</f>
        <v>SNBG26SN004</v>
      </c>
      <c r="H771" s="29" t="str">
        <f>VLOOKUP(A771,File!$A:$J,8,FALSE)</f>
        <v>Kishorekumar P</v>
      </c>
      <c r="I771" s="31">
        <f>VLOOKUP(A771,File!$A:$J,9,FALSE)</f>
        <v>46281</v>
      </c>
      <c r="J771" s="31" t="str">
        <f>VLOOKUP(A771,File!$A:$K,11,FALSE)</f>
        <v>Sep 2026</v>
      </c>
      <c r="K771" s="31" t="str">
        <f>VLOOKUP(A771,File!$A:$K,10,FALSE)</f>
        <v>In-Training</v>
      </c>
      <c r="L771" s="31" t="s">
        <v>4</v>
      </c>
      <c r="M771" t="str">
        <f>VLOOKUP(A771,Response!$A:$M,7,)</f>
        <v>PG (Paying Guest)</v>
      </c>
      <c r="N771" t="str">
        <f>VLOOKUP(A771,Response!$A:$M,8,)</f>
        <v>Queens luxury ladies pg, Egatthur</v>
      </c>
      <c r="O771" s="4" t="str">
        <f>VLOOKUP(A771,Response!$A:$M,10,)</f>
        <v>GF</v>
      </c>
      <c r="P771" t="str">
        <f>VLOOKUP(A771,Response!$A:$M,12,)</f>
        <v>No</v>
      </c>
      <c r="Q771" t="str">
        <f>VLOOKUP(A771,Response!$A:$M,11,)</f>
        <v>Egattur</v>
      </c>
      <c r="R771" t="s">
        <v>19</v>
      </c>
      <c r="S771" s="39" t="s">
        <v>37</v>
      </c>
    </row>
    <row r="772" spans="1:19">
      <c r="A772" s="3">
        <v>2531396</v>
      </c>
      <c r="B772" t="str">
        <f>VLOOKUP(A772,File!$A:$J,2,FALSE)</f>
        <v>Varshitha Uppuleethi</v>
      </c>
      <c r="C772" s="29">
        <f>VLOOKUP(A772,File!$A:$J,5,FALSE)</f>
        <v>46252</v>
      </c>
      <c r="D772" s="29" t="str">
        <f>VLOOKUP(A772,File!$A:$J,3,FALSE)</f>
        <v>Female</v>
      </c>
      <c r="E772" s="29" t="str">
        <f>VLOOKUP(A772,File!$A:$J,4,FALSE)</f>
        <v>FTE</v>
      </c>
      <c r="F772" s="29" t="str">
        <f>VLOOKUP(A772,File!$A:$J,6,FALSE)</f>
        <v>Chennai</v>
      </c>
      <c r="G772" s="29" t="str">
        <f>VLOOKUP(A772,File!$A:$J,7,FALSE)</f>
        <v>CIS26AT007</v>
      </c>
      <c r="H772" s="29" t="str">
        <f>VLOOKUP(A772,File!$A:$J,8,FALSE)</f>
        <v>Uma Venkatachalam</v>
      </c>
      <c r="I772" s="31">
        <f>VLOOKUP(A772,File!$A:$J,9,FALSE)</f>
        <v>46365</v>
      </c>
      <c r="J772" s="31" t="str">
        <f>VLOOKUP(A772,File!$A:$K,11,FALSE)</f>
        <v>Dec 2026</v>
      </c>
      <c r="K772" s="31" t="str">
        <f>VLOOKUP(A772,File!$A:$K,10,FALSE)</f>
        <v>In-Training</v>
      </c>
      <c r="L772" s="31" t="s">
        <v>4</v>
      </c>
      <c r="M772" t="str">
        <f>VLOOKUP(A772,Response!$A:$M,7,)</f>
        <v>PG (Paying Guest)</v>
      </c>
      <c r="N772" t="str">
        <f>VLOOKUP(A772,Response!$A:$M,8,)</f>
        <v>Queens Luxury Ladies PG, Egattur</v>
      </c>
      <c r="O772" s="4">
        <f>VLOOKUP(A772,Response!$A:$M,10,)</f>
        <v>1</v>
      </c>
      <c r="P772" t="str">
        <f>VLOOKUP(A772,Response!$A:$M,12,)</f>
        <v>No</v>
      </c>
      <c r="Q772" t="str">
        <f>VLOOKUP(A772,Response!$A:$M,11,)</f>
        <v>Egattur</v>
      </c>
      <c r="R772" t="s">
        <v>19</v>
      </c>
      <c r="S772" s="39" t="s">
        <v>37</v>
      </c>
    </row>
    <row r="773" spans="1:19">
      <c r="A773" s="3">
        <v>2533022</v>
      </c>
      <c r="B773" t="str">
        <f>VLOOKUP(A773,File!$A:$J,2,FALSE)</f>
        <v>Ambati Nandini</v>
      </c>
      <c r="C773" s="29">
        <f>VLOOKUP(A773,File!$A:$J,5,FALSE)</f>
        <v>46259</v>
      </c>
      <c r="D773" s="29" t="str">
        <f>VLOOKUP(A773,File!$A:$J,3,FALSE)</f>
        <v>Female</v>
      </c>
      <c r="E773" s="29" t="str">
        <f>VLOOKUP(A773,File!$A:$J,4,FALSE)</f>
        <v>FTE</v>
      </c>
      <c r="F773" s="29" t="str">
        <f>VLOOKUP(A773,File!$A:$J,6,FALSE)</f>
        <v>Chennai</v>
      </c>
      <c r="G773" s="29" t="str">
        <f>VLOOKUP(A773,File!$A:$J,7,FALSE)</f>
        <v>CIS26MBG004</v>
      </c>
      <c r="H773" s="29" t="str">
        <f>VLOOKUP(A773,File!$A:$J,8,FALSE)</f>
        <v>Kishorekumar P</v>
      </c>
      <c r="I773" s="31">
        <f>VLOOKUP(A773,File!$A:$J,9,FALSE)</f>
        <v>46367</v>
      </c>
      <c r="J773" s="31" t="str">
        <f>VLOOKUP(A773,File!$A:$K,11,FALSE)</f>
        <v>Dec 2026</v>
      </c>
      <c r="K773" s="31" t="str">
        <f>VLOOKUP(A773,File!$A:$K,10,FALSE)</f>
        <v>In-Training</v>
      </c>
      <c r="L773" s="31" t="s">
        <v>4</v>
      </c>
      <c r="M773" t="str">
        <f>VLOOKUP(A773,Response!$A:$M,7,)</f>
        <v>PG (Paying Guest)</v>
      </c>
      <c r="N773" t="str">
        <f>VLOOKUP(A773,Response!$A:$M,8,)</f>
        <v>Queens luxury ladies pg, Egattur</v>
      </c>
      <c r="O773" s="4">
        <f>VLOOKUP(A773,Response!$A:$M,10,)</f>
        <v>1</v>
      </c>
      <c r="P773" t="str">
        <f>VLOOKUP(A773,Response!$A:$M,12,)</f>
        <v>No</v>
      </c>
      <c r="Q773" t="str">
        <f>VLOOKUP(A773,Response!$A:$M,11,)</f>
        <v>Egattur</v>
      </c>
      <c r="R773" t="s">
        <v>19</v>
      </c>
      <c r="S773" s="39" t="s">
        <v>37</v>
      </c>
    </row>
    <row r="774" spans="1:19">
      <c r="A774" s="3">
        <v>2520941</v>
      </c>
      <c r="B774" t="str">
        <f>VLOOKUP(A774,File!$A:$J,2,FALSE)</f>
        <v>Prathina Arunachalam</v>
      </c>
      <c r="C774" s="29">
        <f>VLOOKUP(A774,File!$A:$J,5,FALSE)</f>
        <v>46210</v>
      </c>
      <c r="D774" s="29" t="str">
        <f>VLOOKUP(A774,File!$A:$J,3,FALSE)</f>
        <v>Female</v>
      </c>
      <c r="E774" s="29" t="str">
        <f>VLOOKUP(A774,File!$A:$J,4,FALSE)</f>
        <v>FTE</v>
      </c>
      <c r="F774" s="29" t="str">
        <f>VLOOKUP(A774,File!$A:$J,6,FALSE)</f>
        <v>Chennai</v>
      </c>
      <c r="G774" s="29" t="str">
        <f>VLOOKUP(A774,File!$A:$J,7,FALSE)</f>
        <v>HPC26DN005</v>
      </c>
      <c r="H774" s="29" t="str">
        <f>VLOOKUP(A774,File!$A:$J,8,FALSE)</f>
        <v>Viveka Preethi</v>
      </c>
      <c r="I774" s="31">
        <f>VLOOKUP(A774,File!$A:$J,9,FALSE)</f>
        <v>46296</v>
      </c>
      <c r="J774" s="31" t="str">
        <f>VLOOKUP(A774,File!$A:$K,11,FALSE)</f>
        <v>Oct 2026</v>
      </c>
      <c r="K774" s="31" t="str">
        <f>VLOOKUP(A774,File!$A:$K,10,FALSE)</f>
        <v>In-Training</v>
      </c>
      <c r="L774" s="31" t="s">
        <v>4</v>
      </c>
      <c r="M774" t="str">
        <f>VLOOKUP(A774,Response!$A:$M,7,)</f>
        <v>PG (Paying Guest)</v>
      </c>
      <c r="N774" t="str">
        <f>VLOOKUP(A774,Response!$A:$M,8,)</f>
        <v>QUEENS LUXURY LADIES PG, Egattur</v>
      </c>
      <c r="O774" s="4">
        <f>VLOOKUP(A774,Response!$A:$M,10,)</f>
        <v>3</v>
      </c>
      <c r="P774" t="str">
        <f>VLOOKUP(A774,Response!$A:$M,12,)</f>
        <v>Yes</v>
      </c>
      <c r="Q774" t="str">
        <f>VLOOKUP(A774,Response!$A:$M,11,)</f>
        <v>Siruseri</v>
      </c>
      <c r="R774" t="s">
        <v>19</v>
      </c>
      <c r="S774" s="39" t="s">
        <v>37</v>
      </c>
    </row>
    <row r="775" spans="1:19">
      <c r="A775" s="3">
        <v>2526161</v>
      </c>
      <c r="B775" t="str">
        <f>VLOOKUP(A775,File!$A:$J,2,FALSE)</f>
        <v>Ancilin P</v>
      </c>
      <c r="C775" s="29">
        <f>VLOOKUP(A775,File!$A:$J,5,FALSE)</f>
        <v>46231</v>
      </c>
      <c r="D775" s="29" t="str">
        <f>VLOOKUP(A775,File!$A:$J,3,FALSE)</f>
        <v>Female</v>
      </c>
      <c r="E775" s="29" t="str">
        <f>VLOOKUP(A775,File!$A:$J,4,FALSE)</f>
        <v>FTE</v>
      </c>
      <c r="F775" s="29" t="str">
        <f>VLOOKUP(A775,File!$A:$J,6,FALSE)</f>
        <v>Chennai</v>
      </c>
      <c r="G775" s="29" t="str">
        <f>VLOOKUP(A775,File!$A:$J,7,FALSE)</f>
        <v>CIS26DWP024</v>
      </c>
      <c r="H775" s="29" t="str">
        <f>VLOOKUP(A775,File!$A:$J,8,FALSE)</f>
        <v>Lakavath Udhaya Bhavana</v>
      </c>
      <c r="I775" s="31">
        <f>VLOOKUP(A775,File!$A:$J,9,FALSE)</f>
        <v>46286</v>
      </c>
      <c r="J775" s="31" t="str">
        <f>VLOOKUP(A775,File!$A:$K,11,FALSE)</f>
        <v>Sep 2026</v>
      </c>
      <c r="K775" s="31" t="str">
        <f>VLOOKUP(A775,File!$A:$K,10,FALSE)</f>
        <v>In-Training</v>
      </c>
      <c r="L775" s="31" t="s">
        <v>4</v>
      </c>
      <c r="M775" t="str">
        <f>VLOOKUP(A775,Response!$A:$M,7,)</f>
        <v>Hostel</v>
      </c>
      <c r="N775" t="str">
        <f>VLOOKUP(A775,Response!$A:$M,8,)</f>
        <v>Queens luxury ladies PG, Egattur</v>
      </c>
      <c r="O775" s="4" t="str">
        <f>VLOOKUP(A775,Response!$A:$M,10,)</f>
        <v>GF</v>
      </c>
      <c r="P775" t="str">
        <f>VLOOKUP(A775,Response!$A:$M,12,)</f>
        <v>Yes</v>
      </c>
      <c r="Q775" t="str">
        <f>VLOOKUP(A775,Response!$A:$M,11,)</f>
        <v>Egattur</v>
      </c>
      <c r="R775" t="s">
        <v>19</v>
      </c>
      <c r="S775" s="39" t="s">
        <v>37</v>
      </c>
    </row>
    <row r="776" spans="1:19">
      <c r="A776" s="3">
        <v>2533594</v>
      </c>
      <c r="B776" t="str">
        <f>VLOOKUP(A776,File!$A:$J,2,FALSE)</f>
        <v>Varshini Pillala</v>
      </c>
      <c r="C776" s="29">
        <f>VLOOKUP(A776,File!$A:$J,5,FALSE)</f>
        <v>46261</v>
      </c>
      <c r="D776" s="29" t="str">
        <f>VLOOKUP(A776,File!$A:$J,3,FALSE)</f>
        <v>Female</v>
      </c>
      <c r="E776" s="29" t="str">
        <f>VLOOKUP(A776,File!$A:$J,4,FALSE)</f>
        <v>FTE</v>
      </c>
      <c r="F776" s="29" t="str">
        <f>VLOOKUP(A776,File!$A:$J,6,FALSE)</f>
        <v>Chennai</v>
      </c>
      <c r="G776" s="29" t="str">
        <f>VLOOKUP(A776,File!$A:$J,7,FALSE)</f>
        <v>EPS26SAP038</v>
      </c>
      <c r="H776" s="29" t="str">
        <f>VLOOKUP(A776,File!$A:$J,8,FALSE)</f>
        <v>Ajith Ganesan</v>
      </c>
      <c r="I776" s="31">
        <f>VLOOKUP(A776,File!$A:$J,9,FALSE)</f>
        <v>46322</v>
      </c>
      <c r="J776" s="31" t="str">
        <f>VLOOKUP(A776,File!$A:$K,11,FALSE)</f>
        <v>Oct 2026</v>
      </c>
      <c r="K776" s="31" t="str">
        <f>VLOOKUP(A776,File!$A:$K,10,FALSE)</f>
        <v>In-Training</v>
      </c>
      <c r="L776" s="31" t="s">
        <v>4</v>
      </c>
      <c r="M776" t="str">
        <f>VLOOKUP(A776,Response!$A:$M,7,)</f>
        <v>PG (Paying Guest)</v>
      </c>
      <c r="N776" t="str">
        <f>VLOOKUP(A776,Response!$A:$M,8,)</f>
        <v>Queens Luxury Ladies PG, Egattur</v>
      </c>
      <c r="O776" s="4">
        <f>VLOOKUP(A776,Response!$A:$M,10,)</f>
        <v>1</v>
      </c>
      <c r="P776" t="str">
        <f>VLOOKUP(A776,Response!$A:$M,12,)</f>
        <v>No</v>
      </c>
      <c r="Q776" t="str">
        <f>VLOOKUP(A776,Response!$A:$M,11,)</f>
        <v>Siruseri</v>
      </c>
      <c r="R776" t="s">
        <v>19</v>
      </c>
      <c r="S776" s="39" t="s">
        <v>37</v>
      </c>
    </row>
    <row r="777" spans="1:19">
      <c r="A777" s="3">
        <v>2524520</v>
      </c>
      <c r="B777" t="str">
        <f>VLOOKUP(A777,File!$A:$J,2,FALSE)</f>
        <v>Samrudhee Popat Karkande</v>
      </c>
      <c r="C777" s="29">
        <f>VLOOKUP(A777,File!$A:$J,5,FALSE)</f>
        <v>46224</v>
      </c>
      <c r="D777" s="29" t="str">
        <f>VLOOKUP(A777,File!$A:$J,3,FALSE)</f>
        <v>Female</v>
      </c>
      <c r="E777" s="29" t="str">
        <f>VLOOKUP(A777,File!$A:$J,4,FALSE)</f>
        <v>FTE</v>
      </c>
      <c r="F777" s="29" t="str">
        <f>VLOOKUP(A777,File!$A:$J,6,FALSE)</f>
        <v>Chennai</v>
      </c>
      <c r="G777" s="29" t="str">
        <f>VLOOKUP(A777,File!$A:$J,7,FALSE)</f>
        <v>ADM26MF012</v>
      </c>
      <c r="H777" s="29" t="str">
        <f>VLOOKUP(A777,File!$A:$J,8,FALSE)</f>
        <v>Lourdhu Selvin Raj X</v>
      </c>
      <c r="I777" s="31">
        <f>VLOOKUP(A777,File!$A:$J,9,FALSE)</f>
        <v>46343</v>
      </c>
      <c r="J777" s="31" t="str">
        <f>VLOOKUP(A777,File!$A:$K,11,FALSE)</f>
        <v>Nov 2026</v>
      </c>
      <c r="K777" s="31" t="str">
        <f>VLOOKUP(A777,File!$A:$K,10,FALSE)</f>
        <v>In-Training</v>
      </c>
      <c r="L777" s="31" t="s">
        <v>4</v>
      </c>
      <c r="M777" t="str">
        <f>VLOOKUP(A777,Response!$A:$M,7,)</f>
        <v>PG (Paying Guest)</v>
      </c>
      <c r="N777" t="str">
        <f>VLOOKUP(A777,Response!$A:$M,8,)</f>
        <v>queens luxury ladies pg,egattur</v>
      </c>
      <c r="O777" s="4">
        <f>VLOOKUP(A777,Response!$A:$M,10,)</f>
        <v>4</v>
      </c>
      <c r="P777" t="str">
        <f>VLOOKUP(A777,Response!$A:$M,12,)</f>
        <v>No</v>
      </c>
      <c r="Q777" t="str">
        <f>VLOOKUP(A777,Response!$A:$M,11,)</f>
        <v>Siruseri</v>
      </c>
      <c r="R777" t="s">
        <v>19</v>
      </c>
      <c r="S777" s="39" t="s">
        <v>37</v>
      </c>
    </row>
    <row r="778" spans="1:19">
      <c r="A778" s="3">
        <v>2521306</v>
      </c>
      <c r="B778" t="str">
        <f>VLOOKUP(A778,File!$A:$J,2,FALSE)</f>
        <v>Prajusha R</v>
      </c>
      <c r="C778" s="29">
        <f>VLOOKUP(A778,File!$A:$J,5,FALSE)</f>
        <v>46210</v>
      </c>
      <c r="D778" s="29" t="str">
        <f>VLOOKUP(A778,File!$A:$J,3,FALSE)</f>
        <v>Female</v>
      </c>
      <c r="E778" s="29" t="str">
        <f>VLOOKUP(A778,File!$A:$J,4,FALSE)</f>
        <v>FTE</v>
      </c>
      <c r="F778" s="29" t="str">
        <f>VLOOKUP(A778,File!$A:$J,6,FALSE)</f>
        <v>Chennai</v>
      </c>
      <c r="G778" s="29" t="str">
        <f>VLOOKUP(A778,File!$A:$J,7,FALSE)</f>
        <v>CIS26SN001</v>
      </c>
      <c r="H778" s="29" t="str">
        <f>VLOOKUP(A778,File!$A:$J,8,FALSE)</f>
        <v>Ashiya Begam S</v>
      </c>
      <c r="I778" s="31">
        <f>VLOOKUP(A778,File!$A:$J,9,FALSE)</f>
        <v>46281</v>
      </c>
      <c r="J778" s="31" t="str">
        <f>VLOOKUP(A778,File!$A:$K,11,FALSE)</f>
        <v>Sep 2026</v>
      </c>
      <c r="K778" s="31" t="str">
        <f>VLOOKUP(A778,File!$A:$K,10,FALSE)</f>
        <v>In-Training</v>
      </c>
      <c r="L778" s="31" t="s">
        <v>4</v>
      </c>
      <c r="M778" t="str">
        <f>VLOOKUP(A778,Response!$A:$M,7,)</f>
        <v>PG (Paying Guest)</v>
      </c>
      <c r="N778" t="str">
        <f>VLOOKUP(A778,Response!$A:$M,8,)</f>
        <v>Queens Luxury ladies pg,Egattur</v>
      </c>
      <c r="O778" s="4" t="str">
        <f>VLOOKUP(A778,Response!$A:$M,10,)</f>
        <v>GF</v>
      </c>
      <c r="P778" t="str">
        <f>VLOOKUP(A778,Response!$A:$M,12,)</f>
        <v>Yes</v>
      </c>
      <c r="Q778" t="str">
        <f>VLOOKUP(A778,Response!$A:$M,11,)</f>
        <v>Siruseri</v>
      </c>
      <c r="R778" t="s">
        <v>19</v>
      </c>
      <c r="S778" s="39" t="s">
        <v>37</v>
      </c>
    </row>
    <row r="779" spans="1:19">
      <c r="A779" s="3">
        <v>2532964</v>
      </c>
      <c r="B779" t="str">
        <f>VLOOKUP(A779,File!$A:$J,2,FALSE)</f>
        <v>Lekkala Samyuktha</v>
      </c>
      <c r="C779" s="29">
        <f>VLOOKUP(A779,File!$A:$J,5,FALSE)</f>
        <v>46259</v>
      </c>
      <c r="D779" s="29" t="str">
        <f>VLOOKUP(A779,File!$A:$J,3,FALSE)</f>
        <v>Female</v>
      </c>
      <c r="E779" s="29" t="str">
        <f>VLOOKUP(A779,File!$A:$J,4,FALSE)</f>
        <v>FTE</v>
      </c>
      <c r="F779" s="29" t="str">
        <f>VLOOKUP(A779,File!$A:$J,6,FALSE)</f>
        <v>Chennai</v>
      </c>
      <c r="G779" s="29" t="str">
        <f>VLOOKUP(A779,File!$A:$J,7,FALSE)</f>
        <v>CIS26AT007</v>
      </c>
      <c r="H779" s="29" t="str">
        <f>VLOOKUP(A779,File!$A:$J,8,FALSE)</f>
        <v>Uma Venkatachalam</v>
      </c>
      <c r="I779" s="31">
        <f>VLOOKUP(A779,File!$A:$J,9,FALSE)</f>
        <v>46365</v>
      </c>
      <c r="J779" s="31" t="str">
        <f>VLOOKUP(A779,File!$A:$K,11,FALSE)</f>
        <v>Dec 2026</v>
      </c>
      <c r="K779" s="31" t="str">
        <f>VLOOKUP(A779,File!$A:$K,10,FALSE)</f>
        <v>In-Training</v>
      </c>
      <c r="L779" s="31" t="s">
        <v>4</v>
      </c>
      <c r="M779" t="str">
        <f>VLOOKUP(A779,Response!$A:$M,7,)</f>
        <v>PG (Paying Guest)</v>
      </c>
      <c r="N779" t="str">
        <f>VLOOKUP(A779,Response!$A:$M,8,)</f>
        <v>Queens Luxury PG</v>
      </c>
      <c r="O779" s="4">
        <f>VLOOKUP(A779,Response!$A:$M,10,)</f>
        <v>3</v>
      </c>
      <c r="P779" t="str">
        <f>VLOOKUP(A779,Response!$A:$M,12,)</f>
        <v>No</v>
      </c>
      <c r="Q779" t="str">
        <f>VLOOKUP(A779,Response!$A:$M,11,)</f>
        <v>Egattur</v>
      </c>
      <c r="R779" t="s">
        <v>19</v>
      </c>
      <c r="S779" s="39" t="s">
        <v>37</v>
      </c>
    </row>
    <row r="780" spans="1:19">
      <c r="A780" s="3">
        <v>2529515</v>
      </c>
      <c r="B780" t="str">
        <f>VLOOKUP(A780,File!$A:$J,2,FALSE)</f>
        <v>Adithi Sreedhara</v>
      </c>
      <c r="C780" s="29">
        <f>VLOOKUP(A780,File!$A:$J,5,FALSE)</f>
        <v>46245</v>
      </c>
      <c r="D780" s="29" t="str">
        <f>VLOOKUP(A780,File!$A:$J,3,FALSE)</f>
        <v>Female</v>
      </c>
      <c r="E780" s="29" t="str">
        <f>VLOOKUP(A780,File!$A:$J,4,FALSE)</f>
        <v>FTE</v>
      </c>
      <c r="F780" s="29" t="str">
        <f>VLOOKUP(A780,File!$A:$J,6,FALSE)</f>
        <v>Chennai</v>
      </c>
      <c r="G780" s="29" t="str">
        <f>VLOOKUP(A780,File!$A:$J,7,FALSE)</f>
        <v>CIS26MCPT025</v>
      </c>
      <c r="H780" s="29" t="str">
        <f>VLOOKUP(A780,File!$A:$J,8,FALSE)</f>
        <v>Vignesh S</v>
      </c>
      <c r="I780" s="31">
        <f>VLOOKUP(A780,File!$A:$J,9,FALSE)</f>
        <v>46359</v>
      </c>
      <c r="J780" s="31" t="str">
        <f>VLOOKUP(A780,File!$A:$K,11,FALSE)</f>
        <v>Dec 2026</v>
      </c>
      <c r="K780" s="31" t="str">
        <f>VLOOKUP(A780,File!$A:$K,10,FALSE)</f>
        <v>In-Training</v>
      </c>
      <c r="L780" s="31" t="s">
        <v>4</v>
      </c>
      <c r="M780" t="str">
        <f>VLOOKUP(A780,Response!$A:$M,7,)</f>
        <v>PG (Paying Guest)</v>
      </c>
      <c r="N780" t="str">
        <f>VLOOKUP(A780,Response!$A:$M,8,)</f>
        <v>Queens Luxury Pg</v>
      </c>
      <c r="O780" s="4">
        <f>VLOOKUP(A780,Response!$A:$M,10,)</f>
        <v>4</v>
      </c>
      <c r="P780" t="str">
        <f>VLOOKUP(A780,Response!$A:$M,12,)</f>
        <v>No</v>
      </c>
      <c r="Q780" t="str">
        <f>VLOOKUP(A780,Response!$A:$M,11,)</f>
        <v>Egattur</v>
      </c>
      <c r="R780" t="s">
        <v>19</v>
      </c>
      <c r="S780" s="39" t="s">
        <v>37</v>
      </c>
    </row>
    <row r="781" spans="1:19">
      <c r="A781" s="3">
        <v>2531282</v>
      </c>
      <c r="B781" t="str">
        <f>VLOOKUP(A781,File!$A:$J,2,FALSE)</f>
        <v>A Sheetal</v>
      </c>
      <c r="C781" s="29">
        <f>VLOOKUP(A781,File!$A:$J,5,FALSE)</f>
        <v>46252</v>
      </c>
      <c r="D781" s="29" t="str">
        <f>VLOOKUP(A781,File!$A:$J,3,FALSE)</f>
        <v>Female</v>
      </c>
      <c r="E781" s="29" t="str">
        <f>VLOOKUP(A781,File!$A:$J,4,FALSE)</f>
        <v>FTE</v>
      </c>
      <c r="F781" s="29" t="str">
        <f>VLOOKUP(A781,File!$A:$J,6,FALSE)</f>
        <v>Chennai</v>
      </c>
      <c r="G781" s="29" t="str">
        <f>VLOOKUP(A781,File!$A:$J,7,FALSE)</f>
        <v>EPS26SAP033</v>
      </c>
      <c r="H781" s="29" t="str">
        <f>VLOOKUP(A781,File!$A:$J,8,FALSE)</f>
        <v>Ajith Ganesan</v>
      </c>
      <c r="I781" s="31">
        <f>VLOOKUP(A781,File!$A:$J,9,FALSE)</f>
        <v>46330</v>
      </c>
      <c r="J781" s="31" t="str">
        <f>VLOOKUP(A781,File!$A:$K,11,FALSE)</f>
        <v>Nov 2026</v>
      </c>
      <c r="K781" s="31" t="str">
        <f>VLOOKUP(A781,File!$A:$K,10,FALSE)</f>
        <v>In-Training</v>
      </c>
      <c r="L781" s="31" t="s">
        <v>4</v>
      </c>
      <c r="M781" t="str">
        <f>VLOOKUP(A781,Response!$A:$M,7,)</f>
        <v>PG (Paying Guest)</v>
      </c>
      <c r="N781" t="str">
        <f>VLOOKUP(A781,Response!$A:$M,8,)</f>
        <v xml:space="preserve">queens luxury pg </v>
      </c>
      <c r="O781" s="4">
        <f>VLOOKUP(A781,Response!$A:$M,10,)</f>
        <v>1</v>
      </c>
      <c r="P781" t="str">
        <f>VLOOKUP(A781,Response!$A:$M,12,)</f>
        <v>Yes</v>
      </c>
      <c r="Q781" t="str">
        <f>VLOOKUP(A781,Response!$A:$M,11,)</f>
        <v>Egattur</v>
      </c>
      <c r="R781" t="s">
        <v>19</v>
      </c>
      <c r="S781" s="39" t="s">
        <v>37</v>
      </c>
    </row>
    <row r="782" spans="1:19">
      <c r="A782" s="3">
        <v>2531388</v>
      </c>
      <c r="B782" t="str">
        <f>VLOOKUP(A782,File!$A:$J,2,FALSE)</f>
        <v>Jyothirmai Tirumalasetti</v>
      </c>
      <c r="C782" s="29">
        <f>VLOOKUP(A782,File!$A:$J,5,FALSE)</f>
        <v>46252</v>
      </c>
      <c r="D782" s="29" t="str">
        <f>VLOOKUP(A782,File!$A:$J,3,FALSE)</f>
        <v>Female</v>
      </c>
      <c r="E782" s="29" t="str">
        <f>VLOOKUP(A782,File!$A:$J,4,FALSE)</f>
        <v>FTE</v>
      </c>
      <c r="F782" s="29" t="str">
        <f>VLOOKUP(A782,File!$A:$J,6,FALSE)</f>
        <v>Chennai</v>
      </c>
      <c r="G782" s="29" t="str">
        <f>VLOOKUP(A782,File!$A:$J,7,FALSE)</f>
        <v>CIS26AT007</v>
      </c>
      <c r="H782" s="29" t="str">
        <f>VLOOKUP(A782,File!$A:$J,8,FALSE)</f>
        <v>Uma Venkatachalam</v>
      </c>
      <c r="I782" s="31">
        <f>VLOOKUP(A782,File!$A:$J,9,FALSE)</f>
        <v>46365</v>
      </c>
      <c r="J782" s="31" t="str">
        <f>VLOOKUP(A782,File!$A:$K,11,FALSE)</f>
        <v>Dec 2026</v>
      </c>
      <c r="K782" s="31" t="str">
        <f>VLOOKUP(A782,File!$A:$K,10,FALSE)</f>
        <v>In-Training</v>
      </c>
      <c r="L782" s="31" t="s">
        <v>4</v>
      </c>
      <c r="M782" t="str">
        <f>VLOOKUP(A782,Response!$A:$M,7,)</f>
        <v>PG (Paying Guest)</v>
      </c>
      <c r="N782" t="str">
        <f>VLOOKUP(A782,Response!$A:$M,8,)</f>
        <v>Queens Luxury PG, Egattur</v>
      </c>
      <c r="O782" s="4">
        <f>VLOOKUP(A782,Response!$A:$M,10,)</f>
        <v>1</v>
      </c>
      <c r="P782" t="str">
        <f>VLOOKUP(A782,Response!$A:$M,12,)</f>
        <v>No</v>
      </c>
      <c r="Q782" t="str">
        <f>VLOOKUP(A782,Response!$A:$M,11,)</f>
        <v>Egattur</v>
      </c>
      <c r="R782" t="s">
        <v>19</v>
      </c>
      <c r="S782" s="39" t="s">
        <v>37</v>
      </c>
    </row>
    <row r="783" spans="1:19">
      <c r="A783" s="3">
        <v>2533171</v>
      </c>
      <c r="B783" t="str">
        <f>VLOOKUP(A783,File!$A:$J,2,FALSE)</f>
        <v>Venkata Siva Sai Sreeja Korivi</v>
      </c>
      <c r="C783" s="29">
        <f>VLOOKUP(A783,File!$A:$J,5,FALSE)</f>
        <v>46259</v>
      </c>
      <c r="D783" s="29" t="str">
        <f>VLOOKUP(A783,File!$A:$J,3,FALSE)</f>
        <v>Female</v>
      </c>
      <c r="E783" s="29" t="str">
        <f>VLOOKUP(A783,File!$A:$J,4,FALSE)</f>
        <v>FTE</v>
      </c>
      <c r="F783" s="29" t="str">
        <f>VLOOKUP(A783,File!$A:$J,6,FALSE)</f>
        <v>Chennai</v>
      </c>
      <c r="G783" s="29" t="str">
        <f>VLOOKUP(A783,File!$A:$J,7,FALSE)</f>
        <v>CIS26MBG006</v>
      </c>
      <c r="H783" s="29" t="str">
        <f>VLOOKUP(A783,File!$A:$J,8,FALSE)</f>
        <v>Angel Maria Faustina Gomez</v>
      </c>
      <c r="I783" s="31">
        <f>VLOOKUP(A783,File!$A:$J,9,FALSE)</f>
        <v>46367</v>
      </c>
      <c r="J783" s="31" t="str">
        <f>VLOOKUP(A783,File!$A:$K,11,FALSE)</f>
        <v>Dec 2026</v>
      </c>
      <c r="K783" s="31" t="str">
        <f>VLOOKUP(A783,File!$A:$K,10,FALSE)</f>
        <v>In-Training</v>
      </c>
      <c r="L783" s="31" t="s">
        <v>4</v>
      </c>
      <c r="M783" t="str">
        <f>VLOOKUP(A783,Response!$A:$M,7,)</f>
        <v>PG (Paying Guest)</v>
      </c>
      <c r="N783" t="str">
        <f>VLOOKUP(A783,Response!$A:$M,8,)</f>
        <v>Queens PG - Egattur</v>
      </c>
      <c r="O783" s="4">
        <f>VLOOKUP(A783,Response!$A:$M,10,)</f>
        <v>1</v>
      </c>
      <c r="P783" t="str">
        <f>VLOOKUP(A783,Response!$A:$M,12,)</f>
        <v>No</v>
      </c>
      <c r="Q783" t="str">
        <f>VLOOKUP(A783,Response!$A:$M,11,)</f>
        <v>Siruseri</v>
      </c>
      <c r="R783" t="s">
        <v>19</v>
      </c>
      <c r="S783" s="39" t="s">
        <v>37</v>
      </c>
    </row>
    <row r="784" spans="1:19">
      <c r="A784" s="3">
        <v>2524647</v>
      </c>
      <c r="B784" t="str">
        <f>VLOOKUP(A784,File!$A:$J,2,FALSE)</f>
        <v>Anuja Abhimanyu Gore</v>
      </c>
      <c r="C784" s="29">
        <f>VLOOKUP(A784,File!$A:$J,5,FALSE)</f>
        <v>46224</v>
      </c>
      <c r="D784" s="29" t="str">
        <f>VLOOKUP(A784,File!$A:$J,3,FALSE)</f>
        <v>Female</v>
      </c>
      <c r="E784" s="29" t="str">
        <f>VLOOKUP(A784,File!$A:$J,4,FALSE)</f>
        <v>FTE</v>
      </c>
      <c r="F784" s="29" t="str">
        <f>VLOOKUP(A784,File!$A:$J,6,FALSE)</f>
        <v>Chennai</v>
      </c>
      <c r="G784" s="29" t="str">
        <f>VLOOKUP(A784,File!$A:$J,7,FALSE)</f>
        <v>ADM26MF012</v>
      </c>
      <c r="H784" s="29" t="str">
        <f>VLOOKUP(A784,File!$A:$J,8,FALSE)</f>
        <v>Lourdhu Selvin Raj X</v>
      </c>
      <c r="I784" s="31">
        <f>VLOOKUP(A784,File!$A:$J,9,FALSE)</f>
        <v>46343</v>
      </c>
      <c r="J784" s="31" t="str">
        <f>VLOOKUP(A784,File!$A:$K,11,FALSE)</f>
        <v>Nov 2026</v>
      </c>
      <c r="K784" s="31" t="str">
        <f>VLOOKUP(A784,File!$A:$K,10,FALSE)</f>
        <v>In-Training</v>
      </c>
      <c r="L784" s="31" t="s">
        <v>4</v>
      </c>
      <c r="M784" t="str">
        <f>VLOOKUP(A784,Response!$A:$M,7,)</f>
        <v>PG (Paying Guest)</v>
      </c>
      <c r="N784" t="str">
        <f>VLOOKUP(A784,Response!$A:$M,8,)</f>
        <v>Queens PG, Egatur</v>
      </c>
      <c r="O784" s="4">
        <f>VLOOKUP(A784,Response!$A:$M,10,)</f>
        <v>4</v>
      </c>
      <c r="P784" t="str">
        <f>VLOOKUP(A784,Response!$A:$M,12,)</f>
        <v>No</v>
      </c>
      <c r="Q784" t="str">
        <f>VLOOKUP(A784,Response!$A:$M,11,)</f>
        <v>Siruseri</v>
      </c>
      <c r="R784" t="s">
        <v>19</v>
      </c>
      <c r="S784" s="39" t="s">
        <v>37</v>
      </c>
    </row>
    <row r="785" spans="1:19">
      <c r="A785" s="3">
        <v>2519735</v>
      </c>
      <c r="B785" t="str">
        <f>VLOOKUP(A785,File!$A:$J,2,FALSE)</f>
        <v>Chandru Samuel A</v>
      </c>
      <c r="C785" s="29">
        <f>VLOOKUP(A785,File!$A:$J,5,FALSE)</f>
        <v>46205</v>
      </c>
      <c r="D785" s="29" t="str">
        <f>VLOOKUP(A785,File!$A:$J,3,FALSE)</f>
        <v>Male</v>
      </c>
      <c r="E785" s="29" t="str">
        <f>VLOOKUP(A785,File!$A:$J,4,FALSE)</f>
        <v>FTE</v>
      </c>
      <c r="F785" s="29" t="str">
        <f>VLOOKUP(A785,File!$A:$J,6,FALSE)</f>
        <v>Chennai</v>
      </c>
      <c r="G785" s="29" t="str">
        <f>VLOOKUP(A785,File!$A:$J,7,FALSE)</f>
        <v>CIS26MCPT013</v>
      </c>
      <c r="H785" s="29" t="str">
        <f>VLOOKUP(A785,File!$A:$J,8,FALSE)</f>
        <v>Lawrance M</v>
      </c>
      <c r="I785" s="31">
        <f>VLOOKUP(A785,File!$A:$J,9,FALSE)</f>
        <v>46324</v>
      </c>
      <c r="J785" s="31" t="str">
        <f>VLOOKUP(A785,File!$A:$K,11,FALSE)</f>
        <v>Oct 2026</v>
      </c>
      <c r="K785" s="31" t="str">
        <f>VLOOKUP(A785,File!$A:$K,10,FALSE)</f>
        <v>In-Training</v>
      </c>
      <c r="L785" s="31" t="s">
        <v>4</v>
      </c>
      <c r="M785" t="str">
        <f>VLOOKUP(A785,Response!$A:$M,7,)</f>
        <v>PG (Paying Guest)</v>
      </c>
      <c r="N785" t="str">
        <f>VLOOKUP(A785,Response!$A:$M,8,)</f>
        <v>R &amp; R Gents PG - Branch 2, Egattur</v>
      </c>
      <c r="O785" s="4">
        <f>VLOOKUP(A785,Response!$A:$M,10,)</f>
        <v>3</v>
      </c>
      <c r="P785" t="str">
        <f>VLOOKUP(A785,Response!$A:$M,12,)</f>
        <v>Yes</v>
      </c>
      <c r="Q785" t="str">
        <f>VLOOKUP(A785,Response!$A:$M,11,)</f>
        <v>Siruseri</v>
      </c>
      <c r="R785" t="s">
        <v>19</v>
      </c>
      <c r="S785" s="39" t="s">
        <v>37</v>
      </c>
    </row>
    <row r="786" spans="1:19">
      <c r="A786" s="3">
        <v>2531863</v>
      </c>
      <c r="B786" t="str">
        <f>VLOOKUP(A786,File!$A:$J,2,FALSE)</f>
        <v>Lakshmiprabha Kamaraj</v>
      </c>
      <c r="C786" s="29">
        <f>VLOOKUP(A786,File!$A:$J,5,FALSE)</f>
        <v>46254</v>
      </c>
      <c r="D786" s="29" t="str">
        <f>VLOOKUP(A786,File!$A:$J,3,FALSE)</f>
        <v>Female</v>
      </c>
      <c r="E786" s="29" t="str">
        <f>VLOOKUP(A786,File!$A:$J,4,FALSE)</f>
        <v>FTE</v>
      </c>
      <c r="F786" s="29" t="str">
        <f>VLOOKUP(A786,File!$A:$J,6,FALSE)</f>
        <v>Chennai</v>
      </c>
      <c r="G786" s="29" t="str">
        <f>VLOOKUP(A786,File!$A:$J,7,FALSE)</f>
        <v>CS26CS012</v>
      </c>
      <c r="H786" s="29" t="str">
        <f>VLOOKUP(A786,File!$A:$J,8,FALSE)</f>
        <v>Laksiya Vijayendran</v>
      </c>
      <c r="I786" s="31">
        <f>VLOOKUP(A786,File!$A:$J,9,FALSE)</f>
        <v>46343</v>
      </c>
      <c r="J786" s="31" t="str">
        <f>VLOOKUP(A786,File!$A:$K,11,FALSE)</f>
        <v>Nov 2026</v>
      </c>
      <c r="K786" s="31" t="str">
        <f>VLOOKUP(A786,File!$A:$K,10,FALSE)</f>
        <v>In-Training</v>
      </c>
      <c r="L786" s="31" t="s">
        <v>4</v>
      </c>
      <c r="M786" t="str">
        <f>VLOOKUP(A786,Response!$A:$M,7,)</f>
        <v>PG (Paying Guest)</v>
      </c>
      <c r="N786" t="str">
        <f>VLOOKUP(A786,Response!$A:$M,8,)</f>
        <v>R &amp; R Ladies PG and Hostel (L1 Branch), Egattur</v>
      </c>
      <c r="O786" s="4">
        <f>VLOOKUP(A786,Response!$A:$M,10,)</f>
        <v>2</v>
      </c>
      <c r="P786" t="str">
        <f>VLOOKUP(A786,Response!$A:$M,12,)</f>
        <v>No</v>
      </c>
      <c r="Q786" t="str">
        <f>VLOOKUP(A786,Response!$A:$M,11,)</f>
        <v>Siruseri</v>
      </c>
      <c r="R786" t="s">
        <v>19</v>
      </c>
      <c r="S786" s="39" t="s">
        <v>37</v>
      </c>
    </row>
    <row r="787" spans="1:19">
      <c r="A787" s="3">
        <v>2531372</v>
      </c>
      <c r="B787" t="str">
        <f>VLOOKUP(A787,File!$A:$J,2,FALSE)</f>
        <v>Kadavakollu Kiran Deepthi</v>
      </c>
      <c r="C787" s="29">
        <f>VLOOKUP(A787,File!$A:$J,5,FALSE)</f>
        <v>46252</v>
      </c>
      <c r="D787" s="29" t="str">
        <f>VLOOKUP(A787,File!$A:$J,3,FALSE)</f>
        <v>Female</v>
      </c>
      <c r="E787" s="29" t="str">
        <f>VLOOKUP(A787,File!$A:$J,4,FALSE)</f>
        <v>FTE</v>
      </c>
      <c r="F787" s="29" t="str">
        <f>VLOOKUP(A787,File!$A:$J,6,FALSE)</f>
        <v>Chennai</v>
      </c>
      <c r="G787" s="29" t="str">
        <f>VLOOKUP(A787,File!$A:$J,7,FALSE)</f>
        <v>EPS26SAP034</v>
      </c>
      <c r="H787" s="29" t="str">
        <f>VLOOKUP(A787,File!$A:$J,8,FALSE)</f>
        <v>Gayathri Ramachandran</v>
      </c>
      <c r="I787" s="31">
        <f>VLOOKUP(A787,File!$A:$J,9,FALSE)</f>
        <v>46331</v>
      </c>
      <c r="J787" s="31" t="str">
        <f>VLOOKUP(A787,File!$A:$K,11,FALSE)</f>
        <v>Nov 2026</v>
      </c>
      <c r="K787" s="31" t="str">
        <f>VLOOKUP(A787,File!$A:$K,10,FALSE)</f>
        <v>In-Training</v>
      </c>
      <c r="L787" s="31" t="s">
        <v>4</v>
      </c>
      <c r="M787" t="str">
        <f>VLOOKUP(A787,Response!$A:$M,7,)</f>
        <v>PG (Paying Guest)</v>
      </c>
      <c r="N787" t="str">
        <f>VLOOKUP(A787,Response!$A:$M,8,)</f>
        <v>R &amp; R ladies PG and hostel,egattur</v>
      </c>
      <c r="O787" s="4">
        <f>VLOOKUP(A787,Response!$A:$M,10,)</f>
        <v>2</v>
      </c>
      <c r="P787" t="str">
        <f>VLOOKUP(A787,Response!$A:$M,12,)</f>
        <v>No</v>
      </c>
      <c r="Q787" t="str">
        <f>VLOOKUP(A787,Response!$A:$M,11,)</f>
        <v>Egattur</v>
      </c>
      <c r="R787" t="s">
        <v>19</v>
      </c>
      <c r="S787" s="39" t="s">
        <v>37</v>
      </c>
    </row>
    <row r="788" spans="1:19">
      <c r="A788" s="3">
        <v>2533166</v>
      </c>
      <c r="B788" t="str">
        <f>VLOOKUP(A788,File!$A:$J,2,FALSE)</f>
        <v>Sanepalli Bhargavi</v>
      </c>
      <c r="C788" s="29">
        <f>VLOOKUP(A788,File!$A:$J,5,FALSE)</f>
        <v>46259</v>
      </c>
      <c r="D788" s="29" t="str">
        <f>VLOOKUP(A788,File!$A:$J,3,FALSE)</f>
        <v>Female</v>
      </c>
      <c r="E788" s="29" t="str">
        <f>VLOOKUP(A788,File!$A:$J,4,FALSE)</f>
        <v>FTE</v>
      </c>
      <c r="F788" s="29" t="str">
        <f>VLOOKUP(A788,File!$A:$J,6,FALSE)</f>
        <v>Chennai</v>
      </c>
      <c r="G788" s="29" t="str">
        <f>VLOOKUP(A788,File!$A:$J,7,FALSE)</f>
        <v>CIS26MBG006</v>
      </c>
      <c r="H788" s="29" t="str">
        <f>VLOOKUP(A788,File!$A:$J,8,FALSE)</f>
        <v>Angel Maria Faustina Gomez</v>
      </c>
      <c r="I788" s="31">
        <f>VLOOKUP(A788,File!$A:$J,9,FALSE)</f>
        <v>46367</v>
      </c>
      <c r="J788" s="31" t="str">
        <f>VLOOKUP(A788,File!$A:$K,11,FALSE)</f>
        <v>Dec 2026</v>
      </c>
      <c r="K788" s="31" t="str">
        <f>VLOOKUP(A788,File!$A:$K,10,FALSE)</f>
        <v>In-Training</v>
      </c>
      <c r="L788" s="31" t="s">
        <v>4</v>
      </c>
      <c r="M788" t="str">
        <f>VLOOKUP(A788,Response!$A:$M,7,)</f>
        <v>PG (Paying Guest)</v>
      </c>
      <c r="N788" t="str">
        <f>VLOOKUP(A788,Response!$A:$M,8,)</f>
        <v>R &amp;R ladies PG and Hostel</v>
      </c>
      <c r="O788" s="4">
        <f>VLOOKUP(A788,Response!$A:$M,10,)</f>
        <v>2</v>
      </c>
      <c r="P788" t="str">
        <f>VLOOKUP(A788,Response!$A:$M,12,)</f>
        <v>No</v>
      </c>
      <c r="Q788" t="str">
        <f>VLOOKUP(A788,Response!$A:$M,11,)</f>
        <v>Egattur</v>
      </c>
      <c r="R788" t="s">
        <v>19</v>
      </c>
      <c r="S788" s="39" t="s">
        <v>37</v>
      </c>
    </row>
    <row r="789" spans="1:19">
      <c r="A789" s="3">
        <v>2519596</v>
      </c>
      <c r="B789" t="str">
        <f>VLOOKUP(A789,File!$A:$J,2,FALSE)</f>
        <v>Rajasaravanan Sankaranarayanan</v>
      </c>
      <c r="C789" s="29">
        <f>VLOOKUP(A789,File!$A:$J,5,FALSE)</f>
        <v>46205</v>
      </c>
      <c r="D789" s="29" t="str">
        <f>VLOOKUP(A789,File!$A:$J,3,FALSE)</f>
        <v>Male</v>
      </c>
      <c r="E789" s="29" t="str">
        <f>VLOOKUP(A789,File!$A:$J,4,FALSE)</f>
        <v>FTE</v>
      </c>
      <c r="F789" s="29" t="str">
        <f>VLOOKUP(A789,File!$A:$J,6,FALSE)</f>
        <v>Chennai</v>
      </c>
      <c r="G789" s="29" t="str">
        <f>VLOOKUP(A789,File!$A:$J,7,FALSE)</f>
        <v>CIS26MCPT013</v>
      </c>
      <c r="H789" s="29" t="str">
        <f>VLOOKUP(A789,File!$A:$J,8,FALSE)</f>
        <v>Lawrance M</v>
      </c>
      <c r="I789" s="31">
        <f>VLOOKUP(A789,File!$A:$J,9,FALSE)</f>
        <v>46324</v>
      </c>
      <c r="J789" s="31" t="str">
        <f>VLOOKUP(A789,File!$A:$K,11,FALSE)</f>
        <v>Oct 2026</v>
      </c>
      <c r="K789" s="31" t="str">
        <f>VLOOKUP(A789,File!$A:$K,10,FALSE)</f>
        <v>In-Training</v>
      </c>
      <c r="L789" s="31" t="s">
        <v>4</v>
      </c>
      <c r="M789" t="str">
        <f>VLOOKUP(A789,Response!$A:$M,7,)</f>
        <v>PG (Paying Guest)</v>
      </c>
      <c r="N789" t="str">
        <f>VLOOKUP(A789,Response!$A:$M,8,)</f>
        <v>R and R gents pg</v>
      </c>
      <c r="O789" s="4">
        <f>VLOOKUP(A789,Response!$A:$M,10,)</f>
        <v>3</v>
      </c>
      <c r="P789" t="str">
        <f>VLOOKUP(A789,Response!$A:$M,12,)</f>
        <v>Yes</v>
      </c>
      <c r="Q789" t="str">
        <f>VLOOKUP(A789,Response!$A:$M,11,)</f>
        <v>Egattur</v>
      </c>
      <c r="R789" t="s">
        <v>19</v>
      </c>
      <c r="S789" s="39" t="s">
        <v>37</v>
      </c>
    </row>
    <row r="790" spans="1:19">
      <c r="A790" s="3">
        <v>2521704</v>
      </c>
      <c r="B790" t="str">
        <f>VLOOKUP(A790,File!$A:$J,2,FALSE)</f>
        <v>Prashant Ramesh Goti</v>
      </c>
      <c r="C790" s="29">
        <f>VLOOKUP(A790,File!$A:$J,5,FALSE)</f>
        <v>46212</v>
      </c>
      <c r="D790" s="29" t="str">
        <f>VLOOKUP(A790,File!$A:$J,3,FALSE)</f>
        <v>Male</v>
      </c>
      <c r="E790" s="29" t="str">
        <f>VLOOKUP(A790,File!$A:$J,4,FALSE)</f>
        <v>FTE</v>
      </c>
      <c r="F790" s="29" t="str">
        <f>VLOOKUP(A790,File!$A:$J,6,FALSE)</f>
        <v>Chennai</v>
      </c>
      <c r="G790" s="29" t="str">
        <f>VLOOKUP(A790,File!$A:$J,7,FALSE)</f>
        <v>QEA26QEPT023</v>
      </c>
      <c r="H790" s="29" t="str">
        <f>VLOOKUP(A790,File!$A:$J,8,FALSE)</f>
        <v>Sweta Thoppil</v>
      </c>
      <c r="I790" s="31">
        <f>VLOOKUP(A790,File!$A:$J,9,FALSE)</f>
        <v>46314</v>
      </c>
      <c r="J790" s="31" t="str">
        <f>VLOOKUP(A790,File!$A:$K,11,FALSE)</f>
        <v>Oct 2026</v>
      </c>
      <c r="K790" s="31" t="str">
        <f>VLOOKUP(A790,File!$A:$K,10,FALSE)</f>
        <v>In-Training</v>
      </c>
      <c r="L790" s="31" t="s">
        <v>4</v>
      </c>
      <c r="M790" t="str">
        <f>VLOOKUP(A790,Response!$A:$M,7,)</f>
        <v>PG (Paying Guest)</v>
      </c>
      <c r="N790" t="str">
        <f>VLOOKUP(A790,Response!$A:$M,8,)</f>
        <v xml:space="preserve">R and R Gents Pg G2 </v>
      </c>
      <c r="O790" s="4" t="str">
        <f>VLOOKUP(A790,Response!$A:$M,10,)</f>
        <v>GF</v>
      </c>
      <c r="P790" t="str">
        <f>VLOOKUP(A790,Response!$A:$M,12,)</f>
        <v>No</v>
      </c>
      <c r="Q790" t="str">
        <f>VLOOKUP(A790,Response!$A:$M,11,)</f>
        <v>Egattur</v>
      </c>
      <c r="R790" t="s">
        <v>19</v>
      </c>
      <c r="S790" s="39" t="s">
        <v>37</v>
      </c>
    </row>
    <row r="791" spans="1:19">
      <c r="A791" s="3">
        <v>2531425</v>
      </c>
      <c r="B791" t="str">
        <f>VLOOKUP(A791,File!$A:$J,2,FALSE)</f>
        <v>L Lynette Infancia</v>
      </c>
      <c r="C791" s="29">
        <f>VLOOKUP(A791,File!$A:$J,5,FALSE)</f>
        <v>46252</v>
      </c>
      <c r="D791" s="29" t="str">
        <f>VLOOKUP(A791,File!$A:$J,3,FALSE)</f>
        <v>Female</v>
      </c>
      <c r="E791" s="29" t="str">
        <f>VLOOKUP(A791,File!$A:$J,4,FALSE)</f>
        <v>FTE</v>
      </c>
      <c r="F791" s="29" t="str">
        <f>VLOOKUP(A791,File!$A:$J,6,FALSE)</f>
        <v>Chennai</v>
      </c>
      <c r="G791" s="29" t="str">
        <f>VLOOKUP(A791,File!$A:$J,7,FALSE)</f>
        <v>EPS26SAP036</v>
      </c>
      <c r="H791" s="29" t="str">
        <f>VLOOKUP(A791,File!$A:$J,8,FALSE)</f>
        <v>Vishnupriya Dakshnamurthy</v>
      </c>
      <c r="I791" s="31">
        <f>VLOOKUP(A791,File!$A:$J,9,FALSE)</f>
        <v>46335</v>
      </c>
      <c r="J791" s="31" t="str">
        <f>VLOOKUP(A791,File!$A:$K,11,FALSE)</f>
        <v>Nov 2026</v>
      </c>
      <c r="K791" s="31" t="str">
        <f>VLOOKUP(A791,File!$A:$K,10,FALSE)</f>
        <v>In-Training</v>
      </c>
      <c r="L791" s="31" t="s">
        <v>4</v>
      </c>
      <c r="M791" t="str">
        <f>VLOOKUP(A791,Response!$A:$M,7,)</f>
        <v>PG (Paying Guest)</v>
      </c>
      <c r="N791" t="str">
        <f>VLOOKUP(A791,Response!$A:$M,8,)</f>
        <v>R and R ladies PG</v>
      </c>
      <c r="O791" s="4">
        <f>VLOOKUP(A791,Response!$A:$M,10,)</f>
        <v>5</v>
      </c>
      <c r="P791" t="str">
        <f>VLOOKUP(A791,Response!$A:$M,12,)</f>
        <v>No</v>
      </c>
      <c r="Q791" t="str">
        <f>VLOOKUP(A791,Response!$A:$M,11,)</f>
        <v>Navalur</v>
      </c>
      <c r="R791" t="s">
        <v>19</v>
      </c>
      <c r="S791" s="39" t="s">
        <v>37</v>
      </c>
    </row>
    <row r="792" spans="1:19">
      <c r="A792" s="3">
        <v>2533203</v>
      </c>
      <c r="B792" t="str">
        <f>VLOOKUP(A792,File!$A:$J,2,FALSE)</f>
        <v>Shaik Kyrunbee</v>
      </c>
      <c r="C792" s="29">
        <f>VLOOKUP(A792,File!$A:$J,5,FALSE)</f>
        <v>46259</v>
      </c>
      <c r="D792" s="29" t="str">
        <f>VLOOKUP(A792,File!$A:$J,3,FALSE)</f>
        <v>Female</v>
      </c>
      <c r="E792" s="29" t="str">
        <f>VLOOKUP(A792,File!$A:$J,4,FALSE)</f>
        <v>FTE</v>
      </c>
      <c r="F792" s="29" t="str">
        <f>VLOOKUP(A792,File!$A:$J,6,FALSE)</f>
        <v>Chennai</v>
      </c>
      <c r="G792" s="29" t="str">
        <f>VLOOKUP(A792,File!$A:$J,7,FALSE)</f>
        <v>CIS26AT007</v>
      </c>
      <c r="H792" s="29" t="str">
        <f>VLOOKUP(A792,File!$A:$J,8,FALSE)</f>
        <v>Uma Venkatachalam</v>
      </c>
      <c r="I792" s="31">
        <f>VLOOKUP(A792,File!$A:$J,9,FALSE)</f>
        <v>46365</v>
      </c>
      <c r="J792" s="31" t="str">
        <f>VLOOKUP(A792,File!$A:$K,11,FALSE)</f>
        <v>Dec 2026</v>
      </c>
      <c r="K792" s="31" t="str">
        <f>VLOOKUP(A792,File!$A:$K,10,FALSE)</f>
        <v>In-Training</v>
      </c>
      <c r="L792" s="31" t="s">
        <v>4</v>
      </c>
      <c r="M792" t="str">
        <f>VLOOKUP(A792,Response!$A:$M,7,)</f>
        <v>PG (Paying Guest)</v>
      </c>
      <c r="N792" t="str">
        <f>VLOOKUP(A792,Response!$A:$M,8,)</f>
        <v>R and R PG -L1 branch, Egattur</v>
      </c>
      <c r="O792" s="4" t="str">
        <f>VLOOKUP(A792,Response!$A:$M,10,)</f>
        <v>GF</v>
      </c>
      <c r="P792" t="str">
        <f>VLOOKUP(A792,Response!$A:$M,12,)</f>
        <v>No</v>
      </c>
      <c r="Q792" t="str">
        <f>VLOOKUP(A792,Response!$A:$M,11,)</f>
        <v>Siruseri</v>
      </c>
      <c r="R792" t="s">
        <v>19</v>
      </c>
      <c r="S792" s="39" t="s">
        <v>37</v>
      </c>
    </row>
    <row r="793" spans="1:19">
      <c r="A793" s="3">
        <v>2530200</v>
      </c>
      <c r="B793" t="str">
        <f>VLOOKUP(A793,File!$A:$J,2,FALSE)</f>
        <v>Harini G</v>
      </c>
      <c r="C793" s="29">
        <f>VLOOKUP(A793,File!$A:$J,5,FALSE)</f>
        <v>46247</v>
      </c>
      <c r="D793" s="29" t="str">
        <f>VLOOKUP(A793,File!$A:$J,3,FALSE)</f>
        <v>Female</v>
      </c>
      <c r="E793" s="29" t="str">
        <f>VLOOKUP(A793,File!$A:$J,4,FALSE)</f>
        <v>FTE</v>
      </c>
      <c r="F793" s="29" t="str">
        <f>VLOOKUP(A793,File!$A:$J,6,FALSE)</f>
        <v>Chennai</v>
      </c>
      <c r="G793" s="29" t="str">
        <f>VLOOKUP(A793,File!$A:$J,7,FALSE)</f>
        <v>EPS26OSP010</v>
      </c>
      <c r="H793" s="29" t="str">
        <f>VLOOKUP(A793,File!$A:$J,8,FALSE)</f>
        <v>Vishnupriya Dakshnamurthy</v>
      </c>
      <c r="I793" s="31">
        <f>VLOOKUP(A793,File!$A:$J,9,FALSE)</f>
        <v>46357</v>
      </c>
      <c r="J793" s="31" t="str">
        <f>VLOOKUP(A793,File!$A:$K,11,FALSE)</f>
        <v>Dec 2026</v>
      </c>
      <c r="K793" s="31" t="str">
        <f>VLOOKUP(A793,File!$A:$K,10,FALSE)</f>
        <v>In-Training</v>
      </c>
      <c r="L793" s="31" t="s">
        <v>5</v>
      </c>
      <c r="M793" t="str">
        <f>VLOOKUP(A793,Response!$A:$M,7,)</f>
        <v>Permanent Residence (House/Home)</v>
      </c>
      <c r="N793" t="str">
        <f>VLOOKUP(A793,Response!$A:$M,8,)</f>
        <v>R R flats (Home), ayyappanthangal, chennai-56</v>
      </c>
      <c r="O793" s="4">
        <f>VLOOKUP(A793,Response!$A:$M,10,)</f>
        <v>1</v>
      </c>
      <c r="P793" t="str">
        <f>VLOOKUP(A793,Response!$A:$M,12,)</f>
        <v>Yes</v>
      </c>
      <c r="Q793" t="str">
        <f>VLOOKUP(A793,Response!$A:$M,11,)</f>
        <v>ayyapanthangal</v>
      </c>
      <c r="S793" t="s">
        <v>38</v>
      </c>
    </row>
    <row r="794" spans="1:19">
      <c r="A794" s="3">
        <v>2529652</v>
      </c>
      <c r="B794" t="str">
        <f>VLOOKUP(A794,File!$A:$J,2,FALSE)</f>
        <v>Rishabh Mishra</v>
      </c>
      <c r="C794" s="29">
        <f>VLOOKUP(A794,File!$A:$J,5,FALSE)</f>
        <v>46245</v>
      </c>
      <c r="D794" s="29" t="str">
        <f>VLOOKUP(A794,File!$A:$J,3,FALSE)</f>
        <v>Male</v>
      </c>
      <c r="E794" s="29" t="str">
        <f>VLOOKUP(A794,File!$A:$J,4,FALSE)</f>
        <v>FTE</v>
      </c>
      <c r="F794" s="29" t="str">
        <f>VLOOKUP(A794,File!$A:$J,6,FALSE)</f>
        <v>Chennai</v>
      </c>
      <c r="G794" s="29" t="str">
        <f>VLOOKUP(A794,File!$A:$J,7,FALSE)</f>
        <v>CIS26MCPT025</v>
      </c>
      <c r="H794" s="29" t="str">
        <f>VLOOKUP(A794,File!$A:$J,8,FALSE)</f>
        <v>Vignesh S</v>
      </c>
      <c r="I794" s="31">
        <f>VLOOKUP(A794,File!$A:$J,9,FALSE)</f>
        <v>46359</v>
      </c>
      <c r="J794" s="31" t="str">
        <f>VLOOKUP(A794,File!$A:$K,11,FALSE)</f>
        <v>Dec 2026</v>
      </c>
      <c r="K794" s="31" t="str">
        <f>VLOOKUP(A794,File!$A:$K,10,FALSE)</f>
        <v>In-Training</v>
      </c>
      <c r="L794" s="31" t="s">
        <v>4</v>
      </c>
      <c r="M794" t="str">
        <f>VLOOKUP(A794,Response!$A:$M,7,)</f>
        <v>PG (Paying Guest)</v>
      </c>
      <c r="N794" t="str">
        <f>VLOOKUP(A794,Response!$A:$M,8,)</f>
        <v>R&amp;R Gents PG G1 Branch, Egattur, Chengalpattu District, TamilNadu</v>
      </c>
      <c r="O794" s="4" t="str">
        <f>VLOOKUP(A794,Response!$A:$M,10,)</f>
        <v>GF</v>
      </c>
      <c r="P794" t="str">
        <f>VLOOKUP(A794,Response!$A:$M,12,)</f>
        <v>No</v>
      </c>
      <c r="Q794" t="str">
        <f>VLOOKUP(A794,Response!$A:$M,11,)</f>
        <v>Egattur</v>
      </c>
      <c r="R794" t="s">
        <v>19</v>
      </c>
      <c r="S794" s="39" t="s">
        <v>37</v>
      </c>
    </row>
    <row r="795" spans="1:19">
      <c r="A795" s="3">
        <v>2519595</v>
      </c>
      <c r="B795" t="str">
        <f>VLOOKUP(A795,File!$A:$J,2,FALSE)</f>
        <v>Machendra M</v>
      </c>
      <c r="C795" s="29">
        <f>VLOOKUP(A795,File!$A:$J,5,FALSE)</f>
        <v>46205</v>
      </c>
      <c r="D795" s="29" t="str">
        <f>VLOOKUP(A795,File!$A:$J,3,FALSE)</f>
        <v>Male</v>
      </c>
      <c r="E795" s="29" t="str">
        <f>VLOOKUP(A795,File!$A:$J,4,FALSE)</f>
        <v>FTE</v>
      </c>
      <c r="F795" s="29" t="str">
        <f>VLOOKUP(A795,File!$A:$J,6,FALSE)</f>
        <v>Chennai</v>
      </c>
      <c r="G795" s="29" t="str">
        <f>VLOOKUP(A795,File!$A:$J,7,FALSE)</f>
        <v>CIS26UNIX004</v>
      </c>
      <c r="H795" s="29" t="str">
        <f>VLOOKUP(A795,File!$A:$J,8,FALSE)</f>
        <v>Haritha P</v>
      </c>
      <c r="I795" s="31">
        <f>VLOOKUP(A795,File!$A:$J,9,FALSE)</f>
        <v>46289</v>
      </c>
      <c r="J795" s="31" t="str">
        <f>VLOOKUP(A795,File!$A:$K,11,FALSE)</f>
        <v>Sep 2026</v>
      </c>
      <c r="K795" s="31" t="str">
        <f>VLOOKUP(A795,File!$A:$K,10,FALSE)</f>
        <v>In-Training</v>
      </c>
      <c r="L795" s="31" t="s">
        <v>4</v>
      </c>
      <c r="M795" t="str">
        <f>VLOOKUP(A795,Response!$A:$M,7,)</f>
        <v>PG (Paying Guest)</v>
      </c>
      <c r="N795" t="str">
        <f>VLOOKUP(A795,Response!$A:$M,8,)</f>
        <v>R&amp;R gents pg,Egattur</v>
      </c>
      <c r="O795" s="4">
        <f>VLOOKUP(A795,Response!$A:$M,10,)</f>
        <v>1</v>
      </c>
      <c r="P795" t="str">
        <f>VLOOKUP(A795,Response!$A:$M,12,)</f>
        <v>No</v>
      </c>
      <c r="Q795" t="str">
        <f>VLOOKUP(A795,Response!$A:$M,11,)</f>
        <v>Egattur</v>
      </c>
      <c r="R795" t="s">
        <v>19</v>
      </c>
      <c r="S795" s="39" t="s">
        <v>37</v>
      </c>
    </row>
    <row r="796" spans="1:19">
      <c r="A796" s="3">
        <v>2531404</v>
      </c>
      <c r="B796" t="str">
        <f>VLOOKUP(A796,File!$A:$J,2,FALSE)</f>
        <v>Harni J</v>
      </c>
      <c r="C796" s="29">
        <f>VLOOKUP(A796,File!$A:$J,5,FALSE)</f>
        <v>46252</v>
      </c>
      <c r="D796" s="29" t="str">
        <f>VLOOKUP(A796,File!$A:$J,3,FALSE)</f>
        <v>Female</v>
      </c>
      <c r="E796" s="29" t="str">
        <f>VLOOKUP(A796,File!$A:$J,4,FALSE)</f>
        <v>FTE</v>
      </c>
      <c r="F796" s="29" t="str">
        <f>VLOOKUP(A796,File!$A:$J,6,FALSE)</f>
        <v>Chennai</v>
      </c>
      <c r="G796" s="29" t="str">
        <f>VLOOKUP(A796,File!$A:$J,7,FALSE)</f>
        <v>CIS26DWP030</v>
      </c>
      <c r="H796" s="29" t="str">
        <f>VLOOKUP(A796,File!$A:$J,8,FALSE)</f>
        <v>Prokriti Biswas</v>
      </c>
      <c r="I796" s="31">
        <f>VLOOKUP(A796,File!$A:$J,9,FALSE)</f>
        <v>46324</v>
      </c>
      <c r="J796" s="31" t="str">
        <f>VLOOKUP(A796,File!$A:$K,11,FALSE)</f>
        <v>Oct 2026</v>
      </c>
      <c r="K796" s="31" t="str">
        <f>VLOOKUP(A796,File!$A:$K,10,FALSE)</f>
        <v>In-Training</v>
      </c>
      <c r="L796" s="31" t="s">
        <v>4</v>
      </c>
      <c r="M796" t="str">
        <f>VLOOKUP(A796,Response!$A:$M,7,)</f>
        <v>PG (Paying Guest)</v>
      </c>
      <c r="N796" t="str">
        <f>VLOOKUP(A796,Response!$A:$M,8,)</f>
        <v>R&amp;R Ladies Hostel, L1 Branch, Periyar Street, Egattur, Siruseri, Tamil Nadu.</v>
      </c>
      <c r="O796" s="4">
        <f>VLOOKUP(A796,Response!$A:$M,10,)</f>
        <v>2</v>
      </c>
      <c r="P796" t="str">
        <f>VLOOKUP(A796,Response!$A:$M,12,)</f>
        <v>Yes</v>
      </c>
      <c r="Q796" t="str">
        <f>VLOOKUP(A796,Response!$A:$M,11,)</f>
        <v>Siruseri</v>
      </c>
      <c r="R796" t="s">
        <v>19</v>
      </c>
      <c r="S796" s="39" t="s">
        <v>37</v>
      </c>
    </row>
    <row r="797" spans="1:19">
      <c r="A797" s="3">
        <v>2512328</v>
      </c>
      <c r="B797" t="str">
        <f>VLOOKUP(A797,File!$A:$J,2,FALSE)</f>
        <v>Nekkala Uma</v>
      </c>
      <c r="C797" s="29">
        <f>VLOOKUP(A797,File!$A:$J,5,FALSE)</f>
        <v>46170</v>
      </c>
      <c r="D797" s="29" t="str">
        <f>VLOOKUP(A797,File!$A:$J,3,FALSE)</f>
        <v>Female</v>
      </c>
      <c r="E797" s="29" t="str">
        <f>VLOOKUP(A797,File!$A:$J,4,FALSE)</f>
        <v>FTE</v>
      </c>
      <c r="F797" s="29" t="str">
        <f>VLOOKUP(A797,File!$A:$J,6,FALSE)</f>
        <v>Chennai</v>
      </c>
      <c r="G797" s="29" t="str">
        <f>VLOOKUP(A797,File!$A:$J,7,FALSE)</f>
        <v>CIS26MCPT011</v>
      </c>
      <c r="H797" s="29" t="str">
        <f>VLOOKUP(A797,File!$A:$J,8,FALSE)</f>
        <v>Uma Venkatachalam</v>
      </c>
      <c r="I797" s="31">
        <f>VLOOKUP(A797,File!$A:$J,9,FALSE)</f>
        <v>46282</v>
      </c>
      <c r="J797" s="31" t="str">
        <f>VLOOKUP(A797,File!$A:$K,11,FALSE)</f>
        <v>Sep 2026</v>
      </c>
      <c r="K797" s="31" t="str">
        <f>VLOOKUP(A797,File!$A:$K,10,FALSE)</f>
        <v>In-Training</v>
      </c>
      <c r="L797" s="31" t="s">
        <v>4</v>
      </c>
      <c r="M797" t="str">
        <f>VLOOKUP(A797,Response!$A:$M,7,)</f>
        <v>PG (Paying Guest)</v>
      </c>
      <c r="N797" t="str">
        <f>VLOOKUP(A797,Response!$A:$M,8,)</f>
        <v>R&amp;R ladies pg</v>
      </c>
      <c r="O797" s="4">
        <f>VLOOKUP(A797,Response!$A:$M,10,)</f>
        <v>2</v>
      </c>
      <c r="P797" t="str">
        <f>VLOOKUP(A797,Response!$A:$M,12,)</f>
        <v>No</v>
      </c>
      <c r="Q797" t="str">
        <f>VLOOKUP(A797,Response!$A:$M,11,)</f>
        <v>Egattur</v>
      </c>
      <c r="R797" t="s">
        <v>19</v>
      </c>
      <c r="S797" s="39" t="s">
        <v>37</v>
      </c>
    </row>
    <row r="798" spans="1:19">
      <c r="A798" s="3">
        <v>2511276</v>
      </c>
      <c r="B798" t="str">
        <f>VLOOKUP(A798,File!$A:$J,2,FALSE)</f>
        <v>Karukonala Venkata Deepthi</v>
      </c>
      <c r="C798" s="29">
        <f>VLOOKUP(A798,File!$A:$J,5,FALSE)</f>
        <v>46163</v>
      </c>
      <c r="D798" s="29" t="str">
        <f>VLOOKUP(A798,File!$A:$J,3,FALSE)</f>
        <v>Female</v>
      </c>
      <c r="E798" s="29" t="str">
        <f>VLOOKUP(A798,File!$A:$J,4,FALSE)</f>
        <v>FTE</v>
      </c>
      <c r="F798" s="29" t="str">
        <f>VLOOKUP(A798,File!$A:$J,6,FALSE)</f>
        <v>Chennai</v>
      </c>
      <c r="G798" s="29" t="str">
        <f>VLOOKUP(A798,File!$A:$J,7,FALSE)</f>
        <v>CIS26MCPT010</v>
      </c>
      <c r="H798" s="29" t="str">
        <f>VLOOKUP(A798,File!$A:$J,8,FALSE)</f>
        <v>Mohamed Harish</v>
      </c>
      <c r="I798" s="31">
        <f>VLOOKUP(A798,File!$A:$J,9,FALSE)</f>
        <v>46280</v>
      </c>
      <c r="J798" s="31" t="str">
        <f>VLOOKUP(A798,File!$A:$K,11,FALSE)</f>
        <v>Sep 2026</v>
      </c>
      <c r="K798" s="31" t="str">
        <f>VLOOKUP(A798,File!$A:$K,10,FALSE)</f>
        <v>In-Training</v>
      </c>
      <c r="L798" s="31" t="s">
        <v>4</v>
      </c>
      <c r="M798" t="str">
        <f>VLOOKUP(A798,Response!$A:$M,7,)</f>
        <v>PG (Paying Guest)</v>
      </c>
      <c r="N798" t="str">
        <f>VLOOKUP(A798,Response!$A:$M,8,)</f>
        <v>R&amp;R Ladies PG and Hostel -L1 Branch, Egattur</v>
      </c>
      <c r="O798" s="4">
        <f>VLOOKUP(A798,Response!$A:$M,10,)</f>
        <v>1</v>
      </c>
      <c r="P798" t="str">
        <f>VLOOKUP(A798,Response!$A:$M,12,)</f>
        <v>No</v>
      </c>
      <c r="Q798" t="str">
        <f>VLOOKUP(A798,Response!$A:$M,11,)</f>
        <v>Siruseri</v>
      </c>
      <c r="R798" t="s">
        <v>19</v>
      </c>
      <c r="S798" s="39" t="s">
        <v>37</v>
      </c>
    </row>
    <row r="799" spans="1:19">
      <c r="A799" s="3">
        <v>2531427</v>
      </c>
      <c r="B799" t="str">
        <f>VLOOKUP(A799,File!$A:$J,2,FALSE)</f>
        <v>Aditi K R</v>
      </c>
      <c r="C799" s="29">
        <f>VLOOKUP(A799,File!$A:$J,5,FALSE)</f>
        <v>46252</v>
      </c>
      <c r="D799" s="29" t="str">
        <f>VLOOKUP(A799,File!$A:$J,3,FALSE)</f>
        <v>Female</v>
      </c>
      <c r="E799" s="29" t="str">
        <f>VLOOKUP(A799,File!$A:$J,4,FALSE)</f>
        <v>FTE</v>
      </c>
      <c r="F799" s="29" t="str">
        <f>VLOOKUP(A799,File!$A:$J,6,FALSE)</f>
        <v>Chennai</v>
      </c>
      <c r="G799" s="29" t="str">
        <f>VLOOKUP(A799,File!$A:$J,7,FALSE)</f>
        <v>EPS26SAP036</v>
      </c>
      <c r="H799" s="29" t="str">
        <f>VLOOKUP(A799,File!$A:$J,8,FALSE)</f>
        <v>Vishnupriya Dakshnamurthy</v>
      </c>
      <c r="I799" s="31">
        <f>VLOOKUP(A799,File!$A:$J,9,FALSE)</f>
        <v>46335</v>
      </c>
      <c r="J799" s="31" t="str">
        <f>VLOOKUP(A799,File!$A:$K,11,FALSE)</f>
        <v>Nov 2026</v>
      </c>
      <c r="K799" s="31" t="str">
        <f>VLOOKUP(A799,File!$A:$K,10,FALSE)</f>
        <v>In-Training</v>
      </c>
      <c r="L799" s="31" t="s">
        <v>4</v>
      </c>
      <c r="M799" t="str">
        <f>VLOOKUP(A799,Response!$A:$M,7,)</f>
        <v>PG (Paying Guest)</v>
      </c>
      <c r="N799" t="str">
        <f>VLOOKUP(A799,Response!$A:$M,8,)</f>
        <v>R&amp;R Ladies PG- Branch 4</v>
      </c>
      <c r="O799" s="4">
        <f>VLOOKUP(A799,Response!$A:$M,10,)</f>
        <v>5</v>
      </c>
      <c r="P799" t="str">
        <f>VLOOKUP(A799,Response!$A:$M,12,)</f>
        <v>No</v>
      </c>
      <c r="Q799" t="str">
        <f>VLOOKUP(A799,Response!$A:$M,11,)</f>
        <v>Egattur</v>
      </c>
      <c r="R799" t="s">
        <v>19</v>
      </c>
      <c r="S799" s="39" t="s">
        <v>37</v>
      </c>
    </row>
    <row r="800" spans="1:19">
      <c r="A800" s="3">
        <v>2533169</v>
      </c>
      <c r="B800" t="str">
        <f>VLOOKUP(A800,File!$A:$J,2,FALSE)</f>
        <v>Harshitha Guguloth</v>
      </c>
      <c r="C800" s="29">
        <f>VLOOKUP(A800,File!$A:$J,5,FALSE)</f>
        <v>46259</v>
      </c>
      <c r="D800" s="29" t="str">
        <f>VLOOKUP(A800,File!$A:$J,3,FALSE)</f>
        <v>Female</v>
      </c>
      <c r="E800" s="29" t="str">
        <f>VLOOKUP(A800,File!$A:$J,4,FALSE)</f>
        <v>FTE</v>
      </c>
      <c r="F800" s="29" t="str">
        <f>VLOOKUP(A800,File!$A:$J,6,FALSE)</f>
        <v>Chennai</v>
      </c>
      <c r="G800" s="29" t="str">
        <f>VLOOKUP(A800,File!$A:$J,7,FALSE)</f>
        <v>CIS26AT008</v>
      </c>
      <c r="H800" s="29" t="str">
        <f>VLOOKUP(A800,File!$A:$J,8,FALSE)</f>
        <v>Uma Venkatachalam</v>
      </c>
      <c r="I800" s="31">
        <f>VLOOKUP(A800,File!$A:$J,9,FALSE)</f>
        <v>46365</v>
      </c>
      <c r="J800" s="31" t="str">
        <f>VLOOKUP(A800,File!$A:$K,11,FALSE)</f>
        <v>Dec 2026</v>
      </c>
      <c r="K800" s="31" t="str">
        <f>VLOOKUP(A800,File!$A:$K,10,FALSE)</f>
        <v>In-Training</v>
      </c>
      <c r="L800" s="31" t="s">
        <v>4</v>
      </c>
      <c r="M800" t="str">
        <f>VLOOKUP(A800,Response!$A:$M,7,)</f>
        <v>PG (Paying Guest)</v>
      </c>
      <c r="N800" t="str">
        <f>VLOOKUP(A800,Response!$A:$M,8,)</f>
        <v>R&amp;R ladies PG -L1 Branch, Egattur</v>
      </c>
      <c r="O800" s="4" t="str">
        <f>VLOOKUP(A800,Response!$A:$M,10,)</f>
        <v>GF</v>
      </c>
      <c r="P800" t="str">
        <f>VLOOKUP(A800,Response!$A:$M,12,)</f>
        <v>Yes</v>
      </c>
      <c r="Q800" t="str">
        <f>VLOOKUP(A800,Response!$A:$M,11,)</f>
        <v>Egattur</v>
      </c>
      <c r="R800" t="s">
        <v>19</v>
      </c>
      <c r="S800" s="39" t="s">
        <v>37</v>
      </c>
    </row>
    <row r="801" spans="1:19">
      <c r="A801" s="3">
        <v>2492364</v>
      </c>
      <c r="B801" t="str">
        <f>VLOOKUP(A801,File!$A:$J,2,FALSE)</f>
        <v>Kondapalli Sarvesa Vadana Sri</v>
      </c>
      <c r="C801" s="29">
        <f>VLOOKUP(A801,File!$A:$J,5,FALSE)</f>
        <v>46254</v>
      </c>
      <c r="D801" s="29" t="str">
        <f>VLOOKUP(A801,File!$A:$J,3,FALSE)</f>
        <v>Female</v>
      </c>
      <c r="E801" s="29" t="str">
        <f>VLOOKUP(A801,File!$A:$J,4,FALSE)</f>
        <v>CSD</v>
      </c>
      <c r="F801" s="29" t="str">
        <f>VLOOKUP(A801,File!$A:$J,6,FALSE)</f>
        <v>Chennai</v>
      </c>
      <c r="G801" s="29" t="str">
        <f>VLOOKUP(A801,File!$A:$J,7,FALSE)</f>
        <v>INTFE26FE001</v>
      </c>
      <c r="H801" s="29" t="str">
        <f>VLOOKUP(A801,File!$A:$J,8,FALSE)</f>
        <v>Grace Esther S</v>
      </c>
      <c r="I801" s="31">
        <f>VLOOKUP(A801,File!$A:$J,9,FALSE)</f>
        <v>46310</v>
      </c>
      <c r="J801" s="31" t="str">
        <f>VLOOKUP(A801,File!$A:$K,11,FALSE)</f>
        <v>Oct 2026</v>
      </c>
      <c r="K801" s="31" t="str">
        <f>VLOOKUP(A801,File!$A:$K,10,FALSE)</f>
        <v>In-Training</v>
      </c>
      <c r="L801" s="31" t="s">
        <v>4</v>
      </c>
      <c r="M801" t="str">
        <f>VLOOKUP(A801,Response!$A:$M,7,)</f>
        <v>PG (Paying Guest)</v>
      </c>
      <c r="N801" t="str">
        <f>VLOOKUP(A801,Response!$A:$M,8,)</f>
        <v>R&amp;R ladies pg l4 branch</v>
      </c>
      <c r="O801" s="4">
        <f>VLOOKUP(A801,Response!$A:$M,10,)</f>
        <v>3</v>
      </c>
      <c r="P801" t="str">
        <f>VLOOKUP(A801,Response!$A:$M,12,)</f>
        <v>No</v>
      </c>
      <c r="Q801" t="str">
        <f>VLOOKUP(A801,Response!$A:$M,11,)</f>
        <v>Navalur</v>
      </c>
      <c r="R801" t="s">
        <v>19</v>
      </c>
      <c r="S801" s="39" t="s">
        <v>37</v>
      </c>
    </row>
    <row r="802" spans="1:19">
      <c r="A802" s="3">
        <v>2512348</v>
      </c>
      <c r="B802" t="str">
        <f>VLOOKUP(A802,File!$A:$J,2,FALSE)</f>
        <v>Monika V</v>
      </c>
      <c r="C802" s="29">
        <f>VLOOKUP(A802,File!$A:$J,5,FALSE)</f>
        <v>46170</v>
      </c>
      <c r="D802" s="29" t="str">
        <f>VLOOKUP(A802,File!$A:$J,3,FALSE)</f>
        <v>Female</v>
      </c>
      <c r="E802" s="29" t="str">
        <f>VLOOKUP(A802,File!$A:$J,4,FALSE)</f>
        <v>FTE</v>
      </c>
      <c r="F802" s="29" t="str">
        <f>VLOOKUP(A802,File!$A:$J,6,FALSE)</f>
        <v>Chennai</v>
      </c>
      <c r="G802" s="29" t="str">
        <f>VLOOKUP(A802,File!$A:$J,7,FALSE)</f>
        <v>CIS26MCPT012</v>
      </c>
      <c r="H802" s="29" t="str">
        <f>VLOOKUP(A802,File!$A:$J,8,FALSE)</f>
        <v>Uma Venkatachalam</v>
      </c>
      <c r="I802" s="31">
        <f>VLOOKUP(A802,File!$A:$J,9,FALSE)</f>
        <v>46282</v>
      </c>
      <c r="J802" s="31" t="str">
        <f>VLOOKUP(A802,File!$A:$K,11,FALSE)</f>
        <v>Sep 2026</v>
      </c>
      <c r="K802" s="31" t="str">
        <f>VLOOKUP(A802,File!$A:$K,10,FALSE)</f>
        <v>In-Training</v>
      </c>
      <c r="L802" s="31" t="s">
        <v>5</v>
      </c>
      <c r="M802" t="str">
        <f>VLOOKUP(A802,Response!$A:$M,7,)</f>
        <v>Rented House/Apartment</v>
      </c>
      <c r="N802" t="str">
        <f>VLOOKUP(A802,Response!$A:$M,8,)</f>
        <v>Radiance Ivy Apartment, Egattur</v>
      </c>
      <c r="O802" s="4">
        <f>VLOOKUP(A802,Response!$A:$M,10,)</f>
        <v>5</v>
      </c>
      <c r="P802" t="str">
        <f>VLOOKUP(A802,Response!$A:$M,12,)</f>
        <v>No</v>
      </c>
      <c r="Q802" t="str">
        <f>VLOOKUP(A802,Response!$A:$M,11,)</f>
        <v>Egattur</v>
      </c>
      <c r="R802" t="s">
        <v>19</v>
      </c>
      <c r="S802" t="s">
        <v>38</v>
      </c>
    </row>
    <row r="803" spans="1:19">
      <c r="A803" s="3">
        <v>2521090</v>
      </c>
      <c r="B803" t="str">
        <f>VLOOKUP(A803,File!$A:$J,2,FALSE)</f>
        <v>Aryan Jain</v>
      </c>
      <c r="C803" s="29">
        <f>VLOOKUP(A803,File!$A:$J,5,FALSE)</f>
        <v>46210</v>
      </c>
      <c r="D803" s="29" t="str">
        <f>VLOOKUP(A803,File!$A:$J,3,FALSE)</f>
        <v>Male</v>
      </c>
      <c r="E803" s="29" t="str">
        <f>VLOOKUP(A803,File!$A:$J,4,FALSE)</f>
        <v>FTE</v>
      </c>
      <c r="F803" s="29" t="str">
        <f>VLOOKUP(A803,File!$A:$J,6,FALSE)</f>
        <v>Chennai</v>
      </c>
      <c r="G803" s="29" t="str">
        <f>VLOOKUP(A803,File!$A:$J,7,FALSE)</f>
        <v>CIS26SN001</v>
      </c>
      <c r="H803" s="29" t="str">
        <f>VLOOKUP(A803,File!$A:$J,8,FALSE)</f>
        <v>Ashiya Begam S</v>
      </c>
      <c r="I803" s="31">
        <f>VLOOKUP(A803,File!$A:$J,9,FALSE)</f>
        <v>46281</v>
      </c>
      <c r="J803" s="31" t="str">
        <f>VLOOKUP(A803,File!$A:$K,11,FALSE)</f>
        <v>Sep 2026</v>
      </c>
      <c r="K803" s="31" t="str">
        <f>VLOOKUP(A803,File!$A:$K,10,FALSE)</f>
        <v>In-Training</v>
      </c>
      <c r="L803" s="31" t="s">
        <v>4</v>
      </c>
      <c r="M803" t="str">
        <f>VLOOKUP(A803,Response!$A:$M,7,)</f>
        <v>PG (Paying Guest)</v>
      </c>
      <c r="N803" t="str">
        <f>VLOOKUP(A803,Response!$A:$M,8,)</f>
        <v>Radiance Shine</v>
      </c>
      <c r="O803" s="4">
        <f>VLOOKUP(A803,Response!$A:$M,10,)</f>
        <v>10</v>
      </c>
      <c r="P803" t="str">
        <f>VLOOKUP(A803,Response!$A:$M,12,)</f>
        <v>No</v>
      </c>
      <c r="Q803" t="str">
        <f>VLOOKUP(A803,Response!$A:$M,11,)</f>
        <v>Kazhipattur</v>
      </c>
      <c r="R803" t="s">
        <v>15</v>
      </c>
      <c r="S803" s="40" t="s">
        <v>36</v>
      </c>
    </row>
    <row r="804" spans="1:19">
      <c r="A804" s="3">
        <v>2521085</v>
      </c>
      <c r="B804" t="str">
        <f>VLOOKUP(A804,File!$A:$J,2,FALSE)</f>
        <v>Alok Agarwal</v>
      </c>
      <c r="C804" s="29">
        <f>VLOOKUP(A804,File!$A:$J,5,FALSE)</f>
        <v>46210</v>
      </c>
      <c r="D804" s="29" t="str">
        <f>VLOOKUP(A804,File!$A:$J,3,FALSE)</f>
        <v>Male</v>
      </c>
      <c r="E804" s="29" t="str">
        <f>VLOOKUP(A804,File!$A:$J,4,FALSE)</f>
        <v>FTE</v>
      </c>
      <c r="F804" s="29" t="str">
        <f>VLOOKUP(A804,File!$A:$J,6,FALSE)</f>
        <v>Chennai</v>
      </c>
      <c r="G804" s="29" t="str">
        <f>VLOOKUP(A804,File!$A:$J,7,FALSE)</f>
        <v>CS26CS007</v>
      </c>
      <c r="H804" s="29" t="str">
        <f>VLOOKUP(A804,File!$A:$J,8,FALSE)</f>
        <v>Lawrance M</v>
      </c>
      <c r="I804" s="31">
        <f>VLOOKUP(A804,File!$A:$J,9,FALSE)</f>
        <v>46272</v>
      </c>
      <c r="J804" s="31" t="str">
        <f>VLOOKUP(A804,File!$A:$K,11,FALSE)</f>
        <v>Sep 2026</v>
      </c>
      <c r="K804" s="31" t="str">
        <f>VLOOKUP(A804,File!$A:$K,10,FALSE)</f>
        <v>In-Training</v>
      </c>
      <c r="L804" s="31" t="s">
        <v>5</v>
      </c>
      <c r="M804" t="str">
        <f>VLOOKUP(A804,Response!$A:$M,7,)</f>
        <v>Rented House/Apartment</v>
      </c>
      <c r="N804" t="str">
        <f>VLOOKUP(A804,Response!$A:$M,8,)</f>
        <v>Radiance Shine</v>
      </c>
      <c r="O804" s="4">
        <f>VLOOKUP(A804,Response!$A:$M,10,)</f>
        <v>10</v>
      </c>
      <c r="P804" t="str">
        <f>VLOOKUP(A804,Response!$A:$M,12,)</f>
        <v>No</v>
      </c>
      <c r="Q804" t="str">
        <f>VLOOKUP(A804,Response!$A:$M,11,)</f>
        <v>Siruseri</v>
      </c>
      <c r="R804" t="s">
        <v>19</v>
      </c>
      <c r="S804" t="s">
        <v>38</v>
      </c>
    </row>
    <row r="805" spans="1:19">
      <c r="A805" s="3">
        <v>2531856</v>
      </c>
      <c r="B805" t="str">
        <f>VLOOKUP(A805,File!$A:$J,2,FALSE)</f>
        <v>Yudhister Singh</v>
      </c>
      <c r="C805" s="29">
        <f>VLOOKUP(A805,File!$A:$J,5,FALSE)</f>
        <v>46254</v>
      </c>
      <c r="D805" s="29" t="str">
        <f>VLOOKUP(A805,File!$A:$J,3,FALSE)</f>
        <v>Male</v>
      </c>
      <c r="E805" s="29" t="str">
        <f>VLOOKUP(A805,File!$A:$J,4,FALSE)</f>
        <v>FTE</v>
      </c>
      <c r="F805" s="29" t="str">
        <f>VLOOKUP(A805,File!$A:$J,6,FALSE)</f>
        <v>Chennai</v>
      </c>
      <c r="G805" s="29" t="str">
        <f>VLOOKUP(A805,File!$A:$J,7,FALSE)</f>
        <v>CS26CS011</v>
      </c>
      <c r="H805" s="29" t="str">
        <f>VLOOKUP(A805,File!$A:$J,8,FALSE)</f>
        <v>Kishorekumar P</v>
      </c>
      <c r="I805" s="31">
        <f>VLOOKUP(A805,File!$A:$J,9,FALSE)</f>
        <v>46343</v>
      </c>
      <c r="J805" s="31" t="str">
        <f>VLOOKUP(A805,File!$A:$K,11,FALSE)</f>
        <v>Nov 2026</v>
      </c>
      <c r="K805" s="31" t="str">
        <f>VLOOKUP(A805,File!$A:$K,10,FALSE)</f>
        <v>In-Training</v>
      </c>
      <c r="L805" s="31" t="s">
        <v>4</v>
      </c>
      <c r="M805" t="str">
        <f>VLOOKUP(A805,Response!$A:$M,7,)</f>
        <v>PG (Paying Guest)</v>
      </c>
      <c r="N805" t="str">
        <f>VLOOKUP(A805,Response!$A:$M,8,)</f>
        <v>Radiance shine , kalipattur</v>
      </c>
      <c r="O805" s="4">
        <f>VLOOKUP(A805,Response!$A:$M,10,)</f>
        <v>10</v>
      </c>
      <c r="P805" t="str">
        <f>VLOOKUP(A805,Response!$A:$M,12,)</f>
        <v>No</v>
      </c>
      <c r="Q805" t="str">
        <f>VLOOKUP(A805,Response!$A:$M,11,)</f>
        <v>Siruseri</v>
      </c>
      <c r="R805" t="s">
        <v>19</v>
      </c>
      <c r="S805" s="39" t="s">
        <v>37</v>
      </c>
    </row>
    <row r="806" spans="1:19">
      <c r="A806" s="3">
        <v>2516888</v>
      </c>
      <c r="B806" t="str">
        <f>VLOOKUP(A806,File!$A:$J,2,FALSE)</f>
        <v>C Saketh</v>
      </c>
      <c r="C806" s="29">
        <f>VLOOKUP(A806,File!$A:$J,5,FALSE)</f>
        <v>46191</v>
      </c>
      <c r="D806" s="29" t="str">
        <f>VLOOKUP(A806,File!$A:$J,3,FALSE)</f>
        <v>Male</v>
      </c>
      <c r="E806" s="29" t="str">
        <f>VLOOKUP(A806,File!$A:$J,4,FALSE)</f>
        <v>FTE</v>
      </c>
      <c r="F806" s="29" t="str">
        <f>VLOOKUP(A806,File!$A:$J,6,FALSE)</f>
        <v>Chennai</v>
      </c>
      <c r="G806" s="29" t="str">
        <f>VLOOKUP(A806,File!$A:$J,7,FALSE)</f>
        <v>CIS26NET003</v>
      </c>
      <c r="H806" s="29" t="str">
        <f>VLOOKUP(A806,File!$A:$J,8,FALSE)</f>
        <v>Uma Venkatachalam</v>
      </c>
      <c r="I806" s="31">
        <f>VLOOKUP(A806,File!$A:$J,9,FALSE)</f>
        <v>46269</v>
      </c>
      <c r="J806" s="31" t="str">
        <f>VLOOKUP(A806,File!$A:$K,11,FALSE)</f>
        <v>Sep 2026</v>
      </c>
      <c r="K806" s="31" t="str">
        <f>VLOOKUP(A806,File!$A:$K,10,FALSE)</f>
        <v>In-Training-Remedial</v>
      </c>
      <c r="L806" s="31" t="s">
        <v>5</v>
      </c>
      <c r="M806" t="str">
        <f>VLOOKUP(A806,Response!$A:$M,7,)</f>
        <v>Rented House/Apartment</v>
      </c>
      <c r="N806" t="str">
        <f>VLOOKUP(A806,Response!$A:$M,8,)</f>
        <v>Radiance shine, Old Mahabalipuram Road, Kazhipattur, Chennai</v>
      </c>
      <c r="O806" s="4">
        <f>VLOOKUP(A806,Response!$A:$M,10,)</f>
        <v>11</v>
      </c>
      <c r="P806" t="str">
        <f>VLOOKUP(A806,Response!$A:$M,12,)</f>
        <v>No</v>
      </c>
      <c r="Q806" t="str">
        <f>VLOOKUP(A806,Response!$A:$M,11,)</f>
        <v>Siruseri</v>
      </c>
      <c r="R806" t="s">
        <v>19</v>
      </c>
      <c r="S806" t="s">
        <v>38</v>
      </c>
    </row>
    <row r="807" spans="1:19">
      <c r="A807" s="3">
        <v>2531846</v>
      </c>
      <c r="B807" t="str">
        <f>VLOOKUP(A807,File!$A:$J,2,FALSE)</f>
        <v>Siddhesh Prasad Chauk</v>
      </c>
      <c r="C807" s="29">
        <f>VLOOKUP(A807,File!$A:$J,5,FALSE)</f>
        <v>46254</v>
      </c>
      <c r="D807" s="29" t="str">
        <f>VLOOKUP(A807,File!$A:$J,3,FALSE)</f>
        <v>Male</v>
      </c>
      <c r="E807" s="29" t="str">
        <f>VLOOKUP(A807,File!$A:$J,4,FALSE)</f>
        <v>FTE</v>
      </c>
      <c r="F807" s="29" t="str">
        <f>VLOOKUP(A807,File!$A:$J,6,FALSE)</f>
        <v>Chennai</v>
      </c>
      <c r="G807" s="29" t="str">
        <f>VLOOKUP(A807,File!$A:$J,7,FALSE)</f>
        <v>CS26CS011</v>
      </c>
      <c r="H807" s="29" t="str">
        <f>VLOOKUP(A807,File!$A:$J,8,FALSE)</f>
        <v>Kishorekumar P</v>
      </c>
      <c r="I807" s="31">
        <f>VLOOKUP(A807,File!$A:$J,9,FALSE)</f>
        <v>46343</v>
      </c>
      <c r="J807" s="31" t="str">
        <f>VLOOKUP(A807,File!$A:$K,11,FALSE)</f>
        <v>Nov 2026</v>
      </c>
      <c r="K807" s="31" t="str">
        <f>VLOOKUP(A807,File!$A:$K,10,FALSE)</f>
        <v>In-Training</v>
      </c>
      <c r="L807" s="31" t="s">
        <v>5</v>
      </c>
      <c r="M807" t="str">
        <f>VLOOKUP(A807,Response!$A:$M,7,)</f>
        <v>Rented House/Apartment</v>
      </c>
      <c r="N807" t="str">
        <f>VLOOKUP(A807,Response!$A:$M,8,)</f>
        <v>Ramaniyam Water Front</v>
      </c>
      <c r="O807" s="4">
        <f>VLOOKUP(A807,Response!$A:$M,10,)</f>
        <v>3</v>
      </c>
      <c r="P807" t="str">
        <f>VLOOKUP(A807,Response!$A:$M,12,)</f>
        <v>No</v>
      </c>
      <c r="Q807" t="str">
        <f>VLOOKUP(A807,Response!$A:$M,11,)</f>
        <v>Kalipattur</v>
      </c>
      <c r="R807" t="s">
        <v>15</v>
      </c>
      <c r="S807" t="s">
        <v>38</v>
      </c>
    </row>
    <row r="808" spans="1:19">
      <c r="A808" s="3">
        <v>2531836</v>
      </c>
      <c r="B808" t="str">
        <f>VLOOKUP(A808,File!$A:$J,2,FALSE)</f>
        <v>Aditya Prabhakar Nanaware</v>
      </c>
      <c r="C808" s="29">
        <f>VLOOKUP(A808,File!$A:$J,5,FALSE)</f>
        <v>46254</v>
      </c>
      <c r="D808" s="29" t="str">
        <f>VLOOKUP(A808,File!$A:$J,3,FALSE)</f>
        <v>Male</v>
      </c>
      <c r="E808" s="29" t="str">
        <f>VLOOKUP(A808,File!$A:$J,4,FALSE)</f>
        <v>FTE</v>
      </c>
      <c r="F808" s="29" t="str">
        <f>VLOOKUP(A808,File!$A:$J,6,FALSE)</f>
        <v>Chennai</v>
      </c>
      <c r="G808" s="29" t="str">
        <f>VLOOKUP(A808,File!$A:$J,7,FALSE)</f>
        <v>CS26CS011</v>
      </c>
      <c r="H808" s="29" t="str">
        <f>VLOOKUP(A808,File!$A:$J,8,FALSE)</f>
        <v>Kishorekumar P</v>
      </c>
      <c r="I808" s="31">
        <f>VLOOKUP(A808,File!$A:$J,9,FALSE)</f>
        <v>46343</v>
      </c>
      <c r="J808" s="31" t="str">
        <f>VLOOKUP(A808,File!$A:$K,11,FALSE)</f>
        <v>Nov 2026</v>
      </c>
      <c r="K808" s="31" t="str">
        <f>VLOOKUP(A808,File!$A:$K,10,FALSE)</f>
        <v>In-Training</v>
      </c>
      <c r="L808" s="31" t="s">
        <v>5</v>
      </c>
      <c r="M808" t="str">
        <f>VLOOKUP(A808,Response!$A:$M,7,)</f>
        <v>Rented House/Apartment</v>
      </c>
      <c r="N808" t="str">
        <f>VLOOKUP(A808,Response!$A:$M,8,)</f>
        <v>Ramaniyam,yube1 Greenhouse,37,Mettu Street, kalipattur,Siruseri,TamilNadu-603103</v>
      </c>
      <c r="O808" s="4">
        <f>VLOOKUP(A808,Response!$A:$M,10,)</f>
        <v>3</v>
      </c>
      <c r="P808" t="str">
        <f>VLOOKUP(A808,Response!$A:$M,12,)</f>
        <v>No</v>
      </c>
      <c r="Q808" t="str">
        <f>VLOOKUP(A808,Response!$A:$M,11,)</f>
        <v>Siruseri</v>
      </c>
      <c r="R808" t="s">
        <v>19</v>
      </c>
      <c r="S808" t="s">
        <v>38</v>
      </c>
    </row>
    <row r="809" spans="1:19">
      <c r="A809" s="3">
        <v>2507397</v>
      </c>
      <c r="B809" t="str">
        <f>VLOOKUP(A809,File!$A:$J,2,FALSE)</f>
        <v>Visali Kuppan</v>
      </c>
      <c r="C809" s="29">
        <f>VLOOKUP(A809,File!$A:$J,5,FALSE)</f>
        <v>46142</v>
      </c>
      <c r="D809" s="29" t="str">
        <f>VLOOKUP(A809,File!$A:$J,3,FALSE)</f>
        <v>Female</v>
      </c>
      <c r="E809" s="29" t="str">
        <f>VLOOKUP(A809,File!$A:$J,4,FALSE)</f>
        <v>FTE</v>
      </c>
      <c r="F809" s="29" t="str">
        <f>VLOOKUP(A809,File!$A:$J,6,FALSE)</f>
        <v>Chennai</v>
      </c>
      <c r="G809" s="29" t="str">
        <f>VLOOKUP(A809,File!$A:$J,7,FALSE)</f>
        <v>ADM26MF009</v>
      </c>
      <c r="H809" s="29" t="str">
        <f>VLOOKUP(A809,File!$A:$J,8,FALSE)</f>
        <v>Nithyakalyani Muthukumar</v>
      </c>
      <c r="I809" s="31">
        <f>VLOOKUP(A809,File!$A:$J,9,FALSE)</f>
        <v>46268</v>
      </c>
      <c r="J809" s="31" t="str">
        <f>VLOOKUP(A809,File!$A:$K,11,FALSE)</f>
        <v>Sep 2026</v>
      </c>
      <c r="K809" s="31" t="str">
        <f>VLOOKUP(A809,File!$A:$K,10,FALSE)</f>
        <v>In-Training-Remedial</v>
      </c>
      <c r="L809" s="31" t="s">
        <v>5</v>
      </c>
      <c r="M809" t="str">
        <f>VLOOKUP(A809,Response!$A:$M,7,)</f>
        <v>Rented House/Apartment</v>
      </c>
      <c r="N809" t="str">
        <f>VLOOKUP(A809,Response!$A:$M,8,)</f>
        <v>RAMAPURAM CHENNAI</v>
      </c>
      <c r="O809" s="4">
        <f>VLOOKUP(A809,Response!$A:$M,10,)</f>
        <v>1</v>
      </c>
      <c r="P809" t="str">
        <f>VLOOKUP(A809,Response!$A:$M,12,)</f>
        <v>Yes</v>
      </c>
      <c r="Q809" t="str">
        <f>VLOOKUP(A809,Response!$A:$M,11,)</f>
        <v>NESAPAKKAM</v>
      </c>
      <c r="R809" t="s">
        <v>66</v>
      </c>
      <c r="S809" s="40" t="s">
        <v>36</v>
      </c>
    </row>
    <row r="810" spans="1:19">
      <c r="A810" s="3">
        <v>2524500</v>
      </c>
      <c r="B810" t="str">
        <f>VLOOKUP(A810,File!$A:$J,2,FALSE)</f>
        <v>Arumithran LNU</v>
      </c>
      <c r="C810" s="29">
        <f>VLOOKUP(A810,File!$A:$J,5,FALSE)</f>
        <v>46224</v>
      </c>
      <c r="D810" s="29" t="str">
        <f>VLOOKUP(A810,File!$A:$J,3,FALSE)</f>
        <v>Male</v>
      </c>
      <c r="E810" s="29" t="str">
        <f>VLOOKUP(A810,File!$A:$J,4,FALSE)</f>
        <v>FTE</v>
      </c>
      <c r="F810" s="29" t="str">
        <f>VLOOKUP(A810,File!$A:$J,6,FALSE)</f>
        <v>Chennai</v>
      </c>
      <c r="G810" s="29" t="str">
        <f>VLOOKUP(A810,File!$A:$J,7,FALSE)</f>
        <v>ADM26MF012</v>
      </c>
      <c r="H810" s="29" t="str">
        <f>VLOOKUP(A810,File!$A:$J,8,FALSE)</f>
        <v>Lourdhu Selvin Raj X</v>
      </c>
      <c r="I810" s="31">
        <f>VLOOKUP(A810,File!$A:$J,9,FALSE)</f>
        <v>46343</v>
      </c>
      <c r="J810" s="31" t="str">
        <f>VLOOKUP(A810,File!$A:$K,11,FALSE)</f>
        <v>Nov 2026</v>
      </c>
      <c r="K810" s="31" t="str">
        <f>VLOOKUP(A810,File!$A:$K,10,FALSE)</f>
        <v>In-Training</v>
      </c>
      <c r="L810" s="31" t="s">
        <v>4</v>
      </c>
      <c r="M810" t="str">
        <f>VLOOKUP(A810,Response!$A:$M,7,)</f>
        <v>PG (Paying Guest)</v>
      </c>
      <c r="N810" t="str">
        <f>VLOOKUP(A810,Response!$A:$M,8,)</f>
        <v xml:space="preserve">Red Brick Mens PG </v>
      </c>
      <c r="O810" s="4">
        <f>VLOOKUP(A810,Response!$A:$M,10,)</f>
        <v>3</v>
      </c>
      <c r="P810" t="str">
        <f>VLOOKUP(A810,Response!$A:$M,12,)</f>
        <v>No</v>
      </c>
      <c r="Q810" t="str">
        <f>VLOOKUP(A810,Response!$A:$M,11,)</f>
        <v>Egattur</v>
      </c>
      <c r="R810" t="s">
        <v>19</v>
      </c>
      <c r="S810" s="39" t="s">
        <v>37</v>
      </c>
    </row>
    <row r="811" spans="1:19">
      <c r="A811" s="3">
        <v>2529585</v>
      </c>
      <c r="B811" t="str">
        <f>VLOOKUP(A811,File!$A:$J,2,FALSE)</f>
        <v>Derangula Jeevan</v>
      </c>
      <c r="C811" s="29">
        <f>VLOOKUP(A811,File!$A:$J,5,FALSE)</f>
        <v>46245</v>
      </c>
      <c r="D811" s="29" t="str">
        <f>VLOOKUP(A811,File!$A:$J,3,FALSE)</f>
        <v>Male</v>
      </c>
      <c r="E811" s="29" t="str">
        <f>VLOOKUP(A811,File!$A:$J,4,FALSE)</f>
        <v>FTE</v>
      </c>
      <c r="F811" s="29" t="str">
        <f>VLOOKUP(A811,File!$A:$J,6,FALSE)</f>
        <v>Chennai</v>
      </c>
      <c r="G811" s="29" t="str">
        <f>VLOOKUP(A811,File!$A:$J,7,FALSE)</f>
        <v>CIS26MCPT025</v>
      </c>
      <c r="H811" s="29" t="str">
        <f>VLOOKUP(A811,File!$A:$J,8,FALSE)</f>
        <v>Vignesh S</v>
      </c>
      <c r="I811" s="31">
        <f>VLOOKUP(A811,File!$A:$J,9,FALSE)</f>
        <v>46359</v>
      </c>
      <c r="J811" s="31" t="str">
        <f>VLOOKUP(A811,File!$A:$K,11,FALSE)</f>
        <v>Dec 2026</v>
      </c>
      <c r="K811" s="31" t="str">
        <f>VLOOKUP(A811,File!$A:$K,10,FALSE)</f>
        <v>In-Training</v>
      </c>
      <c r="L811" s="31" t="s">
        <v>4</v>
      </c>
      <c r="M811" t="str">
        <f>VLOOKUP(A811,Response!$A:$M,7,)</f>
        <v>PG (Paying Guest)</v>
      </c>
      <c r="N811" t="str">
        <f>VLOOKUP(A811,Response!$A:$M,8,)</f>
        <v xml:space="preserve">Red brick mens pg, siruseri, </v>
      </c>
      <c r="O811" s="4">
        <f>VLOOKUP(A811,Response!$A:$M,10,)</f>
        <v>1</v>
      </c>
      <c r="P811" t="str">
        <f>VLOOKUP(A811,Response!$A:$M,12,)</f>
        <v>No</v>
      </c>
      <c r="Q811" t="str">
        <f>VLOOKUP(A811,Response!$A:$M,11,)</f>
        <v>Siruseri</v>
      </c>
      <c r="R811" t="s">
        <v>19</v>
      </c>
      <c r="S811" s="39" t="s">
        <v>37</v>
      </c>
    </row>
    <row r="812" spans="1:19">
      <c r="A812" s="3">
        <v>2520940</v>
      </c>
      <c r="B812" t="str">
        <f>VLOOKUP(A812,File!$A:$J,2,FALSE)</f>
        <v>Anand Sanjay Dhomase</v>
      </c>
      <c r="C812" s="29">
        <f>VLOOKUP(A812,File!$A:$J,5,FALSE)</f>
        <v>46210</v>
      </c>
      <c r="D812" s="29" t="str">
        <f>VLOOKUP(A812,File!$A:$J,3,FALSE)</f>
        <v>Male</v>
      </c>
      <c r="E812" s="29" t="str">
        <f>VLOOKUP(A812,File!$A:$J,4,FALSE)</f>
        <v>FTE</v>
      </c>
      <c r="F812" s="29" t="str">
        <f>VLOOKUP(A812,File!$A:$J,6,FALSE)</f>
        <v>Chennai</v>
      </c>
      <c r="G812" s="29" t="str">
        <f>VLOOKUP(A812,File!$A:$J,7,FALSE)</f>
        <v>CS26CS007</v>
      </c>
      <c r="H812" s="29" t="str">
        <f>VLOOKUP(A812,File!$A:$J,8,FALSE)</f>
        <v>Lawrance M</v>
      </c>
      <c r="I812" s="31">
        <f>VLOOKUP(A812,File!$A:$J,9,FALSE)</f>
        <v>46272</v>
      </c>
      <c r="J812" s="31" t="str">
        <f>VLOOKUP(A812,File!$A:$K,11,FALSE)</f>
        <v>Sep 2026</v>
      </c>
      <c r="K812" s="31" t="str">
        <f>VLOOKUP(A812,File!$A:$K,10,FALSE)</f>
        <v>In-Training</v>
      </c>
      <c r="L812" s="31" t="s">
        <v>4</v>
      </c>
      <c r="M812" t="str">
        <f>VLOOKUP(A812,Response!$A:$M,7,)</f>
        <v>PG (Paying Guest)</v>
      </c>
      <c r="N812" t="str">
        <f>VLOOKUP(A812,Response!$A:$M,8,)</f>
        <v>Riverok villas</v>
      </c>
      <c r="O812" s="4">
        <f>VLOOKUP(A812,Response!$A:$M,10,)</f>
        <v>1</v>
      </c>
      <c r="P812" t="str">
        <f>VLOOKUP(A812,Response!$A:$M,12,)</f>
        <v>No</v>
      </c>
      <c r="Q812" t="str">
        <f>VLOOKUP(A812,Response!$A:$M,11,)</f>
        <v>Siruseri</v>
      </c>
      <c r="R812" t="s">
        <v>19</v>
      </c>
      <c r="S812" s="39" t="s">
        <v>37</v>
      </c>
    </row>
    <row r="813" spans="1:19">
      <c r="A813" s="3">
        <v>2520965</v>
      </c>
      <c r="B813" t="str">
        <f>VLOOKUP(A813,File!$A:$J,2,FALSE)</f>
        <v>Pranav Nandkumar Khot</v>
      </c>
      <c r="C813" s="29">
        <f>VLOOKUP(A813,File!$A:$J,5,FALSE)</f>
        <v>46210</v>
      </c>
      <c r="D813" s="29" t="str">
        <f>VLOOKUP(A813,File!$A:$J,3,FALSE)</f>
        <v>Male</v>
      </c>
      <c r="E813" s="29" t="str">
        <f>VLOOKUP(A813,File!$A:$J,4,FALSE)</f>
        <v>FTE</v>
      </c>
      <c r="F813" s="29" t="str">
        <f>VLOOKUP(A813,File!$A:$J,6,FALSE)</f>
        <v>Chennai</v>
      </c>
      <c r="G813" s="29" t="str">
        <f>VLOOKUP(A813,File!$A:$J,7,FALSE)</f>
        <v>CS26CS007</v>
      </c>
      <c r="H813" s="29" t="str">
        <f>VLOOKUP(A813,File!$A:$J,8,FALSE)</f>
        <v>Lawrance M</v>
      </c>
      <c r="I813" s="31">
        <f>VLOOKUP(A813,File!$A:$J,9,FALSE)</f>
        <v>46272</v>
      </c>
      <c r="J813" s="31" t="str">
        <f>VLOOKUP(A813,File!$A:$K,11,FALSE)</f>
        <v>Sep 2026</v>
      </c>
      <c r="K813" s="31" t="str">
        <f>VLOOKUP(A813,File!$A:$K,10,FALSE)</f>
        <v>In-Training</v>
      </c>
      <c r="L813" s="31" t="s">
        <v>4</v>
      </c>
      <c r="M813" t="str">
        <f>VLOOKUP(A813,Response!$A:$M,7,)</f>
        <v>PG (Paying Guest)</v>
      </c>
      <c r="N813" t="str">
        <f>VLOOKUP(A813,Response!$A:$M,8,)</f>
        <v>Riverok villas</v>
      </c>
      <c r="O813" s="4">
        <f>VLOOKUP(A813,Response!$A:$M,10,)</f>
        <v>1</v>
      </c>
      <c r="P813" t="str">
        <f>VLOOKUP(A813,Response!$A:$M,12,)</f>
        <v>No</v>
      </c>
      <c r="Q813" t="str">
        <f>VLOOKUP(A813,Response!$A:$M,11,)</f>
        <v>Siruseri</v>
      </c>
      <c r="R813" t="s">
        <v>19</v>
      </c>
      <c r="S813" s="39" t="s">
        <v>37</v>
      </c>
    </row>
    <row r="814" spans="1:19">
      <c r="A814" s="3">
        <v>2521320</v>
      </c>
      <c r="B814" t="str">
        <f>VLOOKUP(A814,File!$A:$J,2,FALSE)</f>
        <v>MD Ishtiyaque</v>
      </c>
      <c r="C814" s="29">
        <f>VLOOKUP(A814,File!$A:$J,5,FALSE)</f>
        <v>46210</v>
      </c>
      <c r="D814" s="29" t="str">
        <f>VLOOKUP(A814,File!$A:$J,3,FALSE)</f>
        <v>Male</v>
      </c>
      <c r="E814" s="29" t="str">
        <f>VLOOKUP(A814,File!$A:$J,4,FALSE)</f>
        <v>FTE</v>
      </c>
      <c r="F814" s="29" t="str">
        <f>VLOOKUP(A814,File!$A:$J,6,FALSE)</f>
        <v>Chennai</v>
      </c>
      <c r="G814" s="29" t="str">
        <f>VLOOKUP(A814,File!$A:$J,7,FALSE)</f>
        <v>EPS26WD004</v>
      </c>
      <c r="H814" s="29" t="str">
        <f>VLOOKUP(A814,File!$A:$J,8,FALSE)</f>
        <v>Ajith Ganesan</v>
      </c>
      <c r="I814" s="31">
        <f>VLOOKUP(A814,File!$A:$J,9,FALSE)</f>
        <v>46310</v>
      </c>
      <c r="J814" s="31" t="str">
        <f>VLOOKUP(A814,File!$A:$K,11,FALSE)</f>
        <v>Oct 2026</v>
      </c>
      <c r="K814" s="31" t="str">
        <f>VLOOKUP(A814,File!$A:$K,10,FALSE)</f>
        <v>In-Training</v>
      </c>
      <c r="L814" s="31" t="s">
        <v>4</v>
      </c>
      <c r="M814" t="str">
        <f>VLOOKUP(A814,Response!$A:$M,7,)</f>
        <v>PG (Paying Guest)</v>
      </c>
      <c r="N814" t="str">
        <f>VLOOKUP(A814,Response!$A:$M,8,)</f>
        <v>Riverok omr navalur</v>
      </c>
      <c r="O814" s="4" t="str">
        <f>VLOOKUP(A814,Response!$A:$M,10,)</f>
        <v>GF</v>
      </c>
      <c r="P814" t="str">
        <f>VLOOKUP(A814,Response!$A:$M,12,)</f>
        <v>No</v>
      </c>
      <c r="Q814" t="str">
        <f>VLOOKUP(A814,Response!$A:$M,11,)</f>
        <v>Navalur</v>
      </c>
      <c r="R814" t="s">
        <v>19</v>
      </c>
      <c r="S814" s="39" t="s">
        <v>37</v>
      </c>
    </row>
    <row r="815" spans="1:19">
      <c r="A815" s="3">
        <v>2523374</v>
      </c>
      <c r="B815" t="str">
        <f>VLOOKUP(A815,File!$A:$J,2,FALSE)</f>
        <v>Krish Dineshbhai Bhuva</v>
      </c>
      <c r="C815" s="29">
        <f>VLOOKUP(A815,File!$A:$J,5,FALSE)</f>
        <v>46219</v>
      </c>
      <c r="D815" s="29" t="str">
        <f>VLOOKUP(A815,File!$A:$J,3,FALSE)</f>
        <v>Male</v>
      </c>
      <c r="E815" s="29" t="str">
        <f>VLOOKUP(A815,File!$A:$J,4,FALSE)</f>
        <v>FTE</v>
      </c>
      <c r="F815" s="29" t="str">
        <f>VLOOKUP(A815,File!$A:$J,6,FALSE)</f>
        <v>Chennai</v>
      </c>
      <c r="G815" s="29" t="str">
        <f>VLOOKUP(A815,File!$A:$J,7,FALSE)</f>
        <v>CS26CS009</v>
      </c>
      <c r="H815" s="29" t="str">
        <f>VLOOKUP(A815,File!$A:$J,8,FALSE)</f>
        <v>Laksiya Vijayendran</v>
      </c>
      <c r="I815" s="31">
        <f>VLOOKUP(A815,File!$A:$J,9,FALSE)</f>
        <v>46309</v>
      </c>
      <c r="J815" s="31" t="str">
        <f>VLOOKUP(A815,File!$A:$K,11,FALSE)</f>
        <v>Oct 2026</v>
      </c>
      <c r="K815" s="31" t="str">
        <f>VLOOKUP(A815,File!$A:$K,10,FALSE)</f>
        <v>In-Training</v>
      </c>
      <c r="L815" s="31" t="s">
        <v>4</v>
      </c>
      <c r="M815" t="str">
        <f>VLOOKUP(A815,Response!$A:$M,7,)</f>
        <v>PG (Paying Guest)</v>
      </c>
      <c r="N815" t="str">
        <f>VLOOKUP(A815,Response!$A:$M,8,)</f>
        <v xml:space="preserve">Room No.207, Siddu’s Premium Men’s PG, No 89C, city park layout, 3rd left street, Egattur, Siruseri IT Park, Chennai, Tamil Nadu 603103  </v>
      </c>
      <c r="O815" s="4">
        <f>VLOOKUP(A815,Response!$A:$M,10,)</f>
        <v>2</v>
      </c>
      <c r="P815" t="str">
        <f>VLOOKUP(A815,Response!$A:$M,12,)</f>
        <v>No</v>
      </c>
      <c r="Q815" t="str">
        <f>VLOOKUP(A815,Response!$A:$M,11,)</f>
        <v>Siruseri</v>
      </c>
      <c r="R815" t="s">
        <v>19</v>
      </c>
      <c r="S815" s="39" t="s">
        <v>37</v>
      </c>
    </row>
    <row r="816" spans="1:19">
      <c r="A816" s="3">
        <v>2521034</v>
      </c>
      <c r="B816" t="str">
        <f>VLOOKUP(A816,File!$A:$J,2,FALSE)</f>
        <v>Kakani Cherry Johnson</v>
      </c>
      <c r="C816" s="29">
        <f>VLOOKUP(A816,File!$A:$J,5,FALSE)</f>
        <v>46210</v>
      </c>
      <c r="D816" s="29" t="str">
        <f>VLOOKUP(A816,File!$A:$J,3,FALSE)</f>
        <v>Male</v>
      </c>
      <c r="E816" s="29" t="str">
        <f>VLOOKUP(A816,File!$A:$J,4,FALSE)</f>
        <v>FTE</v>
      </c>
      <c r="F816" s="29" t="str">
        <f>VLOOKUP(A816,File!$A:$J,6,FALSE)</f>
        <v>Chennai</v>
      </c>
      <c r="G816" s="29" t="str">
        <f>VLOOKUP(A816,File!$A:$J,7,FALSE)</f>
        <v>SNBG26SN004</v>
      </c>
      <c r="H816" s="29" t="str">
        <f>VLOOKUP(A816,File!$A:$J,8,FALSE)</f>
        <v>Kishorekumar P</v>
      </c>
      <c r="I816" s="31">
        <f>VLOOKUP(A816,File!$A:$J,9,FALSE)</f>
        <v>46281</v>
      </c>
      <c r="J816" s="31" t="str">
        <f>VLOOKUP(A816,File!$A:$K,11,FALSE)</f>
        <v>Sep 2026</v>
      </c>
      <c r="K816" s="31" t="str">
        <f>VLOOKUP(A816,File!$A:$K,10,FALSE)</f>
        <v>In-Training</v>
      </c>
      <c r="L816" s="31" t="s">
        <v>4</v>
      </c>
      <c r="M816" t="str">
        <f>VLOOKUP(A816,Response!$A:$M,7,)</f>
        <v>PG (Paying Guest)</v>
      </c>
      <c r="N816" t="str">
        <f>VLOOKUP(A816,Response!$A:$M,8,)</f>
        <v xml:space="preserve">Room No: 203, 1st floor, SPT PG for Gents, Egattur, Chennai  </v>
      </c>
      <c r="O816" s="4">
        <f>VLOOKUP(A816,Response!$A:$M,10,)</f>
        <v>1</v>
      </c>
      <c r="P816" t="str">
        <f>VLOOKUP(A816,Response!$A:$M,12,)</f>
        <v>No</v>
      </c>
      <c r="Q816" t="str">
        <f>VLOOKUP(A816,Response!$A:$M,11,)</f>
        <v>Egattur</v>
      </c>
      <c r="R816" t="s">
        <v>19</v>
      </c>
      <c r="S816" s="39" t="s">
        <v>37</v>
      </c>
    </row>
    <row r="817" spans="1:19">
      <c r="A817" s="3">
        <v>2529591</v>
      </c>
      <c r="B817" t="str">
        <f>VLOOKUP(A817,File!$A:$J,2,FALSE)</f>
        <v>Samiksha Nagaraju Thatipamula</v>
      </c>
      <c r="C817" s="29">
        <f>VLOOKUP(A817,File!$A:$J,5,FALSE)</f>
        <v>46245</v>
      </c>
      <c r="D817" s="29" t="str">
        <f>VLOOKUP(A817,File!$A:$J,3,FALSE)</f>
        <v>Female</v>
      </c>
      <c r="E817" s="29" t="str">
        <f>VLOOKUP(A817,File!$A:$J,4,FALSE)</f>
        <v>FTE</v>
      </c>
      <c r="F817" s="29" t="str">
        <f>VLOOKUP(A817,File!$A:$J,6,FALSE)</f>
        <v>Chennai</v>
      </c>
      <c r="G817" s="29" t="str">
        <f>VLOOKUP(A817,File!$A:$J,7,FALSE)</f>
        <v>CIS26MCPT025</v>
      </c>
      <c r="H817" s="29" t="str">
        <f>VLOOKUP(A817,File!$A:$J,8,FALSE)</f>
        <v>Vignesh S</v>
      </c>
      <c r="I817" s="31">
        <f>VLOOKUP(A817,File!$A:$J,9,FALSE)</f>
        <v>46359</v>
      </c>
      <c r="J817" s="31" t="str">
        <f>VLOOKUP(A817,File!$A:$K,11,FALSE)</f>
        <v>Dec 2026</v>
      </c>
      <c r="K817" s="31" t="str">
        <f>VLOOKUP(A817,File!$A:$K,10,FALSE)</f>
        <v>In-Training</v>
      </c>
      <c r="L817" s="31" t="s">
        <v>4</v>
      </c>
      <c r="M817" t="str">
        <f>VLOOKUP(A817,Response!$A:$M,7,)</f>
        <v>PG (Paying Guest)</v>
      </c>
      <c r="N817" t="str">
        <f>VLOOKUP(A817,Response!$A:$M,8,)</f>
        <v>Room No: 414, Aura Nest PG for Ladies, #86, 3rd Cross Road, Muthamma Street, Near TCS New Building, City Park Layout, Siruseri, Chennai, 603103</v>
      </c>
      <c r="O817" s="4">
        <f>VLOOKUP(A817,Response!$A:$M,10,)</f>
        <v>4</v>
      </c>
      <c r="P817" t="str">
        <f>VLOOKUP(A817,Response!$A:$M,12,)</f>
        <v>No</v>
      </c>
      <c r="Q817" t="str">
        <f>VLOOKUP(A817,Response!$A:$M,11,)</f>
        <v>Egattur</v>
      </c>
      <c r="R817" t="s">
        <v>19</v>
      </c>
      <c r="S817" s="39" t="s">
        <v>37</v>
      </c>
    </row>
    <row r="818" spans="1:19">
      <c r="A818" s="3">
        <v>2530196</v>
      </c>
      <c r="B818" t="str">
        <f>VLOOKUP(A818,File!$A:$J,2,FALSE)</f>
        <v>Adawet Rath</v>
      </c>
      <c r="C818" s="29">
        <f>VLOOKUP(A818,File!$A:$J,5,FALSE)</f>
        <v>46247</v>
      </c>
      <c r="D818" s="29" t="str">
        <f>VLOOKUP(A818,File!$A:$J,3,FALSE)</f>
        <v>Male</v>
      </c>
      <c r="E818" s="29" t="str">
        <f>VLOOKUP(A818,File!$A:$J,4,FALSE)</f>
        <v>FTE</v>
      </c>
      <c r="F818" s="29" t="str">
        <f>VLOOKUP(A818,File!$A:$J,6,FALSE)</f>
        <v>Chennai</v>
      </c>
      <c r="G818" s="29" t="str">
        <f>VLOOKUP(A818,File!$A:$J,7,FALSE)</f>
        <v>EPS26OSPPRO001</v>
      </c>
      <c r="H818" s="29" t="str">
        <f>VLOOKUP(A818,File!$A:$J,8,FALSE)</f>
        <v>Gayathri Ramachandran</v>
      </c>
      <c r="I818" s="31">
        <f>VLOOKUP(A818,File!$A:$J,9,FALSE)</f>
        <v>46363</v>
      </c>
      <c r="J818" s="31" t="str">
        <f>VLOOKUP(A818,File!$A:$K,11,FALSE)</f>
        <v>Dec 2026</v>
      </c>
      <c r="K818" s="31" t="str">
        <f>VLOOKUP(A818,File!$A:$K,10,FALSE)</f>
        <v>In-Training</v>
      </c>
      <c r="L818" s="31" t="s">
        <v>4</v>
      </c>
      <c r="M818" t="str">
        <f>VLOOKUP(A818,Response!$A:$M,7,)</f>
        <v>PG (Paying Guest)</v>
      </c>
      <c r="N818" t="str">
        <f>VLOOKUP(A818,Response!$A:$M,8,)</f>
        <v>Room Number 402 Atrumah TVH Terrahub PG For Boys (5th street) no 57 Egattur village road Uthandi Navalur Egattur 600130</v>
      </c>
      <c r="O818" s="4">
        <f>VLOOKUP(A818,Response!$A:$M,10,)</f>
        <v>4</v>
      </c>
      <c r="P818" t="str">
        <f>VLOOKUP(A818,Response!$A:$M,12,)</f>
        <v>No</v>
      </c>
      <c r="Q818" t="str">
        <f>VLOOKUP(A818,Response!$A:$M,11,)</f>
        <v>Siruseri</v>
      </c>
      <c r="R818" t="s">
        <v>19</v>
      </c>
      <c r="S818" s="39" t="s">
        <v>37</v>
      </c>
    </row>
    <row r="819" spans="1:19">
      <c r="A819" s="3">
        <v>2516859</v>
      </c>
      <c r="B819" t="str">
        <f>VLOOKUP(A819,File!$A:$J,2,FALSE)</f>
        <v>Manik LNU</v>
      </c>
      <c r="C819" s="29">
        <f>VLOOKUP(A819,File!$A:$J,5,FALSE)</f>
        <v>46191</v>
      </c>
      <c r="D819" s="29" t="str">
        <f>VLOOKUP(A819,File!$A:$J,3,FALSE)</f>
        <v>Male</v>
      </c>
      <c r="E819" s="29" t="str">
        <f>VLOOKUP(A819,File!$A:$J,4,FALSE)</f>
        <v>FTE</v>
      </c>
      <c r="F819" s="29" t="str">
        <f>VLOOKUP(A819,File!$A:$J,6,FALSE)</f>
        <v>Chennai</v>
      </c>
      <c r="G819" s="29" t="str">
        <f>VLOOKUP(A819,File!$A:$J,7,FALSE)</f>
        <v>CIS26NET004</v>
      </c>
      <c r="H819" s="29" t="str">
        <f>VLOOKUP(A819,File!$A:$J,8,FALSE)</f>
        <v>Uma Venkatachalam</v>
      </c>
      <c r="I819" s="31">
        <f>VLOOKUP(A819,File!$A:$J,9,FALSE)</f>
        <v>46269</v>
      </c>
      <c r="J819" s="31" t="str">
        <f>VLOOKUP(A819,File!$A:$K,11,FALSE)</f>
        <v>Sep 2026</v>
      </c>
      <c r="K819" s="31" t="str">
        <f>VLOOKUP(A819,File!$A:$K,10,FALSE)</f>
        <v>In-Training</v>
      </c>
      <c r="L819" s="31" t="s">
        <v>4</v>
      </c>
      <c r="M819" t="str">
        <f>VLOOKUP(A819,Response!$A:$M,7,)</f>
        <v>PG (Paying Guest)</v>
      </c>
      <c r="N819" t="str">
        <f>VLOOKUP(A819,Response!$A:$M,8,)</f>
        <v>RR Gents Hostel Branch 2, Eggatur, Tamil Nadu</v>
      </c>
      <c r="O819" s="4">
        <f>VLOOKUP(A819,Response!$A:$M,10,)</f>
        <v>1</v>
      </c>
      <c r="P819" t="str">
        <f>VLOOKUP(A819,Response!$A:$M,12,)</f>
        <v>No</v>
      </c>
      <c r="Q819" t="str">
        <f>VLOOKUP(A819,Response!$A:$M,11,)</f>
        <v>Navalur</v>
      </c>
      <c r="R819" t="s">
        <v>19</v>
      </c>
      <c r="S819" s="39" t="s">
        <v>37</v>
      </c>
    </row>
    <row r="820" spans="1:19">
      <c r="A820" s="3">
        <v>2521688</v>
      </c>
      <c r="B820" t="str">
        <f>VLOOKUP(A820,File!$A:$J,2,FALSE)</f>
        <v>Mallikarjun Channappa Hadapad</v>
      </c>
      <c r="C820" s="29">
        <f>VLOOKUP(A820,File!$A:$J,5,FALSE)</f>
        <v>46212</v>
      </c>
      <c r="D820" s="29" t="str">
        <f>VLOOKUP(A820,File!$A:$J,3,FALSE)</f>
        <v>Male</v>
      </c>
      <c r="E820" s="29" t="str">
        <f>VLOOKUP(A820,File!$A:$J,4,FALSE)</f>
        <v>FTE</v>
      </c>
      <c r="F820" s="29" t="str">
        <f>VLOOKUP(A820,File!$A:$J,6,FALSE)</f>
        <v>Chennai</v>
      </c>
      <c r="G820" s="29" t="str">
        <f>VLOOKUP(A820,File!$A:$J,7,FALSE)</f>
        <v>QEA26QEPT023</v>
      </c>
      <c r="H820" s="29" t="str">
        <f>VLOOKUP(A820,File!$A:$J,8,FALSE)</f>
        <v>Sweta Thoppil</v>
      </c>
      <c r="I820" s="31">
        <f>VLOOKUP(A820,File!$A:$J,9,FALSE)</f>
        <v>46314</v>
      </c>
      <c r="J820" s="31" t="str">
        <f>VLOOKUP(A820,File!$A:$K,11,FALSE)</f>
        <v>Oct 2026</v>
      </c>
      <c r="K820" s="31" t="str">
        <f>VLOOKUP(A820,File!$A:$K,10,FALSE)</f>
        <v>In-Training</v>
      </c>
      <c r="L820" s="31" t="s">
        <v>4</v>
      </c>
      <c r="M820" t="str">
        <f>VLOOKUP(A820,Response!$A:$M,7,)</f>
        <v>PG (Paying Guest)</v>
      </c>
      <c r="N820" t="str">
        <f>VLOOKUP(A820,Response!$A:$M,8,)</f>
        <v>RR pg boys G2,Egattur</v>
      </c>
      <c r="O820" s="4">
        <f>VLOOKUP(A820,Response!$A:$M,10,)</f>
        <v>1</v>
      </c>
      <c r="P820" t="str">
        <f>VLOOKUP(A820,Response!$A:$M,12,)</f>
        <v>No</v>
      </c>
      <c r="Q820" t="str">
        <f>VLOOKUP(A820,Response!$A:$M,11,)</f>
        <v>Egattur</v>
      </c>
      <c r="R820" t="s">
        <v>19</v>
      </c>
      <c r="S820" s="39" t="s">
        <v>37</v>
      </c>
    </row>
    <row r="821" spans="1:19">
      <c r="A821" s="3">
        <v>2521129</v>
      </c>
      <c r="B821" t="str">
        <f>VLOOKUP(A821,File!$A:$J,2,FALSE)</f>
        <v>Nithikaa S J</v>
      </c>
      <c r="C821" s="29">
        <f>VLOOKUP(A821,File!$A:$J,5,FALSE)</f>
        <v>46210</v>
      </c>
      <c r="D821" s="29" t="str">
        <f>VLOOKUP(A821,File!$A:$J,3,FALSE)</f>
        <v>Female</v>
      </c>
      <c r="E821" s="29" t="str">
        <f>VLOOKUP(A821,File!$A:$J,4,FALSE)</f>
        <v>FTE</v>
      </c>
      <c r="F821" s="29" t="str">
        <f>VLOOKUP(A821,File!$A:$J,6,FALSE)</f>
        <v>Chennai</v>
      </c>
      <c r="G821" s="29" t="str">
        <f>VLOOKUP(A821,File!$A:$J,7,FALSE)</f>
        <v>CIS26SN001</v>
      </c>
      <c r="H821" s="29" t="str">
        <f>VLOOKUP(A821,File!$A:$J,8,FALSE)</f>
        <v>Ashiya Begam S</v>
      </c>
      <c r="I821" s="31">
        <f>VLOOKUP(A821,File!$A:$J,9,FALSE)</f>
        <v>46281</v>
      </c>
      <c r="J821" s="31" t="str">
        <f>VLOOKUP(A821,File!$A:$K,11,FALSE)</f>
        <v>Sep 2026</v>
      </c>
      <c r="K821" s="31" t="str">
        <f>VLOOKUP(A821,File!$A:$K,10,FALSE)</f>
        <v>In-Training</v>
      </c>
      <c r="L821" s="31" t="s">
        <v>5</v>
      </c>
      <c r="M821" t="str">
        <f>VLOOKUP(A821,Response!$A:$M,7,)</f>
        <v>Permanent Residence (House/Home)</v>
      </c>
      <c r="N821" t="str">
        <f>VLOOKUP(A821,Response!$A:$M,8,)</f>
        <v>S J Villa, Ambattur</v>
      </c>
      <c r="O821" s="4" t="str">
        <f>VLOOKUP(A821,Response!$A:$M,10,)</f>
        <v>GF</v>
      </c>
      <c r="P821" t="str">
        <f>VLOOKUP(A821,Response!$A:$M,12,)</f>
        <v>Yes</v>
      </c>
      <c r="Q821" t="str">
        <f>VLOOKUP(A821,Response!$A:$M,11,)</f>
        <v>Ambattur</v>
      </c>
      <c r="S821" t="s">
        <v>38</v>
      </c>
    </row>
    <row r="822" spans="1:19">
      <c r="A822" s="3">
        <v>2529643</v>
      </c>
      <c r="B822" t="str">
        <f>VLOOKUP(A822,File!$A:$J,2,FALSE)</f>
        <v>Felix Benedict Stalin</v>
      </c>
      <c r="C822" s="29">
        <f>VLOOKUP(A822,File!$A:$J,5,FALSE)</f>
        <v>46245</v>
      </c>
      <c r="D822" s="29" t="str">
        <f>VLOOKUP(A822,File!$A:$J,3,FALSE)</f>
        <v>Male</v>
      </c>
      <c r="E822" s="29" t="str">
        <f>VLOOKUP(A822,File!$A:$J,4,FALSE)</f>
        <v>FTE</v>
      </c>
      <c r="F822" s="29" t="str">
        <f>VLOOKUP(A822,File!$A:$J,6,FALSE)</f>
        <v>Chennai</v>
      </c>
      <c r="G822" s="29" t="str">
        <f>VLOOKUP(A822,File!$A:$J,7,FALSE)</f>
        <v>CIS26MCPT022</v>
      </c>
      <c r="H822" s="29" t="str">
        <f>VLOOKUP(A822,File!$A:$J,8,FALSE)</f>
        <v>Laksiya Vijayendran</v>
      </c>
      <c r="I822" s="31">
        <f>VLOOKUP(A822,File!$A:$J,9,FALSE)</f>
        <v>46359</v>
      </c>
      <c r="J822" s="31" t="str">
        <f>VLOOKUP(A822,File!$A:$K,11,FALSE)</f>
        <v>Dec 2026</v>
      </c>
      <c r="K822" s="31" t="str">
        <f>VLOOKUP(A822,File!$A:$K,10,FALSE)</f>
        <v>In-Training</v>
      </c>
      <c r="L822" s="31" t="s">
        <v>4</v>
      </c>
      <c r="M822" t="str">
        <f>VLOOKUP(A822,Response!$A:$M,7,)</f>
        <v>PG (Paying Guest)</v>
      </c>
      <c r="N822" t="str">
        <f>VLOOKUP(A822,Response!$A:$M,8,)</f>
        <v xml:space="preserve">S K Perumal Gents PG Hostel </v>
      </c>
      <c r="O822" s="4">
        <f>VLOOKUP(A822,Response!$A:$M,10,)</f>
        <v>1</v>
      </c>
      <c r="P822" t="str">
        <f>VLOOKUP(A822,Response!$A:$M,12,)</f>
        <v>Yes</v>
      </c>
      <c r="Q822" t="str">
        <f>VLOOKUP(A822,Response!$A:$M,11,)</f>
        <v>Siruseri</v>
      </c>
      <c r="R822" t="s">
        <v>19</v>
      </c>
      <c r="S822" s="39" t="s">
        <v>37</v>
      </c>
    </row>
    <row r="823" spans="1:19">
      <c r="A823" s="3">
        <v>2521769</v>
      </c>
      <c r="B823" t="str">
        <f>VLOOKUP(A823,File!$A:$J,2,FALSE)</f>
        <v>Amrutavarshan L</v>
      </c>
      <c r="C823" s="29">
        <f>VLOOKUP(A823,File!$A:$J,5,FALSE)</f>
        <v>46212</v>
      </c>
      <c r="D823" s="29" t="str">
        <f>VLOOKUP(A823,File!$A:$J,3,FALSE)</f>
        <v>Male</v>
      </c>
      <c r="E823" s="29" t="str">
        <f>VLOOKUP(A823,File!$A:$J,4,FALSE)</f>
        <v>FTE</v>
      </c>
      <c r="F823" s="29" t="str">
        <f>VLOOKUP(A823,File!$A:$J,6,FALSE)</f>
        <v>Chennai</v>
      </c>
      <c r="G823" s="29" t="str">
        <f>VLOOKUP(A823,File!$A:$J,7,FALSE)</f>
        <v>QEA26NFTPA001</v>
      </c>
      <c r="H823" s="29" t="str">
        <f>VLOOKUP(A823,File!$A:$J,8,FALSE)</f>
        <v>Lourdhu Selvin Raj X</v>
      </c>
      <c r="I823" s="31">
        <f>VLOOKUP(A823,File!$A:$J,9,FALSE)</f>
        <v>46337</v>
      </c>
      <c r="J823" s="31" t="str">
        <f>VLOOKUP(A823,File!$A:$K,11,FALSE)</f>
        <v>Nov 2026</v>
      </c>
      <c r="K823" s="31" t="str">
        <f>VLOOKUP(A823,File!$A:$K,10,FALSE)</f>
        <v>In-Training</v>
      </c>
      <c r="L823" s="31" t="s">
        <v>4</v>
      </c>
      <c r="M823" t="str">
        <f>VLOOKUP(A823,Response!$A:$M,7,)</f>
        <v>PG (Paying Guest)</v>
      </c>
      <c r="N823" t="str">
        <f>VLOOKUP(A823,Response!$A:$M,8,)</f>
        <v xml:space="preserve">S V Luxurious Gents Pg </v>
      </c>
      <c r="O823" s="4">
        <f>VLOOKUP(A823,Response!$A:$M,10,)</f>
        <v>1</v>
      </c>
      <c r="P823" t="str">
        <f>VLOOKUP(A823,Response!$A:$M,12,)</f>
        <v>Yes</v>
      </c>
      <c r="Q823" t="str">
        <f>VLOOKUP(A823,Response!$A:$M,11,)</f>
        <v>Navalur</v>
      </c>
      <c r="R823" t="s">
        <v>19</v>
      </c>
      <c r="S823" s="39" t="s">
        <v>37</v>
      </c>
    </row>
    <row r="824" spans="1:19">
      <c r="A824" s="3">
        <v>2511271</v>
      </c>
      <c r="B824" t="str">
        <f>VLOOKUP(A824,File!$A:$J,2,FALSE)</f>
        <v>Aniket Sanjivan Satale</v>
      </c>
      <c r="C824" s="29">
        <f>VLOOKUP(A824,File!$A:$J,5,FALSE)</f>
        <v>46163</v>
      </c>
      <c r="D824" s="29" t="str">
        <f>VLOOKUP(A824,File!$A:$J,3,FALSE)</f>
        <v>Male</v>
      </c>
      <c r="E824" s="29" t="str">
        <f>VLOOKUP(A824,File!$A:$J,4,FALSE)</f>
        <v>FTE</v>
      </c>
      <c r="F824" s="29" t="str">
        <f>VLOOKUP(A824,File!$A:$J,6,FALSE)</f>
        <v>Chennai</v>
      </c>
      <c r="G824" s="29" t="str">
        <f>VLOOKUP(A824,File!$A:$J,7,FALSE)</f>
        <v>CIS26MCPT010</v>
      </c>
      <c r="H824" s="29" t="str">
        <f>VLOOKUP(A824,File!$A:$J,8,FALSE)</f>
        <v>Mohamed Harish</v>
      </c>
      <c r="I824" s="31">
        <f>VLOOKUP(A824,File!$A:$J,9,FALSE)</f>
        <v>46275</v>
      </c>
      <c r="J824" s="31" t="str">
        <f>VLOOKUP(A824,File!$A:$K,11,FALSE)</f>
        <v>Sep 2026</v>
      </c>
      <c r="K824" s="31" t="str">
        <f>VLOOKUP(A824,File!$A:$K,10,FALSE)</f>
        <v>In-Training</v>
      </c>
      <c r="L824" s="31" t="s">
        <v>4</v>
      </c>
      <c r="M824" t="str">
        <f>VLOOKUP(A824,Response!$A:$M,7,)</f>
        <v>PG (Paying Guest)</v>
      </c>
      <c r="N824" t="str">
        <f>VLOOKUP(A824,Response!$A:$M,8,)</f>
        <v>S V LUXURIOUS Gents PG Dr Ambedakar street periyar st,Navalur Chennai Tamilnadu 600130</v>
      </c>
      <c r="O824" s="4">
        <f>VLOOKUP(A824,Response!$A:$M,10,)</f>
        <v>3</v>
      </c>
      <c r="P824" t="str">
        <f>VLOOKUP(A824,Response!$A:$M,12,)</f>
        <v>Yes</v>
      </c>
      <c r="Q824" t="str">
        <f>VLOOKUP(A824,Response!$A:$M,11,)</f>
        <v>Navalur</v>
      </c>
      <c r="R824" t="s">
        <v>19</v>
      </c>
      <c r="S824" s="39" t="s">
        <v>37</v>
      </c>
    </row>
    <row r="825" spans="1:19">
      <c r="A825" s="3">
        <v>2524534</v>
      </c>
      <c r="B825" t="str">
        <f>VLOOKUP(A825,File!$A:$J,2,FALSE)</f>
        <v>Mansi Balu Urshil</v>
      </c>
      <c r="C825" s="29">
        <f>VLOOKUP(A825,File!$A:$J,5,FALSE)</f>
        <v>46224</v>
      </c>
      <c r="D825" s="29" t="str">
        <f>VLOOKUP(A825,File!$A:$J,3,FALSE)</f>
        <v>Female</v>
      </c>
      <c r="E825" s="29" t="str">
        <f>VLOOKUP(A825,File!$A:$J,4,FALSE)</f>
        <v>FTE</v>
      </c>
      <c r="F825" s="29" t="str">
        <f>VLOOKUP(A825,File!$A:$J,6,FALSE)</f>
        <v>Chennai</v>
      </c>
      <c r="G825" s="29" t="str">
        <f>VLOOKUP(A825,File!$A:$J,7,FALSE)</f>
        <v>QEA26QEPT024</v>
      </c>
      <c r="H825" s="29" t="str">
        <f>VLOOKUP(A825,File!$A:$J,8,FALSE)</f>
        <v>Ajiesya D P</v>
      </c>
      <c r="I825" s="31">
        <f>VLOOKUP(A825,File!$A:$J,9,FALSE)</f>
        <v>46330</v>
      </c>
      <c r="J825" s="31" t="str">
        <f>VLOOKUP(A825,File!$A:$K,11,FALSE)</f>
        <v>Nov 2026</v>
      </c>
      <c r="K825" s="31" t="str">
        <f>VLOOKUP(A825,File!$A:$K,10,FALSE)</f>
        <v>In-Training</v>
      </c>
      <c r="L825" s="31" t="s">
        <v>4</v>
      </c>
      <c r="M825" t="str">
        <f>VLOOKUP(A825,Response!$A:$M,7,)</f>
        <v>PG (Paying Guest)</v>
      </c>
      <c r="N825" t="str">
        <f>VLOOKUP(A825,Response!$A:$M,8,)</f>
        <v>S.No.92/12, Gangai Amman Kovil Street, Old Mahabalipuram Road, Egattur, Siruseri, Tamil Nadu 600130</v>
      </c>
      <c r="O825" s="4">
        <f>VLOOKUP(A825,Response!$A:$M,10,)</f>
        <v>1</v>
      </c>
      <c r="P825" t="str">
        <f>VLOOKUP(A825,Response!$A:$M,12,)</f>
        <v>Yes</v>
      </c>
      <c r="Q825" t="str">
        <f>VLOOKUP(A825,Response!$A:$M,11,)</f>
        <v>Siruseri</v>
      </c>
      <c r="R825" t="s">
        <v>19</v>
      </c>
      <c r="S825" s="39" t="s">
        <v>37</v>
      </c>
    </row>
    <row r="826" spans="1:19">
      <c r="A826" s="3">
        <v>2522894</v>
      </c>
      <c r="B826" t="str">
        <f>VLOOKUP(A826,File!$A:$J,2,FALSE)</f>
        <v>Yajuvendra Shah</v>
      </c>
      <c r="C826" s="29">
        <f>VLOOKUP(A826,File!$A:$J,5,FALSE)</f>
        <v>46217</v>
      </c>
      <c r="D826" s="29" t="str">
        <f>VLOOKUP(A826,File!$A:$J,3,FALSE)</f>
        <v>Male</v>
      </c>
      <c r="E826" s="29" t="str">
        <f>VLOOKUP(A826,File!$A:$J,4,FALSE)</f>
        <v>FTE</v>
      </c>
      <c r="F826" s="29" t="str">
        <f>VLOOKUP(A826,File!$A:$J,6,FALSE)</f>
        <v>Chennai</v>
      </c>
      <c r="G826" s="29" t="str">
        <f>VLOOKUP(A826,File!$A:$J,7,FALSE)</f>
        <v>QEA26ST001</v>
      </c>
      <c r="H826" s="29" t="str">
        <f>VLOOKUP(A826,File!$A:$J,8,FALSE)</f>
        <v>Angel Maria Faustina Gomez</v>
      </c>
      <c r="I826" s="31">
        <f>VLOOKUP(A826,File!$A:$J,9,FALSE)</f>
        <v>46310</v>
      </c>
      <c r="J826" s="31" t="str">
        <f>VLOOKUP(A826,File!$A:$K,11,FALSE)</f>
        <v>Oct 2026</v>
      </c>
      <c r="K826" s="31" t="str">
        <f>VLOOKUP(A826,File!$A:$K,10,FALSE)</f>
        <v>In-Training</v>
      </c>
      <c r="L826" s="31" t="s">
        <v>4</v>
      </c>
      <c r="M826" t="str">
        <f>VLOOKUP(A826,Response!$A:$M,7,)</f>
        <v>PG (Paying Guest)</v>
      </c>
      <c r="N826" t="str">
        <f>VLOOKUP(A826,Response!$A:$M,8,)</f>
        <v>s4a, Zolo Mirage, Siruseri</v>
      </c>
      <c r="O826" s="4">
        <f>VLOOKUP(A826,Response!$A:$M,10,)</f>
        <v>2</v>
      </c>
      <c r="P826" t="str">
        <f>VLOOKUP(A826,Response!$A:$M,12,)</f>
        <v>No</v>
      </c>
      <c r="Q826" t="str">
        <f>VLOOKUP(A826,Response!$A:$M,11,)</f>
        <v>Egattur</v>
      </c>
      <c r="R826" t="s">
        <v>19</v>
      </c>
      <c r="S826" s="39" t="s">
        <v>37</v>
      </c>
    </row>
    <row r="827" spans="1:19">
      <c r="A827" s="3">
        <v>2523420</v>
      </c>
      <c r="B827" t="str">
        <f>VLOOKUP(A827,File!$A:$J,2,FALSE)</f>
        <v>Sivaramalingam Lnu</v>
      </c>
      <c r="C827" s="29">
        <f>VLOOKUP(A827,File!$A:$J,5,FALSE)</f>
        <v>46219</v>
      </c>
      <c r="D827" s="29" t="str">
        <f>VLOOKUP(A827,File!$A:$J,3,FALSE)</f>
        <v>Male</v>
      </c>
      <c r="E827" s="29" t="str">
        <f>VLOOKUP(A827,File!$A:$J,4,FALSE)</f>
        <v>FTE</v>
      </c>
      <c r="F827" s="29" t="str">
        <f>VLOOKUP(A827,File!$A:$J,6,FALSE)</f>
        <v>Chennai</v>
      </c>
      <c r="G827" s="29" t="str">
        <f>VLOOKUP(A827,File!$A:$J,7,FALSE)</f>
        <v>CS26CS009</v>
      </c>
      <c r="H827" s="29" t="str">
        <f>VLOOKUP(A827,File!$A:$J,8,FALSE)</f>
        <v>Laksiya Vijayendran</v>
      </c>
      <c r="I827" s="31">
        <f>VLOOKUP(A827,File!$A:$J,9,FALSE)</f>
        <v>46309</v>
      </c>
      <c r="J827" s="31" t="str">
        <f>VLOOKUP(A827,File!$A:$K,11,FALSE)</f>
        <v>Oct 2026</v>
      </c>
      <c r="K827" s="31" t="str">
        <f>VLOOKUP(A827,File!$A:$K,10,FALSE)</f>
        <v>In-Training</v>
      </c>
      <c r="L827" s="31" t="s">
        <v>4</v>
      </c>
      <c r="M827" t="str">
        <f>VLOOKUP(A827,Response!$A:$M,7,)</f>
        <v>PG (Paying Guest)</v>
      </c>
      <c r="N827" t="str">
        <f>VLOOKUP(A827,Response!$A:$M,8,)</f>
        <v>Sahas Gents PG, Egattur</v>
      </c>
      <c r="O827" s="4">
        <f>VLOOKUP(A827,Response!$A:$M,10,)</f>
        <v>2</v>
      </c>
      <c r="P827" t="str">
        <f>VLOOKUP(A827,Response!$A:$M,12,)</f>
        <v>Yes</v>
      </c>
      <c r="Q827" t="str">
        <f>VLOOKUP(A827,Response!$A:$M,11,)</f>
        <v>Egattur</v>
      </c>
      <c r="R827" t="s">
        <v>19</v>
      </c>
      <c r="S827" s="39" t="s">
        <v>37</v>
      </c>
    </row>
    <row r="828" spans="1:19">
      <c r="A828" s="3">
        <v>2524653</v>
      </c>
      <c r="B828" t="str">
        <f>VLOOKUP(A828,File!$A:$J,2,FALSE)</f>
        <v>Sriharan Karthikeyan</v>
      </c>
      <c r="C828" s="29">
        <f>VLOOKUP(A828,File!$A:$J,5,FALSE)</f>
        <v>46224</v>
      </c>
      <c r="D828" s="29" t="str">
        <f>VLOOKUP(A828,File!$A:$J,3,FALSE)</f>
        <v>Male</v>
      </c>
      <c r="E828" s="29" t="str">
        <f>VLOOKUP(A828,File!$A:$J,4,FALSE)</f>
        <v>FTE</v>
      </c>
      <c r="F828" s="29" t="str">
        <f>VLOOKUP(A828,File!$A:$J,6,FALSE)</f>
        <v>Chennai</v>
      </c>
      <c r="G828" s="29" t="str">
        <f>VLOOKUP(A828,File!$A:$J,7,FALSE)</f>
        <v>IOA26RPA005</v>
      </c>
      <c r="H828" s="29" t="str">
        <f>VLOOKUP(A828,File!$A:$J,8,FALSE)</f>
        <v>Adarsh J Nair</v>
      </c>
      <c r="I828" s="31">
        <f>VLOOKUP(A828,File!$A:$J,9,FALSE)</f>
        <v>46309</v>
      </c>
      <c r="J828" s="31" t="str">
        <f>VLOOKUP(A828,File!$A:$K,11,FALSE)</f>
        <v>Oct 2026</v>
      </c>
      <c r="K828" s="31" t="str">
        <f>VLOOKUP(A828,File!$A:$K,10,FALSE)</f>
        <v>In-Training</v>
      </c>
      <c r="L828" s="31" t="s">
        <v>4</v>
      </c>
      <c r="M828" t="str">
        <f>VLOOKUP(A828,Response!$A:$M,7,)</f>
        <v>PG (Paying Guest)</v>
      </c>
      <c r="N828" t="str">
        <f>VLOOKUP(A828,Response!$A:$M,8,)</f>
        <v>Sahas PG,Egattur</v>
      </c>
      <c r="O828" s="4" t="str">
        <f>VLOOKUP(A828,Response!$A:$M,10,)</f>
        <v>GF</v>
      </c>
      <c r="P828" t="str">
        <f>VLOOKUP(A828,Response!$A:$M,12,)</f>
        <v>No</v>
      </c>
      <c r="Q828" t="str">
        <f>VLOOKUP(A828,Response!$A:$M,11,)</f>
        <v>Egattur</v>
      </c>
      <c r="R828" t="s">
        <v>19</v>
      </c>
      <c r="S828" s="39" t="s">
        <v>37</v>
      </c>
    </row>
    <row r="829" spans="1:19">
      <c r="A829" s="3">
        <v>2533145</v>
      </c>
      <c r="B829" t="str">
        <f>VLOOKUP(A829,File!$A:$J,2,FALSE)</f>
        <v>Byreddy Mokshith</v>
      </c>
      <c r="C829" s="29">
        <f>VLOOKUP(A829,File!$A:$J,5,FALSE)</f>
        <v>46259</v>
      </c>
      <c r="D829" s="29" t="str">
        <f>VLOOKUP(A829,File!$A:$J,3,FALSE)</f>
        <v>Male</v>
      </c>
      <c r="E829" s="29" t="str">
        <f>VLOOKUP(A829,File!$A:$J,4,FALSE)</f>
        <v>FTE</v>
      </c>
      <c r="F829" s="29" t="str">
        <f>VLOOKUP(A829,File!$A:$J,6,FALSE)</f>
        <v>Chennai</v>
      </c>
      <c r="G829" s="29" t="str">
        <f>VLOOKUP(A829,File!$A:$J,7,FALSE)</f>
        <v>CIS26MBG004</v>
      </c>
      <c r="H829" s="29" t="str">
        <f>VLOOKUP(A829,File!$A:$J,8,FALSE)</f>
        <v>Kishorekumar P</v>
      </c>
      <c r="I829" s="31">
        <f>VLOOKUP(A829,File!$A:$J,9,FALSE)</f>
        <v>46367</v>
      </c>
      <c r="J829" s="31" t="str">
        <f>VLOOKUP(A829,File!$A:$K,11,FALSE)</f>
        <v>Dec 2026</v>
      </c>
      <c r="K829" s="31" t="str">
        <f>VLOOKUP(A829,File!$A:$K,10,FALSE)</f>
        <v>In-Training</v>
      </c>
      <c r="L829" s="31" t="s">
        <v>4</v>
      </c>
      <c r="M829" t="str">
        <f>VLOOKUP(A829,Response!$A:$M,7,)</f>
        <v>PG (Paying Guest)</v>
      </c>
      <c r="N829" t="str">
        <f>VLOOKUP(A829,Response!$A:$M,8,)</f>
        <v>Sahasra Delux</v>
      </c>
      <c r="O829" s="4">
        <f>VLOOKUP(A829,Response!$A:$M,10,)</f>
        <v>1</v>
      </c>
      <c r="P829" t="str">
        <f>VLOOKUP(A829,Response!$A:$M,12,)</f>
        <v>No</v>
      </c>
      <c r="Q829" t="str">
        <f>VLOOKUP(A829,Response!$A:$M,11,)</f>
        <v>Egattur</v>
      </c>
      <c r="R829" t="s">
        <v>19</v>
      </c>
      <c r="S829" s="39" t="s">
        <v>37</v>
      </c>
    </row>
    <row r="830" spans="1:19">
      <c r="A830" s="3">
        <v>2533204</v>
      </c>
      <c r="B830" t="str">
        <f>VLOOKUP(A830,File!$A:$J,2,FALSE)</f>
        <v>Siri Pavan Kolluri</v>
      </c>
      <c r="C830" s="29">
        <f>VLOOKUP(A830,File!$A:$J,5,FALSE)</f>
        <v>46259</v>
      </c>
      <c r="D830" s="29" t="str">
        <f>VLOOKUP(A830,File!$A:$J,3,FALSE)</f>
        <v>Male</v>
      </c>
      <c r="E830" s="29" t="str">
        <f>VLOOKUP(A830,File!$A:$J,4,FALSE)</f>
        <v>FTE</v>
      </c>
      <c r="F830" s="29" t="str">
        <f>VLOOKUP(A830,File!$A:$J,6,FALSE)</f>
        <v>Chennai</v>
      </c>
      <c r="G830" s="29" t="str">
        <f>VLOOKUP(A830,File!$A:$J,7,FALSE)</f>
        <v>CIS26MBG005</v>
      </c>
      <c r="H830" s="29" t="str">
        <f>VLOOKUP(A830,File!$A:$J,8,FALSE)</f>
        <v>Angel Maria Faustina Gomez</v>
      </c>
      <c r="I830" s="31">
        <f>VLOOKUP(A830,File!$A:$J,9,FALSE)</f>
        <v>46367</v>
      </c>
      <c r="J830" s="31" t="str">
        <f>VLOOKUP(A830,File!$A:$K,11,FALSE)</f>
        <v>Dec 2026</v>
      </c>
      <c r="K830" s="31" t="str">
        <f>VLOOKUP(A830,File!$A:$K,10,FALSE)</f>
        <v>In-Training</v>
      </c>
      <c r="L830" s="31" t="s">
        <v>4</v>
      </c>
      <c r="M830" t="str">
        <f>VLOOKUP(A830,Response!$A:$M,7,)</f>
        <v>PG (Paying Guest)</v>
      </c>
      <c r="N830" t="str">
        <f>VLOOKUP(A830,Response!$A:$M,8,)</f>
        <v>Sahasra Delux</v>
      </c>
      <c r="O830" s="4">
        <f>VLOOKUP(A830,Response!$A:$M,10,)</f>
        <v>1</v>
      </c>
      <c r="P830" t="str">
        <f>VLOOKUP(A830,Response!$A:$M,12,)</f>
        <v>Yes</v>
      </c>
      <c r="Q830" t="str">
        <f>VLOOKUP(A830,Response!$A:$M,11,)</f>
        <v>Egattur</v>
      </c>
      <c r="R830" t="s">
        <v>19</v>
      </c>
      <c r="S830" s="39" t="s">
        <v>37</v>
      </c>
    </row>
    <row r="831" spans="1:19">
      <c r="A831" s="3">
        <v>2526149</v>
      </c>
      <c r="B831" t="str">
        <f>VLOOKUP(A831,File!$A:$J,2,FALSE)</f>
        <v>Abhinay Karthik Kaveti</v>
      </c>
      <c r="C831" s="29">
        <f>VLOOKUP(A831,File!$A:$J,5,FALSE)</f>
        <v>46231</v>
      </c>
      <c r="D831" s="29" t="str">
        <f>VLOOKUP(A831,File!$A:$J,3,FALSE)</f>
        <v>Male</v>
      </c>
      <c r="E831" s="29" t="str">
        <f>VLOOKUP(A831,File!$A:$J,4,FALSE)</f>
        <v>FTE</v>
      </c>
      <c r="F831" s="29" t="str">
        <f>VLOOKUP(A831,File!$A:$J,6,FALSE)</f>
        <v>Chennai</v>
      </c>
      <c r="G831" s="29" t="str">
        <f>VLOOKUP(A831,File!$A:$J,7,FALSE)</f>
        <v>QEA26DS001</v>
      </c>
      <c r="H831" s="29" t="str">
        <f>VLOOKUP(A831,File!$A:$J,8,FALSE)</f>
        <v>Lourdhu Selvin Raj X</v>
      </c>
      <c r="I831" s="31">
        <f>VLOOKUP(A831,File!$A:$J,9,FALSE)</f>
        <v>46325</v>
      </c>
      <c r="J831" s="31" t="str">
        <f>VLOOKUP(A831,File!$A:$K,11,FALSE)</f>
        <v>Oct 2026</v>
      </c>
      <c r="K831" s="31" t="str">
        <f>VLOOKUP(A831,File!$A:$K,10,FALSE)</f>
        <v>In-Training</v>
      </c>
      <c r="L831" s="31" t="s">
        <v>4</v>
      </c>
      <c r="M831" t="str">
        <f>VLOOKUP(A831,Response!$A:$M,7,)</f>
        <v>PG (Paying Guest)</v>
      </c>
      <c r="N831" t="str">
        <f>VLOOKUP(A831,Response!$A:$M,8,)</f>
        <v>Sahasra delux mens pg,Egattur</v>
      </c>
      <c r="O831" s="4" t="str">
        <f>VLOOKUP(A831,Response!$A:$M,10,)</f>
        <v>GF</v>
      </c>
      <c r="P831" t="str">
        <f>VLOOKUP(A831,Response!$A:$M,12,)</f>
        <v>No</v>
      </c>
      <c r="Q831" t="str">
        <f>VLOOKUP(A831,Response!$A:$M,11,)</f>
        <v>Siruseri</v>
      </c>
      <c r="R831" t="s">
        <v>19</v>
      </c>
      <c r="S831" s="39" t="s">
        <v>37</v>
      </c>
    </row>
    <row r="832" spans="1:19">
      <c r="A832" s="3">
        <v>2533591</v>
      </c>
      <c r="B832" t="str">
        <f>VLOOKUP(A832,File!$A:$J,2,FALSE)</f>
        <v>Gali Vignan Kiran</v>
      </c>
      <c r="C832" s="29">
        <f>VLOOKUP(A832,File!$A:$J,5,FALSE)</f>
        <v>46261</v>
      </c>
      <c r="D832" s="29" t="str">
        <f>VLOOKUP(A832,File!$A:$J,3,FALSE)</f>
        <v>Male</v>
      </c>
      <c r="E832" s="29" t="str">
        <f>VLOOKUP(A832,File!$A:$J,4,FALSE)</f>
        <v>FTE</v>
      </c>
      <c r="F832" s="29" t="str">
        <f>VLOOKUP(A832,File!$A:$J,6,FALSE)</f>
        <v>Chennai</v>
      </c>
      <c r="G832" s="29" t="str">
        <f>VLOOKUP(A832,File!$A:$J,7,FALSE)</f>
        <v>EPS26SAP038</v>
      </c>
      <c r="H832" s="29" t="str">
        <f>VLOOKUP(A832,File!$A:$J,8,FALSE)</f>
        <v>Ajith Ganesan</v>
      </c>
      <c r="I832" s="31">
        <f>VLOOKUP(A832,File!$A:$J,9,FALSE)</f>
        <v>46322</v>
      </c>
      <c r="J832" s="31" t="str">
        <f>VLOOKUP(A832,File!$A:$K,11,FALSE)</f>
        <v>Oct 2026</v>
      </c>
      <c r="K832" s="31" t="str">
        <f>VLOOKUP(A832,File!$A:$K,10,FALSE)</f>
        <v>In-Training</v>
      </c>
      <c r="L832" s="31" t="s">
        <v>4</v>
      </c>
      <c r="M832" t="str">
        <f>VLOOKUP(A832,Response!$A:$M,7,)</f>
        <v>PG (Paying Guest)</v>
      </c>
      <c r="N832" t="str">
        <f>VLOOKUP(A832,Response!$A:$M,8,)</f>
        <v>Sahasra Deluxe Gents PG,Egattur</v>
      </c>
      <c r="O832" s="4">
        <f>VLOOKUP(A832,Response!$A:$M,10,)</f>
        <v>1</v>
      </c>
      <c r="P832" t="str">
        <f>VLOOKUP(A832,Response!$A:$M,12,)</f>
        <v>No</v>
      </c>
      <c r="Q832" t="str">
        <f>VLOOKUP(A832,Response!$A:$M,11,)</f>
        <v>Egattur</v>
      </c>
      <c r="R832" t="s">
        <v>19</v>
      </c>
      <c r="S832" s="39" t="s">
        <v>37</v>
      </c>
    </row>
    <row r="833" spans="1:19">
      <c r="A833" s="3">
        <v>2531974</v>
      </c>
      <c r="B833" t="str">
        <f>VLOOKUP(A833,File!$A:$J,2,FALSE)</f>
        <v>Ravindhar Byaram</v>
      </c>
      <c r="C833" s="29">
        <f>VLOOKUP(A833,File!$A:$J,5,FALSE)</f>
        <v>46254</v>
      </c>
      <c r="D833" s="29" t="str">
        <f>VLOOKUP(A833,File!$A:$J,3,FALSE)</f>
        <v>Male</v>
      </c>
      <c r="E833" s="29" t="str">
        <f>VLOOKUP(A833,File!$A:$J,4,FALSE)</f>
        <v>FTE</v>
      </c>
      <c r="F833" s="29" t="str">
        <f>VLOOKUP(A833,File!$A:$J,6,FALSE)</f>
        <v>Chennai</v>
      </c>
      <c r="G833" s="29" t="str">
        <f>VLOOKUP(A833,File!$A:$J,7,FALSE)</f>
        <v>CS26CS011</v>
      </c>
      <c r="H833" s="29" t="str">
        <f>VLOOKUP(A833,File!$A:$J,8,FALSE)</f>
        <v>Kishorekumar P</v>
      </c>
      <c r="I833" s="31">
        <f>VLOOKUP(A833,File!$A:$J,9,FALSE)</f>
        <v>46343</v>
      </c>
      <c r="J833" s="31" t="str">
        <f>VLOOKUP(A833,File!$A:$K,11,FALSE)</f>
        <v>Nov 2026</v>
      </c>
      <c r="K833" s="31" t="str">
        <f>VLOOKUP(A833,File!$A:$K,10,FALSE)</f>
        <v>In-Training</v>
      </c>
      <c r="L833" s="31" t="s">
        <v>4</v>
      </c>
      <c r="M833" t="str">
        <f>VLOOKUP(A833,Response!$A:$M,7,)</f>
        <v>PG (Paying Guest)</v>
      </c>
      <c r="N833" t="str">
        <f>VLOOKUP(A833,Response!$A:$M,8,)</f>
        <v>Sahasra Deluxe Mens PG</v>
      </c>
      <c r="O833" s="4" t="str">
        <f>VLOOKUP(A833,Response!$A:$M,10,)</f>
        <v>GF</v>
      </c>
      <c r="P833" t="str">
        <f>VLOOKUP(A833,Response!$A:$M,12,)</f>
        <v>No</v>
      </c>
      <c r="Q833" t="str">
        <f>VLOOKUP(A833,Response!$A:$M,11,)</f>
        <v>Siruseri</v>
      </c>
      <c r="R833" t="s">
        <v>19</v>
      </c>
      <c r="S833" s="39" t="s">
        <v>37</v>
      </c>
    </row>
    <row r="834" spans="1:19">
      <c r="A834" s="3">
        <v>2520931</v>
      </c>
      <c r="B834" t="str">
        <f>VLOOKUP(A834,File!$A:$J,2,FALSE)</f>
        <v>Adikesava Reddy Peddu</v>
      </c>
      <c r="C834" s="29">
        <f>VLOOKUP(A834,File!$A:$J,5,FALSE)</f>
        <v>46210</v>
      </c>
      <c r="D834" s="29" t="str">
        <f>VLOOKUP(A834,File!$A:$J,3,FALSE)</f>
        <v>Male</v>
      </c>
      <c r="E834" s="29" t="str">
        <f>VLOOKUP(A834,File!$A:$J,4,FALSE)</f>
        <v>FTE</v>
      </c>
      <c r="F834" s="29" t="str">
        <f>VLOOKUP(A834,File!$A:$J,6,FALSE)</f>
        <v>Chennai</v>
      </c>
      <c r="G834" s="29" t="str">
        <f>VLOOKUP(A834,File!$A:$J,7,FALSE)</f>
        <v>CM26SFDC006</v>
      </c>
      <c r="H834" s="29" t="str">
        <f>VLOOKUP(A834,File!$A:$J,8,FALSE)</f>
        <v>Gayathri Ramachandran</v>
      </c>
      <c r="I834" s="31">
        <f>VLOOKUP(A834,File!$A:$J,9,FALSE)</f>
        <v>46337</v>
      </c>
      <c r="J834" s="31" t="str">
        <f>VLOOKUP(A834,File!$A:$K,11,FALSE)</f>
        <v>Nov 2026</v>
      </c>
      <c r="K834" s="31" t="str">
        <f>VLOOKUP(A834,File!$A:$K,10,FALSE)</f>
        <v>In-Training</v>
      </c>
      <c r="L834" s="31" t="s">
        <v>4</v>
      </c>
      <c r="M834" t="str">
        <f>VLOOKUP(A834,Response!$A:$M,7,)</f>
        <v>PG (Paying Guest)</v>
      </c>
      <c r="N834" t="str">
        <f>VLOOKUP(A834,Response!$A:$M,8,)</f>
        <v>Sahasra deluxe Men's PG</v>
      </c>
      <c r="O834" s="4" t="str">
        <f>VLOOKUP(A834,Response!$A:$M,10,)</f>
        <v>GF</v>
      </c>
      <c r="P834" t="str">
        <f>VLOOKUP(A834,Response!$A:$M,12,)</f>
        <v>No</v>
      </c>
      <c r="Q834" t="str">
        <f>VLOOKUP(A834,Response!$A:$M,11,)</f>
        <v>Siruseri</v>
      </c>
      <c r="R834" t="s">
        <v>19</v>
      </c>
      <c r="S834" s="39" t="s">
        <v>37</v>
      </c>
    </row>
    <row r="835" spans="1:19">
      <c r="A835" s="3">
        <v>2523380</v>
      </c>
      <c r="B835" t="str">
        <f>VLOOKUP(A835,File!$A:$J,2,FALSE)</f>
        <v>Cyrill Victor</v>
      </c>
      <c r="C835" s="29">
        <f>VLOOKUP(A835,File!$A:$J,5,FALSE)</f>
        <v>46219</v>
      </c>
      <c r="D835" s="29" t="str">
        <f>VLOOKUP(A835,File!$A:$J,3,FALSE)</f>
        <v>Male</v>
      </c>
      <c r="E835" s="29" t="str">
        <f>VLOOKUP(A835,File!$A:$J,4,FALSE)</f>
        <v>FTE</v>
      </c>
      <c r="F835" s="29" t="str">
        <f>VLOOKUP(A835,File!$A:$J,6,FALSE)</f>
        <v>Chennai</v>
      </c>
      <c r="G835" s="29" t="str">
        <f>VLOOKUP(A835,File!$A:$J,7,FALSE)</f>
        <v>PG26JFR004</v>
      </c>
      <c r="H835" s="29" t="str">
        <f>VLOOKUP(A835,File!$A:$J,8,FALSE)</f>
        <v>Thomas Naveen. J</v>
      </c>
      <c r="I835" s="31">
        <f>VLOOKUP(A835,File!$A:$J,9,FALSE)</f>
        <v>46342</v>
      </c>
      <c r="J835" s="31" t="str">
        <f>VLOOKUP(A835,File!$A:$K,11,FALSE)</f>
        <v>Nov 2026</v>
      </c>
      <c r="K835" s="31" t="str">
        <f>VLOOKUP(A835,File!$A:$K,10,FALSE)</f>
        <v>In-Training</v>
      </c>
      <c r="L835" s="31" t="s">
        <v>4</v>
      </c>
      <c r="M835" t="str">
        <f>VLOOKUP(A835,Response!$A:$M,7,)</f>
        <v>PG (Paying Guest)</v>
      </c>
      <c r="N835" t="str">
        <f>VLOOKUP(A835,Response!$A:$M,8,)</f>
        <v>Sahasra Deluxe PG</v>
      </c>
      <c r="O835" s="4" t="str">
        <f>VLOOKUP(A835,Response!$A:$M,10,)</f>
        <v>GF</v>
      </c>
      <c r="P835" t="str">
        <f>VLOOKUP(A835,Response!$A:$M,12,)</f>
        <v>Yes</v>
      </c>
      <c r="Q835" t="str">
        <f>VLOOKUP(A835,Response!$A:$M,11,)</f>
        <v>Siruseri</v>
      </c>
      <c r="R835" t="s">
        <v>19</v>
      </c>
      <c r="S835" s="39" t="s">
        <v>37</v>
      </c>
    </row>
    <row r="836" spans="1:19">
      <c r="A836" s="3">
        <v>2533133</v>
      </c>
      <c r="B836" t="str">
        <f>VLOOKUP(A836,File!$A:$J,2,FALSE)</f>
        <v>Silla Bharath Kumar</v>
      </c>
      <c r="C836" s="29">
        <f>VLOOKUP(A836,File!$A:$J,5,FALSE)</f>
        <v>46259</v>
      </c>
      <c r="D836" s="29" t="str">
        <f>VLOOKUP(A836,File!$A:$J,3,FALSE)</f>
        <v>Male</v>
      </c>
      <c r="E836" s="29" t="str">
        <f>VLOOKUP(A836,File!$A:$J,4,FALSE)</f>
        <v>FTE</v>
      </c>
      <c r="F836" s="29" t="str">
        <f>VLOOKUP(A836,File!$A:$J,6,FALSE)</f>
        <v>Chennai</v>
      </c>
      <c r="G836" s="29" t="str">
        <f>VLOOKUP(A836,File!$A:$J,7,FALSE)</f>
        <v>CIS26MBG004</v>
      </c>
      <c r="H836" s="29" t="str">
        <f>VLOOKUP(A836,File!$A:$J,8,FALSE)</f>
        <v>Kishorekumar P</v>
      </c>
      <c r="I836" s="31">
        <f>VLOOKUP(A836,File!$A:$J,9,FALSE)</f>
        <v>46367</v>
      </c>
      <c r="J836" s="31" t="str">
        <f>VLOOKUP(A836,File!$A:$K,11,FALSE)</f>
        <v>Dec 2026</v>
      </c>
      <c r="K836" s="31" t="str">
        <f>VLOOKUP(A836,File!$A:$K,10,FALSE)</f>
        <v>In-Training</v>
      </c>
      <c r="L836" s="31" t="s">
        <v>4</v>
      </c>
      <c r="M836" t="str">
        <f>VLOOKUP(A836,Response!$A:$M,7,)</f>
        <v>PG (Paying Guest)</v>
      </c>
      <c r="N836" t="str">
        <f>VLOOKUP(A836,Response!$A:$M,8,)</f>
        <v>Sahasra Deluxe PG for me</v>
      </c>
      <c r="O836" s="4">
        <f>VLOOKUP(A836,Response!$A:$M,10,)</f>
        <v>1</v>
      </c>
      <c r="P836" t="str">
        <f>VLOOKUP(A836,Response!$A:$M,12,)</f>
        <v>No</v>
      </c>
      <c r="Q836" t="str">
        <f>VLOOKUP(A836,Response!$A:$M,11,)</f>
        <v>Egattur</v>
      </c>
      <c r="R836" t="s">
        <v>19</v>
      </c>
      <c r="S836" s="39" t="s">
        <v>37</v>
      </c>
    </row>
    <row r="837" spans="1:19">
      <c r="A837" s="3">
        <v>2521030</v>
      </c>
      <c r="B837" t="str">
        <f>VLOOKUP(A837,File!$A:$J,2,FALSE)</f>
        <v>Thandra Jaideep</v>
      </c>
      <c r="C837" s="29">
        <f>VLOOKUP(A837,File!$A:$J,5,FALSE)</f>
        <v>46210</v>
      </c>
      <c r="D837" s="29" t="str">
        <f>VLOOKUP(A837,File!$A:$J,3,FALSE)</f>
        <v>Male</v>
      </c>
      <c r="E837" s="29" t="str">
        <f>VLOOKUP(A837,File!$A:$J,4,FALSE)</f>
        <v>FTE</v>
      </c>
      <c r="F837" s="29" t="str">
        <f>VLOOKUP(A837,File!$A:$J,6,FALSE)</f>
        <v>Chennai</v>
      </c>
      <c r="G837" s="29" t="str">
        <f>VLOOKUP(A837,File!$A:$J,7,FALSE)</f>
        <v>SNBG26SN003</v>
      </c>
      <c r="H837" s="29" t="str">
        <f>VLOOKUP(A837,File!$A:$J,8,FALSE)</f>
        <v>Lawrance M</v>
      </c>
      <c r="I837" s="31">
        <f>VLOOKUP(A837,File!$A:$J,9,FALSE)</f>
        <v>46303</v>
      </c>
      <c r="J837" s="31" t="str">
        <f>VLOOKUP(A837,File!$A:$K,11,FALSE)</f>
        <v>Oct 2026</v>
      </c>
      <c r="K837" s="31" t="str">
        <f>VLOOKUP(A837,File!$A:$K,10,FALSE)</f>
        <v>In-Training</v>
      </c>
      <c r="L837" s="31" t="s">
        <v>4</v>
      </c>
      <c r="M837" t="str">
        <f>VLOOKUP(A837,Response!$A:$M,7,)</f>
        <v>PG (Paying Guest)</v>
      </c>
      <c r="N837" t="str">
        <f>VLOOKUP(A837,Response!$A:$M,8,)</f>
        <v>Sahasra Deluxe PG for Men</v>
      </c>
      <c r="O837" s="4">
        <f>VLOOKUP(A837,Response!$A:$M,10,)</f>
        <v>1</v>
      </c>
      <c r="P837" t="str">
        <f>VLOOKUP(A837,Response!$A:$M,12,)</f>
        <v>No</v>
      </c>
      <c r="Q837" t="str">
        <f>VLOOKUP(A837,Response!$A:$M,11,)</f>
        <v>Egattur</v>
      </c>
      <c r="R837" t="s">
        <v>19</v>
      </c>
      <c r="S837" s="39" t="s">
        <v>37</v>
      </c>
    </row>
    <row r="838" spans="1:19">
      <c r="A838" s="3">
        <v>2521092</v>
      </c>
      <c r="B838" t="str">
        <f>VLOOKUP(A838,File!$A:$J,2,FALSE)</f>
        <v>Kushal Sai Naga Chandan Mindi</v>
      </c>
      <c r="C838" s="29">
        <f>VLOOKUP(A838,File!$A:$J,5,FALSE)</f>
        <v>46210</v>
      </c>
      <c r="D838" s="29" t="str">
        <f>VLOOKUP(A838,File!$A:$J,3,FALSE)</f>
        <v>Male</v>
      </c>
      <c r="E838" s="29" t="str">
        <f>VLOOKUP(A838,File!$A:$J,4,FALSE)</f>
        <v>FTE</v>
      </c>
      <c r="F838" s="29" t="str">
        <f>VLOOKUP(A838,File!$A:$J,6,FALSE)</f>
        <v>Chennai</v>
      </c>
      <c r="G838" s="29" t="str">
        <f>VLOOKUP(A838,File!$A:$J,7,FALSE)</f>
        <v>SNBG26SN004</v>
      </c>
      <c r="H838" s="29" t="str">
        <f>VLOOKUP(A838,File!$A:$J,8,FALSE)</f>
        <v>Kishorekumar P</v>
      </c>
      <c r="I838" s="31">
        <f>VLOOKUP(A838,File!$A:$J,9,FALSE)</f>
        <v>46303</v>
      </c>
      <c r="J838" s="31" t="str">
        <f>VLOOKUP(A838,File!$A:$K,11,FALSE)</f>
        <v>Oct 2026</v>
      </c>
      <c r="K838" s="31" t="str">
        <f>VLOOKUP(A838,File!$A:$K,10,FALSE)</f>
        <v>In-Training</v>
      </c>
      <c r="L838" s="31" t="s">
        <v>4</v>
      </c>
      <c r="M838" t="str">
        <f>VLOOKUP(A838,Response!$A:$M,7,)</f>
        <v>PG (Paying Guest)</v>
      </c>
      <c r="N838" t="str">
        <f>VLOOKUP(A838,Response!$A:$M,8,)</f>
        <v>Sahasra Deluxe PG for Men</v>
      </c>
      <c r="O838" s="4">
        <f>VLOOKUP(A838,Response!$A:$M,10,)</f>
        <v>1</v>
      </c>
      <c r="P838" t="str">
        <f>VLOOKUP(A838,Response!$A:$M,12,)</f>
        <v>No</v>
      </c>
      <c r="Q838" t="str">
        <f>VLOOKUP(A838,Response!$A:$M,11,)</f>
        <v>Egattur</v>
      </c>
      <c r="R838" t="s">
        <v>19</v>
      </c>
      <c r="S838" s="39" t="s">
        <v>37</v>
      </c>
    </row>
    <row r="839" spans="1:19">
      <c r="A839" s="3">
        <v>2519598</v>
      </c>
      <c r="B839" t="str">
        <f>VLOOKUP(A839,File!$A:$J,2,FALSE)</f>
        <v>Ritesh Kumar</v>
      </c>
      <c r="C839" s="29">
        <f>VLOOKUP(A839,File!$A:$J,5,FALSE)</f>
        <v>46205</v>
      </c>
      <c r="D839" s="29" t="str">
        <f>VLOOKUP(A839,File!$A:$J,3,FALSE)</f>
        <v>Male</v>
      </c>
      <c r="E839" s="29" t="str">
        <f>VLOOKUP(A839,File!$A:$J,4,FALSE)</f>
        <v>FTE</v>
      </c>
      <c r="F839" s="29" t="str">
        <f>VLOOKUP(A839,File!$A:$J,6,FALSE)</f>
        <v>Chennai</v>
      </c>
      <c r="G839" s="29" t="str">
        <f>VLOOKUP(A839,File!$A:$J,7,FALSE)</f>
        <v>CIS26UNIX003</v>
      </c>
      <c r="H839" s="29" t="str">
        <f>VLOOKUP(A839,File!$A:$J,8,FALSE)</f>
        <v>Haritha P</v>
      </c>
      <c r="I839" s="31">
        <f>VLOOKUP(A839,File!$A:$J,9,FALSE)</f>
        <v>46289</v>
      </c>
      <c r="J839" s="31" t="str">
        <f>VLOOKUP(A839,File!$A:$K,11,FALSE)</f>
        <v>Sep 2026</v>
      </c>
      <c r="K839" s="31" t="str">
        <f>VLOOKUP(A839,File!$A:$K,10,FALSE)</f>
        <v>In-Training</v>
      </c>
      <c r="L839" s="31" t="s">
        <v>4</v>
      </c>
      <c r="M839" t="str">
        <f>VLOOKUP(A839,Response!$A:$M,7,)</f>
        <v>PG (Paying Guest)</v>
      </c>
      <c r="N839" t="str">
        <f>VLOOKUP(A839,Response!$A:$M,8,)</f>
        <v>Sahasra Deluxe PG for men</v>
      </c>
      <c r="O839" s="4">
        <f>VLOOKUP(A839,Response!$A:$M,10,)</f>
        <v>1</v>
      </c>
      <c r="P839" t="str">
        <f>VLOOKUP(A839,Response!$A:$M,12,)</f>
        <v>No</v>
      </c>
      <c r="Q839" t="str">
        <f>VLOOKUP(A839,Response!$A:$M,11,)</f>
        <v>Siruseri</v>
      </c>
      <c r="R839" t="s">
        <v>19</v>
      </c>
      <c r="S839" s="39" t="s">
        <v>37</v>
      </c>
    </row>
    <row r="840" spans="1:19">
      <c r="A840" s="3">
        <v>2519680</v>
      </c>
      <c r="B840" t="str">
        <f>VLOOKUP(A840,File!$A:$J,2,FALSE)</f>
        <v>Mohammad Daanish</v>
      </c>
      <c r="C840" s="29">
        <f>VLOOKUP(A840,File!$A:$J,5,FALSE)</f>
        <v>46205</v>
      </c>
      <c r="D840" s="29" t="str">
        <f>VLOOKUP(A840,File!$A:$J,3,FALSE)</f>
        <v>Male</v>
      </c>
      <c r="E840" s="29" t="str">
        <f>VLOOKUP(A840,File!$A:$J,4,FALSE)</f>
        <v>FTE</v>
      </c>
      <c r="F840" s="29" t="str">
        <f>VLOOKUP(A840,File!$A:$J,6,FALSE)</f>
        <v>Chennai</v>
      </c>
      <c r="G840" s="29" t="str">
        <f>VLOOKUP(A840,File!$A:$J,7,FALSE)</f>
        <v>CIS26UNIX004</v>
      </c>
      <c r="H840" s="29" t="str">
        <f>VLOOKUP(A840,File!$A:$J,8,FALSE)</f>
        <v>Haritha P</v>
      </c>
      <c r="I840" s="31">
        <f>VLOOKUP(A840,File!$A:$J,9,FALSE)</f>
        <v>46289</v>
      </c>
      <c r="J840" s="31" t="str">
        <f>VLOOKUP(A840,File!$A:$K,11,FALSE)</f>
        <v>Sep 2026</v>
      </c>
      <c r="K840" s="31" t="str">
        <f>VLOOKUP(A840,File!$A:$K,10,FALSE)</f>
        <v>In-Training</v>
      </c>
      <c r="L840" s="31" t="s">
        <v>4</v>
      </c>
      <c r="M840" t="str">
        <f>VLOOKUP(A840,Response!$A:$M,7,)</f>
        <v>PG (Paying Guest)</v>
      </c>
      <c r="N840" t="str">
        <f>VLOOKUP(A840,Response!$A:$M,8,)</f>
        <v>Sahasra Deluxe PG for men</v>
      </c>
      <c r="O840" s="4">
        <f>VLOOKUP(A840,Response!$A:$M,10,)</f>
        <v>1</v>
      </c>
      <c r="P840" t="str">
        <f>VLOOKUP(A840,Response!$A:$M,12,)</f>
        <v>No</v>
      </c>
      <c r="Q840" t="str">
        <f>VLOOKUP(A840,Response!$A:$M,11,)</f>
        <v>Egattur</v>
      </c>
      <c r="R840" t="s">
        <v>19</v>
      </c>
      <c r="S840" s="39" t="s">
        <v>37</v>
      </c>
    </row>
    <row r="841" spans="1:19">
      <c r="A841" s="3">
        <v>2521041</v>
      </c>
      <c r="B841" t="str">
        <f>VLOOKUP(A841,File!$A:$J,2,FALSE)</f>
        <v>Kasukurti Sri Varshith</v>
      </c>
      <c r="C841" s="29">
        <f>VLOOKUP(A841,File!$A:$J,5,FALSE)</f>
        <v>46210</v>
      </c>
      <c r="D841" s="29" t="str">
        <f>VLOOKUP(A841,File!$A:$J,3,FALSE)</f>
        <v>Male</v>
      </c>
      <c r="E841" s="29" t="str">
        <f>VLOOKUP(A841,File!$A:$J,4,FALSE)</f>
        <v>FTE</v>
      </c>
      <c r="F841" s="29" t="str">
        <f>VLOOKUP(A841,File!$A:$J,6,FALSE)</f>
        <v>Chennai</v>
      </c>
      <c r="G841" s="29" t="str">
        <f>VLOOKUP(A841,File!$A:$J,7,FALSE)</f>
        <v>CIS26SN001</v>
      </c>
      <c r="H841" s="29" t="str">
        <f>VLOOKUP(A841,File!$A:$J,8,FALSE)</f>
        <v>Ashiya Begam S</v>
      </c>
      <c r="I841" s="31">
        <f>VLOOKUP(A841,File!$A:$J,9,FALSE)</f>
        <v>46281</v>
      </c>
      <c r="J841" s="31" t="str">
        <f>VLOOKUP(A841,File!$A:$K,11,FALSE)</f>
        <v>Sep 2026</v>
      </c>
      <c r="K841" s="31" t="str">
        <f>VLOOKUP(A841,File!$A:$K,10,FALSE)</f>
        <v>In-Training</v>
      </c>
      <c r="L841" s="31" t="s">
        <v>4</v>
      </c>
      <c r="M841" t="str">
        <f>VLOOKUP(A841,Response!$A:$M,7,)</f>
        <v>PG (Paying Guest)</v>
      </c>
      <c r="N841" t="str">
        <f>VLOOKUP(A841,Response!$A:$M,8,)</f>
        <v>Sahasra Deluxe PG for men</v>
      </c>
      <c r="O841" s="4">
        <f>VLOOKUP(A841,Response!$A:$M,10,)</f>
        <v>1</v>
      </c>
      <c r="P841" t="str">
        <f>VLOOKUP(A841,Response!$A:$M,12,)</f>
        <v>Yes</v>
      </c>
      <c r="Q841" t="str">
        <f>VLOOKUP(A841,Response!$A:$M,11,)</f>
        <v>Egattur</v>
      </c>
      <c r="R841" t="s">
        <v>19</v>
      </c>
      <c r="S841" s="39" t="s">
        <v>37</v>
      </c>
    </row>
    <row r="842" spans="1:19">
      <c r="A842" s="3">
        <v>2529632</v>
      </c>
      <c r="B842" t="str">
        <f>VLOOKUP(A842,File!$A:$J,2,FALSE)</f>
        <v>Mohammed Shazanulla</v>
      </c>
      <c r="C842" s="29">
        <f>VLOOKUP(A842,File!$A:$J,5,FALSE)</f>
        <v>46245</v>
      </c>
      <c r="D842" s="29" t="str">
        <f>VLOOKUP(A842,File!$A:$J,3,FALSE)</f>
        <v>Male</v>
      </c>
      <c r="E842" s="29" t="str">
        <f>VLOOKUP(A842,File!$A:$J,4,FALSE)</f>
        <v>FTE</v>
      </c>
      <c r="F842" s="29" t="str">
        <f>VLOOKUP(A842,File!$A:$J,6,FALSE)</f>
        <v>Chennai</v>
      </c>
      <c r="G842" s="29" t="str">
        <f>VLOOKUP(A842,File!$A:$J,7,FALSE)</f>
        <v>CIS26MCPT026</v>
      </c>
      <c r="H842" s="29" t="str">
        <f>VLOOKUP(A842,File!$A:$J,8,FALSE)</f>
        <v>Mohamed Harish</v>
      </c>
      <c r="I842" s="31">
        <f>VLOOKUP(A842,File!$A:$J,9,FALSE)</f>
        <v>46364</v>
      </c>
      <c r="J842" s="31" t="str">
        <f>VLOOKUP(A842,File!$A:$K,11,FALSE)</f>
        <v>Dec 2026</v>
      </c>
      <c r="K842" s="31" t="str">
        <f>VLOOKUP(A842,File!$A:$K,10,FALSE)</f>
        <v>In-Training</v>
      </c>
      <c r="L842" s="31" t="s">
        <v>4</v>
      </c>
      <c r="M842" t="str">
        <f>VLOOKUP(A842,Response!$A:$M,7,)</f>
        <v>PG (Paying Guest)</v>
      </c>
      <c r="N842" t="str">
        <f>VLOOKUP(A842,Response!$A:$M,8,)</f>
        <v>Sahasra Deluxe PG for Men</v>
      </c>
      <c r="O842" s="4">
        <f>VLOOKUP(A842,Response!$A:$M,10,)</f>
        <v>1</v>
      </c>
      <c r="P842" t="str">
        <f>VLOOKUP(A842,Response!$A:$M,12,)</f>
        <v>No</v>
      </c>
      <c r="Q842" t="str">
        <f>VLOOKUP(A842,Response!$A:$M,11,)</f>
        <v>Egattur</v>
      </c>
      <c r="R842" t="s">
        <v>19</v>
      </c>
      <c r="S842" s="39" t="s">
        <v>37</v>
      </c>
    </row>
    <row r="843" spans="1:19">
      <c r="A843" s="3">
        <v>2533009</v>
      </c>
      <c r="B843" t="str">
        <f>VLOOKUP(A843,File!$A:$J,2,FALSE)</f>
        <v>Giduthuri Jathin</v>
      </c>
      <c r="C843" s="29">
        <f>VLOOKUP(A843,File!$A:$J,5,FALSE)</f>
        <v>46259</v>
      </c>
      <c r="D843" s="29" t="str">
        <f>VLOOKUP(A843,File!$A:$J,3,FALSE)</f>
        <v>Male</v>
      </c>
      <c r="E843" s="29" t="str">
        <f>VLOOKUP(A843,File!$A:$J,4,FALSE)</f>
        <v>FTE</v>
      </c>
      <c r="F843" s="29" t="str">
        <f>VLOOKUP(A843,File!$A:$J,6,FALSE)</f>
        <v>Chennai</v>
      </c>
      <c r="G843" s="29" t="str">
        <f>VLOOKUP(A843,File!$A:$J,7,FALSE)</f>
        <v>CIS26SN002</v>
      </c>
      <c r="H843" s="29" t="str">
        <f>VLOOKUP(A843,File!$A:$J,8,FALSE)</f>
        <v>Ashiya Begam S</v>
      </c>
      <c r="I843" s="31">
        <f>VLOOKUP(A843,File!$A:$J,9,FALSE)</f>
        <v>46358</v>
      </c>
      <c r="J843" s="31" t="str">
        <f>VLOOKUP(A843,File!$A:$K,11,FALSE)</f>
        <v>Dec 2026</v>
      </c>
      <c r="K843" s="31" t="str">
        <f>VLOOKUP(A843,File!$A:$K,10,FALSE)</f>
        <v>In-Training</v>
      </c>
      <c r="L843" s="31" t="s">
        <v>4</v>
      </c>
      <c r="M843" t="str">
        <f>VLOOKUP(A843,Response!$A:$M,7,)</f>
        <v>PG (Paying Guest)</v>
      </c>
      <c r="N843" t="str">
        <f>VLOOKUP(A843,Response!$A:$M,8,)</f>
        <v>Sahasra Deluxe PG for men</v>
      </c>
      <c r="O843" s="4">
        <f>VLOOKUP(A843,Response!$A:$M,10,)</f>
        <v>1</v>
      </c>
      <c r="P843" t="str">
        <f>VLOOKUP(A843,Response!$A:$M,12,)</f>
        <v>Yes</v>
      </c>
      <c r="Q843" t="str">
        <f>VLOOKUP(A843,Response!$A:$M,11,)</f>
        <v>Egattur</v>
      </c>
      <c r="R843" t="s">
        <v>19</v>
      </c>
      <c r="S843" s="39" t="s">
        <v>37</v>
      </c>
    </row>
    <row r="844" spans="1:19">
      <c r="A844" s="3">
        <v>2533064</v>
      </c>
      <c r="B844" t="str">
        <f>VLOOKUP(A844,File!$A:$J,2,FALSE)</f>
        <v>Palavalasa Kesavarao</v>
      </c>
      <c r="C844" s="29">
        <f>VLOOKUP(A844,File!$A:$J,5,FALSE)</f>
        <v>46259</v>
      </c>
      <c r="D844" s="29" t="str">
        <f>VLOOKUP(A844,File!$A:$J,3,FALSE)</f>
        <v>Male</v>
      </c>
      <c r="E844" s="29" t="str">
        <f>VLOOKUP(A844,File!$A:$J,4,FALSE)</f>
        <v>FTE</v>
      </c>
      <c r="F844" s="29" t="str">
        <f>VLOOKUP(A844,File!$A:$J,6,FALSE)</f>
        <v>Chennai</v>
      </c>
      <c r="G844" s="29" t="str">
        <f>VLOOKUP(A844,File!$A:$J,7,FALSE)</f>
        <v>CIS26SN002</v>
      </c>
      <c r="H844" s="29" t="str">
        <f>VLOOKUP(A844,File!$A:$J,8,FALSE)</f>
        <v>Ashiya Begam S</v>
      </c>
      <c r="I844" s="31">
        <f>VLOOKUP(A844,File!$A:$J,9,FALSE)</f>
        <v>46358</v>
      </c>
      <c r="J844" s="31" t="str">
        <f>VLOOKUP(A844,File!$A:$K,11,FALSE)</f>
        <v>Dec 2026</v>
      </c>
      <c r="K844" s="31" t="str">
        <f>VLOOKUP(A844,File!$A:$K,10,FALSE)</f>
        <v>In-Training</v>
      </c>
      <c r="L844" s="31" t="s">
        <v>4</v>
      </c>
      <c r="M844" t="str">
        <f>VLOOKUP(A844,Response!$A:$M,7,)</f>
        <v>PG (Paying Guest)</v>
      </c>
      <c r="N844" t="str">
        <f>VLOOKUP(A844,Response!$A:$M,8,)</f>
        <v>Sahasra Deluxe PG for men</v>
      </c>
      <c r="O844" s="4">
        <f>VLOOKUP(A844,Response!$A:$M,10,)</f>
        <v>1</v>
      </c>
      <c r="P844" t="str">
        <f>VLOOKUP(A844,Response!$A:$M,12,)</f>
        <v>No</v>
      </c>
      <c r="Q844" t="str">
        <f>VLOOKUP(A844,Response!$A:$M,11,)</f>
        <v>Egattur</v>
      </c>
      <c r="R844" t="s">
        <v>19</v>
      </c>
      <c r="S844" s="39" t="s">
        <v>37</v>
      </c>
    </row>
    <row r="845" spans="1:19">
      <c r="A845" s="3">
        <v>2519585</v>
      </c>
      <c r="B845" t="str">
        <f>VLOOKUP(A845,File!$A:$J,2,FALSE)</f>
        <v>Vishal Prasad Sharma</v>
      </c>
      <c r="C845" s="29">
        <f>VLOOKUP(A845,File!$A:$J,5,FALSE)</f>
        <v>46205</v>
      </c>
      <c r="D845" s="29" t="str">
        <f>VLOOKUP(A845,File!$A:$J,3,FALSE)</f>
        <v>Male</v>
      </c>
      <c r="E845" s="29" t="str">
        <f>VLOOKUP(A845,File!$A:$J,4,FALSE)</f>
        <v>FTE</v>
      </c>
      <c r="F845" s="29" t="str">
        <f>VLOOKUP(A845,File!$A:$J,6,FALSE)</f>
        <v>Chennai</v>
      </c>
      <c r="G845" s="29" t="str">
        <f>VLOOKUP(A845,File!$A:$J,7,FALSE)</f>
        <v>CIS26UNIX003</v>
      </c>
      <c r="H845" s="29" t="str">
        <f>VLOOKUP(A845,File!$A:$J,8,FALSE)</f>
        <v>Haritha P</v>
      </c>
      <c r="I845" s="31">
        <f>VLOOKUP(A845,File!$A:$J,9,FALSE)</f>
        <v>46289</v>
      </c>
      <c r="J845" s="31" t="str">
        <f>VLOOKUP(A845,File!$A:$K,11,FALSE)</f>
        <v>Sep 2026</v>
      </c>
      <c r="K845" s="31" t="str">
        <f>VLOOKUP(A845,File!$A:$K,10,FALSE)</f>
        <v>In-Training</v>
      </c>
      <c r="L845" s="31" t="s">
        <v>4</v>
      </c>
      <c r="M845" t="str">
        <f>VLOOKUP(A845,Response!$A:$M,7,)</f>
        <v>PG (Paying Guest)</v>
      </c>
      <c r="N845" t="str">
        <f>VLOOKUP(A845,Response!$A:$M,8,)</f>
        <v>Sahasra Deluxe PG for men</v>
      </c>
      <c r="O845" s="4">
        <f>VLOOKUP(A845,Response!$A:$M,10,)</f>
        <v>1</v>
      </c>
      <c r="P845" t="str">
        <f>VLOOKUP(A845,Response!$A:$M,12,)</f>
        <v>No</v>
      </c>
      <c r="Q845" t="str">
        <f>VLOOKUP(A845,Response!$A:$M,11,)</f>
        <v>Egattur</v>
      </c>
      <c r="R845" t="s">
        <v>19</v>
      </c>
      <c r="S845" s="39" t="s">
        <v>37</v>
      </c>
    </row>
    <row r="846" spans="1:19">
      <c r="A846" s="3">
        <v>2529803</v>
      </c>
      <c r="B846" t="str">
        <f>VLOOKUP(A846,File!$A:$J,2,FALSE)</f>
        <v>Thamizhselvan Senthilmurugan</v>
      </c>
      <c r="C846" s="29">
        <f>VLOOKUP(A846,File!$A:$J,5,FALSE)</f>
        <v>46245</v>
      </c>
      <c r="D846" s="29" t="str">
        <f>VLOOKUP(A846,File!$A:$J,3,FALSE)</f>
        <v>Male</v>
      </c>
      <c r="E846" s="29" t="str">
        <f>VLOOKUP(A846,File!$A:$J,4,FALSE)</f>
        <v>FTE</v>
      </c>
      <c r="F846" s="29" t="str">
        <f>VLOOKUP(A846,File!$A:$J,6,FALSE)</f>
        <v>Chennai</v>
      </c>
      <c r="G846" s="29" t="str">
        <f>VLOOKUP(A846,File!$A:$J,7,FALSE)</f>
        <v>EPS26SAP031</v>
      </c>
      <c r="H846" s="29" t="str">
        <f>VLOOKUP(A846,File!$A:$J,8,FALSE)</f>
        <v>Akashraj R</v>
      </c>
      <c r="I846" s="31">
        <f>VLOOKUP(A846,File!$A:$J,9,FALSE)</f>
        <v>46330</v>
      </c>
      <c r="J846" s="31" t="str">
        <f>VLOOKUP(A846,File!$A:$K,11,FALSE)</f>
        <v>Nov 2026</v>
      </c>
      <c r="K846" s="31" t="str">
        <f>VLOOKUP(A846,File!$A:$K,10,FALSE)</f>
        <v>In-Training</v>
      </c>
      <c r="L846" s="31" t="s">
        <v>4</v>
      </c>
      <c r="M846" t="str">
        <f>VLOOKUP(A846,Response!$A:$M,7,)</f>
        <v>PG (Paying Guest)</v>
      </c>
      <c r="N846" t="str">
        <f>VLOOKUP(A846,Response!$A:$M,8,)</f>
        <v>Sahasra Deluxe PG for men</v>
      </c>
      <c r="O846" s="4" t="str">
        <f>VLOOKUP(A846,Response!$A:$M,10,)</f>
        <v>GF</v>
      </c>
      <c r="P846" t="str">
        <f>VLOOKUP(A846,Response!$A:$M,12,)</f>
        <v>No</v>
      </c>
      <c r="Q846" t="str">
        <f>VLOOKUP(A846,Response!$A:$M,11,)</f>
        <v>Egattur</v>
      </c>
      <c r="R846" t="s">
        <v>19</v>
      </c>
      <c r="S846" s="39" t="s">
        <v>37</v>
      </c>
    </row>
    <row r="847" spans="1:19">
      <c r="A847" s="3">
        <v>2529548</v>
      </c>
      <c r="B847" t="str">
        <f>VLOOKUP(A847,File!$A:$J,2,FALSE)</f>
        <v>Uthaya Kumar T</v>
      </c>
      <c r="C847" s="29">
        <f>VLOOKUP(A847,File!$A:$J,5,FALSE)</f>
        <v>46245</v>
      </c>
      <c r="D847" s="29" t="str">
        <f>VLOOKUP(A847,File!$A:$J,3,FALSE)</f>
        <v>Male</v>
      </c>
      <c r="E847" s="29" t="str">
        <f>VLOOKUP(A847,File!$A:$J,4,FALSE)</f>
        <v>FTE</v>
      </c>
      <c r="F847" s="29" t="str">
        <f>VLOOKUP(A847,File!$A:$J,6,FALSE)</f>
        <v>Chennai</v>
      </c>
      <c r="G847" s="29" t="str">
        <f>VLOOKUP(A847,File!$A:$J,7,FALSE)</f>
        <v>CIS26MCPT026</v>
      </c>
      <c r="H847" s="29" t="str">
        <f>VLOOKUP(A847,File!$A:$J,8,FALSE)</f>
        <v>Mohamed Harish</v>
      </c>
      <c r="I847" s="31">
        <f>VLOOKUP(A847,File!$A:$J,9,FALSE)</f>
        <v>46364</v>
      </c>
      <c r="J847" s="31" t="str">
        <f>VLOOKUP(A847,File!$A:$K,11,FALSE)</f>
        <v>Dec 2026</v>
      </c>
      <c r="K847" s="31" t="str">
        <f>VLOOKUP(A847,File!$A:$K,10,FALSE)</f>
        <v>In-Training</v>
      </c>
      <c r="L847" s="31" t="s">
        <v>4</v>
      </c>
      <c r="M847" t="str">
        <f>VLOOKUP(A847,Response!$A:$M,7,)</f>
        <v>PG (Paying Guest)</v>
      </c>
      <c r="N847" t="str">
        <f>VLOOKUP(A847,Response!$A:$M,8,)</f>
        <v>Sahasra Deluxe PG for Men</v>
      </c>
      <c r="O847" s="4" t="str">
        <f>VLOOKUP(A847,Response!$A:$M,10,)</f>
        <v>GF</v>
      </c>
      <c r="P847" t="str">
        <f>VLOOKUP(A847,Response!$A:$M,12,)</f>
        <v>No</v>
      </c>
      <c r="Q847" t="str">
        <f>VLOOKUP(A847,Response!$A:$M,11,)</f>
        <v>Egattur</v>
      </c>
      <c r="R847" t="s">
        <v>19</v>
      </c>
      <c r="S847" s="39" t="s">
        <v>37</v>
      </c>
    </row>
    <row r="848" spans="1:19">
      <c r="A848" s="3">
        <v>2529582</v>
      </c>
      <c r="B848" t="str">
        <f>VLOOKUP(A848,File!$A:$J,2,FALSE)</f>
        <v>Akhil R</v>
      </c>
      <c r="C848" s="29">
        <f>VLOOKUP(A848,File!$A:$J,5,FALSE)</f>
        <v>46245</v>
      </c>
      <c r="D848" s="29" t="str">
        <f>VLOOKUP(A848,File!$A:$J,3,FALSE)</f>
        <v>Male</v>
      </c>
      <c r="E848" s="29" t="str">
        <f>VLOOKUP(A848,File!$A:$J,4,FALSE)</f>
        <v>FTE</v>
      </c>
      <c r="F848" s="29" t="str">
        <f>VLOOKUP(A848,File!$A:$J,6,FALSE)</f>
        <v>Chennai</v>
      </c>
      <c r="G848" s="29" t="str">
        <f>VLOOKUP(A848,File!$A:$J,7,FALSE)</f>
        <v>CIS26MCPT026</v>
      </c>
      <c r="H848" s="29" t="str">
        <f>VLOOKUP(A848,File!$A:$J,8,FALSE)</f>
        <v>Mohamed Harish</v>
      </c>
      <c r="I848" s="31">
        <f>VLOOKUP(A848,File!$A:$J,9,FALSE)</f>
        <v>46364</v>
      </c>
      <c r="J848" s="31" t="str">
        <f>VLOOKUP(A848,File!$A:$K,11,FALSE)</f>
        <v>Dec 2026</v>
      </c>
      <c r="K848" s="31" t="str">
        <f>VLOOKUP(A848,File!$A:$K,10,FALSE)</f>
        <v>In-Training</v>
      </c>
      <c r="L848" s="31" t="s">
        <v>4</v>
      </c>
      <c r="M848" t="str">
        <f>VLOOKUP(A848,Response!$A:$M,7,)</f>
        <v>PG (Paying Guest)</v>
      </c>
      <c r="N848" t="str">
        <f>VLOOKUP(A848,Response!$A:$M,8,)</f>
        <v>Sahasra deluxe pg for men</v>
      </c>
      <c r="O848" s="4" t="str">
        <f>VLOOKUP(A848,Response!$A:$M,10,)</f>
        <v>GF</v>
      </c>
      <c r="P848" t="str">
        <f>VLOOKUP(A848,Response!$A:$M,12,)</f>
        <v>No</v>
      </c>
      <c r="Q848" t="str">
        <f>VLOOKUP(A848,Response!$A:$M,11,)</f>
        <v>Egattur</v>
      </c>
      <c r="R848" t="s">
        <v>19</v>
      </c>
      <c r="S848" s="39" t="s">
        <v>37</v>
      </c>
    </row>
    <row r="849" spans="1:19">
      <c r="A849" s="3">
        <v>2516865</v>
      </c>
      <c r="B849" t="str">
        <f>VLOOKUP(A849,File!$A:$J,2,FALSE)</f>
        <v>Sohil Choudhary</v>
      </c>
      <c r="C849" s="29">
        <f>VLOOKUP(A849,File!$A:$J,5,FALSE)</f>
        <v>46191</v>
      </c>
      <c r="D849" s="29" t="str">
        <f>VLOOKUP(A849,File!$A:$J,3,FALSE)</f>
        <v>Male</v>
      </c>
      <c r="E849" s="29" t="str">
        <f>VLOOKUP(A849,File!$A:$J,4,FALSE)</f>
        <v>FTE</v>
      </c>
      <c r="F849" s="29" t="str">
        <f>VLOOKUP(A849,File!$A:$J,6,FALSE)</f>
        <v>Chennai</v>
      </c>
      <c r="G849" s="29" t="str">
        <f>VLOOKUP(A849,File!$A:$J,7,FALSE)</f>
        <v>CIS26NET004</v>
      </c>
      <c r="H849" s="29" t="str">
        <f>VLOOKUP(A849,File!$A:$J,8,FALSE)</f>
        <v>Uma Venkatachalam</v>
      </c>
      <c r="I849" s="31">
        <f>VLOOKUP(A849,File!$A:$J,9,FALSE)</f>
        <v>46269</v>
      </c>
      <c r="J849" s="31" t="str">
        <f>VLOOKUP(A849,File!$A:$K,11,FALSE)</f>
        <v>Sep 2026</v>
      </c>
      <c r="K849" s="31" t="str">
        <f>VLOOKUP(A849,File!$A:$K,10,FALSE)</f>
        <v>In-Training-Remedial</v>
      </c>
      <c r="L849" s="31" t="s">
        <v>4</v>
      </c>
      <c r="M849" t="str">
        <f>VLOOKUP(A849,Response!$A:$M,7,)</f>
        <v>PG (Paying Guest)</v>
      </c>
      <c r="N849" t="str">
        <f>VLOOKUP(A849,Response!$A:$M,8,)</f>
        <v>Sahasra Deluxe PG for men - Branch 1, Egattur</v>
      </c>
      <c r="O849" s="4">
        <f>VLOOKUP(A849,Response!$A:$M,10,)</f>
        <v>1</v>
      </c>
      <c r="P849" t="str">
        <f>VLOOKUP(A849,Response!$A:$M,12,)</f>
        <v>No</v>
      </c>
      <c r="Q849" t="str">
        <f>VLOOKUP(A849,Response!$A:$M,11,)</f>
        <v>Egattur</v>
      </c>
      <c r="R849" t="s">
        <v>19</v>
      </c>
      <c r="S849" s="39" t="s">
        <v>37</v>
      </c>
    </row>
    <row r="850" spans="1:19">
      <c r="A850" s="3">
        <v>2531965</v>
      </c>
      <c r="B850" t="str">
        <f>VLOOKUP(A850,File!$A:$J,2,FALSE)</f>
        <v>Chandu Tangella</v>
      </c>
      <c r="C850" s="29">
        <f>VLOOKUP(A850,File!$A:$J,5,FALSE)</f>
        <v>46254</v>
      </c>
      <c r="D850" s="29" t="str">
        <f>VLOOKUP(A850,File!$A:$J,3,FALSE)</f>
        <v>Male</v>
      </c>
      <c r="E850" s="29" t="str">
        <f>VLOOKUP(A850,File!$A:$J,4,FALSE)</f>
        <v>FTE</v>
      </c>
      <c r="F850" s="29" t="str">
        <f>VLOOKUP(A850,File!$A:$J,6,FALSE)</f>
        <v>Chennai</v>
      </c>
      <c r="G850" s="29" t="str">
        <f>VLOOKUP(A850,File!$A:$J,7,FALSE)</f>
        <v>CS26CS012</v>
      </c>
      <c r="H850" s="29" t="str">
        <f>VLOOKUP(A850,File!$A:$J,8,FALSE)</f>
        <v>Laksiya Vijayendran</v>
      </c>
      <c r="I850" s="31">
        <f>VLOOKUP(A850,File!$A:$J,9,FALSE)</f>
        <v>46343</v>
      </c>
      <c r="J850" s="31" t="str">
        <f>VLOOKUP(A850,File!$A:$K,11,FALSE)</f>
        <v>Nov 2026</v>
      </c>
      <c r="K850" s="31" t="str">
        <f>VLOOKUP(A850,File!$A:$K,10,FALSE)</f>
        <v>In-Training</v>
      </c>
      <c r="L850" s="31" t="s">
        <v>4</v>
      </c>
      <c r="M850" t="str">
        <f>VLOOKUP(A850,Response!$A:$M,7,)</f>
        <v>PG (Paying Guest)</v>
      </c>
      <c r="N850" t="str">
        <f>VLOOKUP(A850,Response!$A:$M,8,)</f>
        <v>SAHASRA DELUXE PG FOR MEN (NEW BUILDING)</v>
      </c>
      <c r="O850" s="4">
        <f>VLOOKUP(A850,Response!$A:$M,10,)</f>
        <v>1</v>
      </c>
      <c r="P850" t="str">
        <f>VLOOKUP(A850,Response!$A:$M,12,)</f>
        <v>No</v>
      </c>
      <c r="Q850" t="str">
        <f>VLOOKUP(A850,Response!$A:$M,11,)</f>
        <v>Egattur</v>
      </c>
      <c r="R850" t="s">
        <v>19</v>
      </c>
      <c r="S850" s="39" t="s">
        <v>37</v>
      </c>
    </row>
    <row r="851" spans="1:19">
      <c r="A851" s="3">
        <v>2521145</v>
      </c>
      <c r="B851" t="str">
        <f>VLOOKUP(A851,File!$A:$J,2,FALSE)</f>
        <v>Swayamvarapu Kumara Swamy</v>
      </c>
      <c r="C851" s="29">
        <f>VLOOKUP(A851,File!$A:$J,5,FALSE)</f>
        <v>46210</v>
      </c>
      <c r="D851" s="29" t="str">
        <f>VLOOKUP(A851,File!$A:$J,3,FALSE)</f>
        <v>Male</v>
      </c>
      <c r="E851" s="29" t="str">
        <f>VLOOKUP(A851,File!$A:$J,4,FALSE)</f>
        <v>FTE</v>
      </c>
      <c r="F851" s="29" t="str">
        <f>VLOOKUP(A851,File!$A:$J,6,FALSE)</f>
        <v>Chennai</v>
      </c>
      <c r="G851" s="29" t="str">
        <f>VLOOKUP(A851,File!$A:$J,7,FALSE)</f>
        <v>SNBG26SN003</v>
      </c>
      <c r="H851" s="29" t="str">
        <f>VLOOKUP(A851,File!$A:$J,8,FALSE)</f>
        <v>Lawrance M</v>
      </c>
      <c r="I851" s="31">
        <f>VLOOKUP(A851,File!$A:$J,9,FALSE)</f>
        <v>46303</v>
      </c>
      <c r="J851" s="31" t="str">
        <f>VLOOKUP(A851,File!$A:$K,11,FALSE)</f>
        <v>Oct 2026</v>
      </c>
      <c r="K851" s="31" t="str">
        <f>VLOOKUP(A851,File!$A:$K,10,FALSE)</f>
        <v>In-Training</v>
      </c>
      <c r="L851" s="31" t="s">
        <v>4</v>
      </c>
      <c r="M851" t="str">
        <f>VLOOKUP(A851,Response!$A:$M,7,)</f>
        <v>PG (Paying Guest)</v>
      </c>
      <c r="N851" t="str">
        <f>VLOOKUP(A851,Response!$A:$M,8,)</f>
        <v>Sahasra Deluxe PG for Men , Egattur</v>
      </c>
      <c r="O851" s="4">
        <f>VLOOKUP(A851,Response!$A:$M,10,)</f>
        <v>1</v>
      </c>
      <c r="P851" t="str">
        <f>VLOOKUP(A851,Response!$A:$M,12,)</f>
        <v>No</v>
      </c>
      <c r="Q851" t="str">
        <f>VLOOKUP(A851,Response!$A:$M,11,)</f>
        <v>Egattur</v>
      </c>
      <c r="R851" t="s">
        <v>19</v>
      </c>
      <c r="S851" s="39" t="s">
        <v>37</v>
      </c>
    </row>
    <row r="852" spans="1:19">
      <c r="A852" s="3">
        <v>2531972</v>
      </c>
      <c r="B852" t="str">
        <f>VLOOKUP(A852,File!$A:$J,2,FALSE)</f>
        <v>Manish Kumar Kasaraboina</v>
      </c>
      <c r="C852" s="29">
        <f>VLOOKUP(A852,File!$A:$J,5,FALSE)</f>
        <v>46254</v>
      </c>
      <c r="D852" s="29" t="str">
        <f>VLOOKUP(A852,File!$A:$J,3,FALSE)</f>
        <v>Male</v>
      </c>
      <c r="E852" s="29" t="str">
        <f>VLOOKUP(A852,File!$A:$J,4,FALSE)</f>
        <v>FTE</v>
      </c>
      <c r="F852" s="29" t="str">
        <f>VLOOKUP(A852,File!$A:$J,6,FALSE)</f>
        <v>Chennai</v>
      </c>
      <c r="G852" s="29" t="str">
        <f>VLOOKUP(A852,File!$A:$J,7,FALSE)</f>
        <v>CS26CS012</v>
      </c>
      <c r="H852" s="29" t="str">
        <f>VLOOKUP(A852,File!$A:$J,8,FALSE)</f>
        <v>Laksiya Vijayendran</v>
      </c>
      <c r="I852" s="31">
        <f>VLOOKUP(A852,File!$A:$J,9,FALSE)</f>
        <v>46343</v>
      </c>
      <c r="J852" s="31" t="str">
        <f>VLOOKUP(A852,File!$A:$K,11,FALSE)</f>
        <v>Nov 2026</v>
      </c>
      <c r="K852" s="31" t="str">
        <f>VLOOKUP(A852,File!$A:$K,10,FALSE)</f>
        <v>In-Training</v>
      </c>
      <c r="L852" s="31" t="s">
        <v>4</v>
      </c>
      <c r="M852" t="str">
        <f>VLOOKUP(A852,Response!$A:$M,7,)</f>
        <v>PG (Paying Guest)</v>
      </c>
      <c r="N852" t="str">
        <f>VLOOKUP(A852,Response!$A:$M,8,)</f>
        <v>sahasra Deluxe PG for men , Egattur</v>
      </c>
      <c r="O852" s="4" t="str">
        <f>VLOOKUP(A852,Response!$A:$M,10,)</f>
        <v>GF</v>
      </c>
      <c r="P852" t="str">
        <f>VLOOKUP(A852,Response!$A:$M,12,)</f>
        <v>No</v>
      </c>
      <c r="Q852" t="str">
        <f>VLOOKUP(A852,Response!$A:$M,11,)</f>
        <v>Egattur</v>
      </c>
      <c r="R852" t="s">
        <v>19</v>
      </c>
      <c r="S852" s="39" t="s">
        <v>37</v>
      </c>
    </row>
    <row r="853" spans="1:19">
      <c r="A853" s="3">
        <v>2521278</v>
      </c>
      <c r="B853" t="str">
        <f>VLOOKUP(A853,File!$A:$J,2,FALSE)</f>
        <v>Pilla Pavan</v>
      </c>
      <c r="C853" s="29">
        <f>VLOOKUP(A853,File!$A:$J,5,FALSE)</f>
        <v>46210</v>
      </c>
      <c r="D853" s="29" t="str">
        <f>VLOOKUP(A853,File!$A:$J,3,FALSE)</f>
        <v>Male</v>
      </c>
      <c r="E853" s="29" t="str">
        <f>VLOOKUP(A853,File!$A:$J,4,FALSE)</f>
        <v>FTE</v>
      </c>
      <c r="F853" s="29" t="str">
        <f>VLOOKUP(A853,File!$A:$J,6,FALSE)</f>
        <v>Chennai</v>
      </c>
      <c r="G853" s="29" t="str">
        <f>VLOOKUP(A853,File!$A:$J,7,FALSE)</f>
        <v>SNBG26SN002</v>
      </c>
      <c r="H853" s="29" t="str">
        <f>VLOOKUP(A853,File!$A:$J,8,FALSE)</f>
        <v>Lawrance M</v>
      </c>
      <c r="I853" s="31">
        <f>VLOOKUP(A853,File!$A:$J,9,FALSE)</f>
        <v>46303</v>
      </c>
      <c r="J853" s="31" t="str">
        <f>VLOOKUP(A853,File!$A:$K,11,FALSE)</f>
        <v>Oct 2026</v>
      </c>
      <c r="K853" s="31" t="str">
        <f>VLOOKUP(A853,File!$A:$K,10,FALSE)</f>
        <v>In-Training</v>
      </c>
      <c r="L853" s="31" t="s">
        <v>4</v>
      </c>
      <c r="M853" t="str">
        <f>VLOOKUP(A853,Response!$A:$M,7,)</f>
        <v>PG (Paying Guest)</v>
      </c>
      <c r="N853" t="str">
        <f>VLOOKUP(A853,Response!$A:$M,8,)</f>
        <v>Sahasra Deluxe PG for men Green park lane, near Sipcot It Park, Egattur, Tamil Nadu 603103</v>
      </c>
      <c r="O853" s="4" t="str">
        <f>VLOOKUP(A853,Response!$A:$M,10,)</f>
        <v>GF</v>
      </c>
      <c r="P853" t="str">
        <f>VLOOKUP(A853,Response!$A:$M,12,)</f>
        <v>No</v>
      </c>
      <c r="Q853" t="str">
        <f>VLOOKUP(A853,Response!$A:$M,11,)</f>
        <v>Egattur</v>
      </c>
      <c r="R853" t="s">
        <v>19</v>
      </c>
      <c r="S853" s="39" t="s">
        <v>37</v>
      </c>
    </row>
    <row r="854" spans="1:19">
      <c r="A854" s="3">
        <v>2516864</v>
      </c>
      <c r="B854" t="str">
        <f>VLOOKUP(A854,File!$A:$J,2,FALSE)</f>
        <v>Abhinav Anand</v>
      </c>
      <c r="C854" s="29">
        <f>VLOOKUP(A854,File!$A:$J,5,FALSE)</f>
        <v>46191</v>
      </c>
      <c r="D854" s="29" t="str">
        <f>VLOOKUP(A854,File!$A:$J,3,FALSE)</f>
        <v>Male</v>
      </c>
      <c r="E854" s="29" t="str">
        <f>VLOOKUP(A854,File!$A:$J,4,FALSE)</f>
        <v>FTE</v>
      </c>
      <c r="F854" s="29" t="str">
        <f>VLOOKUP(A854,File!$A:$J,6,FALSE)</f>
        <v>Chennai</v>
      </c>
      <c r="G854" s="29" t="str">
        <f>VLOOKUP(A854,File!$A:$J,7,FALSE)</f>
        <v>CIS26NET004</v>
      </c>
      <c r="H854" s="29" t="str">
        <f>VLOOKUP(A854,File!$A:$J,8,FALSE)</f>
        <v>Uma Venkatachalam</v>
      </c>
      <c r="I854" s="31">
        <f>VLOOKUP(A854,File!$A:$J,9,FALSE)</f>
        <v>46269</v>
      </c>
      <c r="J854" s="31" t="str">
        <f>VLOOKUP(A854,File!$A:$K,11,FALSE)</f>
        <v>Sep 2026</v>
      </c>
      <c r="K854" s="31" t="str">
        <f>VLOOKUP(A854,File!$A:$K,10,FALSE)</f>
        <v>In-Training-Remedial</v>
      </c>
      <c r="L854" s="31" t="s">
        <v>4</v>
      </c>
      <c r="M854" t="str">
        <f>VLOOKUP(A854,Response!$A:$M,7,)</f>
        <v>PG (Paying Guest)</v>
      </c>
      <c r="N854" t="str">
        <f>VLOOKUP(A854,Response!$A:$M,8,)</f>
        <v>Sahasra Deluxe PG for Men, Egattur</v>
      </c>
      <c r="O854" s="4">
        <f>VLOOKUP(A854,Response!$A:$M,10,)</f>
        <v>1</v>
      </c>
      <c r="P854" t="str">
        <f>VLOOKUP(A854,Response!$A:$M,12,)</f>
        <v>No</v>
      </c>
      <c r="Q854" t="str">
        <f>VLOOKUP(A854,Response!$A:$M,11,)</f>
        <v>Egattur</v>
      </c>
      <c r="R854" t="s">
        <v>19</v>
      </c>
      <c r="S854" s="39" t="s">
        <v>37</v>
      </c>
    </row>
    <row r="855" spans="1:19">
      <c r="A855" s="3">
        <v>2519665</v>
      </c>
      <c r="B855" t="str">
        <f>VLOOKUP(A855,File!$A:$J,2,FALSE)</f>
        <v>Hardik Shital Chougule</v>
      </c>
      <c r="C855" s="29">
        <f>VLOOKUP(A855,File!$A:$J,5,FALSE)</f>
        <v>46205</v>
      </c>
      <c r="D855" s="29" t="str">
        <f>VLOOKUP(A855,File!$A:$J,3,FALSE)</f>
        <v>Male</v>
      </c>
      <c r="E855" s="29" t="str">
        <f>VLOOKUP(A855,File!$A:$J,4,FALSE)</f>
        <v>FTE</v>
      </c>
      <c r="F855" s="29" t="str">
        <f>VLOOKUP(A855,File!$A:$J,6,FALSE)</f>
        <v>Chennai</v>
      </c>
      <c r="G855" s="29" t="str">
        <f>VLOOKUP(A855,File!$A:$J,7,FALSE)</f>
        <v>CIS26UNIX003</v>
      </c>
      <c r="H855" s="29" t="str">
        <f>VLOOKUP(A855,File!$A:$J,8,FALSE)</f>
        <v>Haritha P</v>
      </c>
      <c r="I855" s="31">
        <f>VLOOKUP(A855,File!$A:$J,9,FALSE)</f>
        <v>46289</v>
      </c>
      <c r="J855" s="31" t="str">
        <f>VLOOKUP(A855,File!$A:$K,11,FALSE)</f>
        <v>Sep 2026</v>
      </c>
      <c r="K855" s="31" t="str">
        <f>VLOOKUP(A855,File!$A:$K,10,FALSE)</f>
        <v>In-Training</v>
      </c>
      <c r="L855" s="31" t="s">
        <v>4</v>
      </c>
      <c r="M855" t="str">
        <f>VLOOKUP(A855,Response!$A:$M,7,)</f>
        <v>PG (Paying Guest)</v>
      </c>
      <c r="N855" t="str">
        <f>VLOOKUP(A855,Response!$A:$M,8,)</f>
        <v>Sahasra Deluxe PG for men, Egattur</v>
      </c>
      <c r="O855" s="4">
        <f>VLOOKUP(A855,Response!$A:$M,10,)</f>
        <v>1</v>
      </c>
      <c r="P855" t="str">
        <f>VLOOKUP(A855,Response!$A:$M,12,)</f>
        <v>No</v>
      </c>
      <c r="Q855" t="str">
        <f>VLOOKUP(A855,Response!$A:$M,11,)</f>
        <v>Egattur</v>
      </c>
      <c r="R855" t="s">
        <v>19</v>
      </c>
      <c r="S855" s="39" t="s">
        <v>37</v>
      </c>
    </row>
    <row r="856" spans="1:19">
      <c r="A856" s="3">
        <v>2529801</v>
      </c>
      <c r="B856" t="str">
        <f>VLOOKUP(A856,File!$A:$J,2,FALSE)</f>
        <v>Vimal Sridhar K</v>
      </c>
      <c r="C856" s="29">
        <f>VLOOKUP(A856,File!$A:$J,5,FALSE)</f>
        <v>46245</v>
      </c>
      <c r="D856" s="29" t="str">
        <f>VLOOKUP(A856,File!$A:$J,3,FALSE)</f>
        <v>Male</v>
      </c>
      <c r="E856" s="29" t="str">
        <f>VLOOKUP(A856,File!$A:$J,4,FALSE)</f>
        <v>FTE</v>
      </c>
      <c r="F856" s="29" t="str">
        <f>VLOOKUP(A856,File!$A:$J,6,FALSE)</f>
        <v>Chennai</v>
      </c>
      <c r="G856" s="29" t="str">
        <f>VLOOKUP(A856,File!$A:$J,7,FALSE)</f>
        <v>EPS26SAP031</v>
      </c>
      <c r="H856" s="29" t="str">
        <f>VLOOKUP(A856,File!$A:$J,8,FALSE)</f>
        <v>Akashraj R</v>
      </c>
      <c r="I856" s="31">
        <f>VLOOKUP(A856,File!$A:$J,9,FALSE)</f>
        <v>46330</v>
      </c>
      <c r="J856" s="31" t="str">
        <f>VLOOKUP(A856,File!$A:$K,11,FALSE)</f>
        <v>Nov 2026</v>
      </c>
      <c r="K856" s="31" t="str">
        <f>VLOOKUP(A856,File!$A:$K,10,FALSE)</f>
        <v>In-Training</v>
      </c>
      <c r="L856" s="31" t="s">
        <v>4</v>
      </c>
      <c r="M856" t="str">
        <f>VLOOKUP(A856,Response!$A:$M,7,)</f>
        <v>PG (Paying Guest)</v>
      </c>
      <c r="N856" t="str">
        <f>VLOOKUP(A856,Response!$A:$M,8,)</f>
        <v>Sahasra Deluxe PG for Men, Egattur</v>
      </c>
      <c r="O856" s="4" t="str">
        <f>VLOOKUP(A856,Response!$A:$M,10,)</f>
        <v>GF</v>
      </c>
      <c r="P856" t="str">
        <f>VLOOKUP(A856,Response!$A:$M,12,)</f>
        <v>No</v>
      </c>
      <c r="Q856" t="str">
        <f>VLOOKUP(A856,Response!$A:$M,11,)</f>
        <v>Egattur</v>
      </c>
      <c r="R856" t="s">
        <v>19</v>
      </c>
      <c r="S856" s="39" t="s">
        <v>37</v>
      </c>
    </row>
    <row r="857" spans="1:19">
      <c r="A857" s="3">
        <v>2521053</v>
      </c>
      <c r="B857" t="str">
        <f>VLOOKUP(A857,File!$A:$J,2,FALSE)</f>
        <v>Allanki Arun</v>
      </c>
      <c r="C857" s="29">
        <f>VLOOKUP(A857,File!$A:$J,5,FALSE)</f>
        <v>46210</v>
      </c>
      <c r="D857" s="29" t="str">
        <f>VLOOKUP(A857,File!$A:$J,3,FALSE)</f>
        <v>Male</v>
      </c>
      <c r="E857" s="29" t="str">
        <f>VLOOKUP(A857,File!$A:$J,4,FALSE)</f>
        <v>FTE</v>
      </c>
      <c r="F857" s="29" t="str">
        <f>VLOOKUP(A857,File!$A:$J,6,FALSE)</f>
        <v>Chennai</v>
      </c>
      <c r="G857" s="29" t="str">
        <f>VLOOKUP(A857,File!$A:$J,7,FALSE)</f>
        <v>CIS26SN001</v>
      </c>
      <c r="H857" s="29" t="str">
        <f>VLOOKUP(A857,File!$A:$J,8,FALSE)</f>
        <v>Ashiya Begam S</v>
      </c>
      <c r="I857" s="31">
        <f>VLOOKUP(A857,File!$A:$J,9,FALSE)</f>
        <v>46281</v>
      </c>
      <c r="J857" s="31" t="str">
        <f>VLOOKUP(A857,File!$A:$K,11,FALSE)</f>
        <v>Sep 2026</v>
      </c>
      <c r="K857" s="31" t="str">
        <f>VLOOKUP(A857,File!$A:$K,10,FALSE)</f>
        <v>In-Training</v>
      </c>
      <c r="L857" s="31" t="s">
        <v>4</v>
      </c>
      <c r="M857" t="str">
        <f>VLOOKUP(A857,Response!$A:$M,7,)</f>
        <v>PG (Paying Guest)</v>
      </c>
      <c r="N857" t="str">
        <f>VLOOKUP(A857,Response!$A:$M,8,)</f>
        <v>Sahasra Deluxe PG for men, Egattur.</v>
      </c>
      <c r="O857" s="4" t="str">
        <f>VLOOKUP(A857,Response!$A:$M,10,)</f>
        <v>GF</v>
      </c>
      <c r="P857" t="str">
        <f>VLOOKUP(A857,Response!$A:$M,12,)</f>
        <v>No</v>
      </c>
      <c r="Q857" t="str">
        <f>VLOOKUP(A857,Response!$A:$M,11,)</f>
        <v>Egattur</v>
      </c>
      <c r="R857" t="s">
        <v>19</v>
      </c>
      <c r="S857" s="39" t="s">
        <v>37</v>
      </c>
    </row>
    <row r="858" spans="1:19">
      <c r="A858" s="3">
        <v>2529540</v>
      </c>
      <c r="B858" t="str">
        <f>VLOOKUP(A858,File!$A:$J,2,FALSE)</f>
        <v>Mujahid Sarfaraz Khan</v>
      </c>
      <c r="C858" s="29">
        <f>VLOOKUP(A858,File!$A:$J,5,FALSE)</f>
        <v>46245</v>
      </c>
      <c r="D858" s="29" t="str">
        <f>VLOOKUP(A858,File!$A:$J,3,FALSE)</f>
        <v>Male</v>
      </c>
      <c r="E858" s="29" t="str">
        <f>VLOOKUP(A858,File!$A:$J,4,FALSE)</f>
        <v>FTE</v>
      </c>
      <c r="F858" s="29" t="str">
        <f>VLOOKUP(A858,File!$A:$J,6,FALSE)</f>
        <v>Chennai</v>
      </c>
      <c r="G858" s="29" t="str">
        <f>VLOOKUP(A858,File!$A:$J,7,FALSE)</f>
        <v>CIS26MCPT026</v>
      </c>
      <c r="H858" s="29" t="str">
        <f>VLOOKUP(A858,File!$A:$J,8,FALSE)</f>
        <v>Mohamed Harish</v>
      </c>
      <c r="I858" s="31">
        <f>VLOOKUP(A858,File!$A:$J,9,FALSE)</f>
        <v>46364</v>
      </c>
      <c r="J858" s="31" t="str">
        <f>VLOOKUP(A858,File!$A:$K,11,FALSE)</f>
        <v>Dec 2026</v>
      </c>
      <c r="K858" s="31" t="str">
        <f>VLOOKUP(A858,File!$A:$K,10,FALSE)</f>
        <v>In-Training</v>
      </c>
      <c r="L858" s="31" t="s">
        <v>4</v>
      </c>
      <c r="M858" t="str">
        <f>VLOOKUP(A858,Response!$A:$M,7,)</f>
        <v>PG (Paying Guest)</v>
      </c>
      <c r="N858" t="str">
        <f>VLOOKUP(A858,Response!$A:$M,8,)</f>
        <v>Sahasra Deluxe PG for men, Green Park Lane, near Sipcot It Park, Egattur</v>
      </c>
      <c r="O858" s="4">
        <f>VLOOKUP(A858,Response!$A:$M,10,)</f>
        <v>1</v>
      </c>
      <c r="P858" t="str">
        <f>VLOOKUP(A858,Response!$A:$M,12,)</f>
        <v>No</v>
      </c>
      <c r="Q858" t="str">
        <f>VLOOKUP(A858,Response!$A:$M,11,)</f>
        <v>Egattur</v>
      </c>
      <c r="R858" t="s">
        <v>19</v>
      </c>
      <c r="S858" s="39" t="s">
        <v>37</v>
      </c>
    </row>
    <row r="859" spans="1:19">
      <c r="A859" s="3">
        <v>2529697</v>
      </c>
      <c r="B859" t="str">
        <f>VLOOKUP(A859,File!$A:$J,2,FALSE)</f>
        <v>Divakar A</v>
      </c>
      <c r="C859" s="29">
        <f>VLOOKUP(A859,File!$A:$J,5,FALSE)</f>
        <v>46245</v>
      </c>
      <c r="D859" s="29" t="str">
        <f>VLOOKUP(A859,File!$A:$J,3,FALSE)</f>
        <v>Male</v>
      </c>
      <c r="E859" s="29" t="str">
        <f>VLOOKUP(A859,File!$A:$J,4,FALSE)</f>
        <v>FTE</v>
      </c>
      <c r="F859" s="29" t="str">
        <f>VLOOKUP(A859,File!$A:$J,6,FALSE)</f>
        <v>Chennai</v>
      </c>
      <c r="G859" s="29" t="str">
        <f>VLOOKUP(A859,File!$A:$J,7,FALSE)</f>
        <v>EPS26SAP034</v>
      </c>
      <c r="H859" s="29" t="str">
        <f>VLOOKUP(A859,File!$A:$J,8,FALSE)</f>
        <v>Gayathri Ramachandran</v>
      </c>
      <c r="I859" s="31">
        <f>VLOOKUP(A859,File!$A:$J,9,FALSE)</f>
        <v>46331</v>
      </c>
      <c r="J859" s="31" t="str">
        <f>VLOOKUP(A859,File!$A:$K,11,FALSE)</f>
        <v>Nov 2026</v>
      </c>
      <c r="K859" s="31" t="str">
        <f>VLOOKUP(A859,File!$A:$K,10,FALSE)</f>
        <v>In-Training</v>
      </c>
      <c r="L859" s="31" t="s">
        <v>4</v>
      </c>
      <c r="M859" t="str">
        <f>VLOOKUP(A859,Response!$A:$M,7,)</f>
        <v>PG (Paying Guest)</v>
      </c>
      <c r="N859" t="str">
        <f>VLOOKUP(A859,Response!$A:$M,8,)</f>
        <v>Sahasra Deluxe PG for Men,Egattur</v>
      </c>
      <c r="O859" s="4" t="str">
        <f>VLOOKUP(A859,Response!$A:$M,10,)</f>
        <v>GF</v>
      </c>
      <c r="P859" t="str">
        <f>VLOOKUP(A859,Response!$A:$M,12,)</f>
        <v>Yes</v>
      </c>
      <c r="Q859" t="str">
        <f>VLOOKUP(A859,Response!$A:$M,11,)</f>
        <v>Egattur</v>
      </c>
      <c r="R859" t="s">
        <v>19</v>
      </c>
      <c r="S859" s="39" t="s">
        <v>37</v>
      </c>
    </row>
    <row r="860" spans="1:19">
      <c r="A860" s="3">
        <v>2533042</v>
      </c>
      <c r="B860" t="str">
        <f>VLOOKUP(A860,File!$A:$J,2,FALSE)</f>
        <v>Majji Kamalakar</v>
      </c>
      <c r="C860" s="29">
        <f>VLOOKUP(A860,File!$A:$J,5,FALSE)</f>
        <v>46259</v>
      </c>
      <c r="D860" s="29" t="str">
        <f>VLOOKUP(A860,File!$A:$J,3,FALSE)</f>
        <v>Male</v>
      </c>
      <c r="E860" s="29" t="str">
        <f>VLOOKUP(A860,File!$A:$J,4,FALSE)</f>
        <v>FTE</v>
      </c>
      <c r="F860" s="29" t="str">
        <f>VLOOKUP(A860,File!$A:$J,6,FALSE)</f>
        <v>Chennai</v>
      </c>
      <c r="G860" s="29" t="str">
        <f>VLOOKUP(A860,File!$A:$J,7,FALSE)</f>
        <v>CIS26SN002</v>
      </c>
      <c r="H860" s="29" t="str">
        <f>VLOOKUP(A860,File!$A:$J,8,FALSE)</f>
        <v>Ashiya Begam S</v>
      </c>
      <c r="I860" s="31">
        <f>VLOOKUP(A860,File!$A:$J,9,FALSE)</f>
        <v>46358</v>
      </c>
      <c r="J860" s="31" t="str">
        <f>VLOOKUP(A860,File!$A:$K,11,FALSE)</f>
        <v>Dec 2026</v>
      </c>
      <c r="K860" s="31" t="str">
        <f>VLOOKUP(A860,File!$A:$K,10,FALSE)</f>
        <v>In-Training</v>
      </c>
      <c r="L860" s="31" t="s">
        <v>4</v>
      </c>
      <c r="M860" t="str">
        <f>VLOOKUP(A860,Response!$A:$M,7,)</f>
        <v>PG (Paying Guest)</v>
      </c>
      <c r="N860" t="str">
        <f>VLOOKUP(A860,Response!$A:$M,8,)</f>
        <v>Sahasra Deluxe PG for men,Green park lane, near Sipcot It Park, Egattur, Tamil Nadu 603103</v>
      </c>
      <c r="O860" s="4">
        <f>VLOOKUP(A860,Response!$A:$M,10,)</f>
        <v>1</v>
      </c>
      <c r="P860" t="str">
        <f>VLOOKUP(A860,Response!$A:$M,12,)</f>
        <v>No</v>
      </c>
      <c r="Q860" t="str">
        <f>VLOOKUP(A860,Response!$A:$M,11,)</f>
        <v>Egattur</v>
      </c>
      <c r="R860" t="s">
        <v>19</v>
      </c>
      <c r="S860" s="39" t="s">
        <v>37</v>
      </c>
    </row>
    <row r="861" spans="1:19">
      <c r="A861" s="3">
        <v>2533010</v>
      </c>
      <c r="B861" t="str">
        <f>VLOOKUP(A861,File!$A:$J,2,FALSE)</f>
        <v>Shaik Roshan Moulali</v>
      </c>
      <c r="C861" s="29">
        <f>VLOOKUP(A861,File!$A:$J,5,FALSE)</f>
        <v>46259</v>
      </c>
      <c r="D861" s="29" t="str">
        <f>VLOOKUP(A861,File!$A:$J,3,FALSE)</f>
        <v>Male</v>
      </c>
      <c r="E861" s="29" t="str">
        <f>VLOOKUP(A861,File!$A:$J,4,FALSE)</f>
        <v>FTE</v>
      </c>
      <c r="F861" s="29" t="str">
        <f>VLOOKUP(A861,File!$A:$J,6,FALSE)</f>
        <v>Chennai</v>
      </c>
      <c r="G861" s="29" t="str">
        <f>VLOOKUP(A861,File!$A:$J,7,FALSE)</f>
        <v>ADM27DFSA001</v>
      </c>
      <c r="H861" s="29" t="str">
        <f>VLOOKUP(A861,File!$A:$J,8,FALSE)</f>
        <v>Thomas Naveen. J</v>
      </c>
      <c r="I861" s="31">
        <f>VLOOKUP(A861,File!$A:$J,9,FALSE)</f>
        <v>46386</v>
      </c>
      <c r="J861" s="31" t="str">
        <f>VLOOKUP(A861,File!$A:$K,11,FALSE)</f>
        <v>Dec 2026</v>
      </c>
      <c r="K861" s="31" t="str">
        <f>VLOOKUP(A861,File!$A:$K,10,FALSE)</f>
        <v>In-Training</v>
      </c>
      <c r="L861" s="31" t="s">
        <v>4</v>
      </c>
      <c r="M861" t="str">
        <f>VLOOKUP(A861,Response!$A:$M,7,)</f>
        <v>PG (Paying Guest)</v>
      </c>
      <c r="N861" t="str">
        <f>VLOOKUP(A861,Response!$A:$M,8,)</f>
        <v>Sahasra deluxe PG for Mens, Egattur</v>
      </c>
      <c r="O861" s="4">
        <f>VLOOKUP(A861,Response!$A:$M,10,)</f>
        <v>1</v>
      </c>
      <c r="P861" t="str">
        <f>VLOOKUP(A861,Response!$A:$M,12,)</f>
        <v>No</v>
      </c>
      <c r="Q861" t="str">
        <f>VLOOKUP(A861,Response!$A:$M,11,)</f>
        <v>Egattur</v>
      </c>
      <c r="R861" t="s">
        <v>19</v>
      </c>
      <c r="S861" s="39" t="s">
        <v>37</v>
      </c>
    </row>
    <row r="862" spans="1:19">
      <c r="A862" s="3">
        <v>2507425</v>
      </c>
      <c r="B862" t="str">
        <f>VLOOKUP(A862,File!$A:$J,2,FALSE)</f>
        <v>Gopalakrishna Danaboina</v>
      </c>
      <c r="C862" s="29">
        <f>VLOOKUP(A862,File!$A:$J,5,FALSE)</f>
        <v>46142</v>
      </c>
      <c r="D862" s="29" t="str">
        <f>VLOOKUP(A862,File!$A:$J,3,FALSE)</f>
        <v>Male</v>
      </c>
      <c r="E862" s="29" t="str">
        <f>VLOOKUP(A862,File!$A:$J,4,FALSE)</f>
        <v>FTE</v>
      </c>
      <c r="F862" s="29" t="str">
        <f>VLOOKUP(A862,File!$A:$J,6,FALSE)</f>
        <v>Chennai</v>
      </c>
      <c r="G862" s="29" t="str">
        <f>VLOOKUP(A862,File!$A:$J,7,FALSE)</f>
        <v>ADM26MF009</v>
      </c>
      <c r="H862" s="29" t="str">
        <f>VLOOKUP(A862,File!$A:$J,8,FALSE)</f>
        <v>Nithyakalyani Muthukumar</v>
      </c>
      <c r="I862" s="31">
        <f>VLOOKUP(A862,File!$A:$J,9,FALSE)</f>
        <v>46269</v>
      </c>
      <c r="J862" s="31" t="str">
        <f>VLOOKUP(A862,File!$A:$K,11,FALSE)</f>
        <v>Sep 2026</v>
      </c>
      <c r="K862" s="31" t="str">
        <f>VLOOKUP(A862,File!$A:$K,10,FALSE)</f>
        <v>In-Training-Remedial</v>
      </c>
      <c r="L862" s="31" t="s">
        <v>4</v>
      </c>
      <c r="M862" t="str">
        <f>VLOOKUP(A862,Response!$A:$M,7,)</f>
        <v>PG (Paying Guest)</v>
      </c>
      <c r="N862" t="str">
        <f>VLOOKUP(A862,Response!$A:$M,8,)</f>
        <v xml:space="preserve">Sahasra Men's pg, semmancheri, chennai, tamilnadu, 600119  </v>
      </c>
      <c r="O862" s="4">
        <f>VLOOKUP(A862,Response!$A:$M,10,)</f>
        <v>1</v>
      </c>
      <c r="P862" t="str">
        <f>VLOOKUP(A862,Response!$A:$M,12,)</f>
        <v>No</v>
      </c>
      <c r="Q862" t="str">
        <f>VLOOKUP(A862,Response!$A:$M,11,)</f>
        <v>Navalur</v>
      </c>
      <c r="R862" t="s">
        <v>19</v>
      </c>
      <c r="S862" s="39" t="s">
        <v>37</v>
      </c>
    </row>
    <row r="863" spans="1:19">
      <c r="A863" s="3">
        <v>2519591</v>
      </c>
      <c r="B863" t="str">
        <f>VLOOKUP(A863,File!$A:$J,2,FALSE)</f>
        <v>P R Ajithkumar</v>
      </c>
      <c r="C863" s="29">
        <f>VLOOKUP(A863,File!$A:$J,5,FALSE)</f>
        <v>46205</v>
      </c>
      <c r="D863" s="29" t="str">
        <f>VLOOKUP(A863,File!$A:$J,3,FALSE)</f>
        <v>Male</v>
      </c>
      <c r="E863" s="29" t="str">
        <f>VLOOKUP(A863,File!$A:$J,4,FALSE)</f>
        <v>FTE</v>
      </c>
      <c r="F863" s="29" t="str">
        <f>VLOOKUP(A863,File!$A:$J,6,FALSE)</f>
        <v>Chennai</v>
      </c>
      <c r="G863" s="29" t="str">
        <f>VLOOKUP(A863,File!$A:$J,7,FALSE)</f>
        <v>CIS26UNIX004</v>
      </c>
      <c r="H863" s="29" t="str">
        <f>VLOOKUP(A863,File!$A:$J,8,FALSE)</f>
        <v>Haritha P</v>
      </c>
      <c r="I863" s="31">
        <f>VLOOKUP(A863,File!$A:$J,9,FALSE)</f>
        <v>46289</v>
      </c>
      <c r="J863" s="31" t="str">
        <f>VLOOKUP(A863,File!$A:$K,11,FALSE)</f>
        <v>Sep 2026</v>
      </c>
      <c r="K863" s="31" t="str">
        <f>VLOOKUP(A863,File!$A:$K,10,FALSE)</f>
        <v>In-Training</v>
      </c>
      <c r="L863" s="31" t="s">
        <v>4</v>
      </c>
      <c r="M863" t="str">
        <f>VLOOKUP(A863,Response!$A:$M,7,)</f>
        <v>PG (Paying Guest)</v>
      </c>
      <c r="N863" t="str">
        <f>VLOOKUP(A863,Response!$A:$M,8,)</f>
        <v>Sahasra Pg for Gents, Navalur</v>
      </c>
      <c r="O863" s="4">
        <f>VLOOKUP(A863,Response!$A:$M,10,)</f>
        <v>3</v>
      </c>
      <c r="P863" t="str">
        <f>VLOOKUP(A863,Response!$A:$M,12,)</f>
        <v>Yes</v>
      </c>
      <c r="Q863" t="str">
        <f>VLOOKUP(A863,Response!$A:$M,11,)</f>
        <v>Navalur</v>
      </c>
      <c r="R863" t="s">
        <v>19</v>
      </c>
      <c r="S863" s="39" t="s">
        <v>37</v>
      </c>
    </row>
    <row r="864" spans="1:19">
      <c r="A864" s="3">
        <v>2521242</v>
      </c>
      <c r="B864" t="str">
        <f>VLOOKUP(A864,File!$A:$J,2,FALSE)</f>
        <v>Sighakolli Venkata Ram Vijesh</v>
      </c>
      <c r="C864" s="29">
        <f>VLOOKUP(A864,File!$A:$J,5,FALSE)</f>
        <v>46210</v>
      </c>
      <c r="D864" s="29" t="str">
        <f>VLOOKUP(A864,File!$A:$J,3,FALSE)</f>
        <v>Male</v>
      </c>
      <c r="E864" s="29" t="str">
        <f>VLOOKUP(A864,File!$A:$J,4,FALSE)</f>
        <v>FTE</v>
      </c>
      <c r="F864" s="29" t="str">
        <f>VLOOKUP(A864,File!$A:$J,6,FALSE)</f>
        <v>Chennai</v>
      </c>
      <c r="G864" s="29" t="str">
        <f>VLOOKUP(A864,File!$A:$J,7,FALSE)</f>
        <v>SNBG26SN004</v>
      </c>
      <c r="H864" s="29" t="str">
        <f>VLOOKUP(A864,File!$A:$J,8,FALSE)</f>
        <v>Kishorekumar P</v>
      </c>
      <c r="I864" s="31">
        <f>VLOOKUP(A864,File!$A:$J,9,FALSE)</f>
        <v>46303</v>
      </c>
      <c r="J864" s="31" t="str">
        <f>VLOOKUP(A864,File!$A:$K,11,FALSE)</f>
        <v>Oct 2026</v>
      </c>
      <c r="K864" s="31" t="str">
        <f>VLOOKUP(A864,File!$A:$K,10,FALSE)</f>
        <v>In-Training</v>
      </c>
      <c r="L864" s="31" t="s">
        <v>4</v>
      </c>
      <c r="M864" t="str">
        <f>VLOOKUP(A864,Response!$A:$M,7,)</f>
        <v>PG (Paying Guest)</v>
      </c>
      <c r="N864" t="str">
        <f>VLOOKUP(A864,Response!$A:$M,8,)</f>
        <v>Sahasra PG, Egattur, Chennai</v>
      </c>
      <c r="O864" s="4" t="str">
        <f>VLOOKUP(A864,Response!$A:$M,10,)</f>
        <v>GF</v>
      </c>
      <c r="P864" t="str">
        <f>VLOOKUP(A864,Response!$A:$M,12,)</f>
        <v>No</v>
      </c>
      <c r="Q864" t="str">
        <f>VLOOKUP(A864,Response!$A:$M,11,)</f>
        <v>Egattur</v>
      </c>
      <c r="R864" t="s">
        <v>19</v>
      </c>
      <c r="S864" s="39" t="s">
        <v>37</v>
      </c>
    </row>
    <row r="865" spans="1:19">
      <c r="A865" s="3">
        <v>2521670</v>
      </c>
      <c r="B865" t="str">
        <f>VLOOKUP(A865,File!$A:$J,2,FALSE)</f>
        <v>Sai Tharun Yerravalli</v>
      </c>
      <c r="C865" s="29">
        <f>VLOOKUP(A865,File!$A:$J,5,FALSE)</f>
        <v>46212</v>
      </c>
      <c r="D865" s="29" t="str">
        <f>VLOOKUP(A865,File!$A:$J,3,FALSE)</f>
        <v>Male</v>
      </c>
      <c r="E865" s="29" t="str">
        <f>VLOOKUP(A865,File!$A:$J,4,FALSE)</f>
        <v>FTE</v>
      </c>
      <c r="F865" s="29" t="str">
        <f>VLOOKUP(A865,File!$A:$J,6,FALSE)</f>
        <v>Chennai</v>
      </c>
      <c r="G865" s="29" t="str">
        <f>VLOOKUP(A865,File!$A:$J,7,FALSE)</f>
        <v>ADM26MF010</v>
      </c>
      <c r="H865" s="29" t="str">
        <f>VLOOKUP(A865,File!$A:$J,8,FALSE)</f>
        <v>Thomas Naveen. J</v>
      </c>
      <c r="I865" s="31">
        <f>VLOOKUP(A865,File!$A:$J,9,FALSE)</f>
        <v>46328</v>
      </c>
      <c r="J865" s="31" t="str">
        <f>VLOOKUP(A865,File!$A:$K,11,FALSE)</f>
        <v>Nov 2026</v>
      </c>
      <c r="K865" s="31" t="str">
        <f>VLOOKUP(A865,File!$A:$K,10,FALSE)</f>
        <v>In-Training</v>
      </c>
      <c r="L865" s="31" t="s">
        <v>4</v>
      </c>
      <c r="M865" t="str">
        <f>VLOOKUP(A865,Response!$A:$M,7,)</f>
        <v>Hostel</v>
      </c>
      <c r="N865" t="str">
        <f>VLOOKUP(A865,Response!$A:$M,8,)</f>
        <v>SAI DELUXE PG</v>
      </c>
      <c r="O865" s="4">
        <f>VLOOKUP(A865,Response!$A:$M,10,)</f>
        <v>3</v>
      </c>
      <c r="P865" t="str">
        <f>VLOOKUP(A865,Response!$A:$M,12,)</f>
        <v>No</v>
      </c>
      <c r="Q865" t="str">
        <f>VLOOKUP(A865,Response!$A:$M,11,)</f>
        <v>Siruseri</v>
      </c>
      <c r="R865" t="s">
        <v>19</v>
      </c>
      <c r="S865" s="39" t="s">
        <v>37</v>
      </c>
    </row>
    <row r="866" spans="1:19">
      <c r="A866" s="3">
        <v>2521789</v>
      </c>
      <c r="B866" t="str">
        <f>VLOOKUP(A866,File!$A:$J,2,FALSE)</f>
        <v>Vadde Vamshi</v>
      </c>
      <c r="C866" s="29">
        <f>VLOOKUP(A866,File!$A:$J,5,FALSE)</f>
        <v>46212</v>
      </c>
      <c r="D866" s="29" t="str">
        <f>VLOOKUP(A866,File!$A:$J,3,FALSE)</f>
        <v>Male</v>
      </c>
      <c r="E866" s="29" t="str">
        <f>VLOOKUP(A866,File!$A:$J,4,FALSE)</f>
        <v>FTE</v>
      </c>
      <c r="F866" s="29" t="str">
        <f>VLOOKUP(A866,File!$A:$J,6,FALSE)</f>
        <v>Chennai</v>
      </c>
      <c r="G866" s="29" t="str">
        <f>VLOOKUP(A866,File!$A:$J,7,FALSE)</f>
        <v>AIA26DSAT004</v>
      </c>
      <c r="H866" s="29" t="str">
        <f>VLOOKUP(A866,File!$A:$J,8,FALSE)</f>
        <v>Pavithra Kandasamy</v>
      </c>
      <c r="I866" s="31">
        <f>VLOOKUP(A866,File!$A:$J,9,FALSE)</f>
        <v>46304</v>
      </c>
      <c r="J866" s="31" t="str">
        <f>VLOOKUP(A866,File!$A:$K,11,FALSE)</f>
        <v>Oct 2026</v>
      </c>
      <c r="K866" s="31" t="str">
        <f>VLOOKUP(A866,File!$A:$K,10,FALSE)</f>
        <v>In-Training</v>
      </c>
      <c r="L866" s="31" t="s">
        <v>4</v>
      </c>
      <c r="M866" t="str">
        <f>VLOOKUP(A866,Response!$A:$M,7,)</f>
        <v>PG (Paying Guest)</v>
      </c>
      <c r="N866" t="str">
        <f>VLOOKUP(A866,Response!$A:$M,8,)</f>
        <v xml:space="preserve">Sai deluxe pg , navallur </v>
      </c>
      <c r="O866" s="4">
        <f>VLOOKUP(A866,Response!$A:$M,10,)</f>
        <v>3</v>
      </c>
      <c r="P866" t="str">
        <f>VLOOKUP(A866,Response!$A:$M,12,)</f>
        <v>No</v>
      </c>
      <c r="Q866" t="str">
        <f>VLOOKUP(A866,Response!$A:$M,11,)</f>
        <v>Navalur</v>
      </c>
      <c r="R866" t="s">
        <v>19</v>
      </c>
      <c r="S866" s="39" t="s">
        <v>37</v>
      </c>
    </row>
    <row r="867" spans="1:19">
      <c r="A867" s="3">
        <v>2531799</v>
      </c>
      <c r="B867" t="str">
        <f>VLOOKUP(A867,File!$A:$J,2,FALSE)</f>
        <v>Angel Sara Varghese</v>
      </c>
      <c r="C867" s="29">
        <f>VLOOKUP(A867,File!$A:$J,5,FALSE)</f>
        <v>46254</v>
      </c>
      <c r="D867" s="29" t="str">
        <f>VLOOKUP(A867,File!$A:$J,3,FALSE)</f>
        <v>Female</v>
      </c>
      <c r="E867" s="29" t="str">
        <f>VLOOKUP(A867,File!$A:$J,4,FALSE)</f>
        <v>Intern</v>
      </c>
      <c r="F867" s="29" t="str">
        <f>VLOOKUP(A867,File!$A:$J,6,FALSE)</f>
        <v>Chennai</v>
      </c>
      <c r="G867" s="29" t="str">
        <f>VLOOKUP(A867,File!$A:$J,7,FALSE)</f>
        <v>INTFE26FE001</v>
      </c>
      <c r="H867" s="29" t="str">
        <f>VLOOKUP(A867,File!$A:$J,8,FALSE)</f>
        <v>Grace Esther S</v>
      </c>
      <c r="I867" s="31">
        <f>VLOOKUP(A867,File!$A:$J,9,FALSE)</f>
        <v>46310</v>
      </c>
      <c r="J867" s="31" t="str">
        <f>VLOOKUP(A867,File!$A:$K,11,FALSE)</f>
        <v>Oct 2026</v>
      </c>
      <c r="K867" s="31" t="str">
        <f>VLOOKUP(A867,File!$A:$K,10,FALSE)</f>
        <v>In-Training</v>
      </c>
      <c r="L867" s="31" t="s">
        <v>4</v>
      </c>
      <c r="M867" t="str">
        <f>VLOOKUP(A867,Response!$A:$M,7,)</f>
        <v>PG (Paying Guest)</v>
      </c>
      <c r="N867" t="str">
        <f>VLOOKUP(A867,Response!$A:$M,8,)</f>
        <v>Sai Grand - Ambedkar Street</v>
      </c>
      <c r="O867" s="4">
        <f>VLOOKUP(A867,Response!$A:$M,10,)</f>
        <v>5</v>
      </c>
      <c r="P867" t="str">
        <f>VLOOKUP(A867,Response!$A:$M,12,)</f>
        <v>No</v>
      </c>
      <c r="Q867" t="str">
        <f>VLOOKUP(A867,Response!$A:$M,11,)</f>
        <v>Siruseri</v>
      </c>
      <c r="R867" t="s">
        <v>19</v>
      </c>
      <c r="S867" s="39" t="s">
        <v>37</v>
      </c>
    </row>
    <row r="868" spans="1:19">
      <c r="A868" s="3">
        <v>2511281</v>
      </c>
      <c r="B868" t="str">
        <f>VLOOKUP(A868,File!$A:$J,2,FALSE)</f>
        <v>Naga Neeraj Bolisetti</v>
      </c>
      <c r="C868" s="29">
        <f>VLOOKUP(A868,File!$A:$J,5,FALSE)</f>
        <v>46163</v>
      </c>
      <c r="D868" s="29" t="str">
        <f>VLOOKUP(A868,File!$A:$J,3,FALSE)</f>
        <v>Male</v>
      </c>
      <c r="E868" s="29" t="str">
        <f>VLOOKUP(A868,File!$A:$J,4,FALSE)</f>
        <v>FTE</v>
      </c>
      <c r="F868" s="29" t="str">
        <f>VLOOKUP(A868,File!$A:$J,6,FALSE)</f>
        <v>Chennai</v>
      </c>
      <c r="G868" s="29" t="str">
        <f>VLOOKUP(A868,File!$A:$J,7,FALSE)</f>
        <v>CIS26MCPT010</v>
      </c>
      <c r="H868" s="29" t="str">
        <f>VLOOKUP(A868,File!$A:$J,8,FALSE)</f>
        <v>Mohamed Harish</v>
      </c>
      <c r="I868" s="31">
        <f>VLOOKUP(A868,File!$A:$J,9,FALSE)</f>
        <v>46280</v>
      </c>
      <c r="J868" s="31" t="str">
        <f>VLOOKUP(A868,File!$A:$K,11,FALSE)</f>
        <v>Sep 2026</v>
      </c>
      <c r="K868" s="31" t="str">
        <f>VLOOKUP(A868,File!$A:$K,10,FALSE)</f>
        <v>In-Training</v>
      </c>
      <c r="L868" s="31" t="s">
        <v>4</v>
      </c>
      <c r="M868" t="str">
        <f>VLOOKUP(A868,Response!$A:$M,7,)</f>
        <v>PG (Paying Guest)</v>
      </c>
      <c r="N868" t="str">
        <f>VLOOKUP(A868,Response!$A:$M,8,)</f>
        <v>Sai Grand Gens PG, Egattur</v>
      </c>
      <c r="O868" s="4">
        <f>VLOOKUP(A868,Response!$A:$M,10,)</f>
        <v>4</v>
      </c>
      <c r="P868" t="str">
        <f>VLOOKUP(A868,Response!$A:$M,12,)</f>
        <v>No</v>
      </c>
      <c r="Q868" t="str">
        <f>VLOOKUP(A868,Response!$A:$M,11,)</f>
        <v>Egattur</v>
      </c>
      <c r="R868" t="s">
        <v>19</v>
      </c>
      <c r="S868" s="39" t="s">
        <v>37</v>
      </c>
    </row>
    <row r="869" spans="1:19">
      <c r="A869" s="3">
        <v>2521699</v>
      </c>
      <c r="B869" t="str">
        <f>VLOOKUP(A869,File!$A:$J,2,FALSE)</f>
        <v>Prayatna Padmanav Sahu</v>
      </c>
      <c r="C869" s="29">
        <f>VLOOKUP(A869,File!$A:$J,5,FALSE)</f>
        <v>46212</v>
      </c>
      <c r="D869" s="29" t="str">
        <f>VLOOKUP(A869,File!$A:$J,3,FALSE)</f>
        <v>Male</v>
      </c>
      <c r="E869" s="29" t="str">
        <f>VLOOKUP(A869,File!$A:$J,4,FALSE)</f>
        <v>FTE</v>
      </c>
      <c r="F869" s="29" t="str">
        <f>VLOOKUP(A869,File!$A:$J,6,FALSE)</f>
        <v>Chennai</v>
      </c>
      <c r="G869" s="29" t="str">
        <f>VLOOKUP(A869,File!$A:$J,7,FALSE)</f>
        <v>ADM26DNAT003</v>
      </c>
      <c r="H869" s="29" t="str">
        <f>VLOOKUP(A869,File!$A:$J,8,FALSE)</f>
        <v>Athira P</v>
      </c>
      <c r="I869" s="31">
        <f>VLOOKUP(A869,File!$A:$J,9,FALSE)</f>
        <v>46318</v>
      </c>
      <c r="J869" s="31" t="str">
        <f>VLOOKUP(A869,File!$A:$K,11,FALSE)</f>
        <v>Oct 2026</v>
      </c>
      <c r="K869" s="31" t="str">
        <f>VLOOKUP(A869,File!$A:$K,10,FALSE)</f>
        <v>In-Training</v>
      </c>
      <c r="L869" s="31" t="s">
        <v>4</v>
      </c>
      <c r="M869" t="str">
        <f>VLOOKUP(A869,Response!$A:$M,7,)</f>
        <v>Hostel</v>
      </c>
      <c r="N869" t="str">
        <f>VLOOKUP(A869,Response!$A:$M,8,)</f>
        <v>Sai Grand Gents Hostel</v>
      </c>
      <c r="O869" s="4">
        <f>VLOOKUP(A869,Response!$A:$M,10,)</f>
        <v>1</v>
      </c>
      <c r="P869" t="str">
        <f>VLOOKUP(A869,Response!$A:$M,12,)</f>
        <v>No</v>
      </c>
      <c r="Q869" t="str">
        <f>VLOOKUP(A869,Response!$A:$M,11,)</f>
        <v>Egattur</v>
      </c>
      <c r="R869" t="s">
        <v>19</v>
      </c>
      <c r="S869" s="39" t="s">
        <v>37</v>
      </c>
    </row>
    <row r="870" spans="1:19">
      <c r="A870" s="3">
        <v>2521666</v>
      </c>
      <c r="B870" t="str">
        <f>VLOOKUP(A870,File!$A:$J,2,FALSE)</f>
        <v>Somnath Koley</v>
      </c>
      <c r="C870" s="29">
        <f>VLOOKUP(A870,File!$A:$J,5,FALSE)</f>
        <v>46212</v>
      </c>
      <c r="D870" s="29" t="str">
        <f>VLOOKUP(A870,File!$A:$J,3,FALSE)</f>
        <v>Male</v>
      </c>
      <c r="E870" s="29" t="str">
        <f>VLOOKUP(A870,File!$A:$J,4,FALSE)</f>
        <v>FTE</v>
      </c>
      <c r="F870" s="29" t="str">
        <f>VLOOKUP(A870,File!$A:$J,6,FALSE)</f>
        <v>Chennai</v>
      </c>
      <c r="G870" s="29" t="str">
        <f>VLOOKUP(A870,File!$A:$J,7,FALSE)</f>
        <v>ADM26MF011</v>
      </c>
      <c r="H870" s="29" t="str">
        <f>VLOOKUP(A870,File!$A:$J,8,FALSE)</f>
        <v>Abinaya R</v>
      </c>
      <c r="I870" s="31">
        <f>VLOOKUP(A870,File!$A:$J,9,FALSE)</f>
        <v>46328</v>
      </c>
      <c r="J870" s="31" t="str">
        <f>VLOOKUP(A870,File!$A:$K,11,FALSE)</f>
        <v>Nov 2026</v>
      </c>
      <c r="K870" s="31" t="str">
        <f>VLOOKUP(A870,File!$A:$K,10,FALSE)</f>
        <v>In-Training</v>
      </c>
      <c r="L870" s="31" t="s">
        <v>4</v>
      </c>
      <c r="M870" t="str">
        <f>VLOOKUP(A870,Response!$A:$M,7,)</f>
        <v>PG (Paying Guest)</v>
      </c>
      <c r="N870" t="str">
        <f>VLOOKUP(A870,Response!$A:$M,8,)</f>
        <v>Sai Grand Gents Hostel</v>
      </c>
      <c r="O870" s="4">
        <f>VLOOKUP(A870,Response!$A:$M,10,)</f>
        <v>1</v>
      </c>
      <c r="P870" t="str">
        <f>VLOOKUP(A870,Response!$A:$M,12,)</f>
        <v>No</v>
      </c>
      <c r="Q870" t="str">
        <f>VLOOKUP(A870,Response!$A:$M,11,)</f>
        <v>Egattur</v>
      </c>
      <c r="R870" t="s">
        <v>19</v>
      </c>
      <c r="S870" s="39" t="s">
        <v>37</v>
      </c>
    </row>
    <row r="871" spans="1:19">
      <c r="A871" s="3">
        <v>2523398</v>
      </c>
      <c r="B871" t="str">
        <f>VLOOKUP(A871,File!$A:$J,2,FALSE)</f>
        <v>Arpit Kumar Chauhan</v>
      </c>
      <c r="C871" s="29">
        <f>VLOOKUP(A871,File!$A:$J,5,FALSE)</f>
        <v>46219</v>
      </c>
      <c r="D871" s="29" t="str">
        <f>VLOOKUP(A871,File!$A:$J,3,FALSE)</f>
        <v>Male</v>
      </c>
      <c r="E871" s="29" t="str">
        <f>VLOOKUP(A871,File!$A:$J,4,FALSE)</f>
        <v>FTE</v>
      </c>
      <c r="F871" s="29" t="str">
        <f>VLOOKUP(A871,File!$A:$J,6,FALSE)</f>
        <v>Chennai</v>
      </c>
      <c r="G871" s="29" t="str">
        <f>VLOOKUP(A871,File!$A:$J,7,FALSE)</f>
        <v>CS26CS009</v>
      </c>
      <c r="H871" s="29" t="str">
        <f>VLOOKUP(A871,File!$A:$J,8,FALSE)</f>
        <v>Laksiya Vijayendran</v>
      </c>
      <c r="I871" s="31">
        <f>VLOOKUP(A871,File!$A:$J,9,FALSE)</f>
        <v>46309</v>
      </c>
      <c r="J871" s="31" t="str">
        <f>VLOOKUP(A871,File!$A:$K,11,FALSE)</f>
        <v>Oct 2026</v>
      </c>
      <c r="K871" s="31" t="str">
        <f>VLOOKUP(A871,File!$A:$K,10,FALSE)</f>
        <v>In-Training</v>
      </c>
      <c r="L871" s="31" t="s">
        <v>4</v>
      </c>
      <c r="M871" t="str">
        <f>VLOOKUP(A871,Response!$A:$M,7,)</f>
        <v>Hostel</v>
      </c>
      <c r="N871" t="str">
        <f>VLOOKUP(A871,Response!$A:$M,8,)</f>
        <v>Sai Grand Gents Hostel</v>
      </c>
      <c r="O871" s="4">
        <f>VLOOKUP(A871,Response!$A:$M,10,)</f>
        <v>1</v>
      </c>
      <c r="P871" t="str">
        <f>VLOOKUP(A871,Response!$A:$M,12,)</f>
        <v>No</v>
      </c>
      <c r="Q871" t="str">
        <f>VLOOKUP(A871,Response!$A:$M,11,)</f>
        <v>Egattur</v>
      </c>
      <c r="R871" t="s">
        <v>19</v>
      </c>
      <c r="S871" s="39" t="s">
        <v>37</v>
      </c>
    </row>
    <row r="872" spans="1:19">
      <c r="A872" s="3">
        <v>2531823</v>
      </c>
      <c r="B872" t="str">
        <f>VLOOKUP(A872,File!$A:$J,2,FALSE)</f>
        <v>Avula Amarnath Reddy</v>
      </c>
      <c r="C872" s="29">
        <f>VLOOKUP(A872,File!$A:$J,5,FALSE)</f>
        <v>46254</v>
      </c>
      <c r="D872" s="29" t="str">
        <f>VLOOKUP(A872,File!$A:$J,3,FALSE)</f>
        <v>Male</v>
      </c>
      <c r="E872" s="29" t="str">
        <f>VLOOKUP(A872,File!$A:$J,4,FALSE)</f>
        <v>FTE</v>
      </c>
      <c r="F872" s="29" t="str">
        <f>VLOOKUP(A872,File!$A:$J,6,FALSE)</f>
        <v>Chennai</v>
      </c>
      <c r="G872" s="29" t="str">
        <f>VLOOKUP(A872,File!$A:$J,7,FALSE)</f>
        <v>CS26CS012</v>
      </c>
      <c r="H872" s="29" t="str">
        <f>VLOOKUP(A872,File!$A:$J,8,FALSE)</f>
        <v>Laksiya Vijayendran</v>
      </c>
      <c r="I872" s="31">
        <f>VLOOKUP(A872,File!$A:$J,9,FALSE)</f>
        <v>46343</v>
      </c>
      <c r="J872" s="31" t="str">
        <f>VLOOKUP(A872,File!$A:$K,11,FALSE)</f>
        <v>Nov 2026</v>
      </c>
      <c r="K872" s="31" t="str">
        <f>VLOOKUP(A872,File!$A:$K,10,FALSE)</f>
        <v>In-Training</v>
      </c>
      <c r="L872" s="31" t="s">
        <v>4</v>
      </c>
      <c r="M872" t="str">
        <f>VLOOKUP(A872,Response!$A:$M,7,)</f>
        <v>Hostel</v>
      </c>
      <c r="N872" t="str">
        <f>VLOOKUP(A872,Response!$A:$M,8,)</f>
        <v>Sai Grand Gents Hostel</v>
      </c>
      <c r="O872" s="4" t="str">
        <f>VLOOKUP(A872,Response!$A:$M,10,)</f>
        <v>GF</v>
      </c>
      <c r="P872" t="str">
        <f>VLOOKUP(A872,Response!$A:$M,12,)</f>
        <v>No</v>
      </c>
      <c r="Q872" t="str">
        <f>VLOOKUP(A872,Response!$A:$M,11,)</f>
        <v>Egattur</v>
      </c>
      <c r="R872" t="s">
        <v>19</v>
      </c>
      <c r="S872" s="39" t="s">
        <v>37</v>
      </c>
    </row>
    <row r="873" spans="1:19">
      <c r="A873" s="3">
        <v>2518831</v>
      </c>
      <c r="B873" t="str">
        <f>VLOOKUP(A873,File!$A:$J,2,FALSE)</f>
        <v>Manav Satish Pethe</v>
      </c>
      <c r="C873" s="29">
        <f>VLOOKUP(A873,File!$A:$J,5,FALSE)</f>
        <v>46203</v>
      </c>
      <c r="D873" s="29" t="str">
        <f>VLOOKUP(A873,File!$A:$J,3,FALSE)</f>
        <v>Male</v>
      </c>
      <c r="E873" s="29" t="str">
        <f>VLOOKUP(A873,File!$A:$J,4,FALSE)</f>
        <v>FTE</v>
      </c>
      <c r="F873" s="29" t="str">
        <f>VLOOKUP(A873,File!$A:$J,6,FALSE)</f>
        <v>Chennai</v>
      </c>
      <c r="G873" s="29" t="str">
        <f>VLOOKUP(A873,File!$A:$J,7,FALSE)</f>
        <v>CIS26SB001</v>
      </c>
      <c r="H873" s="29" t="str">
        <f>VLOOKUP(A873,File!$A:$J,8,FALSE)</f>
        <v>Kishorekumar P</v>
      </c>
      <c r="I873" s="31">
        <f>VLOOKUP(A873,File!$A:$J,9,FALSE)</f>
        <v>46309</v>
      </c>
      <c r="J873" s="31" t="str">
        <f>VLOOKUP(A873,File!$A:$K,11,FALSE)</f>
        <v>Oct 2026</v>
      </c>
      <c r="K873" s="31" t="str">
        <f>VLOOKUP(A873,File!$A:$K,10,FALSE)</f>
        <v>In-Training</v>
      </c>
      <c r="L873" s="31" t="s">
        <v>4</v>
      </c>
      <c r="M873" t="str">
        <f>VLOOKUP(A873,Response!$A:$M,7,)</f>
        <v>PG (Paying Guest)</v>
      </c>
      <c r="N873" t="str">
        <f>VLOOKUP(A873,Response!$A:$M,8,)</f>
        <v>Sai Grand Gents Hostel, 4/178 Periyar Street, Thiruporur, Tamil Nadu 600130</v>
      </c>
      <c r="O873" s="4">
        <f>VLOOKUP(A873,Response!$A:$M,10,)</f>
        <v>1</v>
      </c>
      <c r="P873" t="str">
        <f>VLOOKUP(A873,Response!$A:$M,12,)</f>
        <v>No</v>
      </c>
      <c r="Q873" t="str">
        <f>VLOOKUP(A873,Response!$A:$M,11,)</f>
        <v>Siruseri</v>
      </c>
      <c r="R873" t="s">
        <v>19</v>
      </c>
      <c r="S873" s="39" t="s">
        <v>37</v>
      </c>
    </row>
    <row r="874" spans="1:19">
      <c r="A874" s="3">
        <v>2521660</v>
      </c>
      <c r="B874" t="str">
        <f>VLOOKUP(A874,File!$A:$J,2,FALSE)</f>
        <v>Satish Ranjan Routray</v>
      </c>
      <c r="C874" s="29">
        <f>VLOOKUP(A874,File!$A:$J,5,FALSE)</f>
        <v>46212</v>
      </c>
      <c r="D874" s="29" t="str">
        <f>VLOOKUP(A874,File!$A:$J,3,FALSE)</f>
        <v>Male</v>
      </c>
      <c r="E874" s="29" t="str">
        <f>VLOOKUP(A874,File!$A:$J,4,FALSE)</f>
        <v>FTE</v>
      </c>
      <c r="F874" s="29" t="str">
        <f>VLOOKUP(A874,File!$A:$J,6,FALSE)</f>
        <v>Chennai</v>
      </c>
      <c r="G874" s="29" t="str">
        <f>VLOOKUP(A874,File!$A:$J,7,FALSE)</f>
        <v>ADM26MF011</v>
      </c>
      <c r="H874" s="29" t="str">
        <f>VLOOKUP(A874,File!$A:$J,8,FALSE)</f>
        <v>Abinaya R</v>
      </c>
      <c r="I874" s="31">
        <f>VLOOKUP(A874,File!$A:$J,9,FALSE)</f>
        <v>46328</v>
      </c>
      <c r="J874" s="31" t="str">
        <f>VLOOKUP(A874,File!$A:$K,11,FALSE)</f>
        <v>Nov 2026</v>
      </c>
      <c r="K874" s="31" t="str">
        <f>VLOOKUP(A874,File!$A:$K,10,FALSE)</f>
        <v>In-Training</v>
      </c>
      <c r="L874" s="31" t="s">
        <v>4</v>
      </c>
      <c r="M874" t="str">
        <f>VLOOKUP(A874,Response!$A:$M,7,)</f>
        <v>Hostel</v>
      </c>
      <c r="N874" t="str">
        <f>VLOOKUP(A874,Response!$A:$M,8,)</f>
        <v>Sai Grand Gents Hostel, 4/178, Periyar Street, Egattur, Chennai</v>
      </c>
      <c r="O874" s="4">
        <f>VLOOKUP(A874,Response!$A:$M,10,)</f>
        <v>1</v>
      </c>
      <c r="P874" t="str">
        <f>VLOOKUP(A874,Response!$A:$M,12,)</f>
        <v>No</v>
      </c>
      <c r="Q874" t="str">
        <f>VLOOKUP(A874,Response!$A:$M,11,)</f>
        <v>Siruseri</v>
      </c>
      <c r="R874" t="s">
        <v>19</v>
      </c>
      <c r="S874" s="39" t="s">
        <v>37</v>
      </c>
    </row>
    <row r="875" spans="1:19">
      <c r="A875" s="3">
        <v>2518822</v>
      </c>
      <c r="B875" t="str">
        <f>VLOOKUP(A875,File!$A:$J,2,FALSE)</f>
        <v>Vaibhav Navnath Gavli</v>
      </c>
      <c r="C875" s="29">
        <f>VLOOKUP(A875,File!$A:$J,5,FALSE)</f>
        <v>46203</v>
      </c>
      <c r="D875" s="29" t="str">
        <f>VLOOKUP(A875,File!$A:$J,3,FALSE)</f>
        <v>Male</v>
      </c>
      <c r="E875" s="29" t="str">
        <f>VLOOKUP(A875,File!$A:$J,4,FALSE)</f>
        <v>FTE</v>
      </c>
      <c r="F875" s="29" t="str">
        <f>VLOOKUP(A875,File!$A:$J,6,FALSE)</f>
        <v>Chennai</v>
      </c>
      <c r="G875" s="29" t="str">
        <f>VLOOKUP(A875,File!$A:$J,7,FALSE)</f>
        <v>CIS26SB001</v>
      </c>
      <c r="H875" s="29" t="str">
        <f>VLOOKUP(A875,File!$A:$J,8,FALSE)</f>
        <v>Kishorekumar P</v>
      </c>
      <c r="I875" s="31">
        <f>VLOOKUP(A875,File!$A:$J,9,FALSE)</f>
        <v>46309</v>
      </c>
      <c r="J875" s="31" t="str">
        <f>VLOOKUP(A875,File!$A:$K,11,FALSE)</f>
        <v>Oct 2026</v>
      </c>
      <c r="K875" s="31" t="str">
        <f>VLOOKUP(A875,File!$A:$K,10,FALSE)</f>
        <v>In-Training</v>
      </c>
      <c r="L875" s="31" t="s">
        <v>4</v>
      </c>
      <c r="M875" t="str">
        <f>VLOOKUP(A875,Response!$A:$M,7,)</f>
        <v>PG (Paying Guest)</v>
      </c>
      <c r="N875" t="str">
        <f>VLOOKUP(A875,Response!$A:$M,8,)</f>
        <v>Sai Grand gents Hostel, Egattur</v>
      </c>
      <c r="O875" s="4">
        <f>VLOOKUP(A875,Response!$A:$M,10,)</f>
        <v>1</v>
      </c>
      <c r="P875" t="str">
        <f>VLOOKUP(A875,Response!$A:$M,12,)</f>
        <v>No</v>
      </c>
      <c r="Q875" t="str">
        <f>VLOOKUP(A875,Response!$A:$M,11,)</f>
        <v>Egattur</v>
      </c>
      <c r="R875" t="s">
        <v>19</v>
      </c>
      <c r="S875" s="39" t="s">
        <v>37</v>
      </c>
    </row>
    <row r="876" spans="1:19">
      <c r="A876" s="3">
        <v>2519711</v>
      </c>
      <c r="B876" t="str">
        <f>VLOOKUP(A876,File!$A:$J,2,FALSE)</f>
        <v>K Hariharan</v>
      </c>
      <c r="C876" s="29">
        <f>VLOOKUP(A876,File!$A:$J,5,FALSE)</f>
        <v>46205</v>
      </c>
      <c r="D876" s="29" t="str">
        <f>VLOOKUP(A876,File!$A:$J,3,FALSE)</f>
        <v>Male</v>
      </c>
      <c r="E876" s="29" t="str">
        <f>VLOOKUP(A876,File!$A:$J,4,FALSE)</f>
        <v>FTE</v>
      </c>
      <c r="F876" s="29" t="str">
        <f>VLOOKUP(A876,File!$A:$J,6,FALSE)</f>
        <v>Chennai</v>
      </c>
      <c r="G876" s="29" t="str">
        <f>VLOOKUP(A876,File!$A:$J,7,FALSE)</f>
        <v>CIS26UNIX004</v>
      </c>
      <c r="H876" s="29" t="str">
        <f>VLOOKUP(A876,File!$A:$J,8,FALSE)</f>
        <v>Haritha P</v>
      </c>
      <c r="I876" s="31">
        <f>VLOOKUP(A876,File!$A:$J,9,FALSE)</f>
        <v>46289</v>
      </c>
      <c r="J876" s="31" t="str">
        <f>VLOOKUP(A876,File!$A:$K,11,FALSE)</f>
        <v>Sep 2026</v>
      </c>
      <c r="K876" s="31" t="str">
        <f>VLOOKUP(A876,File!$A:$K,10,FALSE)</f>
        <v>In-Training</v>
      </c>
      <c r="L876" s="31" t="s">
        <v>4</v>
      </c>
      <c r="M876" t="str">
        <f>VLOOKUP(A876,Response!$A:$M,7,)</f>
        <v>PG (Paying Guest)</v>
      </c>
      <c r="N876" t="str">
        <f>VLOOKUP(A876,Response!$A:$M,8,)</f>
        <v>Sai Grand Gents PG - Egattur</v>
      </c>
      <c r="O876" s="4">
        <f>VLOOKUP(A876,Response!$A:$M,10,)</f>
        <v>3</v>
      </c>
      <c r="P876" t="str">
        <f>VLOOKUP(A876,Response!$A:$M,12,)</f>
        <v>No</v>
      </c>
      <c r="Q876" t="str">
        <f>VLOOKUP(A876,Response!$A:$M,11,)</f>
        <v>Siruseri</v>
      </c>
      <c r="R876" t="s">
        <v>19</v>
      </c>
      <c r="S876" s="39" t="s">
        <v>37</v>
      </c>
    </row>
    <row r="877" spans="1:19">
      <c r="A877" s="3">
        <v>2531373</v>
      </c>
      <c r="B877" t="str">
        <f>VLOOKUP(A877,File!$A:$J,2,FALSE)</f>
        <v>Myneni Aaswitha</v>
      </c>
      <c r="C877" s="29">
        <f>VLOOKUP(A877,File!$A:$J,5,FALSE)</f>
        <v>46252</v>
      </c>
      <c r="D877" s="29" t="str">
        <f>VLOOKUP(A877,File!$A:$J,3,FALSE)</f>
        <v>Female</v>
      </c>
      <c r="E877" s="29" t="str">
        <f>VLOOKUP(A877,File!$A:$J,4,FALSE)</f>
        <v>FTE</v>
      </c>
      <c r="F877" s="29" t="str">
        <f>VLOOKUP(A877,File!$A:$J,6,FALSE)</f>
        <v>Chennai</v>
      </c>
      <c r="G877" s="29" t="str">
        <f>VLOOKUP(A877,File!$A:$J,7,FALSE)</f>
        <v>CIS26AT007</v>
      </c>
      <c r="H877" s="29" t="str">
        <f>VLOOKUP(A877,File!$A:$J,8,FALSE)</f>
        <v>Uma Venkatachalam</v>
      </c>
      <c r="I877" s="31">
        <f>VLOOKUP(A877,File!$A:$J,9,FALSE)</f>
        <v>46365</v>
      </c>
      <c r="J877" s="31" t="str">
        <f>VLOOKUP(A877,File!$A:$K,11,FALSE)</f>
        <v>Dec 2026</v>
      </c>
      <c r="K877" s="31" t="str">
        <f>VLOOKUP(A877,File!$A:$K,10,FALSE)</f>
        <v>In-Training</v>
      </c>
      <c r="L877" s="31" t="s">
        <v>4</v>
      </c>
      <c r="M877" t="str">
        <f>VLOOKUP(A877,Response!$A:$M,7,)</f>
        <v>PG (Paying Guest)</v>
      </c>
      <c r="N877" t="str">
        <f>VLOOKUP(A877,Response!$A:$M,8,)</f>
        <v>Sai Grand Ladies pg - Branch 2, Ambekar Street</v>
      </c>
      <c r="O877" s="4">
        <f>VLOOKUP(A877,Response!$A:$M,10,)</f>
        <v>5</v>
      </c>
      <c r="P877" t="str">
        <f>VLOOKUP(A877,Response!$A:$M,12,)</f>
        <v>No</v>
      </c>
      <c r="Q877" t="str">
        <f>VLOOKUP(A877,Response!$A:$M,11,)</f>
        <v>Egattur</v>
      </c>
      <c r="R877" t="s">
        <v>19</v>
      </c>
      <c r="S877" s="39" t="s">
        <v>37</v>
      </c>
    </row>
    <row r="878" spans="1:19">
      <c r="A878" s="3">
        <v>2532955</v>
      </c>
      <c r="B878" t="str">
        <f>VLOOKUP(A878,File!$A:$J,2,FALSE)</f>
        <v>Mamidipally Keerthi Reddy</v>
      </c>
      <c r="C878" s="29">
        <f>VLOOKUP(A878,File!$A:$J,5,FALSE)</f>
        <v>46259</v>
      </c>
      <c r="D878" s="29" t="str">
        <f>VLOOKUP(A878,File!$A:$J,3,FALSE)</f>
        <v>Female</v>
      </c>
      <c r="E878" s="29" t="str">
        <f>VLOOKUP(A878,File!$A:$J,4,FALSE)</f>
        <v>FTE</v>
      </c>
      <c r="F878" s="29" t="str">
        <f>VLOOKUP(A878,File!$A:$J,6,FALSE)</f>
        <v>Chennai</v>
      </c>
      <c r="G878" s="29" t="str">
        <f>VLOOKUP(A878,File!$A:$J,7,FALSE)</f>
        <v>CIS26AT007</v>
      </c>
      <c r="H878" s="29" t="str">
        <f>VLOOKUP(A878,File!$A:$J,8,FALSE)</f>
        <v>Uma Venkatachalam</v>
      </c>
      <c r="I878" s="31">
        <f>VLOOKUP(A878,File!$A:$J,9,FALSE)</f>
        <v>46365</v>
      </c>
      <c r="J878" s="31" t="str">
        <f>VLOOKUP(A878,File!$A:$K,11,FALSE)</f>
        <v>Dec 2026</v>
      </c>
      <c r="K878" s="31" t="str">
        <f>VLOOKUP(A878,File!$A:$K,10,FALSE)</f>
        <v>In-Training</v>
      </c>
      <c r="L878" s="31" t="s">
        <v>4</v>
      </c>
      <c r="M878" t="str">
        <f>VLOOKUP(A878,Response!$A:$M,7,)</f>
        <v>PG (Paying Guest)</v>
      </c>
      <c r="N878" t="str">
        <f>VLOOKUP(A878,Response!$A:$M,8,)</f>
        <v>Sai grand ladies pg -branch 3 ambedkar street,Egattur</v>
      </c>
      <c r="O878" s="4">
        <f>VLOOKUP(A878,Response!$A:$M,10,)</f>
        <v>3</v>
      </c>
      <c r="P878" t="str">
        <f>VLOOKUP(A878,Response!$A:$M,12,)</f>
        <v>No</v>
      </c>
      <c r="Q878" t="str">
        <f>VLOOKUP(A878,Response!$A:$M,11,)</f>
        <v>Egattur</v>
      </c>
      <c r="R878" t="s">
        <v>19</v>
      </c>
      <c r="S878" s="39" t="s">
        <v>37</v>
      </c>
    </row>
    <row r="879" spans="1:19">
      <c r="A879" s="3">
        <v>2524509</v>
      </c>
      <c r="B879" t="str">
        <f>VLOOKUP(A879,File!$A:$J,2,FALSE)</f>
        <v>Sakshi Suresh Jadhav</v>
      </c>
      <c r="C879" s="29">
        <f>VLOOKUP(A879,File!$A:$J,5,FALSE)</f>
        <v>46224</v>
      </c>
      <c r="D879" s="29" t="str">
        <f>VLOOKUP(A879,File!$A:$J,3,FALSE)</f>
        <v>Female</v>
      </c>
      <c r="E879" s="29" t="str">
        <f>VLOOKUP(A879,File!$A:$J,4,FALSE)</f>
        <v>FTE</v>
      </c>
      <c r="F879" s="29" t="str">
        <f>VLOOKUP(A879,File!$A:$J,6,FALSE)</f>
        <v>Chennai</v>
      </c>
      <c r="G879" s="29" t="str">
        <f>VLOOKUP(A879,File!$A:$J,7,FALSE)</f>
        <v>IOA26RPA005</v>
      </c>
      <c r="H879" s="29" t="str">
        <f>VLOOKUP(A879,File!$A:$J,8,FALSE)</f>
        <v>Adarsh J Nair</v>
      </c>
      <c r="I879" s="31">
        <f>VLOOKUP(A879,File!$A:$J,9,FALSE)</f>
        <v>46309</v>
      </c>
      <c r="J879" s="31" t="str">
        <f>VLOOKUP(A879,File!$A:$K,11,FALSE)</f>
        <v>Oct 2026</v>
      </c>
      <c r="K879" s="31" t="str">
        <f>VLOOKUP(A879,File!$A:$K,10,FALSE)</f>
        <v>In-Training</v>
      </c>
      <c r="L879" s="31" t="s">
        <v>4</v>
      </c>
      <c r="M879" t="str">
        <f>VLOOKUP(A879,Response!$A:$M,7,)</f>
        <v>PG (Paying Guest)</v>
      </c>
      <c r="N879" t="str">
        <f>VLOOKUP(A879,Response!$A:$M,8,)</f>
        <v>Sai Grand Ladies PG, 4/187, Periyaar Street, Egattur</v>
      </c>
      <c r="O879" s="4">
        <f>VLOOKUP(A879,Response!$A:$M,10,)</f>
        <v>3</v>
      </c>
      <c r="P879" t="str">
        <f>VLOOKUP(A879,Response!$A:$M,12,)</f>
        <v>No</v>
      </c>
      <c r="Q879" t="str">
        <f>VLOOKUP(A879,Response!$A:$M,11,)</f>
        <v>Siruseri</v>
      </c>
      <c r="R879" t="s">
        <v>19</v>
      </c>
      <c r="S879" s="39" t="s">
        <v>37</v>
      </c>
    </row>
    <row r="880" spans="1:19">
      <c r="A880" s="3">
        <v>2529521</v>
      </c>
      <c r="B880" t="str">
        <f>VLOOKUP(A880,File!$A:$J,2,FALSE)</f>
        <v>Smitesh Santosh Panchal</v>
      </c>
      <c r="C880" s="29">
        <f>VLOOKUP(A880,File!$A:$J,5,FALSE)</f>
        <v>46245</v>
      </c>
      <c r="D880" s="29" t="str">
        <f>VLOOKUP(A880,File!$A:$J,3,FALSE)</f>
        <v>Male</v>
      </c>
      <c r="E880" s="29" t="str">
        <f>VLOOKUP(A880,File!$A:$J,4,FALSE)</f>
        <v>FTE</v>
      </c>
      <c r="F880" s="29" t="str">
        <f>VLOOKUP(A880,File!$A:$J,6,FALSE)</f>
        <v>Chennai</v>
      </c>
      <c r="G880" s="29" t="str">
        <f>VLOOKUP(A880,File!$A:$J,7,FALSE)</f>
        <v>CIS26MCPT025</v>
      </c>
      <c r="H880" s="29" t="str">
        <f>VLOOKUP(A880,File!$A:$J,8,FALSE)</f>
        <v>Vignesh S</v>
      </c>
      <c r="I880" s="31">
        <f>VLOOKUP(A880,File!$A:$J,9,FALSE)</f>
        <v>46359</v>
      </c>
      <c r="J880" s="31" t="str">
        <f>VLOOKUP(A880,File!$A:$K,11,FALSE)</f>
        <v>Dec 2026</v>
      </c>
      <c r="K880" s="31" t="str">
        <f>VLOOKUP(A880,File!$A:$K,10,FALSE)</f>
        <v>In-Training</v>
      </c>
      <c r="L880" s="31" t="s">
        <v>4</v>
      </c>
      <c r="M880" t="str">
        <f>VLOOKUP(A880,Response!$A:$M,7,)</f>
        <v>PG (Paying Guest)</v>
      </c>
      <c r="N880" t="str">
        <f>VLOOKUP(A880,Response!$A:$M,8,)</f>
        <v xml:space="preserve">Sai Grand Men Pg </v>
      </c>
      <c r="O880" s="4">
        <f>VLOOKUP(A880,Response!$A:$M,10,)</f>
        <v>1</v>
      </c>
      <c r="P880" t="str">
        <f>VLOOKUP(A880,Response!$A:$M,12,)</f>
        <v>No</v>
      </c>
      <c r="Q880" t="str">
        <f>VLOOKUP(A880,Response!$A:$M,11,)</f>
        <v>Egattur</v>
      </c>
      <c r="R880" t="s">
        <v>19</v>
      </c>
      <c r="S880" s="39" t="s">
        <v>37</v>
      </c>
    </row>
    <row r="881" spans="1:19">
      <c r="A881" s="3">
        <v>2521198</v>
      </c>
      <c r="B881" t="str">
        <f>VLOOKUP(A881,File!$A:$J,2,FALSE)</f>
        <v>Golla Madhusudhan</v>
      </c>
      <c r="C881" s="29">
        <f>VLOOKUP(A881,File!$A:$J,5,FALSE)</f>
        <v>46210</v>
      </c>
      <c r="D881" s="29" t="str">
        <f>VLOOKUP(A881,File!$A:$J,3,FALSE)</f>
        <v>Male</v>
      </c>
      <c r="E881" s="29" t="str">
        <f>VLOOKUP(A881,File!$A:$J,4,FALSE)</f>
        <v>FTE</v>
      </c>
      <c r="F881" s="29" t="str">
        <f>VLOOKUP(A881,File!$A:$J,6,FALSE)</f>
        <v>Chennai</v>
      </c>
      <c r="G881" s="29" t="str">
        <f>VLOOKUP(A881,File!$A:$J,7,FALSE)</f>
        <v>EPS26WD004</v>
      </c>
      <c r="H881" s="29" t="str">
        <f>VLOOKUP(A881,File!$A:$J,8,FALSE)</f>
        <v>Ajith Ganesan</v>
      </c>
      <c r="I881" s="31">
        <f>VLOOKUP(A881,File!$A:$J,9,FALSE)</f>
        <v>46310</v>
      </c>
      <c r="J881" s="31" t="str">
        <f>VLOOKUP(A881,File!$A:$K,11,FALSE)</f>
        <v>Oct 2026</v>
      </c>
      <c r="K881" s="31" t="str">
        <f>VLOOKUP(A881,File!$A:$K,10,FALSE)</f>
        <v>In-Training</v>
      </c>
      <c r="L881" s="31" t="s">
        <v>4</v>
      </c>
      <c r="M881" t="str">
        <f>VLOOKUP(A881,Response!$A:$M,7,)</f>
        <v>Hostel</v>
      </c>
      <c r="N881" t="str">
        <f>VLOOKUP(A881,Response!$A:$M,8,)</f>
        <v>Sai Grand Mens PG</v>
      </c>
      <c r="O881" s="4">
        <f>VLOOKUP(A881,Response!$A:$M,10,)</f>
        <v>3</v>
      </c>
      <c r="P881" t="str">
        <f>VLOOKUP(A881,Response!$A:$M,12,)</f>
        <v>No</v>
      </c>
      <c r="Q881" t="str">
        <f>VLOOKUP(A881,Response!$A:$M,11,)</f>
        <v>Siruseri</v>
      </c>
      <c r="R881" t="s">
        <v>19</v>
      </c>
      <c r="S881" s="39" t="s">
        <v>37</v>
      </c>
    </row>
    <row r="882" spans="1:19">
      <c r="A882" s="3">
        <v>2524481</v>
      </c>
      <c r="B882" t="str">
        <f>VLOOKUP(A882,File!$A:$J,2,FALSE)</f>
        <v>Vemaneni Bhanu Prakash</v>
      </c>
      <c r="C882" s="29">
        <f>VLOOKUP(A882,File!$A:$J,5,FALSE)</f>
        <v>46224</v>
      </c>
      <c r="D882" s="29" t="str">
        <f>VLOOKUP(A882,File!$A:$J,3,FALSE)</f>
        <v>Female</v>
      </c>
      <c r="E882" s="29" t="str">
        <f>VLOOKUP(A882,File!$A:$J,4,FALSE)</f>
        <v>FTE</v>
      </c>
      <c r="F882" s="29" t="str">
        <f>VLOOKUP(A882,File!$A:$J,6,FALSE)</f>
        <v>Chennai</v>
      </c>
      <c r="G882" s="29" t="str">
        <f>VLOOKUP(A882,File!$A:$J,7,FALSE)</f>
        <v>IOA26RPA005</v>
      </c>
      <c r="H882" s="29" t="str">
        <f>VLOOKUP(A882,File!$A:$J,8,FALSE)</f>
        <v>Adarsh J Nair</v>
      </c>
      <c r="I882" s="31">
        <f>VLOOKUP(A882,File!$A:$J,9,FALSE)</f>
        <v>46309</v>
      </c>
      <c r="J882" s="31" t="str">
        <f>VLOOKUP(A882,File!$A:$K,11,FALSE)</f>
        <v>Oct 2026</v>
      </c>
      <c r="K882" s="31" t="str">
        <f>VLOOKUP(A882,File!$A:$K,10,FALSE)</f>
        <v>In-Training</v>
      </c>
      <c r="L882" s="31" t="s">
        <v>4</v>
      </c>
      <c r="M882" t="str">
        <f>VLOOKUP(A882,Response!$A:$M,7,)</f>
        <v>PG (Paying Guest)</v>
      </c>
      <c r="N882" t="str">
        <f>VLOOKUP(A882,Response!$A:$M,8,)</f>
        <v>Sai Grand Mens Pg, Egattur</v>
      </c>
      <c r="O882" s="4">
        <f>VLOOKUP(A882,Response!$A:$M,10,)</f>
        <v>4</v>
      </c>
      <c r="P882" t="str">
        <f>VLOOKUP(A882,Response!$A:$M,12,)</f>
        <v>No</v>
      </c>
      <c r="Q882" t="str">
        <f>VLOOKUP(A882,Response!$A:$M,11,)</f>
        <v>Egattur</v>
      </c>
      <c r="R882" t="s">
        <v>19</v>
      </c>
      <c r="S882" s="39" t="s">
        <v>37</v>
      </c>
    </row>
    <row r="883" spans="1:19">
      <c r="A883" s="3">
        <v>2524641</v>
      </c>
      <c r="B883" t="str">
        <f>VLOOKUP(A883,File!$A:$J,2,FALSE)</f>
        <v>Sahana N Puthran</v>
      </c>
      <c r="C883" s="29">
        <f>VLOOKUP(A883,File!$A:$J,5,FALSE)</f>
        <v>46224</v>
      </c>
      <c r="D883" s="29" t="str">
        <f>VLOOKUP(A883,File!$A:$J,3,FALSE)</f>
        <v>Female</v>
      </c>
      <c r="E883" s="29" t="str">
        <f>VLOOKUP(A883,File!$A:$J,4,FALSE)</f>
        <v>FTE</v>
      </c>
      <c r="F883" s="29" t="str">
        <f>VLOOKUP(A883,File!$A:$J,6,FALSE)</f>
        <v>Chennai</v>
      </c>
      <c r="G883" s="29" t="str">
        <f>VLOOKUP(A883,File!$A:$J,7,FALSE)</f>
        <v>QEA26QEPT024</v>
      </c>
      <c r="H883" s="29" t="str">
        <f>VLOOKUP(A883,File!$A:$J,8,FALSE)</f>
        <v>Ajiesya D P</v>
      </c>
      <c r="I883" s="31">
        <f>VLOOKUP(A883,File!$A:$J,9,FALSE)</f>
        <v>46325</v>
      </c>
      <c r="J883" s="31" t="str">
        <f>VLOOKUP(A883,File!$A:$K,11,FALSE)</f>
        <v>Oct 2026</v>
      </c>
      <c r="K883" s="31" t="str">
        <f>VLOOKUP(A883,File!$A:$K,10,FALSE)</f>
        <v>In-Training</v>
      </c>
      <c r="L883" s="31" t="s">
        <v>4</v>
      </c>
      <c r="M883" t="str">
        <f>VLOOKUP(A883,Response!$A:$M,7,)</f>
        <v>PG (Paying Guest)</v>
      </c>
      <c r="N883" t="str">
        <f>VLOOKUP(A883,Response!$A:$M,8,)</f>
        <v>Sai Grand PG</v>
      </c>
      <c r="O883" s="4">
        <f>VLOOKUP(A883,Response!$A:$M,10,)</f>
        <v>1</v>
      </c>
      <c r="P883" t="str">
        <f>VLOOKUP(A883,Response!$A:$M,12,)</f>
        <v>No</v>
      </c>
      <c r="Q883" t="str">
        <f>VLOOKUP(A883,Response!$A:$M,11,)</f>
        <v>Siruseri</v>
      </c>
      <c r="R883" t="s">
        <v>19</v>
      </c>
      <c r="S883" s="39" t="s">
        <v>37</v>
      </c>
    </row>
    <row r="884" spans="1:19">
      <c r="A884" s="3">
        <v>2529675</v>
      </c>
      <c r="B884" t="str">
        <f>VLOOKUP(A884,File!$A:$J,2,FALSE)</f>
        <v>Tumati Akshita</v>
      </c>
      <c r="C884" s="29">
        <f>VLOOKUP(A884,File!$A:$J,5,FALSE)</f>
        <v>46245</v>
      </c>
      <c r="D884" s="29" t="str">
        <f>VLOOKUP(A884,File!$A:$J,3,FALSE)</f>
        <v>Female</v>
      </c>
      <c r="E884" s="29" t="str">
        <f>VLOOKUP(A884,File!$A:$J,4,FALSE)</f>
        <v>FTE</v>
      </c>
      <c r="F884" s="29" t="str">
        <f>VLOOKUP(A884,File!$A:$J,6,FALSE)</f>
        <v>Chennai</v>
      </c>
      <c r="G884" s="29" t="str">
        <f>VLOOKUP(A884,File!$A:$J,7,FALSE)</f>
        <v>EPS26SAP033</v>
      </c>
      <c r="H884" s="29" t="str">
        <f>VLOOKUP(A884,File!$A:$J,8,FALSE)</f>
        <v>Ajith Ganesan</v>
      </c>
      <c r="I884" s="31">
        <f>VLOOKUP(A884,File!$A:$J,9,FALSE)</f>
        <v>46330</v>
      </c>
      <c r="J884" s="31" t="str">
        <f>VLOOKUP(A884,File!$A:$K,11,FALSE)</f>
        <v>Nov 2026</v>
      </c>
      <c r="K884" s="31" t="str">
        <f>VLOOKUP(A884,File!$A:$K,10,FALSE)</f>
        <v>In-Training</v>
      </c>
      <c r="L884" s="31" t="s">
        <v>4</v>
      </c>
      <c r="M884" t="str">
        <f>VLOOKUP(A884,Response!$A:$M,7,)</f>
        <v>PG (Paying Guest)</v>
      </c>
      <c r="N884" t="str">
        <f>VLOOKUP(A884,Response!$A:$M,8,)</f>
        <v>Sai grand pg, dr ambedkar street , road beside subway , egattur .</v>
      </c>
      <c r="O884" s="4">
        <f>VLOOKUP(A884,Response!$A:$M,10,)</f>
        <v>5</v>
      </c>
      <c r="P884" t="str">
        <f>VLOOKUP(A884,Response!$A:$M,12,)</f>
        <v>No</v>
      </c>
      <c r="Q884" t="str">
        <f>VLOOKUP(A884,Response!$A:$M,11,)</f>
        <v>Siruseri</v>
      </c>
      <c r="R884" t="s">
        <v>19</v>
      </c>
      <c r="S884" s="39" t="s">
        <v>37</v>
      </c>
    </row>
    <row r="885" spans="1:19">
      <c r="A885" s="3">
        <v>2521138</v>
      </c>
      <c r="B885" t="str">
        <f>VLOOKUP(A885,File!$A:$J,2,FALSE)</f>
        <v>Seemakurti Chandana Priya</v>
      </c>
      <c r="C885" s="29">
        <f>VLOOKUP(A885,File!$A:$J,5,FALSE)</f>
        <v>46210</v>
      </c>
      <c r="D885" s="29" t="str">
        <f>VLOOKUP(A885,File!$A:$J,3,FALSE)</f>
        <v>Female</v>
      </c>
      <c r="E885" s="29" t="str">
        <f>VLOOKUP(A885,File!$A:$J,4,FALSE)</f>
        <v>FTE</v>
      </c>
      <c r="F885" s="29" t="str">
        <f>VLOOKUP(A885,File!$A:$J,6,FALSE)</f>
        <v>Chennai</v>
      </c>
      <c r="G885" s="29" t="str">
        <f>VLOOKUP(A885,File!$A:$J,7,FALSE)</f>
        <v>SNBG26SN003</v>
      </c>
      <c r="H885" s="29" t="str">
        <f>VLOOKUP(A885,File!$A:$J,8,FALSE)</f>
        <v>Lawrance M</v>
      </c>
      <c r="I885" s="31">
        <f>VLOOKUP(A885,File!$A:$J,9,FALSE)</f>
        <v>46303</v>
      </c>
      <c r="J885" s="31" t="str">
        <f>VLOOKUP(A885,File!$A:$K,11,FALSE)</f>
        <v>Oct 2026</v>
      </c>
      <c r="K885" s="31" t="str">
        <f>VLOOKUP(A885,File!$A:$K,10,FALSE)</f>
        <v>In-Training</v>
      </c>
      <c r="L885" s="31" t="s">
        <v>4</v>
      </c>
      <c r="M885" t="str">
        <f>VLOOKUP(A885,Response!$A:$M,7,)</f>
        <v>PG (Paying Guest)</v>
      </c>
      <c r="N885" t="str">
        <f>VLOOKUP(A885,Response!$A:$M,8,)</f>
        <v>Sai Grand Womans PG</v>
      </c>
      <c r="O885" s="4">
        <f>VLOOKUP(A885,Response!$A:$M,10,)</f>
        <v>5</v>
      </c>
      <c r="P885" t="str">
        <f>VLOOKUP(A885,Response!$A:$M,12,)</f>
        <v>Yes</v>
      </c>
      <c r="Q885" t="str">
        <f>VLOOKUP(A885,Response!$A:$M,11,)</f>
        <v>Egattur</v>
      </c>
      <c r="R885" t="s">
        <v>19</v>
      </c>
      <c r="S885" s="39" t="s">
        <v>37</v>
      </c>
    </row>
    <row r="886" spans="1:19">
      <c r="A886" s="3">
        <v>2521048</v>
      </c>
      <c r="B886" t="str">
        <f>VLOOKUP(A886,File!$A:$J,2,FALSE)</f>
        <v>Hithaishi Yenupuri</v>
      </c>
      <c r="C886" s="29">
        <f>VLOOKUP(A886,File!$A:$J,5,FALSE)</f>
        <v>46210</v>
      </c>
      <c r="D886" s="29" t="str">
        <f>VLOOKUP(A886,File!$A:$J,3,FALSE)</f>
        <v>Female</v>
      </c>
      <c r="E886" s="29" t="str">
        <f>VLOOKUP(A886,File!$A:$J,4,FALSE)</f>
        <v>FTE</v>
      </c>
      <c r="F886" s="29" t="str">
        <f>VLOOKUP(A886,File!$A:$J,6,FALSE)</f>
        <v>Chennai</v>
      </c>
      <c r="G886" s="29" t="str">
        <f>VLOOKUP(A886,File!$A:$J,7,FALSE)</f>
        <v>CIS26SN001</v>
      </c>
      <c r="H886" s="29" t="str">
        <f>VLOOKUP(A886,File!$A:$J,8,FALSE)</f>
        <v>Ashiya Begam S</v>
      </c>
      <c r="I886" s="31">
        <f>VLOOKUP(A886,File!$A:$J,9,FALSE)</f>
        <v>46303</v>
      </c>
      <c r="J886" s="31" t="str">
        <f>VLOOKUP(A886,File!$A:$K,11,FALSE)</f>
        <v>Oct 2026</v>
      </c>
      <c r="K886" s="31" t="str">
        <f>VLOOKUP(A886,File!$A:$K,10,FALSE)</f>
        <v>In-Training</v>
      </c>
      <c r="L886" s="31" t="s">
        <v>4</v>
      </c>
      <c r="M886" t="str">
        <f>VLOOKUP(A886,Response!$A:$M,7,)</f>
        <v>PG (Paying Guest)</v>
      </c>
      <c r="N886" t="str">
        <f>VLOOKUP(A886,Response!$A:$M,8,)</f>
        <v xml:space="preserve">Sai Grand Women pg - anbagam building, koil amman street, behind gangai amman temple, egattur </v>
      </c>
      <c r="O886" s="4">
        <f>VLOOKUP(A886,Response!$A:$M,10,)</f>
        <v>5</v>
      </c>
      <c r="P886" t="str">
        <f>VLOOKUP(A886,Response!$A:$M,12,)</f>
        <v>No</v>
      </c>
      <c r="Q886" t="str">
        <f>VLOOKUP(A886,Response!$A:$M,11,)</f>
        <v>Egattur</v>
      </c>
      <c r="R886" t="s">
        <v>19</v>
      </c>
      <c r="S886" s="39" t="s">
        <v>37</v>
      </c>
    </row>
    <row r="887" spans="1:19">
      <c r="A887" s="3">
        <v>2516823</v>
      </c>
      <c r="B887" t="str">
        <f>VLOOKUP(A887,File!$A:$J,2,FALSE)</f>
        <v>Sai Bhavithaa Sree Neeli</v>
      </c>
      <c r="C887" s="29">
        <f>VLOOKUP(A887,File!$A:$J,5,FALSE)</f>
        <v>46191</v>
      </c>
      <c r="D887" s="29" t="str">
        <f>VLOOKUP(A887,File!$A:$J,3,FALSE)</f>
        <v>Female</v>
      </c>
      <c r="E887" s="29" t="str">
        <f>VLOOKUP(A887,File!$A:$J,4,FALSE)</f>
        <v>FTE</v>
      </c>
      <c r="F887" s="29" t="str">
        <f>VLOOKUP(A887,File!$A:$J,6,FALSE)</f>
        <v>Chennai</v>
      </c>
      <c r="G887" s="29" t="str">
        <f>VLOOKUP(A887,File!$A:$J,7,FALSE)</f>
        <v>CIS26MW001</v>
      </c>
      <c r="H887" s="29" t="str">
        <f>VLOOKUP(A887,File!$A:$J,8,FALSE)</f>
        <v>Ashiya Begam S</v>
      </c>
      <c r="I887" s="31">
        <f>VLOOKUP(A887,File!$A:$J,9,FALSE)</f>
        <v>46276</v>
      </c>
      <c r="J887" s="31" t="str">
        <f>VLOOKUP(A887,File!$A:$K,11,FALSE)</f>
        <v>Sep 2026</v>
      </c>
      <c r="K887" s="31" t="str">
        <f>VLOOKUP(A887,File!$A:$K,10,FALSE)</f>
        <v>In-Training</v>
      </c>
      <c r="L887" s="31" t="s">
        <v>4</v>
      </c>
      <c r="M887" t="str">
        <f>VLOOKUP(A887,Response!$A:$M,7,)</f>
        <v>PG (Paying Guest)</v>
      </c>
      <c r="N887" t="str">
        <f>VLOOKUP(A887,Response!$A:$M,8,)</f>
        <v>Sai Grand Women Pg, 106, Gangai Amman Kovil Street, Egattur, Siruseri, Tamil Nadu - 603103</v>
      </c>
      <c r="O887" s="4">
        <f>VLOOKUP(A887,Response!$A:$M,10,)</f>
        <v>1</v>
      </c>
      <c r="P887" t="str">
        <f>VLOOKUP(A887,Response!$A:$M,12,)</f>
        <v>No</v>
      </c>
      <c r="Q887" t="str">
        <f>VLOOKUP(A887,Response!$A:$M,11,)</f>
        <v>Egattur</v>
      </c>
      <c r="R887" t="s">
        <v>19</v>
      </c>
      <c r="S887" s="39" t="s">
        <v>37</v>
      </c>
    </row>
    <row r="888" spans="1:19">
      <c r="A888" s="3">
        <v>2524633</v>
      </c>
      <c r="B888" t="str">
        <f>VLOOKUP(A888,File!$A:$J,2,FALSE)</f>
        <v>Shobha S</v>
      </c>
      <c r="C888" s="29">
        <f>VLOOKUP(A888,File!$A:$J,5,FALSE)</f>
        <v>46224</v>
      </c>
      <c r="D888" s="29" t="str">
        <f>VLOOKUP(A888,File!$A:$J,3,FALSE)</f>
        <v>Female</v>
      </c>
      <c r="E888" s="29" t="str">
        <f>VLOOKUP(A888,File!$A:$J,4,FALSE)</f>
        <v>FTE</v>
      </c>
      <c r="F888" s="29" t="str">
        <f>VLOOKUP(A888,File!$A:$J,6,FALSE)</f>
        <v>Chennai</v>
      </c>
      <c r="G888" s="29" t="str">
        <f>VLOOKUP(A888,File!$A:$J,7,FALSE)</f>
        <v>ADM26MF012</v>
      </c>
      <c r="H888" s="29" t="str">
        <f>VLOOKUP(A888,File!$A:$J,8,FALSE)</f>
        <v>Lourdhu Selvin Raj X</v>
      </c>
      <c r="I888" s="31">
        <f>VLOOKUP(A888,File!$A:$J,9,FALSE)</f>
        <v>46343</v>
      </c>
      <c r="J888" s="31" t="str">
        <f>VLOOKUP(A888,File!$A:$K,11,FALSE)</f>
        <v>Nov 2026</v>
      </c>
      <c r="K888" s="31" t="str">
        <f>VLOOKUP(A888,File!$A:$K,10,FALSE)</f>
        <v>In-Training</v>
      </c>
      <c r="L888" s="31" t="s">
        <v>4</v>
      </c>
      <c r="M888" t="str">
        <f>VLOOKUP(A888,Response!$A:$M,7,)</f>
        <v>PG (Paying Guest)</v>
      </c>
      <c r="N888" t="str">
        <f>VLOOKUP(A888,Response!$A:$M,8,)</f>
        <v>Sai grand Womens  PG Hostel, branch 1</v>
      </c>
      <c r="O888" s="4">
        <f>VLOOKUP(A888,Response!$A:$M,10,)</f>
        <v>1</v>
      </c>
      <c r="P888" t="str">
        <f>VLOOKUP(A888,Response!$A:$M,12,)</f>
        <v>Yes</v>
      </c>
      <c r="Q888" t="str">
        <f>VLOOKUP(A888,Response!$A:$M,11,)</f>
        <v>Siruseri</v>
      </c>
      <c r="R888" t="s">
        <v>19</v>
      </c>
      <c r="S888" s="39" t="s">
        <v>37</v>
      </c>
    </row>
    <row r="889" spans="1:19">
      <c r="A889" s="3">
        <v>2521736</v>
      </c>
      <c r="B889" t="str">
        <f>VLOOKUP(A889,File!$A:$J,2,FALSE)</f>
        <v>Paruchuru Naga Venkata Trishala</v>
      </c>
      <c r="C889" s="29">
        <f>VLOOKUP(A889,File!$A:$J,5,FALSE)</f>
        <v>46212</v>
      </c>
      <c r="D889" s="29" t="str">
        <f>VLOOKUP(A889,File!$A:$J,3,FALSE)</f>
        <v>Female</v>
      </c>
      <c r="E889" s="29" t="str">
        <f>VLOOKUP(A889,File!$A:$J,4,FALSE)</f>
        <v>FTE</v>
      </c>
      <c r="F889" s="29" t="str">
        <f>VLOOKUP(A889,File!$A:$J,6,FALSE)</f>
        <v>Chennai</v>
      </c>
      <c r="G889" s="29" t="str">
        <f>VLOOKUP(A889,File!$A:$J,7,FALSE)</f>
        <v>QEA26DS001</v>
      </c>
      <c r="H889" s="29" t="str">
        <f>VLOOKUP(A889,File!$A:$J,8,FALSE)</f>
        <v>Lourdhu Selvin Raj X</v>
      </c>
      <c r="I889" s="31">
        <f>VLOOKUP(A889,File!$A:$J,9,FALSE)</f>
        <v>46325</v>
      </c>
      <c r="J889" s="31" t="str">
        <f>VLOOKUP(A889,File!$A:$K,11,FALSE)</f>
        <v>Oct 2026</v>
      </c>
      <c r="K889" s="31" t="str">
        <f>VLOOKUP(A889,File!$A:$K,10,FALSE)</f>
        <v>In-Training</v>
      </c>
      <c r="L889" s="31" t="s">
        <v>4</v>
      </c>
      <c r="M889" t="str">
        <f>VLOOKUP(A889,Response!$A:$M,7,)</f>
        <v>PG (Paying Guest)</v>
      </c>
      <c r="N889" t="str">
        <f>VLOOKUP(A889,Response!$A:$M,8,)</f>
        <v>sai grand womens hostel</v>
      </c>
      <c r="O889" s="4">
        <f>VLOOKUP(A889,Response!$A:$M,10,)</f>
        <v>1</v>
      </c>
      <c r="P889" t="str">
        <f>VLOOKUP(A889,Response!$A:$M,12,)</f>
        <v>No</v>
      </c>
      <c r="Q889" t="str">
        <f>VLOOKUP(A889,Response!$A:$M,11,)</f>
        <v>Siruseri</v>
      </c>
      <c r="R889" t="s">
        <v>19</v>
      </c>
      <c r="S889" s="39" t="s">
        <v>37</v>
      </c>
    </row>
    <row r="890" spans="1:19">
      <c r="A890" s="3">
        <v>2521179</v>
      </c>
      <c r="B890" t="str">
        <f>VLOOKUP(A890,File!$A:$J,2,FALSE)</f>
        <v>Varzhene Nithiyananthan</v>
      </c>
      <c r="C890" s="29">
        <f>VLOOKUP(A890,File!$A:$J,5,FALSE)</f>
        <v>46210</v>
      </c>
      <c r="D890" s="29" t="str">
        <f>VLOOKUP(A890,File!$A:$J,3,FALSE)</f>
        <v>Female</v>
      </c>
      <c r="E890" s="29" t="str">
        <f>VLOOKUP(A890,File!$A:$J,4,FALSE)</f>
        <v>FTE</v>
      </c>
      <c r="F890" s="29" t="str">
        <f>VLOOKUP(A890,File!$A:$J,6,FALSE)</f>
        <v>Chennai</v>
      </c>
      <c r="G890" s="29" t="str">
        <f>VLOOKUP(A890,File!$A:$J,7,FALSE)</f>
        <v>CIS26MCPT013</v>
      </c>
      <c r="H890" s="29" t="str">
        <f>VLOOKUP(A890,File!$A:$J,8,FALSE)</f>
        <v>Lawrance M</v>
      </c>
      <c r="I890" s="31">
        <f>VLOOKUP(A890,File!$A:$J,9,FALSE)</f>
        <v>46324</v>
      </c>
      <c r="J890" s="31" t="str">
        <f>VLOOKUP(A890,File!$A:$K,11,FALSE)</f>
        <v>Oct 2026</v>
      </c>
      <c r="K890" s="31" t="str">
        <f>VLOOKUP(A890,File!$A:$K,10,FALSE)</f>
        <v>In-Training</v>
      </c>
      <c r="L890" s="31" t="s">
        <v>4</v>
      </c>
      <c r="M890" t="str">
        <f>VLOOKUP(A890,Response!$A:$M,7,)</f>
        <v>PG (Paying Guest)</v>
      </c>
      <c r="N890" t="str">
        <f>VLOOKUP(A890,Response!$A:$M,8,)</f>
        <v>Sai Grand Womens Hostel</v>
      </c>
      <c r="O890" s="4">
        <f>VLOOKUP(A890,Response!$A:$M,10,)</f>
        <v>2</v>
      </c>
      <c r="P890" t="str">
        <f>VLOOKUP(A890,Response!$A:$M,12,)</f>
        <v>Yes</v>
      </c>
      <c r="Q890" t="str">
        <f>VLOOKUP(A890,Response!$A:$M,11,)</f>
        <v>Egattur</v>
      </c>
      <c r="R890" t="s">
        <v>19</v>
      </c>
      <c r="S890" s="39" t="s">
        <v>37</v>
      </c>
    </row>
    <row r="891" spans="1:19">
      <c r="A891" s="3">
        <v>2518824</v>
      </c>
      <c r="B891" t="str">
        <f>VLOOKUP(A891,File!$A:$J,2,FALSE)</f>
        <v>Narla Hymavathi</v>
      </c>
      <c r="C891" s="29">
        <f>VLOOKUP(A891,File!$A:$J,5,FALSE)</f>
        <v>46203</v>
      </c>
      <c r="D891" s="29" t="str">
        <f>VLOOKUP(A891,File!$A:$J,3,FALSE)</f>
        <v>Female</v>
      </c>
      <c r="E891" s="29" t="str">
        <f>VLOOKUP(A891,File!$A:$J,4,FALSE)</f>
        <v>FTE</v>
      </c>
      <c r="F891" s="29" t="str">
        <f>VLOOKUP(A891,File!$A:$J,6,FALSE)</f>
        <v>Chennai</v>
      </c>
      <c r="G891" s="29" t="str">
        <f>VLOOKUP(A891,File!$A:$J,7,FALSE)</f>
        <v>CIS26SB001</v>
      </c>
      <c r="H891" s="29" t="str">
        <f>VLOOKUP(A891,File!$A:$J,8,FALSE)</f>
        <v>Kishorekumar P</v>
      </c>
      <c r="I891" s="31">
        <f>VLOOKUP(A891,File!$A:$J,9,FALSE)</f>
        <v>46309</v>
      </c>
      <c r="J891" s="31" t="str">
        <f>VLOOKUP(A891,File!$A:$K,11,FALSE)</f>
        <v>Oct 2026</v>
      </c>
      <c r="K891" s="31" t="str">
        <f>VLOOKUP(A891,File!$A:$K,10,FALSE)</f>
        <v>In-Training</v>
      </c>
      <c r="L891" s="31" t="s">
        <v>4</v>
      </c>
      <c r="M891" t="str">
        <f>VLOOKUP(A891,Response!$A:$M,7,)</f>
        <v>PG (Paying Guest)</v>
      </c>
      <c r="N891" t="str">
        <f>VLOOKUP(A891,Response!$A:$M,8,)</f>
        <v>Sai Grand Womens Hostel- Periyayl Street, Egattur</v>
      </c>
      <c r="O891" s="4">
        <f>VLOOKUP(A891,Response!$A:$M,10,)</f>
        <v>2</v>
      </c>
      <c r="P891" t="str">
        <f>VLOOKUP(A891,Response!$A:$M,12,)</f>
        <v>No</v>
      </c>
      <c r="Q891" t="str">
        <f>VLOOKUP(A891,Response!$A:$M,11,)</f>
        <v>Egattur</v>
      </c>
      <c r="R891" t="s">
        <v>19</v>
      </c>
      <c r="S891" s="39" t="s">
        <v>37</v>
      </c>
    </row>
    <row r="892" spans="1:19">
      <c r="A892" s="3">
        <v>2532905</v>
      </c>
      <c r="B892" t="str">
        <f>VLOOKUP(A892,File!$A:$J,2,FALSE)</f>
        <v>Muskaan Fatima</v>
      </c>
      <c r="C892" s="29">
        <f>VLOOKUP(A892,File!$A:$J,5,FALSE)</f>
        <v>46259</v>
      </c>
      <c r="D892" s="29" t="str">
        <f>VLOOKUP(A892,File!$A:$J,3,FALSE)</f>
        <v>Female</v>
      </c>
      <c r="E892" s="29" t="str">
        <f>VLOOKUP(A892,File!$A:$J,4,FALSE)</f>
        <v>FTE</v>
      </c>
      <c r="F892" s="29" t="str">
        <f>VLOOKUP(A892,File!$A:$J,6,FALSE)</f>
        <v>Chennai</v>
      </c>
      <c r="G892" s="29" t="str">
        <f>VLOOKUP(A892,File!$A:$J,7,FALSE)</f>
        <v>CIS26MBG006</v>
      </c>
      <c r="H892" s="29" t="str">
        <f>VLOOKUP(A892,File!$A:$J,8,FALSE)</f>
        <v>Angel Maria Faustina Gomez</v>
      </c>
      <c r="I892" s="31">
        <f>VLOOKUP(A892,File!$A:$J,9,FALSE)</f>
        <v>46367</v>
      </c>
      <c r="J892" s="31" t="str">
        <f>VLOOKUP(A892,File!$A:$K,11,FALSE)</f>
        <v>Dec 2026</v>
      </c>
      <c r="K892" s="31" t="str">
        <f>VLOOKUP(A892,File!$A:$K,10,FALSE)</f>
        <v>In-Training</v>
      </c>
      <c r="L892" s="31" t="s">
        <v>4</v>
      </c>
      <c r="M892" t="str">
        <f>VLOOKUP(A892,Response!$A:$M,7,)</f>
        <v>Hostel</v>
      </c>
      <c r="N892" t="str">
        <f>VLOOKUP(A892,Response!$A:$M,8,)</f>
        <v>SAI GRAND WOMENS HOSTEL, EGATTUR</v>
      </c>
      <c r="O892" s="4">
        <f>VLOOKUP(A892,Response!$A:$M,10,)</f>
        <v>3</v>
      </c>
      <c r="P892" t="str">
        <f>VLOOKUP(A892,Response!$A:$M,12,)</f>
        <v>No</v>
      </c>
      <c r="Q892" t="str">
        <f>VLOOKUP(A892,Response!$A:$M,11,)</f>
        <v>Egattur</v>
      </c>
      <c r="R892" t="s">
        <v>19</v>
      </c>
      <c r="S892" s="39" t="s">
        <v>37</v>
      </c>
    </row>
    <row r="893" spans="1:19">
      <c r="A893" s="3">
        <v>2533058</v>
      </c>
      <c r="B893" t="str">
        <f>VLOOKUP(A893,File!$A:$J,2,FALSE)</f>
        <v>Vinothini S</v>
      </c>
      <c r="C893" s="29">
        <f>VLOOKUP(A893,File!$A:$J,5,FALSE)</f>
        <v>46259</v>
      </c>
      <c r="D893" s="29" t="str">
        <f>VLOOKUP(A893,File!$A:$J,3,FALSE)</f>
        <v>Female</v>
      </c>
      <c r="E893" s="29" t="str">
        <f>VLOOKUP(A893,File!$A:$J,4,FALSE)</f>
        <v>FTE</v>
      </c>
      <c r="F893" s="29" t="str">
        <f>VLOOKUP(A893,File!$A:$J,6,FALSE)</f>
        <v>Chennai</v>
      </c>
      <c r="G893" s="29" t="str">
        <f>VLOOKUP(A893,File!$A:$J,7,FALSE)</f>
        <v>ADM27DFSA001</v>
      </c>
      <c r="H893" s="29" t="str">
        <f>VLOOKUP(A893,File!$A:$J,8,FALSE)</f>
        <v>Thomas Naveen. J</v>
      </c>
      <c r="I893" s="31">
        <f>VLOOKUP(A893,File!$A:$J,9,FALSE)</f>
        <v>46386</v>
      </c>
      <c r="J893" s="31" t="str">
        <f>VLOOKUP(A893,File!$A:$K,11,FALSE)</f>
        <v>Dec 2026</v>
      </c>
      <c r="K893" s="31" t="str">
        <f>VLOOKUP(A893,File!$A:$K,10,FALSE)</f>
        <v>In-Training</v>
      </c>
      <c r="L893" s="31" t="s">
        <v>4</v>
      </c>
      <c r="M893" t="str">
        <f>VLOOKUP(A893,Response!$A:$M,7,)</f>
        <v>PG (Paying Guest)</v>
      </c>
      <c r="N893" t="str">
        <f>VLOOKUP(A893,Response!$A:$M,8,)</f>
        <v>Sai Grand Womens Hostel</v>
      </c>
      <c r="O893" s="4">
        <f>VLOOKUP(A893,Response!$A:$M,10,)</f>
        <v>4</v>
      </c>
      <c r="P893" t="str">
        <f>VLOOKUP(A893,Response!$A:$M,12,)</f>
        <v>No</v>
      </c>
      <c r="Q893" t="str">
        <f>VLOOKUP(A893,Response!$A:$M,11,)</f>
        <v>Siruseri</v>
      </c>
      <c r="R893" t="s">
        <v>19</v>
      </c>
      <c r="S893" s="39" t="s">
        <v>37</v>
      </c>
    </row>
    <row r="894" spans="1:19">
      <c r="A894" s="3">
        <v>2522856</v>
      </c>
      <c r="B894" t="str">
        <f>VLOOKUP(A894,File!$A:$J,2,FALSE)</f>
        <v>Hansika P S</v>
      </c>
      <c r="C894" s="29">
        <f>VLOOKUP(A894,File!$A:$J,5,FALSE)</f>
        <v>46217</v>
      </c>
      <c r="D894" s="29" t="str">
        <f>VLOOKUP(A894,File!$A:$J,3,FALSE)</f>
        <v>Female</v>
      </c>
      <c r="E894" s="29" t="str">
        <f>VLOOKUP(A894,File!$A:$J,4,FALSE)</f>
        <v>FTE</v>
      </c>
      <c r="F894" s="29" t="str">
        <f>VLOOKUP(A894,File!$A:$J,6,FALSE)</f>
        <v>Chennai</v>
      </c>
      <c r="G894" s="29" t="str">
        <f>VLOOKUP(A894,File!$A:$J,7,FALSE)</f>
        <v>CIS26MCPT017</v>
      </c>
      <c r="H894" s="29" t="str">
        <f>VLOOKUP(A894,File!$A:$J,8,FALSE)</f>
        <v>Haritha P</v>
      </c>
      <c r="I894" s="31">
        <f>VLOOKUP(A894,File!$A:$J,9,FALSE)</f>
        <v>46335</v>
      </c>
      <c r="J894" s="31" t="str">
        <f>VLOOKUP(A894,File!$A:$K,11,FALSE)</f>
        <v>Nov 2026</v>
      </c>
      <c r="K894" s="31" t="str">
        <f>VLOOKUP(A894,File!$A:$K,10,FALSE)</f>
        <v>In-Training</v>
      </c>
      <c r="L894" s="31" t="s">
        <v>4</v>
      </c>
      <c r="M894" t="str">
        <f>VLOOKUP(A894,Response!$A:$M,7,)</f>
        <v>PG (Paying Guest)</v>
      </c>
      <c r="N894" t="str">
        <f>VLOOKUP(A894,Response!$A:$M,8,)</f>
        <v>Sai Grand Womens PG</v>
      </c>
      <c r="O894" s="4">
        <f>VLOOKUP(A894,Response!$A:$M,10,)</f>
        <v>1</v>
      </c>
      <c r="P894" t="str">
        <f>VLOOKUP(A894,Response!$A:$M,12,)</f>
        <v>No</v>
      </c>
      <c r="Q894" t="str">
        <f>VLOOKUP(A894,Response!$A:$M,11,)</f>
        <v>Siruseri</v>
      </c>
      <c r="R894" t="s">
        <v>19</v>
      </c>
      <c r="S894" s="39" t="s">
        <v>37</v>
      </c>
    </row>
    <row r="895" spans="1:19">
      <c r="A895" s="3">
        <v>2521627</v>
      </c>
      <c r="B895" t="str">
        <f>VLOOKUP(A895,File!$A:$J,2,FALSE)</f>
        <v>Kadiyala Mounika</v>
      </c>
      <c r="C895" s="29">
        <f>VLOOKUP(A895,File!$A:$J,5,FALSE)</f>
        <v>46212</v>
      </c>
      <c r="D895" s="29" t="str">
        <f>VLOOKUP(A895,File!$A:$J,3,FALSE)</f>
        <v>Female</v>
      </c>
      <c r="E895" s="29" t="str">
        <f>VLOOKUP(A895,File!$A:$J,4,FALSE)</f>
        <v>FTE</v>
      </c>
      <c r="F895" s="29" t="str">
        <f>VLOOKUP(A895,File!$A:$J,6,FALSE)</f>
        <v>Chennai</v>
      </c>
      <c r="G895" s="29" t="str">
        <f>VLOOKUP(A895,File!$A:$J,7,FALSE)</f>
        <v>ADM26DNAT003</v>
      </c>
      <c r="H895" s="29" t="str">
        <f>VLOOKUP(A895,File!$A:$J,8,FALSE)</f>
        <v>Athira P</v>
      </c>
      <c r="I895" s="31">
        <f>VLOOKUP(A895,File!$A:$J,9,FALSE)</f>
        <v>46318</v>
      </c>
      <c r="J895" s="31" t="str">
        <f>VLOOKUP(A895,File!$A:$K,11,FALSE)</f>
        <v>Oct 2026</v>
      </c>
      <c r="K895" s="31" t="str">
        <f>VLOOKUP(A895,File!$A:$K,10,FALSE)</f>
        <v>In-Training</v>
      </c>
      <c r="L895" s="31" t="s">
        <v>4</v>
      </c>
      <c r="M895" t="str">
        <f>VLOOKUP(A895,Response!$A:$M,7,)</f>
        <v>PG (Paying Guest)</v>
      </c>
      <c r="N895" t="str">
        <f>VLOOKUP(A895,Response!$A:$M,8,)</f>
        <v>sai grand womens pg</v>
      </c>
      <c r="O895" s="4">
        <f>VLOOKUP(A895,Response!$A:$M,10,)</f>
        <v>3</v>
      </c>
      <c r="P895" t="str">
        <f>VLOOKUP(A895,Response!$A:$M,12,)</f>
        <v>Yes</v>
      </c>
      <c r="Q895" t="str">
        <f>VLOOKUP(A895,Response!$A:$M,11,)</f>
        <v>Siruseri</v>
      </c>
      <c r="R895" t="s">
        <v>19</v>
      </c>
      <c r="S895" s="39" t="s">
        <v>37</v>
      </c>
    </row>
    <row r="896" spans="1:19">
      <c r="A896" s="3">
        <v>2531963</v>
      </c>
      <c r="B896" t="str">
        <f>VLOOKUP(A896,File!$A:$J,2,FALSE)</f>
        <v>Varshni N</v>
      </c>
      <c r="C896" s="29">
        <f>VLOOKUP(A896,File!$A:$J,5,FALSE)</f>
        <v>46254</v>
      </c>
      <c r="D896" s="29" t="str">
        <f>VLOOKUP(A896,File!$A:$J,3,FALSE)</f>
        <v>Female</v>
      </c>
      <c r="E896" s="29" t="str">
        <f>VLOOKUP(A896,File!$A:$J,4,FALSE)</f>
        <v>FTE</v>
      </c>
      <c r="F896" s="29" t="str">
        <f>VLOOKUP(A896,File!$A:$J,6,FALSE)</f>
        <v>Chennai</v>
      </c>
      <c r="G896" s="29" t="str">
        <f>VLOOKUP(A896,File!$A:$J,7,FALSE)</f>
        <v>CS26CS012</v>
      </c>
      <c r="H896" s="29" t="str">
        <f>VLOOKUP(A896,File!$A:$J,8,FALSE)</f>
        <v>Laksiya Vijayendran</v>
      </c>
      <c r="I896" s="31">
        <f>VLOOKUP(A896,File!$A:$J,9,FALSE)</f>
        <v>46343</v>
      </c>
      <c r="J896" s="31" t="str">
        <f>VLOOKUP(A896,File!$A:$K,11,FALSE)</f>
        <v>Nov 2026</v>
      </c>
      <c r="K896" s="31" t="str">
        <f>VLOOKUP(A896,File!$A:$K,10,FALSE)</f>
        <v>In-Training</v>
      </c>
      <c r="L896" s="31" t="s">
        <v>4</v>
      </c>
      <c r="M896" t="str">
        <f>VLOOKUP(A896,Response!$A:$M,7,)</f>
        <v>PG (Paying Guest)</v>
      </c>
      <c r="N896" t="str">
        <f>VLOOKUP(A896,Response!$A:$M,8,)</f>
        <v>Sai grand womens pg</v>
      </c>
      <c r="O896" s="4">
        <f>VLOOKUP(A896,Response!$A:$M,10,)</f>
        <v>3</v>
      </c>
      <c r="P896" t="str">
        <f>VLOOKUP(A896,Response!$A:$M,12,)</f>
        <v>No</v>
      </c>
      <c r="Q896" t="str">
        <f>VLOOKUP(A896,Response!$A:$M,11,)</f>
        <v>Siruseri</v>
      </c>
      <c r="R896" t="s">
        <v>19</v>
      </c>
      <c r="S896" s="39" t="s">
        <v>37</v>
      </c>
    </row>
    <row r="897" spans="1:19">
      <c r="A897" s="3">
        <v>2512340</v>
      </c>
      <c r="B897" t="str">
        <f>VLOOKUP(A897,File!$A:$J,2,FALSE)</f>
        <v>Shilpa Shree N</v>
      </c>
      <c r="C897" s="29">
        <f>VLOOKUP(A897,File!$A:$J,5,FALSE)</f>
        <v>46170</v>
      </c>
      <c r="D897" s="29" t="str">
        <f>VLOOKUP(A897,File!$A:$J,3,FALSE)</f>
        <v>Female</v>
      </c>
      <c r="E897" s="29" t="str">
        <f>VLOOKUP(A897,File!$A:$J,4,FALSE)</f>
        <v>FTE</v>
      </c>
      <c r="F897" s="29" t="str">
        <f>VLOOKUP(A897,File!$A:$J,6,FALSE)</f>
        <v>Chennai</v>
      </c>
      <c r="G897" s="29" t="str">
        <f>VLOOKUP(A897,File!$A:$J,7,FALSE)</f>
        <v>CIS26MCPT012</v>
      </c>
      <c r="H897" s="29" t="str">
        <f>VLOOKUP(A897,File!$A:$J,8,FALSE)</f>
        <v>Uma Venkatachalam</v>
      </c>
      <c r="I897" s="31">
        <f>VLOOKUP(A897,File!$A:$J,9,FALSE)</f>
        <v>46282</v>
      </c>
      <c r="J897" s="31" t="str">
        <f>VLOOKUP(A897,File!$A:$K,11,FALSE)</f>
        <v>Sep 2026</v>
      </c>
      <c r="K897" s="31" t="str">
        <f>VLOOKUP(A897,File!$A:$K,10,FALSE)</f>
        <v>In-Training</v>
      </c>
      <c r="L897" s="31" t="s">
        <v>4</v>
      </c>
      <c r="M897" t="str">
        <f>VLOOKUP(A897,Response!$A:$M,7,)</f>
        <v>PG (Paying Guest)</v>
      </c>
      <c r="N897" t="str">
        <f>VLOOKUP(A897,Response!$A:$M,8,)</f>
        <v>Sai Grand Womens PG</v>
      </c>
      <c r="O897" s="4" t="str">
        <f>VLOOKUP(A897,Response!$A:$M,10,)</f>
        <v>GF</v>
      </c>
      <c r="P897" t="str">
        <f>VLOOKUP(A897,Response!$A:$M,12,)</f>
        <v>No</v>
      </c>
      <c r="Q897" t="str">
        <f>VLOOKUP(A897,Response!$A:$M,11,)</f>
        <v>Egattur</v>
      </c>
      <c r="R897" t="s">
        <v>19</v>
      </c>
      <c r="S897" s="39" t="s">
        <v>37</v>
      </c>
    </row>
    <row r="898" spans="1:19">
      <c r="A898" s="3">
        <v>2532961</v>
      </c>
      <c r="B898" t="str">
        <f>VLOOKUP(A898,File!$A:$J,2,FALSE)</f>
        <v>Barathi M</v>
      </c>
      <c r="C898" s="29">
        <f>VLOOKUP(A898,File!$A:$J,5,FALSE)</f>
        <v>46259</v>
      </c>
      <c r="D898" s="29" t="str">
        <f>VLOOKUP(A898,File!$A:$J,3,FALSE)</f>
        <v>Female</v>
      </c>
      <c r="E898" s="29" t="str">
        <f>VLOOKUP(A898,File!$A:$J,4,FALSE)</f>
        <v>FTE</v>
      </c>
      <c r="F898" s="29" t="str">
        <f>VLOOKUP(A898,File!$A:$J,6,FALSE)</f>
        <v>Chennai</v>
      </c>
      <c r="G898" s="29" t="str">
        <f>VLOOKUP(A898,File!$A:$J,7,FALSE)</f>
        <v>CIS26MBG004</v>
      </c>
      <c r="H898" s="29" t="str">
        <f>VLOOKUP(A898,File!$A:$J,8,FALSE)</f>
        <v>Kishorekumar P</v>
      </c>
      <c r="I898" s="31">
        <f>VLOOKUP(A898,File!$A:$J,9,FALSE)</f>
        <v>46367</v>
      </c>
      <c r="J898" s="31" t="str">
        <f>VLOOKUP(A898,File!$A:$K,11,FALSE)</f>
        <v>Dec 2026</v>
      </c>
      <c r="K898" s="31" t="str">
        <f>VLOOKUP(A898,File!$A:$K,10,FALSE)</f>
        <v>In-Training</v>
      </c>
      <c r="L898" s="31" t="s">
        <v>4</v>
      </c>
      <c r="M898" t="str">
        <f>VLOOKUP(A898,Response!$A:$M,7,)</f>
        <v>PG (Paying Guest)</v>
      </c>
      <c r="N898" t="str">
        <f>VLOOKUP(A898,Response!$A:$M,8,)</f>
        <v xml:space="preserve">Sai grand womens pg </v>
      </c>
      <c r="O898" s="4">
        <f>VLOOKUP(A898,Response!$A:$M,10,)</f>
        <v>1</v>
      </c>
      <c r="P898" t="str">
        <f>VLOOKUP(A898,Response!$A:$M,12,)</f>
        <v>No</v>
      </c>
      <c r="Q898" t="str">
        <f>VLOOKUP(A898,Response!$A:$M,11,)</f>
        <v>Egattur</v>
      </c>
      <c r="R898" t="s">
        <v>19</v>
      </c>
      <c r="S898" s="39" t="s">
        <v>37</v>
      </c>
    </row>
    <row r="899" spans="1:19">
      <c r="A899" s="3">
        <v>2479899</v>
      </c>
      <c r="B899" t="str">
        <f>VLOOKUP(A899,File!$A:$J,2,FALSE)</f>
        <v>Rutuja Satish Kohale</v>
      </c>
      <c r="C899" s="29">
        <f>VLOOKUP(A899,File!$A:$J,5,FALSE)</f>
        <v>46053</v>
      </c>
      <c r="D899" s="29" t="str">
        <f>VLOOKUP(A899,File!$A:$J,3,FALSE)</f>
        <v>Female</v>
      </c>
      <c r="E899" s="29" t="str">
        <f>VLOOKUP(A899,File!$A:$J,4,FALSE)</f>
        <v>FTE</v>
      </c>
      <c r="F899" s="29" t="str">
        <f>VLOOKUP(A899,File!$A:$J,6,FALSE)</f>
        <v>Chennai</v>
      </c>
      <c r="G899" s="29" t="str">
        <f>VLOOKUP(A899,File!$A:$J,7,FALSE)</f>
        <v>ADM26ISMO010</v>
      </c>
      <c r="H899" s="29" t="str">
        <f>VLOOKUP(A899,File!$A:$J,8,FALSE)</f>
        <v>Thomas Naveen. J</v>
      </c>
      <c r="I899" s="31">
        <f>VLOOKUP(A899,File!$A:$J,9,FALSE)</f>
        <v>46301</v>
      </c>
      <c r="J899" s="31" t="str">
        <f>VLOOKUP(A899,File!$A:$K,11,FALSE)</f>
        <v>Oct 2026</v>
      </c>
      <c r="K899" s="31" t="str">
        <f>VLOOKUP(A899,File!$A:$K,10,FALSE)</f>
        <v>In-Training</v>
      </c>
      <c r="L899" s="31" t="s">
        <v>4</v>
      </c>
      <c r="M899" t="str">
        <f>VLOOKUP(A899,Response!$A:$M,7,)</f>
        <v>PG (Paying Guest)</v>
      </c>
      <c r="N899" t="str">
        <f>VLOOKUP(A899,Response!$A:$M,8,)</f>
        <v xml:space="preserve">Sai Grand womens pg </v>
      </c>
      <c r="O899" s="4">
        <f>VLOOKUP(A899,Response!$A:$M,10,)</f>
        <v>3</v>
      </c>
      <c r="P899" t="str">
        <f>VLOOKUP(A899,Response!$A:$M,12,)</f>
        <v>No</v>
      </c>
      <c r="Q899" t="str">
        <f>VLOOKUP(A899,Response!$A:$M,11,)</f>
        <v>Siruseri</v>
      </c>
      <c r="R899" t="s">
        <v>19</v>
      </c>
      <c r="S899" s="39" t="s">
        <v>37</v>
      </c>
    </row>
    <row r="900" spans="1:19">
      <c r="A900" s="3">
        <v>2521135</v>
      </c>
      <c r="B900" t="str">
        <f>VLOOKUP(A900,File!$A:$J,2,FALSE)</f>
        <v>Samminga Poojitha</v>
      </c>
      <c r="C900" s="29">
        <f>VLOOKUP(A900,File!$A:$J,5,FALSE)</f>
        <v>46210</v>
      </c>
      <c r="D900" s="29" t="str">
        <f>VLOOKUP(A900,File!$A:$J,3,FALSE)</f>
        <v>Female</v>
      </c>
      <c r="E900" s="29" t="str">
        <f>VLOOKUP(A900,File!$A:$J,4,FALSE)</f>
        <v>FTE</v>
      </c>
      <c r="F900" s="29" t="str">
        <f>VLOOKUP(A900,File!$A:$J,6,FALSE)</f>
        <v>Chennai</v>
      </c>
      <c r="G900" s="29" t="str">
        <f>VLOOKUP(A900,File!$A:$J,7,FALSE)</f>
        <v>SNBG26SN004</v>
      </c>
      <c r="H900" s="29" t="str">
        <f>VLOOKUP(A900,File!$A:$J,8,FALSE)</f>
        <v>Kishorekumar P</v>
      </c>
      <c r="I900" s="31">
        <f>VLOOKUP(A900,File!$A:$J,9,FALSE)</f>
        <v>46303</v>
      </c>
      <c r="J900" s="31" t="str">
        <f>VLOOKUP(A900,File!$A:$K,11,FALSE)</f>
        <v>Oct 2026</v>
      </c>
      <c r="K900" s="31" t="str">
        <f>VLOOKUP(A900,File!$A:$K,10,FALSE)</f>
        <v>In-Training</v>
      </c>
      <c r="L900" s="31" t="s">
        <v>4</v>
      </c>
      <c r="M900" t="str">
        <f>VLOOKUP(A900,Response!$A:$M,7,)</f>
        <v>PG (Paying Guest)</v>
      </c>
      <c r="N900" t="str">
        <f>VLOOKUP(A900,Response!$A:$M,8,)</f>
        <v xml:space="preserve">Sai Grand Womens PG </v>
      </c>
      <c r="O900" s="4">
        <f>VLOOKUP(A900,Response!$A:$M,10,)</f>
        <v>4</v>
      </c>
      <c r="P900" t="str">
        <f>VLOOKUP(A900,Response!$A:$M,12,)</f>
        <v>No</v>
      </c>
      <c r="Q900" t="str">
        <f>VLOOKUP(A900,Response!$A:$M,11,)</f>
        <v>Siruseri</v>
      </c>
      <c r="R900" t="s">
        <v>19</v>
      </c>
      <c r="S900" s="39" t="s">
        <v>37</v>
      </c>
    </row>
    <row r="901" spans="1:19">
      <c r="A901" s="3">
        <v>2521625</v>
      </c>
      <c r="B901" t="str">
        <f>VLOOKUP(A901,File!$A:$J,2,FALSE)</f>
        <v>Yarramaddu Manasa</v>
      </c>
      <c r="C901" s="29">
        <f>VLOOKUP(A901,File!$A:$J,5,FALSE)</f>
        <v>46212</v>
      </c>
      <c r="D901" s="29" t="str">
        <f>VLOOKUP(A901,File!$A:$J,3,FALSE)</f>
        <v>Female</v>
      </c>
      <c r="E901" s="29" t="str">
        <f>VLOOKUP(A901,File!$A:$J,4,FALSE)</f>
        <v>FTE</v>
      </c>
      <c r="F901" s="29" t="str">
        <f>VLOOKUP(A901,File!$A:$J,6,FALSE)</f>
        <v>Chennai</v>
      </c>
      <c r="G901" s="29" t="str">
        <f>VLOOKUP(A901,File!$A:$J,7,FALSE)</f>
        <v>QEA26QEPT023</v>
      </c>
      <c r="H901" s="29" t="str">
        <f>VLOOKUP(A901,File!$A:$J,8,FALSE)</f>
        <v>Sweta Thoppil</v>
      </c>
      <c r="I901" s="31">
        <f>VLOOKUP(A901,File!$A:$J,9,FALSE)</f>
        <v>46314</v>
      </c>
      <c r="J901" s="31" t="str">
        <f>VLOOKUP(A901,File!$A:$K,11,FALSE)</f>
        <v>Oct 2026</v>
      </c>
      <c r="K901" s="31" t="str">
        <f>VLOOKUP(A901,File!$A:$K,10,FALSE)</f>
        <v>In-Training</v>
      </c>
      <c r="L901" s="31" t="s">
        <v>4</v>
      </c>
      <c r="M901" t="str">
        <f>VLOOKUP(A901,Response!$A:$M,7,)</f>
        <v>PG (Paying Guest)</v>
      </c>
      <c r="N901" t="str">
        <f>VLOOKUP(A901,Response!$A:$M,8,)</f>
        <v>sai grand womens pg  - Branch 2, Egattur</v>
      </c>
      <c r="O901" s="4">
        <f>VLOOKUP(A901,Response!$A:$M,10,)</f>
        <v>2</v>
      </c>
      <c r="P901" t="str">
        <f>VLOOKUP(A901,Response!$A:$M,12,)</f>
        <v>No</v>
      </c>
      <c r="Q901" t="str">
        <f>VLOOKUP(A901,Response!$A:$M,11,)</f>
        <v>Egattur</v>
      </c>
      <c r="R901" t="s">
        <v>19</v>
      </c>
      <c r="S901" s="39" t="s">
        <v>37</v>
      </c>
    </row>
    <row r="902" spans="1:19">
      <c r="A902" s="3">
        <v>2516760</v>
      </c>
      <c r="B902" t="str">
        <f>VLOOKUP(A902,File!$A:$J,2,FALSE)</f>
        <v>Jayasri Dirisala</v>
      </c>
      <c r="C902" s="29">
        <f>VLOOKUP(A902,File!$A:$J,5,FALSE)</f>
        <v>46191</v>
      </c>
      <c r="D902" s="29" t="str">
        <f>VLOOKUP(A902,File!$A:$J,3,FALSE)</f>
        <v>Female</v>
      </c>
      <c r="E902" s="29" t="str">
        <f>VLOOKUP(A902,File!$A:$J,4,FALSE)</f>
        <v>FTE</v>
      </c>
      <c r="F902" s="29" t="str">
        <f>VLOOKUP(A902,File!$A:$J,6,FALSE)</f>
        <v>Chennai</v>
      </c>
      <c r="G902" s="29" t="str">
        <f>VLOOKUP(A902,File!$A:$J,7,FALSE)</f>
        <v>CIS26MW001</v>
      </c>
      <c r="H902" s="29" t="str">
        <f>VLOOKUP(A902,File!$A:$J,8,FALSE)</f>
        <v>Ashiya Begam S</v>
      </c>
      <c r="I902" s="31">
        <f>VLOOKUP(A902,File!$A:$J,9,FALSE)</f>
        <v>46276</v>
      </c>
      <c r="J902" s="31" t="str">
        <f>VLOOKUP(A902,File!$A:$K,11,FALSE)</f>
        <v>Sep 2026</v>
      </c>
      <c r="K902" s="31" t="str">
        <f>VLOOKUP(A902,File!$A:$K,10,FALSE)</f>
        <v>In-Training</v>
      </c>
      <c r="L902" s="31" t="s">
        <v>4</v>
      </c>
      <c r="M902" t="str">
        <f>VLOOKUP(A902,Response!$A:$M,7,)</f>
        <v>PG (Paying Guest)</v>
      </c>
      <c r="N902" t="str">
        <f>VLOOKUP(A902,Response!$A:$M,8,)</f>
        <v>Sai grand womens Pg  Ambedkar Street -Egattur Chennai</v>
      </c>
      <c r="O902" s="4">
        <f>VLOOKUP(A902,Response!$A:$M,10,)</f>
        <v>1</v>
      </c>
      <c r="P902" t="str">
        <f>VLOOKUP(A902,Response!$A:$M,12,)</f>
        <v>No</v>
      </c>
      <c r="Q902" t="str">
        <f>VLOOKUP(A902,Response!$A:$M,11,)</f>
        <v>Siruseri</v>
      </c>
      <c r="R902" t="s">
        <v>19</v>
      </c>
      <c r="S902" s="39" t="s">
        <v>37</v>
      </c>
    </row>
    <row r="903" spans="1:19">
      <c r="A903" s="3">
        <v>2531955</v>
      </c>
      <c r="B903" t="str">
        <f>VLOOKUP(A903,File!$A:$J,2,FALSE)</f>
        <v>Hemnaveetha C E</v>
      </c>
      <c r="C903" s="29">
        <f>VLOOKUP(A903,File!$A:$J,5,FALSE)</f>
        <v>46254</v>
      </c>
      <c r="D903" s="29" t="str">
        <f>VLOOKUP(A903,File!$A:$J,3,FALSE)</f>
        <v>Female</v>
      </c>
      <c r="E903" s="29" t="str">
        <f>VLOOKUP(A903,File!$A:$J,4,FALSE)</f>
        <v>FTE</v>
      </c>
      <c r="F903" s="29" t="str">
        <f>VLOOKUP(A903,File!$A:$J,6,FALSE)</f>
        <v>Chennai</v>
      </c>
      <c r="G903" s="29" t="str">
        <f>VLOOKUP(A903,File!$A:$J,7,FALSE)</f>
        <v>CS26CS011</v>
      </c>
      <c r="H903" s="29" t="str">
        <f>VLOOKUP(A903,File!$A:$J,8,FALSE)</f>
        <v>Kishorekumar P</v>
      </c>
      <c r="I903" s="31">
        <f>VLOOKUP(A903,File!$A:$J,9,FALSE)</f>
        <v>46343</v>
      </c>
      <c r="J903" s="31" t="str">
        <f>VLOOKUP(A903,File!$A:$K,11,FALSE)</f>
        <v>Nov 2026</v>
      </c>
      <c r="K903" s="31" t="str">
        <f>VLOOKUP(A903,File!$A:$K,10,FALSE)</f>
        <v>In-Training</v>
      </c>
      <c r="L903" s="31" t="s">
        <v>4</v>
      </c>
      <c r="M903" t="str">
        <f>VLOOKUP(A903,Response!$A:$M,7,)</f>
        <v>PG (Paying Guest)</v>
      </c>
      <c r="N903" t="str">
        <f>VLOOKUP(A903,Response!$A:$M,8,)</f>
        <v>Sai Grand Womens PG - Ambedkar Street, Egattur</v>
      </c>
      <c r="O903" s="4">
        <f>VLOOKUP(A903,Response!$A:$M,10,)</f>
        <v>3</v>
      </c>
      <c r="P903" t="str">
        <f>VLOOKUP(A903,Response!$A:$M,12,)</f>
        <v>No</v>
      </c>
      <c r="Q903" t="str">
        <f>VLOOKUP(A903,Response!$A:$M,11,)</f>
        <v>Siruseri</v>
      </c>
      <c r="R903" t="s">
        <v>19</v>
      </c>
      <c r="S903" s="39" t="s">
        <v>37</v>
      </c>
    </row>
    <row r="904" spans="1:19">
      <c r="A904" s="3">
        <v>2521694</v>
      </c>
      <c r="B904" t="str">
        <f>VLOOKUP(A904,File!$A:$J,2,FALSE)</f>
        <v>Swapna Chandrashekar Hegade</v>
      </c>
      <c r="C904" s="29">
        <f>VLOOKUP(A904,File!$A:$J,5,FALSE)</f>
        <v>46212</v>
      </c>
      <c r="D904" s="29" t="str">
        <f>VLOOKUP(A904,File!$A:$J,3,FALSE)</f>
        <v>Female</v>
      </c>
      <c r="E904" s="29" t="str">
        <f>VLOOKUP(A904,File!$A:$J,4,FALSE)</f>
        <v>FTE</v>
      </c>
      <c r="F904" s="29" t="str">
        <f>VLOOKUP(A904,File!$A:$J,6,FALSE)</f>
        <v>Chennai</v>
      </c>
      <c r="G904" s="29" t="str">
        <f>VLOOKUP(A904,File!$A:$J,7,FALSE)</f>
        <v>QEA26QEPT023</v>
      </c>
      <c r="H904" s="29" t="str">
        <f>VLOOKUP(A904,File!$A:$J,8,FALSE)</f>
        <v>Sweta Thoppil</v>
      </c>
      <c r="I904" s="31">
        <f>VLOOKUP(A904,File!$A:$J,9,FALSE)</f>
        <v>46314</v>
      </c>
      <c r="J904" s="31" t="str">
        <f>VLOOKUP(A904,File!$A:$K,11,FALSE)</f>
        <v>Oct 2026</v>
      </c>
      <c r="K904" s="31" t="str">
        <f>VLOOKUP(A904,File!$A:$K,10,FALSE)</f>
        <v>In-Training</v>
      </c>
      <c r="L904" s="31" t="s">
        <v>4</v>
      </c>
      <c r="M904" t="str">
        <f>VLOOKUP(A904,Response!$A:$M,7,)</f>
        <v>PG (Paying Guest)</v>
      </c>
      <c r="N904" t="str">
        <f>VLOOKUP(A904,Response!$A:$M,8,)</f>
        <v>Sai Grand Womens PG - Branch 2, Egattur</v>
      </c>
      <c r="O904" s="4">
        <f>VLOOKUP(A904,Response!$A:$M,10,)</f>
        <v>4</v>
      </c>
      <c r="P904" t="str">
        <f>VLOOKUP(A904,Response!$A:$M,12,)</f>
        <v>No</v>
      </c>
      <c r="Q904" t="str">
        <f>VLOOKUP(A904,Response!$A:$M,11,)</f>
        <v>Egattur</v>
      </c>
      <c r="R904" t="s">
        <v>19</v>
      </c>
      <c r="S904" s="39" t="s">
        <v>37</v>
      </c>
    </row>
    <row r="905" spans="1:19">
      <c r="A905" s="3">
        <v>2516858</v>
      </c>
      <c r="B905" t="str">
        <f>VLOOKUP(A905,File!$A:$J,2,FALSE)</f>
        <v>Vanshika Jain</v>
      </c>
      <c r="C905" s="29">
        <f>VLOOKUP(A905,File!$A:$J,5,FALSE)</f>
        <v>46191</v>
      </c>
      <c r="D905" s="29" t="str">
        <f>VLOOKUP(A905,File!$A:$J,3,FALSE)</f>
        <v>Female</v>
      </c>
      <c r="E905" s="29" t="str">
        <f>VLOOKUP(A905,File!$A:$J,4,FALSE)</f>
        <v>FTE</v>
      </c>
      <c r="F905" s="29" t="str">
        <f>VLOOKUP(A905,File!$A:$J,6,FALSE)</f>
        <v>Chennai</v>
      </c>
      <c r="G905" s="29" t="str">
        <f>VLOOKUP(A905,File!$A:$J,7,FALSE)</f>
        <v>CIS26MW001</v>
      </c>
      <c r="H905" s="29" t="str">
        <f>VLOOKUP(A905,File!$A:$J,8,FALSE)</f>
        <v>Ashiya Begam S</v>
      </c>
      <c r="I905" s="31">
        <f>VLOOKUP(A905,File!$A:$J,9,FALSE)</f>
        <v>46276</v>
      </c>
      <c r="J905" s="31" t="str">
        <f>VLOOKUP(A905,File!$A:$K,11,FALSE)</f>
        <v>Sep 2026</v>
      </c>
      <c r="K905" s="31" t="str">
        <f>VLOOKUP(A905,File!$A:$K,10,FALSE)</f>
        <v>In-Training</v>
      </c>
      <c r="L905" s="31" t="s">
        <v>4</v>
      </c>
      <c r="M905" t="str">
        <f>VLOOKUP(A905,Response!$A:$M,7,)</f>
        <v>PG (Paying Guest)</v>
      </c>
      <c r="N905" t="str">
        <f>VLOOKUP(A905,Response!$A:$M,8,)</f>
        <v>Sai Grand Womens PG - Dr Ambedkar Street , Egattur</v>
      </c>
      <c r="O905" s="4">
        <f>VLOOKUP(A905,Response!$A:$M,10,)</f>
        <v>1</v>
      </c>
      <c r="P905" t="str">
        <f>VLOOKUP(A905,Response!$A:$M,12,)</f>
        <v>No</v>
      </c>
      <c r="Q905" t="str">
        <f>VLOOKUP(A905,Response!$A:$M,11,)</f>
        <v>Egattur</v>
      </c>
      <c r="R905" t="s">
        <v>19</v>
      </c>
      <c r="S905" s="39" t="s">
        <v>37</v>
      </c>
    </row>
    <row r="906" spans="1:19">
      <c r="A906" s="3">
        <v>2532931</v>
      </c>
      <c r="B906" t="str">
        <f>VLOOKUP(A906,File!$A:$J,2,FALSE)</f>
        <v>Ahalya G</v>
      </c>
      <c r="C906" s="29">
        <f>VLOOKUP(A906,File!$A:$J,5,FALSE)</f>
        <v>46259</v>
      </c>
      <c r="D906" s="29" t="str">
        <f>VLOOKUP(A906,File!$A:$J,3,FALSE)</f>
        <v>Female</v>
      </c>
      <c r="E906" s="29" t="str">
        <f>VLOOKUP(A906,File!$A:$J,4,FALSE)</f>
        <v>FTE</v>
      </c>
      <c r="F906" s="29" t="str">
        <f>VLOOKUP(A906,File!$A:$J,6,FALSE)</f>
        <v>Chennai</v>
      </c>
      <c r="G906" s="29" t="str">
        <f>VLOOKUP(A906,File!$A:$J,7,FALSE)</f>
        <v>CIS26MBG003</v>
      </c>
      <c r="H906" s="29" t="str">
        <f>VLOOKUP(A906,File!$A:$J,8,FALSE)</f>
        <v>Kishorekumar P</v>
      </c>
      <c r="I906" s="31">
        <f>VLOOKUP(A906,File!$A:$J,9,FALSE)</f>
        <v>46367</v>
      </c>
      <c r="J906" s="31" t="str">
        <f>VLOOKUP(A906,File!$A:$K,11,FALSE)</f>
        <v>Dec 2026</v>
      </c>
      <c r="K906" s="31" t="str">
        <f>VLOOKUP(A906,File!$A:$K,10,FALSE)</f>
        <v>In-Training</v>
      </c>
      <c r="L906" s="31" t="s">
        <v>4</v>
      </c>
      <c r="M906" t="str">
        <f>VLOOKUP(A906,Response!$A:$M,7,)</f>
        <v>PG (Paying Guest)</v>
      </c>
      <c r="N906" t="str">
        <f>VLOOKUP(A906,Response!$A:$M,8,)</f>
        <v>Sai grand womens PG - Nest branch, near venkateshwar super market, Navalur.</v>
      </c>
      <c r="O906" s="4">
        <f>VLOOKUP(A906,Response!$A:$M,10,)</f>
        <v>1</v>
      </c>
      <c r="P906" t="str">
        <f>VLOOKUP(A906,Response!$A:$M,12,)</f>
        <v>Yes</v>
      </c>
      <c r="Q906" t="str">
        <f>VLOOKUP(A906,Response!$A:$M,11,)</f>
        <v>Navalur</v>
      </c>
      <c r="R906" t="s">
        <v>19</v>
      </c>
      <c r="S906" s="39" t="s">
        <v>37</v>
      </c>
    </row>
    <row r="907" spans="1:19">
      <c r="A907" s="3">
        <v>2521281</v>
      </c>
      <c r="B907" t="str">
        <f>VLOOKUP(A907,File!$A:$J,2,FALSE)</f>
        <v>Samantula Vasudha</v>
      </c>
      <c r="C907" s="29">
        <f>VLOOKUP(A907,File!$A:$J,5,FALSE)</f>
        <v>46210</v>
      </c>
      <c r="D907" s="29" t="str">
        <f>VLOOKUP(A907,File!$A:$J,3,FALSE)</f>
        <v>Female</v>
      </c>
      <c r="E907" s="29" t="str">
        <f>VLOOKUP(A907,File!$A:$J,4,FALSE)</f>
        <v>FTE</v>
      </c>
      <c r="F907" s="29" t="str">
        <f>VLOOKUP(A907,File!$A:$J,6,FALSE)</f>
        <v>Chennai</v>
      </c>
      <c r="G907" s="29" t="str">
        <f>VLOOKUP(A907,File!$A:$J,7,FALSE)</f>
        <v>CIS26SN001</v>
      </c>
      <c r="H907" s="29" t="str">
        <f>VLOOKUP(A907,File!$A:$J,8,FALSE)</f>
        <v>Ashiya Begam S</v>
      </c>
      <c r="I907" s="31">
        <f>VLOOKUP(A907,File!$A:$J,9,FALSE)</f>
        <v>46303</v>
      </c>
      <c r="J907" s="31" t="str">
        <f>VLOOKUP(A907,File!$A:$K,11,FALSE)</f>
        <v>Oct 2026</v>
      </c>
      <c r="K907" s="31" t="str">
        <f>VLOOKUP(A907,File!$A:$K,10,FALSE)</f>
        <v>In-Training</v>
      </c>
      <c r="L907" s="31" t="s">
        <v>4</v>
      </c>
      <c r="M907" t="str">
        <f>VLOOKUP(A907,Response!$A:$M,7,)</f>
        <v>PG (Paying Guest)</v>
      </c>
      <c r="N907" t="str">
        <f>VLOOKUP(A907,Response!$A:$M,8,)</f>
        <v>Sai Grand Womens PG (Ambedkar Street)</v>
      </c>
      <c r="O907" s="4">
        <f>VLOOKUP(A907,Response!$A:$M,10,)</f>
        <v>4</v>
      </c>
      <c r="P907" t="str">
        <f>VLOOKUP(A907,Response!$A:$M,12,)</f>
        <v>No</v>
      </c>
      <c r="Q907" t="str">
        <f>VLOOKUP(A907,Response!$A:$M,11,)</f>
        <v>Siruseri</v>
      </c>
      <c r="R907" t="s">
        <v>19</v>
      </c>
      <c r="S907" s="39" t="s">
        <v>37</v>
      </c>
    </row>
    <row r="908" spans="1:19">
      <c r="A908" s="3">
        <v>2521285</v>
      </c>
      <c r="B908" t="str">
        <f>VLOOKUP(A908,File!$A:$J,2,FALSE)</f>
        <v>Sravanthi Pasagadugula</v>
      </c>
      <c r="C908" s="29">
        <f>VLOOKUP(A908,File!$A:$J,5,FALSE)</f>
        <v>46210</v>
      </c>
      <c r="D908" s="29" t="str">
        <f>VLOOKUP(A908,File!$A:$J,3,FALSE)</f>
        <v>Female</v>
      </c>
      <c r="E908" s="29" t="str">
        <f>VLOOKUP(A908,File!$A:$J,4,FALSE)</f>
        <v>FTE</v>
      </c>
      <c r="F908" s="29" t="str">
        <f>VLOOKUP(A908,File!$A:$J,6,FALSE)</f>
        <v>Chennai</v>
      </c>
      <c r="G908" s="29" t="str">
        <f>VLOOKUP(A908,File!$A:$J,7,FALSE)</f>
        <v>SNBG26SN003</v>
      </c>
      <c r="H908" s="29" t="str">
        <f>VLOOKUP(A908,File!$A:$J,8,FALSE)</f>
        <v>Lawrance M</v>
      </c>
      <c r="I908" s="31">
        <f>VLOOKUP(A908,File!$A:$J,9,FALSE)</f>
        <v>46281</v>
      </c>
      <c r="J908" s="31" t="str">
        <f>VLOOKUP(A908,File!$A:$K,11,FALSE)</f>
        <v>Sep 2026</v>
      </c>
      <c r="K908" s="31" t="str">
        <f>VLOOKUP(A908,File!$A:$K,10,FALSE)</f>
        <v>In-Training</v>
      </c>
      <c r="L908" s="31" t="s">
        <v>4</v>
      </c>
      <c r="M908" t="str">
        <f>VLOOKUP(A908,Response!$A:$M,7,)</f>
        <v>PG (Paying Guest)</v>
      </c>
      <c r="N908" t="str">
        <f>VLOOKUP(A908,Response!$A:$M,8,)</f>
        <v>Sai Grand Womens PG (Ambedkar street), Dr Ambedkar St, Egattur</v>
      </c>
      <c r="O908" s="4">
        <f>VLOOKUP(A908,Response!$A:$M,10,)</f>
        <v>4</v>
      </c>
      <c r="P908" t="str">
        <f>VLOOKUP(A908,Response!$A:$M,12,)</f>
        <v>No</v>
      </c>
      <c r="Q908" t="str">
        <f>VLOOKUP(A908,Response!$A:$M,11,)</f>
        <v>Siruseri</v>
      </c>
      <c r="R908" t="s">
        <v>19</v>
      </c>
      <c r="S908" s="39" t="s">
        <v>37</v>
      </c>
    </row>
    <row r="909" spans="1:19">
      <c r="A909" s="3">
        <v>2521300</v>
      </c>
      <c r="B909" t="str">
        <f>VLOOKUP(A909,File!$A:$J,2,FALSE)</f>
        <v>Killamsetty Reshma</v>
      </c>
      <c r="C909" s="29">
        <f>VLOOKUP(A909,File!$A:$J,5,FALSE)</f>
        <v>46210</v>
      </c>
      <c r="D909" s="29" t="str">
        <f>VLOOKUP(A909,File!$A:$J,3,FALSE)</f>
        <v>Female</v>
      </c>
      <c r="E909" s="29" t="str">
        <f>VLOOKUP(A909,File!$A:$J,4,FALSE)</f>
        <v>FTE</v>
      </c>
      <c r="F909" s="29" t="str">
        <f>VLOOKUP(A909,File!$A:$J,6,FALSE)</f>
        <v>Chennai</v>
      </c>
      <c r="G909" s="29" t="str">
        <f>VLOOKUP(A909,File!$A:$J,7,FALSE)</f>
        <v>SNBG26SN002</v>
      </c>
      <c r="H909" s="29" t="str">
        <f>VLOOKUP(A909,File!$A:$J,8,FALSE)</f>
        <v>Lawrance M</v>
      </c>
      <c r="I909" s="31">
        <f>VLOOKUP(A909,File!$A:$J,9,FALSE)</f>
        <v>46281</v>
      </c>
      <c r="J909" s="31" t="str">
        <f>VLOOKUP(A909,File!$A:$K,11,FALSE)</f>
        <v>Sep 2026</v>
      </c>
      <c r="K909" s="31" t="str">
        <f>VLOOKUP(A909,File!$A:$K,10,FALSE)</f>
        <v>In-Training</v>
      </c>
      <c r="L909" s="31" t="s">
        <v>4</v>
      </c>
      <c r="M909" t="str">
        <f>VLOOKUP(A909,Response!$A:$M,7,)</f>
        <v>PG (Paying Guest)</v>
      </c>
      <c r="N909" t="str">
        <f>VLOOKUP(A909,Response!$A:$M,8,)</f>
        <v>Sai Grand Womens PG (Ambedkar street), Dr Ambedkar St, Egattur</v>
      </c>
      <c r="O909" s="4">
        <f>VLOOKUP(A909,Response!$A:$M,10,)</f>
        <v>4</v>
      </c>
      <c r="P909" t="str">
        <f>VLOOKUP(A909,Response!$A:$M,12,)</f>
        <v>No</v>
      </c>
      <c r="Q909" t="str">
        <f>VLOOKUP(A909,Response!$A:$M,11,)</f>
        <v>Siruseri</v>
      </c>
      <c r="R909" t="s">
        <v>19</v>
      </c>
      <c r="S909" s="39" t="s">
        <v>37</v>
      </c>
    </row>
    <row r="910" spans="1:19">
      <c r="A910" s="3">
        <v>2524513</v>
      </c>
      <c r="B910" t="str">
        <f>VLOOKUP(A910,File!$A:$J,2,FALSE)</f>
        <v>Sonia Mondal</v>
      </c>
      <c r="C910" s="29">
        <f>VLOOKUP(A910,File!$A:$J,5,FALSE)</f>
        <v>46224</v>
      </c>
      <c r="D910" s="29" t="str">
        <f>VLOOKUP(A910,File!$A:$J,3,FALSE)</f>
        <v>Female</v>
      </c>
      <c r="E910" s="29" t="str">
        <f>VLOOKUP(A910,File!$A:$J,4,FALSE)</f>
        <v>FTE</v>
      </c>
      <c r="F910" s="29" t="str">
        <f>VLOOKUP(A910,File!$A:$J,6,FALSE)</f>
        <v>Chennai</v>
      </c>
      <c r="G910" s="29" t="str">
        <f>VLOOKUP(A910,File!$A:$J,7,FALSE)</f>
        <v>QEA26QEPT024</v>
      </c>
      <c r="H910" s="29" t="str">
        <f>VLOOKUP(A910,File!$A:$J,8,FALSE)</f>
        <v>Ajiesya D P</v>
      </c>
      <c r="I910" s="31">
        <f>VLOOKUP(A910,File!$A:$J,9,FALSE)</f>
        <v>46330</v>
      </c>
      <c r="J910" s="31" t="str">
        <f>VLOOKUP(A910,File!$A:$K,11,FALSE)</f>
        <v>Nov 2026</v>
      </c>
      <c r="K910" s="31" t="str">
        <f>VLOOKUP(A910,File!$A:$K,10,FALSE)</f>
        <v>In-Training</v>
      </c>
      <c r="L910" s="31" t="s">
        <v>4</v>
      </c>
      <c r="M910" t="str">
        <f>VLOOKUP(A910,Response!$A:$M,7,)</f>
        <v>PG (Paying Guest)</v>
      </c>
      <c r="N910" t="str">
        <f>VLOOKUP(A910,Response!$A:$M,8,)</f>
        <v>Sai Grand Womens PG (Ambedkar Street), Egatur.</v>
      </c>
      <c r="O910" s="4">
        <f>VLOOKUP(A910,Response!$A:$M,10,)</f>
        <v>5</v>
      </c>
      <c r="P910" t="str">
        <f>VLOOKUP(A910,Response!$A:$M,12,)</f>
        <v>No</v>
      </c>
      <c r="Q910" t="str">
        <f>VLOOKUP(A910,Response!$A:$M,11,)</f>
        <v>Egattur</v>
      </c>
      <c r="R910" t="s">
        <v>19</v>
      </c>
      <c r="S910" s="39" t="s">
        <v>37</v>
      </c>
    </row>
    <row r="911" spans="1:19">
      <c r="A911" s="3">
        <v>2521044</v>
      </c>
      <c r="B911" t="str">
        <f>VLOOKUP(A911,File!$A:$J,2,FALSE)</f>
        <v>Kandepalli Yogasri</v>
      </c>
      <c r="C911" s="29">
        <f>VLOOKUP(A911,File!$A:$J,5,FALSE)</f>
        <v>46210</v>
      </c>
      <c r="D911" s="29" t="str">
        <f>VLOOKUP(A911,File!$A:$J,3,FALSE)</f>
        <v>Female</v>
      </c>
      <c r="E911" s="29" t="str">
        <f>VLOOKUP(A911,File!$A:$J,4,FALSE)</f>
        <v>FTE</v>
      </c>
      <c r="F911" s="29" t="str">
        <f>VLOOKUP(A911,File!$A:$J,6,FALSE)</f>
        <v>Chennai</v>
      </c>
      <c r="G911" s="29" t="str">
        <f>VLOOKUP(A911,File!$A:$J,7,FALSE)</f>
        <v>SNBG26SN003</v>
      </c>
      <c r="H911" s="29" t="str">
        <f>VLOOKUP(A911,File!$A:$J,8,FALSE)</f>
        <v>Lawrance M</v>
      </c>
      <c r="I911" s="31">
        <f>VLOOKUP(A911,File!$A:$J,9,FALSE)</f>
        <v>46303</v>
      </c>
      <c r="J911" s="31" t="str">
        <f>VLOOKUP(A911,File!$A:$K,11,FALSE)</f>
        <v>Oct 2026</v>
      </c>
      <c r="K911" s="31" t="str">
        <f>VLOOKUP(A911,File!$A:$K,10,FALSE)</f>
        <v>In-Training</v>
      </c>
      <c r="L911" s="31" t="s">
        <v>4</v>
      </c>
      <c r="M911" t="str">
        <f>VLOOKUP(A911,Response!$A:$M,7,)</f>
        <v>PG (Paying Guest)</v>
      </c>
      <c r="N911" t="str">
        <f>VLOOKUP(A911,Response!$A:$M,8,)</f>
        <v>Sai Grand Womens PG Branch - 1</v>
      </c>
      <c r="O911" s="4">
        <f>VLOOKUP(A911,Response!$A:$M,10,)</f>
        <v>4</v>
      </c>
      <c r="P911" t="str">
        <f>VLOOKUP(A911,Response!$A:$M,12,)</f>
        <v>No</v>
      </c>
      <c r="Q911" t="str">
        <f>VLOOKUP(A911,Response!$A:$M,11,)</f>
        <v>Egattur</v>
      </c>
      <c r="R911" t="s">
        <v>19</v>
      </c>
      <c r="S911" s="39" t="s">
        <v>37</v>
      </c>
    </row>
    <row r="912" spans="1:19">
      <c r="A912" s="3">
        <v>2531964</v>
      </c>
      <c r="B912" t="str">
        <f>VLOOKUP(A912,File!$A:$J,2,FALSE)</f>
        <v>Kudiguntolu Bhavani</v>
      </c>
      <c r="C912" s="29">
        <f>VLOOKUP(A912,File!$A:$J,5,FALSE)</f>
        <v>46254</v>
      </c>
      <c r="D912" s="29" t="str">
        <f>VLOOKUP(A912,File!$A:$J,3,FALSE)</f>
        <v>Female</v>
      </c>
      <c r="E912" s="29" t="str">
        <f>VLOOKUP(A912,File!$A:$J,4,FALSE)</f>
        <v>FTE</v>
      </c>
      <c r="F912" s="29" t="str">
        <f>VLOOKUP(A912,File!$A:$J,6,FALSE)</f>
        <v>Chennai</v>
      </c>
      <c r="G912" s="29" t="str">
        <f>VLOOKUP(A912,File!$A:$J,7,FALSE)</f>
        <v>CS26CS011</v>
      </c>
      <c r="H912" s="29" t="str">
        <f>VLOOKUP(A912,File!$A:$J,8,FALSE)</f>
        <v>Kishorekumar P</v>
      </c>
      <c r="I912" s="31">
        <f>VLOOKUP(A912,File!$A:$J,9,FALSE)</f>
        <v>46343</v>
      </c>
      <c r="J912" s="31" t="str">
        <f>VLOOKUP(A912,File!$A:$K,11,FALSE)</f>
        <v>Nov 2026</v>
      </c>
      <c r="K912" s="31" t="str">
        <f>VLOOKUP(A912,File!$A:$K,10,FALSE)</f>
        <v>In-Training</v>
      </c>
      <c r="L912" s="31" t="s">
        <v>4</v>
      </c>
      <c r="M912" t="str">
        <f>VLOOKUP(A912,Response!$A:$M,7,)</f>
        <v>PG (Paying Guest)</v>
      </c>
      <c r="N912" t="str">
        <f>VLOOKUP(A912,Response!$A:$M,8,)</f>
        <v>Sai Grand Womens PG Hostel</v>
      </c>
      <c r="O912" s="4">
        <f>VLOOKUP(A912,Response!$A:$M,10,)</f>
        <v>1</v>
      </c>
      <c r="P912" t="str">
        <f>VLOOKUP(A912,Response!$A:$M,12,)</f>
        <v>No</v>
      </c>
      <c r="Q912" t="str">
        <f>VLOOKUP(A912,Response!$A:$M,11,)</f>
        <v>Siruseri</v>
      </c>
      <c r="R912" t="s">
        <v>19</v>
      </c>
      <c r="S912" s="39" t="s">
        <v>37</v>
      </c>
    </row>
    <row r="913" spans="1:19">
      <c r="A913" s="3">
        <v>2518820</v>
      </c>
      <c r="B913" t="str">
        <f>VLOOKUP(A913,File!$A:$J,2,FALSE)</f>
        <v>Kanike Gowthami</v>
      </c>
      <c r="C913" s="29">
        <f>VLOOKUP(A913,File!$A:$J,5,FALSE)</f>
        <v>46203</v>
      </c>
      <c r="D913" s="29" t="str">
        <f>VLOOKUP(A913,File!$A:$J,3,FALSE)</f>
        <v>Female</v>
      </c>
      <c r="E913" s="29" t="str">
        <f>VLOOKUP(A913,File!$A:$J,4,FALSE)</f>
        <v>FTE</v>
      </c>
      <c r="F913" s="29" t="str">
        <f>VLOOKUP(A913,File!$A:$J,6,FALSE)</f>
        <v>Chennai</v>
      </c>
      <c r="G913" s="29" t="str">
        <f>VLOOKUP(A913,File!$A:$J,7,FALSE)</f>
        <v>CIS26SB001</v>
      </c>
      <c r="H913" s="29" t="str">
        <f>VLOOKUP(A913,File!$A:$J,8,FALSE)</f>
        <v>Kishorekumar P</v>
      </c>
      <c r="I913" s="31">
        <f>VLOOKUP(A913,File!$A:$J,9,FALSE)</f>
        <v>46309</v>
      </c>
      <c r="J913" s="31" t="str">
        <f>VLOOKUP(A913,File!$A:$K,11,FALSE)</f>
        <v>Oct 2026</v>
      </c>
      <c r="K913" s="31" t="str">
        <f>VLOOKUP(A913,File!$A:$K,10,FALSE)</f>
        <v>In-Training</v>
      </c>
      <c r="L913" s="31" t="s">
        <v>4</v>
      </c>
      <c r="M913" t="str">
        <f>VLOOKUP(A913,Response!$A:$M,7,)</f>
        <v>PG (Paying Guest)</v>
      </c>
      <c r="N913" t="str">
        <f>VLOOKUP(A913,Response!$A:$M,8,)</f>
        <v>Sai Grand Womens PG Hostel</v>
      </c>
      <c r="O913" s="4">
        <f>VLOOKUP(A913,Response!$A:$M,10,)</f>
        <v>2</v>
      </c>
      <c r="P913" t="str">
        <f>VLOOKUP(A913,Response!$A:$M,12,)</f>
        <v>No</v>
      </c>
      <c r="Q913" t="str">
        <f>VLOOKUP(A913,Response!$A:$M,11,)</f>
        <v>Egattur</v>
      </c>
      <c r="R913" t="s">
        <v>19</v>
      </c>
      <c r="S913" s="39" t="s">
        <v>37</v>
      </c>
    </row>
    <row r="914" spans="1:19">
      <c r="A914" s="3">
        <v>2523384</v>
      </c>
      <c r="B914" t="str">
        <f>VLOOKUP(A914,File!$A:$J,2,FALSE)</f>
        <v>Pathma Shree S R</v>
      </c>
      <c r="C914" s="29">
        <f>VLOOKUP(A914,File!$A:$J,5,FALSE)</f>
        <v>46219</v>
      </c>
      <c r="D914" s="29" t="str">
        <f>VLOOKUP(A914,File!$A:$J,3,FALSE)</f>
        <v>Female</v>
      </c>
      <c r="E914" s="29" t="str">
        <f>VLOOKUP(A914,File!$A:$J,4,FALSE)</f>
        <v>FTE</v>
      </c>
      <c r="F914" s="29" t="str">
        <f>VLOOKUP(A914,File!$A:$J,6,FALSE)</f>
        <v>Chennai</v>
      </c>
      <c r="G914" s="29" t="str">
        <f>VLOOKUP(A914,File!$A:$J,7,FALSE)</f>
        <v>CS26CS009</v>
      </c>
      <c r="H914" s="29" t="str">
        <f>VLOOKUP(A914,File!$A:$J,8,FALSE)</f>
        <v>Laksiya Vijayendran</v>
      </c>
      <c r="I914" s="31">
        <f>VLOOKUP(A914,File!$A:$J,9,FALSE)</f>
        <v>46309</v>
      </c>
      <c r="J914" s="31" t="str">
        <f>VLOOKUP(A914,File!$A:$K,11,FALSE)</f>
        <v>Oct 2026</v>
      </c>
      <c r="K914" s="31" t="str">
        <f>VLOOKUP(A914,File!$A:$K,10,FALSE)</f>
        <v>In-Training</v>
      </c>
      <c r="L914" s="31" t="s">
        <v>4</v>
      </c>
      <c r="M914" t="str">
        <f>VLOOKUP(A914,Response!$A:$M,7,)</f>
        <v>PG (Paying Guest)</v>
      </c>
      <c r="N914" t="str">
        <f>VLOOKUP(A914,Response!$A:$M,8,)</f>
        <v>Sai Grand Womens PG Hostel(Branch 1) -4/187, Periyar Street, OMR, Egattur, Chennai, Tamil Nadu 600130</v>
      </c>
      <c r="O914" s="4" t="str">
        <f>VLOOKUP(A914,Response!$A:$M,10,)</f>
        <v>GF</v>
      </c>
      <c r="P914" t="str">
        <f>VLOOKUP(A914,Response!$A:$M,12,)</f>
        <v>Yes</v>
      </c>
      <c r="Q914" t="str">
        <f>VLOOKUP(A914,Response!$A:$M,11,)</f>
        <v>Egattur</v>
      </c>
      <c r="R914" t="s">
        <v>19</v>
      </c>
      <c r="S914" s="39" t="s">
        <v>37</v>
      </c>
    </row>
    <row r="915" spans="1:19">
      <c r="A915" s="3">
        <v>2529604</v>
      </c>
      <c r="B915" t="str">
        <f>VLOOKUP(A915,File!$A:$J,2,FALSE)</f>
        <v>Balaka Malliswari</v>
      </c>
      <c r="C915" s="29">
        <f>VLOOKUP(A915,File!$A:$J,5,FALSE)</f>
        <v>46245</v>
      </c>
      <c r="D915" s="29" t="str">
        <f>VLOOKUP(A915,File!$A:$J,3,FALSE)</f>
        <v>Female</v>
      </c>
      <c r="E915" s="29" t="str">
        <f>VLOOKUP(A915,File!$A:$J,4,FALSE)</f>
        <v>FTE</v>
      </c>
      <c r="F915" s="29" t="str">
        <f>VLOOKUP(A915,File!$A:$J,6,FALSE)</f>
        <v>Chennai</v>
      </c>
      <c r="G915" s="29" t="str">
        <f>VLOOKUP(A915,File!$A:$J,7,FALSE)</f>
        <v>CIS26MCPT024</v>
      </c>
      <c r="H915" s="29" t="str">
        <f>VLOOKUP(A915,File!$A:$J,8,FALSE)</f>
        <v>Ashiya Begam S</v>
      </c>
      <c r="I915" s="31">
        <f>VLOOKUP(A915,File!$A:$J,9,FALSE)</f>
        <v>46359</v>
      </c>
      <c r="J915" s="31" t="str">
        <f>VLOOKUP(A915,File!$A:$K,11,FALSE)</f>
        <v>Dec 2026</v>
      </c>
      <c r="K915" s="31" t="str">
        <f>VLOOKUP(A915,File!$A:$K,10,FALSE)</f>
        <v>In-Training</v>
      </c>
      <c r="L915" s="31" t="s">
        <v>4</v>
      </c>
      <c r="M915" t="str">
        <f>VLOOKUP(A915,Response!$A:$M,7,)</f>
        <v>PG (Paying Guest)</v>
      </c>
      <c r="N915" t="str">
        <f>VLOOKUP(A915,Response!$A:$M,8,)</f>
        <v>Sai Grand womens PG Hostel, Egattur.</v>
      </c>
      <c r="O915" s="4">
        <f>VLOOKUP(A915,Response!$A:$M,10,)</f>
        <v>2</v>
      </c>
      <c r="P915" t="str">
        <f>VLOOKUP(A915,Response!$A:$M,12,)</f>
        <v>Yes</v>
      </c>
      <c r="Q915" t="str">
        <f>VLOOKUP(A915,Response!$A:$M,11,)</f>
        <v>Egattur</v>
      </c>
      <c r="R915" t="s">
        <v>19</v>
      </c>
      <c r="S915" s="39" t="s">
        <v>37</v>
      </c>
    </row>
    <row r="916" spans="1:19">
      <c r="A916" s="3">
        <v>2524548</v>
      </c>
      <c r="B916" t="str">
        <f>VLOOKUP(A916,File!$A:$J,2,FALSE)</f>
        <v>Nishtha Gupta</v>
      </c>
      <c r="C916" s="29">
        <f>VLOOKUP(A916,File!$A:$J,5,FALSE)</f>
        <v>46224</v>
      </c>
      <c r="D916" s="29" t="str">
        <f>VLOOKUP(A916,File!$A:$J,3,FALSE)</f>
        <v>Female</v>
      </c>
      <c r="E916" s="29" t="str">
        <f>VLOOKUP(A916,File!$A:$J,4,FALSE)</f>
        <v>FTE</v>
      </c>
      <c r="F916" s="29" t="str">
        <f>VLOOKUP(A916,File!$A:$J,6,FALSE)</f>
        <v>Chennai</v>
      </c>
      <c r="G916" s="29" t="str">
        <f>VLOOKUP(A916,File!$A:$J,7,FALSE)</f>
        <v>IOA26RPA005</v>
      </c>
      <c r="H916" s="29" t="str">
        <f>VLOOKUP(A916,File!$A:$J,8,FALSE)</f>
        <v>Adarsh J Nair</v>
      </c>
      <c r="I916" s="31">
        <f>VLOOKUP(A916,File!$A:$J,9,FALSE)</f>
        <v>46309</v>
      </c>
      <c r="J916" s="31" t="str">
        <f>VLOOKUP(A916,File!$A:$K,11,FALSE)</f>
        <v>Oct 2026</v>
      </c>
      <c r="K916" s="31" t="str">
        <f>VLOOKUP(A916,File!$A:$K,10,FALSE)</f>
        <v>In-Training</v>
      </c>
      <c r="L916" s="31" t="s">
        <v>4</v>
      </c>
      <c r="M916" t="str">
        <f>VLOOKUP(A916,Response!$A:$M,7,)</f>
        <v>PG (Paying Guest)</v>
      </c>
      <c r="N916" t="str">
        <f>VLOOKUP(A916,Response!$A:$M,8,)</f>
        <v>Sai Grand Womens pg hostel, Periyar Street, Old Mahabalipuram Road, Egattur, Chennai, Tamil Nadu.</v>
      </c>
      <c r="O916" s="4">
        <f>VLOOKUP(A916,Response!$A:$M,10,)</f>
        <v>3</v>
      </c>
      <c r="P916" t="str">
        <f>VLOOKUP(A916,Response!$A:$M,12,)</f>
        <v>No</v>
      </c>
      <c r="Q916" t="str">
        <f>VLOOKUP(A916,Response!$A:$M,11,)</f>
        <v>Egattur</v>
      </c>
      <c r="R916" t="s">
        <v>19</v>
      </c>
      <c r="S916" s="39" t="s">
        <v>37</v>
      </c>
    </row>
    <row r="917" spans="1:19">
      <c r="A917" s="3">
        <v>2532997</v>
      </c>
      <c r="B917" t="str">
        <f>VLOOKUP(A917,File!$A:$J,2,FALSE)</f>
        <v>Asma Mohammad</v>
      </c>
      <c r="C917" s="29">
        <f>VLOOKUP(A917,File!$A:$J,5,FALSE)</f>
        <v>46259</v>
      </c>
      <c r="D917" s="29" t="str">
        <f>VLOOKUP(A917,File!$A:$J,3,FALSE)</f>
        <v>Female</v>
      </c>
      <c r="E917" s="29" t="str">
        <f>VLOOKUP(A917,File!$A:$J,4,FALSE)</f>
        <v>FTE</v>
      </c>
      <c r="F917" s="29" t="str">
        <f>VLOOKUP(A917,File!$A:$J,6,FALSE)</f>
        <v>Chennai</v>
      </c>
      <c r="G917" s="29" t="str">
        <f>VLOOKUP(A917,File!$A:$J,7,FALSE)</f>
        <v>CIS26AT008</v>
      </c>
      <c r="H917" s="29" t="str">
        <f>VLOOKUP(A917,File!$A:$J,8,FALSE)</f>
        <v>Uma Venkatachalam</v>
      </c>
      <c r="I917" s="31">
        <f>VLOOKUP(A917,File!$A:$J,9,FALSE)</f>
        <v>46365</v>
      </c>
      <c r="J917" s="31" t="str">
        <f>VLOOKUP(A917,File!$A:$K,11,FALSE)</f>
        <v>Dec 2026</v>
      </c>
      <c r="K917" s="31" t="str">
        <f>VLOOKUP(A917,File!$A:$K,10,FALSE)</f>
        <v>In-Training</v>
      </c>
      <c r="L917" s="31" t="s">
        <v>4</v>
      </c>
      <c r="M917" t="str">
        <f>VLOOKUP(A917,Response!$A:$M,7,)</f>
        <v>PG (Paying Guest)</v>
      </c>
      <c r="N917" t="str">
        <f>VLOOKUP(A917,Response!$A:$M,8,)</f>
        <v>Sai Grand Womens PG New branch(Ambedkar Street), Dr Ambedkar St, Egattur, Chennai, Tamil Nadu 603103</v>
      </c>
      <c r="O917" s="4">
        <f>VLOOKUP(A917,Response!$A:$M,10,)</f>
        <v>1</v>
      </c>
      <c r="P917" t="str">
        <f>VLOOKUP(A917,Response!$A:$M,12,)</f>
        <v>No</v>
      </c>
      <c r="Q917" t="str">
        <f>VLOOKUP(A917,Response!$A:$M,11,)</f>
        <v>Siruseri</v>
      </c>
      <c r="R917" t="s">
        <v>19</v>
      </c>
      <c r="S917" s="39" t="s">
        <v>37</v>
      </c>
    </row>
    <row r="918" spans="1:19">
      <c r="A918" s="3">
        <v>2531821</v>
      </c>
      <c r="B918" t="str">
        <f>VLOOKUP(A918,File!$A:$J,2,FALSE)</f>
        <v>Palak Jain</v>
      </c>
      <c r="C918" s="29">
        <f>VLOOKUP(A918,File!$A:$J,5,FALSE)</f>
        <v>46254</v>
      </c>
      <c r="D918" s="29" t="str">
        <f>VLOOKUP(A918,File!$A:$J,3,FALSE)</f>
        <v>Female</v>
      </c>
      <c r="E918" s="29" t="str">
        <f>VLOOKUP(A918,File!$A:$J,4,FALSE)</f>
        <v>FTE</v>
      </c>
      <c r="F918" s="29" t="str">
        <f>VLOOKUP(A918,File!$A:$J,6,FALSE)</f>
        <v>Chennai</v>
      </c>
      <c r="G918" s="29" t="str">
        <f>VLOOKUP(A918,File!$A:$J,7,FALSE)</f>
        <v>CS26CS011</v>
      </c>
      <c r="H918" s="29" t="str">
        <f>VLOOKUP(A918,File!$A:$J,8,FALSE)</f>
        <v>Kishorekumar P</v>
      </c>
      <c r="I918" s="31">
        <f>VLOOKUP(A918,File!$A:$J,9,FALSE)</f>
        <v>46343</v>
      </c>
      <c r="J918" s="31" t="str">
        <f>VLOOKUP(A918,File!$A:$K,11,FALSE)</f>
        <v>Nov 2026</v>
      </c>
      <c r="K918" s="31" t="str">
        <f>VLOOKUP(A918,File!$A:$K,10,FALSE)</f>
        <v>In-Training</v>
      </c>
      <c r="L918" s="31" t="s">
        <v>4</v>
      </c>
      <c r="M918" t="str">
        <f>VLOOKUP(A918,Response!$A:$M,7,)</f>
        <v>PG (Paying Guest)</v>
      </c>
      <c r="N918" t="str">
        <f>VLOOKUP(A918,Response!$A:$M,8,)</f>
        <v>Sai Grand Womens PG, Ambedkar Street</v>
      </c>
      <c r="O918" s="4">
        <f>VLOOKUP(A918,Response!$A:$M,10,)</f>
        <v>2</v>
      </c>
      <c r="P918" t="str">
        <f>VLOOKUP(A918,Response!$A:$M,12,)</f>
        <v>No</v>
      </c>
      <c r="Q918" t="str">
        <f>VLOOKUP(A918,Response!$A:$M,11,)</f>
        <v>Siruseri</v>
      </c>
      <c r="R918" t="s">
        <v>19</v>
      </c>
      <c r="S918" s="39" t="s">
        <v>37</v>
      </c>
    </row>
    <row r="919" spans="1:19">
      <c r="A919" s="3">
        <v>2531828</v>
      </c>
      <c r="B919" t="str">
        <f>VLOOKUP(A919,File!$A:$J,2,FALSE)</f>
        <v>Ananya Keshava</v>
      </c>
      <c r="C919" s="29">
        <f>VLOOKUP(A919,File!$A:$J,5,FALSE)</f>
        <v>46254</v>
      </c>
      <c r="D919" s="29" t="str">
        <f>VLOOKUP(A919,File!$A:$J,3,FALSE)</f>
        <v>Female</v>
      </c>
      <c r="E919" s="29" t="str">
        <f>VLOOKUP(A919,File!$A:$J,4,FALSE)</f>
        <v>FTE</v>
      </c>
      <c r="F919" s="29" t="str">
        <f>VLOOKUP(A919,File!$A:$J,6,FALSE)</f>
        <v>Chennai</v>
      </c>
      <c r="G919" s="29" t="str">
        <f>VLOOKUP(A919,File!$A:$J,7,FALSE)</f>
        <v>CS26CS012</v>
      </c>
      <c r="H919" s="29" t="str">
        <f>VLOOKUP(A919,File!$A:$J,8,FALSE)</f>
        <v>Laksiya Vijayendran</v>
      </c>
      <c r="I919" s="31">
        <f>VLOOKUP(A919,File!$A:$J,9,FALSE)</f>
        <v>46343</v>
      </c>
      <c r="J919" s="31" t="str">
        <f>VLOOKUP(A919,File!$A:$K,11,FALSE)</f>
        <v>Nov 2026</v>
      </c>
      <c r="K919" s="31" t="str">
        <f>VLOOKUP(A919,File!$A:$K,10,FALSE)</f>
        <v>In-Training</v>
      </c>
      <c r="L919" s="31" t="s">
        <v>4</v>
      </c>
      <c r="M919" t="str">
        <f>VLOOKUP(A919,Response!$A:$M,7,)</f>
        <v>PG (Paying Guest)</v>
      </c>
      <c r="N919" t="str">
        <f>VLOOKUP(A919,Response!$A:$M,8,)</f>
        <v>Sai grand womens PG, Ambedkar street, Egattur</v>
      </c>
      <c r="O919" s="4">
        <f>VLOOKUP(A919,Response!$A:$M,10,)</f>
        <v>2</v>
      </c>
      <c r="P919" t="str">
        <f>VLOOKUP(A919,Response!$A:$M,12,)</f>
        <v>No</v>
      </c>
      <c r="Q919" t="str">
        <f>VLOOKUP(A919,Response!$A:$M,11,)</f>
        <v>Egattur</v>
      </c>
      <c r="R919" t="s">
        <v>19</v>
      </c>
      <c r="S919" s="39" t="s">
        <v>37</v>
      </c>
    </row>
    <row r="920" spans="1:19">
      <c r="A920" s="3">
        <v>2516852</v>
      </c>
      <c r="B920" t="str">
        <f>VLOOKUP(A920,File!$A:$J,2,FALSE)</f>
        <v>Sinchana D K</v>
      </c>
      <c r="C920" s="29">
        <f>VLOOKUP(A920,File!$A:$J,5,FALSE)</f>
        <v>46191</v>
      </c>
      <c r="D920" s="29" t="str">
        <f>VLOOKUP(A920,File!$A:$J,3,FALSE)</f>
        <v>Female</v>
      </c>
      <c r="E920" s="29" t="str">
        <f>VLOOKUP(A920,File!$A:$J,4,FALSE)</f>
        <v>FTE</v>
      </c>
      <c r="F920" s="29" t="str">
        <f>VLOOKUP(A920,File!$A:$J,6,FALSE)</f>
        <v>Chennai</v>
      </c>
      <c r="G920" s="29" t="str">
        <f>VLOOKUP(A920,File!$A:$J,7,FALSE)</f>
        <v>CIS26DCO002</v>
      </c>
      <c r="H920" s="29" t="str">
        <f>VLOOKUP(A920,File!$A:$J,8,FALSE)</f>
        <v>Yuvasree Thiruvengadam</v>
      </c>
      <c r="I920" s="31">
        <f>VLOOKUP(A920,File!$A:$J,9,FALSE)</f>
        <v>46290</v>
      </c>
      <c r="J920" s="31" t="str">
        <f>VLOOKUP(A920,File!$A:$K,11,FALSE)</f>
        <v>Sep 2026</v>
      </c>
      <c r="K920" s="31" t="str">
        <f>VLOOKUP(A920,File!$A:$K,10,FALSE)</f>
        <v>In-Training</v>
      </c>
      <c r="L920" s="31" t="s">
        <v>4</v>
      </c>
      <c r="M920" t="str">
        <f>VLOOKUP(A920,Response!$A:$M,7,)</f>
        <v>PG (Paying Guest)</v>
      </c>
      <c r="N920" t="str">
        <f>VLOOKUP(A920,Response!$A:$M,8,)</f>
        <v>Sai Grand Womens PG, Anbakam Building, Gangai Amman Kovil Street, Egattur, Siruseri, Chennai</v>
      </c>
      <c r="O920" s="4">
        <f>VLOOKUP(A920,Response!$A:$M,10,)</f>
        <v>1</v>
      </c>
      <c r="P920" t="str">
        <f>VLOOKUP(A920,Response!$A:$M,12,)</f>
        <v>No</v>
      </c>
      <c r="Q920" t="str">
        <f>VLOOKUP(A920,Response!$A:$M,11,)</f>
        <v>Siruseri</v>
      </c>
      <c r="R920" t="s">
        <v>19</v>
      </c>
      <c r="S920" s="39" t="s">
        <v>37</v>
      </c>
    </row>
    <row r="921" spans="1:19">
      <c r="A921" s="3">
        <v>2529726</v>
      </c>
      <c r="B921" t="str">
        <f>VLOOKUP(A921,File!$A:$J,2,FALSE)</f>
        <v>Aparna Sree Sowmya Dhulipala</v>
      </c>
      <c r="C921" s="29">
        <f>VLOOKUP(A921,File!$A:$J,5,FALSE)</f>
        <v>46245</v>
      </c>
      <c r="D921" s="29" t="str">
        <f>VLOOKUP(A921,File!$A:$J,3,FALSE)</f>
        <v>Female</v>
      </c>
      <c r="E921" s="29" t="str">
        <f>VLOOKUP(A921,File!$A:$J,4,FALSE)</f>
        <v>FTE</v>
      </c>
      <c r="F921" s="29" t="str">
        <f>VLOOKUP(A921,File!$A:$J,6,FALSE)</f>
        <v>Chennai</v>
      </c>
      <c r="G921" s="29" t="str">
        <f>VLOOKUP(A921,File!$A:$J,7,FALSE)</f>
        <v>CIS26AZ001</v>
      </c>
      <c r="H921" s="29" t="str">
        <f>VLOOKUP(A921,File!$A:$J,8,FALSE)</f>
        <v>Ashiya Begam S</v>
      </c>
      <c r="I921" s="31">
        <f>VLOOKUP(A921,File!$A:$J,9,FALSE)</f>
        <v>46335</v>
      </c>
      <c r="J921" s="31" t="str">
        <f>VLOOKUP(A921,File!$A:$K,11,FALSE)</f>
        <v>Nov 2026</v>
      </c>
      <c r="K921" s="31" t="str">
        <f>VLOOKUP(A921,File!$A:$K,10,FALSE)</f>
        <v>In-Training</v>
      </c>
      <c r="L921" s="31" t="s">
        <v>4</v>
      </c>
      <c r="M921" t="str">
        <f>VLOOKUP(A921,Response!$A:$M,7,)</f>
        <v>PG (Paying Guest)</v>
      </c>
      <c r="N921" t="str">
        <f>VLOOKUP(A921,Response!$A:$M,8,)</f>
        <v>Sai Grand womens pg, beside subway Egattur.</v>
      </c>
      <c r="O921" s="4">
        <f>VLOOKUP(A921,Response!$A:$M,10,)</f>
        <v>4</v>
      </c>
      <c r="P921" t="str">
        <f>VLOOKUP(A921,Response!$A:$M,12,)</f>
        <v>Yes</v>
      </c>
      <c r="Q921" t="str">
        <f>VLOOKUP(A921,Response!$A:$M,11,)</f>
        <v>Egattur</v>
      </c>
      <c r="R921" t="s">
        <v>19</v>
      </c>
      <c r="S921" s="39" t="s">
        <v>37</v>
      </c>
    </row>
    <row r="922" spans="1:19">
      <c r="A922" s="3">
        <v>2521709</v>
      </c>
      <c r="B922" t="str">
        <f>VLOOKUP(A922,File!$A:$J,2,FALSE)</f>
        <v>Neha Vyshnavi Satram</v>
      </c>
      <c r="C922" s="29">
        <f>VLOOKUP(A922,File!$A:$J,5,FALSE)</f>
        <v>46212</v>
      </c>
      <c r="D922" s="29" t="str">
        <f>VLOOKUP(A922,File!$A:$J,3,FALSE)</f>
        <v>Female</v>
      </c>
      <c r="E922" s="29" t="str">
        <f>VLOOKUP(A922,File!$A:$J,4,FALSE)</f>
        <v>FTE</v>
      </c>
      <c r="F922" s="29" t="str">
        <f>VLOOKUP(A922,File!$A:$J,6,FALSE)</f>
        <v>Chennai</v>
      </c>
      <c r="G922" s="29" t="str">
        <f>VLOOKUP(A922,File!$A:$J,7,FALSE)</f>
        <v>QEA26QEPT023</v>
      </c>
      <c r="H922" s="29" t="str">
        <f>VLOOKUP(A922,File!$A:$J,8,FALSE)</f>
        <v>Sweta Thoppil</v>
      </c>
      <c r="I922" s="31">
        <f>VLOOKUP(A922,File!$A:$J,9,FALSE)</f>
        <v>46314</v>
      </c>
      <c r="J922" s="31" t="str">
        <f>VLOOKUP(A922,File!$A:$K,11,FALSE)</f>
        <v>Oct 2026</v>
      </c>
      <c r="K922" s="31" t="str">
        <f>VLOOKUP(A922,File!$A:$K,10,FALSE)</f>
        <v>In-Training</v>
      </c>
      <c r="L922" s="31" t="s">
        <v>4</v>
      </c>
      <c r="M922" t="str">
        <f>VLOOKUP(A922,Response!$A:$M,7,)</f>
        <v>PG (Paying Guest)</v>
      </c>
      <c r="N922" t="str">
        <f>VLOOKUP(A922,Response!$A:$M,8,)</f>
        <v>Sai Grand Womens PG , Branch 3, Egattur</v>
      </c>
      <c r="O922" s="4">
        <f>VLOOKUP(A922,Response!$A:$M,10,)</f>
        <v>3</v>
      </c>
      <c r="P922" t="str">
        <f>VLOOKUP(A922,Response!$A:$M,12,)</f>
        <v>No</v>
      </c>
      <c r="Q922" t="str">
        <f>VLOOKUP(A922,Response!$A:$M,11,)</f>
        <v>Egattur</v>
      </c>
      <c r="R922" t="s">
        <v>19</v>
      </c>
      <c r="S922" s="39" t="s">
        <v>37</v>
      </c>
    </row>
    <row r="923" spans="1:19">
      <c r="A923" s="3">
        <v>2532921</v>
      </c>
      <c r="B923" t="str">
        <f>VLOOKUP(A923,File!$A:$J,2,FALSE)</f>
        <v>Sriya Amudalapalli</v>
      </c>
      <c r="C923" s="29">
        <f>VLOOKUP(A923,File!$A:$J,5,FALSE)</f>
        <v>46259</v>
      </c>
      <c r="D923" s="29" t="str">
        <f>VLOOKUP(A923,File!$A:$J,3,FALSE)</f>
        <v>Female</v>
      </c>
      <c r="E923" s="29" t="str">
        <f>VLOOKUP(A923,File!$A:$J,4,FALSE)</f>
        <v>FTE</v>
      </c>
      <c r="F923" s="29" t="str">
        <f>VLOOKUP(A923,File!$A:$J,6,FALSE)</f>
        <v>Chennai</v>
      </c>
      <c r="G923" s="29" t="str">
        <f>VLOOKUP(A923,File!$A:$J,7,FALSE)</f>
        <v>ADM27DFSA001</v>
      </c>
      <c r="H923" s="29" t="str">
        <f>VLOOKUP(A923,File!$A:$J,8,FALSE)</f>
        <v>Thomas Naveen. J</v>
      </c>
      <c r="I923" s="31">
        <f>VLOOKUP(A923,File!$A:$J,9,FALSE)</f>
        <v>46386</v>
      </c>
      <c r="J923" s="31" t="str">
        <f>VLOOKUP(A923,File!$A:$K,11,FALSE)</f>
        <v>Dec 2026</v>
      </c>
      <c r="K923" s="31" t="str">
        <f>VLOOKUP(A923,File!$A:$K,10,FALSE)</f>
        <v>In-Training</v>
      </c>
      <c r="L923" s="31" t="s">
        <v>4</v>
      </c>
      <c r="M923" t="str">
        <f>VLOOKUP(A923,Response!$A:$M,7,)</f>
        <v>PG (Paying Guest)</v>
      </c>
      <c r="N923" t="str">
        <f>VLOOKUP(A923,Response!$A:$M,8,)</f>
        <v>Sai Grand Womens PG, Dr Ambedkar St, Egattur, Chennai, Tamil Nadu 603103</v>
      </c>
      <c r="O923" s="4">
        <f>VLOOKUP(A923,Response!$A:$M,10,)</f>
        <v>4</v>
      </c>
      <c r="P923" t="str">
        <f>VLOOKUP(A923,Response!$A:$M,12,)</f>
        <v>No</v>
      </c>
      <c r="Q923" t="str">
        <f>VLOOKUP(A923,Response!$A:$M,11,)</f>
        <v>Siruseri</v>
      </c>
      <c r="R923" t="s">
        <v>19</v>
      </c>
      <c r="S923" s="39" t="s">
        <v>37</v>
      </c>
    </row>
    <row r="924" spans="1:19">
      <c r="A924" s="3">
        <v>2521122</v>
      </c>
      <c r="B924" t="str">
        <f>VLOOKUP(A924,File!$A:$J,2,FALSE)</f>
        <v>Mandha Sahithi Reddy</v>
      </c>
      <c r="C924" s="29">
        <f>VLOOKUP(A924,File!$A:$J,5,FALSE)</f>
        <v>46210</v>
      </c>
      <c r="D924" s="29" t="str">
        <f>VLOOKUP(A924,File!$A:$J,3,FALSE)</f>
        <v>Female</v>
      </c>
      <c r="E924" s="29" t="str">
        <f>VLOOKUP(A924,File!$A:$J,4,FALSE)</f>
        <v>FTE</v>
      </c>
      <c r="F924" s="29" t="str">
        <f>VLOOKUP(A924,File!$A:$J,6,FALSE)</f>
        <v>Chennai</v>
      </c>
      <c r="G924" s="29" t="str">
        <f>VLOOKUP(A924,File!$A:$J,7,FALSE)</f>
        <v>SNBG26SN002</v>
      </c>
      <c r="H924" s="29" t="str">
        <f>VLOOKUP(A924,File!$A:$J,8,FALSE)</f>
        <v>Lawrance M</v>
      </c>
      <c r="I924" s="31">
        <f>VLOOKUP(A924,File!$A:$J,9,FALSE)</f>
        <v>46281</v>
      </c>
      <c r="J924" s="31" t="str">
        <f>VLOOKUP(A924,File!$A:$K,11,FALSE)</f>
        <v>Sep 2026</v>
      </c>
      <c r="K924" s="31" t="str">
        <f>VLOOKUP(A924,File!$A:$K,10,FALSE)</f>
        <v>In-Training</v>
      </c>
      <c r="L924" s="31" t="s">
        <v>4</v>
      </c>
      <c r="M924" t="str">
        <f>VLOOKUP(A924,Response!$A:$M,7,)</f>
        <v>PG (Paying Guest)</v>
      </c>
      <c r="N924" t="str">
        <f>VLOOKUP(A924,Response!$A:$M,8,)</f>
        <v>Sai Grand Womens PG, Egattur</v>
      </c>
      <c r="O924" s="4">
        <f>VLOOKUP(A924,Response!$A:$M,10,)</f>
        <v>4</v>
      </c>
      <c r="P924" t="str">
        <f>VLOOKUP(A924,Response!$A:$M,12,)</f>
        <v>No</v>
      </c>
      <c r="Q924" t="str">
        <f>VLOOKUP(A924,Response!$A:$M,11,)</f>
        <v>Siruseri</v>
      </c>
      <c r="R924" t="s">
        <v>19</v>
      </c>
      <c r="S924" s="39" t="s">
        <v>37</v>
      </c>
    </row>
    <row r="925" spans="1:19">
      <c r="A925" s="3">
        <v>2521167</v>
      </c>
      <c r="B925" t="str">
        <f>VLOOKUP(A925,File!$A:$J,2,FALSE)</f>
        <v>P Dedeepya</v>
      </c>
      <c r="C925" s="29">
        <f>VLOOKUP(A925,File!$A:$J,5,FALSE)</f>
        <v>46210</v>
      </c>
      <c r="D925" s="29" t="str">
        <f>VLOOKUP(A925,File!$A:$J,3,FALSE)</f>
        <v>Female</v>
      </c>
      <c r="E925" s="29" t="str">
        <f>VLOOKUP(A925,File!$A:$J,4,FALSE)</f>
        <v>FTE</v>
      </c>
      <c r="F925" s="29" t="str">
        <f>VLOOKUP(A925,File!$A:$J,6,FALSE)</f>
        <v>Chennai</v>
      </c>
      <c r="G925" s="29" t="str">
        <f>VLOOKUP(A925,File!$A:$J,7,FALSE)</f>
        <v>CIS26UNIX004</v>
      </c>
      <c r="H925" s="29" t="str">
        <f>VLOOKUP(A925,File!$A:$J,8,FALSE)</f>
        <v>Haritha P</v>
      </c>
      <c r="I925" s="31">
        <f>VLOOKUP(A925,File!$A:$J,9,FALSE)</f>
        <v>46289</v>
      </c>
      <c r="J925" s="31" t="str">
        <f>VLOOKUP(A925,File!$A:$K,11,FALSE)</f>
        <v>Sep 2026</v>
      </c>
      <c r="K925" s="31" t="str">
        <f>VLOOKUP(A925,File!$A:$K,10,FALSE)</f>
        <v>In-Training</v>
      </c>
      <c r="L925" s="31" t="s">
        <v>4</v>
      </c>
      <c r="M925" t="str">
        <f>VLOOKUP(A925,Response!$A:$M,7,)</f>
        <v>PG (Paying Guest)</v>
      </c>
      <c r="N925" t="str">
        <f>VLOOKUP(A925,Response!$A:$M,8,)</f>
        <v>Sai Grand womens PG, siruseri</v>
      </c>
      <c r="O925" s="4">
        <f>VLOOKUP(A925,Response!$A:$M,10,)</f>
        <v>3</v>
      </c>
      <c r="P925" t="str">
        <f>VLOOKUP(A925,Response!$A:$M,12,)</f>
        <v>No</v>
      </c>
      <c r="Q925" t="str">
        <f>VLOOKUP(A925,Response!$A:$M,11,)</f>
        <v>Siruseri</v>
      </c>
      <c r="R925" t="s">
        <v>19</v>
      </c>
      <c r="S925" s="39" t="s">
        <v>37</v>
      </c>
    </row>
    <row r="926" spans="1:19">
      <c r="A926" s="3">
        <v>2524488</v>
      </c>
      <c r="B926" t="str">
        <f>VLOOKUP(A926,File!$A:$J,2,FALSE)</f>
        <v>Sanghamitra Dash</v>
      </c>
      <c r="C926" s="29">
        <f>VLOOKUP(A926,File!$A:$J,5,FALSE)</f>
        <v>46224</v>
      </c>
      <c r="D926" s="29" t="str">
        <f>VLOOKUP(A926,File!$A:$J,3,FALSE)</f>
        <v>Female</v>
      </c>
      <c r="E926" s="29" t="str">
        <f>VLOOKUP(A926,File!$A:$J,4,FALSE)</f>
        <v>FTE</v>
      </c>
      <c r="F926" s="29" t="str">
        <f>VLOOKUP(A926,File!$A:$J,6,FALSE)</f>
        <v>Chennai</v>
      </c>
      <c r="G926" s="29" t="str">
        <f>VLOOKUP(A926,File!$A:$J,7,FALSE)</f>
        <v>ADM26MF012</v>
      </c>
      <c r="H926" s="29" t="str">
        <f>VLOOKUP(A926,File!$A:$J,8,FALSE)</f>
        <v>Lourdhu Selvin Raj X</v>
      </c>
      <c r="I926" s="31">
        <f>VLOOKUP(A926,File!$A:$J,9,FALSE)</f>
        <v>46343</v>
      </c>
      <c r="J926" s="31" t="str">
        <f>VLOOKUP(A926,File!$A:$K,11,FALSE)</f>
        <v>Nov 2026</v>
      </c>
      <c r="K926" s="31" t="str">
        <f>VLOOKUP(A926,File!$A:$K,10,FALSE)</f>
        <v>In-Training</v>
      </c>
      <c r="L926" s="31" t="s">
        <v>4</v>
      </c>
      <c r="M926" t="str">
        <f>VLOOKUP(A926,Response!$A:$M,7,)</f>
        <v>PG (Paying Guest)</v>
      </c>
      <c r="N926" t="str">
        <f>VLOOKUP(A926,Response!$A:$M,8,)</f>
        <v>SAI GRAND WOMENS PG,4/187, PERIYAR STREET, NEAR SIRUSERI SIPCOT IT PARK, EGATTUR, CHENNAI,600130</v>
      </c>
      <c r="O926" s="4">
        <f>VLOOKUP(A926,Response!$A:$M,10,)</f>
        <v>2</v>
      </c>
      <c r="P926" t="str">
        <f>VLOOKUP(A926,Response!$A:$M,12,)</f>
        <v>Yes</v>
      </c>
      <c r="Q926" t="str">
        <f>VLOOKUP(A926,Response!$A:$M,11,)</f>
        <v>Siruseri</v>
      </c>
      <c r="R926" t="s">
        <v>19</v>
      </c>
      <c r="S926" s="39" t="s">
        <v>37</v>
      </c>
    </row>
    <row r="927" spans="1:19">
      <c r="A927" s="3">
        <v>2532894</v>
      </c>
      <c r="B927" t="str">
        <f>VLOOKUP(A927,File!$A:$J,2,FALSE)</f>
        <v>Sangati Harshitha</v>
      </c>
      <c r="C927" s="29">
        <f>VLOOKUP(A927,File!$A:$J,5,FALSE)</f>
        <v>46259</v>
      </c>
      <c r="D927" s="29" t="str">
        <f>VLOOKUP(A927,File!$A:$J,3,FALSE)</f>
        <v>Female</v>
      </c>
      <c r="E927" s="29" t="str">
        <f>VLOOKUP(A927,File!$A:$J,4,FALSE)</f>
        <v>FTE</v>
      </c>
      <c r="F927" s="29" t="str">
        <f>VLOOKUP(A927,File!$A:$J,6,FALSE)</f>
        <v>Chennai</v>
      </c>
      <c r="G927" s="29" t="str">
        <f>VLOOKUP(A927,File!$A:$J,7,FALSE)</f>
        <v>CIS26DWP032</v>
      </c>
      <c r="H927" s="29" t="str">
        <f>VLOOKUP(A927,File!$A:$J,8,FALSE)</f>
        <v>Aiswarya A Kumar</v>
      </c>
      <c r="I927" s="31">
        <f>VLOOKUP(A927,File!$A:$J,9,FALSE)</f>
        <v>46330</v>
      </c>
      <c r="J927" s="31" t="str">
        <f>VLOOKUP(A927,File!$A:$K,11,FALSE)</f>
        <v>Nov 2026</v>
      </c>
      <c r="K927" s="31" t="str">
        <f>VLOOKUP(A927,File!$A:$K,10,FALSE)</f>
        <v>In-Training</v>
      </c>
      <c r="L927" s="31" t="s">
        <v>4</v>
      </c>
      <c r="M927" t="str">
        <f>VLOOKUP(A927,Response!$A:$M,7,)</f>
        <v>PG (Paying Guest)</v>
      </c>
      <c r="N927" t="str">
        <f>VLOOKUP(A927,Response!$A:$M,8,)</f>
        <v>Sai Grand Women's pg,Egattur</v>
      </c>
      <c r="O927" s="4">
        <f>VLOOKUP(A927,Response!$A:$M,10,)</f>
        <v>3</v>
      </c>
      <c r="P927" t="str">
        <f>VLOOKUP(A927,Response!$A:$M,12,)</f>
        <v>No</v>
      </c>
      <c r="Q927" t="str">
        <f>VLOOKUP(A927,Response!$A:$M,11,)</f>
        <v>Egattur</v>
      </c>
      <c r="R927" t="s">
        <v>19</v>
      </c>
      <c r="S927" s="39" t="s">
        <v>37</v>
      </c>
    </row>
    <row r="928" spans="1:19">
      <c r="A928" s="3">
        <v>2479396</v>
      </c>
      <c r="B928" t="str">
        <f>VLOOKUP(A928,File!$A:$J,2,FALSE)</f>
        <v>Daggupati Nirali</v>
      </c>
      <c r="C928" s="29">
        <f>VLOOKUP(A928,File!$A:$J,5,FALSE)</f>
        <v>46254</v>
      </c>
      <c r="D928" s="29" t="str">
        <f>VLOOKUP(A928,File!$A:$J,3,FALSE)</f>
        <v>Female</v>
      </c>
      <c r="E928" s="29" t="str">
        <f>VLOOKUP(A928,File!$A:$J,4,FALSE)</f>
        <v>CSD</v>
      </c>
      <c r="F928" s="29" t="str">
        <f>VLOOKUP(A928,File!$A:$J,6,FALSE)</f>
        <v>Chennai</v>
      </c>
      <c r="G928" s="29" t="str">
        <f>VLOOKUP(A928,File!$A:$J,7,FALSE)</f>
        <v>INTFE26FE001</v>
      </c>
      <c r="H928" s="29" t="str">
        <f>VLOOKUP(A928,File!$A:$J,8,FALSE)</f>
        <v>Grace Esther S</v>
      </c>
      <c r="I928" s="31">
        <f>VLOOKUP(A928,File!$A:$J,9,FALSE)</f>
        <v>46310</v>
      </c>
      <c r="J928" s="31" t="str">
        <f>VLOOKUP(A928,File!$A:$K,11,FALSE)</f>
        <v>Oct 2026</v>
      </c>
      <c r="K928" s="31" t="str">
        <f>VLOOKUP(A928,File!$A:$K,10,FALSE)</f>
        <v>In-Training</v>
      </c>
      <c r="L928" s="31" t="s">
        <v>4</v>
      </c>
      <c r="M928" t="str">
        <f>VLOOKUP(A928,Response!$A:$M,7,)</f>
        <v>PG (Paying Guest)</v>
      </c>
      <c r="N928" t="str">
        <f>VLOOKUP(A928,Response!$A:$M,8,)</f>
        <v>Sai Grand Womens Pg-3,Siruseri</v>
      </c>
      <c r="O928" s="4">
        <f>VLOOKUP(A928,Response!$A:$M,10,)</f>
        <v>5</v>
      </c>
      <c r="P928" t="str">
        <f>VLOOKUP(A928,Response!$A:$M,12,)</f>
        <v>No</v>
      </c>
      <c r="Q928" t="str">
        <f>VLOOKUP(A928,Response!$A:$M,11,)</f>
        <v>Siruseri</v>
      </c>
      <c r="R928" t="s">
        <v>19</v>
      </c>
      <c r="S928" s="39" t="s">
        <v>37</v>
      </c>
    </row>
    <row r="929" spans="1:19">
      <c r="A929" s="3">
        <v>2524477</v>
      </c>
      <c r="B929" t="str">
        <f>VLOOKUP(A929,File!$A:$J,2,FALSE)</f>
        <v>Indu N</v>
      </c>
      <c r="C929" s="29">
        <f>VLOOKUP(A929,File!$A:$J,5,FALSE)</f>
        <v>46224</v>
      </c>
      <c r="D929" s="29" t="str">
        <f>VLOOKUP(A929,File!$A:$J,3,FALSE)</f>
        <v>Female</v>
      </c>
      <c r="E929" s="29" t="str">
        <f>VLOOKUP(A929,File!$A:$J,4,FALSE)</f>
        <v>FTE</v>
      </c>
      <c r="F929" s="29" t="str">
        <f>VLOOKUP(A929,File!$A:$J,6,FALSE)</f>
        <v>Chennai</v>
      </c>
      <c r="G929" s="29" t="str">
        <f>VLOOKUP(A929,File!$A:$J,7,FALSE)</f>
        <v>ADM26MF012</v>
      </c>
      <c r="H929" s="29" t="str">
        <f>VLOOKUP(A929,File!$A:$J,8,FALSE)</f>
        <v>Lourdhu Selvin Raj X</v>
      </c>
      <c r="I929" s="31">
        <f>VLOOKUP(A929,File!$A:$J,9,FALSE)</f>
        <v>46343</v>
      </c>
      <c r="J929" s="31" t="str">
        <f>VLOOKUP(A929,File!$A:$K,11,FALSE)</f>
        <v>Nov 2026</v>
      </c>
      <c r="K929" s="31" t="str">
        <f>VLOOKUP(A929,File!$A:$K,10,FALSE)</f>
        <v>In-Training</v>
      </c>
      <c r="L929" s="31" t="s">
        <v>4</v>
      </c>
      <c r="M929" t="str">
        <f>VLOOKUP(A929,Response!$A:$M,7,)</f>
        <v>PG (Paying Guest)</v>
      </c>
      <c r="N929" t="str">
        <f>VLOOKUP(A929,Response!$A:$M,8,)</f>
        <v>Sai Grand womens PG-branch 1, Egattur</v>
      </c>
      <c r="O929" s="4">
        <f>VLOOKUP(A929,Response!$A:$M,10,)</f>
        <v>1</v>
      </c>
      <c r="P929" t="str">
        <f>VLOOKUP(A929,Response!$A:$M,12,)</f>
        <v>No</v>
      </c>
      <c r="Q929" t="str">
        <f>VLOOKUP(A929,Response!$A:$M,11,)</f>
        <v>Siruseri</v>
      </c>
      <c r="R929" t="s">
        <v>19</v>
      </c>
      <c r="S929" s="39" t="s">
        <v>37</v>
      </c>
    </row>
    <row r="930" spans="1:19">
      <c r="A930" s="3">
        <v>2507435</v>
      </c>
      <c r="B930" t="str">
        <f>VLOOKUP(A930,File!$A:$J,2,FALSE)</f>
        <v>N Amzad Ali</v>
      </c>
      <c r="C930" s="29">
        <f>VLOOKUP(A930,File!$A:$J,5,FALSE)</f>
        <v>46142</v>
      </c>
      <c r="D930" s="29" t="str">
        <f>VLOOKUP(A930,File!$A:$J,3,FALSE)</f>
        <v>Male</v>
      </c>
      <c r="E930" s="29" t="str">
        <f>VLOOKUP(A930,File!$A:$J,4,FALSE)</f>
        <v>FTE</v>
      </c>
      <c r="F930" s="29" t="str">
        <f>VLOOKUP(A930,File!$A:$J,6,FALSE)</f>
        <v>Chennai</v>
      </c>
      <c r="G930" s="29" t="str">
        <f>VLOOKUP(A930,File!$A:$J,7,FALSE)</f>
        <v>ISG26JSAAT002</v>
      </c>
      <c r="H930" s="29" t="str">
        <f>VLOOKUP(A930,File!$A:$J,8,FALSE)</f>
        <v>Ashiya Begam S</v>
      </c>
      <c r="I930" s="31">
        <f>VLOOKUP(A930,File!$A:$J,9,FALSE)</f>
        <v>46272</v>
      </c>
      <c r="J930" s="31" t="str">
        <f>VLOOKUP(A930,File!$A:$K,11,FALSE)</f>
        <v>Sep 2026</v>
      </c>
      <c r="K930" s="31" t="str">
        <f>VLOOKUP(A930,File!$A:$K,10,FALSE)</f>
        <v>In-Training-Remedial</v>
      </c>
      <c r="L930" s="31" t="s">
        <v>4</v>
      </c>
      <c r="M930" t="str">
        <f>VLOOKUP(A930,Response!$A:$M,7,)</f>
        <v>PG (Paying Guest)</v>
      </c>
      <c r="N930" t="str">
        <f>VLOOKUP(A930,Response!$A:$M,8,)</f>
        <v>Sai Grands Mens PG ,Karapakam</v>
      </c>
      <c r="O930" s="4">
        <f>VLOOKUP(A930,Response!$A:$M,10,)</f>
        <v>3</v>
      </c>
      <c r="P930" t="str">
        <f>VLOOKUP(A930,Response!$A:$M,12,)</f>
        <v>No</v>
      </c>
      <c r="Q930" t="str">
        <f>VLOOKUP(A930,Response!$A:$M,11,)</f>
        <v>Sholinganallur</v>
      </c>
      <c r="R930" t="s">
        <v>17</v>
      </c>
      <c r="S930" s="39" t="s">
        <v>37</v>
      </c>
    </row>
    <row r="931" spans="1:19">
      <c r="A931" s="3">
        <v>2531271</v>
      </c>
      <c r="B931" t="str">
        <f>VLOOKUP(A931,File!$A:$J,2,FALSE)</f>
        <v>Mugunthan Ravi</v>
      </c>
      <c r="C931" s="29">
        <f>VLOOKUP(A931,File!$A:$J,5,FALSE)</f>
        <v>46252</v>
      </c>
      <c r="D931" s="29" t="str">
        <f>VLOOKUP(A931,File!$A:$J,3,FALSE)</f>
        <v>Male</v>
      </c>
      <c r="E931" s="29" t="str">
        <f>VLOOKUP(A931,File!$A:$J,4,FALSE)</f>
        <v>FTE</v>
      </c>
      <c r="F931" s="29" t="str">
        <f>VLOOKUP(A931,File!$A:$J,6,FALSE)</f>
        <v>Chennai</v>
      </c>
      <c r="G931" s="29" t="str">
        <f>VLOOKUP(A931,File!$A:$J,7,FALSE)</f>
        <v>EPS26SAP033</v>
      </c>
      <c r="H931" s="29" t="str">
        <f>VLOOKUP(A931,File!$A:$J,8,FALSE)</f>
        <v>Ajith Ganesan</v>
      </c>
      <c r="I931" s="31">
        <f>VLOOKUP(A931,File!$A:$J,9,FALSE)</f>
        <v>46330</v>
      </c>
      <c r="J931" s="31" t="str">
        <f>VLOOKUP(A931,File!$A:$K,11,FALSE)</f>
        <v>Nov 2026</v>
      </c>
      <c r="K931" s="31" t="str">
        <f>VLOOKUP(A931,File!$A:$K,10,FALSE)</f>
        <v>In-Training</v>
      </c>
      <c r="L931" s="31" t="s">
        <v>4</v>
      </c>
      <c r="M931" t="str">
        <f>VLOOKUP(A931,Response!$A:$M,7,)</f>
        <v>PG (Paying Guest)</v>
      </c>
      <c r="N931" t="str">
        <f>VLOOKUP(A931,Response!$A:$M,8,)</f>
        <v>Sai Grands Mens PG, Egattur</v>
      </c>
      <c r="O931" s="4">
        <f>VLOOKUP(A931,Response!$A:$M,10,)</f>
        <v>1</v>
      </c>
      <c r="P931" t="str">
        <f>VLOOKUP(A931,Response!$A:$M,12,)</f>
        <v>No</v>
      </c>
      <c r="Q931" t="str">
        <f>VLOOKUP(A931,Response!$A:$M,11,)</f>
        <v>Siruseri</v>
      </c>
      <c r="R931" t="s">
        <v>19</v>
      </c>
      <c r="S931" s="39" t="s">
        <v>37</v>
      </c>
    </row>
    <row r="932" spans="1:19">
      <c r="A932" s="3">
        <v>2529492</v>
      </c>
      <c r="B932" t="str">
        <f>VLOOKUP(A932,File!$A:$J,2,FALSE)</f>
        <v>Sivapavani Vara</v>
      </c>
      <c r="C932" s="29">
        <f>VLOOKUP(A932,File!$A:$J,5,FALSE)</f>
        <v>46245</v>
      </c>
      <c r="D932" s="29" t="str">
        <f>VLOOKUP(A932,File!$A:$J,3,FALSE)</f>
        <v>Female</v>
      </c>
      <c r="E932" s="29" t="str">
        <f>VLOOKUP(A932,File!$A:$J,4,FALSE)</f>
        <v>FTE</v>
      </c>
      <c r="F932" s="29" t="str">
        <f>VLOOKUP(A932,File!$A:$J,6,FALSE)</f>
        <v>Chennai</v>
      </c>
      <c r="G932" s="29" t="str">
        <f>VLOOKUP(A932,File!$A:$J,7,FALSE)</f>
        <v>CIS26MCPT021</v>
      </c>
      <c r="H932" s="29" t="str">
        <f>VLOOKUP(A932,File!$A:$J,8,FALSE)</f>
        <v>Uma Venkatachalam</v>
      </c>
      <c r="I932" s="31">
        <f>VLOOKUP(A932,File!$A:$J,9,FALSE)</f>
        <v>46364</v>
      </c>
      <c r="J932" s="31" t="str">
        <f>VLOOKUP(A932,File!$A:$K,11,FALSE)</f>
        <v>Dec 2026</v>
      </c>
      <c r="K932" s="31" t="str">
        <f>VLOOKUP(A932,File!$A:$K,10,FALSE)</f>
        <v>In-Training</v>
      </c>
      <c r="L932" s="31" t="s">
        <v>4</v>
      </c>
      <c r="M932" t="str">
        <f>VLOOKUP(A932,Response!$A:$M,7,)</f>
        <v>PG (Paying Guest)</v>
      </c>
      <c r="N932" t="str">
        <f>VLOOKUP(A932,Response!$A:$M,8,)</f>
        <v>Sai Grands Women PG, Siruseri</v>
      </c>
      <c r="O932" s="4">
        <f>VLOOKUP(A932,Response!$A:$M,10,)</f>
        <v>1</v>
      </c>
      <c r="P932" t="str">
        <f>VLOOKUP(A932,Response!$A:$M,12,)</f>
        <v>No</v>
      </c>
      <c r="Q932" t="str">
        <f>VLOOKUP(A932,Response!$A:$M,11,)</f>
        <v>Siruseri</v>
      </c>
      <c r="R932" t="s">
        <v>19</v>
      </c>
      <c r="S932" s="39" t="s">
        <v>37</v>
      </c>
    </row>
    <row r="933" spans="1:19">
      <c r="A933" s="3">
        <v>2521051</v>
      </c>
      <c r="B933" t="str">
        <f>VLOOKUP(A933,File!$A:$J,2,FALSE)</f>
        <v>Nallanagula Divya Sri</v>
      </c>
      <c r="C933" s="29">
        <f>VLOOKUP(A933,File!$A:$J,5,FALSE)</f>
        <v>46210</v>
      </c>
      <c r="D933" s="29" t="str">
        <f>VLOOKUP(A933,File!$A:$J,3,FALSE)</f>
        <v>Female</v>
      </c>
      <c r="E933" s="29" t="str">
        <f>VLOOKUP(A933,File!$A:$J,4,FALSE)</f>
        <v>FTE</v>
      </c>
      <c r="F933" s="29" t="str">
        <f>VLOOKUP(A933,File!$A:$J,6,FALSE)</f>
        <v>Chennai</v>
      </c>
      <c r="G933" s="29" t="str">
        <f>VLOOKUP(A933,File!$A:$J,7,FALSE)</f>
        <v>SNBG26SN002</v>
      </c>
      <c r="H933" s="29" t="str">
        <f>VLOOKUP(A933,File!$A:$J,8,FALSE)</f>
        <v>Lawrance M</v>
      </c>
      <c r="I933" s="31">
        <f>VLOOKUP(A933,File!$A:$J,9,FALSE)</f>
        <v>46303</v>
      </c>
      <c r="J933" s="31" t="str">
        <f>VLOOKUP(A933,File!$A:$K,11,FALSE)</f>
        <v>Oct 2026</v>
      </c>
      <c r="K933" s="31" t="str">
        <f>VLOOKUP(A933,File!$A:$K,10,FALSE)</f>
        <v>In-Training</v>
      </c>
      <c r="L933" s="31" t="s">
        <v>4</v>
      </c>
      <c r="M933" t="str">
        <f>VLOOKUP(A933,Response!$A:$M,7,)</f>
        <v>PG (Paying Guest)</v>
      </c>
      <c r="N933" t="str">
        <f>VLOOKUP(A933,Response!$A:$M,8,)</f>
        <v>Sai Grands Women PG-Branch 2 ,Egattur</v>
      </c>
      <c r="O933" s="4">
        <f>VLOOKUP(A933,Response!$A:$M,10,)</f>
        <v>4</v>
      </c>
      <c r="P933" t="str">
        <f>VLOOKUP(A933,Response!$A:$M,12,)</f>
        <v>No</v>
      </c>
      <c r="Q933" t="str">
        <f>VLOOKUP(A933,Response!$A:$M,11,)</f>
        <v>Siruseri</v>
      </c>
      <c r="R933" t="s">
        <v>19</v>
      </c>
      <c r="S933" s="39" t="s">
        <v>37</v>
      </c>
    </row>
    <row r="934" spans="1:19">
      <c r="A934" s="3">
        <v>2525033</v>
      </c>
      <c r="B934" t="str">
        <f>VLOOKUP(A934,File!$A:$J,2,FALSE)</f>
        <v>Sai Manisha Veliginti</v>
      </c>
      <c r="C934" s="29">
        <f>VLOOKUP(A934,File!$A:$J,5,FALSE)</f>
        <v>46226</v>
      </c>
      <c r="D934" s="29" t="str">
        <f>VLOOKUP(A934,File!$A:$J,3,FALSE)</f>
        <v>Female</v>
      </c>
      <c r="E934" s="29" t="str">
        <f>VLOOKUP(A934,File!$A:$J,4,FALSE)</f>
        <v>FTE</v>
      </c>
      <c r="F934" s="29" t="str">
        <f>VLOOKUP(A934,File!$A:$J,6,FALSE)</f>
        <v>Chennai</v>
      </c>
      <c r="G934" s="29" t="str">
        <f>VLOOKUP(A934,File!$A:$J,7,FALSE)</f>
        <v>ADM26ISMO010</v>
      </c>
      <c r="H934" s="29" t="str">
        <f>VLOOKUP(A934,File!$A:$J,8,FALSE)</f>
        <v>Thomas Naveen. J</v>
      </c>
      <c r="I934" s="31">
        <f>VLOOKUP(A934,File!$A:$J,9,FALSE)</f>
        <v>46301</v>
      </c>
      <c r="J934" s="31" t="str">
        <f>VLOOKUP(A934,File!$A:$K,11,FALSE)</f>
        <v>Oct 2026</v>
      </c>
      <c r="K934" s="31" t="str">
        <f>VLOOKUP(A934,File!$A:$K,10,FALSE)</f>
        <v>In-Training</v>
      </c>
      <c r="L934" s="31" t="s">
        <v>4</v>
      </c>
      <c r="M934" t="str">
        <f>VLOOKUP(A934,Response!$A:$M,7,)</f>
        <v>Hostel</v>
      </c>
      <c r="N934" t="str">
        <f>VLOOKUP(A934,Response!$A:$M,8,)</f>
        <v>sai grands womens hostel</v>
      </c>
      <c r="O934" s="4">
        <f>VLOOKUP(A934,Response!$A:$M,10,)</f>
        <v>3</v>
      </c>
      <c r="P934" t="str">
        <f>VLOOKUP(A934,Response!$A:$M,12,)</f>
        <v>No</v>
      </c>
      <c r="Q934" t="str">
        <f>VLOOKUP(A934,Response!$A:$M,11,)</f>
        <v>Egattur</v>
      </c>
      <c r="R934" t="s">
        <v>19</v>
      </c>
      <c r="S934" s="39" t="s">
        <v>37</v>
      </c>
    </row>
    <row r="935" spans="1:19">
      <c r="A935" s="3">
        <v>2521693</v>
      </c>
      <c r="B935" t="str">
        <f>VLOOKUP(A935,File!$A:$J,2,FALSE)</f>
        <v>Thummuri Bhagya Rajasri</v>
      </c>
      <c r="C935" s="29">
        <f>VLOOKUP(A935,File!$A:$J,5,FALSE)</f>
        <v>46212</v>
      </c>
      <c r="D935" s="29" t="str">
        <f>VLOOKUP(A935,File!$A:$J,3,FALSE)</f>
        <v>Female</v>
      </c>
      <c r="E935" s="29" t="str">
        <f>VLOOKUP(A935,File!$A:$J,4,FALSE)</f>
        <v>FTE</v>
      </c>
      <c r="F935" s="29" t="str">
        <f>VLOOKUP(A935,File!$A:$J,6,FALSE)</f>
        <v>Chennai</v>
      </c>
      <c r="G935" s="29" t="str">
        <f>VLOOKUP(A935,File!$A:$J,7,FALSE)</f>
        <v>QEA26QEPT023</v>
      </c>
      <c r="H935" s="29" t="str">
        <f>VLOOKUP(A935,File!$A:$J,8,FALSE)</f>
        <v>Sweta Thoppil</v>
      </c>
      <c r="I935" s="31">
        <f>VLOOKUP(A935,File!$A:$J,9,FALSE)</f>
        <v>46314</v>
      </c>
      <c r="J935" s="31" t="str">
        <f>VLOOKUP(A935,File!$A:$K,11,FALSE)</f>
        <v>Oct 2026</v>
      </c>
      <c r="K935" s="31" t="str">
        <f>VLOOKUP(A935,File!$A:$K,10,FALSE)</f>
        <v>In-Training</v>
      </c>
      <c r="L935" s="31" t="s">
        <v>4</v>
      </c>
      <c r="M935" t="str">
        <f>VLOOKUP(A935,Response!$A:$M,7,)</f>
        <v>PG (Paying Guest)</v>
      </c>
      <c r="N935" t="str">
        <f>VLOOKUP(A935,Response!$A:$M,8,)</f>
        <v>Sai Grands Womens PG Hostel-Branch 3, Egattur</v>
      </c>
      <c r="O935" s="4">
        <f>VLOOKUP(A935,Response!$A:$M,10,)</f>
        <v>2</v>
      </c>
      <c r="P935" t="str">
        <f>VLOOKUP(A935,Response!$A:$M,12,)</f>
        <v>Yes</v>
      </c>
      <c r="Q935" t="str">
        <f>VLOOKUP(A935,Response!$A:$M,11,)</f>
        <v>Siruseri</v>
      </c>
      <c r="R935" t="s">
        <v>19</v>
      </c>
      <c r="S935" s="39" t="s">
        <v>37</v>
      </c>
    </row>
    <row r="936" spans="1:19">
      <c r="A936" s="3">
        <v>2516871</v>
      </c>
      <c r="B936" t="str">
        <f>VLOOKUP(A936,File!$A:$J,2,FALSE)</f>
        <v>Manonmani M</v>
      </c>
      <c r="C936" s="29">
        <f>VLOOKUP(A936,File!$A:$J,5,FALSE)</f>
        <v>46191</v>
      </c>
      <c r="D936" s="29" t="str">
        <f>VLOOKUP(A936,File!$A:$J,3,FALSE)</f>
        <v>Female</v>
      </c>
      <c r="E936" s="29" t="str">
        <f>VLOOKUP(A936,File!$A:$J,4,FALSE)</f>
        <v>FTE</v>
      </c>
      <c r="F936" s="29" t="str">
        <f>VLOOKUP(A936,File!$A:$J,6,FALSE)</f>
        <v>Chennai</v>
      </c>
      <c r="G936" s="29" t="str">
        <f>VLOOKUP(A936,File!$A:$J,7,FALSE)</f>
        <v>CIS26MW001</v>
      </c>
      <c r="H936" s="29" t="str">
        <f>VLOOKUP(A936,File!$A:$J,8,FALSE)</f>
        <v>Ashiya Begam S</v>
      </c>
      <c r="I936" s="31">
        <f>VLOOKUP(A936,File!$A:$J,9,FALSE)</f>
        <v>46276</v>
      </c>
      <c r="J936" s="31" t="str">
        <f>VLOOKUP(A936,File!$A:$K,11,FALSE)</f>
        <v>Sep 2026</v>
      </c>
      <c r="K936" s="31" t="str">
        <f>VLOOKUP(A936,File!$A:$K,10,FALSE)</f>
        <v>In-Training</v>
      </c>
      <c r="L936" s="31" t="s">
        <v>4</v>
      </c>
      <c r="M936" t="str">
        <f>VLOOKUP(A936,Response!$A:$M,7,)</f>
        <v>PG (Paying Guest)</v>
      </c>
      <c r="N936" t="str">
        <f>VLOOKUP(A936,Response!$A:$M,8,)</f>
        <v>Sai Kripa ladies Pg</v>
      </c>
      <c r="O936" s="4">
        <f>VLOOKUP(A936,Response!$A:$M,10,)</f>
        <v>2</v>
      </c>
      <c r="P936" t="str">
        <f>VLOOKUP(A936,Response!$A:$M,12,)</f>
        <v>No</v>
      </c>
      <c r="Q936" t="str">
        <f>VLOOKUP(A936,Response!$A:$M,11,)</f>
        <v>Egattur</v>
      </c>
      <c r="R936" t="s">
        <v>19</v>
      </c>
      <c r="S936" s="39" t="s">
        <v>37</v>
      </c>
    </row>
    <row r="937" spans="1:19">
      <c r="A937" s="3">
        <v>2521647</v>
      </c>
      <c r="B937" t="str">
        <f>VLOOKUP(A937,File!$A:$J,2,FALSE)</f>
        <v>Bhakti Bhiwaji Suryawanshi</v>
      </c>
      <c r="C937" s="29">
        <f>VLOOKUP(A937,File!$A:$J,5,FALSE)</f>
        <v>46212</v>
      </c>
      <c r="D937" s="29" t="str">
        <f>VLOOKUP(A937,File!$A:$J,3,FALSE)</f>
        <v>Female</v>
      </c>
      <c r="E937" s="29" t="str">
        <f>VLOOKUP(A937,File!$A:$J,4,FALSE)</f>
        <v>FTE</v>
      </c>
      <c r="F937" s="29" t="str">
        <f>VLOOKUP(A937,File!$A:$J,6,FALSE)</f>
        <v>Chennai</v>
      </c>
      <c r="G937" s="29" t="str">
        <f>VLOOKUP(A937,File!$A:$J,7,FALSE)</f>
        <v>AIA26DSAT004</v>
      </c>
      <c r="H937" s="29" t="str">
        <f>VLOOKUP(A937,File!$A:$J,8,FALSE)</f>
        <v>Pavithra Kandasamy</v>
      </c>
      <c r="I937" s="31">
        <f>VLOOKUP(A937,File!$A:$J,9,FALSE)</f>
        <v>46304</v>
      </c>
      <c r="J937" s="31" t="str">
        <f>VLOOKUP(A937,File!$A:$K,11,FALSE)</f>
        <v>Oct 2026</v>
      </c>
      <c r="K937" s="31" t="str">
        <f>VLOOKUP(A937,File!$A:$K,10,FALSE)</f>
        <v>In-Training</v>
      </c>
      <c r="L937" s="31" t="s">
        <v>4</v>
      </c>
      <c r="M937" t="str">
        <f>VLOOKUP(A937,Response!$A:$M,7,)</f>
        <v>PG (Paying Guest)</v>
      </c>
      <c r="N937" t="str">
        <f>VLOOKUP(A937,Response!$A:$M,8,)</f>
        <v>Sai Kripa Pg Navalur</v>
      </c>
      <c r="O937" s="4">
        <f>VLOOKUP(A937,Response!$A:$M,10,)</f>
        <v>2</v>
      </c>
      <c r="P937" t="str">
        <f>VLOOKUP(A937,Response!$A:$M,12,)</f>
        <v>No</v>
      </c>
      <c r="Q937" t="str">
        <f>VLOOKUP(A937,Response!$A:$M,11,)</f>
        <v>Navalur</v>
      </c>
      <c r="R937" t="s">
        <v>19</v>
      </c>
      <c r="S937" s="39" t="s">
        <v>37</v>
      </c>
    </row>
    <row r="938" spans="1:19">
      <c r="A938" s="3">
        <v>2522864</v>
      </c>
      <c r="B938" t="str">
        <f>VLOOKUP(A938,File!$A:$J,2,FALSE)</f>
        <v>Chaithra M</v>
      </c>
      <c r="C938" s="29">
        <f>VLOOKUP(A938,File!$A:$J,5,FALSE)</f>
        <v>46217</v>
      </c>
      <c r="D938" s="29" t="str">
        <f>VLOOKUP(A938,File!$A:$J,3,FALSE)</f>
        <v>Female</v>
      </c>
      <c r="E938" s="29" t="str">
        <f>VLOOKUP(A938,File!$A:$J,4,FALSE)</f>
        <v>FTE</v>
      </c>
      <c r="F938" s="29" t="str">
        <f>VLOOKUP(A938,File!$A:$J,6,FALSE)</f>
        <v>Chennai</v>
      </c>
      <c r="G938" s="29" t="str">
        <f>VLOOKUP(A938,File!$A:$J,7,FALSE)</f>
        <v>CIS26MCPT017</v>
      </c>
      <c r="H938" s="29" t="str">
        <f>VLOOKUP(A938,File!$A:$J,8,FALSE)</f>
        <v>Haritha P</v>
      </c>
      <c r="I938" s="31">
        <f>VLOOKUP(A938,File!$A:$J,9,FALSE)</f>
        <v>46335</v>
      </c>
      <c r="J938" s="31" t="str">
        <f>VLOOKUP(A938,File!$A:$K,11,FALSE)</f>
        <v>Nov 2026</v>
      </c>
      <c r="K938" s="31" t="str">
        <f>VLOOKUP(A938,File!$A:$K,10,FALSE)</f>
        <v>In-Training</v>
      </c>
      <c r="L938" s="31" t="s">
        <v>4</v>
      </c>
      <c r="M938" t="str">
        <f>VLOOKUP(A938,Response!$A:$M,7,)</f>
        <v>Hostel</v>
      </c>
      <c r="N938" t="str">
        <f>VLOOKUP(A938,Response!$A:$M,8,)</f>
        <v>Sai Rama Sai Ladies PG Branch 1,Egattur</v>
      </c>
      <c r="O938" s="4">
        <f>VLOOKUP(A938,Response!$A:$M,10,)</f>
        <v>2</v>
      </c>
      <c r="P938" t="str">
        <f>VLOOKUP(A938,Response!$A:$M,12,)</f>
        <v>No</v>
      </c>
      <c r="Q938" t="str">
        <f>VLOOKUP(A938,Response!$A:$M,11,)</f>
        <v>Egattur</v>
      </c>
      <c r="R938" t="s">
        <v>19</v>
      </c>
      <c r="S938" s="39" t="s">
        <v>37</v>
      </c>
    </row>
    <row r="939" spans="1:19">
      <c r="A939" s="3">
        <v>2521692</v>
      </c>
      <c r="B939" t="str">
        <f>VLOOKUP(A939,File!$A:$J,2,FALSE)</f>
        <v>Kartik Subhash Surwase</v>
      </c>
      <c r="C939" s="29">
        <f>VLOOKUP(A939,File!$A:$J,5,FALSE)</f>
        <v>46212</v>
      </c>
      <c r="D939" s="29" t="str">
        <f>VLOOKUP(A939,File!$A:$J,3,FALSE)</f>
        <v>Male</v>
      </c>
      <c r="E939" s="29" t="str">
        <f>VLOOKUP(A939,File!$A:$J,4,FALSE)</f>
        <v>FTE</v>
      </c>
      <c r="F939" s="29" t="str">
        <f>VLOOKUP(A939,File!$A:$J,6,FALSE)</f>
        <v>Chennai</v>
      </c>
      <c r="G939" s="29" t="str">
        <f>VLOOKUP(A939,File!$A:$J,7,FALSE)</f>
        <v>ADM26MF010</v>
      </c>
      <c r="H939" s="29" t="str">
        <f>VLOOKUP(A939,File!$A:$J,8,FALSE)</f>
        <v>Thomas Naveen. J</v>
      </c>
      <c r="I939" s="31">
        <f>VLOOKUP(A939,File!$A:$J,9,FALSE)</f>
        <v>46328</v>
      </c>
      <c r="J939" s="31" t="str">
        <f>VLOOKUP(A939,File!$A:$K,11,FALSE)</f>
        <v>Nov 2026</v>
      </c>
      <c r="K939" s="31" t="str">
        <f>VLOOKUP(A939,File!$A:$K,10,FALSE)</f>
        <v>In-Training</v>
      </c>
      <c r="L939" s="31" t="s">
        <v>4</v>
      </c>
      <c r="M939" t="str">
        <f>VLOOKUP(A939,Response!$A:$M,7,)</f>
        <v>PG (Paying Guest)</v>
      </c>
      <c r="N939" t="str">
        <f>VLOOKUP(A939,Response!$A:$M,8,)</f>
        <v>Sai saravana gents hostel, egatur</v>
      </c>
      <c r="O939" s="4" t="str">
        <f>VLOOKUP(A939,Response!$A:$M,10,)</f>
        <v>GF</v>
      </c>
      <c r="P939" t="str">
        <f>VLOOKUP(A939,Response!$A:$M,12,)</f>
        <v>No</v>
      </c>
      <c r="Q939" t="str">
        <f>VLOOKUP(A939,Response!$A:$M,11,)</f>
        <v>Egattur</v>
      </c>
      <c r="R939" t="s">
        <v>19</v>
      </c>
      <c r="S939" s="39" t="s">
        <v>37</v>
      </c>
    </row>
    <row r="940" spans="1:19">
      <c r="A940" s="3">
        <v>2511244</v>
      </c>
      <c r="B940" t="str">
        <f>VLOOKUP(A940,File!$A:$J,2,FALSE)</f>
        <v>Pratiksha Balbhim Bhosale</v>
      </c>
      <c r="C940" s="29">
        <f>VLOOKUP(A940,File!$A:$J,5,FALSE)</f>
        <v>46163</v>
      </c>
      <c r="D940" s="29" t="str">
        <f>VLOOKUP(A940,File!$A:$J,3,FALSE)</f>
        <v>Female</v>
      </c>
      <c r="E940" s="29" t="str">
        <f>VLOOKUP(A940,File!$A:$J,4,FALSE)</f>
        <v>FTE</v>
      </c>
      <c r="F940" s="29" t="str">
        <f>VLOOKUP(A940,File!$A:$J,6,FALSE)</f>
        <v>Chennai</v>
      </c>
      <c r="G940" s="29" t="str">
        <f>VLOOKUP(A940,File!$A:$J,7,FALSE)</f>
        <v>CIS26MCPT010</v>
      </c>
      <c r="H940" s="29" t="str">
        <f>VLOOKUP(A940,File!$A:$J,8,FALSE)</f>
        <v>Mohamed Harish</v>
      </c>
      <c r="I940" s="31">
        <f>VLOOKUP(A940,File!$A:$J,9,FALSE)</f>
        <v>46275</v>
      </c>
      <c r="J940" s="31" t="str">
        <f>VLOOKUP(A940,File!$A:$K,11,FALSE)</f>
        <v>Sep 2026</v>
      </c>
      <c r="K940" s="31" t="str">
        <f>VLOOKUP(A940,File!$A:$K,10,FALSE)</f>
        <v>In-Training</v>
      </c>
      <c r="L940" s="31" t="s">
        <v>4</v>
      </c>
      <c r="M940" t="str">
        <f>VLOOKUP(A940,Response!$A:$M,7,)</f>
        <v>PG (Paying Guest)</v>
      </c>
      <c r="N940" t="str">
        <f>VLOOKUP(A940,Response!$A:$M,8,)</f>
        <v xml:space="preserve">Sai Teja </v>
      </c>
      <c r="O940" s="4">
        <f>VLOOKUP(A940,Response!$A:$M,10,)</f>
        <v>3</v>
      </c>
      <c r="P940" t="str">
        <f>VLOOKUP(A940,Response!$A:$M,12,)</f>
        <v>No</v>
      </c>
      <c r="Q940" t="str">
        <f>VLOOKUP(A940,Response!$A:$M,11,)</f>
        <v>Siruseri</v>
      </c>
      <c r="R940" t="s">
        <v>19</v>
      </c>
      <c r="S940" s="39" t="s">
        <v>37</v>
      </c>
    </row>
    <row r="941" spans="1:19">
      <c r="A941" s="3">
        <v>2529739</v>
      </c>
      <c r="B941" t="str">
        <f>VLOOKUP(A941,File!$A:$J,2,FALSE)</f>
        <v>Vabilisetty Padmasri Sanjana</v>
      </c>
      <c r="C941" s="29">
        <f>VLOOKUP(A941,File!$A:$J,5,FALSE)</f>
        <v>46245</v>
      </c>
      <c r="D941" s="29" t="str">
        <f>VLOOKUP(A941,File!$A:$J,3,FALSE)</f>
        <v>Female</v>
      </c>
      <c r="E941" s="29" t="str">
        <f>VLOOKUP(A941,File!$A:$J,4,FALSE)</f>
        <v>FTE</v>
      </c>
      <c r="F941" s="29" t="str">
        <f>VLOOKUP(A941,File!$A:$J,6,FALSE)</f>
        <v>Chennai</v>
      </c>
      <c r="G941" s="29" t="str">
        <f>VLOOKUP(A941,File!$A:$J,7,FALSE)</f>
        <v>CIS26AZ001</v>
      </c>
      <c r="H941" s="29" t="str">
        <f>VLOOKUP(A941,File!$A:$J,8,FALSE)</f>
        <v>Ashiya Begam S</v>
      </c>
      <c r="I941" s="31">
        <f>VLOOKUP(A941,File!$A:$J,9,FALSE)</f>
        <v>46335</v>
      </c>
      <c r="J941" s="31" t="str">
        <f>VLOOKUP(A941,File!$A:$K,11,FALSE)</f>
        <v>Nov 2026</v>
      </c>
      <c r="K941" s="31" t="str">
        <f>VLOOKUP(A941,File!$A:$K,10,FALSE)</f>
        <v>In-Training</v>
      </c>
      <c r="L941" s="31" t="s">
        <v>4</v>
      </c>
      <c r="M941" t="str">
        <f>VLOOKUP(A941,Response!$A:$M,7,)</f>
        <v>PG (Paying Guest)</v>
      </c>
      <c r="N941" t="str">
        <f>VLOOKUP(A941,Response!$A:$M,8,)</f>
        <v>Sai Teja Ladies Hostel</v>
      </c>
      <c r="O941" s="4">
        <f>VLOOKUP(A941,Response!$A:$M,10,)</f>
        <v>1</v>
      </c>
      <c r="P941" t="str">
        <f>VLOOKUP(A941,Response!$A:$M,12,)</f>
        <v>No</v>
      </c>
      <c r="Q941" t="str">
        <f>VLOOKUP(A941,Response!$A:$M,11,)</f>
        <v>Egattur</v>
      </c>
      <c r="R941" t="s">
        <v>19</v>
      </c>
      <c r="S941" s="39" t="s">
        <v>37</v>
      </c>
    </row>
    <row r="942" spans="1:19">
      <c r="A942" s="3">
        <v>2511250</v>
      </c>
      <c r="B942" t="str">
        <f>VLOOKUP(A942,File!$A:$J,2,FALSE)</f>
        <v>Chaitali Tatyasaheb Jadhav</v>
      </c>
      <c r="C942" s="29">
        <f>VLOOKUP(A942,File!$A:$J,5,FALSE)</f>
        <v>46163</v>
      </c>
      <c r="D942" s="29" t="str">
        <f>VLOOKUP(A942,File!$A:$J,3,FALSE)</f>
        <v>Female</v>
      </c>
      <c r="E942" s="29" t="str">
        <f>VLOOKUP(A942,File!$A:$J,4,FALSE)</f>
        <v>FTE</v>
      </c>
      <c r="F942" s="29" t="str">
        <f>VLOOKUP(A942,File!$A:$J,6,FALSE)</f>
        <v>Chennai</v>
      </c>
      <c r="G942" s="29" t="str">
        <f>VLOOKUP(A942,File!$A:$J,7,FALSE)</f>
        <v>CIS26MCPT010</v>
      </c>
      <c r="H942" s="29" t="str">
        <f>VLOOKUP(A942,File!$A:$J,8,FALSE)</f>
        <v>Mohamed Harish</v>
      </c>
      <c r="I942" s="31">
        <f>VLOOKUP(A942,File!$A:$J,9,FALSE)</f>
        <v>46275</v>
      </c>
      <c r="J942" s="31" t="str">
        <f>VLOOKUP(A942,File!$A:$K,11,FALSE)</f>
        <v>Sep 2026</v>
      </c>
      <c r="K942" s="31" t="str">
        <f>VLOOKUP(A942,File!$A:$K,10,FALSE)</f>
        <v>In-Training</v>
      </c>
      <c r="L942" s="31" t="s">
        <v>4</v>
      </c>
      <c r="M942" t="str">
        <f>VLOOKUP(A942,Response!$A:$M,7,)</f>
        <v>PG (Paying Guest)</v>
      </c>
      <c r="N942" t="str">
        <f>VLOOKUP(A942,Response!$A:$M,8,)</f>
        <v>Sai Teja Ladies PG, Egattur</v>
      </c>
      <c r="O942" s="4">
        <f>VLOOKUP(A942,Response!$A:$M,10,)</f>
        <v>3</v>
      </c>
      <c r="P942" t="str">
        <f>VLOOKUP(A942,Response!$A:$M,12,)</f>
        <v>No</v>
      </c>
      <c r="Q942" t="str">
        <f>VLOOKUP(A942,Response!$A:$M,11,)</f>
        <v>Egattur</v>
      </c>
      <c r="R942" t="s">
        <v>19</v>
      </c>
      <c r="S942" s="39" t="s">
        <v>37</v>
      </c>
    </row>
    <row r="943" spans="1:19">
      <c r="A943" s="3">
        <v>2531420</v>
      </c>
      <c r="B943" t="str">
        <f>VLOOKUP(A943,File!$A:$J,2,FALSE)</f>
        <v>Deeksha K</v>
      </c>
      <c r="C943" s="29">
        <f>VLOOKUP(A943,File!$A:$J,5,FALSE)</f>
        <v>46252</v>
      </c>
      <c r="D943" s="29" t="str">
        <f>VLOOKUP(A943,File!$A:$J,3,FALSE)</f>
        <v>Female</v>
      </c>
      <c r="E943" s="29" t="str">
        <f>VLOOKUP(A943,File!$A:$J,4,FALSE)</f>
        <v>FTE</v>
      </c>
      <c r="F943" s="29" t="str">
        <f>VLOOKUP(A943,File!$A:$J,6,FALSE)</f>
        <v>Chennai</v>
      </c>
      <c r="G943" s="29" t="str">
        <f>VLOOKUP(A943,File!$A:$J,7,FALSE)</f>
        <v>EPS26SAP037</v>
      </c>
      <c r="H943" s="29" t="str">
        <f>VLOOKUP(A943,File!$A:$J,8,FALSE)</f>
        <v>Gayathri Ramachandran</v>
      </c>
      <c r="I943" s="31">
        <f>VLOOKUP(A943,File!$A:$J,9,FALSE)</f>
        <v>46330</v>
      </c>
      <c r="J943" s="31" t="str">
        <f>VLOOKUP(A943,File!$A:$K,11,FALSE)</f>
        <v>Nov 2026</v>
      </c>
      <c r="K943" s="31" t="str">
        <f>VLOOKUP(A943,File!$A:$K,10,FALSE)</f>
        <v>In-Training</v>
      </c>
      <c r="L943" s="31" t="s">
        <v>4</v>
      </c>
      <c r="M943" t="str">
        <f>VLOOKUP(A943,Response!$A:$M,7,)</f>
        <v>PG (Paying Guest)</v>
      </c>
      <c r="N943" t="str">
        <f>VLOOKUP(A943,Response!$A:$M,8,)</f>
        <v>Sai Teja Luxury Women Hostel</v>
      </c>
      <c r="O943" s="4">
        <f>VLOOKUP(A943,Response!$A:$M,10,)</f>
        <v>2</v>
      </c>
      <c r="P943" t="str">
        <f>VLOOKUP(A943,Response!$A:$M,12,)</f>
        <v>No</v>
      </c>
      <c r="Q943" t="str">
        <f>VLOOKUP(A943,Response!$A:$M,11,)</f>
        <v>Siruseri</v>
      </c>
      <c r="R943" t="s">
        <v>19</v>
      </c>
      <c r="S943" s="39" t="s">
        <v>37</v>
      </c>
    </row>
    <row r="944" spans="1:19">
      <c r="A944" s="3">
        <v>2531411</v>
      </c>
      <c r="B944" t="str">
        <f>VLOOKUP(A944,File!$A:$J,2,FALSE)</f>
        <v>Ashitha M</v>
      </c>
      <c r="C944" s="29">
        <f>VLOOKUP(A944,File!$A:$J,5,FALSE)</f>
        <v>46252</v>
      </c>
      <c r="D944" s="29" t="str">
        <f>VLOOKUP(A944,File!$A:$J,3,FALSE)</f>
        <v>Female</v>
      </c>
      <c r="E944" s="29" t="str">
        <f>VLOOKUP(A944,File!$A:$J,4,FALSE)</f>
        <v>FTE</v>
      </c>
      <c r="F944" s="29" t="str">
        <f>VLOOKUP(A944,File!$A:$J,6,FALSE)</f>
        <v>Chennai</v>
      </c>
      <c r="G944" s="29" t="str">
        <f>VLOOKUP(A944,File!$A:$J,7,FALSE)</f>
        <v>EPS26SAP037</v>
      </c>
      <c r="H944" s="29" t="str">
        <f>VLOOKUP(A944,File!$A:$J,8,FALSE)</f>
        <v>Gayathri Ramachandran</v>
      </c>
      <c r="I944" s="31">
        <f>VLOOKUP(A944,File!$A:$J,9,FALSE)</f>
        <v>46330</v>
      </c>
      <c r="J944" s="31" t="str">
        <f>VLOOKUP(A944,File!$A:$K,11,FALSE)</f>
        <v>Nov 2026</v>
      </c>
      <c r="K944" s="31" t="str">
        <f>VLOOKUP(A944,File!$A:$K,10,FALSE)</f>
        <v>In-Training</v>
      </c>
      <c r="L944" s="31" t="s">
        <v>4</v>
      </c>
      <c r="M944" t="str">
        <f>VLOOKUP(A944,Response!$A:$M,7,)</f>
        <v>PG (Paying Guest)</v>
      </c>
      <c r="N944" t="str">
        <f>VLOOKUP(A944,Response!$A:$M,8,)</f>
        <v>Sai Teja Luxury Women Hostel, Periyar street, Egattur, Siruseri,  Chennai</v>
      </c>
      <c r="O944" s="4">
        <f>VLOOKUP(A944,Response!$A:$M,10,)</f>
        <v>2</v>
      </c>
      <c r="P944" t="str">
        <f>VLOOKUP(A944,Response!$A:$M,12,)</f>
        <v>No</v>
      </c>
      <c r="Q944" t="str">
        <f>VLOOKUP(A944,Response!$A:$M,11,)</f>
        <v>Siruseri</v>
      </c>
      <c r="R944" t="s">
        <v>19</v>
      </c>
      <c r="S944" s="39" t="s">
        <v>37</v>
      </c>
    </row>
    <row r="945" spans="1:19">
      <c r="A945" s="3">
        <v>2529579</v>
      </c>
      <c r="B945" t="str">
        <f>VLOOKUP(A945,File!$A:$J,2,FALSE)</f>
        <v>Asma S</v>
      </c>
      <c r="C945" s="29">
        <f>VLOOKUP(A945,File!$A:$J,5,FALSE)</f>
        <v>46245</v>
      </c>
      <c r="D945" s="29" t="str">
        <f>VLOOKUP(A945,File!$A:$J,3,FALSE)</f>
        <v>Female</v>
      </c>
      <c r="E945" s="29" t="str">
        <f>VLOOKUP(A945,File!$A:$J,4,FALSE)</f>
        <v>FTE</v>
      </c>
      <c r="F945" s="29" t="str">
        <f>VLOOKUP(A945,File!$A:$J,6,FALSE)</f>
        <v>Chennai</v>
      </c>
      <c r="G945" s="29" t="str">
        <f>VLOOKUP(A945,File!$A:$J,7,FALSE)</f>
        <v>CIS26MCPT021</v>
      </c>
      <c r="H945" s="29" t="str">
        <f>VLOOKUP(A945,File!$A:$J,8,FALSE)</f>
        <v>Uma Venkatachalam</v>
      </c>
      <c r="I945" s="31">
        <f>VLOOKUP(A945,File!$A:$J,9,FALSE)</f>
        <v>46364</v>
      </c>
      <c r="J945" s="31" t="str">
        <f>VLOOKUP(A945,File!$A:$K,11,FALSE)</f>
        <v>Dec 2026</v>
      </c>
      <c r="K945" s="31" t="str">
        <f>VLOOKUP(A945,File!$A:$K,10,FALSE)</f>
        <v>In-Training</v>
      </c>
      <c r="L945" s="31" t="s">
        <v>4</v>
      </c>
      <c r="M945" t="str">
        <f>VLOOKUP(A945,Response!$A:$M,7,)</f>
        <v>PG (Paying Guest)</v>
      </c>
      <c r="N945" t="str">
        <f>VLOOKUP(A945,Response!$A:$M,8,)</f>
        <v>Sai Teja Luxury Womens Hostel</v>
      </c>
      <c r="O945" s="4">
        <f>VLOOKUP(A945,Response!$A:$M,10,)</f>
        <v>4</v>
      </c>
      <c r="P945" t="str">
        <f>VLOOKUP(A945,Response!$A:$M,12,)</f>
        <v>Yes</v>
      </c>
      <c r="Q945" t="str">
        <f>VLOOKUP(A945,Response!$A:$M,11,)</f>
        <v>Egattur</v>
      </c>
      <c r="R945" t="s">
        <v>19</v>
      </c>
      <c r="S945" s="39" t="s">
        <v>37</v>
      </c>
    </row>
    <row r="946" spans="1:19">
      <c r="A946" s="3">
        <v>2529626</v>
      </c>
      <c r="B946" t="str">
        <f>VLOOKUP(A946,File!$A:$J,2,FALSE)</f>
        <v>Pooja E</v>
      </c>
      <c r="C946" s="29">
        <f>VLOOKUP(A946,File!$A:$J,5,FALSE)</f>
        <v>46245</v>
      </c>
      <c r="D946" s="29" t="str">
        <f>VLOOKUP(A946,File!$A:$J,3,FALSE)</f>
        <v>Female</v>
      </c>
      <c r="E946" s="29" t="str">
        <f>VLOOKUP(A946,File!$A:$J,4,FALSE)</f>
        <v>FTE</v>
      </c>
      <c r="F946" s="29" t="str">
        <f>VLOOKUP(A946,File!$A:$J,6,FALSE)</f>
        <v>Chennai</v>
      </c>
      <c r="G946" s="29" t="str">
        <f>VLOOKUP(A946,File!$A:$J,7,FALSE)</f>
        <v>CIS26MCPT021</v>
      </c>
      <c r="H946" s="29" t="str">
        <f>VLOOKUP(A946,File!$A:$J,8,FALSE)</f>
        <v>Uma Venkatachalam</v>
      </c>
      <c r="I946" s="31">
        <f>VLOOKUP(A946,File!$A:$J,9,FALSE)</f>
        <v>46364</v>
      </c>
      <c r="J946" s="31" t="str">
        <f>VLOOKUP(A946,File!$A:$K,11,FALSE)</f>
        <v>Dec 2026</v>
      </c>
      <c r="K946" s="31" t="str">
        <f>VLOOKUP(A946,File!$A:$K,10,FALSE)</f>
        <v>In-Training</v>
      </c>
      <c r="L946" s="31" t="s">
        <v>4</v>
      </c>
      <c r="M946" t="str">
        <f>VLOOKUP(A946,Response!$A:$M,7,)</f>
        <v>PG (Paying Guest)</v>
      </c>
      <c r="N946" t="str">
        <f>VLOOKUP(A946,Response!$A:$M,8,)</f>
        <v>Sai Teja luxury Womens hostel</v>
      </c>
      <c r="O946" s="4">
        <f>VLOOKUP(A946,Response!$A:$M,10,)</f>
        <v>4</v>
      </c>
      <c r="P946" t="str">
        <f>VLOOKUP(A946,Response!$A:$M,12,)</f>
        <v>Yes</v>
      </c>
      <c r="Q946" t="str">
        <f>VLOOKUP(A946,Response!$A:$M,11,)</f>
        <v>Siruseri</v>
      </c>
      <c r="R946" t="s">
        <v>19</v>
      </c>
      <c r="S946" s="39" t="s">
        <v>37</v>
      </c>
    </row>
    <row r="947" spans="1:19">
      <c r="A947" s="3">
        <v>2531418</v>
      </c>
      <c r="B947" t="str">
        <f>VLOOKUP(A947,File!$A:$J,2,FALSE)</f>
        <v>Bhumika N</v>
      </c>
      <c r="C947" s="29">
        <f>VLOOKUP(A947,File!$A:$J,5,FALSE)</f>
        <v>46252</v>
      </c>
      <c r="D947" s="29" t="str">
        <f>VLOOKUP(A947,File!$A:$J,3,FALSE)</f>
        <v>Female</v>
      </c>
      <c r="E947" s="29" t="str">
        <f>VLOOKUP(A947,File!$A:$J,4,FALSE)</f>
        <v>FTE</v>
      </c>
      <c r="F947" s="29" t="str">
        <f>VLOOKUP(A947,File!$A:$J,6,FALSE)</f>
        <v>Chennai</v>
      </c>
      <c r="G947" s="29" t="str">
        <f>VLOOKUP(A947,File!$A:$J,7,FALSE)</f>
        <v>EPS26SAP036</v>
      </c>
      <c r="H947" s="29" t="str">
        <f>VLOOKUP(A947,File!$A:$J,8,FALSE)</f>
        <v>Vishnupriya Dakshnamurthy</v>
      </c>
      <c r="I947" s="31">
        <f>VLOOKUP(A947,File!$A:$J,9,FALSE)</f>
        <v>46335</v>
      </c>
      <c r="J947" s="31" t="str">
        <f>VLOOKUP(A947,File!$A:$K,11,FALSE)</f>
        <v>Nov 2026</v>
      </c>
      <c r="K947" s="31" t="str">
        <f>VLOOKUP(A947,File!$A:$K,10,FALSE)</f>
        <v>In-Training</v>
      </c>
      <c r="L947" s="31" t="s">
        <v>4</v>
      </c>
      <c r="M947" t="str">
        <f>VLOOKUP(A947,Response!$A:$M,7,)</f>
        <v>PG (Paying Guest)</v>
      </c>
      <c r="N947" t="str">
        <f>VLOOKUP(A947,Response!$A:$M,8,)</f>
        <v>Sai Teja Luxury Womens Hostel, Siruseri</v>
      </c>
      <c r="O947" s="4">
        <f>VLOOKUP(A947,Response!$A:$M,10,)</f>
        <v>2</v>
      </c>
      <c r="P947" t="str">
        <f>VLOOKUP(A947,Response!$A:$M,12,)</f>
        <v>No</v>
      </c>
      <c r="Q947" t="str">
        <f>VLOOKUP(A947,Response!$A:$M,11,)</f>
        <v>Siruseri</v>
      </c>
      <c r="R947" t="s">
        <v>19</v>
      </c>
      <c r="S947" s="39" t="s">
        <v>37</v>
      </c>
    </row>
    <row r="948" spans="1:19">
      <c r="A948" s="3">
        <v>2516797</v>
      </c>
      <c r="B948" t="str">
        <f>VLOOKUP(A948,File!$A:$J,2,FALSE)</f>
        <v>Marachi Aishwarya</v>
      </c>
      <c r="C948" s="29">
        <f>VLOOKUP(A948,File!$A:$J,5,FALSE)</f>
        <v>46191</v>
      </c>
      <c r="D948" s="29" t="str">
        <f>VLOOKUP(A948,File!$A:$J,3,FALSE)</f>
        <v>Female</v>
      </c>
      <c r="E948" s="29" t="str">
        <f>VLOOKUP(A948,File!$A:$J,4,FALSE)</f>
        <v>FTE</v>
      </c>
      <c r="F948" s="29" t="str">
        <f>VLOOKUP(A948,File!$A:$J,6,FALSE)</f>
        <v>Chennai</v>
      </c>
      <c r="G948" s="29" t="str">
        <f>VLOOKUP(A948,File!$A:$J,7,FALSE)</f>
        <v>CIS26MW001</v>
      </c>
      <c r="H948" s="29" t="str">
        <f>VLOOKUP(A948,File!$A:$J,8,FALSE)</f>
        <v>Ashiya Begam S</v>
      </c>
      <c r="I948" s="31">
        <f>VLOOKUP(A948,File!$A:$J,9,FALSE)</f>
        <v>46276</v>
      </c>
      <c r="J948" s="31" t="str">
        <f>VLOOKUP(A948,File!$A:$K,11,FALSE)</f>
        <v>Sep 2026</v>
      </c>
      <c r="K948" s="31" t="str">
        <f>VLOOKUP(A948,File!$A:$K,10,FALSE)</f>
        <v>In-Training</v>
      </c>
      <c r="L948" s="31" t="s">
        <v>4</v>
      </c>
      <c r="M948" t="str">
        <f>VLOOKUP(A948,Response!$A:$M,7,)</f>
        <v>PG (Paying Guest)</v>
      </c>
      <c r="N948" t="str">
        <f>VLOOKUP(A948,Response!$A:$M,8,)</f>
        <v>Sai teja PG,Egattur</v>
      </c>
      <c r="O948" s="4">
        <f>VLOOKUP(A948,Response!$A:$M,10,)</f>
        <v>4</v>
      </c>
      <c r="P948" t="str">
        <f>VLOOKUP(A948,Response!$A:$M,12,)</f>
        <v>No</v>
      </c>
      <c r="Q948" t="str">
        <f>VLOOKUP(A948,Response!$A:$M,11,)</f>
        <v>Siruseri</v>
      </c>
      <c r="R948" t="s">
        <v>19</v>
      </c>
      <c r="S948" s="39" t="s">
        <v>37</v>
      </c>
    </row>
    <row r="949" spans="1:19">
      <c r="A949" s="3">
        <v>2519578</v>
      </c>
      <c r="B949" t="str">
        <f>VLOOKUP(A949,File!$A:$J,2,FALSE)</f>
        <v>Mukthapuram Vyshnavi</v>
      </c>
      <c r="C949" s="29">
        <f>VLOOKUP(A949,File!$A:$J,5,FALSE)</f>
        <v>46205</v>
      </c>
      <c r="D949" s="29" t="str">
        <f>VLOOKUP(A949,File!$A:$J,3,FALSE)</f>
        <v>Female</v>
      </c>
      <c r="E949" s="29" t="str">
        <f>VLOOKUP(A949,File!$A:$J,4,FALSE)</f>
        <v>FTE</v>
      </c>
      <c r="F949" s="29" t="str">
        <f>VLOOKUP(A949,File!$A:$J,6,FALSE)</f>
        <v>Chennai</v>
      </c>
      <c r="G949" s="29" t="str">
        <f>VLOOKUP(A949,File!$A:$J,7,FALSE)</f>
        <v>CIS26DWP021</v>
      </c>
      <c r="H949" s="29" t="str">
        <f>VLOOKUP(A949,File!$A:$J,8,FALSE)</f>
        <v>Laksiya Vijayendran</v>
      </c>
      <c r="I949" s="31">
        <f>VLOOKUP(A949,File!$A:$J,9,FALSE)</f>
        <v>46272</v>
      </c>
      <c r="J949" s="31" t="str">
        <f>VLOOKUP(A949,File!$A:$K,11,FALSE)</f>
        <v>Sep 2026</v>
      </c>
      <c r="K949" s="31" t="str">
        <f>VLOOKUP(A949,File!$A:$K,10,FALSE)</f>
        <v>In-Training-Remedial</v>
      </c>
      <c r="L949" s="31" t="s">
        <v>4</v>
      </c>
      <c r="M949" t="str">
        <f>VLOOKUP(A949,Response!$A:$M,7,)</f>
        <v>PG (Paying Guest)</v>
      </c>
      <c r="N949" t="str">
        <f>VLOOKUP(A949,Response!$A:$M,8,)</f>
        <v>Sai Theja Luxury Ladies PG, Eggatur</v>
      </c>
      <c r="O949" s="4">
        <f>VLOOKUP(A949,Response!$A:$M,10,)</f>
        <v>1</v>
      </c>
      <c r="P949" t="str">
        <f>VLOOKUP(A949,Response!$A:$M,12,)</f>
        <v>No</v>
      </c>
      <c r="Q949" t="str">
        <f>VLOOKUP(A949,Response!$A:$M,11,)</f>
        <v>Egattur</v>
      </c>
      <c r="R949" t="s">
        <v>19</v>
      </c>
      <c r="S949" s="39" t="s">
        <v>37</v>
      </c>
    </row>
    <row r="950" spans="1:19">
      <c r="A950" s="3">
        <v>2521807</v>
      </c>
      <c r="B950" t="str">
        <f>VLOOKUP(A950,File!$A:$J,2,FALSE)</f>
        <v>V Amarnath</v>
      </c>
      <c r="C950" s="29">
        <f>VLOOKUP(A950,File!$A:$J,5,FALSE)</f>
        <v>46212</v>
      </c>
      <c r="D950" s="29" t="str">
        <f>VLOOKUP(A950,File!$A:$J,3,FALSE)</f>
        <v>Male</v>
      </c>
      <c r="E950" s="29" t="str">
        <f>VLOOKUP(A950,File!$A:$J,4,FALSE)</f>
        <v>FTE</v>
      </c>
      <c r="F950" s="29" t="str">
        <f>VLOOKUP(A950,File!$A:$J,6,FALSE)</f>
        <v>Chennai</v>
      </c>
      <c r="G950" s="29" t="str">
        <f>VLOOKUP(A950,File!$A:$J,7,FALSE)</f>
        <v>ADM26MF011</v>
      </c>
      <c r="H950" s="29" t="str">
        <f>VLOOKUP(A950,File!$A:$J,8,FALSE)</f>
        <v>Abinaya R</v>
      </c>
      <c r="I950" s="31">
        <f>VLOOKUP(A950,File!$A:$J,9,FALSE)</f>
        <v>46328</v>
      </c>
      <c r="J950" s="31" t="str">
        <f>VLOOKUP(A950,File!$A:$K,11,FALSE)</f>
        <v>Nov 2026</v>
      </c>
      <c r="K950" s="31" t="str">
        <f>VLOOKUP(A950,File!$A:$K,10,FALSE)</f>
        <v>In-Training</v>
      </c>
      <c r="L950" s="31" t="s">
        <v>4</v>
      </c>
      <c r="M950" t="str">
        <f>VLOOKUP(A950,Response!$A:$M,7,)</f>
        <v>PG (Paying Guest)</v>
      </c>
      <c r="N950" t="str">
        <f>VLOOKUP(A950,Response!$A:$M,8,)</f>
        <v>SAI VENKATA HAMUNA PG,PERIYAR STREET,EGATTUR</v>
      </c>
      <c r="O950" s="4" t="str">
        <f>VLOOKUP(A950,Response!$A:$M,10,)</f>
        <v>GF</v>
      </c>
      <c r="P950" t="str">
        <f>VLOOKUP(A950,Response!$A:$M,12,)</f>
        <v>Yes</v>
      </c>
      <c r="Q950" t="str">
        <f>VLOOKUP(A950,Response!$A:$M,11,)</f>
        <v>Egattur</v>
      </c>
      <c r="R950" t="s">
        <v>19</v>
      </c>
      <c r="S950" s="39" t="s">
        <v>37</v>
      </c>
    </row>
    <row r="951" spans="1:19">
      <c r="A951" s="3">
        <v>2530135</v>
      </c>
      <c r="B951" t="str">
        <f>VLOOKUP(A951,File!$A:$J,2,FALSE)</f>
        <v>Aditya Dhiraj Powar</v>
      </c>
      <c r="C951" s="29">
        <f>VLOOKUP(A951,File!$A:$J,5,FALSE)</f>
        <v>46247</v>
      </c>
      <c r="D951" s="29" t="str">
        <f>VLOOKUP(A951,File!$A:$J,3,FALSE)</f>
        <v>Male</v>
      </c>
      <c r="E951" s="29" t="str">
        <f>VLOOKUP(A951,File!$A:$J,4,FALSE)</f>
        <v>FTE</v>
      </c>
      <c r="F951" s="29" t="str">
        <f>VLOOKUP(A951,File!$A:$J,6,FALSE)</f>
        <v>Chennai</v>
      </c>
      <c r="G951" s="29" t="str">
        <f>VLOOKUP(A951,File!$A:$J,7,FALSE)</f>
        <v>EPS26SAP034</v>
      </c>
      <c r="H951" s="29" t="str">
        <f>VLOOKUP(A951,File!$A:$J,8,FALSE)</f>
        <v>Gayathri Ramachandran</v>
      </c>
      <c r="I951" s="31">
        <f>VLOOKUP(A951,File!$A:$J,9,FALSE)</f>
        <v>46331</v>
      </c>
      <c r="J951" s="31" t="str">
        <f>VLOOKUP(A951,File!$A:$K,11,FALSE)</f>
        <v>Nov 2026</v>
      </c>
      <c r="K951" s="31" t="str">
        <f>VLOOKUP(A951,File!$A:$K,10,FALSE)</f>
        <v>In-Training</v>
      </c>
      <c r="L951" s="31" t="s">
        <v>4</v>
      </c>
      <c r="M951" t="str">
        <f>VLOOKUP(A951,Response!$A:$M,7,)</f>
        <v>PG (Paying Guest)</v>
      </c>
      <c r="N951" t="str">
        <f>VLOOKUP(A951,Response!$A:$M,8,)</f>
        <v>Sai Venkata Hanuman Gents PG, Egattur</v>
      </c>
      <c r="O951" s="4">
        <f>VLOOKUP(A951,Response!$A:$M,10,)</f>
        <v>3</v>
      </c>
      <c r="P951" t="str">
        <f>VLOOKUP(A951,Response!$A:$M,12,)</f>
        <v>No</v>
      </c>
      <c r="Q951" t="str">
        <f>VLOOKUP(A951,Response!$A:$M,11,)</f>
        <v>Egattur</v>
      </c>
      <c r="R951" t="s">
        <v>19</v>
      </c>
      <c r="S951" s="39" t="s">
        <v>37</v>
      </c>
    </row>
    <row r="952" spans="1:19">
      <c r="A952" s="3">
        <v>2533060</v>
      </c>
      <c r="B952" t="str">
        <f>VLOOKUP(A952,File!$A:$J,2,FALSE)</f>
        <v>Vyshnavi Belide</v>
      </c>
      <c r="C952" s="29">
        <f>VLOOKUP(A952,File!$A:$J,5,FALSE)</f>
        <v>46259</v>
      </c>
      <c r="D952" s="29" t="str">
        <f>VLOOKUP(A952,File!$A:$J,3,FALSE)</f>
        <v>Female</v>
      </c>
      <c r="E952" s="29" t="str">
        <f>VLOOKUP(A952,File!$A:$J,4,FALSE)</f>
        <v>FTE</v>
      </c>
      <c r="F952" s="29" t="str">
        <f>VLOOKUP(A952,File!$A:$J,6,FALSE)</f>
        <v>Chennai</v>
      </c>
      <c r="G952" s="29" t="str">
        <f>VLOOKUP(A952,File!$A:$J,7,FALSE)</f>
        <v>CIS26AT008</v>
      </c>
      <c r="H952" s="29" t="str">
        <f>VLOOKUP(A952,File!$A:$J,8,FALSE)</f>
        <v>Uma Venkatachalam</v>
      </c>
      <c r="I952" s="31">
        <f>VLOOKUP(A952,File!$A:$J,9,FALSE)</f>
        <v>46365</v>
      </c>
      <c r="J952" s="31" t="str">
        <f>VLOOKUP(A952,File!$A:$K,11,FALSE)</f>
        <v>Dec 2026</v>
      </c>
      <c r="K952" s="31" t="str">
        <f>VLOOKUP(A952,File!$A:$K,10,FALSE)</f>
        <v>In-Training</v>
      </c>
      <c r="L952" s="31" t="s">
        <v>4</v>
      </c>
      <c r="M952" t="str">
        <f>VLOOKUP(A952,Response!$A:$M,7,)</f>
        <v>PG (Paying Guest)</v>
      </c>
      <c r="N952" t="str">
        <f>VLOOKUP(A952,Response!$A:$M,8,)</f>
        <v>SaiGrand Womens PG -Branch new ,Egatur,Siruseri,Tamil Nadu - 603103</v>
      </c>
      <c r="O952" s="4">
        <f>VLOOKUP(A952,Response!$A:$M,10,)</f>
        <v>1</v>
      </c>
      <c r="P952" t="str">
        <f>VLOOKUP(A952,Response!$A:$M,12,)</f>
        <v>No</v>
      </c>
      <c r="Q952" t="str">
        <f>VLOOKUP(A952,Response!$A:$M,11,)</f>
        <v>Siruseri</v>
      </c>
      <c r="R952" t="s">
        <v>19</v>
      </c>
      <c r="S952" s="39" t="s">
        <v>37</v>
      </c>
    </row>
    <row r="953" spans="1:19">
      <c r="A953" s="3">
        <v>2525069</v>
      </c>
      <c r="B953" t="str">
        <f>VLOOKUP(A953,File!$A:$J,2,FALSE)</f>
        <v>Jami Sowjanya</v>
      </c>
      <c r="C953" s="29">
        <f>VLOOKUP(A953,File!$A:$J,5,FALSE)</f>
        <v>46226</v>
      </c>
      <c r="D953" s="29" t="str">
        <f>VLOOKUP(A953,File!$A:$J,3,FALSE)</f>
        <v>Female</v>
      </c>
      <c r="E953" s="29" t="str">
        <f>VLOOKUP(A953,File!$A:$J,4,FALSE)</f>
        <v>FTE</v>
      </c>
      <c r="F953" s="29" t="str">
        <f>VLOOKUP(A953,File!$A:$J,6,FALSE)</f>
        <v>Chennai</v>
      </c>
      <c r="G953" s="29" t="str">
        <f>VLOOKUP(A953,File!$A:$J,7,FALSE)</f>
        <v>ADM26ISMO010</v>
      </c>
      <c r="H953" s="29" t="str">
        <f>VLOOKUP(A953,File!$A:$J,8,FALSE)</f>
        <v>Thomas Naveen. J</v>
      </c>
      <c r="I953" s="31">
        <f>VLOOKUP(A953,File!$A:$J,9,FALSE)</f>
        <v>46301</v>
      </c>
      <c r="J953" s="31" t="str">
        <f>VLOOKUP(A953,File!$A:$K,11,FALSE)</f>
        <v>Oct 2026</v>
      </c>
      <c r="K953" s="31" t="str">
        <f>VLOOKUP(A953,File!$A:$K,10,FALSE)</f>
        <v>In-Training</v>
      </c>
      <c r="L953" s="31" t="s">
        <v>4</v>
      </c>
      <c r="M953" t="str">
        <f>VLOOKUP(A953,Response!$A:$M,7,)</f>
        <v>Hostel</v>
      </c>
      <c r="N953" t="str">
        <f>VLOOKUP(A953,Response!$A:$M,8,)</f>
        <v>SAIRAM LADIES HOSTEL</v>
      </c>
      <c r="O953" s="4">
        <f>VLOOKUP(A953,Response!$A:$M,10,)</f>
        <v>3</v>
      </c>
      <c r="P953" t="str">
        <f>VLOOKUP(A953,Response!$A:$M,12,)</f>
        <v>No</v>
      </c>
      <c r="Q953" t="str">
        <f>VLOOKUP(A953,Response!$A:$M,11,)</f>
        <v>Navalur</v>
      </c>
      <c r="R953" t="s">
        <v>19</v>
      </c>
      <c r="S953" s="39" t="s">
        <v>37</v>
      </c>
    </row>
    <row r="954" spans="1:19">
      <c r="A954" s="3">
        <v>2519689</v>
      </c>
      <c r="B954" t="str">
        <f>VLOOKUP(A954,File!$A:$J,2,FALSE)</f>
        <v>Sarathi R M</v>
      </c>
      <c r="C954" s="29">
        <f>VLOOKUP(A954,File!$A:$J,5,FALSE)</f>
        <v>46205</v>
      </c>
      <c r="D954" s="29" t="str">
        <f>VLOOKUP(A954,File!$A:$J,3,FALSE)</f>
        <v>Male</v>
      </c>
      <c r="E954" s="29" t="str">
        <f>VLOOKUP(A954,File!$A:$J,4,FALSE)</f>
        <v>FTE</v>
      </c>
      <c r="F954" s="29" t="str">
        <f>VLOOKUP(A954,File!$A:$J,6,FALSE)</f>
        <v>Chennai</v>
      </c>
      <c r="G954" s="29" t="str">
        <f>VLOOKUP(A954,File!$A:$J,7,FALSE)</f>
        <v>CIS26DWP021</v>
      </c>
      <c r="H954" s="29" t="str">
        <f>VLOOKUP(A954,File!$A:$J,8,FALSE)</f>
        <v>Laksiya Vijayendran</v>
      </c>
      <c r="I954" s="31">
        <f>VLOOKUP(A954,File!$A:$J,9,FALSE)</f>
        <v>46272</v>
      </c>
      <c r="J954" s="31" t="str">
        <f>VLOOKUP(A954,File!$A:$K,11,FALSE)</f>
        <v>Sep 2026</v>
      </c>
      <c r="K954" s="31" t="str">
        <f>VLOOKUP(A954,File!$A:$K,10,FALSE)</f>
        <v>In-Training</v>
      </c>
      <c r="L954" s="31" t="s">
        <v>5</v>
      </c>
      <c r="M954" t="str">
        <f>VLOOKUP(A954,Response!$A:$M,7,)</f>
        <v>Rented House/Apartment</v>
      </c>
      <c r="N954" t="str">
        <f>VLOOKUP(A954,Response!$A:$M,8,)</f>
        <v>Sambaths home No.16 Taramani</v>
      </c>
      <c r="O954" s="4" t="str">
        <f>VLOOKUP(A954,Response!$A:$M,10,)</f>
        <v>GF</v>
      </c>
      <c r="P954" t="str">
        <f>VLOOKUP(A954,Response!$A:$M,12,)</f>
        <v>No</v>
      </c>
      <c r="Q954" t="str">
        <f>VLOOKUP(A954,Response!$A:$M,11,)</f>
        <v>Taramani</v>
      </c>
      <c r="R954" t="s">
        <v>64</v>
      </c>
      <c r="S954" t="s">
        <v>38</v>
      </c>
    </row>
    <row r="955" spans="1:19">
      <c r="A955" s="3">
        <v>2525022</v>
      </c>
      <c r="B955" t="str">
        <f>VLOOKUP(A955,File!$A:$J,2,FALSE)</f>
        <v>Hariharan Manikandan</v>
      </c>
      <c r="C955" s="29">
        <f>VLOOKUP(A955,File!$A:$J,5,FALSE)</f>
        <v>46226</v>
      </c>
      <c r="D955" s="29" t="str">
        <f>VLOOKUP(A955,File!$A:$J,3,FALSE)</f>
        <v>Male</v>
      </c>
      <c r="E955" s="29" t="str">
        <f>VLOOKUP(A955,File!$A:$J,4,FALSE)</f>
        <v>FTE</v>
      </c>
      <c r="F955" s="29" t="str">
        <f>VLOOKUP(A955,File!$A:$J,6,FALSE)</f>
        <v>Chennai</v>
      </c>
      <c r="G955" s="29" t="str">
        <f>VLOOKUP(A955,File!$A:$J,7,FALSE)</f>
        <v>ADM26ISMO010</v>
      </c>
      <c r="H955" s="29" t="str">
        <f>VLOOKUP(A955,File!$A:$J,8,FALSE)</f>
        <v>Thomas Naveen. J</v>
      </c>
      <c r="I955" s="31">
        <f>VLOOKUP(A955,File!$A:$J,9,FALSE)</f>
        <v>46301</v>
      </c>
      <c r="J955" s="31" t="str">
        <f>VLOOKUP(A955,File!$A:$K,11,FALSE)</f>
        <v>Oct 2026</v>
      </c>
      <c r="K955" s="31" t="str">
        <f>VLOOKUP(A955,File!$A:$K,10,FALSE)</f>
        <v>In-Training</v>
      </c>
      <c r="L955" s="31" t="s">
        <v>5</v>
      </c>
      <c r="M955" t="str">
        <f>VLOOKUP(A955,Response!$A:$M,7,)</f>
        <v>Rented House/Apartment</v>
      </c>
      <c r="N955" t="str">
        <f>VLOOKUP(A955,Response!$A:$M,8,)</f>
        <v>Sangara bhakathan street</v>
      </c>
      <c r="O955" s="4">
        <f>VLOOKUP(A955,Response!$A:$M,10,)</f>
        <v>2</v>
      </c>
      <c r="P955" t="str">
        <f>VLOOKUP(A955,Response!$A:$M,12,)</f>
        <v>Yes</v>
      </c>
      <c r="Q955" t="str">
        <f>VLOOKUP(A955,Response!$A:$M,11,)</f>
        <v>Ayanavaram</v>
      </c>
      <c r="R955" t="s">
        <v>66</v>
      </c>
      <c r="S955" s="40" t="s">
        <v>36</v>
      </c>
    </row>
    <row r="956" spans="1:19">
      <c r="A956" s="3">
        <v>2531407</v>
      </c>
      <c r="B956" t="str">
        <f>VLOOKUP(A956,File!$A:$J,2,FALSE)</f>
        <v>Gayathri J</v>
      </c>
      <c r="C956" s="29">
        <f>VLOOKUP(A956,File!$A:$J,5,FALSE)</f>
        <v>46252</v>
      </c>
      <c r="D956" s="29" t="str">
        <f>VLOOKUP(A956,File!$A:$J,3,FALSE)</f>
        <v>Female</v>
      </c>
      <c r="E956" s="29" t="str">
        <f>VLOOKUP(A956,File!$A:$J,4,FALSE)</f>
        <v>FTE</v>
      </c>
      <c r="F956" s="29" t="str">
        <f>VLOOKUP(A956,File!$A:$J,6,FALSE)</f>
        <v>Chennai</v>
      </c>
      <c r="G956" s="29" t="str">
        <f>VLOOKUP(A956,File!$A:$J,7,FALSE)</f>
        <v>EPS26SAP036</v>
      </c>
      <c r="H956" s="29" t="str">
        <f>VLOOKUP(A956,File!$A:$J,8,FALSE)</f>
        <v>Vishnupriya Dakshnamurthy</v>
      </c>
      <c r="I956" s="31">
        <f>VLOOKUP(A956,File!$A:$J,9,FALSE)</f>
        <v>46335</v>
      </c>
      <c r="J956" s="31" t="str">
        <f>VLOOKUP(A956,File!$A:$K,11,FALSE)</f>
        <v>Nov 2026</v>
      </c>
      <c r="K956" s="31" t="str">
        <f>VLOOKUP(A956,File!$A:$K,10,FALSE)</f>
        <v>In-Training</v>
      </c>
      <c r="L956" s="31" t="s">
        <v>5</v>
      </c>
      <c r="M956" t="str">
        <f>VLOOKUP(A956,Response!$A:$M,7,)</f>
        <v>Relatives Residence</v>
      </c>
      <c r="N956" t="str">
        <f>VLOOKUP(A956,Response!$A:$M,8,)</f>
        <v>SANTHA TOWERS PARUTHIPATTU AVADI</v>
      </c>
      <c r="O956" s="4">
        <f>VLOOKUP(A956,Response!$A:$M,10,)</f>
        <v>4</v>
      </c>
      <c r="P956" t="str">
        <f>VLOOKUP(A956,Response!$A:$M,12,)</f>
        <v>Yes</v>
      </c>
      <c r="Q956" t="str">
        <f>VLOOKUP(A956,Response!$A:$M,11,)</f>
        <v>PORUR</v>
      </c>
      <c r="S956" t="s">
        <v>38</v>
      </c>
    </row>
    <row r="957" spans="1:19">
      <c r="A957" s="3">
        <v>2523381</v>
      </c>
      <c r="B957" t="str">
        <f>VLOOKUP(A957,File!$A:$J,2,FALSE)</f>
        <v>Dhivakar LNU</v>
      </c>
      <c r="C957" s="29">
        <f>VLOOKUP(A957,File!$A:$J,5,FALSE)</f>
        <v>46219</v>
      </c>
      <c r="D957" s="29" t="str">
        <f>VLOOKUP(A957,File!$A:$J,3,FALSE)</f>
        <v>Male</v>
      </c>
      <c r="E957" s="29" t="str">
        <f>VLOOKUP(A957,File!$A:$J,4,FALSE)</f>
        <v>FTE</v>
      </c>
      <c r="F957" s="29" t="str">
        <f>VLOOKUP(A957,File!$A:$J,6,FALSE)</f>
        <v>Chennai</v>
      </c>
      <c r="G957" s="29" t="str">
        <f>VLOOKUP(A957,File!$A:$J,7,FALSE)</f>
        <v>CS26CS009</v>
      </c>
      <c r="H957" s="29" t="str">
        <f>VLOOKUP(A957,File!$A:$J,8,FALSE)</f>
        <v>Laksiya Vijayendran</v>
      </c>
      <c r="I957" s="31">
        <f>VLOOKUP(A957,File!$A:$J,9,FALSE)</f>
        <v>46309</v>
      </c>
      <c r="J957" s="31" t="str">
        <f>VLOOKUP(A957,File!$A:$K,11,FALSE)</f>
        <v>Oct 2026</v>
      </c>
      <c r="K957" s="31" t="str">
        <f>VLOOKUP(A957,File!$A:$K,10,FALSE)</f>
        <v>In-Training</v>
      </c>
      <c r="L957" s="31" t="s">
        <v>4</v>
      </c>
      <c r="M957" t="str">
        <f>VLOOKUP(A957,Response!$A:$M,7,)</f>
        <v>PG (Paying Guest)</v>
      </c>
      <c r="N957" t="str">
        <f>VLOOKUP(A957,Response!$A:$M,8,)</f>
        <v>Saravan Mens PG, Egattur</v>
      </c>
      <c r="O957" s="4">
        <f>VLOOKUP(A957,Response!$A:$M,10,)</f>
        <v>4</v>
      </c>
      <c r="P957" t="str">
        <f>VLOOKUP(A957,Response!$A:$M,12,)</f>
        <v>Yes</v>
      </c>
      <c r="Q957" t="str">
        <f>VLOOKUP(A957,Response!$A:$M,11,)</f>
        <v>Egattur</v>
      </c>
      <c r="R957" t="s">
        <v>19</v>
      </c>
      <c r="S957" s="39" t="s">
        <v>37</v>
      </c>
    </row>
    <row r="958" spans="1:19">
      <c r="A958" s="3">
        <v>2512291</v>
      </c>
      <c r="B958" t="str">
        <f>VLOOKUP(A958,File!$A:$J,2,FALSE)</f>
        <v>Taher Samir Kazi</v>
      </c>
      <c r="C958" s="29">
        <f>VLOOKUP(A958,File!$A:$J,5,FALSE)</f>
        <v>46170</v>
      </c>
      <c r="D958" s="29" t="str">
        <f>VLOOKUP(A958,File!$A:$J,3,FALSE)</f>
        <v>Male</v>
      </c>
      <c r="E958" s="29" t="str">
        <f>VLOOKUP(A958,File!$A:$J,4,FALSE)</f>
        <v>FTE</v>
      </c>
      <c r="F958" s="29" t="str">
        <f>VLOOKUP(A958,File!$A:$J,6,FALSE)</f>
        <v>Chennai</v>
      </c>
      <c r="G958" s="29" t="str">
        <f>VLOOKUP(A958,File!$A:$J,7,FALSE)</f>
        <v>CIS26MCPT012</v>
      </c>
      <c r="H958" s="29" t="str">
        <f>VLOOKUP(A958,File!$A:$J,8,FALSE)</f>
        <v>Uma Venkatachalam</v>
      </c>
      <c r="I958" s="31">
        <f>VLOOKUP(A958,File!$A:$J,9,FALSE)</f>
        <v>46282</v>
      </c>
      <c r="J958" s="31" t="str">
        <f>VLOOKUP(A958,File!$A:$K,11,FALSE)</f>
        <v>Sep 2026</v>
      </c>
      <c r="K958" s="31" t="str">
        <f>VLOOKUP(A958,File!$A:$K,10,FALSE)</f>
        <v>In-Training</v>
      </c>
      <c r="L958" s="31" t="s">
        <v>4</v>
      </c>
      <c r="M958" t="str">
        <f>VLOOKUP(A958,Response!$A:$M,7,)</f>
        <v>PG (Paying Guest)</v>
      </c>
      <c r="N958" t="str">
        <f>VLOOKUP(A958,Response!$A:$M,8,)</f>
        <v>Saravana Gents Pg Egattur</v>
      </c>
      <c r="O958" s="4">
        <f>VLOOKUP(A958,Response!$A:$M,10,)</f>
        <v>2</v>
      </c>
      <c r="P958" t="str">
        <f>VLOOKUP(A958,Response!$A:$M,12,)</f>
        <v>No</v>
      </c>
      <c r="Q958" t="str">
        <f>VLOOKUP(A958,Response!$A:$M,11,)</f>
        <v>Egattur</v>
      </c>
      <c r="R958" t="s">
        <v>19</v>
      </c>
      <c r="S958" s="39" t="s">
        <v>37</v>
      </c>
    </row>
    <row r="959" spans="1:19">
      <c r="A959" s="3">
        <v>2511291</v>
      </c>
      <c r="B959" t="str">
        <f>VLOOKUP(A959,File!$A:$J,2,FALSE)</f>
        <v>Pratik Santosh Kulkarni</v>
      </c>
      <c r="C959" s="29">
        <f>VLOOKUP(A959,File!$A:$J,5,FALSE)</f>
        <v>46163</v>
      </c>
      <c r="D959" s="29" t="str">
        <f>VLOOKUP(A959,File!$A:$J,3,FALSE)</f>
        <v>Male</v>
      </c>
      <c r="E959" s="29" t="str">
        <f>VLOOKUP(A959,File!$A:$J,4,FALSE)</f>
        <v>FTE</v>
      </c>
      <c r="F959" s="29" t="str">
        <f>VLOOKUP(A959,File!$A:$J,6,FALSE)</f>
        <v>Chennai</v>
      </c>
      <c r="G959" s="29" t="str">
        <f>VLOOKUP(A959,File!$A:$J,7,FALSE)</f>
        <v>CIS26MCPT010</v>
      </c>
      <c r="H959" s="29" t="str">
        <f>VLOOKUP(A959,File!$A:$J,8,FALSE)</f>
        <v>Mohamed Harish</v>
      </c>
      <c r="I959" s="31">
        <f>VLOOKUP(A959,File!$A:$J,9,FALSE)</f>
        <v>46280</v>
      </c>
      <c r="J959" s="31" t="str">
        <f>VLOOKUP(A959,File!$A:$K,11,FALSE)</f>
        <v>Sep 2026</v>
      </c>
      <c r="K959" s="31" t="str">
        <f>VLOOKUP(A959,File!$A:$K,10,FALSE)</f>
        <v>In-Training</v>
      </c>
      <c r="L959" s="31" t="s">
        <v>4</v>
      </c>
      <c r="M959" t="str">
        <f>VLOOKUP(A959,Response!$A:$M,7,)</f>
        <v>PG (Paying Guest)</v>
      </c>
      <c r="N959" t="str">
        <f>VLOOKUP(A959,Response!$A:$M,8,)</f>
        <v>Saravana PG mens, Egattur</v>
      </c>
      <c r="O959" s="4">
        <f>VLOOKUP(A959,Response!$A:$M,10,)</f>
        <v>1</v>
      </c>
      <c r="P959" t="str">
        <f>VLOOKUP(A959,Response!$A:$M,12,)</f>
        <v>No</v>
      </c>
      <c r="Q959" t="str">
        <f>VLOOKUP(A959,Response!$A:$M,11,)</f>
        <v>Egattur</v>
      </c>
      <c r="R959" t="s">
        <v>19</v>
      </c>
      <c r="S959" s="39" t="s">
        <v>37</v>
      </c>
    </row>
    <row r="960" spans="1:19">
      <c r="A960" s="3">
        <v>2511279</v>
      </c>
      <c r="B960" t="str">
        <f>VLOOKUP(A960,File!$A:$J,2,FALSE)</f>
        <v>Sahil Gupta</v>
      </c>
      <c r="C960" s="29">
        <f>VLOOKUP(A960,File!$A:$J,5,FALSE)</f>
        <v>46163</v>
      </c>
      <c r="D960" s="29" t="str">
        <f>VLOOKUP(A960,File!$A:$J,3,FALSE)</f>
        <v>Male</v>
      </c>
      <c r="E960" s="29" t="str">
        <f>VLOOKUP(A960,File!$A:$J,4,FALSE)</f>
        <v>FTE</v>
      </c>
      <c r="F960" s="29" t="str">
        <f>VLOOKUP(A960,File!$A:$J,6,FALSE)</f>
        <v>Chennai</v>
      </c>
      <c r="G960" s="29" t="str">
        <f>VLOOKUP(A960,File!$A:$J,7,FALSE)</f>
        <v>CIS26MCPT010</v>
      </c>
      <c r="H960" s="29" t="str">
        <f>VLOOKUP(A960,File!$A:$J,8,FALSE)</f>
        <v>Mohamed Harish</v>
      </c>
      <c r="I960" s="31">
        <f>VLOOKUP(A960,File!$A:$J,9,FALSE)</f>
        <v>46280</v>
      </c>
      <c r="J960" s="31" t="str">
        <f>VLOOKUP(A960,File!$A:$K,11,FALSE)</f>
        <v>Sep 2026</v>
      </c>
      <c r="K960" s="31" t="str">
        <f>VLOOKUP(A960,File!$A:$K,10,FALSE)</f>
        <v>In-Training</v>
      </c>
      <c r="L960" s="31" t="s">
        <v>4</v>
      </c>
      <c r="M960" t="str">
        <f>VLOOKUP(A960,Response!$A:$M,7,)</f>
        <v>PG (Paying Guest)</v>
      </c>
      <c r="N960" t="str">
        <f>VLOOKUP(A960,Response!$A:$M,8,)</f>
        <v>Sarvana Gents PG</v>
      </c>
      <c r="O960" s="4">
        <f>VLOOKUP(A960,Response!$A:$M,10,)</f>
        <v>2</v>
      </c>
      <c r="P960" t="str">
        <f>VLOOKUP(A960,Response!$A:$M,12,)</f>
        <v>No</v>
      </c>
      <c r="Q960" t="str">
        <f>VLOOKUP(A960,Response!$A:$M,11,)</f>
        <v>Siruseri</v>
      </c>
      <c r="R960" t="s">
        <v>19</v>
      </c>
      <c r="S960" s="39" t="s">
        <v>37</v>
      </c>
    </row>
    <row r="961" spans="1:19">
      <c r="A961" s="3">
        <v>2511272</v>
      </c>
      <c r="B961" t="str">
        <f>VLOOKUP(A961,File!$A:$J,2,FALSE)</f>
        <v>Vaibhav Nivrutti Subhash Dhawale</v>
      </c>
      <c r="C961" s="29">
        <f>VLOOKUP(A961,File!$A:$J,5,FALSE)</f>
        <v>46163</v>
      </c>
      <c r="D961" s="29" t="str">
        <f>VLOOKUP(A961,File!$A:$J,3,FALSE)</f>
        <v>Male</v>
      </c>
      <c r="E961" s="29" t="str">
        <f>VLOOKUP(A961,File!$A:$J,4,FALSE)</f>
        <v>FTE</v>
      </c>
      <c r="F961" s="29" t="str">
        <f>VLOOKUP(A961,File!$A:$J,6,FALSE)</f>
        <v>Chennai</v>
      </c>
      <c r="G961" s="29" t="str">
        <f>VLOOKUP(A961,File!$A:$J,7,FALSE)</f>
        <v>CIS26MCPT010</v>
      </c>
      <c r="H961" s="29" t="str">
        <f>VLOOKUP(A961,File!$A:$J,8,FALSE)</f>
        <v>Mohamed Harish</v>
      </c>
      <c r="I961" s="31">
        <f>VLOOKUP(A961,File!$A:$J,9,FALSE)</f>
        <v>46275</v>
      </c>
      <c r="J961" s="31" t="str">
        <f>VLOOKUP(A961,File!$A:$K,11,FALSE)</f>
        <v>Sep 2026</v>
      </c>
      <c r="K961" s="31" t="str">
        <f>VLOOKUP(A961,File!$A:$K,10,FALSE)</f>
        <v>In-Training</v>
      </c>
      <c r="L961" s="31" t="s">
        <v>4</v>
      </c>
      <c r="M961" t="str">
        <f>VLOOKUP(A961,Response!$A:$M,7,)</f>
        <v>PG (Paying Guest)</v>
      </c>
      <c r="N961" t="str">
        <f>VLOOKUP(A961,Response!$A:$M,8,)</f>
        <v xml:space="preserve">Sarvana Gents PG Egattur </v>
      </c>
      <c r="O961" s="4">
        <f>VLOOKUP(A961,Response!$A:$M,10,)</f>
        <v>2</v>
      </c>
      <c r="P961" t="str">
        <f>VLOOKUP(A961,Response!$A:$M,12,)</f>
        <v>No</v>
      </c>
      <c r="Q961" t="str">
        <f>VLOOKUP(A961,Response!$A:$M,11,)</f>
        <v>Siruseri</v>
      </c>
      <c r="R961" t="s">
        <v>19</v>
      </c>
      <c r="S961" s="39" t="s">
        <v>37</v>
      </c>
    </row>
    <row r="962" spans="1:19">
      <c r="A962" s="3">
        <v>2511292</v>
      </c>
      <c r="B962" t="str">
        <f>VLOOKUP(A962,File!$A:$J,2,FALSE)</f>
        <v>Vishal Prajapat</v>
      </c>
      <c r="C962" s="29">
        <f>VLOOKUP(A962,File!$A:$J,5,FALSE)</f>
        <v>46163</v>
      </c>
      <c r="D962" s="29" t="str">
        <f>VLOOKUP(A962,File!$A:$J,3,FALSE)</f>
        <v>Male</v>
      </c>
      <c r="E962" s="29" t="str">
        <f>VLOOKUP(A962,File!$A:$J,4,FALSE)</f>
        <v>FTE</v>
      </c>
      <c r="F962" s="29" t="str">
        <f>VLOOKUP(A962,File!$A:$J,6,FALSE)</f>
        <v>Chennai</v>
      </c>
      <c r="G962" s="29" t="str">
        <f>VLOOKUP(A962,File!$A:$J,7,FALSE)</f>
        <v>CIS26MCPT010</v>
      </c>
      <c r="H962" s="29" t="str">
        <f>VLOOKUP(A962,File!$A:$J,8,FALSE)</f>
        <v>Mohamed Harish</v>
      </c>
      <c r="I962" s="31">
        <f>VLOOKUP(A962,File!$A:$J,9,FALSE)</f>
        <v>46280</v>
      </c>
      <c r="J962" s="31" t="str">
        <f>VLOOKUP(A962,File!$A:$K,11,FALSE)</f>
        <v>Sep 2026</v>
      </c>
      <c r="K962" s="31" t="str">
        <f>VLOOKUP(A962,File!$A:$K,10,FALSE)</f>
        <v>In-Training</v>
      </c>
      <c r="L962" s="31" t="s">
        <v>4</v>
      </c>
      <c r="M962" t="str">
        <f>VLOOKUP(A962,Response!$A:$M,7,)</f>
        <v>PG (Paying Guest)</v>
      </c>
      <c r="N962" t="str">
        <f>VLOOKUP(A962,Response!$A:$M,8,)</f>
        <v>Sarvana mens Pg</v>
      </c>
      <c r="O962" s="4">
        <f>VLOOKUP(A962,Response!$A:$M,10,)</f>
        <v>1</v>
      </c>
      <c r="P962" t="str">
        <f>VLOOKUP(A962,Response!$A:$M,12,)</f>
        <v>No</v>
      </c>
      <c r="Q962" t="str">
        <f>VLOOKUP(A962,Response!$A:$M,11,)</f>
        <v>Egattur</v>
      </c>
      <c r="R962" t="s">
        <v>19</v>
      </c>
      <c r="S962" s="39" t="s">
        <v>37</v>
      </c>
    </row>
    <row r="963" spans="1:19">
      <c r="A963" s="3">
        <v>2511247</v>
      </c>
      <c r="B963" t="str">
        <f>VLOOKUP(A963,File!$A:$J,2,FALSE)</f>
        <v>Avishkar Sunil Anpat</v>
      </c>
      <c r="C963" s="29">
        <f>VLOOKUP(A963,File!$A:$J,5,FALSE)</f>
        <v>46163</v>
      </c>
      <c r="D963" s="29" t="str">
        <f>VLOOKUP(A963,File!$A:$J,3,FALSE)</f>
        <v>Male</v>
      </c>
      <c r="E963" s="29" t="str">
        <f>VLOOKUP(A963,File!$A:$J,4,FALSE)</f>
        <v>FTE</v>
      </c>
      <c r="F963" s="29" t="str">
        <f>VLOOKUP(A963,File!$A:$J,6,FALSE)</f>
        <v>Chennai</v>
      </c>
      <c r="G963" s="29" t="str">
        <f>VLOOKUP(A963,File!$A:$J,7,FALSE)</f>
        <v>CIS26MCPT010</v>
      </c>
      <c r="H963" s="29" t="str">
        <f>VLOOKUP(A963,File!$A:$J,8,FALSE)</f>
        <v>Mohamed Harish</v>
      </c>
      <c r="I963" s="31">
        <f>VLOOKUP(A963,File!$A:$J,9,FALSE)</f>
        <v>46275</v>
      </c>
      <c r="J963" s="31" t="str">
        <f>VLOOKUP(A963,File!$A:$K,11,FALSE)</f>
        <v>Sep 2026</v>
      </c>
      <c r="K963" s="31" t="str">
        <f>VLOOKUP(A963,File!$A:$K,10,FALSE)</f>
        <v>In-Training</v>
      </c>
      <c r="L963" s="31" t="s">
        <v>4</v>
      </c>
      <c r="M963" t="str">
        <f>VLOOKUP(A963,Response!$A:$M,7,)</f>
        <v>PG (Paying Guest)</v>
      </c>
      <c r="N963" t="str">
        <f>VLOOKUP(A963,Response!$A:$M,8,)</f>
        <v>Seevram</v>
      </c>
      <c r="O963" s="4">
        <f>VLOOKUP(A963,Response!$A:$M,10,)</f>
        <v>1</v>
      </c>
      <c r="P963" t="str">
        <f>VLOOKUP(A963,Response!$A:$M,12,)</f>
        <v>No</v>
      </c>
      <c r="Q963" t="str">
        <f>VLOOKUP(A963,Response!$A:$M,11,)</f>
        <v>Karapakkam</v>
      </c>
      <c r="R963" t="s">
        <v>17</v>
      </c>
      <c r="S963" s="39" t="s">
        <v>37</v>
      </c>
    </row>
    <row r="964" spans="1:19">
      <c r="A964" s="3">
        <v>2523399</v>
      </c>
      <c r="B964" t="str">
        <f>VLOOKUP(A964,File!$A:$J,2,FALSE)</f>
        <v>Vaka Kalyani</v>
      </c>
      <c r="C964" s="29">
        <f>VLOOKUP(A964,File!$A:$J,5,FALSE)</f>
        <v>46219</v>
      </c>
      <c r="D964" s="29" t="str">
        <f>VLOOKUP(A964,File!$A:$J,3,FALSE)</f>
        <v>Female</v>
      </c>
      <c r="E964" s="29" t="str">
        <f>VLOOKUP(A964,File!$A:$J,4,FALSE)</f>
        <v>FTE</v>
      </c>
      <c r="F964" s="29" t="str">
        <f>VLOOKUP(A964,File!$A:$J,6,FALSE)</f>
        <v>Chennai</v>
      </c>
      <c r="G964" s="29" t="str">
        <f>VLOOKUP(A964,File!$A:$J,7,FALSE)</f>
        <v>CS26CS009</v>
      </c>
      <c r="H964" s="29" t="str">
        <f>VLOOKUP(A964,File!$A:$J,8,FALSE)</f>
        <v>Laksiya Vijayendran</v>
      </c>
      <c r="I964" s="31">
        <f>VLOOKUP(A964,File!$A:$J,9,FALSE)</f>
        <v>46309</v>
      </c>
      <c r="J964" s="31" t="str">
        <f>VLOOKUP(A964,File!$A:$K,11,FALSE)</f>
        <v>Oct 2026</v>
      </c>
      <c r="K964" s="31" t="str">
        <f>VLOOKUP(A964,File!$A:$K,10,FALSE)</f>
        <v>In-Training</v>
      </c>
      <c r="L964" s="31" t="s">
        <v>4</v>
      </c>
      <c r="M964" t="str">
        <f>VLOOKUP(A964,Response!$A:$M,7,)</f>
        <v>PG (Paying Guest)</v>
      </c>
      <c r="N964" t="str">
        <f>VLOOKUP(A964,Response!$A:$M,8,)</f>
        <v>Selvis Ladies Pg,Navalur</v>
      </c>
      <c r="O964" s="4">
        <f>VLOOKUP(A964,Response!$A:$M,10,)</f>
        <v>2</v>
      </c>
      <c r="P964" t="str">
        <f>VLOOKUP(A964,Response!$A:$M,12,)</f>
        <v>No</v>
      </c>
      <c r="Q964" t="str">
        <f>VLOOKUP(A964,Response!$A:$M,11,)</f>
        <v>Navalur</v>
      </c>
      <c r="R964" t="s">
        <v>19</v>
      </c>
      <c r="S964" s="39" t="s">
        <v>37</v>
      </c>
    </row>
    <row r="965" spans="1:19">
      <c r="A965" s="3">
        <v>2521752</v>
      </c>
      <c r="B965" t="str">
        <f>VLOOKUP(A965,File!$A:$J,2,FALSE)</f>
        <v>Bachu Sai Smitha</v>
      </c>
      <c r="C965" s="29">
        <f>VLOOKUP(A965,File!$A:$J,5,FALSE)</f>
        <v>46212</v>
      </c>
      <c r="D965" s="29" t="str">
        <f>VLOOKUP(A965,File!$A:$J,3,FALSE)</f>
        <v>Female</v>
      </c>
      <c r="E965" s="29" t="str">
        <f>VLOOKUP(A965,File!$A:$J,4,FALSE)</f>
        <v>FTE</v>
      </c>
      <c r="F965" s="29" t="str">
        <f>VLOOKUP(A965,File!$A:$J,6,FALSE)</f>
        <v>Chennai</v>
      </c>
      <c r="G965" s="29" t="str">
        <f>VLOOKUP(A965,File!$A:$J,7,FALSE)</f>
        <v>QEA26SD001</v>
      </c>
      <c r="H965" s="29" t="str">
        <f>VLOOKUP(A965,File!$A:$J,8,FALSE)</f>
        <v>Ajiesya D P</v>
      </c>
      <c r="I965" s="31">
        <f>VLOOKUP(A965,File!$A:$J,9,FALSE)</f>
        <v>46329</v>
      </c>
      <c r="J965" s="31" t="str">
        <f>VLOOKUP(A965,File!$A:$K,11,FALSE)</f>
        <v>Nov 2026</v>
      </c>
      <c r="K965" s="31" t="str">
        <f>VLOOKUP(A965,File!$A:$K,10,FALSE)</f>
        <v>In-Training</v>
      </c>
      <c r="L965" s="31" t="s">
        <v>4</v>
      </c>
      <c r="M965" t="str">
        <f>VLOOKUP(A965,Response!$A:$M,7,)</f>
        <v>PG (Paying Guest)</v>
      </c>
      <c r="N965" t="str">
        <f>VLOOKUP(A965,Response!$A:$M,8,)</f>
        <v>Shanmugas ladies PG, Egattur</v>
      </c>
      <c r="O965" s="4">
        <f>VLOOKUP(A965,Response!$A:$M,10,)</f>
        <v>3</v>
      </c>
      <c r="P965" t="str">
        <f>VLOOKUP(A965,Response!$A:$M,12,)</f>
        <v>No</v>
      </c>
      <c r="Q965" t="str">
        <f>VLOOKUP(A965,Response!$A:$M,11,)</f>
        <v>Egattur</v>
      </c>
      <c r="R965" t="s">
        <v>19</v>
      </c>
      <c r="S965" s="39" t="s">
        <v>37</v>
      </c>
    </row>
    <row r="966" spans="1:19">
      <c r="A966" s="3">
        <v>2524504</v>
      </c>
      <c r="B966" t="str">
        <f>VLOOKUP(A966,File!$A:$J,2,FALSE)</f>
        <v>Riya Dubey</v>
      </c>
      <c r="C966" s="29">
        <f>VLOOKUP(A966,File!$A:$J,5,FALSE)</f>
        <v>46224</v>
      </c>
      <c r="D966" s="29" t="str">
        <f>VLOOKUP(A966,File!$A:$J,3,FALSE)</f>
        <v>Female</v>
      </c>
      <c r="E966" s="29" t="str">
        <f>VLOOKUP(A966,File!$A:$J,4,FALSE)</f>
        <v>FTE</v>
      </c>
      <c r="F966" s="29" t="str">
        <f>VLOOKUP(A966,File!$A:$J,6,FALSE)</f>
        <v>Chennai</v>
      </c>
      <c r="G966" s="29" t="str">
        <f>VLOOKUP(A966,File!$A:$J,7,FALSE)</f>
        <v>QEA26QEPT024</v>
      </c>
      <c r="H966" s="29" t="str">
        <f>VLOOKUP(A966,File!$A:$J,8,FALSE)</f>
        <v>Ajiesya D P</v>
      </c>
      <c r="I966" s="31">
        <f>VLOOKUP(A966,File!$A:$J,9,FALSE)</f>
        <v>46330</v>
      </c>
      <c r="J966" s="31" t="str">
        <f>VLOOKUP(A966,File!$A:$K,11,FALSE)</f>
        <v>Nov 2026</v>
      </c>
      <c r="K966" s="31" t="str">
        <f>VLOOKUP(A966,File!$A:$K,10,FALSE)</f>
        <v>In-Training</v>
      </c>
      <c r="L966" s="31" t="s">
        <v>4</v>
      </c>
      <c r="M966" t="str">
        <f>VLOOKUP(A966,Response!$A:$M,7,)</f>
        <v>PG (Paying Guest)</v>
      </c>
      <c r="N966" t="str">
        <f>VLOOKUP(A966,Response!$A:$M,8,)</f>
        <v>Shanmugas Ladies PG,Egattur</v>
      </c>
      <c r="O966" s="4">
        <f>VLOOKUP(A966,Response!$A:$M,10,)</f>
        <v>2</v>
      </c>
      <c r="P966" t="str">
        <f>VLOOKUP(A966,Response!$A:$M,12,)</f>
        <v>No</v>
      </c>
      <c r="Q966" t="str">
        <f>VLOOKUP(A966,Response!$A:$M,11,)</f>
        <v>Egattur</v>
      </c>
      <c r="R966" t="s">
        <v>19</v>
      </c>
      <c r="S966" s="39" t="s">
        <v>37</v>
      </c>
    </row>
    <row r="967" spans="1:19">
      <c r="A967" s="3">
        <v>2523375</v>
      </c>
      <c r="B967" t="str">
        <f>VLOOKUP(A967,File!$A:$J,2,FALSE)</f>
        <v>Bala S</v>
      </c>
      <c r="C967" s="29">
        <f>VLOOKUP(A967,File!$A:$J,5,FALSE)</f>
        <v>46219</v>
      </c>
      <c r="D967" s="29" t="str">
        <f>VLOOKUP(A967,File!$A:$J,3,FALSE)</f>
        <v>Male</v>
      </c>
      <c r="E967" s="29" t="str">
        <f>VLOOKUP(A967,File!$A:$J,4,FALSE)</f>
        <v>FTE</v>
      </c>
      <c r="F967" s="29" t="str">
        <f>VLOOKUP(A967,File!$A:$J,6,FALSE)</f>
        <v>Chennai</v>
      </c>
      <c r="G967" s="29" t="str">
        <f>VLOOKUP(A967,File!$A:$J,7,FALSE)</f>
        <v>PG26JFR004</v>
      </c>
      <c r="H967" s="29" t="str">
        <f>VLOOKUP(A967,File!$A:$J,8,FALSE)</f>
        <v>Thomas Naveen. J</v>
      </c>
      <c r="I967" s="31">
        <f>VLOOKUP(A967,File!$A:$J,9,FALSE)</f>
        <v>46342</v>
      </c>
      <c r="J967" s="31" t="str">
        <f>VLOOKUP(A967,File!$A:$K,11,FALSE)</f>
        <v>Nov 2026</v>
      </c>
      <c r="K967" s="31" t="str">
        <f>VLOOKUP(A967,File!$A:$K,10,FALSE)</f>
        <v>In-Training</v>
      </c>
      <c r="L967" s="31" t="s">
        <v>4</v>
      </c>
      <c r="M967" t="str">
        <f>VLOOKUP(A967,Response!$A:$M,7,)</f>
        <v>PG (Paying Guest)</v>
      </c>
      <c r="N967" t="str">
        <f>VLOOKUP(A967,Response!$A:$M,8,)</f>
        <v>shasara PG</v>
      </c>
      <c r="O967" s="4">
        <f>VLOOKUP(A967,Response!$A:$M,10,)</f>
        <v>3</v>
      </c>
      <c r="P967" t="str">
        <f>VLOOKUP(A967,Response!$A:$M,12,)</f>
        <v>No</v>
      </c>
      <c r="Q967" t="str">
        <f>VLOOKUP(A967,Response!$A:$M,11,)</f>
        <v>Navalur</v>
      </c>
      <c r="R967" t="s">
        <v>19</v>
      </c>
      <c r="S967" s="39" t="s">
        <v>37</v>
      </c>
    </row>
    <row r="968" spans="1:19">
      <c r="A968" s="3">
        <v>2521621</v>
      </c>
      <c r="B968" t="str">
        <f>VLOOKUP(A968,File!$A:$J,2,FALSE)</f>
        <v>Uday Janardhan Shaharwale</v>
      </c>
      <c r="C968" s="29">
        <f>VLOOKUP(A968,File!$A:$J,5,FALSE)</f>
        <v>46212</v>
      </c>
      <c r="D968" s="29" t="str">
        <f>VLOOKUP(A968,File!$A:$J,3,FALSE)</f>
        <v>Male</v>
      </c>
      <c r="E968" s="29" t="str">
        <f>VLOOKUP(A968,File!$A:$J,4,FALSE)</f>
        <v>FTE</v>
      </c>
      <c r="F968" s="29" t="str">
        <f>VLOOKUP(A968,File!$A:$J,6,FALSE)</f>
        <v>Chennai</v>
      </c>
      <c r="G968" s="29" t="str">
        <f>VLOOKUP(A968,File!$A:$J,7,FALSE)</f>
        <v>AIA26DSAT004</v>
      </c>
      <c r="H968" s="29" t="str">
        <f>VLOOKUP(A968,File!$A:$J,8,FALSE)</f>
        <v>Pavithra Kandasamy</v>
      </c>
      <c r="I968" s="31">
        <f>VLOOKUP(A968,File!$A:$J,9,FALSE)</f>
        <v>46304</v>
      </c>
      <c r="J968" s="31" t="str">
        <f>VLOOKUP(A968,File!$A:$K,11,FALSE)</f>
        <v>Oct 2026</v>
      </c>
      <c r="K968" s="31" t="str">
        <f>VLOOKUP(A968,File!$A:$K,10,FALSE)</f>
        <v>In-Training</v>
      </c>
      <c r="L968" s="31" t="s">
        <v>4</v>
      </c>
      <c r="M968" t="str">
        <f>VLOOKUP(A968,Response!$A:$M,7,)</f>
        <v>PG (Paying Guest)</v>
      </c>
      <c r="N968" t="str">
        <f>VLOOKUP(A968,Response!$A:$M,8,)</f>
        <v>Shiva Sai (SS) gents pg, 7th cross street, phase 3, Egatur, Siruseri, Tamil Nadu 603103</v>
      </c>
      <c r="O968" s="4">
        <f>VLOOKUP(A968,Response!$A:$M,10,)</f>
        <v>4</v>
      </c>
      <c r="P968" t="str">
        <f>VLOOKUP(A968,Response!$A:$M,12,)</f>
        <v>No</v>
      </c>
      <c r="Q968" t="str">
        <f>VLOOKUP(A968,Response!$A:$M,11,)</f>
        <v>Egattur</v>
      </c>
      <c r="R968" t="s">
        <v>19</v>
      </c>
      <c r="S968" s="39" t="s">
        <v>37</v>
      </c>
    </row>
    <row r="969" spans="1:19">
      <c r="A969" s="3">
        <v>2511259</v>
      </c>
      <c r="B969" t="str">
        <f>VLOOKUP(A969,File!$A:$J,2,FALSE)</f>
        <v>Harsh Kumar</v>
      </c>
      <c r="C969" s="29">
        <f>VLOOKUP(A969,File!$A:$J,5,FALSE)</f>
        <v>46163</v>
      </c>
      <c r="D969" s="29" t="str">
        <f>VLOOKUP(A969,File!$A:$J,3,FALSE)</f>
        <v>Male</v>
      </c>
      <c r="E969" s="29" t="str">
        <f>VLOOKUP(A969,File!$A:$J,4,FALSE)</f>
        <v>FTE</v>
      </c>
      <c r="F969" s="29" t="str">
        <f>VLOOKUP(A969,File!$A:$J,6,FALSE)</f>
        <v>Chennai</v>
      </c>
      <c r="G969" s="29" t="str">
        <f>VLOOKUP(A969,File!$A:$J,7,FALSE)</f>
        <v>CIS26MCPT010</v>
      </c>
      <c r="H969" s="29" t="str">
        <f>VLOOKUP(A969,File!$A:$J,8,FALSE)</f>
        <v>Mohamed Harish</v>
      </c>
      <c r="I969" s="31">
        <f>VLOOKUP(A969,File!$A:$J,9,FALSE)</f>
        <v>46275</v>
      </c>
      <c r="J969" s="31" t="str">
        <f>VLOOKUP(A969,File!$A:$K,11,FALSE)</f>
        <v>Sep 2026</v>
      </c>
      <c r="K969" s="31" t="str">
        <f>VLOOKUP(A969,File!$A:$K,10,FALSE)</f>
        <v>In-Training</v>
      </c>
      <c r="L969" s="31" t="s">
        <v>4</v>
      </c>
      <c r="M969" t="str">
        <f>VLOOKUP(A969,Response!$A:$M,7,)</f>
        <v>PG (Paying Guest)</v>
      </c>
      <c r="N969" t="str">
        <f>VLOOKUP(A969,Response!$A:$M,8,)</f>
        <v>Shiva Sai Gents PG</v>
      </c>
      <c r="O969" s="4">
        <f>VLOOKUP(A969,Response!$A:$M,10,)</f>
        <v>3</v>
      </c>
      <c r="P969" t="str">
        <f>VLOOKUP(A969,Response!$A:$M,12,)</f>
        <v>No</v>
      </c>
      <c r="Q969" t="str">
        <f>VLOOKUP(A969,Response!$A:$M,11,)</f>
        <v>Siruseri</v>
      </c>
      <c r="R969" t="s">
        <v>19</v>
      </c>
      <c r="S969" s="39" t="s">
        <v>37</v>
      </c>
    </row>
    <row r="970" spans="1:19">
      <c r="A970" s="3">
        <v>2531803</v>
      </c>
      <c r="B970" t="str">
        <f>VLOOKUP(A970,File!$A:$J,2,FALSE)</f>
        <v>Shyam Sundhar S</v>
      </c>
      <c r="C970" s="29">
        <f>VLOOKUP(A970,File!$A:$J,5,FALSE)</f>
        <v>46254</v>
      </c>
      <c r="D970" s="29" t="str">
        <f>VLOOKUP(A970,File!$A:$J,3,FALSE)</f>
        <v>Male</v>
      </c>
      <c r="E970" s="29" t="str">
        <f>VLOOKUP(A970,File!$A:$J,4,FALSE)</f>
        <v>Intern</v>
      </c>
      <c r="F970" s="29" t="str">
        <f>VLOOKUP(A970,File!$A:$J,6,FALSE)</f>
        <v>Chennai</v>
      </c>
      <c r="G970" s="29" t="str">
        <f>VLOOKUP(A970,File!$A:$J,7,FALSE)</f>
        <v>INTFE26FE001</v>
      </c>
      <c r="H970" s="29" t="str">
        <f>VLOOKUP(A970,File!$A:$J,8,FALSE)</f>
        <v>Grace Esther S</v>
      </c>
      <c r="I970" s="31">
        <f>VLOOKUP(A970,File!$A:$J,9,FALSE)</f>
        <v>46310</v>
      </c>
      <c r="J970" s="31" t="str">
        <f>VLOOKUP(A970,File!$A:$K,11,FALSE)</f>
        <v>Oct 2026</v>
      </c>
      <c r="K970" s="31" t="str">
        <f>VLOOKUP(A970,File!$A:$K,10,FALSE)</f>
        <v>In-Training</v>
      </c>
      <c r="L970" s="31" t="s">
        <v>4</v>
      </c>
      <c r="M970" t="str">
        <f>VLOOKUP(A970,Response!$A:$M,7,)</f>
        <v>PG (Paying Guest)</v>
      </c>
      <c r="N970" t="str">
        <f>VLOOKUP(A970,Response!$A:$M,8,)</f>
        <v>Shivam Living Grandeur</v>
      </c>
      <c r="O970" s="4">
        <f>VLOOKUP(A970,Response!$A:$M,10,)</f>
        <v>5</v>
      </c>
      <c r="P970" t="str">
        <f>VLOOKUP(A970,Response!$A:$M,12,)</f>
        <v>Yes</v>
      </c>
      <c r="Q970" t="str">
        <f>VLOOKUP(A970,Response!$A:$M,11,)</f>
        <v>Egattur</v>
      </c>
      <c r="R970" t="s">
        <v>19</v>
      </c>
      <c r="S970" s="39" t="s">
        <v>37</v>
      </c>
    </row>
    <row r="971" spans="1:19">
      <c r="A971" s="3">
        <v>2531795</v>
      </c>
      <c r="B971" t="str">
        <f>VLOOKUP(A971,File!$A:$J,2,FALSE)</f>
        <v>Rakesh Kumar V S</v>
      </c>
      <c r="C971" s="29">
        <f>VLOOKUP(A971,File!$A:$J,5,FALSE)</f>
        <v>46254</v>
      </c>
      <c r="D971" s="29" t="str">
        <f>VLOOKUP(A971,File!$A:$J,3,FALSE)</f>
        <v>Male</v>
      </c>
      <c r="E971" s="29" t="str">
        <f>VLOOKUP(A971,File!$A:$J,4,FALSE)</f>
        <v>Intern</v>
      </c>
      <c r="F971" s="29" t="str">
        <f>VLOOKUP(A971,File!$A:$J,6,FALSE)</f>
        <v>Chennai</v>
      </c>
      <c r="G971" s="29" t="str">
        <f>VLOOKUP(A971,File!$A:$J,7,FALSE)</f>
        <v>INTFE26FE001</v>
      </c>
      <c r="H971" s="29" t="str">
        <f>VLOOKUP(A971,File!$A:$J,8,FALSE)</f>
        <v>Grace Esther S</v>
      </c>
      <c r="I971" s="31">
        <f>VLOOKUP(A971,File!$A:$J,9,FALSE)</f>
        <v>46310</v>
      </c>
      <c r="J971" s="31" t="str">
        <f>VLOOKUP(A971,File!$A:$K,11,FALSE)</f>
        <v>Oct 2026</v>
      </c>
      <c r="K971" s="31" t="str">
        <f>VLOOKUP(A971,File!$A:$K,10,FALSE)</f>
        <v>In-Training</v>
      </c>
      <c r="L971" s="31" t="s">
        <v>4</v>
      </c>
      <c r="M971" t="str">
        <f>VLOOKUP(A971,Response!$A:$M,7,)</f>
        <v>PG (Paying Guest)</v>
      </c>
      <c r="N971" t="str">
        <f>VLOOKUP(A971,Response!$A:$M,8,)</f>
        <v>Shivam Living pg</v>
      </c>
      <c r="O971" s="4">
        <f>VLOOKUP(A971,Response!$A:$M,10,)</f>
        <v>5</v>
      </c>
      <c r="P971" t="str">
        <f>VLOOKUP(A971,Response!$A:$M,12,)</f>
        <v>Yes</v>
      </c>
      <c r="Q971" t="str">
        <f>VLOOKUP(A971,Response!$A:$M,11,)</f>
        <v>Egattur</v>
      </c>
      <c r="R971" t="s">
        <v>19</v>
      </c>
      <c r="S971" s="39" t="s">
        <v>37</v>
      </c>
    </row>
    <row r="972" spans="1:19">
      <c r="A972" s="3">
        <v>2529526</v>
      </c>
      <c r="B972" t="str">
        <f>VLOOKUP(A972,File!$A:$J,2,FALSE)</f>
        <v>Giriaswin R</v>
      </c>
      <c r="C972" s="29">
        <f>VLOOKUP(A972,File!$A:$J,5,FALSE)</f>
        <v>46245</v>
      </c>
      <c r="D972" s="29" t="str">
        <f>VLOOKUP(A972,File!$A:$J,3,FALSE)</f>
        <v>Male</v>
      </c>
      <c r="E972" s="29" t="str">
        <f>VLOOKUP(A972,File!$A:$J,4,FALSE)</f>
        <v>FTE</v>
      </c>
      <c r="F972" s="29" t="str">
        <f>VLOOKUP(A972,File!$A:$J,6,FALSE)</f>
        <v>Chennai</v>
      </c>
      <c r="G972" s="29" t="str">
        <f>VLOOKUP(A972,File!$A:$J,7,FALSE)</f>
        <v>CIS26MCPT024</v>
      </c>
      <c r="H972" s="29" t="str">
        <f>VLOOKUP(A972,File!$A:$J,8,FALSE)</f>
        <v>Ashiya Begam S</v>
      </c>
      <c r="I972" s="31">
        <f>VLOOKUP(A972,File!$A:$J,9,FALSE)</f>
        <v>46359</v>
      </c>
      <c r="J972" s="31" t="str">
        <f>VLOOKUP(A972,File!$A:$K,11,FALSE)</f>
        <v>Dec 2026</v>
      </c>
      <c r="K972" s="31" t="str">
        <f>VLOOKUP(A972,File!$A:$K,10,FALSE)</f>
        <v>In-Training</v>
      </c>
      <c r="L972" s="31" t="s">
        <v>4</v>
      </c>
      <c r="M972" t="str">
        <f>VLOOKUP(A972,Response!$A:$M,7,)</f>
        <v>PG (Paying Guest)</v>
      </c>
      <c r="N972" t="str">
        <f>VLOOKUP(A972,Response!$A:$M,8,)</f>
        <v>Shivam Living, Egattur</v>
      </c>
      <c r="O972" s="4">
        <f>VLOOKUP(A972,Response!$A:$M,10,)</f>
        <v>3</v>
      </c>
      <c r="P972" t="str">
        <f>VLOOKUP(A972,Response!$A:$M,12,)</f>
        <v>No</v>
      </c>
      <c r="Q972" t="str">
        <f>VLOOKUP(A972,Response!$A:$M,11,)</f>
        <v>Egattur</v>
      </c>
      <c r="R972" t="s">
        <v>19</v>
      </c>
      <c r="S972" s="39" t="s">
        <v>37</v>
      </c>
    </row>
    <row r="973" spans="1:19">
      <c r="A973" s="3">
        <v>2529603</v>
      </c>
      <c r="B973" t="str">
        <f>VLOOKUP(A973,File!$A:$J,2,FALSE)</f>
        <v>Malla Babi Durga Jogiraju</v>
      </c>
      <c r="C973" s="29">
        <f>VLOOKUP(A973,File!$A:$J,5,FALSE)</f>
        <v>46245</v>
      </c>
      <c r="D973" s="29" t="str">
        <f>VLOOKUP(A973,File!$A:$J,3,FALSE)</f>
        <v>Male</v>
      </c>
      <c r="E973" s="29" t="str">
        <f>VLOOKUP(A973,File!$A:$J,4,FALSE)</f>
        <v>FTE</v>
      </c>
      <c r="F973" s="29" t="str">
        <f>VLOOKUP(A973,File!$A:$J,6,FALSE)</f>
        <v>Chennai</v>
      </c>
      <c r="G973" s="29" t="str">
        <f>VLOOKUP(A973,File!$A:$J,7,FALSE)</f>
        <v>CIS26MCPT022</v>
      </c>
      <c r="H973" s="29" t="str">
        <f>VLOOKUP(A973,File!$A:$J,8,FALSE)</f>
        <v>Laksiya Vijayendran</v>
      </c>
      <c r="I973" s="31">
        <f>VLOOKUP(A973,File!$A:$J,9,FALSE)</f>
        <v>46359</v>
      </c>
      <c r="J973" s="31" t="str">
        <f>VLOOKUP(A973,File!$A:$K,11,FALSE)</f>
        <v>Dec 2026</v>
      </c>
      <c r="K973" s="31" t="str">
        <f>VLOOKUP(A973,File!$A:$K,10,FALSE)</f>
        <v>In-Training</v>
      </c>
      <c r="L973" s="31" t="s">
        <v>5</v>
      </c>
      <c r="M973" t="str">
        <f>VLOOKUP(A973,Response!$A:$M,7,)</f>
        <v>Rented House/Apartment</v>
      </c>
      <c r="N973" t="str">
        <f>VLOOKUP(A973,Response!$A:$M,8,)</f>
        <v>Sholingnallur,Gardencity.Dlf Towers</v>
      </c>
      <c r="O973" s="4">
        <f>VLOOKUP(A973,Response!$A:$M,10,)</f>
        <v>18</v>
      </c>
      <c r="P973" t="str">
        <f>VLOOKUP(A973,Response!$A:$M,12,)</f>
        <v>No</v>
      </c>
      <c r="Q973" t="str">
        <f>VLOOKUP(A973,Response!$A:$M,11,)</f>
        <v>Semmancheri</v>
      </c>
      <c r="R973" t="s">
        <v>17</v>
      </c>
      <c r="S973" t="s">
        <v>38</v>
      </c>
    </row>
    <row r="974" spans="1:19">
      <c r="A974" s="3">
        <v>2520950</v>
      </c>
      <c r="B974" t="str">
        <f>VLOOKUP(A974,File!$A:$J,2,FALSE)</f>
        <v>Vadde Indusree</v>
      </c>
      <c r="C974" s="29">
        <f>VLOOKUP(A974,File!$A:$J,5,FALSE)</f>
        <v>46210</v>
      </c>
      <c r="D974" s="29" t="str">
        <f>VLOOKUP(A974,File!$A:$J,3,FALSE)</f>
        <v>Female</v>
      </c>
      <c r="E974" s="29" t="str">
        <f>VLOOKUP(A974,File!$A:$J,4,FALSE)</f>
        <v>FTE</v>
      </c>
      <c r="F974" s="29" t="str">
        <f>VLOOKUP(A974,File!$A:$J,6,FALSE)</f>
        <v>Chennai</v>
      </c>
      <c r="G974" s="29" t="str">
        <f>VLOOKUP(A974,File!$A:$J,7,FALSE)</f>
        <v>HPC26DN005</v>
      </c>
      <c r="H974" s="29" t="str">
        <f>VLOOKUP(A974,File!$A:$J,8,FALSE)</f>
        <v>Viveka Preethi</v>
      </c>
      <c r="I974" s="31">
        <f>VLOOKUP(A974,File!$A:$J,9,FALSE)</f>
        <v>46296</v>
      </c>
      <c r="J974" s="31" t="str">
        <f>VLOOKUP(A974,File!$A:$K,11,FALSE)</f>
        <v>Oct 2026</v>
      </c>
      <c r="K974" s="31" t="str">
        <f>VLOOKUP(A974,File!$A:$K,10,FALSE)</f>
        <v>In-Training</v>
      </c>
      <c r="L974" s="31" t="s">
        <v>4</v>
      </c>
      <c r="M974" t="str">
        <f>VLOOKUP(A974,Response!$A:$M,7,)</f>
        <v>PG (Paying Guest)</v>
      </c>
      <c r="N974" t="str">
        <f>VLOOKUP(A974,Response!$A:$M,8,)</f>
        <v>Shree Lakshmi venkateshwara Ladies PG, Egattur</v>
      </c>
      <c r="O974" s="4">
        <f>VLOOKUP(A974,Response!$A:$M,10,)</f>
        <v>2</v>
      </c>
      <c r="P974" t="str">
        <f>VLOOKUP(A974,Response!$A:$M,12,)</f>
        <v>No</v>
      </c>
      <c r="Q974" t="str">
        <f>VLOOKUP(A974,Response!$A:$M,11,)</f>
        <v>Egattur</v>
      </c>
      <c r="R974" t="s">
        <v>19</v>
      </c>
      <c r="S974" s="39" t="s">
        <v>37</v>
      </c>
    </row>
    <row r="975" spans="1:19">
      <c r="A975" s="3">
        <v>2512310</v>
      </c>
      <c r="B975" t="str">
        <f>VLOOKUP(A975,File!$A:$J,2,FALSE)</f>
        <v>Sana Ahmmed Shaik</v>
      </c>
      <c r="C975" s="29">
        <f>VLOOKUP(A975,File!$A:$J,5,FALSE)</f>
        <v>46170</v>
      </c>
      <c r="D975" s="29" t="str">
        <f>VLOOKUP(A975,File!$A:$J,3,FALSE)</f>
        <v>Male</v>
      </c>
      <c r="E975" s="29" t="str">
        <f>VLOOKUP(A975,File!$A:$J,4,FALSE)</f>
        <v>FTE</v>
      </c>
      <c r="F975" s="29" t="str">
        <f>VLOOKUP(A975,File!$A:$J,6,FALSE)</f>
        <v>Chennai</v>
      </c>
      <c r="G975" s="29" t="str">
        <f>VLOOKUP(A975,File!$A:$J,7,FALSE)</f>
        <v>CIS26MCPT011</v>
      </c>
      <c r="H975" s="29" t="str">
        <f>VLOOKUP(A975,File!$A:$J,8,FALSE)</f>
        <v>Uma Venkatachalam</v>
      </c>
      <c r="I975" s="31">
        <f>VLOOKUP(A975,File!$A:$J,9,FALSE)</f>
        <v>46282</v>
      </c>
      <c r="J975" s="31" t="str">
        <f>VLOOKUP(A975,File!$A:$K,11,FALSE)</f>
        <v>Sep 2026</v>
      </c>
      <c r="K975" s="31" t="str">
        <f>VLOOKUP(A975,File!$A:$K,10,FALSE)</f>
        <v>In-Training</v>
      </c>
      <c r="L975" s="31" t="s">
        <v>4</v>
      </c>
      <c r="M975" t="str">
        <f>VLOOKUP(A975,Response!$A:$M,7,)</f>
        <v>PG (Paying Guest)</v>
      </c>
      <c r="N975" t="str">
        <f>VLOOKUP(A975,Response!$A:$M,8,)</f>
        <v>shree pg navalur</v>
      </c>
      <c r="O975" s="4">
        <f>VLOOKUP(A975,Response!$A:$M,10,)</f>
        <v>2</v>
      </c>
      <c r="P975" t="str">
        <f>VLOOKUP(A975,Response!$A:$M,12,)</f>
        <v>No</v>
      </c>
      <c r="Q975" t="str">
        <f>VLOOKUP(A975,Response!$A:$M,11,)</f>
        <v>Navalur</v>
      </c>
      <c r="R975" t="s">
        <v>19</v>
      </c>
      <c r="S975" s="39" t="s">
        <v>37</v>
      </c>
    </row>
    <row r="976" spans="1:19">
      <c r="A976" s="3">
        <v>2521683</v>
      </c>
      <c r="B976" t="str">
        <f>VLOOKUP(A976,File!$A:$J,2,FALSE)</f>
        <v>Shaik Mohammed Arif</v>
      </c>
      <c r="C976" s="29">
        <f>VLOOKUP(A976,File!$A:$J,5,FALSE)</f>
        <v>46212</v>
      </c>
      <c r="D976" s="29" t="str">
        <f>VLOOKUP(A976,File!$A:$J,3,FALSE)</f>
        <v>Male</v>
      </c>
      <c r="E976" s="29" t="str">
        <f>VLOOKUP(A976,File!$A:$J,4,FALSE)</f>
        <v>FTE</v>
      </c>
      <c r="F976" s="29" t="str">
        <f>VLOOKUP(A976,File!$A:$J,6,FALSE)</f>
        <v>Chennai</v>
      </c>
      <c r="G976" s="29" t="str">
        <f>VLOOKUP(A976,File!$A:$J,7,FALSE)</f>
        <v>AIA26DSAT004</v>
      </c>
      <c r="H976" s="29" t="str">
        <f>VLOOKUP(A976,File!$A:$J,8,FALSE)</f>
        <v>Pavithra Kandasamy</v>
      </c>
      <c r="I976" s="31">
        <f>VLOOKUP(A976,File!$A:$J,9,FALSE)</f>
        <v>46304</v>
      </c>
      <c r="J976" s="31" t="str">
        <f>VLOOKUP(A976,File!$A:$K,11,FALSE)</f>
        <v>Oct 2026</v>
      </c>
      <c r="K976" s="31" t="str">
        <f>VLOOKUP(A976,File!$A:$K,10,FALSE)</f>
        <v>In-Training</v>
      </c>
      <c r="L976" s="31" t="s">
        <v>4</v>
      </c>
      <c r="M976" t="str">
        <f>VLOOKUP(A976,Response!$A:$M,7,)</f>
        <v>PG (Paying Guest)</v>
      </c>
      <c r="N976" t="str">
        <f>VLOOKUP(A976,Response!$A:$M,8,)</f>
        <v>Shree PG, Mayana Salai street, Navalur.</v>
      </c>
      <c r="O976" s="4">
        <f>VLOOKUP(A976,Response!$A:$M,10,)</f>
        <v>1</v>
      </c>
      <c r="P976" t="str">
        <f>VLOOKUP(A976,Response!$A:$M,12,)</f>
        <v>No</v>
      </c>
      <c r="Q976" t="str">
        <f>VLOOKUP(A976,Response!$A:$M,11,)</f>
        <v>Navalur</v>
      </c>
      <c r="R976" t="s">
        <v>19</v>
      </c>
      <c r="S976" s="39" t="s">
        <v>37</v>
      </c>
    </row>
    <row r="977" spans="1:19">
      <c r="A977" s="3">
        <v>2512298</v>
      </c>
      <c r="B977" t="str">
        <f>VLOOKUP(A977,File!$A:$J,2,FALSE)</f>
        <v>Saurabh Sanjay Jaiswal</v>
      </c>
      <c r="C977" s="29">
        <f>VLOOKUP(A977,File!$A:$J,5,FALSE)</f>
        <v>46170</v>
      </c>
      <c r="D977" s="29" t="str">
        <f>VLOOKUP(A977,File!$A:$J,3,FALSE)</f>
        <v>Male</v>
      </c>
      <c r="E977" s="29" t="str">
        <f>VLOOKUP(A977,File!$A:$J,4,FALSE)</f>
        <v>FTE</v>
      </c>
      <c r="F977" s="29" t="str">
        <f>VLOOKUP(A977,File!$A:$J,6,FALSE)</f>
        <v>Chennai</v>
      </c>
      <c r="G977" s="29" t="str">
        <f>VLOOKUP(A977,File!$A:$J,7,FALSE)</f>
        <v>CIS26MCPT012</v>
      </c>
      <c r="H977" s="29" t="str">
        <f>VLOOKUP(A977,File!$A:$J,8,FALSE)</f>
        <v>Uma Venkatachalam</v>
      </c>
      <c r="I977" s="31">
        <f>VLOOKUP(A977,File!$A:$J,9,FALSE)</f>
        <v>46282</v>
      </c>
      <c r="J977" s="31" t="str">
        <f>VLOOKUP(A977,File!$A:$K,11,FALSE)</f>
        <v>Sep 2026</v>
      </c>
      <c r="K977" s="31" t="str">
        <f>VLOOKUP(A977,File!$A:$K,10,FALSE)</f>
        <v>In-Training</v>
      </c>
      <c r="L977" s="31" t="s">
        <v>4</v>
      </c>
      <c r="M977" t="str">
        <f>VLOOKUP(A977,Response!$A:$M,7,)</f>
        <v>PG (Paying Guest)</v>
      </c>
      <c r="N977" t="str">
        <f>VLOOKUP(A977,Response!$A:$M,8,)</f>
        <v>shree venakanteshwara luxury pg for gents, Navalur</v>
      </c>
      <c r="O977" s="4">
        <f>VLOOKUP(A977,Response!$A:$M,10,)</f>
        <v>4</v>
      </c>
      <c r="P977" t="str">
        <f>VLOOKUP(A977,Response!$A:$M,12,)</f>
        <v>No</v>
      </c>
      <c r="Q977" t="str">
        <f>VLOOKUP(A977,Response!$A:$M,11,)</f>
        <v>Navalur</v>
      </c>
      <c r="R977" t="s">
        <v>19</v>
      </c>
      <c r="S977" s="39" t="s">
        <v>37</v>
      </c>
    </row>
    <row r="978" spans="1:19">
      <c r="A978" s="3">
        <v>2511284</v>
      </c>
      <c r="B978" t="str">
        <f>VLOOKUP(A978,File!$A:$J,2,FALSE)</f>
        <v>Vishal Balappa Morakar</v>
      </c>
      <c r="C978" s="29">
        <f>VLOOKUP(A978,File!$A:$J,5,FALSE)</f>
        <v>46163</v>
      </c>
      <c r="D978" s="29" t="str">
        <f>VLOOKUP(A978,File!$A:$J,3,FALSE)</f>
        <v>Male</v>
      </c>
      <c r="E978" s="29" t="str">
        <f>VLOOKUP(A978,File!$A:$J,4,FALSE)</f>
        <v>FTE</v>
      </c>
      <c r="F978" s="29" t="str">
        <f>VLOOKUP(A978,File!$A:$J,6,FALSE)</f>
        <v>Chennai</v>
      </c>
      <c r="G978" s="29" t="str">
        <f>VLOOKUP(A978,File!$A:$J,7,FALSE)</f>
        <v>CIS26MCPT010</v>
      </c>
      <c r="H978" s="29" t="str">
        <f>VLOOKUP(A978,File!$A:$J,8,FALSE)</f>
        <v>Mohamed Harish</v>
      </c>
      <c r="I978" s="31">
        <f>VLOOKUP(A978,File!$A:$J,9,FALSE)</f>
        <v>46280</v>
      </c>
      <c r="J978" s="31" t="str">
        <f>VLOOKUP(A978,File!$A:$K,11,FALSE)</f>
        <v>Sep 2026</v>
      </c>
      <c r="K978" s="31" t="str">
        <f>VLOOKUP(A978,File!$A:$K,10,FALSE)</f>
        <v>In-Training</v>
      </c>
      <c r="L978" s="31" t="s">
        <v>4</v>
      </c>
      <c r="M978" t="str">
        <f>VLOOKUP(A978,Response!$A:$M,7,)</f>
        <v>PG (Paying Guest)</v>
      </c>
      <c r="N978" t="str">
        <f>VLOOKUP(A978,Response!$A:$M,8,)</f>
        <v>Shree Venkat Ganesh Mens PG Egattur.</v>
      </c>
      <c r="O978" s="4">
        <f>VLOOKUP(A978,Response!$A:$M,10,)</f>
        <v>1</v>
      </c>
      <c r="P978" t="str">
        <f>VLOOKUP(A978,Response!$A:$M,12,)</f>
        <v>No</v>
      </c>
      <c r="Q978" t="str">
        <f>VLOOKUP(A978,Response!$A:$M,11,)</f>
        <v>Egattur</v>
      </c>
      <c r="R978" t="s">
        <v>19</v>
      </c>
      <c r="S978" s="39" t="s">
        <v>37</v>
      </c>
    </row>
    <row r="979" spans="1:19">
      <c r="A979" s="3">
        <v>2512303</v>
      </c>
      <c r="B979" t="str">
        <f>VLOOKUP(A979,File!$A:$J,2,FALSE)</f>
        <v>Rushikesh Vitthal Divate</v>
      </c>
      <c r="C979" s="29">
        <f>VLOOKUP(A979,File!$A:$J,5,FALSE)</f>
        <v>46170</v>
      </c>
      <c r="D979" s="29" t="str">
        <f>VLOOKUP(A979,File!$A:$J,3,FALSE)</f>
        <v>Male</v>
      </c>
      <c r="E979" s="29" t="str">
        <f>VLOOKUP(A979,File!$A:$J,4,FALSE)</f>
        <v>FTE</v>
      </c>
      <c r="F979" s="29" t="str">
        <f>VLOOKUP(A979,File!$A:$J,6,FALSE)</f>
        <v>Chennai</v>
      </c>
      <c r="G979" s="29" t="str">
        <f>VLOOKUP(A979,File!$A:$J,7,FALSE)</f>
        <v>CIS26MCPT012</v>
      </c>
      <c r="H979" s="29" t="str">
        <f>VLOOKUP(A979,File!$A:$J,8,FALSE)</f>
        <v>Uma Venkatachalam</v>
      </c>
      <c r="I979" s="31">
        <f>VLOOKUP(A979,File!$A:$J,9,FALSE)</f>
        <v>46282</v>
      </c>
      <c r="J979" s="31" t="str">
        <f>VLOOKUP(A979,File!$A:$K,11,FALSE)</f>
        <v>Sep 2026</v>
      </c>
      <c r="K979" s="31" t="str">
        <f>VLOOKUP(A979,File!$A:$K,10,FALSE)</f>
        <v>In-Training</v>
      </c>
      <c r="L979" s="31" t="s">
        <v>4</v>
      </c>
      <c r="M979" t="str">
        <f>VLOOKUP(A979,Response!$A:$M,7,)</f>
        <v>PG (Paying Guest)</v>
      </c>
      <c r="N979" t="str">
        <f>VLOOKUP(A979,Response!$A:$M,8,)</f>
        <v>Shree Venkateshwar Luxury PG - Branch 1, Navallur</v>
      </c>
      <c r="O979" s="4">
        <f>VLOOKUP(A979,Response!$A:$M,10,)</f>
        <v>4</v>
      </c>
      <c r="P979" t="str">
        <f>VLOOKUP(A979,Response!$A:$M,12,)</f>
        <v>No</v>
      </c>
      <c r="Q979" t="str">
        <f>VLOOKUP(A979,Response!$A:$M,11,)</f>
        <v>Navalur</v>
      </c>
      <c r="R979" t="s">
        <v>19</v>
      </c>
      <c r="S979" s="39" t="s">
        <v>37</v>
      </c>
    </row>
    <row r="980" spans="1:19">
      <c r="A980" s="3">
        <v>2512307</v>
      </c>
      <c r="B980" t="str">
        <f>VLOOKUP(A980,File!$A:$J,2,FALSE)</f>
        <v>Amar Amol Garad</v>
      </c>
      <c r="C980" s="29">
        <f>VLOOKUP(A980,File!$A:$J,5,FALSE)</f>
        <v>46170</v>
      </c>
      <c r="D980" s="29" t="str">
        <f>VLOOKUP(A980,File!$A:$J,3,FALSE)</f>
        <v>Male</v>
      </c>
      <c r="E980" s="29" t="str">
        <f>VLOOKUP(A980,File!$A:$J,4,FALSE)</f>
        <v>FTE</v>
      </c>
      <c r="F980" s="29" t="str">
        <f>VLOOKUP(A980,File!$A:$J,6,FALSE)</f>
        <v>Chennai</v>
      </c>
      <c r="G980" s="29" t="str">
        <f>VLOOKUP(A980,File!$A:$J,7,FALSE)</f>
        <v>CIS26MCPT011</v>
      </c>
      <c r="H980" s="29" t="str">
        <f>VLOOKUP(A980,File!$A:$J,8,FALSE)</f>
        <v>Uma Venkatachalam</v>
      </c>
      <c r="I980" s="31">
        <f>VLOOKUP(A980,File!$A:$J,9,FALSE)</f>
        <v>46282</v>
      </c>
      <c r="J980" s="31" t="str">
        <f>VLOOKUP(A980,File!$A:$K,11,FALSE)</f>
        <v>Sep 2026</v>
      </c>
      <c r="K980" s="31" t="str">
        <f>VLOOKUP(A980,File!$A:$K,10,FALSE)</f>
        <v>In-Training</v>
      </c>
      <c r="L980" s="31" t="s">
        <v>4</v>
      </c>
      <c r="M980" t="str">
        <f>VLOOKUP(A980,Response!$A:$M,7,)</f>
        <v>PG (Paying Guest)</v>
      </c>
      <c r="N980" t="str">
        <f>VLOOKUP(A980,Response!$A:$M,8,)</f>
        <v>shree venkateshwar luxury pg for gents</v>
      </c>
      <c r="O980" s="4">
        <f>VLOOKUP(A980,Response!$A:$M,10,)</f>
        <v>4</v>
      </c>
      <c r="P980" t="str">
        <f>VLOOKUP(A980,Response!$A:$M,12,)</f>
        <v>No</v>
      </c>
      <c r="Q980" t="str">
        <f>VLOOKUP(A980,Response!$A:$M,11,)</f>
        <v>Navalur</v>
      </c>
      <c r="R980" t="s">
        <v>19</v>
      </c>
      <c r="S980" s="39" t="s">
        <v>37</v>
      </c>
    </row>
    <row r="981" spans="1:19">
      <c r="A981" s="3">
        <v>2529785</v>
      </c>
      <c r="B981" t="str">
        <f>VLOOKUP(A981,File!$A:$J,2,FALSE)</f>
        <v>Sumit Yogesh Sinare</v>
      </c>
      <c r="C981" s="29">
        <f>VLOOKUP(A981,File!$A:$J,5,FALSE)</f>
        <v>46245</v>
      </c>
      <c r="D981" s="29" t="str">
        <f>VLOOKUP(A981,File!$A:$J,3,FALSE)</f>
        <v>Male</v>
      </c>
      <c r="E981" s="29" t="str">
        <f>VLOOKUP(A981,File!$A:$J,4,FALSE)</f>
        <v>FTE</v>
      </c>
      <c r="F981" s="29" t="str">
        <f>VLOOKUP(A981,File!$A:$J,6,FALSE)</f>
        <v>Chennai</v>
      </c>
      <c r="G981" s="29" t="str">
        <f>VLOOKUP(A981,File!$A:$J,7,FALSE)</f>
        <v>CIS26MCPT022</v>
      </c>
      <c r="H981" s="29" t="str">
        <f>VLOOKUP(A981,File!$A:$J,8,FALSE)</f>
        <v>Laksiya Vijayendran</v>
      </c>
      <c r="I981" s="31">
        <f>VLOOKUP(A981,File!$A:$J,9,FALSE)</f>
        <v>46359</v>
      </c>
      <c r="J981" s="31" t="str">
        <f>VLOOKUP(A981,File!$A:$K,11,FALSE)</f>
        <v>Dec 2026</v>
      </c>
      <c r="K981" s="31" t="str">
        <f>VLOOKUP(A981,File!$A:$K,10,FALSE)</f>
        <v>In-Training</v>
      </c>
      <c r="L981" s="31" t="s">
        <v>4</v>
      </c>
      <c r="M981" t="str">
        <f>VLOOKUP(A981,Response!$A:$M,7,)</f>
        <v>PG (Paying Guest)</v>
      </c>
      <c r="N981" t="str">
        <f>VLOOKUP(A981,Response!$A:$M,8,)</f>
        <v>Shree Venkateshwara Luxury PG for gents</v>
      </c>
      <c r="O981" s="4">
        <f>VLOOKUP(A981,Response!$A:$M,10,)</f>
        <v>4</v>
      </c>
      <c r="P981" t="str">
        <f>VLOOKUP(A981,Response!$A:$M,12,)</f>
        <v>No</v>
      </c>
      <c r="Q981" t="str">
        <f>VLOOKUP(A981,Response!$A:$M,11,)</f>
        <v>Navalur</v>
      </c>
      <c r="R981" t="s">
        <v>19</v>
      </c>
      <c r="S981" s="39" t="s">
        <v>37</v>
      </c>
    </row>
    <row r="982" spans="1:19">
      <c r="A982" s="3">
        <v>2529788</v>
      </c>
      <c r="B982" t="str">
        <f>VLOOKUP(A982,File!$A:$J,2,FALSE)</f>
        <v>Abhishek Appasaheb Salunke</v>
      </c>
      <c r="C982" s="29">
        <f>VLOOKUP(A982,File!$A:$J,5,FALSE)</f>
        <v>46245</v>
      </c>
      <c r="D982" s="29" t="str">
        <f>VLOOKUP(A982,File!$A:$J,3,FALSE)</f>
        <v>Male</v>
      </c>
      <c r="E982" s="29" t="str">
        <f>VLOOKUP(A982,File!$A:$J,4,FALSE)</f>
        <v>FTE</v>
      </c>
      <c r="F982" s="29" t="str">
        <f>VLOOKUP(A982,File!$A:$J,6,FALSE)</f>
        <v>Chennai</v>
      </c>
      <c r="G982" s="29" t="str">
        <f>VLOOKUP(A982,File!$A:$J,7,FALSE)</f>
        <v>CIS26MCPT024</v>
      </c>
      <c r="H982" s="29" t="str">
        <f>VLOOKUP(A982,File!$A:$J,8,FALSE)</f>
        <v>Ashiya Begam S</v>
      </c>
      <c r="I982" s="31">
        <f>VLOOKUP(A982,File!$A:$J,9,FALSE)</f>
        <v>46359</v>
      </c>
      <c r="J982" s="31" t="str">
        <f>VLOOKUP(A982,File!$A:$K,11,FALSE)</f>
        <v>Dec 2026</v>
      </c>
      <c r="K982" s="31" t="str">
        <f>VLOOKUP(A982,File!$A:$K,10,FALSE)</f>
        <v>In-Training</v>
      </c>
      <c r="L982" s="31" t="s">
        <v>4</v>
      </c>
      <c r="M982" t="str">
        <f>VLOOKUP(A982,Response!$A:$M,7,)</f>
        <v>PG (Paying Guest)</v>
      </c>
      <c r="N982" t="str">
        <f>VLOOKUP(A982,Response!$A:$M,8,)</f>
        <v>Shree Venkateshwara luxury pg for gents</v>
      </c>
      <c r="O982" s="4">
        <f>VLOOKUP(A982,Response!$A:$M,10,)</f>
        <v>4</v>
      </c>
      <c r="P982" t="str">
        <f>VLOOKUP(A982,Response!$A:$M,12,)</f>
        <v>No</v>
      </c>
      <c r="Q982" t="str">
        <f>VLOOKUP(A982,Response!$A:$M,11,)</f>
        <v>Navalur</v>
      </c>
      <c r="R982" t="s">
        <v>19</v>
      </c>
      <c r="S982" s="39" t="s">
        <v>37</v>
      </c>
    </row>
    <row r="983" spans="1:19">
      <c r="A983" s="3">
        <v>2529771</v>
      </c>
      <c r="B983" t="str">
        <f>VLOOKUP(A983,File!$A:$J,2,FALSE)</f>
        <v>Tejas Chandrakant Kadam</v>
      </c>
      <c r="C983" s="29">
        <f>VLOOKUP(A983,File!$A:$J,5,FALSE)</f>
        <v>46245</v>
      </c>
      <c r="D983" s="29" t="str">
        <f>VLOOKUP(A983,File!$A:$J,3,FALSE)</f>
        <v>Male</v>
      </c>
      <c r="E983" s="29" t="str">
        <f>VLOOKUP(A983,File!$A:$J,4,FALSE)</f>
        <v>FTE</v>
      </c>
      <c r="F983" s="29" t="str">
        <f>VLOOKUP(A983,File!$A:$J,6,FALSE)</f>
        <v>Chennai</v>
      </c>
      <c r="G983" s="29" t="str">
        <f>VLOOKUP(A983,File!$A:$J,7,FALSE)</f>
        <v>CIS26MCPT025</v>
      </c>
      <c r="H983" s="29" t="str">
        <f>VLOOKUP(A983,File!$A:$J,8,FALSE)</f>
        <v>Vignesh S</v>
      </c>
      <c r="I983" s="31">
        <f>VLOOKUP(A983,File!$A:$J,9,FALSE)</f>
        <v>46359</v>
      </c>
      <c r="J983" s="31" t="str">
        <f>VLOOKUP(A983,File!$A:$K,11,FALSE)</f>
        <v>Dec 2026</v>
      </c>
      <c r="K983" s="31" t="str">
        <f>VLOOKUP(A983,File!$A:$K,10,FALSE)</f>
        <v>In-Training</v>
      </c>
      <c r="L983" s="31" t="s">
        <v>4</v>
      </c>
      <c r="M983" t="str">
        <f>VLOOKUP(A983,Response!$A:$M,7,)</f>
        <v>PG (Paying Guest)</v>
      </c>
      <c r="N983" t="str">
        <f>VLOOKUP(A983,Response!$A:$M,8,)</f>
        <v>SHREE VENKATESHWARA LUXURY PG FOR GENTS, Sambalal Street, Behind Vegetable Market, Navlur, Tamil Nadu.</v>
      </c>
      <c r="O983" s="4">
        <f>VLOOKUP(A983,Response!$A:$M,10,)</f>
        <v>4</v>
      </c>
      <c r="P983" t="str">
        <f>VLOOKUP(A983,Response!$A:$M,12,)</f>
        <v>No</v>
      </c>
      <c r="Q983" t="str">
        <f>VLOOKUP(A983,Response!$A:$M,11,)</f>
        <v>Navalur</v>
      </c>
      <c r="R983" t="s">
        <v>19</v>
      </c>
      <c r="S983" s="39" t="s">
        <v>37</v>
      </c>
    </row>
    <row r="984" spans="1:19">
      <c r="A984" s="3">
        <v>2524645</v>
      </c>
      <c r="B984" t="str">
        <f>VLOOKUP(A984,File!$A:$J,2,FALSE)</f>
        <v>Anwer Shamim</v>
      </c>
      <c r="C984" s="29">
        <f>VLOOKUP(A984,File!$A:$J,5,FALSE)</f>
        <v>46224</v>
      </c>
      <c r="D984" s="29" t="str">
        <f>VLOOKUP(A984,File!$A:$J,3,FALSE)</f>
        <v>Male</v>
      </c>
      <c r="E984" s="29" t="str">
        <f>VLOOKUP(A984,File!$A:$J,4,FALSE)</f>
        <v>FTE</v>
      </c>
      <c r="F984" s="29" t="str">
        <f>VLOOKUP(A984,File!$A:$J,6,FALSE)</f>
        <v>Chennai</v>
      </c>
      <c r="G984" s="29" t="str">
        <f>VLOOKUP(A984,File!$A:$J,7,FALSE)</f>
        <v>ADM26MF012</v>
      </c>
      <c r="H984" s="29" t="str">
        <f>VLOOKUP(A984,File!$A:$J,8,FALSE)</f>
        <v>Lourdhu Selvin Raj X</v>
      </c>
      <c r="I984" s="31">
        <f>VLOOKUP(A984,File!$A:$J,9,FALSE)</f>
        <v>46343</v>
      </c>
      <c r="J984" s="31" t="str">
        <f>VLOOKUP(A984,File!$A:$K,11,FALSE)</f>
        <v>Nov 2026</v>
      </c>
      <c r="K984" s="31" t="str">
        <f>VLOOKUP(A984,File!$A:$K,10,FALSE)</f>
        <v>In-Training</v>
      </c>
      <c r="L984" s="31" t="s">
        <v>4</v>
      </c>
      <c r="M984" t="str">
        <f>VLOOKUP(A984,Response!$A:$M,7,)</f>
        <v>PG (Paying Guest)</v>
      </c>
      <c r="N984" t="str">
        <f>VLOOKUP(A984,Response!$A:$M,8,)</f>
        <v>Shree,navalur</v>
      </c>
      <c r="O984" s="4">
        <f>VLOOKUP(A984,Response!$A:$M,10,)</f>
        <v>3</v>
      </c>
      <c r="P984" t="str">
        <f>VLOOKUP(A984,Response!$A:$M,12,)</f>
        <v>No</v>
      </c>
      <c r="Q984" t="str">
        <f>VLOOKUP(A984,Response!$A:$M,11,)</f>
        <v>Navalur</v>
      </c>
      <c r="R984" t="s">
        <v>19</v>
      </c>
      <c r="S984" s="39" t="s">
        <v>37</v>
      </c>
    </row>
    <row r="985" spans="1:19">
      <c r="A985" s="3">
        <v>2533019</v>
      </c>
      <c r="B985" t="str">
        <f>VLOOKUP(A985,File!$A:$J,2,FALSE)</f>
        <v>Sathyam Kumar</v>
      </c>
      <c r="C985" s="29">
        <f>VLOOKUP(A985,File!$A:$J,5,FALSE)</f>
        <v>46259</v>
      </c>
      <c r="D985" s="29" t="str">
        <f>VLOOKUP(A985,File!$A:$J,3,FALSE)</f>
        <v>Male</v>
      </c>
      <c r="E985" s="29" t="str">
        <f>VLOOKUP(A985,File!$A:$J,4,FALSE)</f>
        <v>FTE</v>
      </c>
      <c r="F985" s="29" t="str">
        <f>VLOOKUP(A985,File!$A:$J,6,FALSE)</f>
        <v>Chennai</v>
      </c>
      <c r="G985" s="29" t="str">
        <f>VLOOKUP(A985,File!$A:$J,7,FALSE)</f>
        <v>ADM27DFSA001</v>
      </c>
      <c r="H985" s="29" t="str">
        <f>VLOOKUP(A985,File!$A:$J,8,FALSE)</f>
        <v>Thomas Naveen. J</v>
      </c>
      <c r="I985" s="31">
        <f>VLOOKUP(A985,File!$A:$J,9,FALSE)</f>
        <v>46386</v>
      </c>
      <c r="J985" s="31" t="str">
        <f>VLOOKUP(A985,File!$A:$K,11,FALSE)</f>
        <v>Dec 2026</v>
      </c>
      <c r="K985" s="31" t="str">
        <f>VLOOKUP(A985,File!$A:$K,10,FALSE)</f>
        <v>In-Training</v>
      </c>
      <c r="L985" s="31" t="s">
        <v>4</v>
      </c>
      <c r="M985" t="str">
        <f>VLOOKUP(A985,Response!$A:$M,7,)</f>
        <v>PG (Paying Guest)</v>
      </c>
      <c r="N985" t="str">
        <f>VLOOKUP(A985,Response!$A:$M,8,)</f>
        <v>Shri Lakshmi PG for Gents - H, 1/128, Sardar Patel St, Navalur, Chennai, Tamil Nadu 600130</v>
      </c>
      <c r="O985" s="4">
        <f>VLOOKUP(A985,Response!$A:$M,10,)</f>
        <v>1</v>
      </c>
      <c r="P985" t="str">
        <f>VLOOKUP(A985,Response!$A:$M,12,)</f>
        <v>Yes</v>
      </c>
      <c r="Q985" t="str">
        <f>VLOOKUP(A985,Response!$A:$M,11,)</f>
        <v>Navalur</v>
      </c>
      <c r="R985" t="s">
        <v>19</v>
      </c>
      <c r="S985" s="39" t="s">
        <v>37</v>
      </c>
    </row>
    <row r="986" spans="1:19">
      <c r="A986" s="3">
        <v>2520964</v>
      </c>
      <c r="B986" t="str">
        <f>VLOOKUP(A986,File!$A:$J,2,FALSE)</f>
        <v>Prajwal Digambar Kute</v>
      </c>
      <c r="C986" s="29">
        <f>VLOOKUP(A986,File!$A:$J,5,FALSE)</f>
        <v>46210</v>
      </c>
      <c r="D986" s="29" t="str">
        <f>VLOOKUP(A986,File!$A:$J,3,FALSE)</f>
        <v>Male</v>
      </c>
      <c r="E986" s="29" t="str">
        <f>VLOOKUP(A986,File!$A:$J,4,FALSE)</f>
        <v>FTE</v>
      </c>
      <c r="F986" s="29" t="str">
        <f>VLOOKUP(A986,File!$A:$J,6,FALSE)</f>
        <v>Chennai</v>
      </c>
      <c r="G986" s="29" t="str">
        <f>VLOOKUP(A986,File!$A:$J,7,FALSE)</f>
        <v>CS26CS008</v>
      </c>
      <c r="H986" s="29" t="str">
        <f>VLOOKUP(A986,File!$A:$J,8,FALSE)</f>
        <v>Kishorekumar P</v>
      </c>
      <c r="I986" s="31">
        <f>VLOOKUP(A986,File!$A:$J,9,FALSE)</f>
        <v>46323</v>
      </c>
      <c r="J986" s="31" t="str">
        <f>VLOOKUP(A986,File!$A:$K,11,FALSE)</f>
        <v>Oct 2026</v>
      </c>
      <c r="K986" s="31" t="str">
        <f>VLOOKUP(A986,File!$A:$K,10,FALSE)</f>
        <v>In-Training</v>
      </c>
      <c r="L986" s="31" t="s">
        <v>4</v>
      </c>
      <c r="M986" t="str">
        <f>VLOOKUP(A986,Response!$A:$M,7,)</f>
        <v>PG (Paying Guest)</v>
      </c>
      <c r="N986" t="str">
        <f>VLOOKUP(A986,Response!$A:$M,8,)</f>
        <v xml:space="preserve">Shri Lakshmi Venkateshwara Gents PG </v>
      </c>
      <c r="O986" s="4">
        <f>VLOOKUP(A986,Response!$A:$M,10,)</f>
        <v>1</v>
      </c>
      <c r="P986" t="str">
        <f>VLOOKUP(A986,Response!$A:$M,12,)</f>
        <v>No</v>
      </c>
      <c r="Q986" t="str">
        <f>VLOOKUP(A986,Response!$A:$M,11,)</f>
        <v>Siruseri</v>
      </c>
      <c r="R986" t="s">
        <v>19</v>
      </c>
      <c r="S986" s="39" t="s">
        <v>37</v>
      </c>
    </row>
    <row r="987" spans="1:19">
      <c r="A987" s="3">
        <v>2520969</v>
      </c>
      <c r="B987" t="str">
        <f>VLOOKUP(A987,File!$A:$J,2,FALSE)</f>
        <v>Saurabh Yograj Vaidya</v>
      </c>
      <c r="C987" s="29">
        <f>VLOOKUP(A987,File!$A:$J,5,FALSE)</f>
        <v>46210</v>
      </c>
      <c r="D987" s="29" t="str">
        <f>VLOOKUP(A987,File!$A:$J,3,FALSE)</f>
        <v>Male</v>
      </c>
      <c r="E987" s="29" t="str">
        <f>VLOOKUP(A987,File!$A:$J,4,FALSE)</f>
        <v>FTE</v>
      </c>
      <c r="F987" s="29" t="str">
        <f>VLOOKUP(A987,File!$A:$J,6,FALSE)</f>
        <v>Chennai</v>
      </c>
      <c r="G987" s="29" t="str">
        <f>VLOOKUP(A987,File!$A:$J,7,FALSE)</f>
        <v>CS26CS008</v>
      </c>
      <c r="H987" s="29" t="str">
        <f>VLOOKUP(A987,File!$A:$J,8,FALSE)</f>
        <v>Kishorekumar P</v>
      </c>
      <c r="I987" s="31">
        <f>VLOOKUP(A987,File!$A:$J,9,FALSE)</f>
        <v>46323</v>
      </c>
      <c r="J987" s="31" t="str">
        <f>VLOOKUP(A987,File!$A:$K,11,FALSE)</f>
        <v>Oct 2026</v>
      </c>
      <c r="K987" s="31" t="str">
        <f>VLOOKUP(A987,File!$A:$K,10,FALSE)</f>
        <v>In-Training</v>
      </c>
      <c r="L987" s="31" t="s">
        <v>4</v>
      </c>
      <c r="M987" t="str">
        <f>VLOOKUP(A987,Response!$A:$M,7,)</f>
        <v>PG (Paying Guest)</v>
      </c>
      <c r="N987" t="str">
        <f>VLOOKUP(A987,Response!$A:$M,8,)</f>
        <v xml:space="preserve">Shri Lakshmi Venkateshwara Gents PG </v>
      </c>
      <c r="O987" s="4">
        <f>VLOOKUP(A987,Response!$A:$M,10,)</f>
        <v>1</v>
      </c>
      <c r="P987" t="str">
        <f>VLOOKUP(A987,Response!$A:$M,12,)</f>
        <v>No</v>
      </c>
      <c r="Q987" t="str">
        <f>VLOOKUP(A987,Response!$A:$M,11,)</f>
        <v>Siruseri</v>
      </c>
      <c r="R987" t="s">
        <v>19</v>
      </c>
      <c r="S987" s="39" t="s">
        <v>37</v>
      </c>
    </row>
    <row r="988" spans="1:19">
      <c r="A988" s="3">
        <v>2512331</v>
      </c>
      <c r="B988" t="str">
        <f>VLOOKUP(A988,File!$A:$J,2,FALSE)</f>
        <v>Aakash Raj</v>
      </c>
      <c r="C988" s="29">
        <f>VLOOKUP(A988,File!$A:$J,5,FALSE)</f>
        <v>46170</v>
      </c>
      <c r="D988" s="29" t="str">
        <f>VLOOKUP(A988,File!$A:$J,3,FALSE)</f>
        <v>Male</v>
      </c>
      <c r="E988" s="29" t="str">
        <f>VLOOKUP(A988,File!$A:$J,4,FALSE)</f>
        <v>FTE</v>
      </c>
      <c r="F988" s="29" t="str">
        <f>VLOOKUP(A988,File!$A:$J,6,FALSE)</f>
        <v>Chennai</v>
      </c>
      <c r="G988" s="29" t="str">
        <f>VLOOKUP(A988,File!$A:$J,7,FALSE)</f>
        <v>CIS26MCPT011</v>
      </c>
      <c r="H988" s="29" t="str">
        <f>VLOOKUP(A988,File!$A:$J,8,FALSE)</f>
        <v>Uma Venkatachalam</v>
      </c>
      <c r="I988" s="31">
        <f>VLOOKUP(A988,File!$A:$J,9,FALSE)</f>
        <v>46282</v>
      </c>
      <c r="J988" s="31" t="str">
        <f>VLOOKUP(A988,File!$A:$K,11,FALSE)</f>
        <v>Sep 2026</v>
      </c>
      <c r="K988" s="31" t="str">
        <f>VLOOKUP(A988,File!$A:$K,10,FALSE)</f>
        <v>In-Training</v>
      </c>
      <c r="L988" s="31" t="s">
        <v>4</v>
      </c>
      <c r="M988" t="str">
        <f>VLOOKUP(A988,Response!$A:$M,7,)</f>
        <v>PG (Paying Guest)</v>
      </c>
      <c r="N988" t="str">
        <f>VLOOKUP(A988,Response!$A:$M,8,)</f>
        <v>Shri Laxami Narayan Gents Pg Sambhal Street Navalur Bus Stand</v>
      </c>
      <c r="O988" s="4">
        <f>VLOOKUP(A988,Response!$A:$M,10,)</f>
        <v>2</v>
      </c>
      <c r="P988" t="str">
        <f>VLOOKUP(A988,Response!$A:$M,12,)</f>
        <v>No</v>
      </c>
      <c r="Q988" t="str">
        <f>VLOOKUP(A988,Response!$A:$M,11,)</f>
        <v>Navalur</v>
      </c>
      <c r="R988" t="s">
        <v>19</v>
      </c>
      <c r="S988" s="39" t="s">
        <v>37</v>
      </c>
    </row>
    <row r="989" spans="1:19">
      <c r="A989" s="3">
        <v>2521010</v>
      </c>
      <c r="B989" t="str">
        <f>VLOOKUP(A989,File!$A:$J,2,FALSE)</f>
        <v>Aditya Kumar Sahu</v>
      </c>
      <c r="C989" s="29">
        <f>VLOOKUP(A989,File!$A:$J,5,FALSE)</f>
        <v>46210</v>
      </c>
      <c r="D989" s="29" t="str">
        <f>VLOOKUP(A989,File!$A:$J,3,FALSE)</f>
        <v>Male</v>
      </c>
      <c r="E989" s="29" t="str">
        <f>VLOOKUP(A989,File!$A:$J,4,FALSE)</f>
        <v>FTE</v>
      </c>
      <c r="F989" s="29" t="str">
        <f>VLOOKUP(A989,File!$A:$J,6,FALSE)</f>
        <v>Chennai</v>
      </c>
      <c r="G989" s="29" t="str">
        <f>VLOOKUP(A989,File!$A:$J,7,FALSE)</f>
        <v>CM26SFDC006</v>
      </c>
      <c r="H989" s="29" t="str">
        <f>VLOOKUP(A989,File!$A:$J,8,FALSE)</f>
        <v>Gayathri Ramachandran</v>
      </c>
      <c r="I989" s="31">
        <f>VLOOKUP(A989,File!$A:$J,9,FALSE)</f>
        <v>46337</v>
      </c>
      <c r="J989" s="31" t="str">
        <f>VLOOKUP(A989,File!$A:$K,11,FALSE)</f>
        <v>Nov 2026</v>
      </c>
      <c r="K989" s="31" t="str">
        <f>VLOOKUP(A989,File!$A:$K,10,FALSE)</f>
        <v>In-Training</v>
      </c>
      <c r="L989" s="31" t="s">
        <v>4</v>
      </c>
      <c r="M989" t="str">
        <f>VLOOKUP(A989,Response!$A:$M,7,)</f>
        <v>PG (Paying Guest)</v>
      </c>
      <c r="N989" t="str">
        <f>VLOOKUP(A989,Response!$A:$M,8,)</f>
        <v>Shri Laxmi Venkateswar Mens Pg, Navallur</v>
      </c>
      <c r="O989" s="4">
        <f>VLOOKUP(A989,Response!$A:$M,10,)</f>
        <v>2</v>
      </c>
      <c r="P989" t="str">
        <f>VLOOKUP(A989,Response!$A:$M,12,)</f>
        <v>No</v>
      </c>
      <c r="Q989" t="str">
        <f>VLOOKUP(A989,Response!$A:$M,11,)</f>
        <v>Navalur</v>
      </c>
      <c r="R989" t="s">
        <v>19</v>
      </c>
      <c r="S989" s="39" t="s">
        <v>37</v>
      </c>
    </row>
    <row r="990" spans="1:19">
      <c r="A990" s="3">
        <v>2526590</v>
      </c>
      <c r="B990" t="str">
        <f>VLOOKUP(A990,File!$A:$J,2,FALSE)</f>
        <v>Soniya Satish Mate</v>
      </c>
      <c r="C990" s="29">
        <f>VLOOKUP(A990,File!$A:$J,5,FALSE)</f>
        <v>46233</v>
      </c>
      <c r="D990" s="29" t="str">
        <f>VLOOKUP(A990,File!$A:$J,3,FALSE)</f>
        <v>Female</v>
      </c>
      <c r="E990" s="29" t="str">
        <f>VLOOKUP(A990,File!$A:$J,4,FALSE)</f>
        <v>FTE</v>
      </c>
      <c r="F990" s="29" t="str">
        <f>VLOOKUP(A990,File!$A:$J,6,FALSE)</f>
        <v>Chennai</v>
      </c>
      <c r="G990" s="29" t="str">
        <f>VLOOKUP(A990,File!$A:$J,7,FALSE)</f>
        <v>QEA26JP001</v>
      </c>
      <c r="H990" s="29" t="str">
        <f>VLOOKUP(A990,File!$A:$J,8,FALSE)</f>
        <v>Ajiesya D P</v>
      </c>
      <c r="I990" s="31" t="str">
        <f>VLOOKUP(A990,File!$A:$J,9,FALSE)</f>
        <v/>
      </c>
      <c r="J990" s="44" t="s">
        <v>33</v>
      </c>
      <c r="K990" s="31" t="str">
        <f>VLOOKUP(A990,File!$A:$K,10,FALSE)</f>
        <v>Training - ON Hold</v>
      </c>
      <c r="L990" s="31" t="s">
        <v>4</v>
      </c>
      <c r="M990" t="str">
        <f>VLOOKUP(A990,Response!$A:$M,7,)</f>
        <v>PG (Paying Guest)</v>
      </c>
      <c r="N990" t="str">
        <f>VLOOKUP(A990,Response!$A:$M,8,)</f>
        <v xml:space="preserve">Shri sai unique pg </v>
      </c>
      <c r="O990" s="4">
        <f>VLOOKUP(A990,Response!$A:$M,10,)</f>
        <v>2</v>
      </c>
      <c r="P990" t="str">
        <f>VLOOKUP(A990,Response!$A:$M,12,)</f>
        <v>No</v>
      </c>
      <c r="Q990" t="str">
        <f>VLOOKUP(A990,Response!$A:$M,11,)</f>
        <v>Egattur</v>
      </c>
      <c r="R990" t="s">
        <v>19</v>
      </c>
      <c r="S990" s="39" t="s">
        <v>37</v>
      </c>
    </row>
    <row r="991" spans="1:19">
      <c r="A991" s="3">
        <v>2529639</v>
      </c>
      <c r="B991" t="str">
        <f>VLOOKUP(A991,File!$A:$J,2,FALSE)</f>
        <v>Mukund Ramesh Tambe</v>
      </c>
      <c r="C991" s="29">
        <f>VLOOKUP(A991,File!$A:$J,5,FALSE)</f>
        <v>46245</v>
      </c>
      <c r="D991" s="29" t="str">
        <f>VLOOKUP(A991,File!$A:$J,3,FALSE)</f>
        <v>Male</v>
      </c>
      <c r="E991" s="29" t="str">
        <f>VLOOKUP(A991,File!$A:$J,4,FALSE)</f>
        <v>FTE</v>
      </c>
      <c r="F991" s="29" t="str">
        <f>VLOOKUP(A991,File!$A:$J,6,FALSE)</f>
        <v>Chennai</v>
      </c>
      <c r="G991" s="29" t="str">
        <f>VLOOKUP(A991,File!$A:$J,7,FALSE)</f>
        <v>CIS26MCPT023</v>
      </c>
      <c r="H991" s="29" t="str">
        <f>VLOOKUP(A991,File!$A:$J,8,FALSE)</f>
        <v>Kishorekumar P</v>
      </c>
      <c r="I991" s="31">
        <f>VLOOKUP(A991,File!$A:$J,9,FALSE)</f>
        <v>46359</v>
      </c>
      <c r="J991" s="31" t="str">
        <f>VLOOKUP(A991,File!$A:$K,11,FALSE)</f>
        <v>Dec 2026</v>
      </c>
      <c r="K991" s="31" t="str">
        <f>VLOOKUP(A991,File!$A:$K,10,FALSE)</f>
        <v>In-Training</v>
      </c>
      <c r="L991" s="31" t="s">
        <v>4</v>
      </c>
      <c r="M991" t="str">
        <f>VLOOKUP(A991,Response!$A:$M,7,)</f>
        <v>PG (Paying Guest)</v>
      </c>
      <c r="N991" t="str">
        <f>VLOOKUP(A991,Response!$A:$M,8,)</f>
        <v>Shri Sarvana Mens PG</v>
      </c>
      <c r="O991" s="4">
        <f>VLOOKUP(A991,Response!$A:$M,10,)</f>
        <v>4</v>
      </c>
      <c r="P991" t="str">
        <f>VLOOKUP(A991,Response!$A:$M,12,)</f>
        <v>No</v>
      </c>
      <c r="Q991" t="str">
        <f>VLOOKUP(A991,Response!$A:$M,11,)</f>
        <v>Egattur</v>
      </c>
      <c r="R991" t="s">
        <v>19</v>
      </c>
      <c r="S991" s="39" t="s">
        <v>37</v>
      </c>
    </row>
    <row r="992" spans="1:19">
      <c r="A992" s="3">
        <v>2525151</v>
      </c>
      <c r="B992" t="str">
        <f>VLOOKUP(A992,File!$A:$J,2,FALSE)</f>
        <v>Sahil Sandeep Balfe</v>
      </c>
      <c r="C992" s="29">
        <f>VLOOKUP(A992,File!$A:$J,5,FALSE)</f>
        <v>46226</v>
      </c>
      <c r="D992" s="29" t="str">
        <f>VLOOKUP(A992,File!$A:$J,3,FALSE)</f>
        <v>Male</v>
      </c>
      <c r="E992" s="29" t="str">
        <f>VLOOKUP(A992,File!$A:$J,4,FALSE)</f>
        <v>FTE</v>
      </c>
      <c r="F992" s="29" t="str">
        <f>VLOOKUP(A992,File!$A:$J,6,FALSE)</f>
        <v>Chennai</v>
      </c>
      <c r="G992" s="29" t="str">
        <f>VLOOKUP(A992,File!$A:$J,7,FALSE)</f>
        <v>EPS26WD005</v>
      </c>
      <c r="H992" s="29" t="str">
        <f>VLOOKUP(A992,File!$A:$J,8,FALSE)</f>
        <v>Vishnupriya Dakshnamurthy</v>
      </c>
      <c r="I992" s="31">
        <f>VLOOKUP(A992,File!$A:$J,9,FALSE)</f>
        <v>46332</v>
      </c>
      <c r="J992" s="31" t="str">
        <f>VLOOKUP(A992,File!$A:$K,11,FALSE)</f>
        <v>Nov 2026</v>
      </c>
      <c r="K992" s="31" t="str">
        <f>VLOOKUP(A992,File!$A:$K,10,FALSE)</f>
        <v>In-Training</v>
      </c>
      <c r="L992" s="31" t="s">
        <v>4</v>
      </c>
      <c r="M992" t="str">
        <f>VLOOKUP(A992,Response!$A:$M,7,)</f>
        <v>PG (Paying Guest)</v>
      </c>
      <c r="N992" t="str">
        <f>VLOOKUP(A992,Response!$A:$M,8,)</f>
        <v>Shri Venka Sai Hanuman Gents PG</v>
      </c>
      <c r="O992" s="4">
        <f>VLOOKUP(A992,Response!$A:$M,10,)</f>
        <v>5</v>
      </c>
      <c r="P992" t="str">
        <f>VLOOKUP(A992,Response!$A:$M,12,)</f>
        <v>No</v>
      </c>
      <c r="Q992" t="str">
        <f>VLOOKUP(A992,Response!$A:$M,11,)</f>
        <v>Egattur</v>
      </c>
      <c r="R992" t="s">
        <v>19</v>
      </c>
      <c r="S992" s="39" t="s">
        <v>37</v>
      </c>
    </row>
    <row r="993" spans="1:19">
      <c r="A993" s="3">
        <v>2533147</v>
      </c>
      <c r="B993" t="str">
        <f>VLOOKUP(A993,File!$A:$J,2,FALSE)</f>
        <v>Shivani Singh</v>
      </c>
      <c r="C993" s="29">
        <f>VLOOKUP(A993,File!$A:$J,5,FALSE)</f>
        <v>46259</v>
      </c>
      <c r="D993" s="29" t="str">
        <f>VLOOKUP(A993,File!$A:$J,3,FALSE)</f>
        <v>Female</v>
      </c>
      <c r="E993" s="29" t="str">
        <f>VLOOKUP(A993,File!$A:$J,4,FALSE)</f>
        <v>FTE</v>
      </c>
      <c r="F993" s="29" t="str">
        <f>VLOOKUP(A993,File!$A:$J,6,FALSE)</f>
        <v>Chennai</v>
      </c>
      <c r="G993" s="29" t="str">
        <f>VLOOKUP(A993,File!$A:$J,7,FALSE)</f>
        <v>CIS26MBG003</v>
      </c>
      <c r="H993" s="29" t="str">
        <f>VLOOKUP(A993,File!$A:$J,8,FALSE)</f>
        <v>Kishorekumar P</v>
      </c>
      <c r="I993" s="31">
        <f>VLOOKUP(A993,File!$A:$J,9,FALSE)</f>
        <v>46367</v>
      </c>
      <c r="J993" s="31" t="str">
        <f>VLOOKUP(A993,File!$A:$K,11,FALSE)</f>
        <v>Dec 2026</v>
      </c>
      <c r="K993" s="31" t="str">
        <f>VLOOKUP(A993,File!$A:$K,10,FALSE)</f>
        <v>In-Training</v>
      </c>
      <c r="L993" s="31" t="s">
        <v>4</v>
      </c>
      <c r="M993" t="str">
        <f>VLOOKUP(A993,Response!$A:$M,7,)</f>
        <v>PG (Paying Guest)</v>
      </c>
      <c r="N993" t="str">
        <f>VLOOKUP(A993,Response!$A:$M,8,)</f>
        <v>Shri Venkata Hanuman Ladies Pg</v>
      </c>
      <c r="O993" s="4">
        <f>VLOOKUP(A993,Response!$A:$M,10,)</f>
        <v>2</v>
      </c>
      <c r="P993" t="str">
        <f>VLOOKUP(A993,Response!$A:$M,12,)</f>
        <v>No</v>
      </c>
      <c r="Q993" t="str">
        <f>VLOOKUP(A993,Response!$A:$M,11,)</f>
        <v>Egattur</v>
      </c>
      <c r="R993" t="s">
        <v>19</v>
      </c>
      <c r="S993" s="39" t="s">
        <v>37</v>
      </c>
    </row>
    <row r="994" spans="1:19">
      <c r="A994" s="3">
        <v>2525101</v>
      </c>
      <c r="B994" t="str">
        <f>VLOOKUP(A994,File!$A:$J,2,FALSE)</f>
        <v>Ashutosh Sharad Deshmukh</v>
      </c>
      <c r="C994" s="29">
        <f>VLOOKUP(A994,File!$A:$J,5,FALSE)</f>
        <v>46226</v>
      </c>
      <c r="D994" s="29" t="str">
        <f>VLOOKUP(A994,File!$A:$J,3,FALSE)</f>
        <v>Male</v>
      </c>
      <c r="E994" s="29" t="str">
        <f>VLOOKUP(A994,File!$A:$J,4,FALSE)</f>
        <v>FTE</v>
      </c>
      <c r="F994" s="29" t="str">
        <f>VLOOKUP(A994,File!$A:$J,6,FALSE)</f>
        <v>Chennai</v>
      </c>
      <c r="G994" s="29" t="str">
        <f>VLOOKUP(A994,File!$A:$J,7,FALSE)</f>
        <v>EPS26WD005</v>
      </c>
      <c r="H994" s="29" t="str">
        <f>VLOOKUP(A994,File!$A:$J,8,FALSE)</f>
        <v>Vishnupriya Dakshnamurthy</v>
      </c>
      <c r="I994" s="31">
        <f>VLOOKUP(A994,File!$A:$J,9,FALSE)</f>
        <v>46332</v>
      </c>
      <c r="J994" s="31" t="str">
        <f>VLOOKUP(A994,File!$A:$K,11,FALSE)</f>
        <v>Nov 2026</v>
      </c>
      <c r="K994" s="31" t="str">
        <f>VLOOKUP(A994,File!$A:$K,10,FALSE)</f>
        <v>In-Training</v>
      </c>
      <c r="L994" s="31" t="s">
        <v>4</v>
      </c>
      <c r="M994" t="str">
        <f>VLOOKUP(A994,Response!$A:$M,7,)</f>
        <v>PG (Paying Guest)</v>
      </c>
      <c r="N994" t="str">
        <f>VLOOKUP(A994,Response!$A:$M,8,)</f>
        <v>Shri venkata sai hanuman gents pg br-2</v>
      </c>
      <c r="O994" s="4">
        <f>VLOOKUP(A994,Response!$A:$M,10,)</f>
        <v>4</v>
      </c>
      <c r="P994" t="str">
        <f>VLOOKUP(A994,Response!$A:$M,12,)</f>
        <v>No</v>
      </c>
      <c r="Q994" t="str">
        <f>VLOOKUP(A994,Response!$A:$M,11,)</f>
        <v>Siruseri</v>
      </c>
      <c r="R994" t="s">
        <v>19</v>
      </c>
      <c r="S994" s="39" t="s">
        <v>37</v>
      </c>
    </row>
    <row r="995" spans="1:19">
      <c r="A995" s="3">
        <v>2529538</v>
      </c>
      <c r="B995" t="str">
        <f>VLOOKUP(A995,File!$A:$J,2,FALSE)</f>
        <v>K M Channabasava</v>
      </c>
      <c r="C995" s="29">
        <f>VLOOKUP(A995,File!$A:$J,5,FALSE)</f>
        <v>46245</v>
      </c>
      <c r="D995" s="29" t="str">
        <f>VLOOKUP(A995,File!$A:$J,3,FALSE)</f>
        <v>Male</v>
      </c>
      <c r="E995" s="29" t="str">
        <f>VLOOKUP(A995,File!$A:$J,4,FALSE)</f>
        <v>FTE</v>
      </c>
      <c r="F995" s="29" t="str">
        <f>VLOOKUP(A995,File!$A:$J,6,FALSE)</f>
        <v>Chennai</v>
      </c>
      <c r="G995" s="29" t="str">
        <f>VLOOKUP(A995,File!$A:$J,7,FALSE)</f>
        <v>CIS26MCPT025</v>
      </c>
      <c r="H995" s="29" t="str">
        <f>VLOOKUP(A995,File!$A:$J,8,FALSE)</f>
        <v>Vignesh S</v>
      </c>
      <c r="I995" s="31">
        <f>VLOOKUP(A995,File!$A:$J,9,FALSE)</f>
        <v>46359</v>
      </c>
      <c r="J995" s="31" t="str">
        <f>VLOOKUP(A995,File!$A:$K,11,FALSE)</f>
        <v>Dec 2026</v>
      </c>
      <c r="K995" s="31" t="str">
        <f>VLOOKUP(A995,File!$A:$K,10,FALSE)</f>
        <v>In-Training</v>
      </c>
      <c r="L995" s="31" t="s">
        <v>4</v>
      </c>
      <c r="M995" t="str">
        <f>VLOOKUP(A995,Response!$A:$M,7,)</f>
        <v>PG (Paying Guest)</v>
      </c>
      <c r="N995" t="str">
        <f>VLOOKUP(A995,Response!$A:$M,8,)</f>
        <v>Shri Venkateshwara Deluxe PG, siruseri</v>
      </c>
      <c r="O995" s="4">
        <f>VLOOKUP(A995,Response!$A:$M,10,)</f>
        <v>1</v>
      </c>
      <c r="P995" t="str">
        <f>VLOOKUP(A995,Response!$A:$M,12,)</f>
        <v>No</v>
      </c>
      <c r="Q995" t="str">
        <f>VLOOKUP(A995,Response!$A:$M,11,)</f>
        <v>Siruseri</v>
      </c>
      <c r="R995" t="s">
        <v>19</v>
      </c>
      <c r="S995" s="39" t="s">
        <v>37</v>
      </c>
    </row>
    <row r="996" spans="1:19">
      <c r="A996" s="3">
        <v>2521168</v>
      </c>
      <c r="B996" t="str">
        <f>VLOOKUP(A996,File!$A:$J,2,FALSE)</f>
        <v>Amit Kumar</v>
      </c>
      <c r="C996" s="29">
        <f>VLOOKUP(A996,File!$A:$J,5,FALSE)</f>
        <v>46210</v>
      </c>
      <c r="D996" s="29" t="str">
        <f>VLOOKUP(A996,File!$A:$J,3,FALSE)</f>
        <v>Male</v>
      </c>
      <c r="E996" s="29" t="str">
        <f>VLOOKUP(A996,File!$A:$J,4,FALSE)</f>
        <v>FTE</v>
      </c>
      <c r="F996" s="29" t="str">
        <f>VLOOKUP(A996,File!$A:$J,6,FALSE)</f>
        <v>Chennai</v>
      </c>
      <c r="G996" s="29" t="str">
        <f>VLOOKUP(A996,File!$A:$J,7,FALSE)</f>
        <v>PG26JFR003</v>
      </c>
      <c r="H996" s="29" t="str">
        <f>VLOOKUP(A996,File!$A:$J,8,FALSE)</f>
        <v>Vijay K</v>
      </c>
      <c r="I996" s="31">
        <f>VLOOKUP(A996,File!$A:$J,9,FALSE)</f>
        <v>46322</v>
      </c>
      <c r="J996" s="31" t="str">
        <f>VLOOKUP(A996,File!$A:$K,11,FALSE)</f>
        <v>Oct 2026</v>
      </c>
      <c r="K996" s="31" t="str">
        <f>VLOOKUP(A996,File!$A:$K,10,FALSE)</f>
        <v>In-Training</v>
      </c>
      <c r="L996" s="31" t="s">
        <v>4</v>
      </c>
      <c r="M996" t="str">
        <f>VLOOKUP(A996,Response!$A:$M,7,)</f>
        <v>PG (Paying Guest)</v>
      </c>
      <c r="N996" t="str">
        <f>VLOOKUP(A996,Response!$A:$M,8,)</f>
        <v>Shri Venkateshwara luxury pg, navalur</v>
      </c>
      <c r="O996" s="4">
        <f>VLOOKUP(A996,Response!$A:$M,10,)</f>
        <v>1</v>
      </c>
      <c r="P996" t="str">
        <f>VLOOKUP(A996,Response!$A:$M,12,)</f>
        <v>No</v>
      </c>
      <c r="Q996" t="str">
        <f>VLOOKUP(A996,Response!$A:$M,11,)</f>
        <v>Navalur</v>
      </c>
      <c r="R996" t="s">
        <v>19</v>
      </c>
      <c r="S996" s="39" t="s">
        <v>37</v>
      </c>
    </row>
    <row r="997" spans="1:19">
      <c r="A997" s="3">
        <v>2524646</v>
      </c>
      <c r="B997" t="str">
        <f>VLOOKUP(A997,File!$A:$J,2,FALSE)</f>
        <v>Naveen Kumar Nimmakayala</v>
      </c>
      <c r="C997" s="29">
        <f>VLOOKUP(A997,File!$A:$J,5,FALSE)</f>
        <v>46224</v>
      </c>
      <c r="D997" s="29" t="str">
        <f>VLOOKUP(A997,File!$A:$J,3,FALSE)</f>
        <v>Male</v>
      </c>
      <c r="E997" s="29" t="str">
        <f>VLOOKUP(A997,File!$A:$J,4,FALSE)</f>
        <v>FTE</v>
      </c>
      <c r="F997" s="29" t="str">
        <f>VLOOKUP(A997,File!$A:$J,6,FALSE)</f>
        <v>Chennai</v>
      </c>
      <c r="G997" s="29" t="str">
        <f>VLOOKUP(A997,File!$A:$J,7,FALSE)</f>
        <v>IOA26RPA005</v>
      </c>
      <c r="H997" s="29" t="str">
        <f>VLOOKUP(A997,File!$A:$J,8,FALSE)</f>
        <v>Adarsh J Nair</v>
      </c>
      <c r="I997" s="31">
        <f>VLOOKUP(A997,File!$A:$J,9,FALSE)</f>
        <v>46309</v>
      </c>
      <c r="J997" s="31" t="str">
        <f>VLOOKUP(A997,File!$A:$K,11,FALSE)</f>
        <v>Oct 2026</v>
      </c>
      <c r="K997" s="31" t="str">
        <f>VLOOKUP(A997,File!$A:$K,10,FALSE)</f>
        <v>In-Training</v>
      </c>
      <c r="L997" s="31" t="s">
        <v>5</v>
      </c>
      <c r="M997" t="str">
        <f>VLOOKUP(A997,Response!$A:$M,7,)</f>
        <v>Rented House/Apartment</v>
      </c>
      <c r="N997" t="str">
        <f>VLOOKUP(A997,Response!$A:$M,8,)</f>
        <v>sibi home,Rajan Nagar,kelambakkam</v>
      </c>
      <c r="O997" s="4">
        <f>VLOOKUP(A997,Response!$A:$M,10,)</f>
        <v>3</v>
      </c>
      <c r="P997" t="str">
        <f>VLOOKUP(A997,Response!$A:$M,12,)</f>
        <v>No</v>
      </c>
      <c r="Q997" t="str">
        <f>VLOOKUP(A997,Response!$A:$M,11,)</f>
        <v>Kelambakkam</v>
      </c>
      <c r="R997" t="s">
        <v>15</v>
      </c>
      <c r="S997" t="s">
        <v>38</v>
      </c>
    </row>
    <row r="998" spans="1:19">
      <c r="A998" s="3">
        <v>2533186</v>
      </c>
      <c r="B998" t="str">
        <f>VLOOKUP(A998,File!$A:$J,2,FALSE)</f>
        <v>Nithin Terli</v>
      </c>
      <c r="C998" s="29">
        <f>VLOOKUP(A998,File!$A:$J,5,FALSE)</f>
        <v>46259</v>
      </c>
      <c r="D998" s="29" t="str">
        <f>VLOOKUP(A998,File!$A:$J,3,FALSE)</f>
        <v>Male</v>
      </c>
      <c r="E998" s="29" t="str">
        <f>VLOOKUP(A998,File!$A:$J,4,FALSE)</f>
        <v>FTE</v>
      </c>
      <c r="F998" s="29" t="str">
        <f>VLOOKUP(A998,File!$A:$J,6,FALSE)</f>
        <v>Chennai</v>
      </c>
      <c r="G998" s="29" t="str">
        <f>VLOOKUP(A998,File!$A:$J,7,FALSE)</f>
        <v>CIS26MBG007</v>
      </c>
      <c r="H998" s="29" t="str">
        <f>VLOOKUP(A998,File!$A:$J,8,FALSE)</f>
        <v>Lawrance M</v>
      </c>
      <c r="I998" s="31">
        <f>VLOOKUP(A998,File!$A:$J,9,FALSE)</f>
        <v>46367</v>
      </c>
      <c r="J998" s="31" t="str">
        <f>VLOOKUP(A998,File!$A:$K,11,FALSE)</f>
        <v>Dec 2026</v>
      </c>
      <c r="K998" s="31" t="str">
        <f>VLOOKUP(A998,File!$A:$K,10,FALSE)</f>
        <v>In-Training</v>
      </c>
      <c r="L998" s="31" t="s">
        <v>4</v>
      </c>
      <c r="M998" t="str">
        <f>VLOOKUP(A998,Response!$A:$M,7,)</f>
        <v>PG (Paying Guest)</v>
      </c>
      <c r="N998" t="str">
        <f>VLOOKUP(A998,Response!$A:$M,8,)</f>
        <v>Siddhus men premium pg, siru seri</v>
      </c>
      <c r="O998" s="4">
        <f>VLOOKUP(A998,Response!$A:$M,10,)</f>
        <v>1</v>
      </c>
      <c r="P998" t="str">
        <f>VLOOKUP(A998,Response!$A:$M,12,)</f>
        <v>No</v>
      </c>
      <c r="Q998" t="str">
        <f>VLOOKUP(A998,Response!$A:$M,11,)</f>
        <v>Siruseri</v>
      </c>
      <c r="R998" t="s">
        <v>19</v>
      </c>
      <c r="S998" s="39" t="s">
        <v>37</v>
      </c>
    </row>
    <row r="999" spans="1:19">
      <c r="A999" s="3">
        <v>2532939</v>
      </c>
      <c r="B999" t="str">
        <f>VLOOKUP(A999,File!$A:$J,2,FALSE)</f>
        <v>Mohamed Ibrahim R</v>
      </c>
      <c r="C999" s="29">
        <f>VLOOKUP(A999,File!$A:$J,5,FALSE)</f>
        <v>46259</v>
      </c>
      <c r="D999" s="29" t="str">
        <f>VLOOKUP(A999,File!$A:$J,3,FALSE)</f>
        <v>Male</v>
      </c>
      <c r="E999" s="29" t="str">
        <f>VLOOKUP(A999,File!$A:$J,4,FALSE)</f>
        <v>FTE</v>
      </c>
      <c r="F999" s="29" t="str">
        <f>VLOOKUP(A999,File!$A:$J,6,FALSE)</f>
        <v>Chennai</v>
      </c>
      <c r="G999" s="29" t="str">
        <f>VLOOKUP(A999,File!$A:$J,7,FALSE)</f>
        <v>CIS26MBG004</v>
      </c>
      <c r="H999" s="29" t="str">
        <f>VLOOKUP(A999,File!$A:$J,8,FALSE)</f>
        <v>Kishorekumar P</v>
      </c>
      <c r="I999" s="31">
        <f>VLOOKUP(A999,File!$A:$J,9,FALSE)</f>
        <v>46367</v>
      </c>
      <c r="J999" s="31" t="str">
        <f>VLOOKUP(A999,File!$A:$K,11,FALSE)</f>
        <v>Dec 2026</v>
      </c>
      <c r="K999" s="31" t="str">
        <f>VLOOKUP(A999,File!$A:$K,10,FALSE)</f>
        <v>In-Training</v>
      </c>
      <c r="L999" s="31" t="s">
        <v>4</v>
      </c>
      <c r="M999" t="str">
        <f>VLOOKUP(A999,Response!$A:$M,7,)</f>
        <v>PG (Paying Guest)</v>
      </c>
      <c r="N999" t="str">
        <f>VLOOKUP(A999,Response!$A:$M,8,)</f>
        <v>Siddhus mens Premium PG- No 89c, city park layout, Siruseri, Egattur, Chennai, Tamilnadu 603103</v>
      </c>
      <c r="O999" s="4">
        <f>VLOOKUP(A999,Response!$A:$M,10,)</f>
        <v>2</v>
      </c>
      <c r="P999" t="str">
        <f>VLOOKUP(A999,Response!$A:$M,12,)</f>
        <v>No</v>
      </c>
      <c r="Q999" t="str">
        <f>VLOOKUP(A999,Response!$A:$M,11,)</f>
        <v>Siruseri</v>
      </c>
      <c r="R999" t="s">
        <v>19</v>
      </c>
      <c r="S999" s="39" t="s">
        <v>37</v>
      </c>
    </row>
    <row r="1000" spans="1:19">
      <c r="A1000" s="3">
        <v>2532973</v>
      </c>
      <c r="B1000" t="str">
        <f>VLOOKUP(A1000,File!$A:$J,2,FALSE)</f>
        <v>Borra Charan Vamsi</v>
      </c>
      <c r="C1000" s="29">
        <f>VLOOKUP(A1000,File!$A:$J,5,FALSE)</f>
        <v>46259</v>
      </c>
      <c r="D1000" s="29" t="str">
        <f>VLOOKUP(A1000,File!$A:$J,3,FALSE)</f>
        <v>Male</v>
      </c>
      <c r="E1000" s="29" t="str">
        <f>VLOOKUP(A1000,File!$A:$J,4,FALSE)</f>
        <v>FTE</v>
      </c>
      <c r="F1000" s="29" t="str">
        <f>VLOOKUP(A1000,File!$A:$J,6,FALSE)</f>
        <v>Chennai</v>
      </c>
      <c r="G1000" s="29" t="str">
        <f>VLOOKUP(A1000,File!$A:$J,7,FALSE)</f>
        <v>CIS26AT008</v>
      </c>
      <c r="H1000" s="29" t="str">
        <f>VLOOKUP(A1000,File!$A:$J,8,FALSE)</f>
        <v>Uma Venkatachalam</v>
      </c>
      <c r="I1000" s="31">
        <f>VLOOKUP(A1000,File!$A:$J,9,FALSE)</f>
        <v>46365</v>
      </c>
      <c r="J1000" s="31" t="str">
        <f>VLOOKUP(A1000,File!$A:$K,11,FALSE)</f>
        <v>Dec 2026</v>
      </c>
      <c r="K1000" s="31" t="str">
        <f>VLOOKUP(A1000,File!$A:$K,10,FALSE)</f>
        <v>In-Training</v>
      </c>
      <c r="L1000" s="31" t="s">
        <v>4</v>
      </c>
      <c r="M1000" t="str">
        <f>VLOOKUP(A1000,Response!$A:$M,7,)</f>
        <v>PG (Paying Guest)</v>
      </c>
      <c r="N1000" t="str">
        <f>VLOOKUP(A1000,Response!$A:$M,8,)</f>
        <v>siddhus perimum pg,sipcot</v>
      </c>
      <c r="O1000" s="4">
        <f>VLOOKUP(A1000,Response!$A:$M,10,)</f>
        <v>3</v>
      </c>
      <c r="P1000" t="str">
        <f>VLOOKUP(A1000,Response!$A:$M,12,)</f>
        <v>No</v>
      </c>
      <c r="Q1000" t="str">
        <f>VLOOKUP(A1000,Response!$A:$M,11,)</f>
        <v>Siruseri</v>
      </c>
      <c r="R1000" t="s">
        <v>19</v>
      </c>
      <c r="S1000" s="39" t="s">
        <v>37</v>
      </c>
    </row>
    <row r="1001" spans="1:19">
      <c r="A1001" s="3">
        <v>2533065</v>
      </c>
      <c r="B1001" t="str">
        <f>VLOOKUP(A1001,File!$A:$J,2,FALSE)</f>
        <v>Sri Venkat Nichenametla</v>
      </c>
      <c r="C1001" s="29">
        <f>VLOOKUP(A1001,File!$A:$J,5,FALSE)</f>
        <v>46259</v>
      </c>
      <c r="D1001" s="29" t="str">
        <f>VLOOKUP(A1001,File!$A:$J,3,FALSE)</f>
        <v>Male</v>
      </c>
      <c r="E1001" s="29" t="str">
        <f>VLOOKUP(A1001,File!$A:$J,4,FALSE)</f>
        <v>FTE</v>
      </c>
      <c r="F1001" s="29" t="str">
        <f>VLOOKUP(A1001,File!$A:$J,6,FALSE)</f>
        <v>Chennai</v>
      </c>
      <c r="G1001" s="29" t="str">
        <f>VLOOKUP(A1001,File!$A:$J,7,FALSE)</f>
        <v>CIS26MBG006</v>
      </c>
      <c r="H1001" s="29" t="str">
        <f>VLOOKUP(A1001,File!$A:$J,8,FALSE)</f>
        <v>Angel Maria Faustina Gomez</v>
      </c>
      <c r="I1001" s="31">
        <f>VLOOKUP(A1001,File!$A:$J,9,FALSE)</f>
        <v>46367</v>
      </c>
      <c r="J1001" s="31" t="str">
        <f>VLOOKUP(A1001,File!$A:$K,11,FALSE)</f>
        <v>Dec 2026</v>
      </c>
      <c r="K1001" s="31" t="str">
        <f>VLOOKUP(A1001,File!$A:$K,10,FALSE)</f>
        <v>In-Training</v>
      </c>
      <c r="L1001" s="31" t="s">
        <v>4</v>
      </c>
      <c r="M1001" t="str">
        <f>VLOOKUP(A1001,Response!$A:$M,7,)</f>
        <v>PG (Paying Guest)</v>
      </c>
      <c r="N1001" t="str">
        <f>VLOOKUP(A1001,Response!$A:$M,8,)</f>
        <v xml:space="preserve"> Siddhus premium Mens pg</v>
      </c>
      <c r="O1001" s="4">
        <f>VLOOKUP(A1001,Response!$A:$M,10,)</f>
        <v>4</v>
      </c>
      <c r="P1001" t="str">
        <f>VLOOKUP(A1001,Response!$A:$M,12,)</f>
        <v>Yes</v>
      </c>
      <c r="Q1001" t="str">
        <f>VLOOKUP(A1001,Response!$A:$M,11,)</f>
        <v>Siruseri</v>
      </c>
      <c r="R1001" t="s">
        <v>19</v>
      </c>
      <c r="S1001" s="39" t="s">
        <v>37</v>
      </c>
    </row>
    <row r="1002" spans="1:19">
      <c r="A1002" s="3">
        <v>2524529</v>
      </c>
      <c r="B1002" t="str">
        <f>VLOOKUP(A1002,File!$A:$J,2,FALSE)</f>
        <v>Gokul T M</v>
      </c>
      <c r="C1002" s="29">
        <f>VLOOKUP(A1002,File!$A:$J,5,FALSE)</f>
        <v>46224</v>
      </c>
      <c r="D1002" s="29" t="str">
        <f>VLOOKUP(A1002,File!$A:$J,3,FALSE)</f>
        <v>Male</v>
      </c>
      <c r="E1002" s="29" t="str">
        <f>VLOOKUP(A1002,File!$A:$J,4,FALSE)</f>
        <v>FTE</v>
      </c>
      <c r="F1002" s="29" t="str">
        <f>VLOOKUP(A1002,File!$A:$J,6,FALSE)</f>
        <v>Chennai</v>
      </c>
      <c r="G1002" s="29" t="str">
        <f>VLOOKUP(A1002,File!$A:$J,7,FALSE)</f>
        <v>IOA26RPA005</v>
      </c>
      <c r="H1002" s="29" t="str">
        <f>VLOOKUP(A1002,File!$A:$J,8,FALSE)</f>
        <v>Adarsh J Nair</v>
      </c>
      <c r="I1002" s="31">
        <f>VLOOKUP(A1002,File!$A:$J,9,FALSE)</f>
        <v>46309</v>
      </c>
      <c r="J1002" s="31" t="str">
        <f>VLOOKUP(A1002,File!$A:$K,11,FALSE)</f>
        <v>Oct 2026</v>
      </c>
      <c r="K1002" s="31" t="str">
        <f>VLOOKUP(A1002,File!$A:$K,10,FALSE)</f>
        <v>In-Training</v>
      </c>
      <c r="L1002" s="31" t="s">
        <v>4</v>
      </c>
      <c r="M1002" t="str">
        <f>VLOOKUP(A1002,Response!$A:$M,7,)</f>
        <v>PG (Paying Guest)</v>
      </c>
      <c r="N1002" t="str">
        <f>VLOOKUP(A1002,Response!$A:$M,8,)</f>
        <v>Siddu mens pg</v>
      </c>
      <c r="O1002" s="4">
        <f>VLOOKUP(A1002,Response!$A:$M,10,)</f>
        <v>1</v>
      </c>
      <c r="P1002" t="str">
        <f>VLOOKUP(A1002,Response!$A:$M,12,)</f>
        <v>No</v>
      </c>
      <c r="Q1002" t="str">
        <f>VLOOKUP(A1002,Response!$A:$M,11,)</f>
        <v>Siruseri</v>
      </c>
      <c r="R1002" t="s">
        <v>19</v>
      </c>
      <c r="S1002" s="39" t="s">
        <v>37</v>
      </c>
    </row>
    <row r="1003" spans="1:19">
      <c r="A1003" s="3">
        <v>2520935</v>
      </c>
      <c r="B1003" t="str">
        <f>VLOOKUP(A1003,File!$A:$J,2,FALSE)</f>
        <v>Shwon Ghosh</v>
      </c>
      <c r="C1003" s="29">
        <f>VLOOKUP(A1003,File!$A:$J,5,FALSE)</f>
        <v>46210</v>
      </c>
      <c r="D1003" s="29" t="str">
        <f>VLOOKUP(A1003,File!$A:$J,3,FALSE)</f>
        <v>Male</v>
      </c>
      <c r="E1003" s="29" t="str">
        <f>VLOOKUP(A1003,File!$A:$J,4,FALSE)</f>
        <v>FTE</v>
      </c>
      <c r="F1003" s="29" t="str">
        <f>VLOOKUP(A1003,File!$A:$J,6,FALSE)</f>
        <v>Chennai</v>
      </c>
      <c r="G1003" s="29" t="str">
        <f>VLOOKUP(A1003,File!$A:$J,7,FALSE)</f>
        <v>CM26SFDC006</v>
      </c>
      <c r="H1003" s="29" t="str">
        <f>VLOOKUP(A1003,File!$A:$J,8,FALSE)</f>
        <v>Gayathri Ramachandran</v>
      </c>
      <c r="I1003" s="31">
        <f>VLOOKUP(A1003,File!$A:$J,9,FALSE)</f>
        <v>46337</v>
      </c>
      <c r="J1003" s="31" t="str">
        <f>VLOOKUP(A1003,File!$A:$K,11,FALSE)</f>
        <v>Nov 2026</v>
      </c>
      <c r="K1003" s="31" t="str">
        <f>VLOOKUP(A1003,File!$A:$K,10,FALSE)</f>
        <v>In-Training</v>
      </c>
      <c r="L1003" s="31" t="s">
        <v>4</v>
      </c>
      <c r="M1003" t="str">
        <f>VLOOKUP(A1003,Response!$A:$M,7,)</f>
        <v>PG (Paying Guest)</v>
      </c>
      <c r="N1003" t="str">
        <f>VLOOKUP(A1003,Response!$A:$M,8,)</f>
        <v>Siddu Mens Pg,Egatur</v>
      </c>
      <c r="O1003" s="4">
        <f>VLOOKUP(A1003,Response!$A:$M,10,)</f>
        <v>4</v>
      </c>
      <c r="P1003" t="str">
        <f>VLOOKUP(A1003,Response!$A:$M,12,)</f>
        <v>No</v>
      </c>
      <c r="Q1003" t="str">
        <f>VLOOKUP(A1003,Response!$A:$M,11,)</f>
        <v>Siruseri</v>
      </c>
      <c r="R1003" t="s">
        <v>19</v>
      </c>
      <c r="S1003" s="39" t="s">
        <v>37</v>
      </c>
    </row>
    <row r="1004" spans="1:19">
      <c r="A1004" s="3">
        <v>2524650</v>
      </c>
      <c r="B1004" t="str">
        <f>VLOOKUP(A1004,File!$A:$J,2,FALSE)</f>
        <v>Prakash Kumar</v>
      </c>
      <c r="C1004" s="29">
        <f>VLOOKUP(A1004,File!$A:$J,5,FALSE)</f>
        <v>46224</v>
      </c>
      <c r="D1004" s="29" t="str">
        <f>VLOOKUP(A1004,File!$A:$J,3,FALSE)</f>
        <v>Male</v>
      </c>
      <c r="E1004" s="29" t="str">
        <f>VLOOKUP(A1004,File!$A:$J,4,FALSE)</f>
        <v>FTE</v>
      </c>
      <c r="F1004" s="29" t="str">
        <f>VLOOKUP(A1004,File!$A:$J,6,FALSE)</f>
        <v>Chennai</v>
      </c>
      <c r="G1004" s="29" t="str">
        <f>VLOOKUP(A1004,File!$A:$J,7,FALSE)</f>
        <v>QEA26QEPT024</v>
      </c>
      <c r="H1004" s="29" t="str">
        <f>VLOOKUP(A1004,File!$A:$J,8,FALSE)</f>
        <v>Ajiesya D P</v>
      </c>
      <c r="I1004" s="31">
        <f>VLOOKUP(A1004,File!$A:$J,9,FALSE)</f>
        <v>46325</v>
      </c>
      <c r="J1004" s="31" t="str">
        <f>VLOOKUP(A1004,File!$A:$K,11,FALSE)</f>
        <v>Oct 2026</v>
      </c>
      <c r="K1004" s="31" t="str">
        <f>VLOOKUP(A1004,File!$A:$K,10,FALSE)</f>
        <v>In-Training</v>
      </c>
      <c r="L1004" s="31" t="s">
        <v>4</v>
      </c>
      <c r="M1004" t="str">
        <f>VLOOKUP(A1004,Response!$A:$M,7,)</f>
        <v>PG (Paying Guest)</v>
      </c>
      <c r="N1004" t="str">
        <f>VLOOKUP(A1004,Response!$A:$M,8,)</f>
        <v>Siddu mens premium pg</v>
      </c>
      <c r="O1004" s="4">
        <f>VLOOKUP(A1004,Response!$A:$M,10,)</f>
        <v>3</v>
      </c>
      <c r="P1004" t="str">
        <f>VLOOKUP(A1004,Response!$A:$M,12,)</f>
        <v>No</v>
      </c>
      <c r="Q1004" t="str">
        <f>VLOOKUP(A1004,Response!$A:$M,11,)</f>
        <v>Siruseri</v>
      </c>
      <c r="R1004" t="s">
        <v>19</v>
      </c>
      <c r="S1004" s="39" t="s">
        <v>37</v>
      </c>
    </row>
    <row r="1005" spans="1:19">
      <c r="A1005" s="3">
        <v>2531805</v>
      </c>
      <c r="B1005" t="str">
        <f>VLOOKUP(A1005,File!$A:$J,2,FALSE)</f>
        <v>Neekunj Chaturvedi</v>
      </c>
      <c r="C1005" s="29">
        <f>VLOOKUP(A1005,File!$A:$J,5,FALSE)</f>
        <v>46254</v>
      </c>
      <c r="D1005" s="29" t="str">
        <f>VLOOKUP(A1005,File!$A:$J,3,FALSE)</f>
        <v>Male</v>
      </c>
      <c r="E1005" s="29" t="str">
        <f>VLOOKUP(A1005,File!$A:$J,4,FALSE)</f>
        <v>Intern</v>
      </c>
      <c r="F1005" s="29" t="str">
        <f>VLOOKUP(A1005,File!$A:$J,6,FALSE)</f>
        <v>Chennai</v>
      </c>
      <c r="G1005" s="29" t="str">
        <f>VLOOKUP(A1005,File!$A:$J,7,FALSE)</f>
        <v>INTFE26FE001</v>
      </c>
      <c r="H1005" s="29" t="str">
        <f>VLOOKUP(A1005,File!$A:$J,8,FALSE)</f>
        <v>Grace Esther S</v>
      </c>
      <c r="I1005" s="31">
        <f>VLOOKUP(A1005,File!$A:$J,9,FALSE)</f>
        <v>46310</v>
      </c>
      <c r="J1005" s="31" t="str">
        <f>VLOOKUP(A1005,File!$A:$K,11,FALSE)</f>
        <v>Oct 2026</v>
      </c>
      <c r="K1005" s="31" t="str">
        <f>VLOOKUP(A1005,File!$A:$K,10,FALSE)</f>
        <v>In-Training</v>
      </c>
      <c r="L1005" s="31" t="s">
        <v>4</v>
      </c>
      <c r="M1005" t="str">
        <f>VLOOKUP(A1005,Response!$A:$M,7,)</f>
        <v>PG (Paying Guest)</v>
      </c>
      <c r="N1005" t="str">
        <f>VLOOKUP(A1005,Response!$A:$M,8,)</f>
        <v>Siddu premium mens PG</v>
      </c>
      <c r="O1005" s="4">
        <f>VLOOKUP(A1005,Response!$A:$M,10,)</f>
        <v>3</v>
      </c>
      <c r="P1005" t="str">
        <f>VLOOKUP(A1005,Response!$A:$M,12,)</f>
        <v>No</v>
      </c>
      <c r="Q1005" t="str">
        <f>VLOOKUP(A1005,Response!$A:$M,11,)</f>
        <v>Siruseri</v>
      </c>
      <c r="R1005" t="s">
        <v>19</v>
      </c>
      <c r="S1005" s="39" t="s">
        <v>37</v>
      </c>
    </row>
    <row r="1006" spans="1:19">
      <c r="A1006" s="3">
        <v>2533047</v>
      </c>
      <c r="B1006" t="str">
        <f>VLOOKUP(A1006,File!$A:$J,2,FALSE)</f>
        <v>Sanampudi Nagasai Akash</v>
      </c>
      <c r="C1006" s="29">
        <f>VLOOKUP(A1006,File!$A:$J,5,FALSE)</f>
        <v>46259</v>
      </c>
      <c r="D1006" s="29" t="str">
        <f>VLOOKUP(A1006,File!$A:$J,3,FALSE)</f>
        <v>Male</v>
      </c>
      <c r="E1006" s="29" t="str">
        <f>VLOOKUP(A1006,File!$A:$J,4,FALSE)</f>
        <v>FTE</v>
      </c>
      <c r="F1006" s="29" t="str">
        <f>VLOOKUP(A1006,File!$A:$J,6,FALSE)</f>
        <v>Chennai</v>
      </c>
      <c r="G1006" s="29" t="str">
        <f>VLOOKUP(A1006,File!$A:$J,7,FALSE)</f>
        <v>CIS26MBG007</v>
      </c>
      <c r="H1006" s="29" t="str">
        <f>VLOOKUP(A1006,File!$A:$J,8,FALSE)</f>
        <v>Lawrance M</v>
      </c>
      <c r="I1006" s="31">
        <f>VLOOKUP(A1006,File!$A:$J,9,FALSE)</f>
        <v>46367</v>
      </c>
      <c r="J1006" s="31" t="str">
        <f>VLOOKUP(A1006,File!$A:$K,11,FALSE)</f>
        <v>Dec 2026</v>
      </c>
      <c r="K1006" s="31" t="str">
        <f>VLOOKUP(A1006,File!$A:$K,10,FALSE)</f>
        <v>In-Training</v>
      </c>
      <c r="L1006" s="31" t="s">
        <v>4</v>
      </c>
      <c r="M1006" t="str">
        <f>VLOOKUP(A1006,Response!$A:$M,7,)</f>
        <v>Hostel</v>
      </c>
      <c r="N1006" t="str">
        <f>VLOOKUP(A1006,Response!$A:$M,8,)</f>
        <v>SIDDU PREMIUM PG - A BLOCK,EGATTUR</v>
      </c>
      <c r="O1006" s="4">
        <f>VLOOKUP(A1006,Response!$A:$M,10,)</f>
        <v>3</v>
      </c>
      <c r="P1006" t="str">
        <f>VLOOKUP(A1006,Response!$A:$M,12,)</f>
        <v>No</v>
      </c>
      <c r="Q1006" t="str">
        <f>VLOOKUP(A1006,Response!$A:$M,11,)</f>
        <v>Siruseri</v>
      </c>
      <c r="R1006" t="s">
        <v>19</v>
      </c>
      <c r="S1006" s="39" t="s">
        <v>37</v>
      </c>
    </row>
    <row r="1007" spans="1:19">
      <c r="A1007" s="3">
        <v>2532919</v>
      </c>
      <c r="B1007" t="str">
        <f>VLOOKUP(A1007,File!$A:$J,2,FALSE)</f>
        <v>Macharla Goutham Manikantha</v>
      </c>
      <c r="C1007" s="29">
        <f>VLOOKUP(A1007,File!$A:$J,5,FALSE)</f>
        <v>46259</v>
      </c>
      <c r="D1007" s="29" t="str">
        <f>VLOOKUP(A1007,File!$A:$J,3,FALSE)</f>
        <v>Male</v>
      </c>
      <c r="E1007" s="29" t="str">
        <f>VLOOKUP(A1007,File!$A:$J,4,FALSE)</f>
        <v>FTE</v>
      </c>
      <c r="F1007" s="29" t="str">
        <f>VLOOKUP(A1007,File!$A:$J,6,FALSE)</f>
        <v>Chennai</v>
      </c>
      <c r="G1007" s="29" t="str">
        <f>VLOOKUP(A1007,File!$A:$J,7,FALSE)</f>
        <v>ADM27DFSA001</v>
      </c>
      <c r="H1007" s="29" t="str">
        <f>VLOOKUP(A1007,File!$A:$J,8,FALSE)</f>
        <v>Thomas Naveen. J</v>
      </c>
      <c r="I1007" s="31">
        <f>VLOOKUP(A1007,File!$A:$J,9,FALSE)</f>
        <v>46386</v>
      </c>
      <c r="J1007" s="31" t="str">
        <f>VLOOKUP(A1007,File!$A:$K,11,FALSE)</f>
        <v>Dec 2026</v>
      </c>
      <c r="K1007" s="31" t="str">
        <f>VLOOKUP(A1007,File!$A:$K,10,FALSE)</f>
        <v>In-Training</v>
      </c>
      <c r="L1007" s="31" t="s">
        <v>4</v>
      </c>
      <c r="M1007" t="str">
        <f>VLOOKUP(A1007,Response!$A:$M,7,)</f>
        <v>PG (Paying Guest)</v>
      </c>
      <c r="N1007" t="str">
        <f>VLOOKUP(A1007,Response!$A:$M,8,)</f>
        <v>siddu`s premium mens pg</v>
      </c>
      <c r="O1007" s="4">
        <f>VLOOKUP(A1007,Response!$A:$M,10,)</f>
        <v>3</v>
      </c>
      <c r="P1007" t="str">
        <f>VLOOKUP(A1007,Response!$A:$M,12,)</f>
        <v>No</v>
      </c>
      <c r="Q1007" t="str">
        <f>VLOOKUP(A1007,Response!$A:$M,11,)</f>
        <v>Egattur</v>
      </c>
      <c r="R1007" t="s">
        <v>19</v>
      </c>
      <c r="S1007" s="39" t="s">
        <v>37</v>
      </c>
    </row>
    <row r="1008" spans="1:19">
      <c r="A1008" s="3">
        <v>2521125</v>
      </c>
      <c r="B1008" t="str">
        <f>VLOOKUP(A1008,File!$A:$J,2,FALSE)</f>
        <v>Srihari Rao Bondugulapati</v>
      </c>
      <c r="C1008" s="29">
        <f>VLOOKUP(A1008,File!$A:$J,5,FALSE)</f>
        <v>46210</v>
      </c>
      <c r="D1008" s="29" t="str">
        <f>VLOOKUP(A1008,File!$A:$J,3,FALSE)</f>
        <v>Male</v>
      </c>
      <c r="E1008" s="29" t="str">
        <f>VLOOKUP(A1008,File!$A:$J,4,FALSE)</f>
        <v>FTE</v>
      </c>
      <c r="F1008" s="29" t="str">
        <f>VLOOKUP(A1008,File!$A:$J,6,FALSE)</f>
        <v>Chennai</v>
      </c>
      <c r="G1008" s="29" t="str">
        <f>VLOOKUP(A1008,File!$A:$J,7,FALSE)</f>
        <v>CIS26SN001</v>
      </c>
      <c r="H1008" s="29" t="str">
        <f>VLOOKUP(A1008,File!$A:$J,8,FALSE)</f>
        <v>Ashiya Begam S</v>
      </c>
      <c r="I1008" s="31">
        <f>VLOOKUP(A1008,File!$A:$J,9,FALSE)</f>
        <v>46281</v>
      </c>
      <c r="J1008" s="31" t="str">
        <f>VLOOKUP(A1008,File!$A:$K,11,FALSE)</f>
        <v>Sep 2026</v>
      </c>
      <c r="K1008" s="31" t="str">
        <f>VLOOKUP(A1008,File!$A:$K,10,FALSE)</f>
        <v>In-Training</v>
      </c>
      <c r="L1008" s="31" t="s">
        <v>4</v>
      </c>
      <c r="M1008" t="str">
        <f>VLOOKUP(A1008,Response!$A:$M,7,)</f>
        <v>PG (Paying Guest)</v>
      </c>
      <c r="N1008" t="str">
        <f>VLOOKUP(A1008,Response!$A:$M,8,)</f>
        <v>Siddu’s Premium Men’s PG</v>
      </c>
      <c r="O1008" s="4">
        <f>VLOOKUP(A1008,Response!$A:$M,10,)</f>
        <v>2</v>
      </c>
      <c r="P1008" t="str">
        <f>VLOOKUP(A1008,Response!$A:$M,12,)</f>
        <v>No</v>
      </c>
      <c r="Q1008" t="str">
        <f>VLOOKUP(A1008,Response!$A:$M,11,)</f>
        <v>Egattur</v>
      </c>
      <c r="R1008" t="s">
        <v>19</v>
      </c>
      <c r="S1008" s="39" t="s">
        <v>37</v>
      </c>
    </row>
    <row r="1009" spans="1:19">
      <c r="A1009" s="3">
        <v>2531861</v>
      </c>
      <c r="B1009" t="str">
        <f>VLOOKUP(A1009,File!$A:$J,2,FALSE)</f>
        <v>Manav Kumar</v>
      </c>
      <c r="C1009" s="29">
        <f>VLOOKUP(A1009,File!$A:$J,5,FALSE)</f>
        <v>46254</v>
      </c>
      <c r="D1009" s="29" t="str">
        <f>VLOOKUP(A1009,File!$A:$J,3,FALSE)</f>
        <v>Male</v>
      </c>
      <c r="E1009" s="29" t="str">
        <f>VLOOKUP(A1009,File!$A:$J,4,FALSE)</f>
        <v>FTE</v>
      </c>
      <c r="F1009" s="29" t="str">
        <f>VLOOKUP(A1009,File!$A:$J,6,FALSE)</f>
        <v>Chennai</v>
      </c>
      <c r="G1009" s="29" t="str">
        <f>VLOOKUP(A1009,File!$A:$J,7,FALSE)</f>
        <v>CS26CS012</v>
      </c>
      <c r="H1009" s="29" t="str">
        <f>VLOOKUP(A1009,File!$A:$J,8,FALSE)</f>
        <v>Laksiya Vijayendran</v>
      </c>
      <c r="I1009" s="31">
        <f>VLOOKUP(A1009,File!$A:$J,9,FALSE)</f>
        <v>46343</v>
      </c>
      <c r="J1009" s="31" t="str">
        <f>VLOOKUP(A1009,File!$A:$K,11,FALSE)</f>
        <v>Nov 2026</v>
      </c>
      <c r="K1009" s="31" t="str">
        <f>VLOOKUP(A1009,File!$A:$K,10,FALSE)</f>
        <v>In-Training</v>
      </c>
      <c r="L1009" s="31" t="s">
        <v>4</v>
      </c>
      <c r="M1009" t="str">
        <f>VLOOKUP(A1009,Response!$A:$M,7,)</f>
        <v>PG (Paying Guest)</v>
      </c>
      <c r="N1009" t="str">
        <f>VLOOKUP(A1009,Response!$A:$M,8,)</f>
        <v>Siddu’s Premium Men’s PG</v>
      </c>
      <c r="O1009" s="4">
        <f>VLOOKUP(A1009,Response!$A:$M,10,)</f>
        <v>2</v>
      </c>
      <c r="P1009" t="str">
        <f>VLOOKUP(A1009,Response!$A:$M,12,)</f>
        <v>No</v>
      </c>
      <c r="Q1009" t="str">
        <f>VLOOKUP(A1009,Response!$A:$M,11,)</f>
        <v>Siruseri</v>
      </c>
      <c r="R1009" t="s">
        <v>19</v>
      </c>
      <c r="S1009" s="39" t="s">
        <v>37</v>
      </c>
    </row>
    <row r="1010" spans="1:19">
      <c r="A1010" s="3">
        <v>2521121</v>
      </c>
      <c r="B1010" t="str">
        <f>VLOOKUP(A1010,File!$A:$J,2,FALSE)</f>
        <v>Atmakuri Guru S S V S Murali Krishna</v>
      </c>
      <c r="C1010" s="29">
        <f>VLOOKUP(A1010,File!$A:$J,5,FALSE)</f>
        <v>46210</v>
      </c>
      <c r="D1010" s="29" t="str">
        <f>VLOOKUP(A1010,File!$A:$J,3,FALSE)</f>
        <v>Male</v>
      </c>
      <c r="E1010" s="29" t="str">
        <f>VLOOKUP(A1010,File!$A:$J,4,FALSE)</f>
        <v>FTE</v>
      </c>
      <c r="F1010" s="29" t="str">
        <f>VLOOKUP(A1010,File!$A:$J,6,FALSE)</f>
        <v>Chennai</v>
      </c>
      <c r="G1010" s="29" t="str">
        <f>VLOOKUP(A1010,File!$A:$J,7,FALSE)</f>
        <v>SNBG26SN003</v>
      </c>
      <c r="H1010" s="29" t="str">
        <f>VLOOKUP(A1010,File!$A:$J,8,FALSE)</f>
        <v>Lawrance M</v>
      </c>
      <c r="I1010" s="31">
        <f>VLOOKUP(A1010,File!$A:$J,9,FALSE)</f>
        <v>46281</v>
      </c>
      <c r="J1010" s="31" t="str">
        <f>VLOOKUP(A1010,File!$A:$K,11,FALSE)</f>
        <v>Sep 2026</v>
      </c>
      <c r="K1010" s="31" t="str">
        <f>VLOOKUP(A1010,File!$A:$K,10,FALSE)</f>
        <v>In-Training</v>
      </c>
      <c r="L1010" s="31" t="s">
        <v>4</v>
      </c>
      <c r="M1010" t="str">
        <f>VLOOKUP(A1010,Response!$A:$M,7,)</f>
        <v>PG (Paying Guest)</v>
      </c>
      <c r="N1010" t="str">
        <f>VLOOKUP(A1010,Response!$A:$M,8,)</f>
        <v>Siddu’s Premium Men’s PG</v>
      </c>
      <c r="O1010" s="4">
        <f>VLOOKUP(A1010,Response!$A:$M,10,)</f>
        <v>3</v>
      </c>
      <c r="P1010" t="str">
        <f>VLOOKUP(A1010,Response!$A:$M,12,)</f>
        <v>No</v>
      </c>
      <c r="Q1010" t="str">
        <f>VLOOKUP(A1010,Response!$A:$M,11,)</f>
        <v>Egattur</v>
      </c>
      <c r="R1010" t="s">
        <v>19</v>
      </c>
      <c r="S1010" s="39" t="s">
        <v>37</v>
      </c>
    </row>
    <row r="1011" spans="1:19">
      <c r="A1011" s="3">
        <v>2524559</v>
      </c>
      <c r="B1011" t="str">
        <f>VLOOKUP(A1011,File!$A:$J,2,FALSE)</f>
        <v>Shubham Kumar Mahtha</v>
      </c>
      <c r="C1011" s="29">
        <f>VLOOKUP(A1011,File!$A:$J,5,FALSE)</f>
        <v>46224</v>
      </c>
      <c r="D1011" s="29" t="str">
        <f>VLOOKUP(A1011,File!$A:$J,3,FALSE)</f>
        <v>Male</v>
      </c>
      <c r="E1011" s="29" t="str">
        <f>VLOOKUP(A1011,File!$A:$J,4,FALSE)</f>
        <v>FTE</v>
      </c>
      <c r="F1011" s="29" t="str">
        <f>VLOOKUP(A1011,File!$A:$J,6,FALSE)</f>
        <v>Chennai</v>
      </c>
      <c r="G1011" s="29" t="str">
        <f>VLOOKUP(A1011,File!$A:$J,7,FALSE)</f>
        <v>IOA26RPA005</v>
      </c>
      <c r="H1011" s="29" t="str">
        <f>VLOOKUP(A1011,File!$A:$J,8,FALSE)</f>
        <v>Adarsh J Nair</v>
      </c>
      <c r="I1011" s="31">
        <f>VLOOKUP(A1011,File!$A:$J,9,FALSE)</f>
        <v>46309</v>
      </c>
      <c r="J1011" s="31" t="str">
        <f>VLOOKUP(A1011,File!$A:$K,11,FALSE)</f>
        <v>Oct 2026</v>
      </c>
      <c r="K1011" s="31" t="str">
        <f>VLOOKUP(A1011,File!$A:$K,10,FALSE)</f>
        <v>In-Training</v>
      </c>
      <c r="L1011" s="31" t="s">
        <v>4</v>
      </c>
      <c r="M1011" t="str">
        <f>VLOOKUP(A1011,Response!$A:$M,7,)</f>
        <v>PG (Paying Guest)</v>
      </c>
      <c r="N1011" t="str">
        <f>VLOOKUP(A1011,Response!$A:$M,8,)</f>
        <v>Siddu’s Premium Men’s PG SIRUSERI</v>
      </c>
      <c r="O1011" s="4">
        <f>VLOOKUP(A1011,Response!$A:$M,10,)</f>
        <v>1</v>
      </c>
      <c r="P1011" t="str">
        <f>VLOOKUP(A1011,Response!$A:$M,12,)</f>
        <v>Yes</v>
      </c>
      <c r="Q1011" t="str">
        <f>VLOOKUP(A1011,Response!$A:$M,11,)</f>
        <v>Siruseri</v>
      </c>
      <c r="R1011" t="s">
        <v>19</v>
      </c>
      <c r="S1011" s="39" t="s">
        <v>37</v>
      </c>
    </row>
    <row r="1012" spans="1:19">
      <c r="A1012" s="3">
        <v>2521116</v>
      </c>
      <c r="B1012" t="str">
        <f>VLOOKUP(A1012,File!$A:$J,2,FALSE)</f>
        <v>Venkata Krishna Sai Akula</v>
      </c>
      <c r="C1012" s="29">
        <f>VLOOKUP(A1012,File!$A:$J,5,FALSE)</f>
        <v>46210</v>
      </c>
      <c r="D1012" s="29" t="str">
        <f>VLOOKUP(A1012,File!$A:$J,3,FALSE)</f>
        <v>Male</v>
      </c>
      <c r="E1012" s="29" t="str">
        <f>VLOOKUP(A1012,File!$A:$J,4,FALSE)</f>
        <v>FTE</v>
      </c>
      <c r="F1012" s="29" t="str">
        <f>VLOOKUP(A1012,File!$A:$J,6,FALSE)</f>
        <v>Chennai</v>
      </c>
      <c r="G1012" s="29" t="str">
        <f>VLOOKUP(A1012,File!$A:$J,7,FALSE)</f>
        <v>CIS26SN001</v>
      </c>
      <c r="H1012" s="29" t="str">
        <f>VLOOKUP(A1012,File!$A:$J,8,FALSE)</f>
        <v>Ashiya Begam S</v>
      </c>
      <c r="I1012" s="31">
        <f>VLOOKUP(A1012,File!$A:$J,9,FALSE)</f>
        <v>46281</v>
      </c>
      <c r="J1012" s="31" t="str">
        <f>VLOOKUP(A1012,File!$A:$K,11,FALSE)</f>
        <v>Sep 2026</v>
      </c>
      <c r="K1012" s="31" t="str">
        <f>VLOOKUP(A1012,File!$A:$K,10,FALSE)</f>
        <v>In-Training</v>
      </c>
      <c r="L1012" s="31" t="s">
        <v>4</v>
      </c>
      <c r="M1012" t="str">
        <f>VLOOKUP(A1012,Response!$A:$M,7,)</f>
        <v>PG (Paying Guest)</v>
      </c>
      <c r="N1012" t="str">
        <f>VLOOKUP(A1012,Response!$A:$M,8,)</f>
        <v>Siddu’s Premium Men’s PG SIRUSERI SIPCOT IT</v>
      </c>
      <c r="O1012" s="4">
        <f>VLOOKUP(A1012,Response!$A:$M,10,)</f>
        <v>2</v>
      </c>
      <c r="P1012" t="str">
        <f>VLOOKUP(A1012,Response!$A:$M,12,)</f>
        <v>No</v>
      </c>
      <c r="Q1012" t="str">
        <f>VLOOKUP(A1012,Response!$A:$M,11,)</f>
        <v>Egattur</v>
      </c>
      <c r="R1012" t="s">
        <v>19</v>
      </c>
      <c r="S1012" s="39" t="s">
        <v>37</v>
      </c>
    </row>
    <row r="1013" spans="1:19">
      <c r="A1013" s="3">
        <v>2521120</v>
      </c>
      <c r="B1013" t="str">
        <f>VLOOKUP(A1013,File!$A:$J,2,FALSE)</f>
        <v>Mannem Manobharath</v>
      </c>
      <c r="C1013" s="29">
        <f>VLOOKUP(A1013,File!$A:$J,5,FALSE)</f>
        <v>46210</v>
      </c>
      <c r="D1013" s="29" t="str">
        <f>VLOOKUP(A1013,File!$A:$J,3,FALSE)</f>
        <v>Male</v>
      </c>
      <c r="E1013" s="29" t="str">
        <f>VLOOKUP(A1013,File!$A:$J,4,FALSE)</f>
        <v>FTE</v>
      </c>
      <c r="F1013" s="29" t="str">
        <f>VLOOKUP(A1013,File!$A:$J,6,FALSE)</f>
        <v>Chennai</v>
      </c>
      <c r="G1013" s="29" t="str">
        <f>VLOOKUP(A1013,File!$A:$J,7,FALSE)</f>
        <v>CIS26SN001</v>
      </c>
      <c r="H1013" s="29" t="str">
        <f>VLOOKUP(A1013,File!$A:$J,8,FALSE)</f>
        <v>Ashiya Begam S</v>
      </c>
      <c r="I1013" s="31">
        <f>VLOOKUP(A1013,File!$A:$J,9,FALSE)</f>
        <v>46281</v>
      </c>
      <c r="J1013" s="31" t="str">
        <f>VLOOKUP(A1013,File!$A:$K,11,FALSE)</f>
        <v>Sep 2026</v>
      </c>
      <c r="K1013" s="31" t="str">
        <f>VLOOKUP(A1013,File!$A:$K,10,FALSE)</f>
        <v>In-Training</v>
      </c>
      <c r="L1013" s="31" t="s">
        <v>4</v>
      </c>
      <c r="M1013" t="str">
        <f>VLOOKUP(A1013,Response!$A:$M,7,)</f>
        <v>PG (Paying Guest)</v>
      </c>
      <c r="N1013" t="str">
        <f>VLOOKUP(A1013,Response!$A:$M,8,)</f>
        <v>Siddu’s Premium Men’s PG SIRUSERI SIPCOT IT</v>
      </c>
      <c r="O1013" s="4">
        <f>VLOOKUP(A1013,Response!$A:$M,10,)</f>
        <v>2</v>
      </c>
      <c r="P1013" t="str">
        <f>VLOOKUP(A1013,Response!$A:$M,12,)</f>
        <v>No</v>
      </c>
      <c r="Q1013" t="str">
        <f>VLOOKUP(A1013,Response!$A:$M,11,)</f>
        <v>Egattur</v>
      </c>
      <c r="R1013" t="s">
        <v>19</v>
      </c>
      <c r="S1013" s="39" t="s">
        <v>37</v>
      </c>
    </row>
    <row r="1014" spans="1:19">
      <c r="A1014" s="3">
        <v>2524522</v>
      </c>
      <c r="B1014" t="str">
        <f>VLOOKUP(A1014,File!$A:$J,2,FALSE)</f>
        <v>Lakshay Gupta</v>
      </c>
      <c r="C1014" s="29">
        <f>VLOOKUP(A1014,File!$A:$J,5,FALSE)</f>
        <v>46224</v>
      </c>
      <c r="D1014" s="29" t="str">
        <f>VLOOKUP(A1014,File!$A:$J,3,FALSE)</f>
        <v>Male</v>
      </c>
      <c r="E1014" s="29" t="str">
        <f>VLOOKUP(A1014,File!$A:$J,4,FALSE)</f>
        <v>FTE</v>
      </c>
      <c r="F1014" s="29" t="str">
        <f>VLOOKUP(A1014,File!$A:$J,6,FALSE)</f>
        <v>Chennai</v>
      </c>
      <c r="G1014" s="29" t="str">
        <f>VLOOKUP(A1014,File!$A:$J,7,FALSE)</f>
        <v>QEA26QEPT024</v>
      </c>
      <c r="H1014" s="29" t="str">
        <f>VLOOKUP(A1014,File!$A:$J,8,FALSE)</f>
        <v>Ajiesya D P</v>
      </c>
      <c r="I1014" s="31">
        <f>VLOOKUP(A1014,File!$A:$J,9,FALSE)</f>
        <v>46330</v>
      </c>
      <c r="J1014" s="31" t="str">
        <f>VLOOKUP(A1014,File!$A:$K,11,FALSE)</f>
        <v>Nov 2026</v>
      </c>
      <c r="K1014" s="31" t="str">
        <f>VLOOKUP(A1014,File!$A:$K,10,FALSE)</f>
        <v>In-Training</v>
      </c>
      <c r="L1014" s="31" t="s">
        <v>4</v>
      </c>
      <c r="M1014" t="str">
        <f>VLOOKUP(A1014,Response!$A:$M,7,)</f>
        <v>PG (Paying Guest)</v>
      </c>
      <c r="N1014" t="str">
        <f>VLOOKUP(A1014,Response!$A:$M,8,)</f>
        <v>Siddu’s Premium Men’s PG SIRUSERI SIPCOT IT</v>
      </c>
      <c r="O1014" s="4">
        <f>VLOOKUP(A1014,Response!$A:$M,10,)</f>
        <v>3</v>
      </c>
      <c r="P1014" t="str">
        <f>VLOOKUP(A1014,Response!$A:$M,12,)</f>
        <v>No</v>
      </c>
      <c r="Q1014" t="str">
        <f>VLOOKUP(A1014,Response!$A:$M,11,)</f>
        <v>Egattur</v>
      </c>
      <c r="R1014" t="s">
        <v>19</v>
      </c>
      <c r="S1014" s="39" t="s">
        <v>37</v>
      </c>
    </row>
    <row r="1015" spans="1:19">
      <c r="A1015" s="3">
        <v>2532982</v>
      </c>
      <c r="B1015" t="str">
        <f>VLOOKUP(A1015,File!$A:$J,2,FALSE)</f>
        <v>Lohith Harshadithya Yaragarla</v>
      </c>
      <c r="C1015" s="29">
        <f>VLOOKUP(A1015,File!$A:$J,5,FALSE)</f>
        <v>46259</v>
      </c>
      <c r="D1015" s="29" t="str">
        <f>VLOOKUP(A1015,File!$A:$J,3,FALSE)</f>
        <v>Male</v>
      </c>
      <c r="E1015" s="29" t="str">
        <f>VLOOKUP(A1015,File!$A:$J,4,FALSE)</f>
        <v>FTE</v>
      </c>
      <c r="F1015" s="29" t="str">
        <f>VLOOKUP(A1015,File!$A:$J,6,FALSE)</f>
        <v>Chennai</v>
      </c>
      <c r="G1015" s="29" t="str">
        <f>VLOOKUP(A1015,File!$A:$J,7,FALSE)</f>
        <v>CIS26MBG006</v>
      </c>
      <c r="H1015" s="29" t="str">
        <f>VLOOKUP(A1015,File!$A:$J,8,FALSE)</f>
        <v>Angel Maria Faustina Gomez</v>
      </c>
      <c r="I1015" s="31">
        <f>VLOOKUP(A1015,File!$A:$J,9,FALSE)</f>
        <v>46367</v>
      </c>
      <c r="J1015" s="31" t="str">
        <f>VLOOKUP(A1015,File!$A:$K,11,FALSE)</f>
        <v>Dec 2026</v>
      </c>
      <c r="K1015" s="31" t="str">
        <f>VLOOKUP(A1015,File!$A:$K,10,FALSE)</f>
        <v>In-Training</v>
      </c>
      <c r="L1015" s="31" t="s">
        <v>4</v>
      </c>
      <c r="M1015" t="str">
        <f>VLOOKUP(A1015,Response!$A:$M,7,)</f>
        <v>PG (Paying Guest)</v>
      </c>
      <c r="N1015" t="str">
        <f>VLOOKUP(A1015,Response!$A:$M,8,)</f>
        <v>Siddu’s Premium Men’s PG SIRUSERI SIPCOT IT</v>
      </c>
      <c r="O1015" s="4">
        <f>VLOOKUP(A1015,Response!$A:$M,10,)</f>
        <v>3</v>
      </c>
      <c r="P1015" t="str">
        <f>VLOOKUP(A1015,Response!$A:$M,12,)</f>
        <v>Yes</v>
      </c>
      <c r="Q1015" t="str">
        <f>VLOOKUP(A1015,Response!$A:$M,11,)</f>
        <v>Siruseri</v>
      </c>
      <c r="R1015" t="s">
        <v>19</v>
      </c>
      <c r="S1015" s="39" t="s">
        <v>37</v>
      </c>
    </row>
    <row r="1016" spans="1:19">
      <c r="A1016" s="3">
        <v>2524644</v>
      </c>
      <c r="B1016" t="str">
        <f>VLOOKUP(A1016,File!$A:$J,2,FALSE)</f>
        <v>Samardeep Singh</v>
      </c>
      <c r="C1016" s="29">
        <f>VLOOKUP(A1016,File!$A:$J,5,FALSE)</f>
        <v>46224</v>
      </c>
      <c r="D1016" s="29" t="str">
        <f>VLOOKUP(A1016,File!$A:$J,3,FALSE)</f>
        <v>Male</v>
      </c>
      <c r="E1016" s="29" t="str">
        <f>VLOOKUP(A1016,File!$A:$J,4,FALSE)</f>
        <v>FTE</v>
      </c>
      <c r="F1016" s="29" t="str">
        <f>VLOOKUP(A1016,File!$A:$J,6,FALSE)</f>
        <v>Chennai</v>
      </c>
      <c r="G1016" s="29" t="str">
        <f>VLOOKUP(A1016,File!$A:$J,7,FALSE)</f>
        <v>QEA26QEPT024</v>
      </c>
      <c r="H1016" s="29" t="str">
        <f>VLOOKUP(A1016,File!$A:$J,8,FALSE)</f>
        <v>Ajiesya D P</v>
      </c>
      <c r="I1016" s="31">
        <f>VLOOKUP(A1016,File!$A:$J,9,FALSE)</f>
        <v>46325</v>
      </c>
      <c r="J1016" s="31" t="str">
        <f>VLOOKUP(A1016,File!$A:$K,11,FALSE)</f>
        <v>Oct 2026</v>
      </c>
      <c r="K1016" s="31" t="str">
        <f>VLOOKUP(A1016,File!$A:$K,10,FALSE)</f>
        <v>In-Training</v>
      </c>
      <c r="L1016" s="31" t="s">
        <v>4</v>
      </c>
      <c r="M1016" t="str">
        <f>VLOOKUP(A1016,Response!$A:$M,7,)</f>
        <v>PG (Paying Guest)</v>
      </c>
      <c r="N1016" t="str">
        <f>VLOOKUP(A1016,Response!$A:$M,8,)</f>
        <v>Siddu’s Premium Men’s PG SIRUSERI SIPCOT IT PARK</v>
      </c>
      <c r="O1016" s="4">
        <f>VLOOKUP(A1016,Response!$A:$M,10,)</f>
        <v>3</v>
      </c>
      <c r="P1016" t="str">
        <f>VLOOKUP(A1016,Response!$A:$M,12,)</f>
        <v>No</v>
      </c>
      <c r="Q1016" t="str">
        <f>VLOOKUP(A1016,Response!$A:$M,11,)</f>
        <v>Egattur</v>
      </c>
      <c r="R1016" t="s">
        <v>19</v>
      </c>
      <c r="S1016" s="39" t="s">
        <v>37</v>
      </c>
    </row>
    <row r="1017" spans="1:19">
      <c r="A1017" s="3">
        <v>2531834</v>
      </c>
      <c r="B1017" t="str">
        <f>VLOOKUP(A1017,File!$A:$J,2,FALSE)</f>
        <v>Prasanth LNU</v>
      </c>
      <c r="C1017" s="29">
        <f>VLOOKUP(A1017,File!$A:$J,5,FALSE)</f>
        <v>46254</v>
      </c>
      <c r="D1017" s="29" t="str">
        <f>VLOOKUP(A1017,File!$A:$J,3,FALSE)</f>
        <v>Male</v>
      </c>
      <c r="E1017" s="29" t="str">
        <f>VLOOKUP(A1017,File!$A:$J,4,FALSE)</f>
        <v>FTE</v>
      </c>
      <c r="F1017" s="29" t="str">
        <f>VLOOKUP(A1017,File!$A:$J,6,FALSE)</f>
        <v>Chennai</v>
      </c>
      <c r="G1017" s="29" t="str">
        <f>VLOOKUP(A1017,File!$A:$J,7,FALSE)</f>
        <v>CS26CS011</v>
      </c>
      <c r="H1017" s="29" t="str">
        <f>VLOOKUP(A1017,File!$A:$J,8,FALSE)</f>
        <v>Kishorekumar P</v>
      </c>
      <c r="I1017" s="31">
        <f>VLOOKUP(A1017,File!$A:$J,9,FALSE)</f>
        <v>46343</v>
      </c>
      <c r="J1017" s="31" t="str">
        <f>VLOOKUP(A1017,File!$A:$K,11,FALSE)</f>
        <v>Nov 2026</v>
      </c>
      <c r="K1017" s="31" t="str">
        <f>VLOOKUP(A1017,File!$A:$K,10,FALSE)</f>
        <v>In-Training</v>
      </c>
      <c r="L1017" s="31" t="s">
        <v>4</v>
      </c>
      <c r="M1017" t="str">
        <f>VLOOKUP(A1017,Response!$A:$M,7,)</f>
        <v>PG (Paying Guest)</v>
      </c>
      <c r="N1017" t="str">
        <f>VLOOKUP(A1017,Response!$A:$M,8,)</f>
        <v>Siddu’s Premium Men’s PG,Egattur</v>
      </c>
      <c r="O1017" s="4">
        <f>VLOOKUP(A1017,Response!$A:$M,10,)</f>
        <v>1</v>
      </c>
      <c r="P1017" t="str">
        <f>VLOOKUP(A1017,Response!$A:$M,12,)</f>
        <v>No</v>
      </c>
      <c r="Q1017" t="str">
        <f>VLOOKUP(A1017,Response!$A:$M,11,)</f>
        <v>Egattur</v>
      </c>
      <c r="R1017" t="s">
        <v>19</v>
      </c>
      <c r="S1017" s="39" t="s">
        <v>37</v>
      </c>
    </row>
    <row r="1018" spans="1:19">
      <c r="A1018" s="3">
        <v>2532977</v>
      </c>
      <c r="B1018" t="str">
        <f>VLOOKUP(A1018,File!$A:$J,2,FALSE)</f>
        <v>Yerragundu Jagadeeswar Reddy</v>
      </c>
      <c r="C1018" s="29">
        <f>VLOOKUP(A1018,File!$A:$J,5,FALSE)</f>
        <v>46259</v>
      </c>
      <c r="D1018" s="29" t="str">
        <f>VLOOKUP(A1018,File!$A:$J,3,FALSE)</f>
        <v>Male</v>
      </c>
      <c r="E1018" s="29" t="str">
        <f>VLOOKUP(A1018,File!$A:$J,4,FALSE)</f>
        <v>FTE</v>
      </c>
      <c r="F1018" s="29" t="str">
        <f>VLOOKUP(A1018,File!$A:$J,6,FALSE)</f>
        <v>Chennai</v>
      </c>
      <c r="G1018" s="29" t="str">
        <f>VLOOKUP(A1018,File!$A:$J,7,FALSE)</f>
        <v>CIS26MBG005</v>
      </c>
      <c r="H1018" s="29" t="str">
        <f>VLOOKUP(A1018,File!$A:$J,8,FALSE)</f>
        <v>Angel Maria Faustina Gomez</v>
      </c>
      <c r="I1018" s="31">
        <f>VLOOKUP(A1018,File!$A:$J,9,FALSE)</f>
        <v>46367</v>
      </c>
      <c r="J1018" s="31" t="str">
        <f>VLOOKUP(A1018,File!$A:$K,11,FALSE)</f>
        <v>Dec 2026</v>
      </c>
      <c r="K1018" s="31" t="str">
        <f>VLOOKUP(A1018,File!$A:$K,10,FALSE)</f>
        <v>In-Training</v>
      </c>
      <c r="L1018" s="31" t="s">
        <v>4</v>
      </c>
      <c r="M1018" t="str">
        <f>VLOOKUP(A1018,Response!$A:$M,7,)</f>
        <v>PG (Paying Guest)</v>
      </c>
      <c r="N1018" t="str">
        <f>VLOOKUP(A1018,Response!$A:$M,8,)</f>
        <v>Siddus mens pg</v>
      </c>
      <c r="O1018" s="4">
        <f>VLOOKUP(A1018,Response!$A:$M,10,)</f>
        <v>4</v>
      </c>
      <c r="P1018" t="str">
        <f>VLOOKUP(A1018,Response!$A:$M,12,)</f>
        <v>No</v>
      </c>
      <c r="Q1018" t="str">
        <f>VLOOKUP(A1018,Response!$A:$M,11,)</f>
        <v>Siruseri</v>
      </c>
      <c r="R1018" t="s">
        <v>19</v>
      </c>
      <c r="S1018" s="39" t="s">
        <v>37</v>
      </c>
    </row>
    <row r="1019" spans="1:19">
      <c r="A1019" s="3">
        <v>2525149</v>
      </c>
      <c r="B1019" t="str">
        <f>VLOOKUP(A1019,File!$A:$J,2,FALSE)</f>
        <v>Aryan Pandharinath Dhumal</v>
      </c>
      <c r="C1019" s="29">
        <f>VLOOKUP(A1019,File!$A:$J,5,FALSE)</f>
        <v>46226</v>
      </c>
      <c r="D1019" s="29" t="str">
        <f>VLOOKUP(A1019,File!$A:$J,3,FALSE)</f>
        <v>Male</v>
      </c>
      <c r="E1019" s="29" t="str">
        <f>VLOOKUP(A1019,File!$A:$J,4,FALSE)</f>
        <v>FTE</v>
      </c>
      <c r="F1019" s="29" t="str">
        <f>VLOOKUP(A1019,File!$A:$J,6,FALSE)</f>
        <v>Chennai</v>
      </c>
      <c r="G1019" s="29" t="str">
        <f>VLOOKUP(A1019,File!$A:$J,7,FALSE)</f>
        <v>EPS26WD005</v>
      </c>
      <c r="H1019" s="29" t="str">
        <f>VLOOKUP(A1019,File!$A:$J,8,FALSE)</f>
        <v>Vishnupriya Dakshnamurthy</v>
      </c>
      <c r="I1019" s="31">
        <f>VLOOKUP(A1019,File!$A:$J,9,FALSE)</f>
        <v>46332</v>
      </c>
      <c r="J1019" s="31" t="str">
        <f>VLOOKUP(A1019,File!$A:$K,11,FALSE)</f>
        <v>Nov 2026</v>
      </c>
      <c r="K1019" s="31" t="str">
        <f>VLOOKUP(A1019,File!$A:$K,10,FALSE)</f>
        <v>In-Training</v>
      </c>
      <c r="L1019" s="31" t="s">
        <v>4</v>
      </c>
      <c r="M1019" t="str">
        <f>VLOOKUP(A1019,Response!$A:$M,7,)</f>
        <v>PG (Paying Guest)</v>
      </c>
      <c r="N1019" t="str">
        <f>VLOOKUP(A1019,Response!$A:$M,8,)</f>
        <v>Siddus Mens PG</v>
      </c>
      <c r="O1019" s="4" t="str">
        <f>VLOOKUP(A1019,Response!$A:$M,10,)</f>
        <v>GF</v>
      </c>
      <c r="P1019" t="str">
        <f>VLOOKUP(A1019,Response!$A:$M,12,)</f>
        <v>No</v>
      </c>
      <c r="Q1019" t="str">
        <f>VLOOKUP(A1019,Response!$A:$M,11,)</f>
        <v>Siruseri</v>
      </c>
      <c r="R1019" t="s">
        <v>19</v>
      </c>
      <c r="S1019" s="39" t="s">
        <v>37</v>
      </c>
    </row>
    <row r="1020" spans="1:19">
      <c r="A1020" s="3">
        <v>2525148</v>
      </c>
      <c r="B1020" t="str">
        <f>VLOOKUP(A1020,File!$A:$J,2,FALSE)</f>
        <v>Ayush Swapnil Shah</v>
      </c>
      <c r="C1020" s="29">
        <f>VLOOKUP(A1020,File!$A:$J,5,FALSE)</f>
        <v>46226</v>
      </c>
      <c r="D1020" s="29" t="str">
        <f>VLOOKUP(A1020,File!$A:$J,3,FALSE)</f>
        <v>Male</v>
      </c>
      <c r="E1020" s="29" t="str">
        <f>VLOOKUP(A1020,File!$A:$J,4,FALSE)</f>
        <v>FTE</v>
      </c>
      <c r="F1020" s="29" t="str">
        <f>VLOOKUP(A1020,File!$A:$J,6,FALSE)</f>
        <v>Chennai</v>
      </c>
      <c r="G1020" s="29" t="str">
        <f>VLOOKUP(A1020,File!$A:$J,7,FALSE)</f>
        <v>EPS26WD005</v>
      </c>
      <c r="H1020" s="29" t="str">
        <f>VLOOKUP(A1020,File!$A:$J,8,FALSE)</f>
        <v>Vishnupriya Dakshnamurthy</v>
      </c>
      <c r="I1020" s="31">
        <f>VLOOKUP(A1020,File!$A:$J,9,FALSE)</f>
        <v>46332</v>
      </c>
      <c r="J1020" s="31" t="str">
        <f>VLOOKUP(A1020,File!$A:$K,11,FALSE)</f>
        <v>Nov 2026</v>
      </c>
      <c r="K1020" s="31" t="str">
        <f>VLOOKUP(A1020,File!$A:$K,10,FALSE)</f>
        <v>In-Training</v>
      </c>
      <c r="L1020" s="31" t="s">
        <v>4</v>
      </c>
      <c r="M1020" t="str">
        <f>VLOOKUP(A1020,Response!$A:$M,7,)</f>
        <v>PG (Paying Guest)</v>
      </c>
      <c r="N1020" t="str">
        <f>VLOOKUP(A1020,Response!$A:$M,8,)</f>
        <v xml:space="preserve">Siddus Mens PG </v>
      </c>
      <c r="O1020" s="4" t="str">
        <f>VLOOKUP(A1020,Response!$A:$M,10,)</f>
        <v>GF</v>
      </c>
      <c r="P1020" t="str">
        <f>VLOOKUP(A1020,Response!$A:$M,12,)</f>
        <v>No</v>
      </c>
      <c r="Q1020" t="str">
        <f>VLOOKUP(A1020,Response!$A:$M,11,)</f>
        <v>Siruseri</v>
      </c>
      <c r="R1020" t="s">
        <v>19</v>
      </c>
      <c r="S1020" s="39" t="s">
        <v>37</v>
      </c>
    </row>
    <row r="1021" spans="1:19">
      <c r="A1021" s="3">
        <v>2521733</v>
      </c>
      <c r="B1021" t="str">
        <f>VLOOKUP(A1021,File!$A:$J,2,FALSE)</f>
        <v>Mithun Kannan</v>
      </c>
      <c r="C1021" s="29">
        <f>VLOOKUP(A1021,File!$A:$J,5,FALSE)</f>
        <v>46212</v>
      </c>
      <c r="D1021" s="29" t="str">
        <f>VLOOKUP(A1021,File!$A:$J,3,FALSE)</f>
        <v>Male</v>
      </c>
      <c r="E1021" s="29" t="str">
        <f>VLOOKUP(A1021,File!$A:$J,4,FALSE)</f>
        <v>FTE</v>
      </c>
      <c r="F1021" s="29" t="str">
        <f>VLOOKUP(A1021,File!$A:$J,6,FALSE)</f>
        <v>Chennai</v>
      </c>
      <c r="G1021" s="29" t="str">
        <f>VLOOKUP(A1021,File!$A:$J,7,FALSE)</f>
        <v>QEA26NFTPA001</v>
      </c>
      <c r="H1021" s="29" t="str">
        <f>VLOOKUP(A1021,File!$A:$J,8,FALSE)</f>
        <v>Lourdhu Selvin Raj X</v>
      </c>
      <c r="I1021" s="31">
        <f>VLOOKUP(A1021,File!$A:$J,9,FALSE)</f>
        <v>46337</v>
      </c>
      <c r="J1021" s="31" t="str">
        <f>VLOOKUP(A1021,File!$A:$K,11,FALSE)</f>
        <v>Nov 2026</v>
      </c>
      <c r="K1021" s="31" t="str">
        <f>VLOOKUP(A1021,File!$A:$K,10,FALSE)</f>
        <v>In-Training</v>
      </c>
      <c r="L1021" s="31" t="s">
        <v>4</v>
      </c>
      <c r="M1021" t="str">
        <f>VLOOKUP(A1021,Response!$A:$M,7,)</f>
        <v>PG (Paying Guest)</v>
      </c>
      <c r="N1021" t="str">
        <f>VLOOKUP(A1021,Response!$A:$M,8,)</f>
        <v>SIDDUS MENS PG - EGATTUR</v>
      </c>
      <c r="O1021" s="4">
        <f>VLOOKUP(A1021,Response!$A:$M,10,)</f>
        <v>1</v>
      </c>
      <c r="P1021" t="str">
        <f>VLOOKUP(A1021,Response!$A:$M,12,)</f>
        <v>No</v>
      </c>
      <c r="Q1021" t="str">
        <f>VLOOKUP(A1021,Response!$A:$M,11,)</f>
        <v>Siruseri</v>
      </c>
      <c r="R1021" t="s">
        <v>19</v>
      </c>
      <c r="S1021" s="39" t="s">
        <v>37</v>
      </c>
    </row>
    <row r="1022" spans="1:19">
      <c r="A1022" s="3">
        <v>2521803</v>
      </c>
      <c r="B1022" t="str">
        <f>VLOOKUP(A1022,File!$A:$J,2,FALSE)</f>
        <v>Harshit Pandey</v>
      </c>
      <c r="C1022" s="29">
        <f>VLOOKUP(A1022,File!$A:$J,5,FALSE)</f>
        <v>46212</v>
      </c>
      <c r="D1022" s="29" t="str">
        <f>VLOOKUP(A1022,File!$A:$J,3,FALSE)</f>
        <v>Male</v>
      </c>
      <c r="E1022" s="29" t="str">
        <f>VLOOKUP(A1022,File!$A:$J,4,FALSE)</f>
        <v>FTE</v>
      </c>
      <c r="F1022" s="29" t="str">
        <f>VLOOKUP(A1022,File!$A:$J,6,FALSE)</f>
        <v>Chennai</v>
      </c>
      <c r="G1022" s="29" t="str">
        <f>VLOOKUP(A1022,File!$A:$J,7,FALSE)</f>
        <v>ADM26MF011</v>
      </c>
      <c r="H1022" s="29" t="str">
        <f>VLOOKUP(A1022,File!$A:$J,8,FALSE)</f>
        <v>Abinaya R</v>
      </c>
      <c r="I1022" s="31">
        <f>VLOOKUP(A1022,File!$A:$J,9,FALSE)</f>
        <v>46328</v>
      </c>
      <c r="J1022" s="31" t="str">
        <f>VLOOKUP(A1022,File!$A:$K,11,FALSE)</f>
        <v>Nov 2026</v>
      </c>
      <c r="K1022" s="31" t="str">
        <f>VLOOKUP(A1022,File!$A:$K,10,FALSE)</f>
        <v>In-Training</v>
      </c>
      <c r="L1022" s="31" t="s">
        <v>4</v>
      </c>
      <c r="M1022" t="str">
        <f>VLOOKUP(A1022,Response!$A:$M,7,)</f>
        <v>PG (Paying Guest)</v>
      </c>
      <c r="N1022" t="str">
        <f>VLOOKUP(A1022,Response!$A:$M,8,)</f>
        <v>SIDDUS MENS PG , SIRESURI</v>
      </c>
      <c r="O1022" s="4">
        <f>VLOOKUP(A1022,Response!$A:$M,10,)</f>
        <v>1</v>
      </c>
      <c r="P1022" t="str">
        <f>VLOOKUP(A1022,Response!$A:$M,12,)</f>
        <v>No</v>
      </c>
      <c r="Q1022" t="str">
        <f>VLOOKUP(A1022,Response!$A:$M,11,)</f>
        <v>Siruseri</v>
      </c>
      <c r="R1022" t="s">
        <v>19</v>
      </c>
      <c r="S1022" s="39" t="s">
        <v>37</v>
      </c>
    </row>
    <row r="1023" spans="1:19">
      <c r="A1023" s="3">
        <v>2521764</v>
      </c>
      <c r="B1023" t="str">
        <f>VLOOKUP(A1023,File!$A:$J,2,FALSE)</f>
        <v>Vishva P</v>
      </c>
      <c r="C1023" s="29">
        <f>VLOOKUP(A1023,File!$A:$J,5,FALSE)</f>
        <v>46212</v>
      </c>
      <c r="D1023" s="29" t="str">
        <f>VLOOKUP(A1023,File!$A:$J,3,FALSE)</f>
        <v>Male</v>
      </c>
      <c r="E1023" s="29" t="str">
        <f>VLOOKUP(A1023,File!$A:$J,4,FALSE)</f>
        <v>FTE</v>
      </c>
      <c r="F1023" s="29" t="str">
        <f>VLOOKUP(A1023,File!$A:$J,6,FALSE)</f>
        <v>Chennai</v>
      </c>
      <c r="G1023" s="29" t="str">
        <f>VLOOKUP(A1023,File!$A:$J,7,FALSE)</f>
        <v>QEA26NFTPA001</v>
      </c>
      <c r="H1023" s="29" t="str">
        <f>VLOOKUP(A1023,File!$A:$J,8,FALSE)</f>
        <v>Lourdhu Selvin Raj X</v>
      </c>
      <c r="I1023" s="31">
        <f>VLOOKUP(A1023,File!$A:$J,9,FALSE)</f>
        <v>46337</v>
      </c>
      <c r="J1023" s="31" t="str">
        <f>VLOOKUP(A1023,File!$A:$K,11,FALSE)</f>
        <v>Nov 2026</v>
      </c>
      <c r="K1023" s="31" t="str">
        <f>VLOOKUP(A1023,File!$A:$K,10,FALSE)</f>
        <v>In-Training</v>
      </c>
      <c r="L1023" s="31" t="s">
        <v>4</v>
      </c>
      <c r="M1023" t="str">
        <f>VLOOKUP(A1023,Response!$A:$M,7,)</f>
        <v>PG (Paying Guest)</v>
      </c>
      <c r="N1023" t="str">
        <f>VLOOKUP(A1023,Response!$A:$M,8,)</f>
        <v>Siddus Mens PG ,SIRUSERI-SIPCOT</v>
      </c>
      <c r="O1023" s="4">
        <f>VLOOKUP(A1023,Response!$A:$M,10,)</f>
        <v>1</v>
      </c>
      <c r="P1023" t="str">
        <f>VLOOKUP(A1023,Response!$A:$M,12,)</f>
        <v>No</v>
      </c>
      <c r="Q1023" t="str">
        <f>VLOOKUP(A1023,Response!$A:$M,11,)</f>
        <v>Siruseri</v>
      </c>
      <c r="R1023" t="s">
        <v>19</v>
      </c>
      <c r="S1023" s="39" t="s">
        <v>37</v>
      </c>
    </row>
    <row r="1024" spans="1:19">
      <c r="A1024" s="3">
        <v>2521748</v>
      </c>
      <c r="B1024" t="str">
        <f>VLOOKUP(A1024,File!$A:$J,2,FALSE)</f>
        <v>Nihall A</v>
      </c>
      <c r="C1024" s="29">
        <f>VLOOKUP(A1024,File!$A:$J,5,FALSE)</f>
        <v>46212</v>
      </c>
      <c r="D1024" s="29" t="str">
        <f>VLOOKUP(A1024,File!$A:$J,3,FALSE)</f>
        <v>Male</v>
      </c>
      <c r="E1024" s="29" t="str">
        <f>VLOOKUP(A1024,File!$A:$J,4,FALSE)</f>
        <v>FTE</v>
      </c>
      <c r="F1024" s="29" t="str">
        <f>VLOOKUP(A1024,File!$A:$J,6,FALSE)</f>
        <v>Chennai</v>
      </c>
      <c r="G1024" s="29" t="str">
        <f>VLOOKUP(A1024,File!$A:$J,7,FALSE)</f>
        <v>QEA26DS001</v>
      </c>
      <c r="H1024" s="29" t="str">
        <f>VLOOKUP(A1024,File!$A:$J,8,FALSE)</f>
        <v>Lourdhu Selvin Raj X</v>
      </c>
      <c r="I1024" s="31">
        <f>VLOOKUP(A1024,File!$A:$J,9,FALSE)</f>
        <v>46325</v>
      </c>
      <c r="J1024" s="31" t="str">
        <f>VLOOKUP(A1024,File!$A:$K,11,FALSE)</f>
        <v>Oct 2026</v>
      </c>
      <c r="K1024" s="31" t="str">
        <f>VLOOKUP(A1024,File!$A:$K,10,FALSE)</f>
        <v>In-Training</v>
      </c>
      <c r="L1024" s="31" t="s">
        <v>4</v>
      </c>
      <c r="M1024" t="str">
        <f>VLOOKUP(A1024,Response!$A:$M,7,)</f>
        <v>PG (Paying Guest)</v>
      </c>
      <c r="N1024" t="str">
        <f>VLOOKUP(A1024,Response!$A:$M,8,)</f>
        <v>Siddus Mens PG, Egattur</v>
      </c>
      <c r="O1024" s="4">
        <f>VLOOKUP(A1024,Response!$A:$M,10,)</f>
        <v>1</v>
      </c>
      <c r="P1024" t="str">
        <f>VLOOKUP(A1024,Response!$A:$M,12,)</f>
        <v>Yes</v>
      </c>
      <c r="Q1024" t="str">
        <f>VLOOKUP(A1024,Response!$A:$M,11,)</f>
        <v>Siruseri</v>
      </c>
      <c r="R1024" t="s">
        <v>19</v>
      </c>
      <c r="S1024" s="39" t="s">
        <v>37</v>
      </c>
    </row>
    <row r="1025" spans="1:19">
      <c r="A1025" s="3">
        <v>2531796</v>
      </c>
      <c r="B1025" t="str">
        <f>VLOOKUP(A1025,File!$A:$J,2,FALSE)</f>
        <v>Palanaguppam Ramana Sai Reddy</v>
      </c>
      <c r="C1025" s="29">
        <f>VLOOKUP(A1025,File!$A:$J,5,FALSE)</f>
        <v>46254</v>
      </c>
      <c r="D1025" s="29" t="str">
        <f>VLOOKUP(A1025,File!$A:$J,3,FALSE)</f>
        <v>Male</v>
      </c>
      <c r="E1025" s="29" t="str">
        <f>VLOOKUP(A1025,File!$A:$J,4,FALSE)</f>
        <v>Intern</v>
      </c>
      <c r="F1025" s="29" t="str">
        <f>VLOOKUP(A1025,File!$A:$J,6,FALSE)</f>
        <v>Chennai</v>
      </c>
      <c r="G1025" s="29" t="str">
        <f>VLOOKUP(A1025,File!$A:$J,7,FALSE)</f>
        <v>INTFE26FE001</v>
      </c>
      <c r="H1025" s="29" t="str">
        <f>VLOOKUP(A1025,File!$A:$J,8,FALSE)</f>
        <v>Grace Esther S</v>
      </c>
      <c r="I1025" s="31">
        <f>VLOOKUP(A1025,File!$A:$J,9,FALSE)</f>
        <v>46310</v>
      </c>
      <c r="J1025" s="31" t="str">
        <f>VLOOKUP(A1025,File!$A:$K,11,FALSE)</f>
        <v>Oct 2026</v>
      </c>
      <c r="K1025" s="31" t="str">
        <f>VLOOKUP(A1025,File!$A:$K,10,FALSE)</f>
        <v>In-Training</v>
      </c>
      <c r="L1025" s="31" t="s">
        <v>4</v>
      </c>
      <c r="M1025" t="str">
        <f>VLOOKUP(A1025,Response!$A:$M,7,)</f>
        <v>PG (Paying Guest)</v>
      </c>
      <c r="N1025" t="str">
        <f>VLOOKUP(A1025,Response!$A:$M,8,)</f>
        <v>Siddus Mens PG, SIPCOT, Siruseri.</v>
      </c>
      <c r="O1025" s="4">
        <f>VLOOKUP(A1025,Response!$A:$M,10,)</f>
        <v>3</v>
      </c>
      <c r="P1025" t="str">
        <f>VLOOKUP(A1025,Response!$A:$M,12,)</f>
        <v>No</v>
      </c>
      <c r="Q1025" t="str">
        <f>VLOOKUP(A1025,Response!$A:$M,11,)</f>
        <v>Siruseri</v>
      </c>
      <c r="R1025" t="s">
        <v>19</v>
      </c>
      <c r="S1025" s="39" t="s">
        <v>37</v>
      </c>
    </row>
    <row r="1026" spans="1:19">
      <c r="A1026" s="3">
        <v>2521734</v>
      </c>
      <c r="B1026" t="str">
        <f>VLOOKUP(A1026,File!$A:$J,2,FALSE)</f>
        <v>Harii Kumaran V</v>
      </c>
      <c r="C1026" s="29">
        <f>VLOOKUP(A1026,File!$A:$J,5,FALSE)</f>
        <v>46212</v>
      </c>
      <c r="D1026" s="29" t="str">
        <f>VLOOKUP(A1026,File!$A:$J,3,FALSE)</f>
        <v>Male</v>
      </c>
      <c r="E1026" s="29" t="str">
        <f>VLOOKUP(A1026,File!$A:$J,4,FALSE)</f>
        <v>FTE</v>
      </c>
      <c r="F1026" s="29" t="str">
        <f>VLOOKUP(A1026,File!$A:$J,6,FALSE)</f>
        <v>Chennai</v>
      </c>
      <c r="G1026" s="29" t="str">
        <f>VLOOKUP(A1026,File!$A:$J,7,FALSE)</f>
        <v>QEA26NFTPA002</v>
      </c>
      <c r="H1026" s="29" t="str">
        <f>VLOOKUP(A1026,File!$A:$J,8,FALSE)</f>
        <v>Lourdhu Selvin Raj X</v>
      </c>
      <c r="I1026" s="31">
        <f>VLOOKUP(A1026,File!$A:$J,9,FALSE)</f>
        <v>46337</v>
      </c>
      <c r="J1026" s="31" t="str">
        <f>VLOOKUP(A1026,File!$A:$K,11,FALSE)</f>
        <v>Nov 2026</v>
      </c>
      <c r="K1026" s="31" t="str">
        <f>VLOOKUP(A1026,File!$A:$K,10,FALSE)</f>
        <v>In-Training</v>
      </c>
      <c r="L1026" s="31" t="s">
        <v>4</v>
      </c>
      <c r="M1026" t="str">
        <f>VLOOKUP(A1026,Response!$A:$M,7,)</f>
        <v>PG (Paying Guest)</v>
      </c>
      <c r="N1026" t="str">
        <f>VLOOKUP(A1026,Response!$A:$M,8,)</f>
        <v>Siddus Mens PG, Siruseri</v>
      </c>
      <c r="O1026" s="4">
        <f>VLOOKUP(A1026,Response!$A:$M,10,)</f>
        <v>1</v>
      </c>
      <c r="P1026" t="str">
        <f>VLOOKUP(A1026,Response!$A:$M,12,)</f>
        <v>No</v>
      </c>
      <c r="Q1026" t="str">
        <f>VLOOKUP(A1026,Response!$A:$M,11,)</f>
        <v>Siruseri</v>
      </c>
      <c r="R1026" t="s">
        <v>19</v>
      </c>
      <c r="S1026" s="39" t="s">
        <v>37</v>
      </c>
    </row>
    <row r="1027" spans="1:19">
      <c r="A1027" s="3">
        <v>2533011</v>
      </c>
      <c r="B1027" t="str">
        <f>VLOOKUP(A1027,File!$A:$J,2,FALSE)</f>
        <v>Salam Sandeep</v>
      </c>
      <c r="C1027" s="29">
        <f>VLOOKUP(A1027,File!$A:$J,5,FALSE)</f>
        <v>46259</v>
      </c>
      <c r="D1027" s="29" t="str">
        <f>VLOOKUP(A1027,File!$A:$J,3,FALSE)</f>
        <v>Male</v>
      </c>
      <c r="E1027" s="29" t="str">
        <f>VLOOKUP(A1027,File!$A:$J,4,FALSE)</f>
        <v>FTE</v>
      </c>
      <c r="F1027" s="29" t="str">
        <f>VLOOKUP(A1027,File!$A:$J,6,FALSE)</f>
        <v>Chennai</v>
      </c>
      <c r="G1027" s="29" t="str">
        <f>VLOOKUP(A1027,File!$A:$J,7,FALSE)</f>
        <v>CIS26MBG007</v>
      </c>
      <c r="H1027" s="29" t="str">
        <f>VLOOKUP(A1027,File!$A:$J,8,FALSE)</f>
        <v>Lawrance M</v>
      </c>
      <c r="I1027" s="31">
        <f>VLOOKUP(A1027,File!$A:$J,9,FALSE)</f>
        <v>46367</v>
      </c>
      <c r="J1027" s="31" t="str">
        <f>VLOOKUP(A1027,File!$A:$K,11,FALSE)</f>
        <v>Dec 2026</v>
      </c>
      <c r="K1027" s="31" t="str">
        <f>VLOOKUP(A1027,File!$A:$K,10,FALSE)</f>
        <v>In-Training</v>
      </c>
      <c r="L1027" s="31" t="s">
        <v>4</v>
      </c>
      <c r="M1027" t="str">
        <f>VLOOKUP(A1027,Response!$A:$M,7,)</f>
        <v>PG (Paying Guest)</v>
      </c>
      <c r="N1027" t="str">
        <f>VLOOKUP(A1027,Response!$A:$M,8,)</f>
        <v>SIDDUS mens premium pg</v>
      </c>
      <c r="O1027" s="4">
        <f>VLOOKUP(A1027,Response!$A:$M,10,)</f>
        <v>2</v>
      </c>
      <c r="P1027" t="str">
        <f>VLOOKUP(A1027,Response!$A:$M,12,)</f>
        <v>No</v>
      </c>
      <c r="Q1027" t="str">
        <f>VLOOKUP(A1027,Response!$A:$M,11,)</f>
        <v>Siruseri</v>
      </c>
      <c r="R1027" t="s">
        <v>19</v>
      </c>
      <c r="S1027" s="39" t="s">
        <v>37</v>
      </c>
    </row>
    <row r="1028" spans="1:19">
      <c r="A1028" s="3">
        <v>2524643</v>
      </c>
      <c r="B1028" t="str">
        <f>VLOOKUP(A1028,File!$A:$J,2,FALSE)</f>
        <v>Atukuri Sri Mahananda Dinakar</v>
      </c>
      <c r="C1028" s="29">
        <f>VLOOKUP(A1028,File!$A:$J,5,FALSE)</f>
        <v>46224</v>
      </c>
      <c r="D1028" s="29" t="str">
        <f>VLOOKUP(A1028,File!$A:$J,3,FALSE)</f>
        <v>Male</v>
      </c>
      <c r="E1028" s="29" t="str">
        <f>VLOOKUP(A1028,File!$A:$J,4,FALSE)</f>
        <v>FTE</v>
      </c>
      <c r="F1028" s="29" t="str">
        <f>VLOOKUP(A1028,File!$A:$J,6,FALSE)</f>
        <v>Chennai</v>
      </c>
      <c r="G1028" s="29" t="str">
        <f>VLOOKUP(A1028,File!$A:$J,7,FALSE)</f>
        <v>ADM26DFSA007</v>
      </c>
      <c r="H1028" s="29" t="str">
        <f>VLOOKUP(A1028,File!$A:$J,8,FALSE)</f>
        <v>Sweta Thoppil</v>
      </c>
      <c r="I1028" s="31">
        <f>VLOOKUP(A1028,File!$A:$J,9,FALSE)</f>
        <v>46336</v>
      </c>
      <c r="J1028" s="31" t="str">
        <f>VLOOKUP(A1028,File!$A:$K,11,FALSE)</f>
        <v>Nov 2026</v>
      </c>
      <c r="K1028" s="31" t="str">
        <f>VLOOKUP(A1028,File!$A:$K,10,FALSE)</f>
        <v>In-Training</v>
      </c>
      <c r="L1028" s="31" t="s">
        <v>4</v>
      </c>
      <c r="M1028" t="str">
        <f>VLOOKUP(A1028,Response!$A:$M,7,)</f>
        <v>PG (Paying Guest)</v>
      </c>
      <c r="N1028" t="str">
        <f>VLOOKUP(A1028,Response!$A:$M,8,)</f>
        <v>Siddus Mens Premium PG</v>
      </c>
      <c r="O1028" s="4">
        <f>VLOOKUP(A1028,Response!$A:$M,10,)</f>
        <v>2</v>
      </c>
      <c r="P1028" t="str">
        <f>VLOOKUP(A1028,Response!$A:$M,12,)</f>
        <v>No</v>
      </c>
      <c r="Q1028" t="str">
        <f>VLOOKUP(A1028,Response!$A:$M,11,)</f>
        <v>Siruseri</v>
      </c>
      <c r="R1028" t="s">
        <v>19</v>
      </c>
      <c r="S1028" s="39" t="s">
        <v>37</v>
      </c>
    </row>
    <row r="1029" spans="1:19">
      <c r="A1029" s="3">
        <v>2524636</v>
      </c>
      <c r="B1029" t="str">
        <f>VLOOKUP(A1029,File!$A:$J,2,FALSE)</f>
        <v>Marra Sai Ganesh</v>
      </c>
      <c r="C1029" s="29">
        <f>VLOOKUP(A1029,File!$A:$J,5,FALSE)</f>
        <v>46224</v>
      </c>
      <c r="D1029" s="29" t="str">
        <f>VLOOKUP(A1029,File!$A:$J,3,FALSE)</f>
        <v>Male</v>
      </c>
      <c r="E1029" s="29" t="str">
        <f>VLOOKUP(A1029,File!$A:$J,4,FALSE)</f>
        <v>FTE</v>
      </c>
      <c r="F1029" s="29" t="str">
        <f>VLOOKUP(A1029,File!$A:$J,6,FALSE)</f>
        <v>Chennai</v>
      </c>
      <c r="G1029" s="29" t="str">
        <f>VLOOKUP(A1029,File!$A:$J,7,FALSE)</f>
        <v>ADM26MF012</v>
      </c>
      <c r="H1029" s="29" t="str">
        <f>VLOOKUP(A1029,File!$A:$J,8,FALSE)</f>
        <v>Lourdhu Selvin Raj X</v>
      </c>
      <c r="I1029" s="31">
        <f>VLOOKUP(A1029,File!$A:$J,9,FALSE)</f>
        <v>46343</v>
      </c>
      <c r="J1029" s="31" t="str">
        <f>VLOOKUP(A1029,File!$A:$K,11,FALSE)</f>
        <v>Nov 2026</v>
      </c>
      <c r="K1029" s="31" t="str">
        <f>VLOOKUP(A1029,File!$A:$K,10,FALSE)</f>
        <v>In-Training</v>
      </c>
      <c r="L1029" s="31" t="s">
        <v>4</v>
      </c>
      <c r="M1029" t="str">
        <f>VLOOKUP(A1029,Response!$A:$M,7,)</f>
        <v>PG (Paying Guest)</v>
      </c>
      <c r="N1029" t="str">
        <f>VLOOKUP(A1029,Response!$A:$M,8,)</f>
        <v>Siddus mens premium pg</v>
      </c>
      <c r="O1029" s="4">
        <f>VLOOKUP(A1029,Response!$A:$M,10,)</f>
        <v>5</v>
      </c>
      <c r="P1029" t="str">
        <f>VLOOKUP(A1029,Response!$A:$M,12,)</f>
        <v>No</v>
      </c>
      <c r="Q1029" t="str">
        <f>VLOOKUP(A1029,Response!$A:$M,11,)</f>
        <v>Siruseri</v>
      </c>
      <c r="R1029" t="s">
        <v>19</v>
      </c>
      <c r="S1029" s="39" t="s">
        <v>37</v>
      </c>
    </row>
    <row r="1030" spans="1:19">
      <c r="A1030" s="3">
        <v>2533173</v>
      </c>
      <c r="B1030" t="str">
        <f>VLOOKUP(A1030,File!$A:$J,2,FALSE)</f>
        <v>Sai Sushanth Rajamahendravarapu</v>
      </c>
      <c r="C1030" s="29">
        <f>VLOOKUP(A1030,File!$A:$J,5,FALSE)</f>
        <v>46259</v>
      </c>
      <c r="D1030" s="29" t="str">
        <f>VLOOKUP(A1030,File!$A:$J,3,FALSE)</f>
        <v>Male</v>
      </c>
      <c r="E1030" s="29" t="str">
        <f>VLOOKUP(A1030,File!$A:$J,4,FALSE)</f>
        <v>FTE</v>
      </c>
      <c r="F1030" s="29" t="str">
        <f>VLOOKUP(A1030,File!$A:$J,6,FALSE)</f>
        <v>Chennai</v>
      </c>
      <c r="G1030" s="29" t="str">
        <f>VLOOKUP(A1030,File!$A:$J,7,FALSE)</f>
        <v>CIS26AT008</v>
      </c>
      <c r="H1030" s="29" t="str">
        <f>VLOOKUP(A1030,File!$A:$J,8,FALSE)</f>
        <v>Uma Venkatachalam</v>
      </c>
      <c r="I1030" s="31">
        <f>VLOOKUP(A1030,File!$A:$J,9,FALSE)</f>
        <v>46365</v>
      </c>
      <c r="J1030" s="31" t="str">
        <f>VLOOKUP(A1030,File!$A:$K,11,FALSE)</f>
        <v>Dec 2026</v>
      </c>
      <c r="K1030" s="31" t="str">
        <f>VLOOKUP(A1030,File!$A:$K,10,FALSE)</f>
        <v>In-Training</v>
      </c>
      <c r="L1030" s="31" t="s">
        <v>4</v>
      </c>
      <c r="M1030" t="str">
        <f>VLOOKUP(A1030,Response!$A:$M,7,)</f>
        <v>PG (Paying Guest)</v>
      </c>
      <c r="N1030" t="str">
        <f>VLOOKUP(A1030,Response!$A:$M,8,)</f>
        <v>Siddus Mens Premium PG, Near Tcs , SIPCOT,</v>
      </c>
      <c r="O1030" s="4">
        <f>VLOOKUP(A1030,Response!$A:$M,10,)</f>
        <v>2</v>
      </c>
      <c r="P1030" t="str">
        <f>VLOOKUP(A1030,Response!$A:$M,12,)</f>
        <v>No</v>
      </c>
      <c r="Q1030" t="str">
        <f>VLOOKUP(A1030,Response!$A:$M,11,)</f>
        <v>Siruseri</v>
      </c>
      <c r="R1030" t="s">
        <v>19</v>
      </c>
      <c r="S1030" s="39" t="s">
        <v>37</v>
      </c>
    </row>
    <row r="1031" spans="1:19">
      <c r="A1031" s="3">
        <v>2533118</v>
      </c>
      <c r="B1031" t="str">
        <f>VLOOKUP(A1031,File!$A:$J,2,FALSE)</f>
        <v>Eedara Rohith</v>
      </c>
      <c r="C1031" s="29">
        <f>VLOOKUP(A1031,File!$A:$J,5,FALSE)</f>
        <v>46259</v>
      </c>
      <c r="D1031" s="29" t="str">
        <f>VLOOKUP(A1031,File!$A:$J,3,FALSE)</f>
        <v>Male</v>
      </c>
      <c r="E1031" s="29" t="str">
        <f>VLOOKUP(A1031,File!$A:$J,4,FALSE)</f>
        <v>FTE</v>
      </c>
      <c r="F1031" s="29" t="str">
        <f>VLOOKUP(A1031,File!$A:$J,6,FALSE)</f>
        <v>Chennai</v>
      </c>
      <c r="G1031" s="29" t="str">
        <f>VLOOKUP(A1031,File!$A:$J,7,FALSE)</f>
        <v>CIS26MBG007</v>
      </c>
      <c r="H1031" s="29" t="str">
        <f>VLOOKUP(A1031,File!$A:$J,8,FALSE)</f>
        <v>Lawrance M</v>
      </c>
      <c r="I1031" s="31">
        <f>VLOOKUP(A1031,File!$A:$J,9,FALSE)</f>
        <v>46367</v>
      </c>
      <c r="J1031" s="31" t="str">
        <f>VLOOKUP(A1031,File!$A:$K,11,FALSE)</f>
        <v>Dec 2026</v>
      </c>
      <c r="K1031" s="31" t="str">
        <f>VLOOKUP(A1031,File!$A:$K,10,FALSE)</f>
        <v>In-Training</v>
      </c>
      <c r="L1031" s="31" t="s">
        <v>4</v>
      </c>
      <c r="M1031" t="str">
        <f>VLOOKUP(A1031,Response!$A:$M,7,)</f>
        <v>PG (Paying Guest)</v>
      </c>
      <c r="N1031" t="str">
        <f>VLOOKUP(A1031,Response!$A:$M,8,)</f>
        <v>Siddus Mens Premium PG,SIPCOT</v>
      </c>
      <c r="O1031" s="4">
        <f>VLOOKUP(A1031,Response!$A:$M,10,)</f>
        <v>2</v>
      </c>
      <c r="P1031" t="str">
        <f>VLOOKUP(A1031,Response!$A:$M,12,)</f>
        <v>No</v>
      </c>
      <c r="Q1031" t="str">
        <f>VLOOKUP(A1031,Response!$A:$M,11,)</f>
        <v>Siruseri</v>
      </c>
      <c r="R1031" t="s">
        <v>19</v>
      </c>
      <c r="S1031" s="39" t="s">
        <v>37</v>
      </c>
    </row>
    <row r="1032" spans="1:19">
      <c r="A1032" s="3">
        <v>2533034</v>
      </c>
      <c r="B1032" t="str">
        <f>VLOOKUP(A1032,File!$A:$J,2,FALSE)</f>
        <v>Komali Raviteja</v>
      </c>
      <c r="C1032" s="29">
        <f>VLOOKUP(A1032,File!$A:$J,5,FALSE)</f>
        <v>46259</v>
      </c>
      <c r="D1032" s="29" t="str">
        <f>VLOOKUP(A1032,File!$A:$J,3,FALSE)</f>
        <v>Male</v>
      </c>
      <c r="E1032" s="29" t="str">
        <f>VLOOKUP(A1032,File!$A:$J,4,FALSE)</f>
        <v>FTE</v>
      </c>
      <c r="F1032" s="29" t="str">
        <f>VLOOKUP(A1032,File!$A:$J,6,FALSE)</f>
        <v>Chennai</v>
      </c>
      <c r="G1032" s="29" t="str">
        <f>VLOOKUP(A1032,File!$A:$J,7,FALSE)</f>
        <v>CIS26MBG004</v>
      </c>
      <c r="H1032" s="29" t="str">
        <f>VLOOKUP(A1032,File!$A:$J,8,FALSE)</f>
        <v>Kishorekumar P</v>
      </c>
      <c r="I1032" s="31">
        <f>VLOOKUP(A1032,File!$A:$J,9,FALSE)</f>
        <v>46367</v>
      </c>
      <c r="J1032" s="31" t="str">
        <f>VLOOKUP(A1032,File!$A:$K,11,FALSE)</f>
        <v>Dec 2026</v>
      </c>
      <c r="K1032" s="31" t="str">
        <f>VLOOKUP(A1032,File!$A:$K,10,FALSE)</f>
        <v>In-Training</v>
      </c>
      <c r="L1032" s="31" t="s">
        <v>4</v>
      </c>
      <c r="M1032" t="str">
        <f>VLOOKUP(A1032,Response!$A:$M,7,)</f>
        <v>PG (Paying Guest)</v>
      </c>
      <c r="N1032" t="str">
        <f>VLOOKUP(A1032,Response!$A:$M,8,)</f>
        <v xml:space="preserve">SIDDUS MENS PRIMIUM PG , NO.89C , CITY PARK LAYOUT , SIRUSERI , EGATTUR </v>
      </c>
      <c r="O1032" s="4">
        <f>VLOOKUP(A1032,Response!$A:$M,10,)</f>
        <v>2</v>
      </c>
      <c r="P1032" t="str">
        <f>VLOOKUP(A1032,Response!$A:$M,12,)</f>
        <v>No</v>
      </c>
      <c r="Q1032" t="str">
        <f>VLOOKUP(A1032,Response!$A:$M,11,)</f>
        <v>Siruseri</v>
      </c>
      <c r="R1032" t="s">
        <v>19</v>
      </c>
      <c r="S1032" s="39" t="s">
        <v>37</v>
      </c>
    </row>
    <row r="1033" spans="1:19">
      <c r="A1033" s="3">
        <v>2524578</v>
      </c>
      <c r="B1033" t="str">
        <f>VLOOKUP(A1033,File!$A:$J,2,FALSE)</f>
        <v>Vignesh Muniyandi</v>
      </c>
      <c r="C1033" s="29">
        <f>VLOOKUP(A1033,File!$A:$J,5,FALSE)</f>
        <v>46224</v>
      </c>
      <c r="D1033" s="29" t="str">
        <f>VLOOKUP(A1033,File!$A:$J,3,FALSE)</f>
        <v>Male</v>
      </c>
      <c r="E1033" s="29" t="str">
        <f>VLOOKUP(A1033,File!$A:$J,4,FALSE)</f>
        <v>FTE</v>
      </c>
      <c r="F1033" s="29" t="str">
        <f>VLOOKUP(A1033,File!$A:$J,6,FALSE)</f>
        <v>Chennai</v>
      </c>
      <c r="G1033" s="29" t="str">
        <f>VLOOKUP(A1033,File!$A:$J,7,FALSE)</f>
        <v>ADM26DFSA007</v>
      </c>
      <c r="H1033" s="29" t="str">
        <f>VLOOKUP(A1033,File!$A:$J,8,FALSE)</f>
        <v>Sweta Thoppil</v>
      </c>
      <c r="I1033" s="31">
        <f>VLOOKUP(A1033,File!$A:$J,9,FALSE)</f>
        <v>46336</v>
      </c>
      <c r="J1033" s="31" t="str">
        <f>VLOOKUP(A1033,File!$A:$K,11,FALSE)</f>
        <v>Nov 2026</v>
      </c>
      <c r="K1033" s="31" t="str">
        <f>VLOOKUP(A1033,File!$A:$K,10,FALSE)</f>
        <v>In-Training</v>
      </c>
      <c r="L1033" s="31" t="s">
        <v>4</v>
      </c>
      <c r="M1033" t="str">
        <f>VLOOKUP(A1033,Response!$A:$M,7,)</f>
        <v>PG (Paying Guest)</v>
      </c>
      <c r="N1033" t="str">
        <f>VLOOKUP(A1033,Response!$A:$M,8,)</f>
        <v>Siddus Permium Mens PG, Egattur</v>
      </c>
      <c r="O1033" s="4">
        <f>VLOOKUP(A1033,Response!$A:$M,10,)</f>
        <v>5</v>
      </c>
      <c r="P1033" t="str">
        <f>VLOOKUP(A1033,Response!$A:$M,12,)</f>
        <v>No</v>
      </c>
      <c r="Q1033" t="str">
        <f>VLOOKUP(A1033,Response!$A:$M,11,)</f>
        <v>Egattur</v>
      </c>
      <c r="R1033" t="s">
        <v>19</v>
      </c>
      <c r="S1033" s="39" t="s">
        <v>37</v>
      </c>
    </row>
    <row r="1034" spans="1:19">
      <c r="A1034" s="3">
        <v>2531806</v>
      </c>
      <c r="B1034" t="str">
        <f>VLOOKUP(A1034,File!$A:$J,2,FALSE)</f>
        <v>Patlolla Sangameshwar Reddy</v>
      </c>
      <c r="C1034" s="29">
        <f>VLOOKUP(A1034,File!$A:$J,5,FALSE)</f>
        <v>46254</v>
      </c>
      <c r="D1034" s="29" t="str">
        <f>VLOOKUP(A1034,File!$A:$J,3,FALSE)</f>
        <v>Male</v>
      </c>
      <c r="E1034" s="29" t="str">
        <f>VLOOKUP(A1034,File!$A:$J,4,FALSE)</f>
        <v>Intern</v>
      </c>
      <c r="F1034" s="29" t="str">
        <f>VLOOKUP(A1034,File!$A:$J,6,FALSE)</f>
        <v>Chennai</v>
      </c>
      <c r="G1034" s="29" t="str">
        <f>VLOOKUP(A1034,File!$A:$J,7,FALSE)</f>
        <v>INTFE26FE001</v>
      </c>
      <c r="H1034" s="29" t="str">
        <f>VLOOKUP(A1034,File!$A:$J,8,FALSE)</f>
        <v>Grace Esther S</v>
      </c>
      <c r="I1034" s="31">
        <f>VLOOKUP(A1034,File!$A:$J,9,FALSE)</f>
        <v>46310</v>
      </c>
      <c r="J1034" s="31" t="str">
        <f>VLOOKUP(A1034,File!$A:$K,11,FALSE)</f>
        <v>Oct 2026</v>
      </c>
      <c r="K1034" s="31" t="str">
        <f>VLOOKUP(A1034,File!$A:$K,10,FALSE)</f>
        <v>In-Training</v>
      </c>
      <c r="L1034" s="31" t="s">
        <v>4</v>
      </c>
      <c r="M1034" t="str">
        <f>VLOOKUP(A1034,Response!$A:$M,7,)</f>
        <v>PG (Paying Guest)</v>
      </c>
      <c r="N1034" t="str">
        <f>VLOOKUP(A1034,Response!$A:$M,8,)</f>
        <v>siddus pg</v>
      </c>
      <c r="O1034" s="4">
        <f>VLOOKUP(A1034,Response!$A:$M,10,)</f>
        <v>3</v>
      </c>
      <c r="P1034" t="str">
        <f>VLOOKUP(A1034,Response!$A:$M,12,)</f>
        <v>No</v>
      </c>
      <c r="Q1034" t="str">
        <f>VLOOKUP(A1034,Response!$A:$M,11,)</f>
        <v>Siruseri</v>
      </c>
      <c r="R1034" t="s">
        <v>19</v>
      </c>
      <c r="S1034" s="39" t="s">
        <v>37</v>
      </c>
    </row>
    <row r="1035" spans="1:19">
      <c r="A1035" s="3">
        <v>2531997</v>
      </c>
      <c r="B1035" t="str">
        <f>VLOOKUP(A1035,File!$A:$J,2,FALSE)</f>
        <v>Punith Choudhary</v>
      </c>
      <c r="C1035" s="29">
        <f>VLOOKUP(A1035,File!$A:$J,5,FALSE)</f>
        <v>46254</v>
      </c>
      <c r="D1035" s="29" t="str">
        <f>VLOOKUP(A1035,File!$A:$J,3,FALSE)</f>
        <v>Male</v>
      </c>
      <c r="E1035" s="29" t="str">
        <f>VLOOKUP(A1035,File!$A:$J,4,FALSE)</f>
        <v>FTE</v>
      </c>
      <c r="F1035" s="29" t="str">
        <f>VLOOKUP(A1035,File!$A:$J,6,FALSE)</f>
        <v>Chennai</v>
      </c>
      <c r="G1035" s="29" t="str">
        <f>VLOOKUP(A1035,File!$A:$J,7,FALSE)</f>
        <v>EPS26OSP011</v>
      </c>
      <c r="H1035" s="29" t="str">
        <f>VLOOKUP(A1035,File!$A:$J,8,FALSE)</f>
        <v>Gayathri Ramachandran</v>
      </c>
      <c r="I1035" s="31" t="str">
        <f>VLOOKUP(A1035,File!$A:$J,9,FALSE)</f>
        <v/>
      </c>
      <c r="J1035" s="44" t="s">
        <v>33</v>
      </c>
      <c r="K1035" s="31" t="str">
        <f>VLOOKUP(A1035,File!$A:$K,10,FALSE)</f>
        <v>Training - ON Hold</v>
      </c>
      <c r="L1035" s="31" t="s">
        <v>4</v>
      </c>
      <c r="M1035" t="str">
        <f>VLOOKUP(A1035,Response!$A:$M,7,)</f>
        <v>PG (Paying Guest)</v>
      </c>
      <c r="N1035" t="str">
        <f>VLOOKUP(A1035,Response!$A:$M,8,)</f>
        <v>Siddus Premium Men PG</v>
      </c>
      <c r="O1035" s="4">
        <f>VLOOKUP(A1035,Response!$A:$M,10,)</f>
        <v>4</v>
      </c>
      <c r="P1035" t="str">
        <f>VLOOKUP(A1035,Response!$A:$M,12,)</f>
        <v>Yes</v>
      </c>
      <c r="Q1035" t="str">
        <f>VLOOKUP(A1035,Response!$A:$M,11,)</f>
        <v>Siruseri</v>
      </c>
      <c r="R1035" t="s">
        <v>19</v>
      </c>
      <c r="S1035" s="39" t="s">
        <v>37</v>
      </c>
    </row>
    <row r="1036" spans="1:19">
      <c r="A1036" s="3">
        <v>2524499</v>
      </c>
      <c r="B1036" t="str">
        <f>VLOOKUP(A1036,File!$A:$J,2,FALSE)</f>
        <v>Divakar S</v>
      </c>
      <c r="C1036" s="29">
        <f>VLOOKUP(A1036,File!$A:$J,5,FALSE)</f>
        <v>46224</v>
      </c>
      <c r="D1036" s="29" t="str">
        <f>VLOOKUP(A1036,File!$A:$J,3,FALSE)</f>
        <v>Male</v>
      </c>
      <c r="E1036" s="29" t="str">
        <f>VLOOKUP(A1036,File!$A:$J,4,FALSE)</f>
        <v>FTE</v>
      </c>
      <c r="F1036" s="29" t="str">
        <f>VLOOKUP(A1036,File!$A:$J,6,FALSE)</f>
        <v>Chennai</v>
      </c>
      <c r="G1036" s="29" t="str">
        <f>VLOOKUP(A1036,File!$A:$J,7,FALSE)</f>
        <v>ADM26MF012</v>
      </c>
      <c r="H1036" s="29" t="str">
        <f>VLOOKUP(A1036,File!$A:$J,8,FALSE)</f>
        <v>Lourdhu Selvin Raj X</v>
      </c>
      <c r="I1036" s="31">
        <f>VLOOKUP(A1036,File!$A:$J,9,FALSE)</f>
        <v>46343</v>
      </c>
      <c r="J1036" s="31" t="str">
        <f>VLOOKUP(A1036,File!$A:$K,11,FALSE)</f>
        <v>Nov 2026</v>
      </c>
      <c r="K1036" s="31" t="str">
        <f>VLOOKUP(A1036,File!$A:$K,10,FALSE)</f>
        <v>In-Training</v>
      </c>
      <c r="L1036" s="31" t="s">
        <v>4</v>
      </c>
      <c r="M1036" t="str">
        <f>VLOOKUP(A1036,Response!$A:$M,7,)</f>
        <v>PG (Paying Guest)</v>
      </c>
      <c r="N1036" t="str">
        <f>VLOOKUP(A1036,Response!$A:$M,8,)</f>
        <v>Siddus premium men’s pg - siruseri</v>
      </c>
      <c r="O1036" s="4">
        <f>VLOOKUP(A1036,Response!$A:$M,10,)</f>
        <v>3</v>
      </c>
      <c r="P1036" t="str">
        <f>VLOOKUP(A1036,Response!$A:$M,12,)</f>
        <v>No</v>
      </c>
      <c r="Q1036" t="str">
        <f>VLOOKUP(A1036,Response!$A:$M,11,)</f>
        <v>Siruseri</v>
      </c>
      <c r="R1036" t="s">
        <v>19</v>
      </c>
      <c r="S1036" s="39" t="s">
        <v>37</v>
      </c>
    </row>
    <row r="1037" spans="1:19">
      <c r="A1037" s="3">
        <v>2531830</v>
      </c>
      <c r="B1037" t="str">
        <f>VLOOKUP(A1037,File!$A:$J,2,FALSE)</f>
        <v>Sanket Mahesh Shewalkar</v>
      </c>
      <c r="C1037" s="29">
        <f>VLOOKUP(A1037,File!$A:$J,5,FALSE)</f>
        <v>46254</v>
      </c>
      <c r="D1037" s="29" t="str">
        <f>VLOOKUP(A1037,File!$A:$J,3,FALSE)</f>
        <v>Male</v>
      </c>
      <c r="E1037" s="29" t="str">
        <f>VLOOKUP(A1037,File!$A:$J,4,FALSE)</f>
        <v>FTE</v>
      </c>
      <c r="F1037" s="29" t="str">
        <f>VLOOKUP(A1037,File!$A:$J,6,FALSE)</f>
        <v>Chennai</v>
      </c>
      <c r="G1037" s="29" t="str">
        <f>VLOOKUP(A1037,File!$A:$J,7,FALSE)</f>
        <v>CS26CS011</v>
      </c>
      <c r="H1037" s="29" t="str">
        <f>VLOOKUP(A1037,File!$A:$J,8,FALSE)</f>
        <v>Kishorekumar P</v>
      </c>
      <c r="I1037" s="31">
        <f>VLOOKUP(A1037,File!$A:$J,9,FALSE)</f>
        <v>46343</v>
      </c>
      <c r="J1037" s="31" t="str">
        <f>VLOOKUP(A1037,File!$A:$K,11,FALSE)</f>
        <v>Nov 2026</v>
      </c>
      <c r="K1037" s="31" t="str">
        <f>VLOOKUP(A1037,File!$A:$K,10,FALSE)</f>
        <v>In-Training</v>
      </c>
      <c r="L1037" s="31" t="s">
        <v>4</v>
      </c>
      <c r="M1037" t="str">
        <f>VLOOKUP(A1037,Response!$A:$M,7,)</f>
        <v>PG (Paying Guest)</v>
      </c>
      <c r="N1037" t="str">
        <f>VLOOKUP(A1037,Response!$A:$M,8,)</f>
        <v>Siddus Premium mens pg</v>
      </c>
      <c r="O1037" s="4">
        <f>VLOOKUP(A1037,Response!$A:$M,10,)</f>
        <v>1</v>
      </c>
      <c r="P1037" t="str">
        <f>VLOOKUP(A1037,Response!$A:$M,12,)</f>
        <v>No</v>
      </c>
      <c r="Q1037" t="str">
        <f>VLOOKUP(A1037,Response!$A:$M,11,)</f>
        <v>Siruseri</v>
      </c>
      <c r="R1037" t="s">
        <v>19</v>
      </c>
      <c r="S1037" s="39" t="s">
        <v>37</v>
      </c>
    </row>
    <row r="1038" spans="1:19">
      <c r="A1038" s="3">
        <v>2524472</v>
      </c>
      <c r="B1038" t="str">
        <f>VLOOKUP(A1038,File!$A:$J,2,FALSE)</f>
        <v>Vamsi Charan S P</v>
      </c>
      <c r="C1038" s="29">
        <f>VLOOKUP(A1038,File!$A:$J,5,FALSE)</f>
        <v>46224</v>
      </c>
      <c r="D1038" s="29" t="str">
        <f>VLOOKUP(A1038,File!$A:$J,3,FALSE)</f>
        <v>Male</v>
      </c>
      <c r="E1038" s="29" t="str">
        <f>VLOOKUP(A1038,File!$A:$J,4,FALSE)</f>
        <v>FTE</v>
      </c>
      <c r="F1038" s="29" t="str">
        <f>VLOOKUP(A1038,File!$A:$J,6,FALSE)</f>
        <v>Chennai</v>
      </c>
      <c r="G1038" s="29" t="str">
        <f>VLOOKUP(A1038,File!$A:$J,7,FALSE)</f>
        <v>ADM26MF012</v>
      </c>
      <c r="H1038" s="29" t="str">
        <f>VLOOKUP(A1038,File!$A:$J,8,FALSE)</f>
        <v>Lourdhu Selvin Raj X</v>
      </c>
      <c r="I1038" s="31">
        <f>VLOOKUP(A1038,File!$A:$J,9,FALSE)</f>
        <v>46343</v>
      </c>
      <c r="J1038" s="31" t="str">
        <f>VLOOKUP(A1038,File!$A:$K,11,FALSE)</f>
        <v>Nov 2026</v>
      </c>
      <c r="K1038" s="31" t="str">
        <f>VLOOKUP(A1038,File!$A:$K,10,FALSE)</f>
        <v>In-Training</v>
      </c>
      <c r="L1038" s="31" t="s">
        <v>4</v>
      </c>
      <c r="M1038" t="str">
        <f>VLOOKUP(A1038,Response!$A:$M,7,)</f>
        <v>PG (Paying Guest)</v>
      </c>
      <c r="N1038" t="str">
        <f>VLOOKUP(A1038,Response!$A:$M,8,)</f>
        <v>Siddus premium mens pg</v>
      </c>
      <c r="O1038" s="4">
        <f>VLOOKUP(A1038,Response!$A:$M,10,)</f>
        <v>1</v>
      </c>
      <c r="P1038" t="str">
        <f>VLOOKUP(A1038,Response!$A:$M,12,)</f>
        <v>Yes</v>
      </c>
      <c r="Q1038" t="str">
        <f>VLOOKUP(A1038,Response!$A:$M,11,)</f>
        <v>Siruseri</v>
      </c>
      <c r="R1038" t="s">
        <v>19</v>
      </c>
      <c r="S1038" s="39" t="s">
        <v>37</v>
      </c>
    </row>
    <row r="1039" spans="1:19">
      <c r="A1039" s="3">
        <v>2533139</v>
      </c>
      <c r="B1039" t="str">
        <f>VLOOKUP(A1039,File!$A:$J,2,FALSE)</f>
        <v>Abhijit Srinivas Pidugu</v>
      </c>
      <c r="C1039" s="29">
        <f>VLOOKUP(A1039,File!$A:$J,5,FALSE)</f>
        <v>46259</v>
      </c>
      <c r="D1039" s="29" t="str">
        <f>VLOOKUP(A1039,File!$A:$J,3,FALSE)</f>
        <v>Male</v>
      </c>
      <c r="E1039" s="29" t="str">
        <f>VLOOKUP(A1039,File!$A:$J,4,FALSE)</f>
        <v>FTE</v>
      </c>
      <c r="F1039" s="29" t="str">
        <f>VLOOKUP(A1039,File!$A:$J,6,FALSE)</f>
        <v>Chennai</v>
      </c>
      <c r="G1039" s="29" t="str">
        <f>VLOOKUP(A1039,File!$A:$J,7,FALSE)</f>
        <v>ADM27DFSA001</v>
      </c>
      <c r="H1039" s="29" t="str">
        <f>VLOOKUP(A1039,File!$A:$J,8,FALSE)</f>
        <v>Thomas Naveen. J</v>
      </c>
      <c r="I1039" s="31">
        <f>VLOOKUP(A1039,File!$A:$J,9,FALSE)</f>
        <v>46386</v>
      </c>
      <c r="J1039" s="31" t="str">
        <f>VLOOKUP(A1039,File!$A:$K,11,FALSE)</f>
        <v>Dec 2026</v>
      </c>
      <c r="K1039" s="31" t="str">
        <f>VLOOKUP(A1039,File!$A:$K,10,FALSE)</f>
        <v>In-Training</v>
      </c>
      <c r="L1039" s="31" t="s">
        <v>4</v>
      </c>
      <c r="M1039" t="str">
        <f>VLOOKUP(A1039,Response!$A:$M,7,)</f>
        <v>PG (Paying Guest)</v>
      </c>
      <c r="N1039" t="str">
        <f>VLOOKUP(A1039,Response!$A:$M,8,)</f>
        <v>Siddus Premium Mens Pg</v>
      </c>
      <c r="O1039" s="4">
        <f>VLOOKUP(A1039,Response!$A:$M,10,)</f>
        <v>1</v>
      </c>
      <c r="P1039" t="str">
        <f>VLOOKUP(A1039,Response!$A:$M,12,)</f>
        <v>Yes</v>
      </c>
      <c r="Q1039" t="str">
        <f>VLOOKUP(A1039,Response!$A:$M,11,)</f>
        <v>Siruseri</v>
      </c>
      <c r="R1039" t="s">
        <v>19</v>
      </c>
      <c r="S1039" s="39" t="s">
        <v>37</v>
      </c>
    </row>
    <row r="1040" spans="1:19">
      <c r="A1040" s="3">
        <v>2523452</v>
      </c>
      <c r="B1040" t="str">
        <f>VLOOKUP(A1040,File!$A:$J,2,FALSE)</f>
        <v>Ashish Chaudhary</v>
      </c>
      <c r="C1040" s="29">
        <f>VLOOKUP(A1040,File!$A:$J,5,FALSE)</f>
        <v>46219</v>
      </c>
      <c r="D1040" s="29" t="str">
        <f>VLOOKUP(A1040,File!$A:$J,3,FALSE)</f>
        <v>Male</v>
      </c>
      <c r="E1040" s="29" t="str">
        <f>VLOOKUP(A1040,File!$A:$J,4,FALSE)</f>
        <v>FTE</v>
      </c>
      <c r="F1040" s="29" t="str">
        <f>VLOOKUP(A1040,File!$A:$J,6,FALSE)</f>
        <v>Chennai</v>
      </c>
      <c r="G1040" s="29" t="str">
        <f>VLOOKUP(A1040,File!$A:$J,7,FALSE)</f>
        <v>CS26CS009</v>
      </c>
      <c r="H1040" s="29" t="str">
        <f>VLOOKUP(A1040,File!$A:$J,8,FALSE)</f>
        <v>Laksiya Vijayendran</v>
      </c>
      <c r="I1040" s="31">
        <f>VLOOKUP(A1040,File!$A:$J,9,FALSE)</f>
        <v>46330</v>
      </c>
      <c r="J1040" s="31" t="str">
        <f>VLOOKUP(A1040,File!$A:$K,11,FALSE)</f>
        <v>Nov 2026</v>
      </c>
      <c r="K1040" s="31" t="str">
        <f>VLOOKUP(A1040,File!$A:$K,10,FALSE)</f>
        <v>In-Training</v>
      </c>
      <c r="L1040" s="31" t="s">
        <v>4</v>
      </c>
      <c r="M1040" t="str">
        <f>VLOOKUP(A1040,Response!$A:$M,7,)</f>
        <v>PG (Paying Guest)</v>
      </c>
      <c r="N1040" t="str">
        <f>VLOOKUP(A1040,Response!$A:$M,8,)</f>
        <v>Siddus Premium Mens PG</v>
      </c>
      <c r="O1040" s="4">
        <f>VLOOKUP(A1040,Response!$A:$M,10,)</f>
        <v>1</v>
      </c>
      <c r="P1040" t="str">
        <f>VLOOKUP(A1040,Response!$A:$M,12,)</f>
        <v>No</v>
      </c>
      <c r="Q1040" t="str">
        <f>VLOOKUP(A1040,Response!$A:$M,11,)</f>
        <v>Egattur</v>
      </c>
      <c r="R1040" t="s">
        <v>19</v>
      </c>
      <c r="S1040" s="39" t="s">
        <v>37</v>
      </c>
    </row>
    <row r="1041" spans="1:19">
      <c r="A1041" s="3">
        <v>2531831</v>
      </c>
      <c r="B1041" t="str">
        <f>VLOOKUP(A1041,File!$A:$J,2,FALSE)</f>
        <v>Mahesh Ravindra Gaikwad</v>
      </c>
      <c r="C1041" s="29">
        <f>VLOOKUP(A1041,File!$A:$J,5,FALSE)</f>
        <v>46254</v>
      </c>
      <c r="D1041" s="29" t="str">
        <f>VLOOKUP(A1041,File!$A:$J,3,FALSE)</f>
        <v>Male</v>
      </c>
      <c r="E1041" s="29" t="str">
        <f>VLOOKUP(A1041,File!$A:$J,4,FALSE)</f>
        <v>FTE</v>
      </c>
      <c r="F1041" s="29" t="str">
        <f>VLOOKUP(A1041,File!$A:$J,6,FALSE)</f>
        <v>Chennai</v>
      </c>
      <c r="G1041" s="29" t="str">
        <f>VLOOKUP(A1041,File!$A:$J,7,FALSE)</f>
        <v>CS26CS011</v>
      </c>
      <c r="H1041" s="29" t="str">
        <f>VLOOKUP(A1041,File!$A:$J,8,FALSE)</f>
        <v>Kishorekumar P</v>
      </c>
      <c r="I1041" s="31">
        <f>VLOOKUP(A1041,File!$A:$J,9,FALSE)</f>
        <v>46343</v>
      </c>
      <c r="J1041" s="31" t="str">
        <f>VLOOKUP(A1041,File!$A:$K,11,FALSE)</f>
        <v>Nov 2026</v>
      </c>
      <c r="K1041" s="31" t="str">
        <f>VLOOKUP(A1041,File!$A:$K,10,FALSE)</f>
        <v>In-Training</v>
      </c>
      <c r="L1041" s="31" t="s">
        <v>4</v>
      </c>
      <c r="M1041" t="str">
        <f>VLOOKUP(A1041,Response!$A:$M,7,)</f>
        <v>PG (Paying Guest)</v>
      </c>
      <c r="N1041" t="str">
        <f>VLOOKUP(A1041,Response!$A:$M,8,)</f>
        <v>Siddus Premium Mens PG</v>
      </c>
      <c r="O1041" s="4">
        <f>VLOOKUP(A1041,Response!$A:$M,10,)</f>
        <v>1</v>
      </c>
      <c r="P1041" t="str">
        <f>VLOOKUP(A1041,Response!$A:$M,12,)</f>
        <v>No</v>
      </c>
      <c r="Q1041" t="str">
        <f>VLOOKUP(A1041,Response!$A:$M,11,)</f>
        <v>Siruseri</v>
      </c>
      <c r="R1041" t="s">
        <v>19</v>
      </c>
      <c r="S1041" s="39" t="s">
        <v>37</v>
      </c>
    </row>
    <row r="1042" spans="1:19">
      <c r="A1042" s="3">
        <v>2531849</v>
      </c>
      <c r="B1042" t="str">
        <f>VLOOKUP(A1042,File!$A:$J,2,FALSE)</f>
        <v>Omkar Navnath Bhagat</v>
      </c>
      <c r="C1042" s="29">
        <f>VLOOKUP(A1042,File!$A:$J,5,FALSE)</f>
        <v>46254</v>
      </c>
      <c r="D1042" s="29" t="str">
        <f>VLOOKUP(A1042,File!$A:$J,3,FALSE)</f>
        <v>Male</v>
      </c>
      <c r="E1042" s="29" t="str">
        <f>VLOOKUP(A1042,File!$A:$J,4,FALSE)</f>
        <v>FTE</v>
      </c>
      <c r="F1042" s="29" t="str">
        <f>VLOOKUP(A1042,File!$A:$J,6,FALSE)</f>
        <v>Chennai</v>
      </c>
      <c r="G1042" s="29" t="str">
        <f>VLOOKUP(A1042,File!$A:$J,7,FALSE)</f>
        <v>CS26CS012</v>
      </c>
      <c r="H1042" s="29" t="str">
        <f>VLOOKUP(A1042,File!$A:$J,8,FALSE)</f>
        <v>Laksiya Vijayendran</v>
      </c>
      <c r="I1042" s="31">
        <f>VLOOKUP(A1042,File!$A:$J,9,FALSE)</f>
        <v>46343</v>
      </c>
      <c r="J1042" s="31" t="str">
        <f>VLOOKUP(A1042,File!$A:$K,11,FALSE)</f>
        <v>Nov 2026</v>
      </c>
      <c r="K1042" s="31" t="str">
        <f>VLOOKUP(A1042,File!$A:$K,10,FALSE)</f>
        <v>In-Training</v>
      </c>
      <c r="L1042" s="31" t="s">
        <v>4</v>
      </c>
      <c r="M1042" t="str">
        <f>VLOOKUP(A1042,Response!$A:$M,7,)</f>
        <v>PG (Paying Guest)</v>
      </c>
      <c r="N1042" t="str">
        <f>VLOOKUP(A1042,Response!$A:$M,8,)</f>
        <v>Siddus premium mens pg</v>
      </c>
      <c r="O1042" s="4">
        <f>VLOOKUP(A1042,Response!$A:$M,10,)</f>
        <v>1</v>
      </c>
      <c r="P1042" t="str">
        <f>VLOOKUP(A1042,Response!$A:$M,12,)</f>
        <v>No</v>
      </c>
      <c r="Q1042" t="str">
        <f>VLOOKUP(A1042,Response!$A:$M,11,)</f>
        <v>Siruseri</v>
      </c>
      <c r="R1042" t="s">
        <v>19</v>
      </c>
      <c r="S1042" s="39" t="s">
        <v>37</v>
      </c>
    </row>
    <row r="1043" spans="1:19">
      <c r="A1043" s="3">
        <v>2533596</v>
      </c>
      <c r="B1043" t="str">
        <f>VLOOKUP(A1043,File!$A:$J,2,FALSE)</f>
        <v>Krishna Mahendra Baviskar</v>
      </c>
      <c r="C1043" s="29">
        <f>VLOOKUP(A1043,File!$A:$J,5,FALSE)</f>
        <v>46261</v>
      </c>
      <c r="D1043" s="29" t="str">
        <f>VLOOKUP(A1043,File!$A:$J,3,FALSE)</f>
        <v>Male</v>
      </c>
      <c r="E1043" s="29" t="str">
        <f>VLOOKUP(A1043,File!$A:$J,4,FALSE)</f>
        <v>FTE</v>
      </c>
      <c r="F1043" s="29" t="str">
        <f>VLOOKUP(A1043,File!$A:$J,6,FALSE)</f>
        <v>Chennai</v>
      </c>
      <c r="G1043" s="29" t="str">
        <f>VLOOKUP(A1043,File!$A:$J,7,FALSE)</f>
        <v>EPS26SAP038</v>
      </c>
      <c r="H1043" s="29" t="str">
        <f>VLOOKUP(A1043,File!$A:$J,8,FALSE)</f>
        <v>Ajith Ganesan</v>
      </c>
      <c r="I1043" s="31">
        <f>VLOOKUP(A1043,File!$A:$J,9,FALSE)</f>
        <v>46322</v>
      </c>
      <c r="J1043" s="31" t="str">
        <f>VLOOKUP(A1043,File!$A:$K,11,FALSE)</f>
        <v>Oct 2026</v>
      </c>
      <c r="K1043" s="31" t="str">
        <f>VLOOKUP(A1043,File!$A:$K,10,FALSE)</f>
        <v>In-Training</v>
      </c>
      <c r="L1043" s="31" t="s">
        <v>4</v>
      </c>
      <c r="M1043" t="str">
        <f>VLOOKUP(A1043,Response!$A:$M,7,)</f>
        <v>PG (Paying Guest)</v>
      </c>
      <c r="N1043" t="str">
        <f>VLOOKUP(A1043,Response!$A:$M,8,)</f>
        <v>Siddus Premium Mens PG</v>
      </c>
      <c r="O1043" s="4">
        <f>VLOOKUP(A1043,Response!$A:$M,10,)</f>
        <v>2</v>
      </c>
      <c r="P1043" t="str">
        <f>VLOOKUP(A1043,Response!$A:$M,12,)</f>
        <v>Yes</v>
      </c>
      <c r="Q1043" t="str">
        <f>VLOOKUP(A1043,Response!$A:$M,11,)</f>
        <v>Siruseri</v>
      </c>
      <c r="R1043" t="s">
        <v>19</v>
      </c>
      <c r="S1043" s="39" t="s">
        <v>37</v>
      </c>
    </row>
    <row r="1044" spans="1:19">
      <c r="A1044" s="3">
        <v>2523388</v>
      </c>
      <c r="B1044" t="str">
        <f>VLOOKUP(A1044,File!$A:$J,2,FALSE)</f>
        <v>Parvez Ibrar Ahmed Khan</v>
      </c>
      <c r="C1044" s="29">
        <f>VLOOKUP(A1044,File!$A:$J,5,FALSE)</f>
        <v>46219</v>
      </c>
      <c r="D1044" s="29" t="str">
        <f>VLOOKUP(A1044,File!$A:$J,3,FALSE)</f>
        <v>Male</v>
      </c>
      <c r="E1044" s="29" t="str">
        <f>VLOOKUP(A1044,File!$A:$J,4,FALSE)</f>
        <v>FTE</v>
      </c>
      <c r="F1044" s="29" t="str">
        <f>VLOOKUP(A1044,File!$A:$J,6,FALSE)</f>
        <v>Chennai</v>
      </c>
      <c r="G1044" s="29" t="str">
        <f>VLOOKUP(A1044,File!$A:$J,7,FALSE)</f>
        <v>CS26CS009</v>
      </c>
      <c r="H1044" s="29" t="str">
        <f>VLOOKUP(A1044,File!$A:$J,8,FALSE)</f>
        <v>Laksiya Vijayendran</v>
      </c>
      <c r="I1044" s="31">
        <f>VLOOKUP(A1044,File!$A:$J,9,FALSE)</f>
        <v>46309</v>
      </c>
      <c r="J1044" s="31" t="str">
        <f>VLOOKUP(A1044,File!$A:$K,11,FALSE)</f>
        <v>Oct 2026</v>
      </c>
      <c r="K1044" s="31" t="str">
        <f>VLOOKUP(A1044,File!$A:$K,10,FALSE)</f>
        <v>In-Training</v>
      </c>
      <c r="L1044" s="31" t="s">
        <v>4</v>
      </c>
      <c r="M1044" t="str">
        <f>VLOOKUP(A1044,Response!$A:$M,7,)</f>
        <v>PG (Paying Guest)</v>
      </c>
      <c r="N1044" t="str">
        <f>VLOOKUP(A1044,Response!$A:$M,8,)</f>
        <v>Siddus Premium Mens PG</v>
      </c>
      <c r="O1044" s="4">
        <f>VLOOKUP(A1044,Response!$A:$M,10,)</f>
        <v>2</v>
      </c>
      <c r="P1044" t="str">
        <f>VLOOKUP(A1044,Response!$A:$M,12,)</f>
        <v>No</v>
      </c>
      <c r="Q1044" t="str">
        <f>VLOOKUP(A1044,Response!$A:$M,11,)</f>
        <v>Siruseri</v>
      </c>
      <c r="R1044" t="s">
        <v>19</v>
      </c>
      <c r="S1044" s="39" t="s">
        <v>37</v>
      </c>
    </row>
    <row r="1045" spans="1:19">
      <c r="A1045" s="3">
        <v>2520989</v>
      </c>
      <c r="B1045" t="str">
        <f>VLOOKUP(A1045,File!$A:$J,2,FALSE)</f>
        <v>Abir Sinha</v>
      </c>
      <c r="C1045" s="29">
        <f>VLOOKUP(A1045,File!$A:$J,5,FALSE)</f>
        <v>46210</v>
      </c>
      <c r="D1045" s="29" t="str">
        <f>VLOOKUP(A1045,File!$A:$J,3,FALSE)</f>
        <v>Male</v>
      </c>
      <c r="E1045" s="29" t="str">
        <f>VLOOKUP(A1045,File!$A:$J,4,FALSE)</f>
        <v>FTE</v>
      </c>
      <c r="F1045" s="29" t="str">
        <f>VLOOKUP(A1045,File!$A:$J,6,FALSE)</f>
        <v>Chennai</v>
      </c>
      <c r="G1045" s="29" t="str">
        <f>VLOOKUP(A1045,File!$A:$J,7,FALSE)</f>
        <v>HPC26DN005</v>
      </c>
      <c r="H1045" s="29" t="str">
        <f>VLOOKUP(A1045,File!$A:$J,8,FALSE)</f>
        <v>Viveka Preethi</v>
      </c>
      <c r="I1045" s="31">
        <f>VLOOKUP(A1045,File!$A:$J,9,FALSE)</f>
        <v>46296</v>
      </c>
      <c r="J1045" s="31" t="str">
        <f>VLOOKUP(A1045,File!$A:$K,11,FALSE)</f>
        <v>Oct 2026</v>
      </c>
      <c r="K1045" s="31" t="str">
        <f>VLOOKUP(A1045,File!$A:$K,10,FALSE)</f>
        <v>In-Training</v>
      </c>
      <c r="L1045" s="31" t="s">
        <v>4</v>
      </c>
      <c r="M1045" t="str">
        <f>VLOOKUP(A1045,Response!$A:$M,7,)</f>
        <v>PG (Paying Guest)</v>
      </c>
      <c r="N1045" t="str">
        <f>VLOOKUP(A1045,Response!$A:$M,8,)</f>
        <v>SIDDUS PREMIUM MENS PG</v>
      </c>
      <c r="O1045" s="4">
        <f>VLOOKUP(A1045,Response!$A:$M,10,)</f>
        <v>4</v>
      </c>
      <c r="P1045" t="str">
        <f>VLOOKUP(A1045,Response!$A:$M,12,)</f>
        <v>No</v>
      </c>
      <c r="Q1045" t="str">
        <f>VLOOKUP(A1045,Response!$A:$M,11,)</f>
        <v>Siruseri</v>
      </c>
      <c r="R1045" t="s">
        <v>19</v>
      </c>
      <c r="S1045" s="39" t="s">
        <v>37</v>
      </c>
    </row>
    <row r="1046" spans="1:19">
      <c r="A1046" s="3">
        <v>2531352</v>
      </c>
      <c r="B1046" t="str">
        <f>VLOOKUP(A1046,File!$A:$J,2,FALSE)</f>
        <v>Ashish Sarki</v>
      </c>
      <c r="C1046" s="29">
        <f>VLOOKUP(A1046,File!$A:$J,5,FALSE)</f>
        <v>46252</v>
      </c>
      <c r="D1046" s="29" t="str">
        <f>VLOOKUP(A1046,File!$A:$J,3,FALSE)</f>
        <v>Male</v>
      </c>
      <c r="E1046" s="29" t="str">
        <f>VLOOKUP(A1046,File!$A:$J,4,FALSE)</f>
        <v>FTE</v>
      </c>
      <c r="F1046" s="29" t="str">
        <f>VLOOKUP(A1046,File!$A:$J,6,FALSE)</f>
        <v>Chennai</v>
      </c>
      <c r="G1046" s="29" t="str">
        <f>VLOOKUP(A1046,File!$A:$J,7,FALSE)</f>
        <v>EPS26SAP036</v>
      </c>
      <c r="H1046" s="29" t="str">
        <f>VLOOKUP(A1046,File!$A:$J,8,FALSE)</f>
        <v>Vishnupriya Dakshnamurthy</v>
      </c>
      <c r="I1046" s="31">
        <f>VLOOKUP(A1046,File!$A:$J,9,FALSE)</f>
        <v>46335</v>
      </c>
      <c r="J1046" s="31" t="str">
        <f>VLOOKUP(A1046,File!$A:$K,11,FALSE)</f>
        <v>Nov 2026</v>
      </c>
      <c r="K1046" s="31" t="str">
        <f>VLOOKUP(A1046,File!$A:$K,10,FALSE)</f>
        <v>In-Training</v>
      </c>
      <c r="L1046" s="31" t="s">
        <v>4</v>
      </c>
      <c r="M1046" t="str">
        <f>VLOOKUP(A1046,Response!$A:$M,7,)</f>
        <v>PG (Paying Guest)</v>
      </c>
      <c r="N1046" t="str">
        <f>VLOOKUP(A1046,Response!$A:$M,8,)</f>
        <v>SIDDUS PREMIUM MENS PG</v>
      </c>
      <c r="O1046" s="4">
        <f>VLOOKUP(A1046,Response!$A:$M,10,)</f>
        <v>4</v>
      </c>
      <c r="P1046" t="str">
        <f>VLOOKUP(A1046,Response!$A:$M,12,)</f>
        <v>No</v>
      </c>
      <c r="Q1046" t="str">
        <f>VLOOKUP(A1046,Response!$A:$M,11,)</f>
        <v>Siruseri</v>
      </c>
      <c r="R1046" t="s">
        <v>19</v>
      </c>
      <c r="S1046" s="39" t="s">
        <v>37</v>
      </c>
    </row>
    <row r="1047" spans="1:19">
      <c r="A1047" s="3">
        <v>2530220</v>
      </c>
      <c r="B1047" t="str">
        <f>VLOOKUP(A1047,File!$A:$J,2,FALSE)</f>
        <v>Chinmay M Kumbar</v>
      </c>
      <c r="C1047" s="29">
        <f>VLOOKUP(A1047,File!$A:$J,5,FALSE)</f>
        <v>46247</v>
      </c>
      <c r="D1047" s="29" t="str">
        <f>VLOOKUP(A1047,File!$A:$J,3,FALSE)</f>
        <v>Male</v>
      </c>
      <c r="E1047" s="29" t="str">
        <f>VLOOKUP(A1047,File!$A:$J,4,FALSE)</f>
        <v>FTE</v>
      </c>
      <c r="F1047" s="29" t="str">
        <f>VLOOKUP(A1047,File!$A:$J,6,FALSE)</f>
        <v>Chennai</v>
      </c>
      <c r="G1047" s="29" t="str">
        <f>VLOOKUP(A1047,File!$A:$J,7,FALSE)</f>
        <v>EPS26OSP010</v>
      </c>
      <c r="H1047" s="29" t="str">
        <f>VLOOKUP(A1047,File!$A:$J,8,FALSE)</f>
        <v>Vishnupriya Dakshnamurthy</v>
      </c>
      <c r="I1047" s="31">
        <f>VLOOKUP(A1047,File!$A:$J,9,FALSE)</f>
        <v>46357</v>
      </c>
      <c r="J1047" s="31" t="str">
        <f>VLOOKUP(A1047,File!$A:$K,11,FALSE)</f>
        <v>Dec 2026</v>
      </c>
      <c r="K1047" s="31" t="str">
        <f>VLOOKUP(A1047,File!$A:$K,10,FALSE)</f>
        <v>In-Training</v>
      </c>
      <c r="L1047" s="31" t="s">
        <v>4</v>
      </c>
      <c r="M1047" t="str">
        <f>VLOOKUP(A1047,Response!$A:$M,7,)</f>
        <v>PG (Paying Guest)</v>
      </c>
      <c r="N1047" t="str">
        <f>VLOOKUP(A1047,Response!$A:$M,8,)</f>
        <v>Siddus Premium Mens PG</v>
      </c>
      <c r="O1047" s="4">
        <f>VLOOKUP(A1047,Response!$A:$M,10,)</f>
        <v>4</v>
      </c>
      <c r="P1047" t="str">
        <f>VLOOKUP(A1047,Response!$A:$M,12,)</f>
        <v>No</v>
      </c>
      <c r="Q1047" t="str">
        <f>VLOOKUP(A1047,Response!$A:$M,11,)</f>
        <v>Egattur</v>
      </c>
      <c r="R1047" t="s">
        <v>19</v>
      </c>
      <c r="S1047" s="39" t="s">
        <v>37</v>
      </c>
    </row>
    <row r="1048" spans="1:19">
      <c r="A1048" s="3">
        <v>2525146</v>
      </c>
      <c r="B1048" t="str">
        <f>VLOOKUP(A1048,File!$A:$J,2,FALSE)</f>
        <v>Sahil Ganesh Mali</v>
      </c>
      <c r="C1048" s="29">
        <f>VLOOKUP(A1048,File!$A:$J,5,FALSE)</f>
        <v>46226</v>
      </c>
      <c r="D1048" s="29" t="str">
        <f>VLOOKUP(A1048,File!$A:$J,3,FALSE)</f>
        <v>Male</v>
      </c>
      <c r="E1048" s="29" t="str">
        <f>VLOOKUP(A1048,File!$A:$J,4,FALSE)</f>
        <v>FTE</v>
      </c>
      <c r="F1048" s="29" t="str">
        <f>VLOOKUP(A1048,File!$A:$J,6,FALSE)</f>
        <v>Chennai</v>
      </c>
      <c r="G1048" s="29" t="str">
        <f>VLOOKUP(A1048,File!$A:$J,7,FALSE)</f>
        <v>EPS26WD005</v>
      </c>
      <c r="H1048" s="29" t="str">
        <f>VLOOKUP(A1048,File!$A:$J,8,FALSE)</f>
        <v>Vishnupriya Dakshnamurthy</v>
      </c>
      <c r="I1048" s="31">
        <f>VLOOKUP(A1048,File!$A:$J,9,FALSE)</f>
        <v>46332</v>
      </c>
      <c r="J1048" s="31" t="str">
        <f>VLOOKUP(A1048,File!$A:$K,11,FALSE)</f>
        <v>Nov 2026</v>
      </c>
      <c r="K1048" s="31" t="str">
        <f>VLOOKUP(A1048,File!$A:$K,10,FALSE)</f>
        <v>In-Training</v>
      </c>
      <c r="L1048" s="31" t="s">
        <v>4</v>
      </c>
      <c r="M1048" t="str">
        <f>VLOOKUP(A1048,Response!$A:$M,7,)</f>
        <v>PG (Paying Guest)</v>
      </c>
      <c r="N1048" t="str">
        <f>VLOOKUP(A1048,Response!$A:$M,8,)</f>
        <v>Siddus Premium Mens PG</v>
      </c>
      <c r="O1048" s="4" t="str">
        <f>VLOOKUP(A1048,Response!$A:$M,10,)</f>
        <v>GF</v>
      </c>
      <c r="P1048" t="str">
        <f>VLOOKUP(A1048,Response!$A:$M,12,)</f>
        <v>No</v>
      </c>
      <c r="Q1048" t="str">
        <f>VLOOKUP(A1048,Response!$A:$M,11,)</f>
        <v>Siruseri</v>
      </c>
      <c r="R1048" t="s">
        <v>19</v>
      </c>
      <c r="S1048" s="39" t="s">
        <v>37</v>
      </c>
    </row>
    <row r="1049" spans="1:19">
      <c r="A1049" s="3">
        <v>2524553</v>
      </c>
      <c r="B1049" t="str">
        <f>VLOOKUP(A1049,File!$A:$J,2,FALSE)</f>
        <v>Sai Naga Veera Venkataratna Syam Vinay Babu Saride</v>
      </c>
      <c r="C1049" s="29">
        <f>VLOOKUP(A1049,File!$A:$J,5,FALSE)</f>
        <v>46224</v>
      </c>
      <c r="D1049" s="29" t="str">
        <f>VLOOKUP(A1049,File!$A:$J,3,FALSE)</f>
        <v>Male</v>
      </c>
      <c r="E1049" s="29" t="str">
        <f>VLOOKUP(A1049,File!$A:$J,4,FALSE)</f>
        <v>FTE</v>
      </c>
      <c r="F1049" s="29" t="str">
        <f>VLOOKUP(A1049,File!$A:$J,6,FALSE)</f>
        <v>Chennai</v>
      </c>
      <c r="G1049" s="29" t="str">
        <f>VLOOKUP(A1049,File!$A:$J,7,FALSE)</f>
        <v>QEA26QEPT024</v>
      </c>
      <c r="H1049" s="29" t="str">
        <f>VLOOKUP(A1049,File!$A:$J,8,FALSE)</f>
        <v>Ajiesya D P</v>
      </c>
      <c r="I1049" s="31">
        <f>VLOOKUP(A1049,File!$A:$J,9,FALSE)</f>
        <v>46330</v>
      </c>
      <c r="J1049" s="31" t="str">
        <f>VLOOKUP(A1049,File!$A:$K,11,FALSE)</f>
        <v>Nov 2026</v>
      </c>
      <c r="K1049" s="31" t="str">
        <f>VLOOKUP(A1049,File!$A:$K,10,FALSE)</f>
        <v>In-Training</v>
      </c>
      <c r="L1049" s="31" t="s">
        <v>4</v>
      </c>
      <c r="M1049" t="str">
        <f>VLOOKUP(A1049,Response!$A:$M,7,)</f>
        <v>PG (Paying Guest)</v>
      </c>
      <c r="N1049" t="str">
        <f>VLOOKUP(A1049,Response!$A:$M,8,)</f>
        <v>Siddus Premium Mens PG - Egattur</v>
      </c>
      <c r="O1049" s="4">
        <f>VLOOKUP(A1049,Response!$A:$M,10,)</f>
        <v>1</v>
      </c>
      <c r="P1049" t="str">
        <f>VLOOKUP(A1049,Response!$A:$M,12,)</f>
        <v>No</v>
      </c>
      <c r="Q1049" t="str">
        <f>VLOOKUP(A1049,Response!$A:$M,11,)</f>
        <v>Siruseri</v>
      </c>
      <c r="R1049" t="s">
        <v>19</v>
      </c>
      <c r="S1049" s="39" t="s">
        <v>37</v>
      </c>
    </row>
    <row r="1050" spans="1:19">
      <c r="A1050" s="3">
        <v>2531829</v>
      </c>
      <c r="B1050" t="str">
        <f>VLOOKUP(A1050,File!$A:$J,2,FALSE)</f>
        <v>Prathmesh Subhash Khandare</v>
      </c>
      <c r="C1050" s="29">
        <f>VLOOKUP(A1050,File!$A:$J,5,FALSE)</f>
        <v>46254</v>
      </c>
      <c r="D1050" s="29" t="str">
        <f>VLOOKUP(A1050,File!$A:$J,3,FALSE)</f>
        <v>Male</v>
      </c>
      <c r="E1050" s="29" t="str">
        <f>VLOOKUP(A1050,File!$A:$J,4,FALSE)</f>
        <v>FTE</v>
      </c>
      <c r="F1050" s="29" t="str">
        <f>VLOOKUP(A1050,File!$A:$J,6,FALSE)</f>
        <v>Chennai</v>
      </c>
      <c r="G1050" s="29" t="str">
        <f>VLOOKUP(A1050,File!$A:$J,7,FALSE)</f>
        <v>CS26CS011</v>
      </c>
      <c r="H1050" s="29" t="str">
        <f>VLOOKUP(A1050,File!$A:$J,8,FALSE)</f>
        <v>Kishorekumar P</v>
      </c>
      <c r="I1050" s="31">
        <f>VLOOKUP(A1050,File!$A:$J,9,FALSE)</f>
        <v>46343</v>
      </c>
      <c r="J1050" s="31" t="str">
        <f>VLOOKUP(A1050,File!$A:$K,11,FALSE)</f>
        <v>Nov 2026</v>
      </c>
      <c r="K1050" s="31" t="str">
        <f>VLOOKUP(A1050,File!$A:$K,10,FALSE)</f>
        <v>In-Training</v>
      </c>
      <c r="L1050" s="31" t="s">
        <v>4</v>
      </c>
      <c r="M1050" t="str">
        <f>VLOOKUP(A1050,Response!$A:$M,7,)</f>
        <v>PG (Paying Guest)</v>
      </c>
      <c r="N1050" t="str">
        <f>VLOOKUP(A1050,Response!$A:$M,8,)</f>
        <v>Siddus premium mens pg , Siruseri</v>
      </c>
      <c r="O1050" s="4">
        <f>VLOOKUP(A1050,Response!$A:$M,10,)</f>
        <v>1</v>
      </c>
      <c r="P1050" t="str">
        <f>VLOOKUP(A1050,Response!$A:$M,12,)</f>
        <v>No</v>
      </c>
      <c r="Q1050" t="str">
        <f>VLOOKUP(A1050,Response!$A:$M,11,)</f>
        <v>Siruseri</v>
      </c>
      <c r="R1050" t="s">
        <v>19</v>
      </c>
      <c r="S1050" s="39" t="s">
        <v>37</v>
      </c>
    </row>
    <row r="1051" spans="1:19">
      <c r="A1051" s="3">
        <v>2529719</v>
      </c>
      <c r="B1051" t="str">
        <f>VLOOKUP(A1051,File!$A:$J,2,FALSE)</f>
        <v>Sanigala Bharath</v>
      </c>
      <c r="C1051" s="29">
        <f>VLOOKUP(A1051,File!$A:$J,5,FALSE)</f>
        <v>46245</v>
      </c>
      <c r="D1051" s="29" t="str">
        <f>VLOOKUP(A1051,File!$A:$J,3,FALSE)</f>
        <v>Male</v>
      </c>
      <c r="E1051" s="29" t="str">
        <f>VLOOKUP(A1051,File!$A:$J,4,FALSE)</f>
        <v>FTE</v>
      </c>
      <c r="F1051" s="29" t="str">
        <f>VLOOKUP(A1051,File!$A:$J,6,FALSE)</f>
        <v>Chennai</v>
      </c>
      <c r="G1051" s="29" t="str">
        <f>VLOOKUP(A1051,File!$A:$J,7,FALSE)</f>
        <v>CIS26AZ001</v>
      </c>
      <c r="H1051" s="29" t="str">
        <f>VLOOKUP(A1051,File!$A:$J,8,FALSE)</f>
        <v>Ashiya Begam S</v>
      </c>
      <c r="I1051" s="31">
        <f>VLOOKUP(A1051,File!$A:$J,9,FALSE)</f>
        <v>46335</v>
      </c>
      <c r="J1051" s="31" t="str">
        <f>VLOOKUP(A1051,File!$A:$K,11,FALSE)</f>
        <v>Nov 2026</v>
      </c>
      <c r="K1051" s="31" t="str">
        <f>VLOOKUP(A1051,File!$A:$K,10,FALSE)</f>
        <v>In-Training</v>
      </c>
      <c r="L1051" s="31" t="s">
        <v>4</v>
      </c>
      <c r="M1051" t="str">
        <f>VLOOKUP(A1051,Response!$A:$M,7,)</f>
        <v>PG (Paying Guest)</v>
      </c>
      <c r="N1051" t="str">
        <f>VLOOKUP(A1051,Response!$A:$M,8,)</f>
        <v xml:space="preserve">siddus premium mens PG , siruseri </v>
      </c>
      <c r="O1051" s="4">
        <f>VLOOKUP(A1051,Response!$A:$M,10,)</f>
        <v>1</v>
      </c>
      <c r="P1051" t="str">
        <f>VLOOKUP(A1051,Response!$A:$M,12,)</f>
        <v>No</v>
      </c>
      <c r="Q1051" t="str">
        <f>VLOOKUP(A1051,Response!$A:$M,11,)</f>
        <v>Siruseri</v>
      </c>
      <c r="R1051" t="s">
        <v>19</v>
      </c>
      <c r="S1051" s="39" t="s">
        <v>37</v>
      </c>
    </row>
    <row r="1052" spans="1:19">
      <c r="A1052" s="3">
        <v>2532963</v>
      </c>
      <c r="B1052" t="str">
        <f>VLOOKUP(A1052,File!$A:$J,2,FALSE)</f>
        <v>Y Manoj</v>
      </c>
      <c r="C1052" s="29">
        <f>VLOOKUP(A1052,File!$A:$J,5,FALSE)</f>
        <v>46259</v>
      </c>
      <c r="D1052" s="29" t="str">
        <f>VLOOKUP(A1052,File!$A:$J,3,FALSE)</f>
        <v>Male</v>
      </c>
      <c r="E1052" s="29" t="str">
        <f>VLOOKUP(A1052,File!$A:$J,4,FALSE)</f>
        <v>FTE</v>
      </c>
      <c r="F1052" s="29" t="str">
        <f>VLOOKUP(A1052,File!$A:$J,6,FALSE)</f>
        <v>Chennai</v>
      </c>
      <c r="G1052" s="29" t="str">
        <f>VLOOKUP(A1052,File!$A:$J,7,FALSE)</f>
        <v>CIS26MBG005</v>
      </c>
      <c r="H1052" s="29" t="str">
        <f>VLOOKUP(A1052,File!$A:$J,8,FALSE)</f>
        <v>Angel Maria Faustina Gomez</v>
      </c>
      <c r="I1052" s="31">
        <f>VLOOKUP(A1052,File!$A:$J,9,FALSE)</f>
        <v>46367</v>
      </c>
      <c r="J1052" s="31" t="str">
        <f>VLOOKUP(A1052,File!$A:$K,11,FALSE)</f>
        <v>Dec 2026</v>
      </c>
      <c r="K1052" s="31" t="str">
        <f>VLOOKUP(A1052,File!$A:$K,10,FALSE)</f>
        <v>In-Training</v>
      </c>
      <c r="L1052" s="31" t="s">
        <v>4</v>
      </c>
      <c r="M1052" t="str">
        <f>VLOOKUP(A1052,Response!$A:$M,7,)</f>
        <v>PG (Paying Guest)</v>
      </c>
      <c r="N1052" t="str">
        <f>VLOOKUP(A1052,Response!$A:$M,8,)</f>
        <v xml:space="preserve">siddus premium mens pg ,siruseri </v>
      </c>
      <c r="O1052" s="4">
        <f>VLOOKUP(A1052,Response!$A:$M,10,)</f>
        <v>1</v>
      </c>
      <c r="P1052" t="str">
        <f>VLOOKUP(A1052,Response!$A:$M,12,)</f>
        <v>No</v>
      </c>
      <c r="Q1052" t="str">
        <f>VLOOKUP(A1052,Response!$A:$M,11,)</f>
        <v>Siruseri</v>
      </c>
      <c r="R1052" t="s">
        <v>19</v>
      </c>
      <c r="S1052" s="39" t="s">
        <v>37</v>
      </c>
    </row>
    <row r="1053" spans="1:19">
      <c r="A1053" s="3">
        <v>2530199</v>
      </c>
      <c r="B1053" t="str">
        <f>VLOOKUP(A1053,File!$A:$J,2,FALSE)</f>
        <v>Shamshuddeen Nadaf</v>
      </c>
      <c r="C1053" s="29">
        <f>VLOOKUP(A1053,File!$A:$J,5,FALSE)</f>
        <v>46247</v>
      </c>
      <c r="D1053" s="29" t="str">
        <f>VLOOKUP(A1053,File!$A:$J,3,FALSE)</f>
        <v>Male</v>
      </c>
      <c r="E1053" s="29" t="str">
        <f>VLOOKUP(A1053,File!$A:$J,4,FALSE)</f>
        <v>FTE</v>
      </c>
      <c r="F1053" s="29" t="str">
        <f>VLOOKUP(A1053,File!$A:$J,6,FALSE)</f>
        <v>Chennai</v>
      </c>
      <c r="G1053" s="29" t="str">
        <f>VLOOKUP(A1053,File!$A:$J,7,FALSE)</f>
        <v>EPS26OSP010</v>
      </c>
      <c r="H1053" s="29" t="str">
        <f>VLOOKUP(A1053,File!$A:$J,8,FALSE)</f>
        <v>Vishnupriya Dakshnamurthy</v>
      </c>
      <c r="I1053" s="31">
        <f>VLOOKUP(A1053,File!$A:$J,9,FALSE)</f>
        <v>46357</v>
      </c>
      <c r="J1053" s="31" t="str">
        <f>VLOOKUP(A1053,File!$A:$K,11,FALSE)</f>
        <v>Dec 2026</v>
      </c>
      <c r="K1053" s="31" t="str">
        <f>VLOOKUP(A1053,File!$A:$K,10,FALSE)</f>
        <v>In-Training</v>
      </c>
      <c r="L1053" s="31" t="s">
        <v>4</v>
      </c>
      <c r="M1053" t="str">
        <f>VLOOKUP(A1053,Response!$A:$M,7,)</f>
        <v>PG (Paying Guest)</v>
      </c>
      <c r="N1053" t="str">
        <f>VLOOKUP(A1053,Response!$A:$M,8,)</f>
        <v xml:space="preserve">Siddus Premium Mens PG A building </v>
      </c>
      <c r="O1053" s="4">
        <f>VLOOKUP(A1053,Response!$A:$M,10,)</f>
        <v>4</v>
      </c>
      <c r="P1053" t="str">
        <f>VLOOKUP(A1053,Response!$A:$M,12,)</f>
        <v>No</v>
      </c>
      <c r="Q1053" t="str">
        <f>VLOOKUP(A1053,Response!$A:$M,11,)</f>
        <v>Siruseri</v>
      </c>
      <c r="R1053" t="s">
        <v>19</v>
      </c>
      <c r="S1053" s="39" t="s">
        <v>37</v>
      </c>
    </row>
    <row r="1054" spans="1:19">
      <c r="A1054" s="3">
        <v>2521271</v>
      </c>
      <c r="B1054" t="str">
        <f>VLOOKUP(A1054,File!$A:$J,2,FALSE)</f>
        <v>N D Adithya</v>
      </c>
      <c r="C1054" s="29">
        <f>VLOOKUP(A1054,File!$A:$J,5,FALSE)</f>
        <v>46210</v>
      </c>
      <c r="D1054" s="29" t="str">
        <f>VLOOKUP(A1054,File!$A:$J,3,FALSE)</f>
        <v>Male</v>
      </c>
      <c r="E1054" s="29" t="str">
        <f>VLOOKUP(A1054,File!$A:$J,4,FALSE)</f>
        <v>FTE</v>
      </c>
      <c r="F1054" s="29" t="str">
        <f>VLOOKUP(A1054,File!$A:$J,6,FALSE)</f>
        <v>Chennai</v>
      </c>
      <c r="G1054" s="29" t="str">
        <f>VLOOKUP(A1054,File!$A:$J,7,FALSE)</f>
        <v>CIS26SN001</v>
      </c>
      <c r="H1054" s="29" t="str">
        <f>VLOOKUP(A1054,File!$A:$J,8,FALSE)</f>
        <v>Ashiya Begam S</v>
      </c>
      <c r="I1054" s="31">
        <f>VLOOKUP(A1054,File!$A:$J,9,FALSE)</f>
        <v>46281</v>
      </c>
      <c r="J1054" s="31" t="str">
        <f>VLOOKUP(A1054,File!$A:$K,11,FALSE)</f>
        <v>Sep 2026</v>
      </c>
      <c r="K1054" s="31" t="str">
        <f>VLOOKUP(A1054,File!$A:$K,10,FALSE)</f>
        <v>In-Training</v>
      </c>
      <c r="L1054" s="31" t="s">
        <v>4</v>
      </c>
      <c r="M1054" t="str">
        <f>VLOOKUP(A1054,Response!$A:$M,7,)</f>
        <v>PG (Paying Guest)</v>
      </c>
      <c r="N1054" t="str">
        <f>VLOOKUP(A1054,Response!$A:$M,8,)</f>
        <v>Siddus Premium Mens PG SIRUSERI SIPCOT IT</v>
      </c>
      <c r="O1054" s="4">
        <f>VLOOKUP(A1054,Response!$A:$M,10,)</f>
        <v>1</v>
      </c>
      <c r="P1054" t="str">
        <f>VLOOKUP(A1054,Response!$A:$M,12,)</f>
        <v>No</v>
      </c>
      <c r="Q1054" t="str">
        <f>VLOOKUP(A1054,Response!$A:$M,11,)</f>
        <v>Siruseri</v>
      </c>
      <c r="R1054" t="s">
        <v>19</v>
      </c>
      <c r="S1054" s="39" t="s">
        <v>37</v>
      </c>
    </row>
    <row r="1055" spans="1:19">
      <c r="A1055" s="3">
        <v>2531825</v>
      </c>
      <c r="B1055" t="str">
        <f>VLOOKUP(A1055,File!$A:$J,2,FALSE)</f>
        <v>Sachin S S</v>
      </c>
      <c r="C1055" s="29">
        <f>VLOOKUP(A1055,File!$A:$J,5,FALSE)</f>
        <v>46254</v>
      </c>
      <c r="D1055" s="29" t="str">
        <f>VLOOKUP(A1055,File!$A:$J,3,FALSE)</f>
        <v>Male</v>
      </c>
      <c r="E1055" s="29" t="str">
        <f>VLOOKUP(A1055,File!$A:$J,4,FALSE)</f>
        <v>FTE</v>
      </c>
      <c r="F1055" s="29" t="str">
        <f>VLOOKUP(A1055,File!$A:$J,6,FALSE)</f>
        <v>Chennai</v>
      </c>
      <c r="G1055" s="29" t="str">
        <f>VLOOKUP(A1055,File!$A:$J,7,FALSE)</f>
        <v>CS26CS011</v>
      </c>
      <c r="H1055" s="29" t="str">
        <f>VLOOKUP(A1055,File!$A:$J,8,FALSE)</f>
        <v>Kishorekumar P</v>
      </c>
      <c r="I1055" s="31">
        <f>VLOOKUP(A1055,File!$A:$J,9,FALSE)</f>
        <v>46343</v>
      </c>
      <c r="J1055" s="31" t="str">
        <f>VLOOKUP(A1055,File!$A:$K,11,FALSE)</f>
        <v>Nov 2026</v>
      </c>
      <c r="K1055" s="31" t="str">
        <f>VLOOKUP(A1055,File!$A:$K,10,FALSE)</f>
        <v>In-Training</v>
      </c>
      <c r="L1055" s="31" t="s">
        <v>4</v>
      </c>
      <c r="M1055" t="str">
        <f>VLOOKUP(A1055,Response!$A:$M,7,)</f>
        <v>PG (Paying Guest)</v>
      </c>
      <c r="N1055" t="str">
        <f>VLOOKUP(A1055,Response!$A:$M,8,)</f>
        <v>Siddus Premium Mens PG SIRUSERI SIPCOT IT</v>
      </c>
      <c r="O1055" s="4">
        <f>VLOOKUP(A1055,Response!$A:$M,10,)</f>
        <v>1</v>
      </c>
      <c r="P1055" t="str">
        <f>VLOOKUP(A1055,Response!$A:$M,12,)</f>
        <v>Yes</v>
      </c>
      <c r="Q1055" t="str">
        <f>VLOOKUP(A1055,Response!$A:$M,11,)</f>
        <v>Siruseri</v>
      </c>
      <c r="R1055" t="s">
        <v>19</v>
      </c>
      <c r="S1055" s="39" t="s">
        <v>37</v>
      </c>
    </row>
    <row r="1056" spans="1:19">
      <c r="A1056" s="3">
        <v>2532934</v>
      </c>
      <c r="B1056" t="str">
        <f>VLOOKUP(A1056,File!$A:$J,2,FALSE)</f>
        <v>Girappagari Hemanandan Reddy</v>
      </c>
      <c r="C1056" s="29">
        <f>VLOOKUP(A1056,File!$A:$J,5,FALSE)</f>
        <v>46259</v>
      </c>
      <c r="D1056" s="29" t="str">
        <f>VLOOKUP(A1056,File!$A:$J,3,FALSE)</f>
        <v>Male</v>
      </c>
      <c r="E1056" s="29" t="str">
        <f>VLOOKUP(A1056,File!$A:$J,4,FALSE)</f>
        <v>FTE</v>
      </c>
      <c r="F1056" s="29" t="str">
        <f>VLOOKUP(A1056,File!$A:$J,6,FALSE)</f>
        <v>Chennai</v>
      </c>
      <c r="G1056" s="29" t="str">
        <f>VLOOKUP(A1056,File!$A:$J,7,FALSE)</f>
        <v>CIS26MBG006</v>
      </c>
      <c r="H1056" s="29" t="str">
        <f>VLOOKUP(A1056,File!$A:$J,8,FALSE)</f>
        <v>Angel Maria Faustina Gomez</v>
      </c>
      <c r="I1056" s="31">
        <f>VLOOKUP(A1056,File!$A:$J,9,FALSE)</f>
        <v>46367</v>
      </c>
      <c r="J1056" s="31" t="str">
        <f>VLOOKUP(A1056,File!$A:$K,11,FALSE)</f>
        <v>Dec 2026</v>
      </c>
      <c r="K1056" s="31" t="str">
        <f>VLOOKUP(A1056,File!$A:$K,10,FALSE)</f>
        <v>In-Training</v>
      </c>
      <c r="L1056" s="31" t="s">
        <v>4</v>
      </c>
      <c r="M1056" t="str">
        <f>VLOOKUP(A1056,Response!$A:$M,7,)</f>
        <v>PG (Paying Guest)</v>
      </c>
      <c r="N1056" t="str">
        <f>VLOOKUP(A1056,Response!$A:$M,8,)</f>
        <v>Siddus Premium Mens PG Siruseri SIPCOT IT</v>
      </c>
      <c r="O1056" s="4">
        <f>VLOOKUP(A1056,Response!$A:$M,10,)</f>
        <v>3</v>
      </c>
      <c r="P1056" t="str">
        <f>VLOOKUP(A1056,Response!$A:$M,12,)</f>
        <v>No</v>
      </c>
      <c r="Q1056" t="str">
        <f>VLOOKUP(A1056,Response!$A:$M,11,)</f>
        <v>Siruseri</v>
      </c>
      <c r="R1056" t="s">
        <v>19</v>
      </c>
      <c r="S1056" s="39" t="s">
        <v>37</v>
      </c>
    </row>
    <row r="1057" spans="1:19">
      <c r="A1057" s="3">
        <v>2532937</v>
      </c>
      <c r="B1057" t="str">
        <f>VLOOKUP(A1057,File!$A:$J,2,FALSE)</f>
        <v>Padala Raghavendra Reddy</v>
      </c>
      <c r="C1057" s="29">
        <f>VLOOKUP(A1057,File!$A:$J,5,FALSE)</f>
        <v>46259</v>
      </c>
      <c r="D1057" s="29" t="str">
        <f>VLOOKUP(A1057,File!$A:$J,3,FALSE)</f>
        <v>Male</v>
      </c>
      <c r="E1057" s="29" t="str">
        <f>VLOOKUP(A1057,File!$A:$J,4,FALSE)</f>
        <v>FTE</v>
      </c>
      <c r="F1057" s="29" t="str">
        <f>VLOOKUP(A1057,File!$A:$J,6,FALSE)</f>
        <v>Chennai</v>
      </c>
      <c r="G1057" s="29" t="str">
        <f>VLOOKUP(A1057,File!$A:$J,7,FALSE)</f>
        <v>CIS26MBG004</v>
      </c>
      <c r="H1057" s="29" t="str">
        <f>VLOOKUP(A1057,File!$A:$J,8,FALSE)</f>
        <v>Kishorekumar P</v>
      </c>
      <c r="I1057" s="31">
        <f>VLOOKUP(A1057,File!$A:$J,9,FALSE)</f>
        <v>46367</v>
      </c>
      <c r="J1057" s="31" t="str">
        <f>VLOOKUP(A1057,File!$A:$K,11,FALSE)</f>
        <v>Dec 2026</v>
      </c>
      <c r="K1057" s="31" t="str">
        <f>VLOOKUP(A1057,File!$A:$K,10,FALSE)</f>
        <v>In-Training</v>
      </c>
      <c r="L1057" s="31" t="s">
        <v>4</v>
      </c>
      <c r="M1057" t="str">
        <f>VLOOKUP(A1057,Response!$A:$M,7,)</f>
        <v>PG (Paying Guest)</v>
      </c>
      <c r="N1057" t="str">
        <f>VLOOKUP(A1057,Response!$A:$M,8,)</f>
        <v>Siddus Premium mens PG siruseri Sipcot IT, Egattur</v>
      </c>
      <c r="O1057" s="4">
        <f>VLOOKUP(A1057,Response!$A:$M,10,)</f>
        <v>1</v>
      </c>
      <c r="P1057" t="str">
        <f>VLOOKUP(A1057,Response!$A:$M,12,)</f>
        <v>No</v>
      </c>
      <c r="Q1057" t="str">
        <f>VLOOKUP(A1057,Response!$A:$M,11,)</f>
        <v>Siruseri</v>
      </c>
      <c r="R1057" t="s">
        <v>19</v>
      </c>
      <c r="S1057" s="39" t="s">
        <v>37</v>
      </c>
    </row>
    <row r="1058" spans="1:19">
      <c r="A1058" s="3">
        <v>2532948</v>
      </c>
      <c r="B1058" t="str">
        <f>VLOOKUP(A1058,File!$A:$J,2,FALSE)</f>
        <v>Sekharapalli Vishnu Vardhan</v>
      </c>
      <c r="C1058" s="29">
        <f>VLOOKUP(A1058,File!$A:$J,5,FALSE)</f>
        <v>46259</v>
      </c>
      <c r="D1058" s="29" t="str">
        <f>VLOOKUP(A1058,File!$A:$J,3,FALSE)</f>
        <v>Male</v>
      </c>
      <c r="E1058" s="29" t="str">
        <f>VLOOKUP(A1058,File!$A:$J,4,FALSE)</f>
        <v>FTE</v>
      </c>
      <c r="F1058" s="29" t="str">
        <f>VLOOKUP(A1058,File!$A:$J,6,FALSE)</f>
        <v>Chennai</v>
      </c>
      <c r="G1058" s="29" t="str">
        <f>VLOOKUP(A1058,File!$A:$J,7,FALSE)</f>
        <v>CIS26MBG005</v>
      </c>
      <c r="H1058" s="29" t="str">
        <f>VLOOKUP(A1058,File!$A:$J,8,FALSE)</f>
        <v>Angel Maria Faustina Gomez</v>
      </c>
      <c r="I1058" s="31">
        <f>VLOOKUP(A1058,File!$A:$J,9,FALSE)</f>
        <v>46367</v>
      </c>
      <c r="J1058" s="31" t="str">
        <f>VLOOKUP(A1058,File!$A:$K,11,FALSE)</f>
        <v>Dec 2026</v>
      </c>
      <c r="K1058" s="31" t="str">
        <f>VLOOKUP(A1058,File!$A:$K,10,FALSE)</f>
        <v>In-Training</v>
      </c>
      <c r="L1058" s="31" t="s">
        <v>4</v>
      </c>
      <c r="M1058" t="str">
        <f>VLOOKUP(A1058,Response!$A:$M,7,)</f>
        <v>PG (Paying Guest)</v>
      </c>
      <c r="N1058" t="str">
        <f>VLOOKUP(A1058,Response!$A:$M,8,)</f>
        <v>Siddus premium mens pg, B block</v>
      </c>
      <c r="O1058" s="4">
        <f>VLOOKUP(A1058,Response!$A:$M,10,)</f>
        <v>3</v>
      </c>
      <c r="P1058" t="str">
        <f>VLOOKUP(A1058,Response!$A:$M,12,)</f>
        <v>No</v>
      </c>
      <c r="Q1058" t="str">
        <f>VLOOKUP(A1058,Response!$A:$M,11,)</f>
        <v>Siruseri</v>
      </c>
      <c r="R1058" t="s">
        <v>19</v>
      </c>
      <c r="S1058" s="39" t="s">
        <v>37</v>
      </c>
    </row>
    <row r="1059" spans="1:19">
      <c r="A1059" s="3">
        <v>2529660</v>
      </c>
      <c r="B1059" t="str">
        <f>VLOOKUP(A1059,File!$A:$J,2,FALSE)</f>
        <v>Kethan Hunasavalli Shivakumar</v>
      </c>
      <c r="C1059" s="29">
        <f>VLOOKUP(A1059,File!$A:$J,5,FALSE)</f>
        <v>46245</v>
      </c>
      <c r="D1059" s="29" t="str">
        <f>VLOOKUP(A1059,File!$A:$J,3,FALSE)</f>
        <v>Male</v>
      </c>
      <c r="E1059" s="29" t="str">
        <f>VLOOKUP(A1059,File!$A:$J,4,FALSE)</f>
        <v>FTE</v>
      </c>
      <c r="F1059" s="29" t="str">
        <f>VLOOKUP(A1059,File!$A:$J,6,FALSE)</f>
        <v>Chennai</v>
      </c>
      <c r="G1059" s="29" t="str">
        <f>VLOOKUP(A1059,File!$A:$J,7,FALSE)</f>
        <v>EPS26SAP031</v>
      </c>
      <c r="H1059" s="29" t="str">
        <f>VLOOKUP(A1059,File!$A:$J,8,FALSE)</f>
        <v>Akashraj R</v>
      </c>
      <c r="I1059" s="31">
        <f>VLOOKUP(A1059,File!$A:$J,9,FALSE)</f>
        <v>46330</v>
      </c>
      <c r="J1059" s="31" t="str">
        <f>VLOOKUP(A1059,File!$A:$K,11,FALSE)</f>
        <v>Nov 2026</v>
      </c>
      <c r="K1059" s="31" t="str">
        <f>VLOOKUP(A1059,File!$A:$K,10,FALSE)</f>
        <v>In-Training</v>
      </c>
      <c r="L1059" s="31" t="s">
        <v>4</v>
      </c>
      <c r="M1059" t="str">
        <f>VLOOKUP(A1059,Response!$A:$M,7,)</f>
        <v>PG (Paying Guest)</v>
      </c>
      <c r="N1059" t="str">
        <f>VLOOKUP(A1059,Response!$A:$M,8,)</f>
        <v>Siddus Premium Mens PG, Branch 1, SIPCOT Siruseri</v>
      </c>
      <c r="O1059" s="4">
        <f>VLOOKUP(A1059,Response!$A:$M,10,)</f>
        <v>1</v>
      </c>
      <c r="P1059" t="str">
        <f>VLOOKUP(A1059,Response!$A:$M,12,)</f>
        <v>No</v>
      </c>
      <c r="Q1059" t="str">
        <f>VLOOKUP(A1059,Response!$A:$M,11,)</f>
        <v>Siruseri</v>
      </c>
      <c r="R1059" t="s">
        <v>19</v>
      </c>
      <c r="S1059" s="39" t="s">
        <v>37</v>
      </c>
    </row>
    <row r="1060" spans="1:19">
      <c r="A1060" s="3">
        <v>2523450</v>
      </c>
      <c r="B1060" t="str">
        <f>VLOOKUP(A1060,File!$A:$J,2,FALSE)</f>
        <v>Ajay Singh</v>
      </c>
      <c r="C1060" s="29">
        <f>VLOOKUP(A1060,File!$A:$J,5,FALSE)</f>
        <v>46219</v>
      </c>
      <c r="D1060" s="29" t="str">
        <f>VLOOKUP(A1060,File!$A:$J,3,FALSE)</f>
        <v>Male</v>
      </c>
      <c r="E1060" s="29" t="str">
        <f>VLOOKUP(A1060,File!$A:$J,4,FALSE)</f>
        <v>FTE</v>
      </c>
      <c r="F1060" s="29" t="str">
        <f>VLOOKUP(A1060,File!$A:$J,6,FALSE)</f>
        <v>Chennai</v>
      </c>
      <c r="G1060" s="29" t="str">
        <f>VLOOKUP(A1060,File!$A:$J,7,FALSE)</f>
        <v>CS26CS009</v>
      </c>
      <c r="H1060" s="29" t="str">
        <f>VLOOKUP(A1060,File!$A:$J,8,FALSE)</f>
        <v>Laksiya Vijayendran</v>
      </c>
      <c r="I1060" s="31">
        <f>VLOOKUP(A1060,File!$A:$J,9,FALSE)</f>
        <v>46330</v>
      </c>
      <c r="J1060" s="31" t="str">
        <f>VLOOKUP(A1060,File!$A:$K,11,FALSE)</f>
        <v>Nov 2026</v>
      </c>
      <c r="K1060" s="31" t="str">
        <f>VLOOKUP(A1060,File!$A:$K,10,FALSE)</f>
        <v>In-Training</v>
      </c>
      <c r="L1060" s="31" t="s">
        <v>4</v>
      </c>
      <c r="M1060" t="str">
        <f>VLOOKUP(A1060,Response!$A:$M,7,)</f>
        <v>PG (Paying Guest)</v>
      </c>
      <c r="N1060" t="str">
        <f>VLOOKUP(A1060,Response!$A:$M,8,)</f>
        <v>Siddus Premium Mens PG, Egattur</v>
      </c>
      <c r="O1060" s="4">
        <f>VLOOKUP(A1060,Response!$A:$M,10,)</f>
        <v>1</v>
      </c>
      <c r="P1060" t="str">
        <f>VLOOKUP(A1060,Response!$A:$M,12,)</f>
        <v>No</v>
      </c>
      <c r="Q1060" t="str">
        <f>VLOOKUP(A1060,Response!$A:$M,11,)</f>
        <v>Egattur</v>
      </c>
      <c r="R1060" t="s">
        <v>19</v>
      </c>
      <c r="S1060" s="39" t="s">
        <v>37</v>
      </c>
    </row>
    <row r="1061" spans="1:19">
      <c r="A1061" s="3">
        <v>2529522</v>
      </c>
      <c r="B1061" t="str">
        <f>VLOOKUP(A1061,File!$A:$J,2,FALSE)</f>
        <v>Swaroop Kumar Naidu Marrapu</v>
      </c>
      <c r="C1061" s="29">
        <f>VLOOKUP(A1061,File!$A:$J,5,FALSE)</f>
        <v>46245</v>
      </c>
      <c r="D1061" s="29" t="str">
        <f>VLOOKUP(A1061,File!$A:$J,3,FALSE)</f>
        <v>Male</v>
      </c>
      <c r="E1061" s="29" t="str">
        <f>VLOOKUP(A1061,File!$A:$J,4,FALSE)</f>
        <v>FTE</v>
      </c>
      <c r="F1061" s="29" t="str">
        <f>VLOOKUP(A1061,File!$A:$J,6,FALSE)</f>
        <v>Chennai</v>
      </c>
      <c r="G1061" s="29" t="str">
        <f>VLOOKUP(A1061,File!$A:$J,7,FALSE)</f>
        <v>CIS26MCPT025</v>
      </c>
      <c r="H1061" s="29" t="str">
        <f>VLOOKUP(A1061,File!$A:$J,8,FALSE)</f>
        <v>Vignesh S</v>
      </c>
      <c r="I1061" s="31">
        <f>VLOOKUP(A1061,File!$A:$J,9,FALSE)</f>
        <v>46359</v>
      </c>
      <c r="J1061" s="31" t="str">
        <f>VLOOKUP(A1061,File!$A:$K,11,FALSE)</f>
        <v>Dec 2026</v>
      </c>
      <c r="K1061" s="31" t="str">
        <f>VLOOKUP(A1061,File!$A:$K,10,FALSE)</f>
        <v>In-Training</v>
      </c>
      <c r="L1061" s="31" t="s">
        <v>4</v>
      </c>
      <c r="M1061" t="str">
        <f>VLOOKUP(A1061,Response!$A:$M,7,)</f>
        <v>PG (Paying Guest)</v>
      </c>
      <c r="N1061" t="str">
        <f>VLOOKUP(A1061,Response!$A:$M,8,)</f>
        <v>Siddus Premium Mens PG, Egattur</v>
      </c>
      <c r="O1061" s="4">
        <f>VLOOKUP(A1061,Response!$A:$M,10,)</f>
        <v>3</v>
      </c>
      <c r="P1061" t="str">
        <f>VLOOKUP(A1061,Response!$A:$M,12,)</f>
        <v>No</v>
      </c>
      <c r="Q1061" t="str">
        <f>VLOOKUP(A1061,Response!$A:$M,11,)</f>
        <v>Egattur</v>
      </c>
      <c r="R1061" t="s">
        <v>19</v>
      </c>
      <c r="S1061" s="39" t="s">
        <v>37</v>
      </c>
    </row>
    <row r="1062" spans="1:19">
      <c r="A1062" s="3">
        <v>2524568</v>
      </c>
      <c r="B1062" t="str">
        <f>VLOOKUP(A1062,File!$A:$J,2,FALSE)</f>
        <v>Beeram Pavan Kalyan Reddy</v>
      </c>
      <c r="C1062" s="29">
        <f>VLOOKUP(A1062,File!$A:$J,5,FALSE)</f>
        <v>46224</v>
      </c>
      <c r="D1062" s="29" t="str">
        <f>VLOOKUP(A1062,File!$A:$J,3,FALSE)</f>
        <v>Male</v>
      </c>
      <c r="E1062" s="29" t="str">
        <f>VLOOKUP(A1062,File!$A:$J,4,FALSE)</f>
        <v>FTE</v>
      </c>
      <c r="F1062" s="29" t="str">
        <f>VLOOKUP(A1062,File!$A:$J,6,FALSE)</f>
        <v>Chennai</v>
      </c>
      <c r="G1062" s="29" t="str">
        <f>VLOOKUP(A1062,File!$A:$J,7,FALSE)</f>
        <v>ADM26DFSA007</v>
      </c>
      <c r="H1062" s="29" t="str">
        <f>VLOOKUP(A1062,File!$A:$J,8,FALSE)</f>
        <v>Sweta Thoppil</v>
      </c>
      <c r="I1062" s="31">
        <f>VLOOKUP(A1062,File!$A:$J,9,FALSE)</f>
        <v>46336</v>
      </c>
      <c r="J1062" s="31" t="str">
        <f>VLOOKUP(A1062,File!$A:$K,11,FALSE)</f>
        <v>Nov 2026</v>
      </c>
      <c r="K1062" s="31" t="str">
        <f>VLOOKUP(A1062,File!$A:$K,10,FALSE)</f>
        <v>In-Training</v>
      </c>
      <c r="L1062" s="31" t="s">
        <v>4</v>
      </c>
      <c r="M1062" t="str">
        <f>VLOOKUP(A1062,Response!$A:$M,7,)</f>
        <v>PG (Paying Guest)</v>
      </c>
      <c r="N1062" t="str">
        <f>VLOOKUP(A1062,Response!$A:$M,8,)</f>
        <v>Siddus Premium Mens PG, No 89C,Egattur</v>
      </c>
      <c r="O1062" s="4">
        <f>VLOOKUP(A1062,Response!$A:$M,10,)</f>
        <v>5</v>
      </c>
      <c r="P1062" t="str">
        <f>VLOOKUP(A1062,Response!$A:$M,12,)</f>
        <v>Yes</v>
      </c>
      <c r="Q1062" t="str">
        <f>VLOOKUP(A1062,Response!$A:$M,11,)</f>
        <v>Siruseri</v>
      </c>
      <c r="R1062" t="s">
        <v>19</v>
      </c>
      <c r="S1062" s="39" t="s">
        <v>37</v>
      </c>
    </row>
    <row r="1063" spans="1:19">
      <c r="A1063" s="3">
        <v>2531422</v>
      </c>
      <c r="B1063" t="str">
        <f>VLOOKUP(A1063,File!$A:$J,2,FALSE)</f>
        <v>Madhur Kumar Upadhyay</v>
      </c>
      <c r="C1063" s="29">
        <f>VLOOKUP(A1063,File!$A:$J,5,FALSE)</f>
        <v>46252</v>
      </c>
      <c r="D1063" s="29" t="str">
        <f>VLOOKUP(A1063,File!$A:$J,3,FALSE)</f>
        <v>Male</v>
      </c>
      <c r="E1063" s="29" t="str">
        <f>VLOOKUP(A1063,File!$A:$J,4,FALSE)</f>
        <v>FTE</v>
      </c>
      <c r="F1063" s="29" t="str">
        <f>VLOOKUP(A1063,File!$A:$J,6,FALSE)</f>
        <v>Chennai</v>
      </c>
      <c r="G1063" s="29" t="str">
        <f>VLOOKUP(A1063,File!$A:$J,7,FALSE)</f>
        <v>EPS26SAP037</v>
      </c>
      <c r="H1063" s="29" t="str">
        <f>VLOOKUP(A1063,File!$A:$J,8,FALSE)</f>
        <v>Gayathri Ramachandran</v>
      </c>
      <c r="I1063" s="31">
        <f>VLOOKUP(A1063,File!$A:$J,9,FALSE)</f>
        <v>46330</v>
      </c>
      <c r="J1063" s="31" t="str">
        <f>VLOOKUP(A1063,File!$A:$K,11,FALSE)</f>
        <v>Nov 2026</v>
      </c>
      <c r="K1063" s="31" t="str">
        <f>VLOOKUP(A1063,File!$A:$K,10,FALSE)</f>
        <v>In-Training</v>
      </c>
      <c r="L1063" s="31" t="s">
        <v>4</v>
      </c>
      <c r="M1063" t="str">
        <f>VLOOKUP(A1063,Response!$A:$M,7,)</f>
        <v>PG (Paying Guest)</v>
      </c>
      <c r="N1063" t="str">
        <f>VLOOKUP(A1063,Response!$A:$M,8,)</f>
        <v>Siddus premium mens pg, SIPCOT IT PARK</v>
      </c>
      <c r="O1063" s="4">
        <f>VLOOKUP(A1063,Response!$A:$M,10,)</f>
        <v>4</v>
      </c>
      <c r="P1063" t="str">
        <f>VLOOKUP(A1063,Response!$A:$M,12,)</f>
        <v>No</v>
      </c>
      <c r="Q1063" t="str">
        <f>VLOOKUP(A1063,Response!$A:$M,11,)</f>
        <v>Siruseri</v>
      </c>
      <c r="R1063" t="s">
        <v>19</v>
      </c>
      <c r="S1063" s="39" t="s">
        <v>37</v>
      </c>
    </row>
    <row r="1064" spans="1:19">
      <c r="A1064" s="3">
        <v>2531989</v>
      </c>
      <c r="B1064" t="str">
        <f>VLOOKUP(A1064,File!$A:$J,2,FALSE)</f>
        <v>Rupant Kumar Rai</v>
      </c>
      <c r="C1064" s="29">
        <f>VLOOKUP(A1064,File!$A:$J,5,FALSE)</f>
        <v>46254</v>
      </c>
      <c r="D1064" s="29" t="str">
        <f>VLOOKUP(A1064,File!$A:$J,3,FALSE)</f>
        <v>Male</v>
      </c>
      <c r="E1064" s="29" t="str">
        <f>VLOOKUP(A1064,File!$A:$J,4,FALSE)</f>
        <v>FTE</v>
      </c>
      <c r="F1064" s="29" t="str">
        <f>VLOOKUP(A1064,File!$A:$J,6,FALSE)</f>
        <v>Chennai</v>
      </c>
      <c r="G1064" s="29" t="str">
        <f>VLOOKUP(A1064,File!$A:$J,7,FALSE)</f>
        <v>CS26CS011</v>
      </c>
      <c r="H1064" s="29" t="str">
        <f>VLOOKUP(A1064,File!$A:$J,8,FALSE)</f>
        <v>Kishorekumar P</v>
      </c>
      <c r="I1064" s="31">
        <f>VLOOKUP(A1064,File!$A:$J,9,FALSE)</f>
        <v>46343</v>
      </c>
      <c r="J1064" s="31" t="str">
        <f>VLOOKUP(A1064,File!$A:$K,11,FALSE)</f>
        <v>Nov 2026</v>
      </c>
      <c r="K1064" s="31" t="str">
        <f>VLOOKUP(A1064,File!$A:$K,10,FALSE)</f>
        <v>In-Training</v>
      </c>
      <c r="L1064" s="31" t="s">
        <v>4</v>
      </c>
      <c r="M1064" t="str">
        <f>VLOOKUP(A1064,Response!$A:$M,7,)</f>
        <v>PG (Paying Guest)</v>
      </c>
      <c r="N1064" t="str">
        <f>VLOOKUP(A1064,Response!$A:$M,8,)</f>
        <v>Siddus Premium Mens PG, sipcot it park.</v>
      </c>
      <c r="O1064" s="4">
        <f>VLOOKUP(A1064,Response!$A:$M,10,)</f>
        <v>2</v>
      </c>
      <c r="P1064" t="str">
        <f>VLOOKUP(A1064,Response!$A:$M,12,)</f>
        <v>No</v>
      </c>
      <c r="Q1064" t="str">
        <f>VLOOKUP(A1064,Response!$A:$M,11,)</f>
        <v>Siruseri</v>
      </c>
      <c r="R1064" t="s">
        <v>19</v>
      </c>
      <c r="S1064" s="39" t="s">
        <v>37</v>
      </c>
    </row>
    <row r="1065" spans="1:19">
      <c r="A1065" s="3">
        <v>2532000</v>
      </c>
      <c r="B1065" t="str">
        <f>VLOOKUP(A1065,File!$A:$J,2,FALSE)</f>
        <v>Arya Tejas Patel</v>
      </c>
      <c r="C1065" s="29">
        <f>VLOOKUP(A1065,File!$A:$J,5,FALSE)</f>
        <v>46254</v>
      </c>
      <c r="D1065" s="29" t="str">
        <f>VLOOKUP(A1065,File!$A:$J,3,FALSE)</f>
        <v>Male</v>
      </c>
      <c r="E1065" s="29" t="str">
        <f>VLOOKUP(A1065,File!$A:$J,4,FALSE)</f>
        <v>FTE</v>
      </c>
      <c r="F1065" s="29" t="str">
        <f>VLOOKUP(A1065,File!$A:$J,6,FALSE)</f>
        <v>Chennai</v>
      </c>
      <c r="G1065" s="29" t="str">
        <f>VLOOKUP(A1065,File!$A:$J,7,FALSE)</f>
        <v>CS26CS011</v>
      </c>
      <c r="H1065" s="29" t="str">
        <f>VLOOKUP(A1065,File!$A:$J,8,FALSE)</f>
        <v>Kishorekumar P</v>
      </c>
      <c r="I1065" s="31">
        <f>VLOOKUP(A1065,File!$A:$J,9,FALSE)</f>
        <v>46343</v>
      </c>
      <c r="J1065" s="31" t="str">
        <f>VLOOKUP(A1065,File!$A:$K,11,FALSE)</f>
        <v>Nov 2026</v>
      </c>
      <c r="K1065" s="31" t="str">
        <f>VLOOKUP(A1065,File!$A:$K,10,FALSE)</f>
        <v>In-Training</v>
      </c>
      <c r="L1065" s="31" t="s">
        <v>4</v>
      </c>
      <c r="M1065" t="str">
        <f>VLOOKUP(A1065,Response!$A:$M,7,)</f>
        <v>PG (Paying Guest)</v>
      </c>
      <c r="N1065" t="str">
        <f>VLOOKUP(A1065,Response!$A:$M,8,)</f>
        <v>Siddus Premium mens PG, Siruseri</v>
      </c>
      <c r="O1065" s="4">
        <f>VLOOKUP(A1065,Response!$A:$M,10,)</f>
        <v>2</v>
      </c>
      <c r="P1065" t="str">
        <f>VLOOKUP(A1065,Response!$A:$M,12,)</f>
        <v>No</v>
      </c>
      <c r="Q1065" t="str">
        <f>VLOOKUP(A1065,Response!$A:$M,11,)</f>
        <v>Siruseri</v>
      </c>
      <c r="R1065" t="s">
        <v>19</v>
      </c>
      <c r="S1065" s="39" t="s">
        <v>37</v>
      </c>
    </row>
    <row r="1066" spans="1:19">
      <c r="A1066" s="3">
        <v>2533587</v>
      </c>
      <c r="B1066" t="str">
        <f>VLOOKUP(A1066,File!$A:$J,2,FALSE)</f>
        <v>Majjiga Charan Yadav</v>
      </c>
      <c r="C1066" s="29">
        <f>VLOOKUP(A1066,File!$A:$J,5,FALSE)</f>
        <v>46261</v>
      </c>
      <c r="D1066" s="29" t="str">
        <f>VLOOKUP(A1066,File!$A:$J,3,FALSE)</f>
        <v>Male</v>
      </c>
      <c r="E1066" s="29" t="str">
        <f>VLOOKUP(A1066,File!$A:$J,4,FALSE)</f>
        <v>FTE</v>
      </c>
      <c r="F1066" s="29" t="str">
        <f>VLOOKUP(A1066,File!$A:$J,6,FALSE)</f>
        <v>Chennai</v>
      </c>
      <c r="G1066" s="29" t="str">
        <f>VLOOKUP(A1066,File!$A:$J,7,FALSE)</f>
        <v>ADM27DFSA001</v>
      </c>
      <c r="H1066" s="29" t="str">
        <f>VLOOKUP(A1066,File!$A:$J,8,FALSE)</f>
        <v>Thomas Naveen. J</v>
      </c>
      <c r="I1066" s="31">
        <f>VLOOKUP(A1066,File!$A:$J,9,FALSE)</f>
        <v>46386</v>
      </c>
      <c r="J1066" s="31" t="str">
        <f>VLOOKUP(A1066,File!$A:$K,11,FALSE)</f>
        <v>Dec 2026</v>
      </c>
      <c r="K1066" s="31" t="str">
        <f>VLOOKUP(A1066,File!$A:$K,10,FALSE)</f>
        <v>In-Training</v>
      </c>
      <c r="L1066" s="31" t="s">
        <v>4</v>
      </c>
      <c r="M1066" t="str">
        <f>VLOOKUP(A1066,Response!$A:$M,7,)</f>
        <v>PG (Paying Guest)</v>
      </c>
      <c r="N1066" t="str">
        <f>VLOOKUP(A1066,Response!$A:$M,8,)</f>
        <v xml:space="preserve">Siddus Premium Mens PG, SIRUSERI IT PARK, </v>
      </c>
      <c r="O1066" s="4">
        <f>VLOOKUP(A1066,Response!$A:$M,10,)</f>
        <v>1</v>
      </c>
      <c r="P1066" t="str">
        <f>VLOOKUP(A1066,Response!$A:$M,12,)</f>
        <v>No</v>
      </c>
      <c r="Q1066" t="str">
        <f>VLOOKUP(A1066,Response!$A:$M,11,)</f>
        <v>Siruseri</v>
      </c>
      <c r="R1066" t="s">
        <v>19</v>
      </c>
      <c r="S1066" s="39" t="s">
        <v>37</v>
      </c>
    </row>
    <row r="1067" spans="1:19">
      <c r="A1067" s="3">
        <v>2524592</v>
      </c>
      <c r="B1067" t="str">
        <f>VLOOKUP(A1067,File!$A:$J,2,FALSE)</f>
        <v>Thotamsetty Lalith Srinivas</v>
      </c>
      <c r="C1067" s="29">
        <f>VLOOKUP(A1067,File!$A:$J,5,FALSE)</f>
        <v>46224</v>
      </c>
      <c r="D1067" s="29" t="str">
        <f>VLOOKUP(A1067,File!$A:$J,3,FALSE)</f>
        <v>Male</v>
      </c>
      <c r="E1067" s="29" t="str">
        <f>VLOOKUP(A1067,File!$A:$J,4,FALSE)</f>
        <v>FTE</v>
      </c>
      <c r="F1067" s="29" t="str">
        <f>VLOOKUP(A1067,File!$A:$J,6,FALSE)</f>
        <v>Chennai</v>
      </c>
      <c r="G1067" s="29" t="str">
        <f>VLOOKUP(A1067,File!$A:$J,7,FALSE)</f>
        <v>ADM26DFSA007</v>
      </c>
      <c r="H1067" s="29" t="str">
        <f>VLOOKUP(A1067,File!$A:$J,8,FALSE)</f>
        <v>Sweta Thoppil</v>
      </c>
      <c r="I1067" s="31">
        <f>VLOOKUP(A1067,File!$A:$J,9,FALSE)</f>
        <v>46336</v>
      </c>
      <c r="J1067" s="31" t="str">
        <f>VLOOKUP(A1067,File!$A:$K,11,FALSE)</f>
        <v>Nov 2026</v>
      </c>
      <c r="K1067" s="31" t="str">
        <f>VLOOKUP(A1067,File!$A:$K,10,FALSE)</f>
        <v>In-Training</v>
      </c>
      <c r="L1067" s="31" t="s">
        <v>4</v>
      </c>
      <c r="M1067" t="str">
        <f>VLOOKUP(A1067,Response!$A:$M,7,)</f>
        <v>PG (Paying Guest)</v>
      </c>
      <c r="N1067" t="str">
        <f>VLOOKUP(A1067,Response!$A:$M,8,)</f>
        <v>Siddus Premium Mens PG</v>
      </c>
      <c r="O1067" s="4">
        <f>VLOOKUP(A1067,Response!$A:$M,10,)</f>
        <v>5</v>
      </c>
      <c r="P1067" t="str">
        <f>VLOOKUP(A1067,Response!$A:$M,12,)</f>
        <v>No</v>
      </c>
      <c r="Q1067" t="str">
        <f>VLOOKUP(A1067,Response!$A:$M,11,)</f>
        <v>Egattur</v>
      </c>
      <c r="R1067" t="s">
        <v>19</v>
      </c>
      <c r="S1067" s="39" t="s">
        <v>37</v>
      </c>
    </row>
    <row r="1068" spans="1:19">
      <c r="A1068" s="3">
        <v>2533070</v>
      </c>
      <c r="B1068" t="str">
        <f>VLOOKUP(A1068,File!$A:$J,2,FALSE)</f>
        <v>Subhash Gowthamveer Turugopu</v>
      </c>
      <c r="C1068" s="29">
        <f>VLOOKUP(A1068,File!$A:$J,5,FALSE)</f>
        <v>46259</v>
      </c>
      <c r="D1068" s="29" t="str">
        <f>VLOOKUP(A1068,File!$A:$J,3,FALSE)</f>
        <v>Male</v>
      </c>
      <c r="E1068" s="29" t="str">
        <f>VLOOKUP(A1068,File!$A:$J,4,FALSE)</f>
        <v>FTE</v>
      </c>
      <c r="F1068" s="29" t="str">
        <f>VLOOKUP(A1068,File!$A:$J,6,FALSE)</f>
        <v>Chennai</v>
      </c>
      <c r="G1068" s="29" t="str">
        <f>VLOOKUP(A1068,File!$A:$J,7,FALSE)</f>
        <v>ADM27DFSA001</v>
      </c>
      <c r="H1068" s="29" t="str">
        <f>VLOOKUP(A1068,File!$A:$J,8,FALSE)</f>
        <v>Thomas Naveen. J</v>
      </c>
      <c r="I1068" s="31">
        <f>VLOOKUP(A1068,File!$A:$J,9,FALSE)</f>
        <v>46386</v>
      </c>
      <c r="J1068" s="31" t="str">
        <f>VLOOKUP(A1068,File!$A:$K,11,FALSE)</f>
        <v>Dec 2026</v>
      </c>
      <c r="K1068" s="31" t="str">
        <f>VLOOKUP(A1068,File!$A:$K,10,FALSE)</f>
        <v>In-Training</v>
      </c>
      <c r="L1068" s="31" t="s">
        <v>4</v>
      </c>
      <c r="M1068" t="str">
        <f>VLOOKUP(A1068,Response!$A:$M,7,)</f>
        <v>PG (Paying Guest)</v>
      </c>
      <c r="N1068" t="str">
        <f>VLOOKUP(A1068,Response!$A:$M,8,)</f>
        <v>Siddus premium mens PG,No 89C,city park layout,3rd left street,Egattur,Siruseri,Chennai</v>
      </c>
      <c r="O1068" s="4">
        <f>VLOOKUP(A1068,Response!$A:$M,10,)</f>
        <v>4</v>
      </c>
      <c r="P1068" t="str">
        <f>VLOOKUP(A1068,Response!$A:$M,12,)</f>
        <v>No</v>
      </c>
      <c r="Q1068" t="str">
        <f>VLOOKUP(A1068,Response!$A:$M,11,)</f>
        <v>Siruseri</v>
      </c>
      <c r="R1068" t="s">
        <v>19</v>
      </c>
      <c r="S1068" s="39" t="s">
        <v>37</v>
      </c>
    </row>
    <row r="1069" spans="1:19">
      <c r="A1069" s="3">
        <v>2523451</v>
      </c>
      <c r="B1069" t="str">
        <f>VLOOKUP(A1069,File!$A:$J,2,FALSE)</f>
        <v>Deepak Mer</v>
      </c>
      <c r="C1069" s="29">
        <f>VLOOKUP(A1069,File!$A:$J,5,FALSE)</f>
        <v>46219</v>
      </c>
      <c r="D1069" s="29" t="str">
        <f>VLOOKUP(A1069,File!$A:$J,3,FALSE)</f>
        <v>Male</v>
      </c>
      <c r="E1069" s="29" t="str">
        <f>VLOOKUP(A1069,File!$A:$J,4,FALSE)</f>
        <v>FTE</v>
      </c>
      <c r="F1069" s="29" t="str">
        <f>VLOOKUP(A1069,File!$A:$J,6,FALSE)</f>
        <v>Chennai</v>
      </c>
      <c r="G1069" s="29" t="str">
        <f>VLOOKUP(A1069,File!$A:$J,7,FALSE)</f>
        <v>CS26CS009</v>
      </c>
      <c r="H1069" s="29" t="str">
        <f>VLOOKUP(A1069,File!$A:$J,8,FALSE)</f>
        <v>Laksiya Vijayendran</v>
      </c>
      <c r="I1069" s="31">
        <f>VLOOKUP(A1069,File!$A:$J,9,FALSE)</f>
        <v>46330</v>
      </c>
      <c r="J1069" s="31" t="str">
        <f>VLOOKUP(A1069,File!$A:$K,11,FALSE)</f>
        <v>Nov 2026</v>
      </c>
      <c r="K1069" s="31" t="str">
        <f>VLOOKUP(A1069,File!$A:$K,10,FALSE)</f>
        <v>In-Training</v>
      </c>
      <c r="L1069" s="31" t="s">
        <v>4</v>
      </c>
      <c r="M1069" t="str">
        <f>VLOOKUP(A1069,Response!$A:$M,7,)</f>
        <v>PG (Paying Guest)</v>
      </c>
      <c r="N1069" t="str">
        <f>VLOOKUP(A1069,Response!$A:$M,8,)</f>
        <v>Siddus Premium mens pg,Sipcot IT,Egattur</v>
      </c>
      <c r="O1069" s="4">
        <f>VLOOKUP(A1069,Response!$A:$M,10,)</f>
        <v>1</v>
      </c>
      <c r="P1069" t="str">
        <f>VLOOKUP(A1069,Response!$A:$M,12,)</f>
        <v>No</v>
      </c>
      <c r="Q1069" t="str">
        <f>VLOOKUP(A1069,Response!$A:$M,11,)</f>
        <v>Siruseri</v>
      </c>
      <c r="R1069" t="s">
        <v>19</v>
      </c>
      <c r="S1069" s="39" t="s">
        <v>37</v>
      </c>
    </row>
    <row r="1070" spans="1:19">
      <c r="A1070" s="3">
        <v>2533176</v>
      </c>
      <c r="B1070" t="str">
        <f>VLOOKUP(A1070,File!$A:$J,2,FALSE)</f>
        <v>Pavan Venkata Satya Sai Ajay Talla</v>
      </c>
      <c r="C1070" s="29">
        <f>VLOOKUP(A1070,File!$A:$J,5,FALSE)</f>
        <v>46259</v>
      </c>
      <c r="D1070" s="29" t="str">
        <f>VLOOKUP(A1070,File!$A:$J,3,FALSE)</f>
        <v>Male</v>
      </c>
      <c r="E1070" s="29" t="str">
        <f>VLOOKUP(A1070,File!$A:$J,4,FALSE)</f>
        <v>FTE</v>
      </c>
      <c r="F1070" s="29" t="str">
        <f>VLOOKUP(A1070,File!$A:$J,6,FALSE)</f>
        <v>Chennai</v>
      </c>
      <c r="G1070" s="29" t="str">
        <f>VLOOKUP(A1070,File!$A:$J,7,FALSE)</f>
        <v>CIS26AT008</v>
      </c>
      <c r="H1070" s="29" t="str">
        <f>VLOOKUP(A1070,File!$A:$J,8,FALSE)</f>
        <v>Uma Venkatachalam</v>
      </c>
      <c r="I1070" s="31">
        <f>VLOOKUP(A1070,File!$A:$J,9,FALSE)</f>
        <v>46365</v>
      </c>
      <c r="J1070" s="31" t="str">
        <f>VLOOKUP(A1070,File!$A:$K,11,FALSE)</f>
        <v>Dec 2026</v>
      </c>
      <c r="K1070" s="31" t="str">
        <f>VLOOKUP(A1070,File!$A:$K,10,FALSE)</f>
        <v>In-Training</v>
      </c>
      <c r="L1070" s="31" t="s">
        <v>4</v>
      </c>
      <c r="M1070" t="str">
        <f>VLOOKUP(A1070,Response!$A:$M,7,)</f>
        <v>PG (Paying Guest)</v>
      </c>
      <c r="N1070" t="str">
        <f>VLOOKUP(A1070,Response!$A:$M,8,)</f>
        <v>siddus premium mens PG - siruseri</v>
      </c>
      <c r="O1070" s="4">
        <f>VLOOKUP(A1070,Response!$A:$M,10,)</f>
        <v>1</v>
      </c>
      <c r="P1070" t="str">
        <f>VLOOKUP(A1070,Response!$A:$M,12,)</f>
        <v>No</v>
      </c>
      <c r="Q1070" t="str">
        <f>VLOOKUP(A1070,Response!$A:$M,11,)</f>
        <v>Siruseri</v>
      </c>
      <c r="R1070" t="s">
        <v>19</v>
      </c>
      <c r="S1070" s="39" t="s">
        <v>37</v>
      </c>
    </row>
    <row r="1071" spans="1:19">
      <c r="A1071" s="3">
        <v>2532944</v>
      </c>
      <c r="B1071" t="str">
        <f>VLOOKUP(A1071,File!$A:$J,2,FALSE)</f>
        <v>Shaik Imran</v>
      </c>
      <c r="C1071" s="29">
        <f>VLOOKUP(A1071,File!$A:$J,5,FALSE)</f>
        <v>46259</v>
      </c>
      <c r="D1071" s="29" t="str">
        <f>VLOOKUP(A1071,File!$A:$J,3,FALSE)</f>
        <v>Male</v>
      </c>
      <c r="E1071" s="29" t="str">
        <f>VLOOKUP(A1071,File!$A:$J,4,FALSE)</f>
        <v>FTE</v>
      </c>
      <c r="F1071" s="29" t="str">
        <f>VLOOKUP(A1071,File!$A:$J,6,FALSE)</f>
        <v>Chennai</v>
      </c>
      <c r="G1071" s="29" t="str">
        <f>VLOOKUP(A1071,File!$A:$J,7,FALSE)</f>
        <v>ADM27DFSA001</v>
      </c>
      <c r="H1071" s="29" t="str">
        <f>VLOOKUP(A1071,File!$A:$J,8,FALSE)</f>
        <v>Thomas Naveen. J</v>
      </c>
      <c r="I1071" s="31">
        <f>VLOOKUP(A1071,File!$A:$J,9,FALSE)</f>
        <v>46386</v>
      </c>
      <c r="J1071" s="31" t="str">
        <f>VLOOKUP(A1071,File!$A:$K,11,FALSE)</f>
        <v>Dec 2026</v>
      </c>
      <c r="K1071" s="31" t="str">
        <f>VLOOKUP(A1071,File!$A:$K,10,FALSE)</f>
        <v>In-Training</v>
      </c>
      <c r="L1071" s="31" t="s">
        <v>4</v>
      </c>
      <c r="M1071" t="str">
        <f>VLOOKUP(A1071,Response!$A:$M,7,)</f>
        <v>PG (Paying Guest)</v>
      </c>
      <c r="N1071" t="str">
        <f>VLOOKUP(A1071,Response!$A:$M,8,)</f>
        <v>Siddus Premium mes PG, Siruseri IT park</v>
      </c>
      <c r="O1071" s="4">
        <f>VLOOKUP(A1071,Response!$A:$M,10,)</f>
        <v>2</v>
      </c>
      <c r="P1071" t="str">
        <f>VLOOKUP(A1071,Response!$A:$M,12,)</f>
        <v>No</v>
      </c>
      <c r="Q1071" t="str">
        <f>VLOOKUP(A1071,Response!$A:$M,11,)</f>
        <v>Siruseri</v>
      </c>
      <c r="R1071" t="s">
        <v>19</v>
      </c>
      <c r="S1071" s="39" t="s">
        <v>37</v>
      </c>
    </row>
    <row r="1072" spans="1:19">
      <c r="A1072" s="3">
        <v>2529672</v>
      </c>
      <c r="B1072" t="str">
        <f>VLOOKUP(A1072,File!$A:$J,2,FALSE)</f>
        <v>Goli Siva Sankar</v>
      </c>
      <c r="C1072" s="29">
        <f>VLOOKUP(A1072,File!$A:$J,5,FALSE)</f>
        <v>46245</v>
      </c>
      <c r="D1072" s="29" t="str">
        <f>VLOOKUP(A1072,File!$A:$J,3,FALSE)</f>
        <v>Male</v>
      </c>
      <c r="E1072" s="29" t="str">
        <f>VLOOKUP(A1072,File!$A:$J,4,FALSE)</f>
        <v>FTE</v>
      </c>
      <c r="F1072" s="29" t="str">
        <f>VLOOKUP(A1072,File!$A:$J,6,FALSE)</f>
        <v>Chennai</v>
      </c>
      <c r="G1072" s="29" t="str">
        <f>VLOOKUP(A1072,File!$A:$J,7,FALSE)</f>
        <v>EPS26SAP031</v>
      </c>
      <c r="H1072" s="29" t="str">
        <f>VLOOKUP(A1072,File!$A:$J,8,FALSE)</f>
        <v>Akashraj R</v>
      </c>
      <c r="I1072" s="31">
        <f>VLOOKUP(A1072,File!$A:$J,9,FALSE)</f>
        <v>46330</v>
      </c>
      <c r="J1072" s="31" t="str">
        <f>VLOOKUP(A1072,File!$A:$K,11,FALSE)</f>
        <v>Nov 2026</v>
      </c>
      <c r="K1072" s="31" t="str">
        <f>VLOOKUP(A1072,File!$A:$K,10,FALSE)</f>
        <v>In-Training</v>
      </c>
      <c r="L1072" s="31" t="s">
        <v>4</v>
      </c>
      <c r="M1072" t="str">
        <f>VLOOKUP(A1072,Response!$A:$M,7,)</f>
        <v>PG (Paying Guest)</v>
      </c>
      <c r="N1072" t="str">
        <f>VLOOKUP(A1072,Response!$A:$M,8,)</f>
        <v>Siddus Premium PG</v>
      </c>
      <c r="O1072" s="4">
        <f>VLOOKUP(A1072,Response!$A:$M,10,)</f>
        <v>1</v>
      </c>
      <c r="P1072" t="str">
        <f>VLOOKUP(A1072,Response!$A:$M,12,)</f>
        <v>No</v>
      </c>
      <c r="Q1072" t="str">
        <f>VLOOKUP(A1072,Response!$A:$M,11,)</f>
        <v>Siruseri</v>
      </c>
      <c r="R1072" t="s">
        <v>19</v>
      </c>
      <c r="S1072" s="39" t="s">
        <v>37</v>
      </c>
    </row>
    <row r="1073" spans="1:19">
      <c r="A1073" s="3">
        <v>2524986</v>
      </c>
      <c r="B1073" t="str">
        <f>VLOOKUP(A1073,File!$A:$J,2,FALSE)</f>
        <v>Vishal Gangadhar Darkunde</v>
      </c>
      <c r="C1073" s="29">
        <f>VLOOKUP(A1073,File!$A:$J,5,FALSE)</f>
        <v>46226</v>
      </c>
      <c r="D1073" s="29" t="str">
        <f>VLOOKUP(A1073,File!$A:$J,3,FALSE)</f>
        <v>Male</v>
      </c>
      <c r="E1073" s="29" t="str">
        <f>VLOOKUP(A1073,File!$A:$J,4,FALSE)</f>
        <v>FTE</v>
      </c>
      <c r="F1073" s="29" t="str">
        <f>VLOOKUP(A1073,File!$A:$J,6,FALSE)</f>
        <v>Chennai</v>
      </c>
      <c r="G1073" s="29" t="str">
        <f>VLOOKUP(A1073,File!$A:$J,7,FALSE)</f>
        <v>ADM26ISMO010</v>
      </c>
      <c r="H1073" s="29" t="str">
        <f>VLOOKUP(A1073,File!$A:$J,8,FALSE)</f>
        <v>Thomas Naveen. J</v>
      </c>
      <c r="I1073" s="31">
        <f>VLOOKUP(A1073,File!$A:$J,9,FALSE)</f>
        <v>46301</v>
      </c>
      <c r="J1073" s="31" t="str">
        <f>VLOOKUP(A1073,File!$A:$K,11,FALSE)</f>
        <v>Oct 2026</v>
      </c>
      <c r="K1073" s="31" t="str">
        <f>VLOOKUP(A1073,File!$A:$K,10,FALSE)</f>
        <v>In-Training</v>
      </c>
      <c r="L1073" s="31" t="s">
        <v>4</v>
      </c>
      <c r="M1073" t="str">
        <f>VLOOKUP(A1073,Response!$A:$M,7,)</f>
        <v>PG (Paying Guest)</v>
      </c>
      <c r="N1073" t="str">
        <f>VLOOKUP(A1073,Response!$A:$M,8,)</f>
        <v>Siddus Premium PG</v>
      </c>
      <c r="O1073" s="4" t="str">
        <f>VLOOKUP(A1073,Response!$A:$M,10,)</f>
        <v>GF</v>
      </c>
      <c r="P1073" t="str">
        <f>VLOOKUP(A1073,Response!$A:$M,12,)</f>
        <v>Yes</v>
      </c>
      <c r="Q1073" t="str">
        <f>VLOOKUP(A1073,Response!$A:$M,11,)</f>
        <v>Siruseri</v>
      </c>
      <c r="R1073" t="s">
        <v>19</v>
      </c>
      <c r="S1073" s="39" t="s">
        <v>37</v>
      </c>
    </row>
    <row r="1074" spans="1:19">
      <c r="A1074" s="3">
        <v>2533018</v>
      </c>
      <c r="B1074" t="str">
        <f>VLOOKUP(A1074,File!$A:$J,2,FALSE)</f>
        <v>Bandigari Bayapa Reddy</v>
      </c>
      <c r="C1074" s="29">
        <f>VLOOKUP(A1074,File!$A:$J,5,FALSE)</f>
        <v>46259</v>
      </c>
      <c r="D1074" s="29" t="str">
        <f>VLOOKUP(A1074,File!$A:$J,3,FALSE)</f>
        <v>Male</v>
      </c>
      <c r="E1074" s="29" t="str">
        <f>VLOOKUP(A1074,File!$A:$J,4,FALSE)</f>
        <v>FTE</v>
      </c>
      <c r="F1074" s="29" t="str">
        <f>VLOOKUP(A1074,File!$A:$J,6,FALSE)</f>
        <v>Chennai</v>
      </c>
      <c r="G1074" s="29" t="str">
        <f>VLOOKUP(A1074,File!$A:$J,7,FALSE)</f>
        <v>ADM27DFSA001</v>
      </c>
      <c r="H1074" s="29" t="str">
        <f>VLOOKUP(A1074,File!$A:$J,8,FALSE)</f>
        <v>Thomas Naveen. J</v>
      </c>
      <c r="I1074" s="31">
        <f>VLOOKUP(A1074,File!$A:$J,9,FALSE)</f>
        <v>46386</v>
      </c>
      <c r="J1074" s="31" t="str">
        <f>VLOOKUP(A1074,File!$A:$K,11,FALSE)</f>
        <v>Dec 2026</v>
      </c>
      <c r="K1074" s="31" t="str">
        <f>VLOOKUP(A1074,File!$A:$K,10,FALSE)</f>
        <v>In-Training</v>
      </c>
      <c r="L1074" s="31" t="s">
        <v>4</v>
      </c>
      <c r="M1074" t="str">
        <f>VLOOKUP(A1074,Response!$A:$M,7,)</f>
        <v>PG (Paying Guest)</v>
      </c>
      <c r="N1074" t="str">
        <f>VLOOKUP(A1074,Response!$A:$M,8,)</f>
        <v>Siddus Premium PG, Egattur</v>
      </c>
      <c r="O1074" s="4">
        <f>VLOOKUP(A1074,Response!$A:$M,10,)</f>
        <v>4</v>
      </c>
      <c r="P1074" t="str">
        <f>VLOOKUP(A1074,Response!$A:$M,12,)</f>
        <v>No</v>
      </c>
      <c r="Q1074" t="str">
        <f>VLOOKUP(A1074,Response!$A:$M,11,)</f>
        <v>Siruseri</v>
      </c>
      <c r="R1074" t="s">
        <v>19</v>
      </c>
      <c r="S1074" s="39" t="s">
        <v>37</v>
      </c>
    </row>
    <row r="1075" spans="1:19">
      <c r="A1075" s="3">
        <v>2524493</v>
      </c>
      <c r="B1075" t="str">
        <f>VLOOKUP(A1075,File!$A:$J,2,FALSE)</f>
        <v>Yelugoti Dinesh Reddy</v>
      </c>
      <c r="C1075" s="29">
        <f>VLOOKUP(A1075,File!$A:$J,5,FALSE)</f>
        <v>46224</v>
      </c>
      <c r="D1075" s="29" t="str">
        <f>VLOOKUP(A1075,File!$A:$J,3,FALSE)</f>
        <v>Male</v>
      </c>
      <c r="E1075" s="29" t="str">
        <f>VLOOKUP(A1075,File!$A:$J,4,FALSE)</f>
        <v>FTE</v>
      </c>
      <c r="F1075" s="29" t="str">
        <f>VLOOKUP(A1075,File!$A:$J,6,FALSE)</f>
        <v>Chennai</v>
      </c>
      <c r="G1075" s="29" t="str">
        <f>VLOOKUP(A1075,File!$A:$J,7,FALSE)</f>
        <v>ADM26MF012</v>
      </c>
      <c r="H1075" s="29" t="str">
        <f>VLOOKUP(A1075,File!$A:$J,8,FALSE)</f>
        <v>Lourdhu Selvin Raj X</v>
      </c>
      <c r="I1075" s="31">
        <f>VLOOKUP(A1075,File!$A:$J,9,FALSE)</f>
        <v>46343</v>
      </c>
      <c r="J1075" s="31" t="str">
        <f>VLOOKUP(A1075,File!$A:$K,11,FALSE)</f>
        <v>Nov 2026</v>
      </c>
      <c r="K1075" s="31" t="str">
        <f>VLOOKUP(A1075,File!$A:$K,10,FALSE)</f>
        <v>In-Training</v>
      </c>
      <c r="L1075" s="31" t="s">
        <v>4</v>
      </c>
      <c r="M1075" t="str">
        <f>VLOOKUP(A1075,Response!$A:$M,7,)</f>
        <v>PG (Paying Guest)</v>
      </c>
      <c r="N1075" t="str">
        <f>VLOOKUP(A1075,Response!$A:$M,8,)</f>
        <v>Siddus premium pG, Egatur</v>
      </c>
      <c r="O1075" s="4">
        <f>VLOOKUP(A1075,Response!$A:$M,10,)</f>
        <v>5</v>
      </c>
      <c r="P1075" t="str">
        <f>VLOOKUP(A1075,Response!$A:$M,12,)</f>
        <v>No</v>
      </c>
      <c r="Q1075" t="str">
        <f>VLOOKUP(A1075,Response!$A:$M,11,)</f>
        <v>Siruseri</v>
      </c>
      <c r="R1075" t="s">
        <v>19</v>
      </c>
      <c r="S1075" s="39" t="s">
        <v>37</v>
      </c>
    </row>
    <row r="1076" spans="1:19">
      <c r="A1076" s="3">
        <v>2521140</v>
      </c>
      <c r="B1076" t="str">
        <f>VLOOKUP(A1076,File!$A:$J,2,FALSE)</f>
        <v>Srivarsha Bhusarapu</v>
      </c>
      <c r="C1076" s="29">
        <f>VLOOKUP(A1076,File!$A:$J,5,FALSE)</f>
        <v>46210</v>
      </c>
      <c r="D1076" s="29" t="str">
        <f>VLOOKUP(A1076,File!$A:$J,3,FALSE)</f>
        <v>Female</v>
      </c>
      <c r="E1076" s="29" t="str">
        <f>VLOOKUP(A1076,File!$A:$J,4,FALSE)</f>
        <v>FTE</v>
      </c>
      <c r="F1076" s="29" t="str">
        <f>VLOOKUP(A1076,File!$A:$J,6,FALSE)</f>
        <v>Chennai</v>
      </c>
      <c r="G1076" s="29" t="str">
        <f>VLOOKUP(A1076,File!$A:$J,7,FALSE)</f>
        <v>SNBG26SN002</v>
      </c>
      <c r="H1076" s="29" t="str">
        <f>VLOOKUP(A1076,File!$A:$J,8,FALSE)</f>
        <v>Lawrance M</v>
      </c>
      <c r="I1076" s="31">
        <f>VLOOKUP(A1076,File!$A:$J,9,FALSE)</f>
        <v>46303</v>
      </c>
      <c r="J1076" s="31" t="str">
        <f>VLOOKUP(A1076,File!$A:$K,11,FALSE)</f>
        <v>Oct 2026</v>
      </c>
      <c r="K1076" s="31" t="str">
        <f>VLOOKUP(A1076,File!$A:$K,10,FALSE)</f>
        <v>In-Training</v>
      </c>
      <c r="L1076" s="31" t="s">
        <v>4</v>
      </c>
      <c r="M1076" t="str">
        <f>VLOOKUP(A1076,Response!$A:$M,7,)</f>
        <v>PG (Paying Guest)</v>
      </c>
      <c r="N1076" t="str">
        <f>VLOOKUP(A1076,Response!$A:$M,8,)</f>
        <v>Silver Star Ellite stay luxury girls pg,Egattur</v>
      </c>
      <c r="O1076" s="4">
        <f>VLOOKUP(A1076,Response!$A:$M,10,)</f>
        <v>2</v>
      </c>
      <c r="P1076" t="str">
        <f>VLOOKUP(A1076,Response!$A:$M,12,)</f>
        <v>No</v>
      </c>
      <c r="Q1076" t="str">
        <f>VLOOKUP(A1076,Response!$A:$M,11,)</f>
        <v>Egattur</v>
      </c>
      <c r="R1076" t="s">
        <v>19</v>
      </c>
      <c r="S1076" s="39" t="s">
        <v>37</v>
      </c>
    </row>
    <row r="1077" spans="1:19">
      <c r="A1077" s="3">
        <v>2532898</v>
      </c>
      <c r="B1077" t="str">
        <f>VLOOKUP(A1077,File!$A:$J,2,FALSE)</f>
        <v>Sampath Ruttala</v>
      </c>
      <c r="C1077" s="29">
        <f>VLOOKUP(A1077,File!$A:$J,5,FALSE)</f>
        <v>46259</v>
      </c>
      <c r="D1077" s="29" t="str">
        <f>VLOOKUP(A1077,File!$A:$J,3,FALSE)</f>
        <v>Female</v>
      </c>
      <c r="E1077" s="29" t="str">
        <f>VLOOKUP(A1077,File!$A:$J,4,FALSE)</f>
        <v>FTE</v>
      </c>
      <c r="F1077" s="29" t="str">
        <f>VLOOKUP(A1077,File!$A:$J,6,FALSE)</f>
        <v>Chennai</v>
      </c>
      <c r="G1077" s="29" t="str">
        <f>VLOOKUP(A1077,File!$A:$J,7,FALSE)</f>
        <v>CIS26MBG007</v>
      </c>
      <c r="H1077" s="29" t="str">
        <f>VLOOKUP(A1077,File!$A:$J,8,FALSE)</f>
        <v>Lawrance M</v>
      </c>
      <c r="I1077" s="31">
        <f>VLOOKUP(A1077,File!$A:$J,9,FALSE)</f>
        <v>46367</v>
      </c>
      <c r="J1077" s="31" t="str">
        <f>VLOOKUP(A1077,File!$A:$K,11,FALSE)</f>
        <v>Dec 2026</v>
      </c>
      <c r="K1077" s="31" t="str">
        <f>VLOOKUP(A1077,File!$A:$K,10,FALSE)</f>
        <v>In-Training</v>
      </c>
      <c r="L1077" s="31" t="s">
        <v>4</v>
      </c>
      <c r="M1077" t="str">
        <f>VLOOKUP(A1077,Response!$A:$M,7,)</f>
        <v>PG (Paying Guest)</v>
      </c>
      <c r="N1077" t="str">
        <f>VLOOKUP(A1077,Response!$A:$M,8,)</f>
        <v>Silver Star Ladies PG, Egattur</v>
      </c>
      <c r="O1077" s="4">
        <f>VLOOKUP(A1077,Response!$A:$M,10,)</f>
        <v>3</v>
      </c>
      <c r="P1077" t="str">
        <f>VLOOKUP(A1077,Response!$A:$M,12,)</f>
        <v>No</v>
      </c>
      <c r="Q1077" t="str">
        <f>VLOOKUP(A1077,Response!$A:$M,11,)</f>
        <v>Siruseri</v>
      </c>
      <c r="R1077" t="s">
        <v>19</v>
      </c>
      <c r="S1077" s="39" t="s">
        <v>37</v>
      </c>
    </row>
    <row r="1078" spans="1:19">
      <c r="A1078" s="3">
        <v>2532900</v>
      </c>
      <c r="B1078" t="str">
        <f>VLOOKUP(A1078,File!$A:$J,2,FALSE)</f>
        <v>A Madhuri</v>
      </c>
      <c r="C1078" s="29">
        <f>VLOOKUP(A1078,File!$A:$J,5,FALSE)</f>
        <v>46259</v>
      </c>
      <c r="D1078" s="29" t="str">
        <f>VLOOKUP(A1078,File!$A:$J,3,FALSE)</f>
        <v>Female</v>
      </c>
      <c r="E1078" s="29" t="str">
        <f>VLOOKUP(A1078,File!$A:$J,4,FALSE)</f>
        <v>FTE</v>
      </c>
      <c r="F1078" s="29" t="str">
        <f>VLOOKUP(A1078,File!$A:$J,6,FALSE)</f>
        <v>Chennai</v>
      </c>
      <c r="G1078" s="29" t="str">
        <f>VLOOKUP(A1078,File!$A:$J,7,FALSE)</f>
        <v>CIS26MBG007</v>
      </c>
      <c r="H1078" s="29" t="str">
        <f>VLOOKUP(A1078,File!$A:$J,8,FALSE)</f>
        <v>Lawrance M</v>
      </c>
      <c r="I1078" s="31">
        <f>VLOOKUP(A1078,File!$A:$J,9,FALSE)</f>
        <v>46367</v>
      </c>
      <c r="J1078" s="31" t="str">
        <f>VLOOKUP(A1078,File!$A:$K,11,FALSE)</f>
        <v>Dec 2026</v>
      </c>
      <c r="K1078" s="31" t="str">
        <f>VLOOKUP(A1078,File!$A:$K,10,FALSE)</f>
        <v>In-Training</v>
      </c>
      <c r="L1078" s="31" t="s">
        <v>4</v>
      </c>
      <c r="M1078" t="str">
        <f>VLOOKUP(A1078,Response!$A:$M,7,)</f>
        <v>PG (Paying Guest)</v>
      </c>
      <c r="N1078" t="str">
        <f>VLOOKUP(A1078,Response!$A:$M,8,)</f>
        <v>Silver Star Ladies PG, Egattur.</v>
      </c>
      <c r="O1078" s="4">
        <f>VLOOKUP(A1078,Response!$A:$M,10,)</f>
        <v>1</v>
      </c>
      <c r="P1078" t="str">
        <f>VLOOKUP(A1078,Response!$A:$M,12,)</f>
        <v>No</v>
      </c>
      <c r="Q1078" t="str">
        <f>VLOOKUP(A1078,Response!$A:$M,11,)</f>
        <v>Siruseri</v>
      </c>
      <c r="R1078" t="s">
        <v>19</v>
      </c>
      <c r="S1078" s="39" t="s">
        <v>37</v>
      </c>
    </row>
    <row r="1079" spans="1:19">
      <c r="A1079" s="3">
        <v>2516885</v>
      </c>
      <c r="B1079" t="str">
        <f>VLOOKUP(A1079,File!$A:$J,2,FALSE)</f>
        <v>Chalamala Manjula Devi</v>
      </c>
      <c r="C1079" s="29">
        <f>VLOOKUP(A1079,File!$A:$J,5,FALSE)</f>
        <v>46191</v>
      </c>
      <c r="D1079" s="29" t="str">
        <f>VLOOKUP(A1079,File!$A:$J,3,FALSE)</f>
        <v>Female</v>
      </c>
      <c r="E1079" s="29" t="str">
        <f>VLOOKUP(A1079,File!$A:$J,4,FALSE)</f>
        <v>FTE</v>
      </c>
      <c r="F1079" s="29" t="str">
        <f>VLOOKUP(A1079,File!$A:$J,6,FALSE)</f>
        <v>Chennai</v>
      </c>
      <c r="G1079" s="29" t="str">
        <f>VLOOKUP(A1079,File!$A:$J,7,FALSE)</f>
        <v>CIS26NET003</v>
      </c>
      <c r="H1079" s="29" t="str">
        <f>VLOOKUP(A1079,File!$A:$J,8,FALSE)</f>
        <v>Uma Venkatachalam</v>
      </c>
      <c r="I1079" s="31">
        <f>VLOOKUP(A1079,File!$A:$J,9,FALSE)</f>
        <v>46269</v>
      </c>
      <c r="J1079" s="31" t="str">
        <f>VLOOKUP(A1079,File!$A:$K,11,FALSE)</f>
        <v>Sep 2026</v>
      </c>
      <c r="K1079" s="31" t="str">
        <f>VLOOKUP(A1079,File!$A:$K,10,FALSE)</f>
        <v>In-Training</v>
      </c>
      <c r="L1079" s="31" t="s">
        <v>4</v>
      </c>
      <c r="M1079" t="str">
        <f>VLOOKUP(A1079,Response!$A:$M,7,)</f>
        <v>PG (Paying Guest)</v>
      </c>
      <c r="N1079" t="str">
        <f>VLOOKUP(A1079,Response!$A:$M,8,)</f>
        <v>Silver star luxurious ladies pg</v>
      </c>
      <c r="O1079" s="4">
        <f>VLOOKUP(A1079,Response!$A:$M,10,)</f>
        <v>2</v>
      </c>
      <c r="P1079" t="str">
        <f>VLOOKUP(A1079,Response!$A:$M,12,)</f>
        <v>No</v>
      </c>
      <c r="Q1079" t="str">
        <f>VLOOKUP(A1079,Response!$A:$M,11,)</f>
        <v>Egattur</v>
      </c>
      <c r="R1079" t="s">
        <v>19</v>
      </c>
      <c r="S1079" s="39" t="s">
        <v>37</v>
      </c>
    </row>
    <row r="1080" spans="1:19">
      <c r="A1080" s="3">
        <v>2519589</v>
      </c>
      <c r="B1080" t="str">
        <f>VLOOKUP(A1080,File!$A:$J,2,FALSE)</f>
        <v>Tejaswini B R</v>
      </c>
      <c r="C1080" s="29">
        <f>VLOOKUP(A1080,File!$A:$J,5,FALSE)</f>
        <v>46205</v>
      </c>
      <c r="D1080" s="29" t="str">
        <f>VLOOKUP(A1080,File!$A:$J,3,FALSE)</f>
        <v>Female</v>
      </c>
      <c r="E1080" s="29" t="str">
        <f>VLOOKUP(A1080,File!$A:$J,4,FALSE)</f>
        <v>FTE</v>
      </c>
      <c r="F1080" s="29" t="str">
        <f>VLOOKUP(A1080,File!$A:$J,6,FALSE)</f>
        <v>Chennai</v>
      </c>
      <c r="G1080" s="29" t="str">
        <f>VLOOKUP(A1080,File!$A:$J,7,FALSE)</f>
        <v>CIS26UNIX003</v>
      </c>
      <c r="H1080" s="29" t="str">
        <f>VLOOKUP(A1080,File!$A:$J,8,FALSE)</f>
        <v>Haritha P</v>
      </c>
      <c r="I1080" s="31">
        <f>VLOOKUP(A1080,File!$A:$J,9,FALSE)</f>
        <v>46289</v>
      </c>
      <c r="J1080" s="31" t="str">
        <f>VLOOKUP(A1080,File!$A:$K,11,FALSE)</f>
        <v>Sep 2026</v>
      </c>
      <c r="K1080" s="31" t="str">
        <f>VLOOKUP(A1080,File!$A:$K,10,FALSE)</f>
        <v>In-Training</v>
      </c>
      <c r="L1080" s="31" t="s">
        <v>4</v>
      </c>
      <c r="M1080" t="str">
        <f>VLOOKUP(A1080,Response!$A:$M,7,)</f>
        <v>PG (Paying Guest)</v>
      </c>
      <c r="N1080" t="str">
        <f>VLOOKUP(A1080,Response!$A:$M,8,)</f>
        <v>Silver Star Luxury ladies hostal PG</v>
      </c>
      <c r="O1080" s="4">
        <f>VLOOKUP(A1080,Response!$A:$M,10,)</f>
        <v>1</v>
      </c>
      <c r="P1080" t="str">
        <f>VLOOKUP(A1080,Response!$A:$M,12,)</f>
        <v>No</v>
      </c>
      <c r="Q1080" t="str">
        <f>VLOOKUP(A1080,Response!$A:$M,11,)</f>
        <v>Egattur</v>
      </c>
      <c r="R1080" t="s">
        <v>19</v>
      </c>
      <c r="S1080" s="39" t="s">
        <v>37</v>
      </c>
    </row>
    <row r="1081" spans="1:19">
      <c r="A1081" s="3">
        <v>2521251</v>
      </c>
      <c r="B1081" t="str">
        <f>VLOOKUP(A1081,File!$A:$J,2,FALSE)</f>
        <v>Challa Uma</v>
      </c>
      <c r="C1081" s="29">
        <f>VLOOKUP(A1081,File!$A:$J,5,FALSE)</f>
        <v>46210</v>
      </c>
      <c r="D1081" s="29" t="str">
        <f>VLOOKUP(A1081,File!$A:$J,3,FALSE)</f>
        <v>Female</v>
      </c>
      <c r="E1081" s="29" t="str">
        <f>VLOOKUP(A1081,File!$A:$J,4,FALSE)</f>
        <v>FTE</v>
      </c>
      <c r="F1081" s="29" t="str">
        <f>VLOOKUP(A1081,File!$A:$J,6,FALSE)</f>
        <v>Chennai</v>
      </c>
      <c r="G1081" s="29" t="str">
        <f>VLOOKUP(A1081,File!$A:$J,7,FALSE)</f>
        <v>CIS26SN001</v>
      </c>
      <c r="H1081" s="29" t="str">
        <f>VLOOKUP(A1081,File!$A:$J,8,FALSE)</f>
        <v>Ashiya Begam S</v>
      </c>
      <c r="I1081" s="31">
        <f>VLOOKUP(A1081,File!$A:$J,9,FALSE)</f>
        <v>46281</v>
      </c>
      <c r="J1081" s="31" t="str">
        <f>VLOOKUP(A1081,File!$A:$K,11,FALSE)</f>
        <v>Sep 2026</v>
      </c>
      <c r="K1081" s="31" t="str">
        <f>VLOOKUP(A1081,File!$A:$K,10,FALSE)</f>
        <v>In-Training</v>
      </c>
      <c r="L1081" s="31" t="s">
        <v>4</v>
      </c>
      <c r="M1081" t="str">
        <f>VLOOKUP(A1081,Response!$A:$M,7,)</f>
        <v>PG (Paying Guest)</v>
      </c>
      <c r="N1081" t="str">
        <f>VLOOKUP(A1081,Response!$A:$M,8,)</f>
        <v>Silver Star Stay ladies PG, Egattur</v>
      </c>
      <c r="O1081" s="4">
        <f>VLOOKUP(A1081,Response!$A:$M,10,)</f>
        <v>2</v>
      </c>
      <c r="P1081" t="str">
        <f>VLOOKUP(A1081,Response!$A:$M,12,)</f>
        <v>No</v>
      </c>
      <c r="Q1081" t="str">
        <f>VLOOKUP(A1081,Response!$A:$M,11,)</f>
        <v>Egattur</v>
      </c>
      <c r="R1081" t="s">
        <v>19</v>
      </c>
      <c r="S1081" s="39" t="s">
        <v>37</v>
      </c>
    </row>
    <row r="1082" spans="1:19">
      <c r="A1082" s="3">
        <v>2518811</v>
      </c>
      <c r="B1082" t="str">
        <f>VLOOKUP(A1082,File!$A:$J,2,FALSE)</f>
        <v>Nivetha T</v>
      </c>
      <c r="C1082" s="29">
        <f>VLOOKUP(A1082,File!$A:$J,5,FALSE)</f>
        <v>46203</v>
      </c>
      <c r="D1082" s="29" t="str">
        <f>VLOOKUP(A1082,File!$A:$J,3,FALSE)</f>
        <v>Female</v>
      </c>
      <c r="E1082" s="29" t="str">
        <f>VLOOKUP(A1082,File!$A:$J,4,FALSE)</f>
        <v>FTE</v>
      </c>
      <c r="F1082" s="29" t="str">
        <f>VLOOKUP(A1082,File!$A:$J,6,FALSE)</f>
        <v>Chennai</v>
      </c>
      <c r="G1082" s="29" t="str">
        <f>VLOOKUP(A1082,File!$A:$J,7,FALSE)</f>
        <v>CIS26SB001</v>
      </c>
      <c r="H1082" s="29" t="str">
        <f>VLOOKUP(A1082,File!$A:$J,8,FALSE)</f>
        <v>Kishorekumar P</v>
      </c>
      <c r="I1082" s="31">
        <f>VLOOKUP(A1082,File!$A:$J,9,FALSE)</f>
        <v>46309</v>
      </c>
      <c r="J1082" s="31" t="str">
        <f>VLOOKUP(A1082,File!$A:$K,11,FALSE)</f>
        <v>Oct 2026</v>
      </c>
      <c r="K1082" s="31" t="str">
        <f>VLOOKUP(A1082,File!$A:$K,10,FALSE)</f>
        <v>In-Training</v>
      </c>
      <c r="L1082" s="31" t="s">
        <v>4</v>
      </c>
      <c r="M1082" t="str">
        <f>VLOOKUP(A1082,Response!$A:$M,7,)</f>
        <v>PG (Paying Guest)</v>
      </c>
      <c r="N1082" t="str">
        <f>VLOOKUP(A1082,Response!$A:$M,8,)</f>
        <v xml:space="preserve">Silver Star Stay Ladies PG, Egattur </v>
      </c>
      <c r="O1082" s="4">
        <f>VLOOKUP(A1082,Response!$A:$M,10,)</f>
        <v>4</v>
      </c>
      <c r="P1082" t="str">
        <f>VLOOKUP(A1082,Response!$A:$M,12,)</f>
        <v>Yes</v>
      </c>
      <c r="Q1082" t="str">
        <f>VLOOKUP(A1082,Response!$A:$M,11,)</f>
        <v>Siruseri</v>
      </c>
      <c r="R1082" t="s">
        <v>19</v>
      </c>
      <c r="S1082" s="39" t="s">
        <v>37</v>
      </c>
    </row>
    <row r="1083" spans="1:19">
      <c r="A1083" s="3">
        <v>2531279</v>
      </c>
      <c r="B1083" t="str">
        <f>VLOOKUP(A1083,File!$A:$J,2,FALSE)</f>
        <v>Usha Nandhini G</v>
      </c>
      <c r="C1083" s="29">
        <f>VLOOKUP(A1083,File!$A:$J,5,FALSE)</f>
        <v>46252</v>
      </c>
      <c r="D1083" s="29" t="str">
        <f>VLOOKUP(A1083,File!$A:$J,3,FALSE)</f>
        <v>Female</v>
      </c>
      <c r="E1083" s="29" t="str">
        <f>VLOOKUP(A1083,File!$A:$J,4,FALSE)</f>
        <v>FTE</v>
      </c>
      <c r="F1083" s="29" t="str">
        <f>VLOOKUP(A1083,File!$A:$J,6,FALSE)</f>
        <v>Chennai</v>
      </c>
      <c r="G1083" s="29" t="str">
        <f>VLOOKUP(A1083,File!$A:$J,7,FALSE)</f>
        <v>EPS26SAP033</v>
      </c>
      <c r="H1083" s="29" t="str">
        <f>VLOOKUP(A1083,File!$A:$J,8,FALSE)</f>
        <v>Ajith Ganesan</v>
      </c>
      <c r="I1083" s="31">
        <f>VLOOKUP(A1083,File!$A:$J,9,FALSE)</f>
        <v>46330</v>
      </c>
      <c r="J1083" s="31" t="str">
        <f>VLOOKUP(A1083,File!$A:$K,11,FALSE)</f>
        <v>Nov 2026</v>
      </c>
      <c r="K1083" s="31" t="str">
        <f>VLOOKUP(A1083,File!$A:$K,10,FALSE)</f>
        <v>In-Training</v>
      </c>
      <c r="L1083" s="31" t="s">
        <v>4</v>
      </c>
      <c r="M1083" t="str">
        <f>VLOOKUP(A1083,Response!$A:$M,7,)</f>
        <v>PG (Paying Guest)</v>
      </c>
      <c r="N1083" t="str">
        <f>VLOOKUP(A1083,Response!$A:$M,8,)</f>
        <v>Silver star stay luxury womens PG</v>
      </c>
      <c r="O1083" s="4">
        <f>VLOOKUP(A1083,Response!$A:$M,10,)</f>
        <v>2</v>
      </c>
      <c r="P1083" t="str">
        <f>VLOOKUP(A1083,Response!$A:$M,12,)</f>
        <v>Yes</v>
      </c>
      <c r="Q1083" t="str">
        <f>VLOOKUP(A1083,Response!$A:$M,11,)</f>
        <v>Egattur</v>
      </c>
      <c r="R1083" t="s">
        <v>19</v>
      </c>
      <c r="S1083" s="39" t="s">
        <v>37</v>
      </c>
    </row>
    <row r="1084" spans="1:19">
      <c r="A1084" s="3">
        <v>2529556</v>
      </c>
      <c r="B1084" t="str">
        <f>VLOOKUP(A1084,File!$A:$J,2,FALSE)</f>
        <v>Posa Venkatesh</v>
      </c>
      <c r="C1084" s="29">
        <f>VLOOKUP(A1084,File!$A:$J,5,FALSE)</f>
        <v>46245</v>
      </c>
      <c r="D1084" s="29" t="str">
        <f>VLOOKUP(A1084,File!$A:$J,3,FALSE)</f>
        <v>Male</v>
      </c>
      <c r="E1084" s="29" t="str">
        <f>VLOOKUP(A1084,File!$A:$J,4,FALSE)</f>
        <v>FTE</v>
      </c>
      <c r="F1084" s="29" t="str">
        <f>VLOOKUP(A1084,File!$A:$J,6,FALSE)</f>
        <v>Chennai</v>
      </c>
      <c r="G1084" s="29" t="str">
        <f>VLOOKUP(A1084,File!$A:$J,7,FALSE)</f>
        <v>CIS26MCPT021</v>
      </c>
      <c r="H1084" s="29" t="str">
        <f>VLOOKUP(A1084,File!$A:$J,8,FALSE)</f>
        <v>Uma Venkatachalam</v>
      </c>
      <c r="I1084" s="31">
        <f>VLOOKUP(A1084,File!$A:$J,9,FALSE)</f>
        <v>46364</v>
      </c>
      <c r="J1084" s="31" t="str">
        <f>VLOOKUP(A1084,File!$A:$K,11,FALSE)</f>
        <v>Dec 2026</v>
      </c>
      <c r="K1084" s="31" t="str">
        <f>VLOOKUP(A1084,File!$A:$K,10,FALSE)</f>
        <v>In-Training</v>
      </c>
      <c r="L1084" s="31" t="s">
        <v>4</v>
      </c>
      <c r="M1084" t="str">
        <f>VLOOKUP(A1084,Response!$A:$M,7,)</f>
        <v>PG (Paying Guest)</v>
      </c>
      <c r="N1084" t="str">
        <f>VLOOKUP(A1084,Response!$A:$M,8,)</f>
        <v xml:space="preserve">SIPCOT  NEAR SS SHIVA SAI GENTS PG </v>
      </c>
      <c r="O1084" s="4">
        <f>VLOOKUP(A1084,Response!$A:$M,10,)</f>
        <v>2</v>
      </c>
      <c r="P1084" t="str">
        <f>VLOOKUP(A1084,Response!$A:$M,12,)</f>
        <v>No</v>
      </c>
      <c r="Q1084" t="str">
        <f>VLOOKUP(A1084,Response!$A:$M,11,)</f>
        <v>Siruseri</v>
      </c>
      <c r="R1084" t="s">
        <v>19</v>
      </c>
      <c r="S1084" s="39" t="s">
        <v>37</v>
      </c>
    </row>
    <row r="1085" spans="1:19">
      <c r="A1085" s="3">
        <v>2511242</v>
      </c>
      <c r="B1085" t="str">
        <f>VLOOKUP(A1085,File!$A:$J,2,FALSE)</f>
        <v>Bharath Kallimani</v>
      </c>
      <c r="C1085" s="29">
        <f>VLOOKUP(A1085,File!$A:$J,5,FALSE)</f>
        <v>46163</v>
      </c>
      <c r="D1085" s="29" t="str">
        <f>VLOOKUP(A1085,File!$A:$J,3,FALSE)</f>
        <v>Male</v>
      </c>
      <c r="E1085" s="29" t="str">
        <f>VLOOKUP(A1085,File!$A:$J,4,FALSE)</f>
        <v>FTE</v>
      </c>
      <c r="F1085" s="29" t="str">
        <f>VLOOKUP(A1085,File!$A:$J,6,FALSE)</f>
        <v>Chennai</v>
      </c>
      <c r="G1085" s="29" t="str">
        <f>VLOOKUP(A1085,File!$A:$J,7,FALSE)</f>
        <v>CIS26MCPT010</v>
      </c>
      <c r="H1085" s="29" t="str">
        <f>VLOOKUP(A1085,File!$A:$J,8,FALSE)</f>
        <v>Mohamed Harish</v>
      </c>
      <c r="I1085" s="31">
        <f>VLOOKUP(A1085,File!$A:$J,9,FALSE)</f>
        <v>46275</v>
      </c>
      <c r="J1085" s="31" t="str">
        <f>VLOOKUP(A1085,File!$A:$K,11,FALSE)</f>
        <v>Sep 2026</v>
      </c>
      <c r="K1085" s="31" t="str">
        <f>VLOOKUP(A1085,File!$A:$K,10,FALSE)</f>
        <v>In-Training</v>
      </c>
      <c r="L1085" s="31" t="s">
        <v>4</v>
      </c>
      <c r="M1085" t="str">
        <f>VLOOKUP(A1085,Response!$A:$M,7,)</f>
        <v>PG (Paying Guest)</v>
      </c>
      <c r="N1085" t="str">
        <f>VLOOKUP(A1085,Response!$A:$M,8,)</f>
        <v>Sipcot IT Park Siruseri, Chennai</v>
      </c>
      <c r="O1085" s="4">
        <f>VLOOKUP(A1085,Response!$A:$M,10,)</f>
        <v>1</v>
      </c>
      <c r="P1085" t="str">
        <f>VLOOKUP(A1085,Response!$A:$M,12,)</f>
        <v>No</v>
      </c>
      <c r="Q1085" t="str">
        <f>VLOOKUP(A1085,Response!$A:$M,11,)</f>
        <v>Egattur</v>
      </c>
      <c r="R1085" t="s">
        <v>19</v>
      </c>
      <c r="S1085" s="39" t="s">
        <v>37</v>
      </c>
    </row>
    <row r="1086" spans="1:19">
      <c r="A1086" s="3">
        <v>2522848</v>
      </c>
      <c r="B1086" t="str">
        <f>VLOOKUP(A1086,File!$A:$J,2,FALSE)</f>
        <v>Shashank S</v>
      </c>
      <c r="C1086" s="29">
        <f>VLOOKUP(A1086,File!$A:$J,5,FALSE)</f>
        <v>46217</v>
      </c>
      <c r="D1086" s="29" t="str">
        <f>VLOOKUP(A1086,File!$A:$J,3,FALSE)</f>
        <v>Male</v>
      </c>
      <c r="E1086" s="29" t="str">
        <f>VLOOKUP(A1086,File!$A:$J,4,FALSE)</f>
        <v>FTE</v>
      </c>
      <c r="F1086" s="29" t="str">
        <f>VLOOKUP(A1086,File!$A:$J,6,FALSE)</f>
        <v>Chennai</v>
      </c>
      <c r="G1086" s="29" t="str">
        <f>VLOOKUP(A1086,File!$A:$J,7,FALSE)</f>
        <v>CIS26MCPT017</v>
      </c>
      <c r="H1086" s="29" t="str">
        <f>VLOOKUP(A1086,File!$A:$J,8,FALSE)</f>
        <v>Haritha P</v>
      </c>
      <c r="I1086" s="31">
        <f>VLOOKUP(A1086,File!$A:$J,9,FALSE)</f>
        <v>46335</v>
      </c>
      <c r="J1086" s="31" t="str">
        <f>VLOOKUP(A1086,File!$A:$K,11,FALSE)</f>
        <v>Nov 2026</v>
      </c>
      <c r="K1086" s="31" t="str">
        <f>VLOOKUP(A1086,File!$A:$K,10,FALSE)</f>
        <v>In-Training</v>
      </c>
      <c r="L1086" s="31" t="s">
        <v>4</v>
      </c>
      <c r="M1086" t="str">
        <f>VLOOKUP(A1086,Response!$A:$M,7,)</f>
        <v>PG (Paying Guest)</v>
      </c>
      <c r="N1086" t="str">
        <f>VLOOKUP(A1086,Response!$A:$M,8,)</f>
        <v>SIPCOT IT Park, 114 Razia House, City Park Layout Siruseri, Sipcot, Kalipattur, Egattur, Tamil Nadu 603103</v>
      </c>
      <c r="O1086" s="4">
        <f>VLOOKUP(A1086,Response!$A:$M,10,)</f>
        <v>2</v>
      </c>
      <c r="P1086" t="str">
        <f>VLOOKUP(A1086,Response!$A:$M,12,)</f>
        <v>Yes</v>
      </c>
      <c r="Q1086" t="str">
        <f>VLOOKUP(A1086,Response!$A:$M,11,)</f>
        <v>Siruseri</v>
      </c>
      <c r="R1086" t="s">
        <v>19</v>
      </c>
      <c r="S1086" s="39" t="s">
        <v>37</v>
      </c>
    </row>
    <row r="1087" spans="1:19">
      <c r="A1087" s="3">
        <v>2507191</v>
      </c>
      <c r="B1087" t="str">
        <f>VLOOKUP(A1087,File!$A:$J,2,FALSE)</f>
        <v>Beeraka Sanjana</v>
      </c>
      <c r="C1087" s="29">
        <f>VLOOKUP(A1087,File!$A:$J,5,FALSE)</f>
        <v>46142</v>
      </c>
      <c r="D1087" s="29" t="str">
        <f>VLOOKUP(A1087,File!$A:$J,3,FALSE)</f>
        <v>Female</v>
      </c>
      <c r="E1087" s="29" t="str">
        <f>VLOOKUP(A1087,File!$A:$J,4,FALSE)</f>
        <v>FTE</v>
      </c>
      <c r="F1087" s="29" t="str">
        <f>VLOOKUP(A1087,File!$A:$J,6,FALSE)</f>
        <v>Chennai</v>
      </c>
      <c r="G1087" s="29" t="str">
        <f>VLOOKUP(A1087,File!$A:$J,7,FALSE)</f>
        <v>ISG26JSAAT002</v>
      </c>
      <c r="H1087" s="29" t="str">
        <f>VLOOKUP(A1087,File!$A:$J,8,FALSE)</f>
        <v>Ashiya Begam S</v>
      </c>
      <c r="I1087" s="31">
        <f>VLOOKUP(A1087,File!$A:$J,9,FALSE)</f>
        <v>46272</v>
      </c>
      <c r="J1087" s="31" t="str">
        <f>VLOOKUP(A1087,File!$A:$K,11,FALSE)</f>
        <v>Sep 2026</v>
      </c>
      <c r="K1087" s="31" t="str">
        <f>VLOOKUP(A1087,File!$A:$K,10,FALSE)</f>
        <v>In-Training-Remedial</v>
      </c>
      <c r="L1087" s="31" t="s">
        <v>4</v>
      </c>
      <c r="M1087" t="str">
        <f>VLOOKUP(A1087,Response!$A:$M,7,)</f>
        <v>PG (Paying Guest)</v>
      </c>
      <c r="N1087" t="str">
        <f>VLOOKUP(A1087,Response!$A:$M,8,)</f>
        <v>Siri Ladies PG, Sholinganallur</v>
      </c>
      <c r="O1087" s="4">
        <f>VLOOKUP(A1087,Response!$A:$M,10,)</f>
        <v>1</v>
      </c>
      <c r="P1087" t="str">
        <f>VLOOKUP(A1087,Response!$A:$M,12,)</f>
        <v>Yes</v>
      </c>
      <c r="Q1087" t="str">
        <f>VLOOKUP(A1087,Response!$A:$M,11,)</f>
        <v>Sholinganallur</v>
      </c>
      <c r="R1087" t="s">
        <v>17</v>
      </c>
      <c r="S1087" s="39" t="s">
        <v>37</v>
      </c>
    </row>
    <row r="1088" spans="1:19">
      <c r="A1088" s="3">
        <v>2529500</v>
      </c>
      <c r="B1088" t="str">
        <f>VLOOKUP(A1088,File!$A:$J,2,FALSE)</f>
        <v>Mylavarapu Chaitanya Sandeep</v>
      </c>
      <c r="C1088" s="29">
        <f>VLOOKUP(A1088,File!$A:$J,5,FALSE)</f>
        <v>46245</v>
      </c>
      <c r="D1088" s="29" t="str">
        <f>VLOOKUP(A1088,File!$A:$J,3,FALSE)</f>
        <v>Male</v>
      </c>
      <c r="E1088" s="29" t="str">
        <f>VLOOKUP(A1088,File!$A:$J,4,FALSE)</f>
        <v>FTE</v>
      </c>
      <c r="F1088" s="29" t="str">
        <f>VLOOKUP(A1088,File!$A:$J,6,FALSE)</f>
        <v>Chennai</v>
      </c>
      <c r="G1088" s="29" t="str">
        <f>VLOOKUP(A1088,File!$A:$J,7,FALSE)</f>
        <v>CIS26MCPT026</v>
      </c>
      <c r="H1088" s="29" t="str">
        <f>VLOOKUP(A1088,File!$A:$J,8,FALSE)</f>
        <v>Mohamed Harish</v>
      </c>
      <c r="I1088" s="31">
        <f>VLOOKUP(A1088,File!$A:$J,9,FALSE)</f>
        <v>46364</v>
      </c>
      <c r="J1088" s="31" t="str">
        <f>VLOOKUP(A1088,File!$A:$K,11,FALSE)</f>
        <v>Dec 2026</v>
      </c>
      <c r="K1088" s="31" t="str">
        <f>VLOOKUP(A1088,File!$A:$K,10,FALSE)</f>
        <v>In-Training</v>
      </c>
      <c r="L1088" s="31" t="s">
        <v>4</v>
      </c>
      <c r="M1088" t="str">
        <f>VLOOKUP(A1088,Response!$A:$M,7,)</f>
        <v>PG (Paying Guest)</v>
      </c>
      <c r="N1088" t="str">
        <f>VLOOKUP(A1088,Response!$A:$M,8,)</f>
        <v xml:space="preserve">siruseri </v>
      </c>
      <c r="O1088" s="4">
        <f>VLOOKUP(A1088,Response!$A:$M,10,)</f>
        <v>3</v>
      </c>
      <c r="P1088" t="str">
        <f>VLOOKUP(A1088,Response!$A:$M,12,)</f>
        <v>No</v>
      </c>
      <c r="Q1088" t="str">
        <f>VLOOKUP(A1088,Response!$A:$M,11,)</f>
        <v>Siruseri</v>
      </c>
      <c r="R1088" t="s">
        <v>19</v>
      </c>
      <c r="S1088" s="39" t="s">
        <v>37</v>
      </c>
    </row>
    <row r="1089" spans="1:19">
      <c r="A1089" s="3">
        <v>2531842</v>
      </c>
      <c r="B1089" t="str">
        <f>VLOOKUP(A1089,File!$A:$J,2,FALSE)</f>
        <v>Shreyas Vardhaman Chougule</v>
      </c>
      <c r="C1089" s="29">
        <f>VLOOKUP(A1089,File!$A:$J,5,FALSE)</f>
        <v>46254</v>
      </c>
      <c r="D1089" s="29" t="str">
        <f>VLOOKUP(A1089,File!$A:$J,3,FALSE)</f>
        <v>Male</v>
      </c>
      <c r="E1089" s="29" t="str">
        <f>VLOOKUP(A1089,File!$A:$J,4,FALSE)</f>
        <v>FTE</v>
      </c>
      <c r="F1089" s="29" t="str">
        <f>VLOOKUP(A1089,File!$A:$J,6,FALSE)</f>
        <v>Chennai</v>
      </c>
      <c r="G1089" s="29" t="str">
        <f>VLOOKUP(A1089,File!$A:$J,7,FALSE)</f>
        <v>CS26CS011</v>
      </c>
      <c r="H1089" s="29" t="str">
        <f>VLOOKUP(A1089,File!$A:$J,8,FALSE)</f>
        <v>Kishorekumar P</v>
      </c>
      <c r="I1089" s="31">
        <f>VLOOKUP(A1089,File!$A:$J,9,FALSE)</f>
        <v>46343</v>
      </c>
      <c r="J1089" s="31" t="str">
        <f>VLOOKUP(A1089,File!$A:$K,11,FALSE)</f>
        <v>Nov 2026</v>
      </c>
      <c r="K1089" s="31" t="str">
        <f>VLOOKUP(A1089,File!$A:$K,10,FALSE)</f>
        <v>In-Training</v>
      </c>
      <c r="L1089" s="31" t="s">
        <v>4</v>
      </c>
      <c r="M1089" t="str">
        <f>VLOOKUP(A1089,Response!$A:$M,7,)</f>
        <v>PG (Paying Guest)</v>
      </c>
      <c r="N1089" t="str">
        <f>VLOOKUP(A1089,Response!$A:$M,8,)</f>
        <v>Siva Sai gents PG</v>
      </c>
      <c r="O1089" s="4">
        <f>VLOOKUP(A1089,Response!$A:$M,10,)</f>
        <v>1</v>
      </c>
      <c r="P1089" t="str">
        <f>VLOOKUP(A1089,Response!$A:$M,12,)</f>
        <v>No</v>
      </c>
      <c r="Q1089" t="str">
        <f>VLOOKUP(A1089,Response!$A:$M,11,)</f>
        <v>Egattur</v>
      </c>
      <c r="R1089" t="s">
        <v>19</v>
      </c>
      <c r="S1089" s="39" t="s">
        <v>37</v>
      </c>
    </row>
    <row r="1090" spans="1:19">
      <c r="A1090" s="3">
        <v>2492921</v>
      </c>
      <c r="B1090" t="str">
        <f>VLOOKUP(A1090,File!$A:$J,2,FALSE)</f>
        <v>Saradhi Dellesh Karthik</v>
      </c>
      <c r="C1090" s="29">
        <f>VLOOKUP(A1090,File!$A:$J,5,FALSE)</f>
        <v>46254</v>
      </c>
      <c r="D1090" s="29" t="str">
        <f>VLOOKUP(A1090,File!$A:$J,3,FALSE)</f>
        <v>Male</v>
      </c>
      <c r="E1090" s="29" t="str">
        <f>VLOOKUP(A1090,File!$A:$J,4,FALSE)</f>
        <v>CSD</v>
      </c>
      <c r="F1090" s="29" t="str">
        <f>VLOOKUP(A1090,File!$A:$J,6,FALSE)</f>
        <v>Chennai</v>
      </c>
      <c r="G1090" s="29" t="str">
        <f>VLOOKUP(A1090,File!$A:$J,7,FALSE)</f>
        <v>INTFE26FE001</v>
      </c>
      <c r="H1090" s="29" t="str">
        <f>VLOOKUP(A1090,File!$A:$J,8,FALSE)</f>
        <v>Grace Esther S</v>
      </c>
      <c r="I1090" s="31">
        <f>VLOOKUP(A1090,File!$A:$J,9,FALSE)</f>
        <v>46310</v>
      </c>
      <c r="J1090" s="31" t="str">
        <f>VLOOKUP(A1090,File!$A:$K,11,FALSE)</f>
        <v>Oct 2026</v>
      </c>
      <c r="K1090" s="31" t="str">
        <f>VLOOKUP(A1090,File!$A:$K,10,FALSE)</f>
        <v>In-Training</v>
      </c>
      <c r="L1090" s="31" t="s">
        <v>4</v>
      </c>
      <c r="M1090" t="str">
        <f>VLOOKUP(A1090,Response!$A:$M,7,)</f>
        <v>PG (Paying Guest)</v>
      </c>
      <c r="N1090" t="str">
        <f>VLOOKUP(A1090,Response!$A:$M,8,)</f>
        <v>Siva sai gents pg</v>
      </c>
      <c r="O1090" s="4">
        <f>VLOOKUP(A1090,Response!$A:$M,10,)</f>
        <v>3</v>
      </c>
      <c r="P1090" t="str">
        <f>VLOOKUP(A1090,Response!$A:$M,12,)</f>
        <v>No</v>
      </c>
      <c r="Q1090" t="str">
        <f>VLOOKUP(A1090,Response!$A:$M,11,)</f>
        <v>Siruseri</v>
      </c>
      <c r="R1090" t="s">
        <v>19</v>
      </c>
      <c r="S1090" s="39" t="s">
        <v>37</v>
      </c>
    </row>
    <row r="1091" spans="1:19">
      <c r="A1091" s="3">
        <v>2519628</v>
      </c>
      <c r="B1091" t="str">
        <f>VLOOKUP(A1091,File!$A:$J,2,FALSE)</f>
        <v>Shanmukha Reddy Mettu</v>
      </c>
      <c r="C1091" s="29">
        <f>VLOOKUP(A1091,File!$A:$J,5,FALSE)</f>
        <v>46205</v>
      </c>
      <c r="D1091" s="29" t="str">
        <f>VLOOKUP(A1091,File!$A:$J,3,FALSE)</f>
        <v>Male</v>
      </c>
      <c r="E1091" s="29" t="str">
        <f>VLOOKUP(A1091,File!$A:$J,4,FALSE)</f>
        <v>FTE</v>
      </c>
      <c r="F1091" s="29" t="str">
        <f>VLOOKUP(A1091,File!$A:$J,6,FALSE)</f>
        <v>Chennai</v>
      </c>
      <c r="G1091" s="29" t="str">
        <f>VLOOKUP(A1091,File!$A:$J,7,FALSE)</f>
        <v>CIS26UNIX003</v>
      </c>
      <c r="H1091" s="29" t="str">
        <f>VLOOKUP(A1091,File!$A:$J,8,FALSE)</f>
        <v>Haritha P</v>
      </c>
      <c r="I1091" s="31">
        <f>VLOOKUP(A1091,File!$A:$J,9,FALSE)</f>
        <v>46289</v>
      </c>
      <c r="J1091" s="31" t="str">
        <f>VLOOKUP(A1091,File!$A:$K,11,FALSE)</f>
        <v>Sep 2026</v>
      </c>
      <c r="K1091" s="31" t="str">
        <f>VLOOKUP(A1091,File!$A:$K,10,FALSE)</f>
        <v>In-Training</v>
      </c>
      <c r="L1091" s="31" t="s">
        <v>4</v>
      </c>
      <c r="M1091" t="str">
        <f>VLOOKUP(A1091,Response!$A:$M,7,)</f>
        <v>PG (Paying Guest)</v>
      </c>
      <c r="N1091" t="str">
        <f>VLOOKUP(A1091,Response!$A:$M,8,)</f>
        <v>Siva Sai Gents PG</v>
      </c>
      <c r="O1091" s="4">
        <f>VLOOKUP(A1091,Response!$A:$M,10,)</f>
        <v>3</v>
      </c>
      <c r="P1091" t="str">
        <f>VLOOKUP(A1091,Response!$A:$M,12,)</f>
        <v>Yes</v>
      </c>
      <c r="Q1091" t="str">
        <f>VLOOKUP(A1091,Response!$A:$M,11,)</f>
        <v>Egattur</v>
      </c>
      <c r="R1091" t="s">
        <v>19</v>
      </c>
      <c r="S1091" s="39" t="s">
        <v>37</v>
      </c>
    </row>
    <row r="1092" spans="1:19">
      <c r="A1092" s="3">
        <v>2531812</v>
      </c>
      <c r="B1092" t="str">
        <f>VLOOKUP(A1092,File!$A:$J,2,FALSE)</f>
        <v>Harsha Sri Karthikeya Thumuluri</v>
      </c>
      <c r="C1092" s="29">
        <f>VLOOKUP(A1092,File!$A:$J,5,FALSE)</f>
        <v>46254</v>
      </c>
      <c r="D1092" s="29" t="str">
        <f>VLOOKUP(A1092,File!$A:$J,3,FALSE)</f>
        <v>Male</v>
      </c>
      <c r="E1092" s="29" t="str">
        <f>VLOOKUP(A1092,File!$A:$J,4,FALSE)</f>
        <v>Intern</v>
      </c>
      <c r="F1092" s="29" t="str">
        <f>VLOOKUP(A1092,File!$A:$J,6,FALSE)</f>
        <v>Chennai</v>
      </c>
      <c r="G1092" s="29" t="str">
        <f>VLOOKUP(A1092,File!$A:$J,7,FALSE)</f>
        <v>INTFE26FE001</v>
      </c>
      <c r="H1092" s="29" t="str">
        <f>VLOOKUP(A1092,File!$A:$J,8,FALSE)</f>
        <v>Grace Esther S</v>
      </c>
      <c r="I1092" s="31">
        <f>VLOOKUP(A1092,File!$A:$J,9,FALSE)</f>
        <v>46310</v>
      </c>
      <c r="J1092" s="31" t="str">
        <f>VLOOKUP(A1092,File!$A:$K,11,FALSE)</f>
        <v>Oct 2026</v>
      </c>
      <c r="K1092" s="31" t="str">
        <f>VLOOKUP(A1092,File!$A:$K,10,FALSE)</f>
        <v>In-Training</v>
      </c>
      <c r="L1092" s="31" t="s">
        <v>4</v>
      </c>
      <c r="M1092" t="str">
        <f>VLOOKUP(A1092,Response!$A:$M,7,)</f>
        <v>PG (Paying Guest)</v>
      </c>
      <c r="N1092" t="str">
        <f>VLOOKUP(A1092,Response!$A:$M,8,)</f>
        <v>Siva sai gents pg</v>
      </c>
      <c r="O1092" s="4">
        <f>VLOOKUP(A1092,Response!$A:$M,10,)</f>
        <v>3</v>
      </c>
      <c r="P1092" t="str">
        <f>VLOOKUP(A1092,Response!$A:$M,12,)</f>
        <v>No</v>
      </c>
      <c r="Q1092" t="str">
        <f>VLOOKUP(A1092,Response!$A:$M,11,)</f>
        <v>Siruseri</v>
      </c>
      <c r="R1092" t="s">
        <v>19</v>
      </c>
      <c r="S1092" s="39" t="s">
        <v>37</v>
      </c>
    </row>
    <row r="1093" spans="1:19">
      <c r="A1093" s="3">
        <v>2521031</v>
      </c>
      <c r="B1093" t="str">
        <f>VLOOKUP(A1093,File!$A:$J,2,FALSE)</f>
        <v>Ungarala Jaswik Kumar</v>
      </c>
      <c r="C1093" s="29">
        <f>VLOOKUP(A1093,File!$A:$J,5,FALSE)</f>
        <v>46210</v>
      </c>
      <c r="D1093" s="29" t="str">
        <f>VLOOKUP(A1093,File!$A:$J,3,FALSE)</f>
        <v>Male</v>
      </c>
      <c r="E1093" s="29" t="str">
        <f>VLOOKUP(A1093,File!$A:$J,4,FALSE)</f>
        <v>FTE</v>
      </c>
      <c r="F1093" s="29" t="str">
        <f>VLOOKUP(A1093,File!$A:$J,6,FALSE)</f>
        <v>Chennai</v>
      </c>
      <c r="G1093" s="29" t="str">
        <f>VLOOKUP(A1093,File!$A:$J,7,FALSE)</f>
        <v>SNBG26SN004</v>
      </c>
      <c r="H1093" s="29" t="str">
        <f>VLOOKUP(A1093,File!$A:$J,8,FALSE)</f>
        <v>Kishorekumar P</v>
      </c>
      <c r="I1093" s="31">
        <f>VLOOKUP(A1093,File!$A:$J,9,FALSE)</f>
        <v>46303</v>
      </c>
      <c r="J1093" s="31" t="str">
        <f>VLOOKUP(A1093,File!$A:$K,11,FALSE)</f>
        <v>Oct 2026</v>
      </c>
      <c r="K1093" s="31" t="str">
        <f>VLOOKUP(A1093,File!$A:$K,10,FALSE)</f>
        <v>In-Training</v>
      </c>
      <c r="L1093" s="31" t="s">
        <v>4</v>
      </c>
      <c r="M1093" t="str">
        <f>VLOOKUP(A1093,Response!$A:$M,7,)</f>
        <v>PG (Paying Guest)</v>
      </c>
      <c r="N1093" t="str">
        <f>VLOOKUP(A1093,Response!$A:$M,8,)</f>
        <v>siva sai gents pg</v>
      </c>
      <c r="O1093" s="4">
        <f>VLOOKUP(A1093,Response!$A:$M,10,)</f>
        <v>4</v>
      </c>
      <c r="P1093" t="str">
        <f>VLOOKUP(A1093,Response!$A:$M,12,)</f>
        <v>No</v>
      </c>
      <c r="Q1093" t="str">
        <f>VLOOKUP(A1093,Response!$A:$M,11,)</f>
        <v>Siruseri</v>
      </c>
      <c r="R1093" t="s">
        <v>19</v>
      </c>
      <c r="S1093" s="39" t="s">
        <v>37</v>
      </c>
    </row>
    <row r="1094" spans="1:19">
      <c r="A1094" s="3">
        <v>2521061</v>
      </c>
      <c r="B1094" t="str">
        <f>VLOOKUP(A1094,File!$A:$J,2,FALSE)</f>
        <v>Kandabhattu S S V K Satish Raju</v>
      </c>
      <c r="C1094" s="29">
        <f>VLOOKUP(A1094,File!$A:$J,5,FALSE)</f>
        <v>46210</v>
      </c>
      <c r="D1094" s="29" t="str">
        <f>VLOOKUP(A1094,File!$A:$J,3,FALSE)</f>
        <v>Male</v>
      </c>
      <c r="E1094" s="29" t="str">
        <f>VLOOKUP(A1094,File!$A:$J,4,FALSE)</f>
        <v>FTE</v>
      </c>
      <c r="F1094" s="29" t="str">
        <f>VLOOKUP(A1094,File!$A:$J,6,FALSE)</f>
        <v>Chennai</v>
      </c>
      <c r="G1094" s="29" t="str">
        <f>VLOOKUP(A1094,File!$A:$J,7,FALSE)</f>
        <v>SNBG26SN004</v>
      </c>
      <c r="H1094" s="29" t="str">
        <f>VLOOKUP(A1094,File!$A:$J,8,FALSE)</f>
        <v>Kishorekumar P</v>
      </c>
      <c r="I1094" s="31">
        <f>VLOOKUP(A1094,File!$A:$J,9,FALSE)</f>
        <v>46303</v>
      </c>
      <c r="J1094" s="31" t="str">
        <f>VLOOKUP(A1094,File!$A:$K,11,FALSE)</f>
        <v>Oct 2026</v>
      </c>
      <c r="K1094" s="31" t="str">
        <f>VLOOKUP(A1094,File!$A:$K,10,FALSE)</f>
        <v>In-Training</v>
      </c>
      <c r="L1094" s="31" t="s">
        <v>4</v>
      </c>
      <c r="M1094" t="str">
        <f>VLOOKUP(A1094,Response!$A:$M,7,)</f>
        <v>PG (Paying Guest)</v>
      </c>
      <c r="N1094" t="str">
        <f>VLOOKUP(A1094,Response!$A:$M,8,)</f>
        <v>Siva Sai GENTS PG</v>
      </c>
      <c r="O1094" s="4" t="str">
        <f>VLOOKUP(A1094,Response!$A:$M,10,)</f>
        <v>GF</v>
      </c>
      <c r="P1094" t="str">
        <f>VLOOKUP(A1094,Response!$A:$M,12,)</f>
        <v>Yes</v>
      </c>
      <c r="Q1094" t="str">
        <f>VLOOKUP(A1094,Response!$A:$M,11,)</f>
        <v>Siruseri</v>
      </c>
      <c r="R1094" t="s">
        <v>19</v>
      </c>
      <c r="S1094" s="39" t="s">
        <v>37</v>
      </c>
    </row>
    <row r="1095" spans="1:19">
      <c r="A1095" s="3">
        <v>2521117</v>
      </c>
      <c r="B1095" t="str">
        <f>VLOOKUP(A1095,File!$A:$J,2,FALSE)</f>
        <v>Polisetti Durga Varaprasad</v>
      </c>
      <c r="C1095" s="29">
        <f>VLOOKUP(A1095,File!$A:$J,5,FALSE)</f>
        <v>46210</v>
      </c>
      <c r="D1095" s="29" t="str">
        <f>VLOOKUP(A1095,File!$A:$J,3,FALSE)</f>
        <v>Male</v>
      </c>
      <c r="E1095" s="29" t="str">
        <f>VLOOKUP(A1095,File!$A:$J,4,FALSE)</f>
        <v>FTE</v>
      </c>
      <c r="F1095" s="29" t="str">
        <f>VLOOKUP(A1095,File!$A:$J,6,FALSE)</f>
        <v>Chennai</v>
      </c>
      <c r="G1095" s="29" t="str">
        <f>VLOOKUP(A1095,File!$A:$J,7,FALSE)</f>
        <v>SNBG26SN004</v>
      </c>
      <c r="H1095" s="29" t="str">
        <f>VLOOKUP(A1095,File!$A:$J,8,FALSE)</f>
        <v>Kishorekumar P</v>
      </c>
      <c r="I1095" s="31">
        <f>VLOOKUP(A1095,File!$A:$J,9,FALSE)</f>
        <v>46303</v>
      </c>
      <c r="J1095" s="31" t="str">
        <f>VLOOKUP(A1095,File!$A:$K,11,FALSE)</f>
        <v>Oct 2026</v>
      </c>
      <c r="K1095" s="31" t="str">
        <f>VLOOKUP(A1095,File!$A:$K,10,FALSE)</f>
        <v>In-Training</v>
      </c>
      <c r="L1095" s="31" t="s">
        <v>4</v>
      </c>
      <c r="M1095" t="str">
        <f>VLOOKUP(A1095,Response!$A:$M,7,)</f>
        <v>PG (Paying Guest)</v>
      </c>
      <c r="N1095" t="str">
        <f>VLOOKUP(A1095,Response!$A:$M,8,)</f>
        <v>Siva Sai Gents PG</v>
      </c>
      <c r="O1095" s="4" t="str">
        <f>VLOOKUP(A1095,Response!$A:$M,10,)</f>
        <v>GF</v>
      </c>
      <c r="P1095" t="str">
        <f>VLOOKUP(A1095,Response!$A:$M,12,)</f>
        <v>No</v>
      </c>
      <c r="Q1095" t="str">
        <f>VLOOKUP(A1095,Response!$A:$M,11,)</f>
        <v>Siruseri</v>
      </c>
      <c r="R1095" t="s">
        <v>19</v>
      </c>
      <c r="S1095" s="39" t="s">
        <v>37</v>
      </c>
    </row>
    <row r="1096" spans="1:19">
      <c r="A1096" s="3">
        <v>2531412</v>
      </c>
      <c r="B1096" t="str">
        <f>VLOOKUP(A1096,File!$A:$J,2,FALSE)</f>
        <v>Shreenidhi Hariprasad</v>
      </c>
      <c r="C1096" s="29">
        <f>VLOOKUP(A1096,File!$A:$J,5,FALSE)</f>
        <v>46252</v>
      </c>
      <c r="D1096" s="29" t="str">
        <f>VLOOKUP(A1096,File!$A:$J,3,FALSE)</f>
        <v>Male</v>
      </c>
      <c r="E1096" s="29" t="str">
        <f>VLOOKUP(A1096,File!$A:$J,4,FALSE)</f>
        <v>FTE</v>
      </c>
      <c r="F1096" s="29" t="str">
        <f>VLOOKUP(A1096,File!$A:$J,6,FALSE)</f>
        <v>Chennai</v>
      </c>
      <c r="G1096" s="29" t="str">
        <f>VLOOKUP(A1096,File!$A:$J,7,FALSE)</f>
        <v>EPS26SAP037</v>
      </c>
      <c r="H1096" s="29" t="str">
        <f>VLOOKUP(A1096,File!$A:$J,8,FALSE)</f>
        <v>Gayathri Ramachandran</v>
      </c>
      <c r="I1096" s="31">
        <f>VLOOKUP(A1096,File!$A:$J,9,FALSE)</f>
        <v>46330</v>
      </c>
      <c r="J1096" s="31" t="str">
        <f>VLOOKUP(A1096,File!$A:$K,11,FALSE)</f>
        <v>Nov 2026</v>
      </c>
      <c r="K1096" s="31" t="str">
        <f>VLOOKUP(A1096,File!$A:$K,10,FALSE)</f>
        <v>In-Training</v>
      </c>
      <c r="L1096" s="31" t="s">
        <v>4</v>
      </c>
      <c r="M1096" t="str">
        <f>VLOOKUP(A1096,Response!$A:$M,7,)</f>
        <v>PG (Paying Guest)</v>
      </c>
      <c r="N1096" t="str">
        <f>VLOOKUP(A1096,Response!$A:$M,8,)</f>
        <v xml:space="preserve">Siva Sai Gents PG </v>
      </c>
      <c r="O1096" s="4">
        <f>VLOOKUP(A1096,Response!$A:$M,10,)</f>
        <v>4</v>
      </c>
      <c r="P1096" t="str">
        <f>VLOOKUP(A1096,Response!$A:$M,12,)</f>
        <v>No</v>
      </c>
      <c r="Q1096" t="str">
        <f>VLOOKUP(A1096,Response!$A:$M,11,)</f>
        <v>Siruseri</v>
      </c>
      <c r="R1096" t="s">
        <v>19</v>
      </c>
      <c r="S1096" s="39" t="s">
        <v>37</v>
      </c>
    </row>
    <row r="1097" spans="1:19">
      <c r="A1097" s="3">
        <v>2521082</v>
      </c>
      <c r="B1097" t="str">
        <f>VLOOKUP(A1097,File!$A:$J,2,FALSE)</f>
        <v>Kunchanapalli Arjun Kumar</v>
      </c>
      <c r="C1097" s="29">
        <f>VLOOKUP(A1097,File!$A:$J,5,FALSE)</f>
        <v>46210</v>
      </c>
      <c r="D1097" s="29" t="str">
        <f>VLOOKUP(A1097,File!$A:$J,3,FALSE)</f>
        <v>Male</v>
      </c>
      <c r="E1097" s="29" t="str">
        <f>VLOOKUP(A1097,File!$A:$J,4,FALSE)</f>
        <v>FTE</v>
      </c>
      <c r="F1097" s="29" t="str">
        <f>VLOOKUP(A1097,File!$A:$J,6,FALSE)</f>
        <v>Chennai</v>
      </c>
      <c r="G1097" s="29" t="str">
        <f>VLOOKUP(A1097,File!$A:$J,7,FALSE)</f>
        <v>SNBG26SN004</v>
      </c>
      <c r="H1097" s="29" t="str">
        <f>VLOOKUP(A1097,File!$A:$J,8,FALSE)</f>
        <v>Kishorekumar P</v>
      </c>
      <c r="I1097" s="31">
        <f>VLOOKUP(A1097,File!$A:$J,9,FALSE)</f>
        <v>46281</v>
      </c>
      <c r="J1097" s="31" t="str">
        <f>VLOOKUP(A1097,File!$A:$K,11,FALSE)</f>
        <v>Sep 2026</v>
      </c>
      <c r="K1097" s="31" t="str">
        <f>VLOOKUP(A1097,File!$A:$K,10,FALSE)</f>
        <v>In-Training</v>
      </c>
      <c r="L1097" s="31" t="s">
        <v>4</v>
      </c>
      <c r="M1097" t="str">
        <f>VLOOKUP(A1097,Response!$A:$M,7,)</f>
        <v>PG (Paying Guest)</v>
      </c>
      <c r="N1097" t="str">
        <f>VLOOKUP(A1097,Response!$A:$M,8,)</f>
        <v xml:space="preserve">Siva Sai gents PG </v>
      </c>
      <c r="O1097" s="4" t="str">
        <f>VLOOKUP(A1097,Response!$A:$M,10,)</f>
        <v>GF</v>
      </c>
      <c r="P1097" t="str">
        <f>VLOOKUP(A1097,Response!$A:$M,12,)</f>
        <v>No</v>
      </c>
      <c r="Q1097" t="str">
        <f>VLOOKUP(A1097,Response!$A:$M,11,)</f>
        <v>Siruseri</v>
      </c>
      <c r="R1097" t="s">
        <v>19</v>
      </c>
      <c r="S1097" s="39" t="s">
        <v>37</v>
      </c>
    </row>
    <row r="1098" spans="1:19">
      <c r="A1098" s="3">
        <v>2521045</v>
      </c>
      <c r="B1098" t="str">
        <f>VLOOKUP(A1098,File!$A:$J,2,FALSE)</f>
        <v>Erukala Dinesh Karthik</v>
      </c>
      <c r="C1098" s="29">
        <f>VLOOKUP(A1098,File!$A:$J,5,FALSE)</f>
        <v>46210</v>
      </c>
      <c r="D1098" s="29" t="str">
        <f>VLOOKUP(A1098,File!$A:$J,3,FALSE)</f>
        <v>Male</v>
      </c>
      <c r="E1098" s="29" t="str">
        <f>VLOOKUP(A1098,File!$A:$J,4,FALSE)</f>
        <v>FTE</v>
      </c>
      <c r="F1098" s="29" t="str">
        <f>VLOOKUP(A1098,File!$A:$J,6,FALSE)</f>
        <v>Chennai</v>
      </c>
      <c r="G1098" s="29" t="str">
        <f>VLOOKUP(A1098,File!$A:$J,7,FALSE)</f>
        <v>SNBG26SN002</v>
      </c>
      <c r="H1098" s="29" t="str">
        <f>VLOOKUP(A1098,File!$A:$J,8,FALSE)</f>
        <v>Lawrance M</v>
      </c>
      <c r="I1098" s="31">
        <f>VLOOKUP(A1098,File!$A:$J,9,FALSE)</f>
        <v>46303</v>
      </c>
      <c r="J1098" s="31" t="str">
        <f>VLOOKUP(A1098,File!$A:$K,11,FALSE)</f>
        <v>Oct 2026</v>
      </c>
      <c r="K1098" s="31" t="str">
        <f>VLOOKUP(A1098,File!$A:$K,10,FALSE)</f>
        <v>In-Training</v>
      </c>
      <c r="L1098" s="31" t="s">
        <v>4</v>
      </c>
      <c r="M1098" t="str">
        <f>VLOOKUP(A1098,Response!$A:$M,7,)</f>
        <v>PG (Paying Guest)</v>
      </c>
      <c r="N1098" t="str">
        <f>VLOOKUP(A1098,Response!$A:$M,8,)</f>
        <v>Siva Sai Gents PG - SIPCOT</v>
      </c>
      <c r="O1098" s="4">
        <f>VLOOKUP(A1098,Response!$A:$M,10,)</f>
        <v>3</v>
      </c>
      <c r="P1098" t="str">
        <f>VLOOKUP(A1098,Response!$A:$M,12,)</f>
        <v>No</v>
      </c>
      <c r="Q1098" t="str">
        <f>VLOOKUP(A1098,Response!$A:$M,11,)</f>
        <v>Siruseri</v>
      </c>
      <c r="R1098" t="s">
        <v>19</v>
      </c>
      <c r="S1098" s="39" t="s">
        <v>37</v>
      </c>
    </row>
    <row r="1099" spans="1:19">
      <c r="A1099" s="3">
        <v>2531444</v>
      </c>
      <c r="B1099" t="str">
        <f>VLOOKUP(A1099,File!$A:$J,2,FALSE)</f>
        <v>Talluri Ajay Kumar</v>
      </c>
      <c r="C1099" s="29">
        <f>VLOOKUP(A1099,File!$A:$J,5,FALSE)</f>
        <v>46252</v>
      </c>
      <c r="D1099" s="29" t="str">
        <f>VLOOKUP(A1099,File!$A:$J,3,FALSE)</f>
        <v>Male</v>
      </c>
      <c r="E1099" s="29" t="str">
        <f>VLOOKUP(A1099,File!$A:$J,4,FALSE)</f>
        <v>FTE</v>
      </c>
      <c r="F1099" s="29" t="str">
        <f>VLOOKUP(A1099,File!$A:$J,6,FALSE)</f>
        <v>Chennai</v>
      </c>
      <c r="G1099" s="29" t="str">
        <f>VLOOKUP(A1099,File!$A:$J,7,FALSE)</f>
        <v>CIS26AT007</v>
      </c>
      <c r="H1099" s="29" t="str">
        <f>VLOOKUP(A1099,File!$A:$J,8,FALSE)</f>
        <v>Uma Venkatachalam</v>
      </c>
      <c r="I1099" s="31">
        <f>VLOOKUP(A1099,File!$A:$J,9,FALSE)</f>
        <v>46365</v>
      </c>
      <c r="J1099" s="31" t="str">
        <f>VLOOKUP(A1099,File!$A:$K,11,FALSE)</f>
        <v>Dec 2026</v>
      </c>
      <c r="K1099" s="31" t="str">
        <f>VLOOKUP(A1099,File!$A:$K,10,FALSE)</f>
        <v>In-Training</v>
      </c>
      <c r="L1099" s="31" t="s">
        <v>4</v>
      </c>
      <c r="M1099" t="str">
        <f>VLOOKUP(A1099,Response!$A:$M,7,)</f>
        <v>PG (Paying Guest)</v>
      </c>
      <c r="N1099" t="str">
        <f>VLOOKUP(A1099,Response!$A:$M,8,)</f>
        <v>Siva Sai Gents Pg , Sipcot</v>
      </c>
      <c r="O1099" s="4">
        <f>VLOOKUP(A1099,Response!$A:$M,10,)</f>
        <v>1</v>
      </c>
      <c r="P1099" t="str">
        <f>VLOOKUP(A1099,Response!$A:$M,12,)</f>
        <v>No</v>
      </c>
      <c r="Q1099" t="str">
        <f>VLOOKUP(A1099,Response!$A:$M,11,)</f>
        <v>Egattur</v>
      </c>
      <c r="R1099" t="s">
        <v>19</v>
      </c>
      <c r="S1099" s="39" t="s">
        <v>37</v>
      </c>
    </row>
    <row r="1100" spans="1:19">
      <c r="A1100" s="3">
        <v>2519698</v>
      </c>
      <c r="B1100" t="str">
        <f>VLOOKUP(A1100,File!$A:$J,2,FALSE)</f>
        <v>Akash S Patil</v>
      </c>
      <c r="C1100" s="29">
        <f>VLOOKUP(A1100,File!$A:$J,5,FALSE)</f>
        <v>46205</v>
      </c>
      <c r="D1100" s="29" t="str">
        <f>VLOOKUP(A1100,File!$A:$J,3,FALSE)</f>
        <v>Male</v>
      </c>
      <c r="E1100" s="29" t="str">
        <f>VLOOKUP(A1100,File!$A:$J,4,FALSE)</f>
        <v>FTE</v>
      </c>
      <c r="F1100" s="29" t="str">
        <f>VLOOKUP(A1100,File!$A:$J,6,FALSE)</f>
        <v>Chennai</v>
      </c>
      <c r="G1100" s="29" t="str">
        <f>VLOOKUP(A1100,File!$A:$J,7,FALSE)</f>
        <v>CIS26UNIX003</v>
      </c>
      <c r="H1100" s="29" t="str">
        <f>VLOOKUP(A1100,File!$A:$J,8,FALSE)</f>
        <v>Haritha P</v>
      </c>
      <c r="I1100" s="31">
        <f>VLOOKUP(A1100,File!$A:$J,9,FALSE)</f>
        <v>46289</v>
      </c>
      <c r="J1100" s="31" t="str">
        <f>VLOOKUP(A1100,File!$A:$K,11,FALSE)</f>
        <v>Sep 2026</v>
      </c>
      <c r="K1100" s="31" t="str">
        <f>VLOOKUP(A1100,File!$A:$K,10,FALSE)</f>
        <v>In-Training</v>
      </c>
      <c r="L1100" s="31" t="s">
        <v>4</v>
      </c>
      <c r="M1100" t="str">
        <f>VLOOKUP(A1100,Response!$A:$M,7,)</f>
        <v>PG (Paying Guest)</v>
      </c>
      <c r="N1100" t="str">
        <f>VLOOKUP(A1100,Response!$A:$M,8,)</f>
        <v>Siva sai gents pg , sipcot</v>
      </c>
      <c r="O1100" s="4">
        <f>VLOOKUP(A1100,Response!$A:$M,10,)</f>
        <v>3</v>
      </c>
      <c r="P1100" t="str">
        <f>VLOOKUP(A1100,Response!$A:$M,12,)</f>
        <v>No</v>
      </c>
      <c r="Q1100" t="str">
        <f>VLOOKUP(A1100,Response!$A:$M,11,)</f>
        <v>Egattur</v>
      </c>
      <c r="R1100" t="s">
        <v>19</v>
      </c>
      <c r="S1100" s="39" t="s">
        <v>37</v>
      </c>
    </row>
    <row r="1101" spans="1:19">
      <c r="A1101" s="3">
        <v>2521115</v>
      </c>
      <c r="B1101" t="str">
        <f>VLOOKUP(A1101,File!$A:$J,2,FALSE)</f>
        <v>Shamlik Sarfaraz</v>
      </c>
      <c r="C1101" s="29">
        <f>VLOOKUP(A1101,File!$A:$J,5,FALSE)</f>
        <v>46210</v>
      </c>
      <c r="D1101" s="29" t="str">
        <f>VLOOKUP(A1101,File!$A:$J,3,FALSE)</f>
        <v>Male</v>
      </c>
      <c r="E1101" s="29" t="str">
        <f>VLOOKUP(A1101,File!$A:$J,4,FALSE)</f>
        <v>FTE</v>
      </c>
      <c r="F1101" s="29" t="str">
        <f>VLOOKUP(A1101,File!$A:$J,6,FALSE)</f>
        <v>Chennai</v>
      </c>
      <c r="G1101" s="29" t="str">
        <f>VLOOKUP(A1101,File!$A:$J,7,FALSE)</f>
        <v>SNBG26SN002</v>
      </c>
      <c r="H1101" s="29" t="str">
        <f>VLOOKUP(A1101,File!$A:$J,8,FALSE)</f>
        <v>Lawrance M</v>
      </c>
      <c r="I1101" s="31">
        <f>VLOOKUP(A1101,File!$A:$J,9,FALSE)</f>
        <v>46281</v>
      </c>
      <c r="J1101" s="31" t="str">
        <f>VLOOKUP(A1101,File!$A:$K,11,FALSE)</f>
        <v>Sep 2026</v>
      </c>
      <c r="K1101" s="31" t="str">
        <f>VLOOKUP(A1101,File!$A:$K,10,FALSE)</f>
        <v>In-Training</v>
      </c>
      <c r="L1101" s="31" t="s">
        <v>4</v>
      </c>
      <c r="M1101" t="str">
        <f>VLOOKUP(A1101,Response!$A:$M,7,)</f>
        <v>PG (Paying Guest)</v>
      </c>
      <c r="N1101" t="str">
        <f>VLOOKUP(A1101,Response!$A:$M,8,)</f>
        <v>Siva Sai Gents PG ,Egattur</v>
      </c>
      <c r="O1101" s="4">
        <f>VLOOKUP(A1101,Response!$A:$M,10,)</f>
        <v>3</v>
      </c>
      <c r="P1101" t="str">
        <f>VLOOKUP(A1101,Response!$A:$M,12,)</f>
        <v>No</v>
      </c>
      <c r="Q1101" t="str">
        <f>VLOOKUP(A1101,Response!$A:$M,11,)</f>
        <v>Siruseri</v>
      </c>
      <c r="R1101" t="s">
        <v>19</v>
      </c>
      <c r="S1101" s="39" t="s">
        <v>37</v>
      </c>
    </row>
    <row r="1102" spans="1:19">
      <c r="A1102" s="3">
        <v>2529794</v>
      </c>
      <c r="B1102" t="str">
        <f>VLOOKUP(A1102,File!$A:$J,2,FALSE)</f>
        <v>Harshavardhan Murala</v>
      </c>
      <c r="C1102" s="29">
        <f>VLOOKUP(A1102,File!$A:$J,5,FALSE)</f>
        <v>46245</v>
      </c>
      <c r="D1102" s="29" t="str">
        <f>VLOOKUP(A1102,File!$A:$J,3,FALSE)</f>
        <v>Male</v>
      </c>
      <c r="E1102" s="29" t="str">
        <f>VLOOKUP(A1102,File!$A:$J,4,FALSE)</f>
        <v>FTE</v>
      </c>
      <c r="F1102" s="29" t="str">
        <f>VLOOKUP(A1102,File!$A:$J,6,FALSE)</f>
        <v>Chennai</v>
      </c>
      <c r="G1102" s="29" t="str">
        <f>VLOOKUP(A1102,File!$A:$J,7,FALSE)</f>
        <v>CIS26MCPT023</v>
      </c>
      <c r="H1102" s="29" t="str">
        <f>VLOOKUP(A1102,File!$A:$J,8,FALSE)</f>
        <v>Kishorekumar P</v>
      </c>
      <c r="I1102" s="31">
        <f>VLOOKUP(A1102,File!$A:$J,9,FALSE)</f>
        <v>46359</v>
      </c>
      <c r="J1102" s="31" t="str">
        <f>VLOOKUP(A1102,File!$A:$K,11,FALSE)</f>
        <v>Dec 2026</v>
      </c>
      <c r="K1102" s="31" t="str">
        <f>VLOOKUP(A1102,File!$A:$K,10,FALSE)</f>
        <v>In-Training</v>
      </c>
      <c r="L1102" s="31" t="s">
        <v>4</v>
      </c>
      <c r="M1102" t="str">
        <f>VLOOKUP(A1102,Response!$A:$M,7,)</f>
        <v>PG (Paying Guest)</v>
      </c>
      <c r="N1102" t="str">
        <f>VLOOKUP(A1102,Response!$A:$M,8,)</f>
        <v>SIVA SAI GENTS PG- EGATTUR</v>
      </c>
      <c r="O1102" s="4">
        <f>VLOOKUP(A1102,Response!$A:$M,10,)</f>
        <v>2</v>
      </c>
      <c r="P1102" t="str">
        <f>VLOOKUP(A1102,Response!$A:$M,12,)</f>
        <v>No</v>
      </c>
      <c r="Q1102" t="str">
        <f>VLOOKUP(A1102,Response!$A:$M,11,)</f>
        <v>Egattur</v>
      </c>
      <c r="R1102" t="s">
        <v>19</v>
      </c>
      <c r="S1102" s="39" t="s">
        <v>37</v>
      </c>
    </row>
    <row r="1103" spans="1:19">
      <c r="A1103" s="3">
        <v>2532987</v>
      </c>
      <c r="B1103" t="str">
        <f>VLOOKUP(A1103,File!$A:$J,2,FALSE)</f>
        <v>Gogineni Charan Sai</v>
      </c>
      <c r="C1103" s="29">
        <f>VLOOKUP(A1103,File!$A:$J,5,FALSE)</f>
        <v>46259</v>
      </c>
      <c r="D1103" s="29" t="str">
        <f>VLOOKUP(A1103,File!$A:$J,3,FALSE)</f>
        <v>Male</v>
      </c>
      <c r="E1103" s="29" t="str">
        <f>VLOOKUP(A1103,File!$A:$J,4,FALSE)</f>
        <v>FTE</v>
      </c>
      <c r="F1103" s="29" t="str">
        <f>VLOOKUP(A1103,File!$A:$J,6,FALSE)</f>
        <v>Chennai</v>
      </c>
      <c r="G1103" s="29" t="str">
        <f>VLOOKUP(A1103,File!$A:$J,7,FALSE)</f>
        <v>CIS26MBG004</v>
      </c>
      <c r="H1103" s="29" t="str">
        <f>VLOOKUP(A1103,File!$A:$J,8,FALSE)</f>
        <v>Kishorekumar P</v>
      </c>
      <c r="I1103" s="31">
        <f>VLOOKUP(A1103,File!$A:$J,9,FALSE)</f>
        <v>46367</v>
      </c>
      <c r="J1103" s="31" t="str">
        <f>VLOOKUP(A1103,File!$A:$K,11,FALSE)</f>
        <v>Dec 2026</v>
      </c>
      <c r="K1103" s="31" t="str">
        <f>VLOOKUP(A1103,File!$A:$K,10,FALSE)</f>
        <v>In-Training</v>
      </c>
      <c r="L1103" s="31" t="s">
        <v>4</v>
      </c>
      <c r="M1103" t="str">
        <f>VLOOKUP(A1103,Response!$A:$M,7,)</f>
        <v>PG (Paying Guest)</v>
      </c>
      <c r="N1103" t="str">
        <f>VLOOKUP(A1103,Response!$A:$M,8,)</f>
        <v>siva sai gents pg -eggattur</v>
      </c>
      <c r="O1103" s="4">
        <f>VLOOKUP(A1103,Response!$A:$M,10,)</f>
        <v>3</v>
      </c>
      <c r="P1103" t="str">
        <f>VLOOKUP(A1103,Response!$A:$M,12,)</f>
        <v>No</v>
      </c>
      <c r="Q1103" t="str">
        <f>VLOOKUP(A1103,Response!$A:$M,11,)</f>
        <v>Egattur</v>
      </c>
      <c r="R1103" t="s">
        <v>19</v>
      </c>
      <c r="S1103" s="39" t="s">
        <v>37</v>
      </c>
    </row>
    <row r="1104" spans="1:19">
      <c r="A1104" s="3">
        <v>2529712</v>
      </c>
      <c r="B1104" t="str">
        <f>VLOOKUP(A1104,File!$A:$J,2,FALSE)</f>
        <v>Sanikommu Akshith Reddy</v>
      </c>
      <c r="C1104" s="29">
        <f>VLOOKUP(A1104,File!$A:$J,5,FALSE)</f>
        <v>46245</v>
      </c>
      <c r="D1104" s="29" t="str">
        <f>VLOOKUP(A1104,File!$A:$J,3,FALSE)</f>
        <v>Male</v>
      </c>
      <c r="E1104" s="29" t="str">
        <f>VLOOKUP(A1104,File!$A:$J,4,FALSE)</f>
        <v>FTE</v>
      </c>
      <c r="F1104" s="29" t="str">
        <f>VLOOKUP(A1104,File!$A:$J,6,FALSE)</f>
        <v>Chennai</v>
      </c>
      <c r="G1104" s="29" t="str">
        <f>VLOOKUP(A1104,File!$A:$J,7,FALSE)</f>
        <v>CIS26AZ001</v>
      </c>
      <c r="H1104" s="29" t="str">
        <f>VLOOKUP(A1104,File!$A:$J,8,FALSE)</f>
        <v>Ashiya Begam S</v>
      </c>
      <c r="I1104" s="31">
        <f>VLOOKUP(A1104,File!$A:$J,9,FALSE)</f>
        <v>46335</v>
      </c>
      <c r="J1104" s="31" t="str">
        <f>VLOOKUP(A1104,File!$A:$K,11,FALSE)</f>
        <v>Nov 2026</v>
      </c>
      <c r="K1104" s="31" t="str">
        <f>VLOOKUP(A1104,File!$A:$K,10,FALSE)</f>
        <v>In-Training</v>
      </c>
      <c r="L1104" s="31" t="s">
        <v>4</v>
      </c>
      <c r="M1104" t="str">
        <f>VLOOKUP(A1104,Response!$A:$M,7,)</f>
        <v>PG (Paying Guest)</v>
      </c>
      <c r="N1104" t="str">
        <f>VLOOKUP(A1104,Response!$A:$M,8,)</f>
        <v>Siva Sai gents pg hostel, Siruseri</v>
      </c>
      <c r="O1104" s="4">
        <f>VLOOKUP(A1104,Response!$A:$M,10,)</f>
        <v>3</v>
      </c>
      <c r="P1104" t="str">
        <f>VLOOKUP(A1104,Response!$A:$M,12,)</f>
        <v>No</v>
      </c>
      <c r="Q1104" t="str">
        <f>VLOOKUP(A1104,Response!$A:$M,11,)</f>
        <v>Siruseri</v>
      </c>
      <c r="R1104" t="s">
        <v>19</v>
      </c>
      <c r="S1104" s="39" t="s">
        <v>37</v>
      </c>
    </row>
    <row r="1105" spans="1:19">
      <c r="A1105" s="3">
        <v>2529613</v>
      </c>
      <c r="B1105" t="str">
        <f>VLOOKUP(A1105,File!$A:$J,2,FALSE)</f>
        <v>Khasim Basha Shaik</v>
      </c>
      <c r="C1105" s="29">
        <f>VLOOKUP(A1105,File!$A:$J,5,FALSE)</f>
        <v>46245</v>
      </c>
      <c r="D1105" s="29" t="str">
        <f>VLOOKUP(A1105,File!$A:$J,3,FALSE)</f>
        <v>Male</v>
      </c>
      <c r="E1105" s="29" t="str">
        <f>VLOOKUP(A1105,File!$A:$J,4,FALSE)</f>
        <v>FTE</v>
      </c>
      <c r="F1105" s="29" t="str">
        <f>VLOOKUP(A1105,File!$A:$J,6,FALSE)</f>
        <v>Chennai</v>
      </c>
      <c r="G1105" s="29" t="str">
        <f>VLOOKUP(A1105,File!$A:$J,7,FALSE)</f>
        <v>CIS26MCPT024</v>
      </c>
      <c r="H1105" s="29" t="str">
        <f>VLOOKUP(A1105,File!$A:$J,8,FALSE)</f>
        <v>Ashiya Begam S</v>
      </c>
      <c r="I1105" s="31">
        <f>VLOOKUP(A1105,File!$A:$J,9,FALSE)</f>
        <v>46359</v>
      </c>
      <c r="J1105" s="31" t="str">
        <f>VLOOKUP(A1105,File!$A:$K,11,FALSE)</f>
        <v>Dec 2026</v>
      </c>
      <c r="K1105" s="31" t="str">
        <f>VLOOKUP(A1105,File!$A:$K,10,FALSE)</f>
        <v>In-Training</v>
      </c>
      <c r="L1105" s="31" t="s">
        <v>4</v>
      </c>
      <c r="M1105" t="str">
        <f>VLOOKUP(A1105,Response!$A:$M,7,)</f>
        <v>PG (Paying Guest)</v>
      </c>
      <c r="N1105" t="str">
        <f>VLOOKUP(A1105,Response!$A:$M,8,)</f>
        <v>Siva Sai Gents PG, Egattur</v>
      </c>
      <c r="O1105" s="4">
        <f>VLOOKUP(A1105,Response!$A:$M,10,)</f>
        <v>1</v>
      </c>
      <c r="P1105" t="str">
        <f>VLOOKUP(A1105,Response!$A:$M,12,)</f>
        <v>No</v>
      </c>
      <c r="Q1105" t="str">
        <f>VLOOKUP(A1105,Response!$A:$M,11,)</f>
        <v>Siruseri</v>
      </c>
      <c r="R1105" t="s">
        <v>19</v>
      </c>
      <c r="S1105" s="39" t="s">
        <v>37</v>
      </c>
    </row>
    <row r="1106" spans="1:19">
      <c r="A1106" s="3">
        <v>2521686</v>
      </c>
      <c r="B1106" t="str">
        <f>VLOOKUP(A1106,File!$A:$J,2,FALSE)</f>
        <v>Maddukuri K B M Sivakumar</v>
      </c>
      <c r="C1106" s="29">
        <f>VLOOKUP(A1106,File!$A:$J,5,FALSE)</f>
        <v>46212</v>
      </c>
      <c r="D1106" s="29" t="str">
        <f>VLOOKUP(A1106,File!$A:$J,3,FALSE)</f>
        <v>Male</v>
      </c>
      <c r="E1106" s="29" t="str">
        <f>VLOOKUP(A1106,File!$A:$J,4,FALSE)</f>
        <v>FTE</v>
      </c>
      <c r="F1106" s="29" t="str">
        <f>VLOOKUP(A1106,File!$A:$J,6,FALSE)</f>
        <v>Chennai</v>
      </c>
      <c r="G1106" s="29" t="str">
        <f>VLOOKUP(A1106,File!$A:$J,7,FALSE)</f>
        <v>QEA26QEPT023</v>
      </c>
      <c r="H1106" s="29" t="str">
        <f>VLOOKUP(A1106,File!$A:$J,8,FALSE)</f>
        <v>Sweta Thoppil</v>
      </c>
      <c r="I1106" s="31">
        <f>VLOOKUP(A1106,File!$A:$J,9,FALSE)</f>
        <v>46314</v>
      </c>
      <c r="J1106" s="31" t="str">
        <f>VLOOKUP(A1106,File!$A:$K,11,FALSE)</f>
        <v>Oct 2026</v>
      </c>
      <c r="K1106" s="31" t="str">
        <f>VLOOKUP(A1106,File!$A:$K,10,FALSE)</f>
        <v>In-Training</v>
      </c>
      <c r="L1106" s="31" t="s">
        <v>4</v>
      </c>
      <c r="M1106" t="str">
        <f>VLOOKUP(A1106,Response!$A:$M,7,)</f>
        <v>PG (Paying Guest)</v>
      </c>
      <c r="N1106" t="str">
        <f>VLOOKUP(A1106,Response!$A:$M,8,)</f>
        <v>Siva Sai Gents Pg, Plot No.95A,Mamoothiamman, 3rd st, Sipcot, Siruseri, Chennai, Tamil Nadu 603103</v>
      </c>
      <c r="O1106" s="4">
        <f>VLOOKUP(A1106,Response!$A:$M,10,)</f>
        <v>4</v>
      </c>
      <c r="P1106" t="str">
        <f>VLOOKUP(A1106,Response!$A:$M,12,)</f>
        <v>No</v>
      </c>
      <c r="Q1106" t="str">
        <f>VLOOKUP(A1106,Response!$A:$M,11,)</f>
        <v>Siruseri</v>
      </c>
      <c r="R1106" t="s">
        <v>19</v>
      </c>
      <c r="S1106" s="39" t="s">
        <v>37</v>
      </c>
    </row>
    <row r="1107" spans="1:19">
      <c r="A1107" s="3">
        <v>2511316</v>
      </c>
      <c r="B1107" t="str">
        <f>VLOOKUP(A1107,File!$A:$J,2,FALSE)</f>
        <v>Mahendar Babu Aluwala</v>
      </c>
      <c r="C1107" s="29">
        <f>VLOOKUP(A1107,File!$A:$J,5,FALSE)</f>
        <v>46163</v>
      </c>
      <c r="D1107" s="29" t="str">
        <f>VLOOKUP(A1107,File!$A:$J,3,FALSE)</f>
        <v>Male</v>
      </c>
      <c r="E1107" s="29" t="str">
        <f>VLOOKUP(A1107,File!$A:$J,4,FALSE)</f>
        <v>FTE</v>
      </c>
      <c r="F1107" s="29" t="str">
        <f>VLOOKUP(A1107,File!$A:$J,6,FALSE)</f>
        <v>Chennai</v>
      </c>
      <c r="G1107" s="29" t="str">
        <f>VLOOKUP(A1107,File!$A:$J,7,FALSE)</f>
        <v>CIS26MCPT010</v>
      </c>
      <c r="H1107" s="29" t="str">
        <f>VLOOKUP(A1107,File!$A:$J,8,FALSE)</f>
        <v>Mohamed Harish</v>
      </c>
      <c r="I1107" s="31">
        <f>VLOOKUP(A1107,File!$A:$J,9,FALSE)</f>
        <v>46280</v>
      </c>
      <c r="J1107" s="31" t="str">
        <f>VLOOKUP(A1107,File!$A:$K,11,FALSE)</f>
        <v>Sep 2026</v>
      </c>
      <c r="K1107" s="31" t="str">
        <f>VLOOKUP(A1107,File!$A:$K,10,FALSE)</f>
        <v>In-Training</v>
      </c>
      <c r="L1107" s="31" t="s">
        <v>4</v>
      </c>
      <c r="M1107" t="str">
        <f>VLOOKUP(A1107,Response!$A:$M,7,)</f>
        <v>PG (Paying Guest)</v>
      </c>
      <c r="N1107" t="str">
        <f>VLOOKUP(A1107,Response!$A:$M,8,)</f>
        <v>Siva Sai Gents PG, Sipcot</v>
      </c>
      <c r="O1107" s="4">
        <f>VLOOKUP(A1107,Response!$A:$M,10,)</f>
        <v>4</v>
      </c>
      <c r="P1107" t="str">
        <f>VLOOKUP(A1107,Response!$A:$M,12,)</f>
        <v>No</v>
      </c>
      <c r="Q1107" t="str">
        <f>VLOOKUP(A1107,Response!$A:$M,11,)</f>
        <v>Siruseri</v>
      </c>
      <c r="R1107" t="s">
        <v>19</v>
      </c>
      <c r="S1107" s="39" t="s">
        <v>37</v>
      </c>
    </row>
    <row r="1108" spans="1:19">
      <c r="A1108" s="3">
        <v>2532991</v>
      </c>
      <c r="B1108" t="str">
        <f>VLOOKUP(A1108,File!$A:$J,2,FALSE)</f>
        <v>Chiruguri Purna Prasanth</v>
      </c>
      <c r="C1108" s="29">
        <f>VLOOKUP(A1108,File!$A:$J,5,FALSE)</f>
        <v>46259</v>
      </c>
      <c r="D1108" s="29" t="str">
        <f>VLOOKUP(A1108,File!$A:$J,3,FALSE)</f>
        <v>Male</v>
      </c>
      <c r="E1108" s="29" t="str">
        <f>VLOOKUP(A1108,File!$A:$J,4,FALSE)</f>
        <v>FTE</v>
      </c>
      <c r="F1108" s="29" t="str">
        <f>VLOOKUP(A1108,File!$A:$J,6,FALSE)</f>
        <v>Chennai</v>
      </c>
      <c r="G1108" s="29" t="str">
        <f>VLOOKUP(A1108,File!$A:$J,7,FALSE)</f>
        <v>CIS26AT007</v>
      </c>
      <c r="H1108" s="29" t="str">
        <f>VLOOKUP(A1108,File!$A:$J,8,FALSE)</f>
        <v>Uma Venkatachalam</v>
      </c>
      <c r="I1108" s="31">
        <f>VLOOKUP(A1108,File!$A:$J,9,FALSE)</f>
        <v>46365</v>
      </c>
      <c r="J1108" s="31" t="str">
        <f>VLOOKUP(A1108,File!$A:$K,11,FALSE)</f>
        <v>Dec 2026</v>
      </c>
      <c r="K1108" s="31" t="str">
        <f>VLOOKUP(A1108,File!$A:$K,10,FALSE)</f>
        <v>In-Training</v>
      </c>
      <c r="L1108" s="31" t="s">
        <v>4</v>
      </c>
      <c r="M1108" t="str">
        <f>VLOOKUP(A1108,Response!$A:$M,7,)</f>
        <v>Hostel</v>
      </c>
      <c r="N1108" t="str">
        <f>VLOOKUP(A1108,Response!$A:$M,8,)</f>
        <v>Siva Sai Gents PG, Siruseri</v>
      </c>
      <c r="O1108" s="4">
        <f>VLOOKUP(A1108,Response!$A:$M,10,)</f>
        <v>1</v>
      </c>
      <c r="P1108" t="str">
        <f>VLOOKUP(A1108,Response!$A:$M,12,)</f>
        <v>No</v>
      </c>
      <c r="Q1108" t="str">
        <f>VLOOKUP(A1108,Response!$A:$M,11,)</f>
        <v>Siruseri</v>
      </c>
      <c r="R1108" t="s">
        <v>19</v>
      </c>
      <c r="S1108" s="39" t="s">
        <v>37</v>
      </c>
    </row>
    <row r="1109" spans="1:19">
      <c r="A1109" s="3">
        <v>2531855</v>
      </c>
      <c r="B1109" t="str">
        <f>VLOOKUP(A1109,File!$A:$J,2,FALSE)</f>
        <v>Adithya N</v>
      </c>
      <c r="C1109" s="29">
        <f>VLOOKUP(A1109,File!$A:$J,5,FALSE)</f>
        <v>46254</v>
      </c>
      <c r="D1109" s="29" t="str">
        <f>VLOOKUP(A1109,File!$A:$J,3,FALSE)</f>
        <v>Male</v>
      </c>
      <c r="E1109" s="29" t="str">
        <f>VLOOKUP(A1109,File!$A:$J,4,FALSE)</f>
        <v>FTE</v>
      </c>
      <c r="F1109" s="29" t="str">
        <f>VLOOKUP(A1109,File!$A:$J,6,FALSE)</f>
        <v>Chennai</v>
      </c>
      <c r="G1109" s="29" t="str">
        <f>VLOOKUP(A1109,File!$A:$J,7,FALSE)</f>
        <v>CS26CS012</v>
      </c>
      <c r="H1109" s="29" t="str">
        <f>VLOOKUP(A1109,File!$A:$J,8,FALSE)</f>
        <v>Laksiya Vijayendran</v>
      </c>
      <c r="I1109" s="31">
        <f>VLOOKUP(A1109,File!$A:$J,9,FALSE)</f>
        <v>46343</v>
      </c>
      <c r="J1109" s="31" t="str">
        <f>VLOOKUP(A1109,File!$A:$K,11,FALSE)</f>
        <v>Nov 2026</v>
      </c>
      <c r="K1109" s="31" t="str">
        <f>VLOOKUP(A1109,File!$A:$K,10,FALSE)</f>
        <v>In-Training</v>
      </c>
      <c r="L1109" s="31" t="s">
        <v>4</v>
      </c>
      <c r="M1109" t="str">
        <f>VLOOKUP(A1109,Response!$A:$M,7,)</f>
        <v>PG (Paying Guest)</v>
      </c>
      <c r="N1109" t="str">
        <f>VLOOKUP(A1109,Response!$A:$M,8,)</f>
        <v>siva sai gents pg, siruseri</v>
      </c>
      <c r="O1109" s="4">
        <f>VLOOKUP(A1109,Response!$A:$M,10,)</f>
        <v>2</v>
      </c>
      <c r="P1109" t="str">
        <f>VLOOKUP(A1109,Response!$A:$M,12,)</f>
        <v>No</v>
      </c>
      <c r="Q1109" t="str">
        <f>VLOOKUP(A1109,Response!$A:$M,11,)</f>
        <v>Siruseri</v>
      </c>
      <c r="R1109" t="s">
        <v>19</v>
      </c>
      <c r="S1109" s="39" t="s">
        <v>37</v>
      </c>
    </row>
    <row r="1110" spans="1:19">
      <c r="A1110" s="3">
        <v>2529552</v>
      </c>
      <c r="B1110" t="str">
        <f>VLOOKUP(A1110,File!$A:$J,2,FALSE)</f>
        <v>Avinash Kumar Verma</v>
      </c>
      <c r="C1110" s="29">
        <f>VLOOKUP(A1110,File!$A:$J,5,FALSE)</f>
        <v>46245</v>
      </c>
      <c r="D1110" s="29" t="str">
        <f>VLOOKUP(A1110,File!$A:$J,3,FALSE)</f>
        <v>Male</v>
      </c>
      <c r="E1110" s="29" t="str">
        <f>VLOOKUP(A1110,File!$A:$J,4,FALSE)</f>
        <v>FTE</v>
      </c>
      <c r="F1110" s="29" t="str">
        <f>VLOOKUP(A1110,File!$A:$J,6,FALSE)</f>
        <v>Chennai</v>
      </c>
      <c r="G1110" s="29" t="str">
        <f>VLOOKUP(A1110,File!$A:$J,7,FALSE)</f>
        <v>CIS26MCPT026</v>
      </c>
      <c r="H1110" s="29" t="str">
        <f>VLOOKUP(A1110,File!$A:$J,8,FALSE)</f>
        <v>Mohamed Harish</v>
      </c>
      <c r="I1110" s="31">
        <f>VLOOKUP(A1110,File!$A:$J,9,FALSE)</f>
        <v>46364</v>
      </c>
      <c r="J1110" s="31" t="str">
        <f>VLOOKUP(A1110,File!$A:$K,11,FALSE)</f>
        <v>Dec 2026</v>
      </c>
      <c r="K1110" s="31" t="str">
        <f>VLOOKUP(A1110,File!$A:$K,10,FALSE)</f>
        <v>In-Training</v>
      </c>
      <c r="L1110" s="31" t="s">
        <v>4</v>
      </c>
      <c r="M1110" t="str">
        <f>VLOOKUP(A1110,Response!$A:$M,7,)</f>
        <v>PG (Paying Guest)</v>
      </c>
      <c r="N1110" t="str">
        <f>VLOOKUP(A1110,Response!$A:$M,8,)</f>
        <v xml:space="preserve">Siva Sai Gents PG, siruseri </v>
      </c>
      <c r="O1110" s="4">
        <f>VLOOKUP(A1110,Response!$A:$M,10,)</f>
        <v>1</v>
      </c>
      <c r="P1110" t="str">
        <f>VLOOKUP(A1110,Response!$A:$M,12,)</f>
        <v>No</v>
      </c>
      <c r="Q1110" t="str">
        <f>VLOOKUP(A1110,Response!$A:$M,11,)</f>
        <v>Siruseri</v>
      </c>
      <c r="R1110" t="s">
        <v>19</v>
      </c>
      <c r="S1110" s="39" t="s">
        <v>37</v>
      </c>
    </row>
    <row r="1111" spans="1:19">
      <c r="A1111" s="3">
        <v>2521652</v>
      </c>
      <c r="B1111" t="str">
        <f>VLOOKUP(A1111,File!$A:$J,2,FALSE)</f>
        <v>Bharatala Lokesh</v>
      </c>
      <c r="C1111" s="29">
        <f>VLOOKUP(A1111,File!$A:$J,5,FALSE)</f>
        <v>46212</v>
      </c>
      <c r="D1111" s="29" t="str">
        <f>VLOOKUP(A1111,File!$A:$J,3,FALSE)</f>
        <v>Male</v>
      </c>
      <c r="E1111" s="29" t="str">
        <f>VLOOKUP(A1111,File!$A:$J,4,FALSE)</f>
        <v>FTE</v>
      </c>
      <c r="F1111" s="29" t="str">
        <f>VLOOKUP(A1111,File!$A:$J,6,FALSE)</f>
        <v>Chennai</v>
      </c>
      <c r="G1111" s="29" t="str">
        <f>VLOOKUP(A1111,File!$A:$J,7,FALSE)</f>
        <v>QEA26QEPT023</v>
      </c>
      <c r="H1111" s="29" t="str">
        <f>VLOOKUP(A1111,File!$A:$J,8,FALSE)</f>
        <v>Sweta Thoppil</v>
      </c>
      <c r="I1111" s="31">
        <f>VLOOKUP(A1111,File!$A:$J,9,FALSE)</f>
        <v>46314</v>
      </c>
      <c r="J1111" s="31" t="str">
        <f>VLOOKUP(A1111,File!$A:$K,11,FALSE)</f>
        <v>Oct 2026</v>
      </c>
      <c r="K1111" s="31" t="str">
        <f>VLOOKUP(A1111,File!$A:$K,10,FALSE)</f>
        <v>In-Training</v>
      </c>
      <c r="L1111" s="31" t="s">
        <v>4</v>
      </c>
      <c r="M1111" t="str">
        <f>VLOOKUP(A1111,Response!$A:$M,7,)</f>
        <v>PG (Paying Guest)</v>
      </c>
      <c r="N1111" t="str">
        <f>VLOOKUP(A1111,Response!$A:$M,8,)</f>
        <v>Siva Sai Gents pg,Siruseri.</v>
      </c>
      <c r="O1111" s="4">
        <f>VLOOKUP(A1111,Response!$A:$M,10,)</f>
        <v>4</v>
      </c>
      <c r="P1111" t="str">
        <f>VLOOKUP(A1111,Response!$A:$M,12,)</f>
        <v>No</v>
      </c>
      <c r="Q1111" t="str">
        <f>VLOOKUP(A1111,Response!$A:$M,11,)</f>
        <v>Siruseri</v>
      </c>
      <c r="R1111" t="s">
        <v>19</v>
      </c>
      <c r="S1111" s="39" t="s">
        <v>37</v>
      </c>
    </row>
    <row r="1112" spans="1:19">
      <c r="A1112" s="3">
        <v>2520932</v>
      </c>
      <c r="B1112" t="str">
        <f>VLOOKUP(A1112,File!$A:$J,2,FALSE)</f>
        <v>Vujiri Sandeep</v>
      </c>
      <c r="C1112" s="29">
        <f>VLOOKUP(A1112,File!$A:$J,5,FALSE)</f>
        <v>46210</v>
      </c>
      <c r="D1112" s="29" t="str">
        <f>VLOOKUP(A1112,File!$A:$J,3,FALSE)</f>
        <v>Male</v>
      </c>
      <c r="E1112" s="29" t="str">
        <f>VLOOKUP(A1112,File!$A:$J,4,FALSE)</f>
        <v>FTE</v>
      </c>
      <c r="F1112" s="29" t="str">
        <f>VLOOKUP(A1112,File!$A:$J,6,FALSE)</f>
        <v>Chennai</v>
      </c>
      <c r="G1112" s="29" t="str">
        <f>VLOOKUP(A1112,File!$A:$J,7,FALSE)</f>
        <v>EPS26WD004</v>
      </c>
      <c r="H1112" s="29" t="str">
        <f>VLOOKUP(A1112,File!$A:$J,8,FALSE)</f>
        <v>Ajith Ganesan</v>
      </c>
      <c r="I1112" s="31">
        <f>VLOOKUP(A1112,File!$A:$J,9,FALSE)</f>
        <v>46310</v>
      </c>
      <c r="J1112" s="31" t="str">
        <f>VLOOKUP(A1112,File!$A:$K,11,FALSE)</f>
        <v>Oct 2026</v>
      </c>
      <c r="K1112" s="31" t="str">
        <f>VLOOKUP(A1112,File!$A:$K,10,FALSE)</f>
        <v>In-Training</v>
      </c>
      <c r="L1112" s="31" t="s">
        <v>4</v>
      </c>
      <c r="M1112" t="str">
        <f>VLOOKUP(A1112,Response!$A:$M,7,)</f>
        <v>PG (Paying Guest)</v>
      </c>
      <c r="N1112" t="str">
        <f>VLOOKUP(A1112,Response!$A:$M,8,)</f>
        <v>SIVA SAI MENS PG</v>
      </c>
      <c r="O1112" s="4" t="str">
        <f>VLOOKUP(A1112,Response!$A:$M,10,)</f>
        <v>GF</v>
      </c>
      <c r="P1112" t="str">
        <f>VLOOKUP(A1112,Response!$A:$M,12,)</f>
        <v>No</v>
      </c>
      <c r="Q1112" t="str">
        <f>VLOOKUP(A1112,Response!$A:$M,11,)</f>
        <v>Siruseri</v>
      </c>
      <c r="R1112" t="s">
        <v>19</v>
      </c>
      <c r="S1112" s="39" t="s">
        <v>37</v>
      </c>
    </row>
    <row r="1113" spans="1:19">
      <c r="A1113" s="3">
        <v>2531807</v>
      </c>
      <c r="B1113" t="str">
        <f>VLOOKUP(A1113,File!$A:$J,2,FALSE)</f>
        <v>Tanishq Yadav</v>
      </c>
      <c r="C1113" s="29">
        <f>VLOOKUP(A1113,File!$A:$J,5,FALSE)</f>
        <v>46254</v>
      </c>
      <c r="D1113" s="29" t="str">
        <f>VLOOKUP(A1113,File!$A:$J,3,FALSE)</f>
        <v>Male</v>
      </c>
      <c r="E1113" s="29" t="str">
        <f>VLOOKUP(A1113,File!$A:$J,4,FALSE)</f>
        <v>Intern</v>
      </c>
      <c r="F1113" s="29" t="str">
        <f>VLOOKUP(A1113,File!$A:$J,6,FALSE)</f>
        <v>Chennai</v>
      </c>
      <c r="G1113" s="29" t="str">
        <f>VLOOKUP(A1113,File!$A:$J,7,FALSE)</f>
        <v>INTFE26FE001</v>
      </c>
      <c r="H1113" s="29" t="str">
        <f>VLOOKUP(A1113,File!$A:$J,8,FALSE)</f>
        <v>Grace Esther S</v>
      </c>
      <c r="I1113" s="31">
        <f>VLOOKUP(A1113,File!$A:$J,9,FALSE)</f>
        <v>46310</v>
      </c>
      <c r="J1113" s="31" t="str">
        <f>VLOOKUP(A1113,File!$A:$K,11,FALSE)</f>
        <v>Oct 2026</v>
      </c>
      <c r="K1113" s="31" t="str">
        <f>VLOOKUP(A1113,File!$A:$K,10,FALSE)</f>
        <v>In-Training</v>
      </c>
      <c r="L1113" s="31" t="s">
        <v>4</v>
      </c>
      <c r="M1113" t="str">
        <f>VLOOKUP(A1113,Response!$A:$M,7,)</f>
        <v>PG (Paying Guest)</v>
      </c>
      <c r="N1113" t="str">
        <f>VLOOKUP(A1113,Response!$A:$M,8,)</f>
        <v xml:space="preserve">Siva Sai PG , Sipcot , Siruseri , Chennai </v>
      </c>
      <c r="O1113" s="4">
        <f>VLOOKUP(A1113,Response!$A:$M,10,)</f>
        <v>3</v>
      </c>
      <c r="P1113" t="str">
        <f>VLOOKUP(A1113,Response!$A:$M,12,)</f>
        <v>No</v>
      </c>
      <c r="Q1113" t="str">
        <f>VLOOKUP(A1113,Response!$A:$M,11,)</f>
        <v>Siruseri</v>
      </c>
      <c r="R1113" t="s">
        <v>19</v>
      </c>
      <c r="S1113" s="39" t="s">
        <v>37</v>
      </c>
    </row>
    <row r="1114" spans="1:19">
      <c r="A1114" s="3">
        <v>2531445</v>
      </c>
      <c r="B1114" t="str">
        <f>VLOOKUP(A1114,File!$A:$J,2,FALSE)</f>
        <v>Mohammad Muzammil</v>
      </c>
      <c r="C1114" s="29">
        <f>VLOOKUP(A1114,File!$A:$J,5,FALSE)</f>
        <v>46252</v>
      </c>
      <c r="D1114" s="29" t="str">
        <f>VLOOKUP(A1114,File!$A:$J,3,FALSE)</f>
        <v>Male</v>
      </c>
      <c r="E1114" s="29" t="str">
        <f>VLOOKUP(A1114,File!$A:$J,4,FALSE)</f>
        <v>FTE</v>
      </c>
      <c r="F1114" s="29" t="str">
        <f>VLOOKUP(A1114,File!$A:$J,6,FALSE)</f>
        <v>Chennai</v>
      </c>
      <c r="G1114" s="29" t="str">
        <f>VLOOKUP(A1114,File!$A:$J,7,FALSE)</f>
        <v>EPS26SAP034</v>
      </c>
      <c r="H1114" s="29" t="str">
        <f>VLOOKUP(A1114,File!$A:$J,8,FALSE)</f>
        <v>Gayathri Ramachandran</v>
      </c>
      <c r="I1114" s="31">
        <f>VLOOKUP(A1114,File!$A:$J,9,FALSE)</f>
        <v>46331</v>
      </c>
      <c r="J1114" s="31" t="str">
        <f>VLOOKUP(A1114,File!$A:$K,11,FALSE)</f>
        <v>Nov 2026</v>
      </c>
      <c r="K1114" s="31" t="str">
        <f>VLOOKUP(A1114,File!$A:$K,10,FALSE)</f>
        <v>In-Training</v>
      </c>
      <c r="L1114" s="31" t="s">
        <v>4</v>
      </c>
      <c r="M1114" t="str">
        <f>VLOOKUP(A1114,Response!$A:$M,7,)</f>
        <v>PG (Paying Guest)</v>
      </c>
      <c r="N1114" t="str">
        <f>VLOOKUP(A1114,Response!$A:$M,8,)</f>
        <v>Siva Sai PG SIPCOT IT  park</v>
      </c>
      <c r="O1114" s="4">
        <f>VLOOKUP(A1114,Response!$A:$M,10,)</f>
        <v>1</v>
      </c>
      <c r="P1114" t="str">
        <f>VLOOKUP(A1114,Response!$A:$M,12,)</f>
        <v>No</v>
      </c>
      <c r="Q1114" t="str">
        <f>VLOOKUP(A1114,Response!$A:$M,11,)</f>
        <v>Siruseri</v>
      </c>
      <c r="R1114" t="s">
        <v>19</v>
      </c>
      <c r="S1114" s="39" t="s">
        <v>37</v>
      </c>
    </row>
    <row r="1115" spans="1:19">
      <c r="A1115" s="3">
        <v>2511226</v>
      </c>
      <c r="B1115" t="str">
        <f>VLOOKUP(A1115,File!$A:$J,2,FALSE)</f>
        <v>Harshanandhini Thangavel</v>
      </c>
      <c r="C1115" s="29">
        <f>VLOOKUP(A1115,File!$A:$J,5,FALSE)</f>
        <v>46163</v>
      </c>
      <c r="D1115" s="29" t="str">
        <f>VLOOKUP(A1115,File!$A:$J,3,FALSE)</f>
        <v>Female</v>
      </c>
      <c r="E1115" s="29" t="str">
        <f>VLOOKUP(A1115,File!$A:$J,4,FALSE)</f>
        <v>FTE</v>
      </c>
      <c r="F1115" s="29" t="str">
        <f>VLOOKUP(A1115,File!$A:$J,6,FALSE)</f>
        <v>Chennai</v>
      </c>
      <c r="G1115" s="29" t="str">
        <f>VLOOKUP(A1115,File!$A:$J,7,FALSE)</f>
        <v>CIS26MCPT010</v>
      </c>
      <c r="H1115" s="29" t="str">
        <f>VLOOKUP(A1115,File!$A:$J,8,FALSE)</f>
        <v>Mohamed Harish</v>
      </c>
      <c r="I1115" s="31">
        <f>VLOOKUP(A1115,File!$A:$J,9,FALSE)</f>
        <v>46275</v>
      </c>
      <c r="J1115" s="31" t="str">
        <f>VLOOKUP(A1115,File!$A:$K,11,FALSE)</f>
        <v>Sep 2026</v>
      </c>
      <c r="K1115" s="31" t="str">
        <f>VLOOKUP(A1115,File!$A:$K,10,FALSE)</f>
        <v>In-Training</v>
      </c>
      <c r="L1115" s="31" t="s">
        <v>4</v>
      </c>
      <c r="M1115" t="str">
        <f>VLOOKUP(A1115,Response!$A:$M,7,)</f>
        <v>PG (Paying Guest)</v>
      </c>
      <c r="N1115" t="str">
        <f>VLOOKUP(A1115,Response!$A:$M,8,)</f>
        <v>SK ladies PG, Navalur</v>
      </c>
      <c r="O1115" s="4">
        <f>VLOOKUP(A1115,Response!$A:$M,10,)</f>
        <v>1</v>
      </c>
      <c r="P1115" t="str">
        <f>VLOOKUP(A1115,Response!$A:$M,12,)</f>
        <v>No</v>
      </c>
      <c r="Q1115" t="str">
        <f>VLOOKUP(A1115,Response!$A:$M,11,)</f>
        <v>Navalur</v>
      </c>
      <c r="R1115" t="s">
        <v>19</v>
      </c>
      <c r="S1115" s="39" t="s">
        <v>37</v>
      </c>
    </row>
    <row r="1116" spans="1:19">
      <c r="A1116" s="3">
        <v>2520930</v>
      </c>
      <c r="B1116" t="str">
        <f>VLOOKUP(A1116,File!$A:$J,2,FALSE)</f>
        <v>Manoj S</v>
      </c>
      <c r="C1116" s="29">
        <f>VLOOKUP(A1116,File!$A:$J,5,FALSE)</f>
        <v>46210</v>
      </c>
      <c r="D1116" s="29" t="str">
        <f>VLOOKUP(A1116,File!$A:$J,3,FALSE)</f>
        <v>Male</v>
      </c>
      <c r="E1116" s="29" t="str">
        <f>VLOOKUP(A1116,File!$A:$J,4,FALSE)</f>
        <v>FTE</v>
      </c>
      <c r="F1116" s="29" t="str">
        <f>VLOOKUP(A1116,File!$A:$J,6,FALSE)</f>
        <v>Chennai</v>
      </c>
      <c r="G1116" s="29" t="str">
        <f>VLOOKUP(A1116,File!$A:$J,7,FALSE)</f>
        <v>CIS26UNIX004</v>
      </c>
      <c r="H1116" s="29" t="str">
        <f>VLOOKUP(A1116,File!$A:$J,8,FALSE)</f>
        <v>Haritha P</v>
      </c>
      <c r="I1116" s="31">
        <f>VLOOKUP(A1116,File!$A:$J,9,FALSE)</f>
        <v>46289</v>
      </c>
      <c r="J1116" s="31" t="str">
        <f>VLOOKUP(A1116,File!$A:$K,11,FALSE)</f>
        <v>Sep 2026</v>
      </c>
      <c r="K1116" s="31" t="str">
        <f>VLOOKUP(A1116,File!$A:$K,10,FALSE)</f>
        <v>In-Training</v>
      </c>
      <c r="L1116" s="31" t="s">
        <v>4</v>
      </c>
      <c r="M1116" t="str">
        <f>VLOOKUP(A1116,Response!$A:$M,7,)</f>
        <v>PG (Paying Guest)</v>
      </c>
      <c r="N1116" t="str">
        <f>VLOOKUP(A1116,Response!$A:$M,8,)</f>
        <v>Sky Garden villa Srinivasa Nagar</v>
      </c>
      <c r="O1116" s="4">
        <f>VLOOKUP(A1116,Response!$A:$M,10,)</f>
        <v>1</v>
      </c>
      <c r="P1116" t="str">
        <f>VLOOKUP(A1116,Response!$A:$M,12,)</f>
        <v>No</v>
      </c>
      <c r="Q1116" t="str">
        <f>VLOOKUP(A1116,Response!$A:$M,11,)</f>
        <v>Padur</v>
      </c>
      <c r="R1116" t="s">
        <v>15</v>
      </c>
      <c r="S1116" s="40" t="s">
        <v>36</v>
      </c>
    </row>
    <row r="1117" spans="1:19">
      <c r="A1117" s="3">
        <v>2516785</v>
      </c>
      <c r="B1117" t="str">
        <f>VLOOKUP(A1117,File!$A:$J,2,FALSE)</f>
        <v>Chakala Sai Sindhu</v>
      </c>
      <c r="C1117" s="29">
        <f>VLOOKUP(A1117,File!$A:$J,5,FALSE)</f>
        <v>46191</v>
      </c>
      <c r="D1117" s="29" t="str">
        <f>VLOOKUP(A1117,File!$A:$J,3,FALSE)</f>
        <v>Female</v>
      </c>
      <c r="E1117" s="29" t="str">
        <f>VLOOKUP(A1117,File!$A:$J,4,FALSE)</f>
        <v>FTE</v>
      </c>
      <c r="F1117" s="29" t="str">
        <f>VLOOKUP(A1117,File!$A:$J,6,FALSE)</f>
        <v>Chennai</v>
      </c>
      <c r="G1117" s="29" t="str">
        <f>VLOOKUP(A1117,File!$A:$J,7,FALSE)</f>
        <v>CIS26NET004</v>
      </c>
      <c r="H1117" s="29" t="str">
        <f>VLOOKUP(A1117,File!$A:$J,8,FALSE)</f>
        <v>Uma Venkatachalam</v>
      </c>
      <c r="I1117" s="31">
        <f>VLOOKUP(A1117,File!$A:$J,9,FALSE)</f>
        <v>46273</v>
      </c>
      <c r="J1117" s="31" t="str">
        <f>VLOOKUP(A1117,File!$A:$K,11,FALSE)</f>
        <v>Sep 2026</v>
      </c>
      <c r="K1117" s="31" t="str">
        <f>VLOOKUP(A1117,File!$A:$K,10,FALSE)</f>
        <v>In-Training-Remedial</v>
      </c>
      <c r="L1117" s="31" t="s">
        <v>4</v>
      </c>
      <c r="M1117" t="str">
        <f>VLOOKUP(A1117,Response!$A:$M,7,)</f>
        <v>PG (Paying Guest)</v>
      </c>
      <c r="N1117" t="str">
        <f>VLOOKUP(A1117,Response!$A:$M,8,)</f>
        <v>SLR ladies hostel, Egattur</v>
      </c>
      <c r="O1117" s="4">
        <f>VLOOKUP(A1117,Response!$A:$M,10,)</f>
        <v>2</v>
      </c>
      <c r="P1117" t="str">
        <f>VLOOKUP(A1117,Response!$A:$M,12,)</f>
        <v>No</v>
      </c>
      <c r="Q1117" t="str">
        <f>VLOOKUP(A1117,Response!$A:$M,11,)</f>
        <v>Egattur</v>
      </c>
      <c r="R1117" t="s">
        <v>19</v>
      </c>
      <c r="S1117" s="39" t="s">
        <v>37</v>
      </c>
    </row>
    <row r="1118" spans="1:19">
      <c r="A1118" s="3">
        <v>2516843</v>
      </c>
      <c r="B1118" t="str">
        <f>VLOOKUP(A1118,File!$A:$J,2,FALSE)</f>
        <v>B Akshitha</v>
      </c>
      <c r="C1118" s="29">
        <f>VLOOKUP(A1118,File!$A:$J,5,FALSE)</f>
        <v>46191</v>
      </c>
      <c r="D1118" s="29" t="str">
        <f>VLOOKUP(A1118,File!$A:$J,3,FALSE)</f>
        <v>Female</v>
      </c>
      <c r="E1118" s="29" t="str">
        <f>VLOOKUP(A1118,File!$A:$J,4,FALSE)</f>
        <v>FTE</v>
      </c>
      <c r="F1118" s="29" t="str">
        <f>VLOOKUP(A1118,File!$A:$J,6,FALSE)</f>
        <v>Chennai</v>
      </c>
      <c r="G1118" s="29" t="str">
        <f>VLOOKUP(A1118,File!$A:$J,7,FALSE)</f>
        <v>CIS26MW001</v>
      </c>
      <c r="H1118" s="29" t="str">
        <f>VLOOKUP(A1118,File!$A:$J,8,FALSE)</f>
        <v>Ashiya Begam S</v>
      </c>
      <c r="I1118" s="31">
        <f>VLOOKUP(A1118,File!$A:$J,9,FALSE)</f>
        <v>46276</v>
      </c>
      <c r="J1118" s="31" t="str">
        <f>VLOOKUP(A1118,File!$A:$K,11,FALSE)</f>
        <v>Sep 2026</v>
      </c>
      <c r="K1118" s="31" t="str">
        <f>VLOOKUP(A1118,File!$A:$K,10,FALSE)</f>
        <v>In-Training</v>
      </c>
      <c r="L1118" s="31" t="s">
        <v>4</v>
      </c>
      <c r="M1118" t="str">
        <f>VLOOKUP(A1118,Response!$A:$M,7,)</f>
        <v>PG (Paying Guest)</v>
      </c>
      <c r="N1118" t="str">
        <f>VLOOKUP(A1118,Response!$A:$M,8,)</f>
        <v>SLR LADIES PG ,EGATTUR</v>
      </c>
      <c r="O1118" s="4">
        <f>VLOOKUP(A1118,Response!$A:$M,10,)</f>
        <v>2</v>
      </c>
      <c r="P1118" t="str">
        <f>VLOOKUP(A1118,Response!$A:$M,12,)</f>
        <v>No</v>
      </c>
      <c r="Q1118" t="str">
        <f>VLOOKUP(A1118,Response!$A:$M,11,)</f>
        <v>Egattur</v>
      </c>
      <c r="R1118" t="s">
        <v>19</v>
      </c>
      <c r="S1118" s="39" t="s">
        <v>37</v>
      </c>
    </row>
    <row r="1119" spans="1:19">
      <c r="A1119" s="3">
        <v>2529646</v>
      </c>
      <c r="B1119" t="str">
        <f>VLOOKUP(A1119,File!$A:$J,2,FALSE)</f>
        <v>Surabhi Bandari</v>
      </c>
      <c r="C1119" s="29">
        <f>VLOOKUP(A1119,File!$A:$J,5,FALSE)</f>
        <v>46245</v>
      </c>
      <c r="D1119" s="29" t="str">
        <f>VLOOKUP(A1119,File!$A:$J,3,FALSE)</f>
        <v>Female</v>
      </c>
      <c r="E1119" s="29" t="str">
        <f>VLOOKUP(A1119,File!$A:$J,4,FALSE)</f>
        <v>FTE</v>
      </c>
      <c r="F1119" s="29" t="str">
        <f>VLOOKUP(A1119,File!$A:$J,6,FALSE)</f>
        <v>Chennai</v>
      </c>
      <c r="G1119" s="29" t="str">
        <f>VLOOKUP(A1119,File!$A:$J,7,FALSE)</f>
        <v>CIS26MCPT026</v>
      </c>
      <c r="H1119" s="29" t="str">
        <f>VLOOKUP(A1119,File!$A:$J,8,FALSE)</f>
        <v>Mohamed Harish</v>
      </c>
      <c r="I1119" s="31">
        <f>VLOOKUP(A1119,File!$A:$J,9,FALSE)</f>
        <v>46364</v>
      </c>
      <c r="J1119" s="31" t="str">
        <f>VLOOKUP(A1119,File!$A:$K,11,FALSE)</f>
        <v>Dec 2026</v>
      </c>
      <c r="K1119" s="31" t="str">
        <f>VLOOKUP(A1119,File!$A:$K,10,FALSE)</f>
        <v>In-Training</v>
      </c>
      <c r="L1119" s="31" t="s">
        <v>4</v>
      </c>
      <c r="M1119" t="str">
        <f>VLOOKUP(A1119,Response!$A:$M,7,)</f>
        <v>PG (Paying Guest)</v>
      </c>
      <c r="N1119" t="str">
        <f>VLOOKUP(A1119,Response!$A:$M,8,)</f>
        <v>Smile Inn Ladies pg</v>
      </c>
      <c r="O1119" s="4">
        <f>VLOOKUP(A1119,Response!$A:$M,10,)</f>
        <v>1</v>
      </c>
      <c r="P1119" t="str">
        <f>VLOOKUP(A1119,Response!$A:$M,12,)</f>
        <v>No</v>
      </c>
      <c r="Q1119" t="str">
        <f>VLOOKUP(A1119,Response!$A:$M,11,)</f>
        <v>Siruseri</v>
      </c>
      <c r="R1119" t="s">
        <v>19</v>
      </c>
      <c r="S1119" s="39" t="s">
        <v>37</v>
      </c>
    </row>
    <row r="1120" spans="1:19">
      <c r="A1120" s="3">
        <v>2521628</v>
      </c>
      <c r="B1120" t="str">
        <f>VLOOKUP(A1120,File!$A:$J,2,FALSE)</f>
        <v>Shweta Shankar Verma</v>
      </c>
      <c r="C1120" s="29">
        <f>VLOOKUP(A1120,File!$A:$J,5,FALSE)</f>
        <v>46212</v>
      </c>
      <c r="D1120" s="29" t="str">
        <f>VLOOKUP(A1120,File!$A:$J,3,FALSE)</f>
        <v>Female</v>
      </c>
      <c r="E1120" s="29" t="str">
        <f>VLOOKUP(A1120,File!$A:$J,4,FALSE)</f>
        <v>FTE</v>
      </c>
      <c r="F1120" s="29" t="str">
        <f>VLOOKUP(A1120,File!$A:$J,6,FALSE)</f>
        <v>Chennai</v>
      </c>
      <c r="G1120" s="29" t="str">
        <f>VLOOKUP(A1120,File!$A:$J,7,FALSE)</f>
        <v>AIA26DSAT004</v>
      </c>
      <c r="H1120" s="29" t="str">
        <f>VLOOKUP(A1120,File!$A:$J,8,FALSE)</f>
        <v>Pavithra Kandasamy</v>
      </c>
      <c r="I1120" s="31">
        <f>VLOOKUP(A1120,File!$A:$J,9,FALSE)</f>
        <v>46304</v>
      </c>
      <c r="J1120" s="31" t="str">
        <f>VLOOKUP(A1120,File!$A:$K,11,FALSE)</f>
        <v>Oct 2026</v>
      </c>
      <c r="K1120" s="31" t="str">
        <f>VLOOKUP(A1120,File!$A:$K,10,FALSE)</f>
        <v>In-Training</v>
      </c>
      <c r="L1120" s="31" t="s">
        <v>4</v>
      </c>
      <c r="M1120" t="str">
        <f>VLOOKUP(A1120,Response!$A:$M,7,)</f>
        <v>PG (Paying Guest)</v>
      </c>
      <c r="N1120" t="str">
        <f>VLOOKUP(A1120,Response!$A:$M,8,)</f>
        <v>Smile Inn ladies PG branch 2 ,Egattur</v>
      </c>
      <c r="O1120" s="4">
        <f>VLOOKUP(A1120,Response!$A:$M,10,)</f>
        <v>1</v>
      </c>
      <c r="P1120" t="str">
        <f>VLOOKUP(A1120,Response!$A:$M,12,)</f>
        <v>No</v>
      </c>
      <c r="Q1120" t="str">
        <f>VLOOKUP(A1120,Response!$A:$M,11,)</f>
        <v>Egattur</v>
      </c>
      <c r="R1120" t="s">
        <v>19</v>
      </c>
      <c r="S1120" s="39" t="s">
        <v>37</v>
      </c>
    </row>
    <row r="1121" spans="1:19">
      <c r="A1121" s="3">
        <v>2518830</v>
      </c>
      <c r="B1121" t="str">
        <f>VLOOKUP(A1121,File!$A:$J,2,FALSE)</f>
        <v>Harini Cherala</v>
      </c>
      <c r="C1121" s="29">
        <f>VLOOKUP(A1121,File!$A:$J,5,FALSE)</f>
        <v>46203</v>
      </c>
      <c r="D1121" s="29" t="str">
        <f>VLOOKUP(A1121,File!$A:$J,3,FALSE)</f>
        <v>Female</v>
      </c>
      <c r="E1121" s="29" t="str">
        <f>VLOOKUP(A1121,File!$A:$J,4,FALSE)</f>
        <v>FTE</v>
      </c>
      <c r="F1121" s="29" t="str">
        <f>VLOOKUP(A1121,File!$A:$J,6,FALSE)</f>
        <v>Chennai</v>
      </c>
      <c r="G1121" s="29" t="str">
        <f>VLOOKUP(A1121,File!$A:$J,7,FALSE)</f>
        <v>CIS26SB001</v>
      </c>
      <c r="H1121" s="29" t="str">
        <f>VLOOKUP(A1121,File!$A:$J,8,FALSE)</f>
        <v>Kishorekumar P</v>
      </c>
      <c r="I1121" s="31">
        <f>VLOOKUP(A1121,File!$A:$J,9,FALSE)</f>
        <v>46309</v>
      </c>
      <c r="J1121" s="31" t="str">
        <f>VLOOKUP(A1121,File!$A:$K,11,FALSE)</f>
        <v>Oct 2026</v>
      </c>
      <c r="K1121" s="31" t="str">
        <f>VLOOKUP(A1121,File!$A:$K,10,FALSE)</f>
        <v>In-Training</v>
      </c>
      <c r="L1121" s="31" t="s">
        <v>4</v>
      </c>
      <c r="M1121" t="str">
        <f>VLOOKUP(A1121,Response!$A:$M,7,)</f>
        <v>PG (Paying Guest)</v>
      </c>
      <c r="N1121" t="str">
        <f>VLOOKUP(A1121,Response!$A:$M,8,)</f>
        <v xml:space="preserve">Smiles In Pg services for ladies </v>
      </c>
      <c r="O1121" s="4">
        <f>VLOOKUP(A1121,Response!$A:$M,10,)</f>
        <v>2</v>
      </c>
      <c r="P1121" t="str">
        <f>VLOOKUP(A1121,Response!$A:$M,12,)</f>
        <v>No</v>
      </c>
      <c r="Q1121" t="str">
        <f>VLOOKUP(A1121,Response!$A:$M,11,)</f>
        <v>Siruseri</v>
      </c>
      <c r="R1121" t="s">
        <v>19</v>
      </c>
      <c r="S1121" s="39" t="s">
        <v>37</v>
      </c>
    </row>
    <row r="1122" spans="1:19">
      <c r="A1122" s="3">
        <v>2522899</v>
      </c>
      <c r="B1122" t="str">
        <f>VLOOKUP(A1122,File!$A:$J,2,FALSE)</f>
        <v>Badam  Navya Sri Bala</v>
      </c>
      <c r="C1122" s="29">
        <f>VLOOKUP(A1122,File!$A:$J,5,FALSE)</f>
        <v>46217</v>
      </c>
      <c r="D1122" s="29" t="str">
        <f>VLOOKUP(A1122,File!$A:$J,3,FALSE)</f>
        <v>Female</v>
      </c>
      <c r="E1122" s="29" t="str">
        <f>VLOOKUP(A1122,File!$A:$J,4,FALSE)</f>
        <v>FTE</v>
      </c>
      <c r="F1122" s="29" t="str">
        <f>VLOOKUP(A1122,File!$A:$J,6,FALSE)</f>
        <v>Chennai</v>
      </c>
      <c r="G1122" s="29" t="str">
        <f>VLOOKUP(A1122,File!$A:$J,7,FALSE)</f>
        <v>QEA26ST001</v>
      </c>
      <c r="H1122" s="29" t="str">
        <f>VLOOKUP(A1122,File!$A:$J,8,FALSE)</f>
        <v>Angel Maria Faustina Gomez</v>
      </c>
      <c r="I1122" s="31">
        <f>VLOOKUP(A1122,File!$A:$J,9,FALSE)</f>
        <v>46310</v>
      </c>
      <c r="J1122" s="31" t="str">
        <f>VLOOKUP(A1122,File!$A:$K,11,FALSE)</f>
        <v>Oct 2026</v>
      </c>
      <c r="K1122" s="31" t="str">
        <f>VLOOKUP(A1122,File!$A:$K,10,FALSE)</f>
        <v>In-Training</v>
      </c>
      <c r="L1122" s="31" t="s">
        <v>4</v>
      </c>
      <c r="M1122" t="str">
        <f>VLOOKUP(A1122,Response!$A:$M,7,)</f>
        <v>PG (Paying Guest)</v>
      </c>
      <c r="N1122" t="str">
        <f>VLOOKUP(A1122,Response!$A:$M,8,)</f>
        <v>Smiles Inn Branch 3</v>
      </c>
      <c r="O1122" s="4">
        <f>VLOOKUP(A1122,Response!$A:$M,10,)</f>
        <v>3</v>
      </c>
      <c r="P1122" t="str">
        <f>VLOOKUP(A1122,Response!$A:$M,12,)</f>
        <v>No</v>
      </c>
      <c r="Q1122" t="str">
        <f>VLOOKUP(A1122,Response!$A:$M,11,)</f>
        <v>Egattur</v>
      </c>
      <c r="R1122" t="s">
        <v>19</v>
      </c>
      <c r="S1122" s="39" t="s">
        <v>37</v>
      </c>
    </row>
    <row r="1123" spans="1:19">
      <c r="A1123" s="3">
        <v>2531980</v>
      </c>
      <c r="B1123" t="str">
        <f>VLOOKUP(A1123,File!$A:$J,2,FALSE)</f>
        <v>Sakthi Sri Devi G</v>
      </c>
      <c r="C1123" s="29">
        <f>VLOOKUP(A1123,File!$A:$J,5,FALSE)</f>
        <v>46254</v>
      </c>
      <c r="D1123" s="29" t="str">
        <f>VLOOKUP(A1123,File!$A:$J,3,FALSE)</f>
        <v>Female</v>
      </c>
      <c r="E1123" s="29" t="str">
        <f>VLOOKUP(A1123,File!$A:$J,4,FALSE)</f>
        <v>FTE</v>
      </c>
      <c r="F1123" s="29" t="str">
        <f>VLOOKUP(A1123,File!$A:$J,6,FALSE)</f>
        <v>Chennai</v>
      </c>
      <c r="G1123" s="29" t="str">
        <f>VLOOKUP(A1123,File!$A:$J,7,FALSE)</f>
        <v>EPS26OSP011</v>
      </c>
      <c r="H1123" s="29" t="str">
        <f>VLOOKUP(A1123,File!$A:$J,8,FALSE)</f>
        <v>Gayathri Ramachandran</v>
      </c>
      <c r="I1123" s="31" t="str">
        <f>VLOOKUP(A1123,File!$A:$J,9,FALSE)</f>
        <v/>
      </c>
      <c r="J1123" s="44" t="s">
        <v>33</v>
      </c>
      <c r="K1123" s="31" t="str">
        <f>VLOOKUP(A1123,File!$A:$K,10,FALSE)</f>
        <v>Training - ON Hold</v>
      </c>
      <c r="L1123" s="31" t="s">
        <v>4</v>
      </c>
      <c r="M1123" t="str">
        <f>VLOOKUP(A1123,Response!$A:$M,7,)</f>
        <v>PG (Paying Guest)</v>
      </c>
      <c r="N1123" t="str">
        <f>VLOOKUP(A1123,Response!$A:$M,8,)</f>
        <v>Smiles inn Ladies PG</v>
      </c>
      <c r="O1123" s="4">
        <f>VLOOKUP(A1123,Response!$A:$M,10,)</f>
        <v>3</v>
      </c>
      <c r="P1123" t="str">
        <f>VLOOKUP(A1123,Response!$A:$M,12,)</f>
        <v>Yes</v>
      </c>
      <c r="Q1123" t="str">
        <f>VLOOKUP(A1123,Response!$A:$M,11,)</f>
        <v>Siruseri</v>
      </c>
      <c r="R1123" t="s">
        <v>19</v>
      </c>
      <c r="S1123" s="39" t="s">
        <v>37</v>
      </c>
    </row>
    <row r="1124" spans="1:19">
      <c r="A1124" s="3">
        <v>2521718</v>
      </c>
      <c r="B1124" t="str">
        <f>VLOOKUP(A1124,File!$A:$J,2,FALSE)</f>
        <v>Karishma Banu Shaik</v>
      </c>
      <c r="C1124" s="29">
        <f>VLOOKUP(A1124,File!$A:$J,5,FALSE)</f>
        <v>46212</v>
      </c>
      <c r="D1124" s="29" t="str">
        <f>VLOOKUP(A1124,File!$A:$J,3,FALSE)</f>
        <v>Female</v>
      </c>
      <c r="E1124" s="29" t="str">
        <f>VLOOKUP(A1124,File!$A:$J,4,FALSE)</f>
        <v>FTE</v>
      </c>
      <c r="F1124" s="29" t="str">
        <f>VLOOKUP(A1124,File!$A:$J,6,FALSE)</f>
        <v>Chennai</v>
      </c>
      <c r="G1124" s="29" t="str">
        <f>VLOOKUP(A1124,File!$A:$J,7,FALSE)</f>
        <v>QEA26NFTPA002</v>
      </c>
      <c r="H1124" s="29" t="str">
        <f>VLOOKUP(A1124,File!$A:$J,8,FALSE)</f>
        <v>Lourdhu Selvin Raj X</v>
      </c>
      <c r="I1124" s="31">
        <f>VLOOKUP(A1124,File!$A:$J,9,FALSE)</f>
        <v>46337</v>
      </c>
      <c r="J1124" s="31" t="str">
        <f>VLOOKUP(A1124,File!$A:$K,11,FALSE)</f>
        <v>Nov 2026</v>
      </c>
      <c r="K1124" s="31" t="str">
        <f>VLOOKUP(A1124,File!$A:$K,10,FALSE)</f>
        <v>In-Training</v>
      </c>
      <c r="L1124" s="31" t="s">
        <v>4</v>
      </c>
      <c r="M1124" t="str">
        <f>VLOOKUP(A1124,Response!$A:$M,7,)</f>
        <v>PG (Paying Guest)</v>
      </c>
      <c r="N1124" t="str">
        <f>VLOOKUP(A1124,Response!$A:$M,8,)</f>
        <v>Smiles Inn Ladies Pg  - Branch 1, Egattur</v>
      </c>
      <c r="O1124" s="4" t="str">
        <f>VLOOKUP(A1124,Response!$A:$M,10,)</f>
        <v>GF</v>
      </c>
      <c r="P1124" t="str">
        <f>VLOOKUP(A1124,Response!$A:$M,12,)</f>
        <v>No</v>
      </c>
      <c r="Q1124" t="str">
        <f>VLOOKUP(A1124,Response!$A:$M,11,)</f>
        <v>Egattur</v>
      </c>
      <c r="R1124" t="s">
        <v>19</v>
      </c>
      <c r="S1124" s="39" t="s">
        <v>37</v>
      </c>
    </row>
    <row r="1125" spans="1:19">
      <c r="A1125" s="3">
        <v>2521641</v>
      </c>
      <c r="B1125" t="str">
        <f>VLOOKUP(A1125,File!$A:$J,2,FALSE)</f>
        <v>Pasupuleti Vijayalakshmi</v>
      </c>
      <c r="C1125" s="29">
        <f>VLOOKUP(A1125,File!$A:$J,5,FALSE)</f>
        <v>46212</v>
      </c>
      <c r="D1125" s="29" t="str">
        <f>VLOOKUP(A1125,File!$A:$J,3,FALSE)</f>
        <v>Female</v>
      </c>
      <c r="E1125" s="29" t="str">
        <f>VLOOKUP(A1125,File!$A:$J,4,FALSE)</f>
        <v>FTE</v>
      </c>
      <c r="F1125" s="29" t="str">
        <f>VLOOKUP(A1125,File!$A:$J,6,FALSE)</f>
        <v>Chennai</v>
      </c>
      <c r="G1125" s="29" t="str">
        <f>VLOOKUP(A1125,File!$A:$J,7,FALSE)</f>
        <v>AIA26DSAT004</v>
      </c>
      <c r="H1125" s="29" t="str">
        <f>VLOOKUP(A1125,File!$A:$J,8,FALSE)</f>
        <v>Pavithra Kandasamy</v>
      </c>
      <c r="I1125" s="31">
        <f>VLOOKUP(A1125,File!$A:$J,9,FALSE)</f>
        <v>46304</v>
      </c>
      <c r="J1125" s="31" t="str">
        <f>VLOOKUP(A1125,File!$A:$K,11,FALSE)</f>
        <v>Oct 2026</v>
      </c>
      <c r="K1125" s="31" t="str">
        <f>VLOOKUP(A1125,File!$A:$K,10,FALSE)</f>
        <v>In-Training</v>
      </c>
      <c r="L1125" s="31" t="s">
        <v>4</v>
      </c>
      <c r="M1125" t="str">
        <f>VLOOKUP(A1125,Response!$A:$M,7,)</f>
        <v>PG (Paying Guest)</v>
      </c>
      <c r="N1125" t="str">
        <f>VLOOKUP(A1125,Response!$A:$M,8,)</f>
        <v>SMILES INN LADIES PG-  BRANCH 2,EGATTUR</v>
      </c>
      <c r="O1125" s="4">
        <f>VLOOKUP(A1125,Response!$A:$M,10,)</f>
        <v>4</v>
      </c>
      <c r="P1125" t="str">
        <f>VLOOKUP(A1125,Response!$A:$M,12,)</f>
        <v>Yes</v>
      </c>
      <c r="Q1125" t="str">
        <f>VLOOKUP(A1125,Response!$A:$M,11,)</f>
        <v>Egattur</v>
      </c>
      <c r="R1125" t="s">
        <v>19</v>
      </c>
      <c r="S1125" s="39" t="s">
        <v>37</v>
      </c>
    </row>
    <row r="1126" spans="1:19">
      <c r="A1126" s="3">
        <v>2521702</v>
      </c>
      <c r="B1126" t="str">
        <f>VLOOKUP(A1126,File!$A:$J,2,FALSE)</f>
        <v>Srirangam Baby Iswarya</v>
      </c>
      <c r="C1126" s="29">
        <f>VLOOKUP(A1126,File!$A:$J,5,FALSE)</f>
        <v>46212</v>
      </c>
      <c r="D1126" s="29" t="str">
        <f>VLOOKUP(A1126,File!$A:$J,3,FALSE)</f>
        <v>Female</v>
      </c>
      <c r="E1126" s="29" t="str">
        <f>VLOOKUP(A1126,File!$A:$J,4,FALSE)</f>
        <v>FTE</v>
      </c>
      <c r="F1126" s="29" t="str">
        <f>VLOOKUP(A1126,File!$A:$J,6,FALSE)</f>
        <v>Chennai</v>
      </c>
      <c r="G1126" s="29" t="str">
        <f>VLOOKUP(A1126,File!$A:$J,7,FALSE)</f>
        <v>AIA26DSAT004</v>
      </c>
      <c r="H1126" s="29" t="str">
        <f>VLOOKUP(A1126,File!$A:$J,8,FALSE)</f>
        <v>Pavithra Kandasamy</v>
      </c>
      <c r="I1126" s="31">
        <f>VLOOKUP(A1126,File!$A:$J,9,FALSE)</f>
        <v>46304</v>
      </c>
      <c r="J1126" s="31" t="str">
        <f>VLOOKUP(A1126,File!$A:$K,11,FALSE)</f>
        <v>Oct 2026</v>
      </c>
      <c r="K1126" s="31" t="str">
        <f>VLOOKUP(A1126,File!$A:$K,10,FALSE)</f>
        <v>In-Training</v>
      </c>
      <c r="L1126" s="31" t="s">
        <v>4</v>
      </c>
      <c r="M1126" t="str">
        <f>VLOOKUP(A1126,Response!$A:$M,7,)</f>
        <v>PG (Paying Guest)</v>
      </c>
      <c r="N1126" t="str">
        <f>VLOOKUP(A1126,Response!$A:$M,8,)</f>
        <v>Smiles inn ladies pg, - branch 2,egattur</v>
      </c>
      <c r="O1126" s="4">
        <f>VLOOKUP(A1126,Response!$A:$M,10,)</f>
        <v>1</v>
      </c>
      <c r="P1126" t="str">
        <f>VLOOKUP(A1126,Response!$A:$M,12,)</f>
        <v>No</v>
      </c>
      <c r="Q1126" t="str">
        <f>VLOOKUP(A1126,Response!$A:$M,11,)</f>
        <v>Siruseri</v>
      </c>
      <c r="R1126" t="s">
        <v>19</v>
      </c>
      <c r="S1126" s="39" t="s">
        <v>37</v>
      </c>
    </row>
    <row r="1127" spans="1:19">
      <c r="A1127" s="3">
        <v>2524660</v>
      </c>
      <c r="B1127" t="str">
        <f>VLOOKUP(A1127,File!$A:$J,2,FALSE)</f>
        <v>Varshaa LNU</v>
      </c>
      <c r="C1127" s="29">
        <f>VLOOKUP(A1127,File!$A:$J,5,FALSE)</f>
        <v>46224</v>
      </c>
      <c r="D1127" s="29" t="str">
        <f>VLOOKUP(A1127,File!$A:$J,3,FALSE)</f>
        <v>Female</v>
      </c>
      <c r="E1127" s="29" t="str">
        <f>VLOOKUP(A1127,File!$A:$J,4,FALSE)</f>
        <v>FTE</v>
      </c>
      <c r="F1127" s="29" t="str">
        <f>VLOOKUP(A1127,File!$A:$J,6,FALSE)</f>
        <v>Chennai</v>
      </c>
      <c r="G1127" s="29" t="str">
        <f>VLOOKUP(A1127,File!$A:$J,7,FALSE)</f>
        <v>QEA26SD001</v>
      </c>
      <c r="H1127" s="29" t="str">
        <f>VLOOKUP(A1127,File!$A:$J,8,FALSE)</f>
        <v>Ajiesya D P</v>
      </c>
      <c r="I1127" s="31">
        <f>VLOOKUP(A1127,File!$A:$J,9,FALSE)</f>
        <v>46329</v>
      </c>
      <c r="J1127" s="31" t="str">
        <f>VLOOKUP(A1127,File!$A:$K,11,FALSE)</f>
        <v>Nov 2026</v>
      </c>
      <c r="K1127" s="31" t="str">
        <f>VLOOKUP(A1127,File!$A:$K,10,FALSE)</f>
        <v>In-Training</v>
      </c>
      <c r="L1127" s="31" t="s">
        <v>4</v>
      </c>
      <c r="M1127" t="str">
        <f>VLOOKUP(A1127,Response!$A:$M,7,)</f>
        <v>PG (Paying Guest)</v>
      </c>
      <c r="N1127" t="str">
        <f>VLOOKUP(A1127,Response!$A:$M,8,)</f>
        <v>Smiles Inn Ladies Pg, Near TVS Service, Egattur</v>
      </c>
      <c r="O1127" s="4">
        <f>VLOOKUP(A1127,Response!$A:$M,10,)</f>
        <v>3</v>
      </c>
      <c r="P1127" t="str">
        <f>VLOOKUP(A1127,Response!$A:$M,12,)</f>
        <v>Yes</v>
      </c>
      <c r="Q1127" t="str">
        <f>VLOOKUP(A1127,Response!$A:$M,11,)</f>
        <v>Egattur</v>
      </c>
      <c r="R1127" t="s">
        <v>19</v>
      </c>
      <c r="S1127" s="39" t="s">
        <v>37</v>
      </c>
    </row>
    <row r="1128" spans="1:19">
      <c r="A1128" s="3">
        <v>2521674</v>
      </c>
      <c r="B1128" t="str">
        <f>VLOOKUP(A1128,File!$A:$J,2,FALSE)</f>
        <v>Kavya Nagulapalli</v>
      </c>
      <c r="C1128" s="29">
        <f>VLOOKUP(A1128,File!$A:$J,5,FALSE)</f>
        <v>46212</v>
      </c>
      <c r="D1128" s="29" t="str">
        <f>VLOOKUP(A1128,File!$A:$J,3,FALSE)</f>
        <v>Female</v>
      </c>
      <c r="E1128" s="29" t="str">
        <f>VLOOKUP(A1128,File!$A:$J,4,FALSE)</f>
        <v>FTE</v>
      </c>
      <c r="F1128" s="29" t="str">
        <f>VLOOKUP(A1128,File!$A:$J,6,FALSE)</f>
        <v>Chennai</v>
      </c>
      <c r="G1128" s="29" t="str">
        <f>VLOOKUP(A1128,File!$A:$J,7,FALSE)</f>
        <v>ADM26MF011</v>
      </c>
      <c r="H1128" s="29" t="str">
        <f>VLOOKUP(A1128,File!$A:$J,8,FALSE)</f>
        <v>Abinaya R</v>
      </c>
      <c r="I1128" s="31">
        <f>VLOOKUP(A1128,File!$A:$J,9,FALSE)</f>
        <v>46328</v>
      </c>
      <c r="J1128" s="31" t="str">
        <f>VLOOKUP(A1128,File!$A:$K,11,FALSE)</f>
        <v>Nov 2026</v>
      </c>
      <c r="K1128" s="31" t="str">
        <f>VLOOKUP(A1128,File!$A:$K,10,FALSE)</f>
        <v>In-Training</v>
      </c>
      <c r="L1128" s="31" t="s">
        <v>4</v>
      </c>
      <c r="M1128" t="str">
        <f>VLOOKUP(A1128,Response!$A:$M,7,)</f>
        <v>PG (Paying Guest)</v>
      </c>
      <c r="N1128" t="str">
        <f>VLOOKUP(A1128,Response!$A:$M,8,)</f>
        <v>SMILES INN PG</v>
      </c>
      <c r="O1128" s="4">
        <f>VLOOKUP(A1128,Response!$A:$M,10,)</f>
        <v>4</v>
      </c>
      <c r="P1128" t="str">
        <f>VLOOKUP(A1128,Response!$A:$M,12,)</f>
        <v>No</v>
      </c>
      <c r="Q1128" t="str">
        <f>VLOOKUP(A1128,Response!$A:$M,11,)</f>
        <v>Siruseri</v>
      </c>
      <c r="R1128" t="s">
        <v>19</v>
      </c>
      <c r="S1128" s="39" t="s">
        <v>37</v>
      </c>
    </row>
    <row r="1129" spans="1:19">
      <c r="A1129" s="3">
        <v>2532913</v>
      </c>
      <c r="B1129" t="str">
        <f>VLOOKUP(A1129,File!$A:$J,2,FALSE)</f>
        <v>Ikkurthi Mahitha</v>
      </c>
      <c r="C1129" s="29">
        <f>VLOOKUP(A1129,File!$A:$J,5,FALSE)</f>
        <v>46259</v>
      </c>
      <c r="D1129" s="29" t="str">
        <f>VLOOKUP(A1129,File!$A:$J,3,FALSE)</f>
        <v>Female</v>
      </c>
      <c r="E1129" s="29" t="str">
        <f>VLOOKUP(A1129,File!$A:$J,4,FALSE)</f>
        <v>FTE</v>
      </c>
      <c r="F1129" s="29" t="str">
        <f>VLOOKUP(A1129,File!$A:$J,6,FALSE)</f>
        <v>Chennai</v>
      </c>
      <c r="G1129" s="29" t="str">
        <f>VLOOKUP(A1129,File!$A:$J,7,FALSE)</f>
        <v>CIS26MBG005</v>
      </c>
      <c r="H1129" s="29" t="str">
        <f>VLOOKUP(A1129,File!$A:$J,8,FALSE)</f>
        <v>Angel Maria Faustina Gomez</v>
      </c>
      <c r="I1129" s="31">
        <f>VLOOKUP(A1129,File!$A:$J,9,FALSE)</f>
        <v>46367</v>
      </c>
      <c r="J1129" s="31" t="str">
        <f>VLOOKUP(A1129,File!$A:$K,11,FALSE)</f>
        <v>Dec 2026</v>
      </c>
      <c r="K1129" s="31" t="str">
        <f>VLOOKUP(A1129,File!$A:$K,10,FALSE)</f>
        <v>In-Training</v>
      </c>
      <c r="L1129" s="31" t="s">
        <v>4</v>
      </c>
      <c r="M1129" t="str">
        <f>VLOOKUP(A1129,Response!$A:$M,7,)</f>
        <v>PG (Paying Guest)</v>
      </c>
      <c r="N1129" t="str">
        <f>VLOOKUP(A1129,Response!$A:$M,8,)</f>
        <v xml:space="preserve">SMILES INN PG </v>
      </c>
      <c r="O1129" s="4">
        <f>VLOOKUP(A1129,Response!$A:$M,10,)</f>
        <v>1</v>
      </c>
      <c r="P1129" t="str">
        <f>VLOOKUP(A1129,Response!$A:$M,12,)</f>
        <v>No</v>
      </c>
      <c r="Q1129" t="str">
        <f>VLOOKUP(A1129,Response!$A:$M,11,)</f>
        <v>Siruseri</v>
      </c>
      <c r="R1129" t="s">
        <v>19</v>
      </c>
      <c r="S1129" s="39" t="s">
        <v>37</v>
      </c>
    </row>
    <row r="1130" spans="1:19">
      <c r="A1130" s="3">
        <v>2522843</v>
      </c>
      <c r="B1130" t="str">
        <f>VLOOKUP(A1130,File!$A:$J,2,FALSE)</f>
        <v>ALLURI  Pooja</v>
      </c>
      <c r="C1130" s="29">
        <f>VLOOKUP(A1130,File!$A:$J,5,FALSE)</f>
        <v>46217</v>
      </c>
      <c r="D1130" s="29" t="str">
        <f>VLOOKUP(A1130,File!$A:$J,3,FALSE)</f>
        <v>Female</v>
      </c>
      <c r="E1130" s="29" t="str">
        <f>VLOOKUP(A1130,File!$A:$J,4,FALSE)</f>
        <v>FTE</v>
      </c>
      <c r="F1130" s="29" t="str">
        <f>VLOOKUP(A1130,File!$A:$J,6,FALSE)</f>
        <v>Chennai</v>
      </c>
      <c r="G1130" s="29" t="str">
        <f>VLOOKUP(A1130,File!$A:$J,7,FALSE)</f>
        <v>QEA26ST001</v>
      </c>
      <c r="H1130" s="29" t="str">
        <f>VLOOKUP(A1130,File!$A:$J,8,FALSE)</f>
        <v>Angel Maria Faustina Gomez</v>
      </c>
      <c r="I1130" s="31">
        <f>VLOOKUP(A1130,File!$A:$J,9,FALSE)</f>
        <v>46310</v>
      </c>
      <c r="J1130" s="31" t="str">
        <f>VLOOKUP(A1130,File!$A:$K,11,FALSE)</f>
        <v>Oct 2026</v>
      </c>
      <c r="K1130" s="31" t="str">
        <f>VLOOKUP(A1130,File!$A:$K,10,FALSE)</f>
        <v>In-Training</v>
      </c>
      <c r="L1130" s="31" t="s">
        <v>4</v>
      </c>
      <c r="M1130" t="str">
        <f>VLOOKUP(A1130,Response!$A:$M,7,)</f>
        <v>PG (Paying Guest)</v>
      </c>
      <c r="N1130" t="str">
        <f>VLOOKUP(A1130,Response!$A:$M,8,)</f>
        <v>Smiles Inn PG - Branch 1, Egatoor</v>
      </c>
      <c r="O1130" s="4">
        <f>VLOOKUP(A1130,Response!$A:$M,10,)</f>
        <v>4</v>
      </c>
      <c r="P1130" t="str">
        <f>VLOOKUP(A1130,Response!$A:$M,12,)</f>
        <v>No</v>
      </c>
      <c r="Q1130" t="str">
        <f>VLOOKUP(A1130,Response!$A:$M,11,)</f>
        <v>Siruseri</v>
      </c>
      <c r="R1130" t="s">
        <v>19</v>
      </c>
      <c r="S1130" s="39" t="s">
        <v>37</v>
      </c>
    </row>
    <row r="1131" spans="1:19">
      <c r="A1131" s="3">
        <v>2521706</v>
      </c>
      <c r="B1131" t="str">
        <f>VLOOKUP(A1131,File!$A:$J,2,FALSE)</f>
        <v>Brinda A</v>
      </c>
      <c r="C1131" s="29">
        <f>VLOOKUP(A1131,File!$A:$J,5,FALSE)</f>
        <v>46212</v>
      </c>
      <c r="D1131" s="29" t="str">
        <f>VLOOKUP(A1131,File!$A:$J,3,FALSE)</f>
        <v>Female</v>
      </c>
      <c r="E1131" s="29" t="str">
        <f>VLOOKUP(A1131,File!$A:$J,4,FALSE)</f>
        <v>FTE</v>
      </c>
      <c r="F1131" s="29" t="str">
        <f>VLOOKUP(A1131,File!$A:$J,6,FALSE)</f>
        <v>Chennai</v>
      </c>
      <c r="G1131" s="29" t="str">
        <f>VLOOKUP(A1131,File!$A:$J,7,FALSE)</f>
        <v>ADM26DNAT003</v>
      </c>
      <c r="H1131" s="29" t="str">
        <f>VLOOKUP(A1131,File!$A:$J,8,FALSE)</f>
        <v>Athira P</v>
      </c>
      <c r="I1131" s="31">
        <f>VLOOKUP(A1131,File!$A:$J,9,FALSE)</f>
        <v>46318</v>
      </c>
      <c r="J1131" s="31" t="str">
        <f>VLOOKUP(A1131,File!$A:$K,11,FALSE)</f>
        <v>Oct 2026</v>
      </c>
      <c r="K1131" s="31" t="str">
        <f>VLOOKUP(A1131,File!$A:$K,10,FALSE)</f>
        <v>In-Training</v>
      </c>
      <c r="L1131" s="31" t="s">
        <v>4</v>
      </c>
      <c r="M1131" t="str">
        <f>VLOOKUP(A1131,Response!$A:$M,7,)</f>
        <v>PG (Paying Guest)</v>
      </c>
      <c r="N1131" t="str">
        <f>VLOOKUP(A1131,Response!$A:$M,8,)</f>
        <v>Smiles Inn Pg , Egatur</v>
      </c>
      <c r="O1131" s="4">
        <f>VLOOKUP(A1131,Response!$A:$M,10,)</f>
        <v>1</v>
      </c>
      <c r="P1131" t="str">
        <f>VLOOKUP(A1131,Response!$A:$M,12,)</f>
        <v>No</v>
      </c>
      <c r="Q1131" t="str">
        <f>VLOOKUP(A1131,Response!$A:$M,11,)</f>
        <v>Egattur</v>
      </c>
      <c r="R1131" t="s">
        <v>19</v>
      </c>
      <c r="S1131" s="39" t="s">
        <v>37</v>
      </c>
    </row>
    <row r="1132" spans="1:19">
      <c r="A1132" s="3">
        <v>2531988</v>
      </c>
      <c r="B1132" t="str">
        <f>VLOOKUP(A1132,File!$A:$J,2,FALSE)</f>
        <v>Ramya V</v>
      </c>
      <c r="C1132" s="29">
        <f>VLOOKUP(A1132,File!$A:$J,5,FALSE)</f>
        <v>46254</v>
      </c>
      <c r="D1132" s="29" t="str">
        <f>VLOOKUP(A1132,File!$A:$J,3,FALSE)</f>
        <v>Female</v>
      </c>
      <c r="E1132" s="29" t="str">
        <f>VLOOKUP(A1132,File!$A:$J,4,FALSE)</f>
        <v>FTE</v>
      </c>
      <c r="F1132" s="29" t="str">
        <f>VLOOKUP(A1132,File!$A:$J,6,FALSE)</f>
        <v>Chennai</v>
      </c>
      <c r="G1132" s="29" t="str">
        <f>VLOOKUP(A1132,File!$A:$J,7,FALSE)</f>
        <v>EPS26OSP011</v>
      </c>
      <c r="H1132" s="29" t="str">
        <f>VLOOKUP(A1132,File!$A:$J,8,FALSE)</f>
        <v>Gayathri Ramachandran</v>
      </c>
      <c r="I1132" s="31" t="str">
        <f>VLOOKUP(A1132,File!$A:$J,9,FALSE)</f>
        <v/>
      </c>
      <c r="J1132" s="44" t="s">
        <v>33</v>
      </c>
      <c r="K1132" s="31" t="str">
        <f>VLOOKUP(A1132,File!$A:$K,10,FALSE)</f>
        <v>Training - ON Hold</v>
      </c>
      <c r="L1132" s="31" t="s">
        <v>4</v>
      </c>
      <c r="M1132" t="str">
        <f>VLOOKUP(A1132,Response!$A:$M,7,)</f>
        <v>PG (Paying Guest)</v>
      </c>
      <c r="N1132" t="str">
        <f>VLOOKUP(A1132,Response!$A:$M,8,)</f>
        <v>Smiles inn PG BRANCH 3 EGATTUR</v>
      </c>
      <c r="O1132" s="4">
        <f>VLOOKUP(A1132,Response!$A:$M,10,)</f>
        <v>3</v>
      </c>
      <c r="P1132" t="str">
        <f>VLOOKUP(A1132,Response!$A:$M,12,)</f>
        <v>Yes</v>
      </c>
      <c r="Q1132" t="str">
        <f>VLOOKUP(A1132,Response!$A:$M,11,)</f>
        <v>Siruseri</v>
      </c>
      <c r="R1132" t="s">
        <v>19</v>
      </c>
      <c r="S1132" s="39" t="s">
        <v>37</v>
      </c>
    </row>
    <row r="1133" spans="1:19">
      <c r="A1133" s="3">
        <v>2521049</v>
      </c>
      <c r="B1133" t="str">
        <f>VLOOKUP(A1133,File!$A:$J,2,FALSE)</f>
        <v>Rakshita Ramesh Danagoud</v>
      </c>
      <c r="C1133" s="29">
        <f>VLOOKUP(A1133,File!$A:$J,5,FALSE)</f>
        <v>46210</v>
      </c>
      <c r="D1133" s="29" t="str">
        <f>VLOOKUP(A1133,File!$A:$J,3,FALSE)</f>
        <v>Female</v>
      </c>
      <c r="E1133" s="29" t="str">
        <f>VLOOKUP(A1133,File!$A:$J,4,FALSE)</f>
        <v>FTE</v>
      </c>
      <c r="F1133" s="29" t="str">
        <f>VLOOKUP(A1133,File!$A:$J,6,FALSE)</f>
        <v>Chennai</v>
      </c>
      <c r="G1133" s="29" t="str">
        <f>VLOOKUP(A1133,File!$A:$J,7,FALSE)</f>
        <v>SNBG26SN004</v>
      </c>
      <c r="H1133" s="29" t="str">
        <f>VLOOKUP(A1133,File!$A:$J,8,FALSE)</f>
        <v>Kishorekumar P</v>
      </c>
      <c r="I1133" s="31">
        <f>VLOOKUP(A1133,File!$A:$J,9,FALSE)</f>
        <v>46303</v>
      </c>
      <c r="J1133" s="31" t="str">
        <f>VLOOKUP(A1133,File!$A:$K,11,FALSE)</f>
        <v>Oct 2026</v>
      </c>
      <c r="K1133" s="31" t="str">
        <f>VLOOKUP(A1133,File!$A:$K,10,FALSE)</f>
        <v>In-Training</v>
      </c>
      <c r="L1133" s="31" t="s">
        <v>4</v>
      </c>
      <c r="M1133" t="str">
        <f>VLOOKUP(A1133,Response!$A:$M,7,)</f>
        <v>PG (Paying Guest)</v>
      </c>
      <c r="N1133" t="str">
        <f>VLOOKUP(A1133,Response!$A:$M,8,)</f>
        <v>Smiles Inn pg for girls JJ nagar, Egattur</v>
      </c>
      <c r="O1133" s="4">
        <f>VLOOKUP(A1133,Response!$A:$M,10,)</f>
        <v>1</v>
      </c>
      <c r="P1133" t="str">
        <f>VLOOKUP(A1133,Response!$A:$M,12,)</f>
        <v>No</v>
      </c>
      <c r="Q1133" t="str">
        <f>VLOOKUP(A1133,Response!$A:$M,11,)</f>
        <v>Egattur</v>
      </c>
      <c r="R1133" t="s">
        <v>19</v>
      </c>
      <c r="S1133" s="39" t="s">
        <v>37</v>
      </c>
    </row>
    <row r="1134" spans="1:19">
      <c r="A1134" s="3">
        <v>2516822</v>
      </c>
      <c r="B1134" t="str">
        <f>VLOOKUP(A1134,File!$A:$J,2,FALSE)</f>
        <v>Ananya Praseed Kumar</v>
      </c>
      <c r="C1134" s="29">
        <f>VLOOKUP(A1134,File!$A:$J,5,FALSE)</f>
        <v>46191</v>
      </c>
      <c r="D1134" s="29" t="str">
        <f>VLOOKUP(A1134,File!$A:$J,3,FALSE)</f>
        <v>Female</v>
      </c>
      <c r="E1134" s="29" t="str">
        <f>VLOOKUP(A1134,File!$A:$J,4,FALSE)</f>
        <v>FTE</v>
      </c>
      <c r="F1134" s="29" t="str">
        <f>VLOOKUP(A1134,File!$A:$J,6,FALSE)</f>
        <v>Chennai</v>
      </c>
      <c r="G1134" s="29" t="str">
        <f>VLOOKUP(A1134,File!$A:$J,7,FALSE)</f>
        <v>CIS26MW001</v>
      </c>
      <c r="H1134" s="29" t="str">
        <f>VLOOKUP(A1134,File!$A:$J,8,FALSE)</f>
        <v>Ashiya Begam S</v>
      </c>
      <c r="I1134" s="31">
        <f>VLOOKUP(A1134,File!$A:$J,9,FALSE)</f>
        <v>46276</v>
      </c>
      <c r="J1134" s="31" t="str">
        <f>VLOOKUP(A1134,File!$A:$K,11,FALSE)</f>
        <v>Sep 2026</v>
      </c>
      <c r="K1134" s="31" t="str">
        <f>VLOOKUP(A1134,File!$A:$K,10,FALSE)</f>
        <v>In-Training</v>
      </c>
      <c r="L1134" s="31" t="s">
        <v>4</v>
      </c>
      <c r="M1134" t="str">
        <f>VLOOKUP(A1134,Response!$A:$M,7,)</f>
        <v>PG (Paying Guest)</v>
      </c>
      <c r="N1134" t="str">
        <f>VLOOKUP(A1134,Response!$A:$M,8,)</f>
        <v>Smiles Inn PG for Ladies</v>
      </c>
      <c r="O1134" s="4">
        <f>VLOOKUP(A1134,Response!$A:$M,10,)</f>
        <v>4</v>
      </c>
      <c r="P1134" t="str">
        <f>VLOOKUP(A1134,Response!$A:$M,12,)</f>
        <v>Yes</v>
      </c>
      <c r="Q1134" t="str">
        <f>VLOOKUP(A1134,Response!$A:$M,11,)</f>
        <v>Egattur</v>
      </c>
      <c r="R1134" t="s">
        <v>19</v>
      </c>
      <c r="S1134" s="39" t="s">
        <v>37</v>
      </c>
    </row>
    <row r="1135" spans="1:19">
      <c r="A1135" s="3">
        <v>2516874</v>
      </c>
      <c r="B1135" t="str">
        <f>VLOOKUP(A1135,File!$A:$J,2,FALSE)</f>
        <v>Anjana K</v>
      </c>
      <c r="C1135" s="29">
        <f>VLOOKUP(A1135,File!$A:$J,5,FALSE)</f>
        <v>46191</v>
      </c>
      <c r="D1135" s="29" t="str">
        <f>VLOOKUP(A1135,File!$A:$J,3,FALSE)</f>
        <v>Female</v>
      </c>
      <c r="E1135" s="29" t="str">
        <f>VLOOKUP(A1135,File!$A:$J,4,FALSE)</f>
        <v>FTE</v>
      </c>
      <c r="F1135" s="29" t="str">
        <f>VLOOKUP(A1135,File!$A:$J,6,FALSE)</f>
        <v>Chennai</v>
      </c>
      <c r="G1135" s="29" t="str">
        <f>VLOOKUP(A1135,File!$A:$J,7,FALSE)</f>
        <v>CIS26MW001</v>
      </c>
      <c r="H1135" s="29" t="str">
        <f>VLOOKUP(A1135,File!$A:$J,8,FALSE)</f>
        <v>Ashiya Begam S</v>
      </c>
      <c r="I1135" s="31">
        <f>VLOOKUP(A1135,File!$A:$J,9,FALSE)</f>
        <v>46276</v>
      </c>
      <c r="J1135" s="31" t="str">
        <f>VLOOKUP(A1135,File!$A:$K,11,FALSE)</f>
        <v>Sep 2026</v>
      </c>
      <c r="K1135" s="31" t="str">
        <f>VLOOKUP(A1135,File!$A:$K,10,FALSE)</f>
        <v>In-Training</v>
      </c>
      <c r="L1135" s="31" t="s">
        <v>4</v>
      </c>
      <c r="M1135" t="str">
        <f>VLOOKUP(A1135,Response!$A:$M,7,)</f>
        <v>PG (Paying Guest)</v>
      </c>
      <c r="N1135" t="str">
        <f>VLOOKUP(A1135,Response!$A:$M,8,)</f>
        <v>Smiles Inn PG for ladies</v>
      </c>
      <c r="O1135" s="4">
        <f>VLOOKUP(A1135,Response!$A:$M,10,)</f>
        <v>4</v>
      </c>
      <c r="P1135" t="str">
        <f>VLOOKUP(A1135,Response!$A:$M,12,)</f>
        <v>No</v>
      </c>
      <c r="Q1135" t="str">
        <f>VLOOKUP(A1135,Response!$A:$M,11,)</f>
        <v>Egattur</v>
      </c>
      <c r="R1135" t="s">
        <v>19</v>
      </c>
      <c r="S1135" s="39" t="s">
        <v>37</v>
      </c>
    </row>
    <row r="1136" spans="1:19">
      <c r="A1136" s="3">
        <v>2520958</v>
      </c>
      <c r="B1136" t="str">
        <f>VLOOKUP(A1136,File!$A:$J,2,FALSE)</f>
        <v>Chaithanya Shaji</v>
      </c>
      <c r="C1136" s="29">
        <f>VLOOKUP(A1136,File!$A:$J,5,FALSE)</f>
        <v>46210</v>
      </c>
      <c r="D1136" s="29" t="str">
        <f>VLOOKUP(A1136,File!$A:$J,3,FALSE)</f>
        <v>Female</v>
      </c>
      <c r="E1136" s="29" t="str">
        <f>VLOOKUP(A1136,File!$A:$J,4,FALSE)</f>
        <v>FTE</v>
      </c>
      <c r="F1136" s="29" t="str">
        <f>VLOOKUP(A1136,File!$A:$J,6,FALSE)</f>
        <v>Chennai</v>
      </c>
      <c r="G1136" s="29" t="str">
        <f>VLOOKUP(A1136,File!$A:$J,7,FALSE)</f>
        <v>HPC26DN005</v>
      </c>
      <c r="H1136" s="29" t="str">
        <f>VLOOKUP(A1136,File!$A:$J,8,FALSE)</f>
        <v>Viveka Preethi</v>
      </c>
      <c r="I1136" s="31">
        <f>VLOOKUP(A1136,File!$A:$J,9,FALSE)</f>
        <v>46296</v>
      </c>
      <c r="J1136" s="31" t="str">
        <f>VLOOKUP(A1136,File!$A:$K,11,FALSE)</f>
        <v>Oct 2026</v>
      </c>
      <c r="K1136" s="31" t="str">
        <f>VLOOKUP(A1136,File!$A:$K,10,FALSE)</f>
        <v>In-Training</v>
      </c>
      <c r="L1136" s="31" t="s">
        <v>4</v>
      </c>
      <c r="M1136" t="str">
        <f>VLOOKUP(A1136,Response!$A:$M,7,)</f>
        <v>PG (Paying Guest)</v>
      </c>
      <c r="N1136" t="str">
        <f>VLOOKUP(A1136,Response!$A:$M,8,)</f>
        <v>Smiles Inn Pg for Ladies - Near Hameed Fathima Jumma Masjid, Egattur</v>
      </c>
      <c r="O1136" s="4">
        <f>VLOOKUP(A1136,Response!$A:$M,10,)</f>
        <v>4</v>
      </c>
      <c r="P1136" t="str">
        <f>VLOOKUP(A1136,Response!$A:$M,12,)</f>
        <v>No</v>
      </c>
      <c r="Q1136" t="str">
        <f>VLOOKUP(A1136,Response!$A:$M,11,)</f>
        <v>Egattur</v>
      </c>
      <c r="R1136" t="s">
        <v>19</v>
      </c>
      <c r="S1136" s="39" t="s">
        <v>37</v>
      </c>
    </row>
    <row r="1137" spans="1:19">
      <c r="A1137" s="3">
        <v>2529499</v>
      </c>
      <c r="B1137" t="str">
        <f>VLOOKUP(A1137,File!$A:$J,2,FALSE)</f>
        <v>Ramya Varshini GH</v>
      </c>
      <c r="C1137" s="29">
        <f>VLOOKUP(A1137,File!$A:$J,5,FALSE)</f>
        <v>46245</v>
      </c>
      <c r="D1137" s="29" t="str">
        <f>VLOOKUP(A1137,File!$A:$J,3,FALSE)</f>
        <v>Female</v>
      </c>
      <c r="E1137" s="29" t="str">
        <f>VLOOKUP(A1137,File!$A:$J,4,FALSE)</f>
        <v>FTE</v>
      </c>
      <c r="F1137" s="29" t="str">
        <f>VLOOKUP(A1137,File!$A:$J,6,FALSE)</f>
        <v>Chennai</v>
      </c>
      <c r="G1137" s="29" t="str">
        <f>VLOOKUP(A1137,File!$A:$J,7,FALSE)</f>
        <v>CIS26MCPT024</v>
      </c>
      <c r="H1137" s="29" t="str">
        <f>VLOOKUP(A1137,File!$A:$J,8,FALSE)</f>
        <v>Ashiya Begam S</v>
      </c>
      <c r="I1137" s="31">
        <f>VLOOKUP(A1137,File!$A:$J,9,FALSE)</f>
        <v>46359</v>
      </c>
      <c r="J1137" s="31" t="str">
        <f>VLOOKUP(A1137,File!$A:$K,11,FALSE)</f>
        <v>Dec 2026</v>
      </c>
      <c r="K1137" s="31" t="str">
        <f>VLOOKUP(A1137,File!$A:$K,10,FALSE)</f>
        <v>In-Training</v>
      </c>
      <c r="L1137" s="31" t="s">
        <v>4</v>
      </c>
      <c r="M1137" t="str">
        <f>VLOOKUP(A1137,Response!$A:$M,7,)</f>
        <v>PG (Paying Guest)</v>
      </c>
      <c r="N1137" t="str">
        <f>VLOOKUP(A1137,Response!$A:$M,8,)</f>
        <v>Smiles Inn PG for Womens, Egattur</v>
      </c>
      <c r="O1137" s="4">
        <f>VLOOKUP(A1137,Response!$A:$M,10,)</f>
        <v>3</v>
      </c>
      <c r="P1137" t="str">
        <f>VLOOKUP(A1137,Response!$A:$M,12,)</f>
        <v>No</v>
      </c>
      <c r="Q1137" t="str">
        <f>VLOOKUP(A1137,Response!$A:$M,11,)</f>
        <v>Egattur</v>
      </c>
      <c r="R1137" t="s">
        <v>19</v>
      </c>
      <c r="S1137" s="39" t="s">
        <v>37</v>
      </c>
    </row>
    <row r="1138" spans="1:19">
      <c r="A1138" s="3">
        <v>2524518</v>
      </c>
      <c r="B1138" t="str">
        <f>VLOOKUP(A1138,File!$A:$J,2,FALSE)</f>
        <v>Sahana V Iyer</v>
      </c>
      <c r="C1138" s="29">
        <f>VLOOKUP(A1138,File!$A:$J,5,FALSE)</f>
        <v>46224</v>
      </c>
      <c r="D1138" s="29" t="str">
        <f>VLOOKUP(A1138,File!$A:$J,3,FALSE)</f>
        <v>Female</v>
      </c>
      <c r="E1138" s="29" t="str">
        <f>VLOOKUP(A1138,File!$A:$J,4,FALSE)</f>
        <v>FTE</v>
      </c>
      <c r="F1138" s="29" t="str">
        <f>VLOOKUP(A1138,File!$A:$J,6,FALSE)</f>
        <v>Chennai</v>
      </c>
      <c r="G1138" s="29" t="str">
        <f>VLOOKUP(A1138,File!$A:$J,7,FALSE)</f>
        <v>IOA26RPA005</v>
      </c>
      <c r="H1138" s="29" t="str">
        <f>VLOOKUP(A1138,File!$A:$J,8,FALSE)</f>
        <v>Adarsh J Nair</v>
      </c>
      <c r="I1138" s="31">
        <f>VLOOKUP(A1138,File!$A:$J,9,FALSE)</f>
        <v>46309</v>
      </c>
      <c r="J1138" s="31" t="str">
        <f>VLOOKUP(A1138,File!$A:$K,11,FALSE)</f>
        <v>Oct 2026</v>
      </c>
      <c r="K1138" s="31" t="str">
        <f>VLOOKUP(A1138,File!$A:$K,10,FALSE)</f>
        <v>In-Training</v>
      </c>
      <c r="L1138" s="31" t="s">
        <v>4</v>
      </c>
      <c r="M1138" t="str">
        <f>VLOOKUP(A1138,Response!$A:$M,7,)</f>
        <v>PG (Paying Guest)</v>
      </c>
      <c r="N1138" t="str">
        <f>VLOOKUP(A1138,Response!$A:$M,8,)</f>
        <v>Smiles Inn PG Services for ladies</v>
      </c>
      <c r="O1138" s="4" t="str">
        <f>VLOOKUP(A1138,Response!$A:$M,10,)</f>
        <v>GF</v>
      </c>
      <c r="P1138" t="str">
        <f>VLOOKUP(A1138,Response!$A:$M,12,)</f>
        <v>No</v>
      </c>
      <c r="Q1138" t="str">
        <f>VLOOKUP(A1138,Response!$A:$M,11,)</f>
        <v>Egattur</v>
      </c>
      <c r="R1138" t="s">
        <v>19</v>
      </c>
      <c r="S1138" s="39" t="s">
        <v>37</v>
      </c>
    </row>
    <row r="1139" spans="1:19">
      <c r="A1139" s="3">
        <v>2521136</v>
      </c>
      <c r="B1139" t="str">
        <f>VLOOKUP(A1139,File!$A:$J,2,FALSE)</f>
        <v>Mohanavalli T</v>
      </c>
      <c r="C1139" s="29">
        <f>VLOOKUP(A1139,File!$A:$J,5,FALSE)</f>
        <v>46210</v>
      </c>
      <c r="D1139" s="29" t="str">
        <f>VLOOKUP(A1139,File!$A:$J,3,FALSE)</f>
        <v>Female</v>
      </c>
      <c r="E1139" s="29" t="str">
        <f>VLOOKUP(A1139,File!$A:$J,4,FALSE)</f>
        <v>FTE</v>
      </c>
      <c r="F1139" s="29" t="str">
        <f>VLOOKUP(A1139,File!$A:$J,6,FALSE)</f>
        <v>Chennai</v>
      </c>
      <c r="G1139" s="29" t="str">
        <f>VLOOKUP(A1139,File!$A:$J,7,FALSE)</f>
        <v>CS26CS007</v>
      </c>
      <c r="H1139" s="29" t="str">
        <f>VLOOKUP(A1139,File!$A:$J,8,FALSE)</f>
        <v>Lawrance M</v>
      </c>
      <c r="I1139" s="31">
        <f>VLOOKUP(A1139,File!$A:$J,9,FALSE)</f>
        <v>46272</v>
      </c>
      <c r="J1139" s="31" t="str">
        <f>VLOOKUP(A1139,File!$A:$K,11,FALSE)</f>
        <v>Sep 2026</v>
      </c>
      <c r="K1139" s="31" t="str">
        <f>VLOOKUP(A1139,File!$A:$K,10,FALSE)</f>
        <v>In-Training</v>
      </c>
      <c r="L1139" s="31" t="s">
        <v>4</v>
      </c>
      <c r="M1139" t="str">
        <f>VLOOKUP(A1139,Response!$A:$M,7,)</f>
        <v>PG (Paying Guest)</v>
      </c>
      <c r="N1139" t="str">
        <f>VLOOKUP(A1139,Response!$A:$M,8,)</f>
        <v>Smiles Inn PG Services For Ladies</v>
      </c>
      <c r="O1139" s="4" t="str">
        <f>VLOOKUP(A1139,Response!$A:$M,10,)</f>
        <v>GF</v>
      </c>
      <c r="P1139" t="str">
        <f>VLOOKUP(A1139,Response!$A:$M,12,)</f>
        <v>No</v>
      </c>
      <c r="Q1139" t="str">
        <f>VLOOKUP(A1139,Response!$A:$M,11,)</f>
        <v>Siruseri</v>
      </c>
      <c r="R1139" t="s">
        <v>19</v>
      </c>
      <c r="S1139" s="39" t="s">
        <v>37</v>
      </c>
    </row>
    <row r="1140" spans="1:19">
      <c r="A1140" s="3">
        <v>2533221</v>
      </c>
      <c r="B1140" t="str">
        <f>VLOOKUP(A1140,File!$A:$J,2,FALSE)</f>
        <v>Bandi Varshitha</v>
      </c>
      <c r="C1140" s="29">
        <f>VLOOKUP(A1140,File!$A:$J,5,FALSE)</f>
        <v>46259</v>
      </c>
      <c r="D1140" s="29" t="str">
        <f>VLOOKUP(A1140,File!$A:$J,3,FALSE)</f>
        <v>Female</v>
      </c>
      <c r="E1140" s="29" t="str">
        <f>VLOOKUP(A1140,File!$A:$J,4,FALSE)</f>
        <v>FTE</v>
      </c>
      <c r="F1140" s="29" t="str">
        <f>VLOOKUP(A1140,File!$A:$J,6,FALSE)</f>
        <v>Chennai</v>
      </c>
      <c r="G1140" s="29" t="str">
        <f>VLOOKUP(A1140,File!$A:$J,7,FALSE)</f>
        <v>CIS26MBG005</v>
      </c>
      <c r="H1140" s="29" t="str">
        <f>VLOOKUP(A1140,File!$A:$J,8,FALSE)</f>
        <v>Angel Maria Faustina Gomez</v>
      </c>
      <c r="I1140" s="31">
        <f>VLOOKUP(A1140,File!$A:$J,9,FALSE)</f>
        <v>46367</v>
      </c>
      <c r="J1140" s="31" t="str">
        <f>VLOOKUP(A1140,File!$A:$K,11,FALSE)</f>
        <v>Dec 2026</v>
      </c>
      <c r="K1140" s="31" t="str">
        <f>VLOOKUP(A1140,File!$A:$K,10,FALSE)</f>
        <v>In-Training</v>
      </c>
      <c r="L1140" s="31" t="s">
        <v>4</v>
      </c>
      <c r="M1140" t="str">
        <f>VLOOKUP(A1140,Response!$A:$M,7,)</f>
        <v>PG (Paying Guest)</v>
      </c>
      <c r="N1140" t="str">
        <f>VLOOKUP(A1140,Response!$A:$M,8,)</f>
        <v>Smiles Inn PG Services For Ladies</v>
      </c>
      <c r="O1140" s="4" t="str">
        <f>VLOOKUP(A1140,Response!$A:$M,10,)</f>
        <v>GF</v>
      </c>
      <c r="P1140" t="str">
        <f>VLOOKUP(A1140,Response!$A:$M,12,)</f>
        <v>No</v>
      </c>
      <c r="Q1140" t="str">
        <f>VLOOKUP(A1140,Response!$A:$M,11,)</f>
        <v>Siruseri</v>
      </c>
      <c r="R1140" t="s">
        <v>19</v>
      </c>
      <c r="S1140" s="39" t="s">
        <v>37</v>
      </c>
    </row>
    <row r="1141" spans="1:19">
      <c r="A1141" s="3">
        <v>2521729</v>
      </c>
      <c r="B1141" t="str">
        <f>VLOOKUP(A1141,File!$A:$J,2,FALSE)</f>
        <v>Vyakaranam Sirisha Lahari</v>
      </c>
      <c r="C1141" s="29">
        <f>VLOOKUP(A1141,File!$A:$J,5,FALSE)</f>
        <v>46212</v>
      </c>
      <c r="D1141" s="29" t="str">
        <f>VLOOKUP(A1141,File!$A:$J,3,FALSE)</f>
        <v>Female</v>
      </c>
      <c r="E1141" s="29" t="str">
        <f>VLOOKUP(A1141,File!$A:$J,4,FALSE)</f>
        <v>FTE</v>
      </c>
      <c r="F1141" s="29" t="str">
        <f>VLOOKUP(A1141,File!$A:$J,6,FALSE)</f>
        <v>Chennai</v>
      </c>
      <c r="G1141" s="29" t="str">
        <f>VLOOKUP(A1141,File!$A:$J,7,FALSE)</f>
        <v>QEA26SD001</v>
      </c>
      <c r="H1141" s="29" t="str">
        <f>VLOOKUP(A1141,File!$A:$J,8,FALSE)</f>
        <v>Ajiesya D P</v>
      </c>
      <c r="I1141" s="31">
        <f>VLOOKUP(A1141,File!$A:$J,9,FALSE)</f>
        <v>46329</v>
      </c>
      <c r="J1141" s="31" t="str">
        <f>VLOOKUP(A1141,File!$A:$K,11,FALSE)</f>
        <v>Nov 2026</v>
      </c>
      <c r="K1141" s="31" t="str">
        <f>VLOOKUP(A1141,File!$A:$K,10,FALSE)</f>
        <v>In-Training</v>
      </c>
      <c r="L1141" s="31" t="s">
        <v>4</v>
      </c>
      <c r="M1141" t="str">
        <f>VLOOKUP(A1141,Response!$A:$M,7,)</f>
        <v>PG (Paying Guest)</v>
      </c>
      <c r="N1141" t="str">
        <f>VLOOKUP(A1141,Response!$A:$M,8,)</f>
        <v xml:space="preserve">Smiles Inn Pg services for ladies </v>
      </c>
      <c r="O1141" s="4">
        <f>VLOOKUP(A1141,Response!$A:$M,10,)</f>
        <v>3</v>
      </c>
      <c r="P1141" t="str">
        <f>VLOOKUP(A1141,Response!$A:$M,12,)</f>
        <v>No</v>
      </c>
      <c r="Q1141" t="str">
        <f>VLOOKUP(A1141,Response!$A:$M,11,)</f>
        <v>Egattur</v>
      </c>
      <c r="R1141" t="s">
        <v>19</v>
      </c>
      <c r="S1141" s="39" t="s">
        <v>37</v>
      </c>
    </row>
    <row r="1142" spans="1:19">
      <c r="A1142" s="3">
        <v>2512299</v>
      </c>
      <c r="B1142" t="str">
        <f>VLOOKUP(A1142,File!$A:$J,2,FALSE)</f>
        <v>Gujjula Lakshmi Aishwarya</v>
      </c>
      <c r="C1142" s="29">
        <f>VLOOKUP(A1142,File!$A:$J,5,FALSE)</f>
        <v>46170</v>
      </c>
      <c r="D1142" s="29" t="str">
        <f>VLOOKUP(A1142,File!$A:$J,3,FALSE)</f>
        <v>Female</v>
      </c>
      <c r="E1142" s="29" t="str">
        <f>VLOOKUP(A1142,File!$A:$J,4,FALSE)</f>
        <v>FTE</v>
      </c>
      <c r="F1142" s="29" t="str">
        <f>VLOOKUP(A1142,File!$A:$J,6,FALSE)</f>
        <v>Chennai</v>
      </c>
      <c r="G1142" s="29" t="str">
        <f>VLOOKUP(A1142,File!$A:$J,7,FALSE)</f>
        <v>CIS26MCPT012</v>
      </c>
      <c r="H1142" s="29" t="str">
        <f>VLOOKUP(A1142,File!$A:$J,8,FALSE)</f>
        <v>Uma Venkatachalam</v>
      </c>
      <c r="I1142" s="31">
        <f>VLOOKUP(A1142,File!$A:$J,9,FALSE)</f>
        <v>46282</v>
      </c>
      <c r="J1142" s="31" t="str">
        <f>VLOOKUP(A1142,File!$A:$K,11,FALSE)</f>
        <v>Sep 2026</v>
      </c>
      <c r="K1142" s="31" t="str">
        <f>VLOOKUP(A1142,File!$A:$K,10,FALSE)</f>
        <v>In-Training</v>
      </c>
      <c r="L1142" s="31" t="s">
        <v>4</v>
      </c>
      <c r="M1142" t="str">
        <f>VLOOKUP(A1142,Response!$A:$M,7,)</f>
        <v>PG (Paying Guest)</v>
      </c>
      <c r="N1142" t="str">
        <f>VLOOKUP(A1142,Response!$A:$M,8,)</f>
        <v xml:space="preserve">Smiles Inn PG services for ladies </v>
      </c>
      <c r="O1142" s="4">
        <f>VLOOKUP(A1142,Response!$A:$M,10,)</f>
        <v>3</v>
      </c>
      <c r="P1142" t="str">
        <f>VLOOKUP(A1142,Response!$A:$M,12,)</f>
        <v>No</v>
      </c>
      <c r="Q1142" t="str">
        <f>VLOOKUP(A1142,Response!$A:$M,11,)</f>
        <v>Siruseri</v>
      </c>
      <c r="R1142" t="s">
        <v>19</v>
      </c>
      <c r="S1142" s="39" t="s">
        <v>37</v>
      </c>
    </row>
    <row r="1143" spans="1:19">
      <c r="A1143" s="3">
        <v>2512332</v>
      </c>
      <c r="B1143" t="str">
        <f>VLOOKUP(A1143,File!$A:$J,2,FALSE)</f>
        <v>Shanmathi A</v>
      </c>
      <c r="C1143" s="29">
        <f>VLOOKUP(A1143,File!$A:$J,5,FALSE)</f>
        <v>46170</v>
      </c>
      <c r="D1143" s="29" t="str">
        <f>VLOOKUP(A1143,File!$A:$J,3,FALSE)</f>
        <v>Female</v>
      </c>
      <c r="E1143" s="29" t="str">
        <f>VLOOKUP(A1143,File!$A:$J,4,FALSE)</f>
        <v>FTE</v>
      </c>
      <c r="F1143" s="29" t="str">
        <f>VLOOKUP(A1143,File!$A:$J,6,FALSE)</f>
        <v>Chennai</v>
      </c>
      <c r="G1143" s="29" t="str">
        <f>VLOOKUP(A1143,File!$A:$J,7,FALSE)</f>
        <v>CIS26MCPT011</v>
      </c>
      <c r="H1143" s="29" t="str">
        <f>VLOOKUP(A1143,File!$A:$J,8,FALSE)</f>
        <v>Uma Venkatachalam</v>
      </c>
      <c r="I1143" s="31">
        <f>VLOOKUP(A1143,File!$A:$J,9,FALSE)</f>
        <v>46282</v>
      </c>
      <c r="J1143" s="31" t="str">
        <f>VLOOKUP(A1143,File!$A:$K,11,FALSE)</f>
        <v>Sep 2026</v>
      </c>
      <c r="K1143" s="31" t="str">
        <f>VLOOKUP(A1143,File!$A:$K,10,FALSE)</f>
        <v>In-Training</v>
      </c>
      <c r="L1143" s="31" t="s">
        <v>4</v>
      </c>
      <c r="M1143" t="str">
        <f>VLOOKUP(A1143,Response!$A:$M,7,)</f>
        <v>PG (Paying Guest)</v>
      </c>
      <c r="N1143" t="str">
        <f>VLOOKUP(A1143,Response!$A:$M,8,)</f>
        <v xml:space="preserve">Smiles Inn PG services for Ladies </v>
      </c>
      <c r="O1143" s="4">
        <f>VLOOKUP(A1143,Response!$A:$M,10,)</f>
        <v>3</v>
      </c>
      <c r="P1143" t="str">
        <f>VLOOKUP(A1143,Response!$A:$M,12,)</f>
        <v>No</v>
      </c>
      <c r="Q1143" t="str">
        <f>VLOOKUP(A1143,Response!$A:$M,11,)</f>
        <v>Egattur</v>
      </c>
      <c r="R1143" t="s">
        <v>19</v>
      </c>
      <c r="S1143" s="39" t="s">
        <v>37</v>
      </c>
    </row>
    <row r="1144" spans="1:19">
      <c r="A1144" s="3">
        <v>2531998</v>
      </c>
      <c r="B1144" t="str">
        <f>VLOOKUP(A1144,File!$A:$J,2,FALSE)</f>
        <v>Rithika L</v>
      </c>
      <c r="C1144" s="29">
        <f>VLOOKUP(A1144,File!$A:$J,5,FALSE)</f>
        <v>46254</v>
      </c>
      <c r="D1144" s="29" t="str">
        <f>VLOOKUP(A1144,File!$A:$J,3,FALSE)</f>
        <v>Female</v>
      </c>
      <c r="E1144" s="29" t="str">
        <f>VLOOKUP(A1144,File!$A:$J,4,FALSE)</f>
        <v>FTE</v>
      </c>
      <c r="F1144" s="29" t="str">
        <f>VLOOKUP(A1144,File!$A:$J,6,FALSE)</f>
        <v>Chennai</v>
      </c>
      <c r="G1144" s="29" t="str">
        <f>VLOOKUP(A1144,File!$A:$J,7,FALSE)</f>
        <v>CS26CS011</v>
      </c>
      <c r="H1144" s="29" t="str">
        <f>VLOOKUP(A1144,File!$A:$J,8,FALSE)</f>
        <v>Kishorekumar P</v>
      </c>
      <c r="I1144" s="31">
        <f>VLOOKUP(A1144,File!$A:$J,9,FALSE)</f>
        <v>46343</v>
      </c>
      <c r="J1144" s="31" t="str">
        <f>VLOOKUP(A1144,File!$A:$K,11,FALSE)</f>
        <v>Nov 2026</v>
      </c>
      <c r="K1144" s="31" t="str">
        <f>VLOOKUP(A1144,File!$A:$K,10,FALSE)</f>
        <v>In-Training</v>
      </c>
      <c r="L1144" s="31" t="s">
        <v>4</v>
      </c>
      <c r="M1144" t="str">
        <f>VLOOKUP(A1144,Response!$A:$M,7,)</f>
        <v>PG (Paying Guest)</v>
      </c>
      <c r="N1144" t="str">
        <f>VLOOKUP(A1144,Response!$A:$M,8,)</f>
        <v>Smiles Inn PG Services For Ladies (Egattur)</v>
      </c>
      <c r="O1144" s="4">
        <f>VLOOKUP(A1144,Response!$A:$M,10,)</f>
        <v>2</v>
      </c>
      <c r="P1144" t="str">
        <f>VLOOKUP(A1144,Response!$A:$M,12,)</f>
        <v>Yes</v>
      </c>
      <c r="Q1144" t="str">
        <f>VLOOKUP(A1144,Response!$A:$M,11,)</f>
        <v>Siruseri</v>
      </c>
      <c r="R1144" t="s">
        <v>19</v>
      </c>
      <c r="S1144" s="39" t="s">
        <v>37</v>
      </c>
    </row>
    <row r="1145" spans="1:19">
      <c r="A1145" s="3">
        <v>2521793</v>
      </c>
      <c r="B1145" t="str">
        <f>VLOOKUP(A1145,File!$A:$J,2,FALSE)</f>
        <v>Rapeti Nandini</v>
      </c>
      <c r="C1145" s="29">
        <f>VLOOKUP(A1145,File!$A:$J,5,FALSE)</f>
        <v>46212</v>
      </c>
      <c r="D1145" s="29" t="str">
        <f>VLOOKUP(A1145,File!$A:$J,3,FALSE)</f>
        <v>Female</v>
      </c>
      <c r="E1145" s="29" t="str">
        <f>VLOOKUP(A1145,File!$A:$J,4,FALSE)</f>
        <v>FTE</v>
      </c>
      <c r="F1145" s="29" t="str">
        <f>VLOOKUP(A1145,File!$A:$J,6,FALSE)</f>
        <v>Chennai</v>
      </c>
      <c r="G1145" s="29" t="str">
        <f>VLOOKUP(A1145,File!$A:$J,7,FALSE)</f>
        <v>ADM26MF010</v>
      </c>
      <c r="H1145" s="29" t="str">
        <f>VLOOKUP(A1145,File!$A:$J,8,FALSE)</f>
        <v>Thomas Naveen. J</v>
      </c>
      <c r="I1145" s="31">
        <f>VLOOKUP(A1145,File!$A:$J,9,FALSE)</f>
        <v>46328</v>
      </c>
      <c r="J1145" s="31" t="str">
        <f>VLOOKUP(A1145,File!$A:$K,11,FALSE)</f>
        <v>Nov 2026</v>
      </c>
      <c r="K1145" s="31" t="str">
        <f>VLOOKUP(A1145,File!$A:$K,10,FALSE)</f>
        <v>In-Training</v>
      </c>
      <c r="L1145" s="31" t="s">
        <v>4</v>
      </c>
      <c r="M1145" t="str">
        <f>VLOOKUP(A1145,Response!$A:$M,7,)</f>
        <v>PG (Paying Guest)</v>
      </c>
      <c r="N1145" t="str">
        <f>VLOOKUP(A1145,Response!$A:$M,8,)</f>
        <v>Smiles Inn pg services for ladies Branch 2,Egattur</v>
      </c>
      <c r="O1145" s="4">
        <f>VLOOKUP(A1145,Response!$A:$M,10,)</f>
        <v>2</v>
      </c>
      <c r="P1145" t="str">
        <f>VLOOKUP(A1145,Response!$A:$M,12,)</f>
        <v>No</v>
      </c>
      <c r="Q1145" t="str">
        <f>VLOOKUP(A1145,Response!$A:$M,11,)</f>
        <v>Egattur</v>
      </c>
      <c r="R1145" t="s">
        <v>19</v>
      </c>
      <c r="S1145" s="39" t="s">
        <v>37</v>
      </c>
    </row>
    <row r="1146" spans="1:19">
      <c r="A1146" s="3">
        <v>2533012</v>
      </c>
      <c r="B1146" t="str">
        <f>VLOOKUP(A1146,File!$A:$J,2,FALSE)</f>
        <v>Divya S</v>
      </c>
      <c r="C1146" s="29">
        <f>VLOOKUP(A1146,File!$A:$J,5,FALSE)</f>
        <v>46259</v>
      </c>
      <c r="D1146" s="29" t="str">
        <f>VLOOKUP(A1146,File!$A:$J,3,FALSE)</f>
        <v>Female</v>
      </c>
      <c r="E1146" s="29" t="str">
        <f>VLOOKUP(A1146,File!$A:$J,4,FALSE)</f>
        <v>FTE</v>
      </c>
      <c r="F1146" s="29" t="str">
        <f>VLOOKUP(A1146,File!$A:$J,6,FALSE)</f>
        <v>Chennai</v>
      </c>
      <c r="G1146" s="29" t="str">
        <f>VLOOKUP(A1146,File!$A:$J,7,FALSE)</f>
        <v>CIS26MBG003</v>
      </c>
      <c r="H1146" s="29" t="str">
        <f>VLOOKUP(A1146,File!$A:$J,8,FALSE)</f>
        <v>Kishorekumar P</v>
      </c>
      <c r="I1146" s="31">
        <f>VLOOKUP(A1146,File!$A:$J,9,FALSE)</f>
        <v>46367</v>
      </c>
      <c r="J1146" s="31" t="str">
        <f>VLOOKUP(A1146,File!$A:$K,11,FALSE)</f>
        <v>Dec 2026</v>
      </c>
      <c r="K1146" s="31" t="str">
        <f>VLOOKUP(A1146,File!$A:$K,10,FALSE)</f>
        <v>In-Training</v>
      </c>
      <c r="L1146" s="31" t="s">
        <v>4</v>
      </c>
      <c r="M1146" t="str">
        <f>VLOOKUP(A1146,Response!$A:$M,7,)</f>
        <v>PG (Paying Guest)</v>
      </c>
      <c r="N1146" t="str">
        <f>VLOOKUP(A1146,Response!$A:$M,8,)</f>
        <v>Smiles Inn PG Services For Ladies, Besides Hameed Fathima Jumma Masjid, Land Mark:Opposite to Thalassery Restaurant, 2nd St, near SIPCOT IT Park, JJ Nagar, Egattur, Chennai, Tamil Nadu 603103</v>
      </c>
      <c r="O1146" s="4">
        <f>VLOOKUP(A1146,Response!$A:$M,10,)</f>
        <v>2</v>
      </c>
      <c r="P1146" t="str">
        <f>VLOOKUP(A1146,Response!$A:$M,12,)</f>
        <v>No</v>
      </c>
      <c r="Q1146" t="str">
        <f>VLOOKUP(A1146,Response!$A:$M,11,)</f>
        <v>Egattur</v>
      </c>
      <c r="R1146" t="s">
        <v>19</v>
      </c>
      <c r="S1146" s="39" t="s">
        <v>37</v>
      </c>
    </row>
    <row r="1147" spans="1:19">
      <c r="A1147" s="3">
        <v>2533055</v>
      </c>
      <c r="B1147" t="str">
        <f>VLOOKUP(A1147,File!$A:$J,2,FALSE)</f>
        <v>Shobika G</v>
      </c>
      <c r="C1147" s="29">
        <f>VLOOKUP(A1147,File!$A:$J,5,FALSE)</f>
        <v>46259</v>
      </c>
      <c r="D1147" s="29" t="str">
        <f>VLOOKUP(A1147,File!$A:$J,3,FALSE)</f>
        <v>Female</v>
      </c>
      <c r="E1147" s="29" t="str">
        <f>VLOOKUP(A1147,File!$A:$J,4,FALSE)</f>
        <v>FTE</v>
      </c>
      <c r="F1147" s="29" t="str">
        <f>VLOOKUP(A1147,File!$A:$J,6,FALSE)</f>
        <v>Chennai</v>
      </c>
      <c r="G1147" s="29" t="str">
        <f>VLOOKUP(A1147,File!$A:$J,7,FALSE)</f>
        <v>CIS26MBG003</v>
      </c>
      <c r="H1147" s="29" t="str">
        <f>VLOOKUP(A1147,File!$A:$J,8,FALSE)</f>
        <v>Kishorekumar P</v>
      </c>
      <c r="I1147" s="31">
        <f>VLOOKUP(A1147,File!$A:$J,9,FALSE)</f>
        <v>46367</v>
      </c>
      <c r="J1147" s="31" t="str">
        <f>VLOOKUP(A1147,File!$A:$K,11,FALSE)</f>
        <v>Dec 2026</v>
      </c>
      <c r="K1147" s="31" t="str">
        <f>VLOOKUP(A1147,File!$A:$K,10,FALSE)</f>
        <v>In-Training</v>
      </c>
      <c r="L1147" s="31" t="s">
        <v>4</v>
      </c>
      <c r="M1147" t="str">
        <f>VLOOKUP(A1147,Response!$A:$M,7,)</f>
        <v>PG (Paying Guest)</v>
      </c>
      <c r="N1147" t="str">
        <f>VLOOKUP(A1147,Response!$A:$M,8,)</f>
        <v>Smiles Inn PG Services For Ladies, Egattur</v>
      </c>
      <c r="O1147" s="4">
        <f>VLOOKUP(A1147,Response!$A:$M,10,)</f>
        <v>1</v>
      </c>
      <c r="P1147" t="str">
        <f>VLOOKUP(A1147,Response!$A:$M,12,)</f>
        <v>Yes</v>
      </c>
      <c r="Q1147" t="str">
        <f>VLOOKUP(A1147,Response!$A:$M,11,)</f>
        <v>Egattur</v>
      </c>
      <c r="R1147" t="s">
        <v>19</v>
      </c>
      <c r="S1147" s="39" t="s">
        <v>37</v>
      </c>
    </row>
    <row r="1148" spans="1:19">
      <c r="A1148" s="3">
        <v>2521744</v>
      </c>
      <c r="B1148" t="str">
        <f>VLOOKUP(A1148,File!$A:$J,2,FALSE)</f>
        <v>Gunithi Sowmya</v>
      </c>
      <c r="C1148" s="29">
        <f>VLOOKUP(A1148,File!$A:$J,5,FALSE)</f>
        <v>46212</v>
      </c>
      <c r="D1148" s="29" t="str">
        <f>VLOOKUP(A1148,File!$A:$J,3,FALSE)</f>
        <v>Female</v>
      </c>
      <c r="E1148" s="29" t="str">
        <f>VLOOKUP(A1148,File!$A:$J,4,FALSE)</f>
        <v>FTE</v>
      </c>
      <c r="F1148" s="29" t="str">
        <f>VLOOKUP(A1148,File!$A:$J,6,FALSE)</f>
        <v>Chennai</v>
      </c>
      <c r="G1148" s="29" t="str">
        <f>VLOOKUP(A1148,File!$A:$J,7,FALSE)</f>
        <v>QEA26SD001</v>
      </c>
      <c r="H1148" s="29" t="str">
        <f>VLOOKUP(A1148,File!$A:$J,8,FALSE)</f>
        <v>Ajiesya D P</v>
      </c>
      <c r="I1148" s="31">
        <f>VLOOKUP(A1148,File!$A:$J,9,FALSE)</f>
        <v>46329</v>
      </c>
      <c r="J1148" s="31" t="str">
        <f>VLOOKUP(A1148,File!$A:$K,11,FALSE)</f>
        <v>Nov 2026</v>
      </c>
      <c r="K1148" s="31" t="str">
        <f>VLOOKUP(A1148,File!$A:$K,10,FALSE)</f>
        <v>In-Training</v>
      </c>
      <c r="L1148" s="31" t="s">
        <v>4</v>
      </c>
      <c r="M1148" t="str">
        <f>VLOOKUP(A1148,Response!$A:$M,7,)</f>
        <v>PG (Paying Guest)</v>
      </c>
      <c r="N1148" t="str">
        <f>VLOOKUP(A1148,Response!$A:$M,8,)</f>
        <v>Smiles Inn PG Services For Ladies, Egattur</v>
      </c>
      <c r="O1148" s="4">
        <f>VLOOKUP(A1148,Response!$A:$M,10,)</f>
        <v>2</v>
      </c>
      <c r="P1148" t="str">
        <f>VLOOKUP(A1148,Response!$A:$M,12,)</f>
        <v>No</v>
      </c>
      <c r="Q1148" t="str">
        <f>VLOOKUP(A1148,Response!$A:$M,11,)</f>
        <v>Egattur</v>
      </c>
      <c r="R1148" t="s">
        <v>19</v>
      </c>
      <c r="S1148" s="39" t="s">
        <v>37</v>
      </c>
    </row>
    <row r="1149" spans="1:19">
      <c r="A1149" s="3">
        <v>2531962</v>
      </c>
      <c r="B1149" t="str">
        <f>VLOOKUP(A1149,File!$A:$J,2,FALSE)</f>
        <v>Niranjana Priya Selvakumar</v>
      </c>
      <c r="C1149" s="29">
        <f>VLOOKUP(A1149,File!$A:$J,5,FALSE)</f>
        <v>46254</v>
      </c>
      <c r="D1149" s="29" t="str">
        <f>VLOOKUP(A1149,File!$A:$J,3,FALSE)</f>
        <v>Female</v>
      </c>
      <c r="E1149" s="29" t="str">
        <f>VLOOKUP(A1149,File!$A:$J,4,FALSE)</f>
        <v>FTE</v>
      </c>
      <c r="F1149" s="29" t="str">
        <f>VLOOKUP(A1149,File!$A:$J,6,FALSE)</f>
        <v>Chennai</v>
      </c>
      <c r="G1149" s="29" t="str">
        <f>VLOOKUP(A1149,File!$A:$J,7,FALSE)</f>
        <v>EPS26OSP011</v>
      </c>
      <c r="H1149" s="29" t="str">
        <f>VLOOKUP(A1149,File!$A:$J,8,FALSE)</f>
        <v>Gayathri Ramachandran</v>
      </c>
      <c r="I1149" s="31" t="str">
        <f>VLOOKUP(A1149,File!$A:$J,9,FALSE)</f>
        <v/>
      </c>
      <c r="J1149" s="44" t="s">
        <v>33</v>
      </c>
      <c r="K1149" s="31" t="str">
        <f>VLOOKUP(A1149,File!$A:$K,10,FALSE)</f>
        <v>Training - ON Hold</v>
      </c>
      <c r="L1149" s="31" t="s">
        <v>4</v>
      </c>
      <c r="M1149" t="str">
        <f>VLOOKUP(A1149,Response!$A:$M,7,)</f>
        <v>PG (Paying Guest)</v>
      </c>
      <c r="N1149" t="str">
        <f>VLOOKUP(A1149,Response!$A:$M,8,)</f>
        <v>Smiles Inn PG services for ladies, Egattur</v>
      </c>
      <c r="O1149" s="4">
        <f>VLOOKUP(A1149,Response!$A:$M,10,)</f>
        <v>4</v>
      </c>
      <c r="P1149" t="str">
        <f>VLOOKUP(A1149,Response!$A:$M,12,)</f>
        <v>Yes</v>
      </c>
      <c r="Q1149" t="str">
        <f>VLOOKUP(A1149,Response!$A:$M,11,)</f>
        <v>Guduvanchery</v>
      </c>
      <c r="R1149" t="s">
        <v>20</v>
      </c>
      <c r="S1149" s="40" t="s">
        <v>36</v>
      </c>
    </row>
    <row r="1150" spans="1:19">
      <c r="A1150" s="3">
        <v>2531991</v>
      </c>
      <c r="B1150" t="str">
        <f>VLOOKUP(A1150,File!$A:$J,2,FALSE)</f>
        <v>Challa Akshitha</v>
      </c>
      <c r="C1150" s="29">
        <f>VLOOKUP(A1150,File!$A:$J,5,FALSE)</f>
        <v>46254</v>
      </c>
      <c r="D1150" s="29" t="str">
        <f>VLOOKUP(A1150,File!$A:$J,3,FALSE)</f>
        <v>Female</v>
      </c>
      <c r="E1150" s="29" t="str">
        <f>VLOOKUP(A1150,File!$A:$J,4,FALSE)</f>
        <v>FTE</v>
      </c>
      <c r="F1150" s="29" t="str">
        <f>VLOOKUP(A1150,File!$A:$J,6,FALSE)</f>
        <v>Chennai</v>
      </c>
      <c r="G1150" s="29" t="str">
        <f>VLOOKUP(A1150,File!$A:$J,7,FALSE)</f>
        <v>CS26CS012</v>
      </c>
      <c r="H1150" s="29" t="str">
        <f>VLOOKUP(A1150,File!$A:$J,8,FALSE)</f>
        <v>Laksiya Vijayendran</v>
      </c>
      <c r="I1150" s="31">
        <f>VLOOKUP(A1150,File!$A:$J,9,FALSE)</f>
        <v>46343</v>
      </c>
      <c r="J1150" s="31" t="str">
        <f>VLOOKUP(A1150,File!$A:$K,11,FALSE)</f>
        <v>Nov 2026</v>
      </c>
      <c r="K1150" s="31" t="str">
        <f>VLOOKUP(A1150,File!$A:$K,10,FALSE)</f>
        <v>In-Training</v>
      </c>
      <c r="L1150" s="31" t="s">
        <v>4</v>
      </c>
      <c r="M1150" t="str">
        <f>VLOOKUP(A1150,Response!$A:$M,7,)</f>
        <v>PG (Paying Guest)</v>
      </c>
      <c r="N1150" t="str">
        <f>VLOOKUP(A1150,Response!$A:$M,8,)</f>
        <v>Smiles inn PG services for Ladies, Egattur,Siruseri</v>
      </c>
      <c r="O1150" s="4">
        <f>VLOOKUP(A1150,Response!$A:$M,10,)</f>
        <v>4</v>
      </c>
      <c r="P1150" t="str">
        <f>VLOOKUP(A1150,Response!$A:$M,12,)</f>
        <v>No</v>
      </c>
      <c r="Q1150" t="str">
        <f>VLOOKUP(A1150,Response!$A:$M,11,)</f>
        <v>Siruseri</v>
      </c>
      <c r="R1150" t="s">
        <v>19</v>
      </c>
      <c r="S1150" s="39" t="s">
        <v>37</v>
      </c>
    </row>
    <row r="1151" spans="1:19">
      <c r="A1151" s="3">
        <v>2533069</v>
      </c>
      <c r="B1151" t="str">
        <f>VLOOKUP(A1151,File!$A:$J,2,FALSE)</f>
        <v>Lanka Ramya Sree</v>
      </c>
      <c r="C1151" s="29">
        <f>VLOOKUP(A1151,File!$A:$J,5,FALSE)</f>
        <v>46259</v>
      </c>
      <c r="D1151" s="29" t="str">
        <f>VLOOKUP(A1151,File!$A:$J,3,FALSE)</f>
        <v>Female</v>
      </c>
      <c r="E1151" s="29" t="str">
        <f>VLOOKUP(A1151,File!$A:$J,4,FALSE)</f>
        <v>FTE</v>
      </c>
      <c r="F1151" s="29" t="str">
        <f>VLOOKUP(A1151,File!$A:$J,6,FALSE)</f>
        <v>Chennai</v>
      </c>
      <c r="G1151" s="29" t="str">
        <f>VLOOKUP(A1151,File!$A:$J,7,FALSE)</f>
        <v>CIS26SN002</v>
      </c>
      <c r="H1151" s="29" t="str">
        <f>VLOOKUP(A1151,File!$A:$J,8,FALSE)</f>
        <v>Ashiya Begam S</v>
      </c>
      <c r="I1151" s="31">
        <f>VLOOKUP(A1151,File!$A:$J,9,FALSE)</f>
        <v>46358</v>
      </c>
      <c r="J1151" s="31" t="str">
        <f>VLOOKUP(A1151,File!$A:$K,11,FALSE)</f>
        <v>Dec 2026</v>
      </c>
      <c r="K1151" s="31" t="str">
        <f>VLOOKUP(A1151,File!$A:$K,10,FALSE)</f>
        <v>In-Training</v>
      </c>
      <c r="L1151" s="31" t="s">
        <v>4</v>
      </c>
      <c r="M1151" t="str">
        <f>VLOOKUP(A1151,Response!$A:$M,7,)</f>
        <v>PG (Paying Guest)</v>
      </c>
      <c r="N1151" t="str">
        <f>VLOOKUP(A1151,Response!$A:$M,8,)</f>
        <v>Smiles Inn PG,Egattur</v>
      </c>
      <c r="O1151" s="4">
        <f>VLOOKUP(A1151,Response!$A:$M,10,)</f>
        <v>4</v>
      </c>
      <c r="P1151" t="str">
        <f>VLOOKUP(A1151,Response!$A:$M,12,)</f>
        <v>No</v>
      </c>
      <c r="Q1151" t="str">
        <f>VLOOKUP(A1151,Response!$A:$M,11,)</f>
        <v>Egattur</v>
      </c>
      <c r="R1151" t="s">
        <v>19</v>
      </c>
      <c r="S1151" s="39" t="s">
        <v>37</v>
      </c>
    </row>
    <row r="1152" spans="1:19">
      <c r="A1152" s="3">
        <v>2521187</v>
      </c>
      <c r="B1152" t="str">
        <f>VLOOKUP(A1152,File!$A:$J,2,FALSE)</f>
        <v>Amisha Nath</v>
      </c>
      <c r="C1152" s="29">
        <f>VLOOKUP(A1152,File!$A:$J,5,FALSE)</f>
        <v>46210</v>
      </c>
      <c r="D1152" s="29" t="str">
        <f>VLOOKUP(A1152,File!$A:$J,3,FALSE)</f>
        <v>Female</v>
      </c>
      <c r="E1152" s="29" t="str">
        <f>VLOOKUP(A1152,File!$A:$J,4,FALSE)</f>
        <v>FTE</v>
      </c>
      <c r="F1152" s="29" t="str">
        <f>VLOOKUP(A1152,File!$A:$J,6,FALSE)</f>
        <v>Chennai</v>
      </c>
      <c r="G1152" s="29" t="str">
        <f>VLOOKUP(A1152,File!$A:$J,7,FALSE)</f>
        <v>HPC26DN005</v>
      </c>
      <c r="H1152" s="29" t="str">
        <f>VLOOKUP(A1152,File!$A:$J,8,FALSE)</f>
        <v>Viveka Preethi</v>
      </c>
      <c r="I1152" s="31">
        <f>VLOOKUP(A1152,File!$A:$J,9,FALSE)</f>
        <v>46296</v>
      </c>
      <c r="J1152" s="31" t="str">
        <f>VLOOKUP(A1152,File!$A:$K,11,FALSE)</f>
        <v>Oct 2026</v>
      </c>
      <c r="K1152" s="31" t="str">
        <f>VLOOKUP(A1152,File!$A:$K,10,FALSE)</f>
        <v>In-Training</v>
      </c>
      <c r="L1152" s="31" t="s">
        <v>4</v>
      </c>
      <c r="M1152" t="str">
        <f>VLOOKUP(A1152,Response!$A:$M,7,)</f>
        <v>PG (Paying Guest)</v>
      </c>
      <c r="N1152" t="str">
        <f>VLOOKUP(A1152,Response!$A:$M,8,)</f>
        <v>smiles inn pg services for ladies</v>
      </c>
      <c r="O1152" s="4" t="str">
        <f>VLOOKUP(A1152,Response!$A:$M,10,)</f>
        <v>GF</v>
      </c>
      <c r="P1152" t="str">
        <f>VLOOKUP(A1152,Response!$A:$M,12,)</f>
        <v>No</v>
      </c>
      <c r="Q1152" t="str">
        <f>VLOOKUP(A1152,Response!$A:$M,11,)</f>
        <v>Egattur</v>
      </c>
      <c r="R1152" t="s">
        <v>19</v>
      </c>
      <c r="S1152" s="39" t="s">
        <v>37</v>
      </c>
    </row>
    <row r="1153" spans="1:19">
      <c r="A1153" s="3">
        <v>2516788</v>
      </c>
      <c r="B1153" t="str">
        <f>VLOOKUP(A1153,File!$A:$J,2,FALSE)</f>
        <v>Sakshi Rajendra Chavan</v>
      </c>
      <c r="C1153" s="29">
        <f>VLOOKUP(A1153,File!$A:$J,5,FALSE)</f>
        <v>46191</v>
      </c>
      <c r="D1153" s="29" t="str">
        <f>VLOOKUP(A1153,File!$A:$J,3,FALSE)</f>
        <v>Female</v>
      </c>
      <c r="E1153" s="29" t="str">
        <f>VLOOKUP(A1153,File!$A:$J,4,FALSE)</f>
        <v>FTE</v>
      </c>
      <c r="F1153" s="29" t="str">
        <f>VLOOKUP(A1153,File!$A:$J,6,FALSE)</f>
        <v>Chennai</v>
      </c>
      <c r="G1153" s="29" t="str">
        <f>VLOOKUP(A1153,File!$A:$J,7,FALSE)</f>
        <v>CIS26NET003</v>
      </c>
      <c r="H1153" s="29" t="str">
        <f>VLOOKUP(A1153,File!$A:$J,8,FALSE)</f>
        <v>Uma Venkatachalam</v>
      </c>
      <c r="I1153" s="31">
        <f>VLOOKUP(A1153,File!$A:$J,9,FALSE)</f>
        <v>46269</v>
      </c>
      <c r="J1153" s="31" t="str">
        <f>VLOOKUP(A1153,File!$A:$K,11,FALSE)</f>
        <v>Sep 2026</v>
      </c>
      <c r="K1153" s="31" t="str">
        <f>VLOOKUP(A1153,File!$A:$K,10,FALSE)</f>
        <v>In-Training</v>
      </c>
      <c r="L1153" s="31" t="s">
        <v>4</v>
      </c>
      <c r="M1153" t="str">
        <f>VLOOKUP(A1153,Response!$A:$M,7,)</f>
        <v>PG (Paying Guest)</v>
      </c>
      <c r="N1153" t="str">
        <f>VLOOKUP(A1153,Response!$A:$M,8,)</f>
        <v>Smiles PG - Branch 2, Egattur</v>
      </c>
      <c r="O1153" s="4">
        <f>VLOOKUP(A1153,Response!$A:$M,10,)</f>
        <v>2</v>
      </c>
      <c r="P1153" t="str">
        <f>VLOOKUP(A1153,Response!$A:$M,12,)</f>
        <v>No</v>
      </c>
      <c r="Q1153" t="str">
        <f>VLOOKUP(A1153,Response!$A:$M,11,)</f>
        <v>Egattur</v>
      </c>
      <c r="R1153" t="s">
        <v>19</v>
      </c>
      <c r="S1153" s="39" t="s">
        <v>37</v>
      </c>
    </row>
    <row r="1154" spans="1:19">
      <c r="A1154" s="3">
        <v>2521642</v>
      </c>
      <c r="B1154" t="str">
        <f>VLOOKUP(A1154,File!$A:$J,2,FALSE)</f>
        <v>Bobbili Arsha Tanujasri</v>
      </c>
      <c r="C1154" s="29">
        <f>VLOOKUP(A1154,File!$A:$J,5,FALSE)</f>
        <v>46212</v>
      </c>
      <c r="D1154" s="29" t="str">
        <f>VLOOKUP(A1154,File!$A:$J,3,FALSE)</f>
        <v>Female</v>
      </c>
      <c r="E1154" s="29" t="str">
        <f>VLOOKUP(A1154,File!$A:$J,4,FALSE)</f>
        <v>FTE</v>
      </c>
      <c r="F1154" s="29" t="str">
        <f>VLOOKUP(A1154,File!$A:$J,6,FALSE)</f>
        <v>Chennai</v>
      </c>
      <c r="G1154" s="29" t="str">
        <f>VLOOKUP(A1154,File!$A:$J,7,FALSE)</f>
        <v>ADM26DNAT003</v>
      </c>
      <c r="H1154" s="29" t="str">
        <f>VLOOKUP(A1154,File!$A:$J,8,FALSE)</f>
        <v>Athira P</v>
      </c>
      <c r="I1154" s="31">
        <f>VLOOKUP(A1154,File!$A:$J,9,FALSE)</f>
        <v>46318</v>
      </c>
      <c r="J1154" s="31" t="str">
        <f>VLOOKUP(A1154,File!$A:$K,11,FALSE)</f>
        <v>Oct 2026</v>
      </c>
      <c r="K1154" s="31" t="str">
        <f>VLOOKUP(A1154,File!$A:$K,10,FALSE)</f>
        <v>In-Training</v>
      </c>
      <c r="L1154" s="31" t="s">
        <v>4</v>
      </c>
      <c r="M1154" t="str">
        <f>VLOOKUP(A1154,Response!$A:$M,7,)</f>
        <v>PG (Paying Guest)</v>
      </c>
      <c r="N1154" t="str">
        <f>VLOOKUP(A1154,Response!$A:$M,8,)</f>
        <v>Smiles PG, Besides Hameed Fathima Jumma Masjid, landmark: Opposite to Thalassery Restaurent, 2nd Street, near Sipcot IT park,jj nagar</v>
      </c>
      <c r="O1154" s="4">
        <f>VLOOKUP(A1154,Response!$A:$M,10,)</f>
        <v>1</v>
      </c>
      <c r="P1154" t="str">
        <f>VLOOKUP(A1154,Response!$A:$M,12,)</f>
        <v>No</v>
      </c>
      <c r="Q1154" t="str">
        <f>VLOOKUP(A1154,Response!$A:$M,11,)</f>
        <v>Siruseri</v>
      </c>
      <c r="R1154" t="s">
        <v>19</v>
      </c>
      <c r="S1154" s="39" t="s">
        <v>37</v>
      </c>
    </row>
    <row r="1155" spans="1:19">
      <c r="A1155" s="3">
        <v>2529620</v>
      </c>
      <c r="B1155" t="str">
        <f>VLOOKUP(A1155,File!$A:$J,2,FALSE)</f>
        <v>Adari Jhansi Manasa</v>
      </c>
      <c r="C1155" s="29">
        <f>VLOOKUP(A1155,File!$A:$J,5,FALSE)</f>
        <v>46245</v>
      </c>
      <c r="D1155" s="29" t="str">
        <f>VLOOKUP(A1155,File!$A:$J,3,FALSE)</f>
        <v>Female</v>
      </c>
      <c r="E1155" s="29" t="str">
        <f>VLOOKUP(A1155,File!$A:$J,4,FALSE)</f>
        <v>FTE</v>
      </c>
      <c r="F1155" s="29" t="str">
        <f>VLOOKUP(A1155,File!$A:$J,6,FALSE)</f>
        <v>Chennai</v>
      </c>
      <c r="G1155" s="29" t="str">
        <f>VLOOKUP(A1155,File!$A:$J,7,FALSE)</f>
        <v>CIS26MCPT023</v>
      </c>
      <c r="H1155" s="29" t="str">
        <f>VLOOKUP(A1155,File!$A:$J,8,FALSE)</f>
        <v>Kishorekumar P</v>
      </c>
      <c r="I1155" s="31">
        <f>VLOOKUP(A1155,File!$A:$J,9,FALSE)</f>
        <v>46359</v>
      </c>
      <c r="J1155" s="31" t="str">
        <f>VLOOKUP(A1155,File!$A:$K,11,FALSE)</f>
        <v>Dec 2026</v>
      </c>
      <c r="K1155" s="31" t="str">
        <f>VLOOKUP(A1155,File!$A:$K,10,FALSE)</f>
        <v>In-Training</v>
      </c>
      <c r="L1155" s="31" t="s">
        <v>4</v>
      </c>
      <c r="M1155" t="str">
        <f>VLOOKUP(A1155,Response!$A:$M,7,)</f>
        <v>PG (Paying Guest)</v>
      </c>
      <c r="N1155" t="str">
        <f>VLOOKUP(A1155,Response!$A:$M,8,)</f>
        <v>smily inn pg,block 3,Navalur</v>
      </c>
      <c r="O1155" s="4">
        <f>VLOOKUP(A1155,Response!$A:$M,10,)</f>
        <v>2</v>
      </c>
      <c r="P1155" t="str">
        <f>VLOOKUP(A1155,Response!$A:$M,12,)</f>
        <v>No</v>
      </c>
      <c r="Q1155" t="str">
        <f>VLOOKUP(A1155,Response!$A:$M,11,)</f>
        <v>Navalur</v>
      </c>
      <c r="R1155" t="s">
        <v>19</v>
      </c>
      <c r="S1155" s="39" t="s">
        <v>37</v>
      </c>
    </row>
    <row r="1156" spans="1:19">
      <c r="A1156" s="3">
        <v>2524564</v>
      </c>
      <c r="B1156" t="str">
        <f>VLOOKUP(A1156,File!$A:$J,2,FALSE)</f>
        <v>Aysha Idris M</v>
      </c>
      <c r="C1156" s="29">
        <f>VLOOKUP(A1156,File!$A:$J,5,FALSE)</f>
        <v>46224</v>
      </c>
      <c r="D1156" s="29" t="str">
        <f>VLOOKUP(A1156,File!$A:$J,3,FALSE)</f>
        <v>Female</v>
      </c>
      <c r="E1156" s="29" t="str">
        <f>VLOOKUP(A1156,File!$A:$J,4,FALSE)</f>
        <v>FTE</v>
      </c>
      <c r="F1156" s="29" t="str">
        <f>VLOOKUP(A1156,File!$A:$J,6,FALSE)</f>
        <v>Chennai</v>
      </c>
      <c r="G1156" s="29" t="str">
        <f>VLOOKUP(A1156,File!$A:$J,7,FALSE)</f>
        <v>QEA26SD001</v>
      </c>
      <c r="H1156" s="29" t="str">
        <f>VLOOKUP(A1156,File!$A:$J,8,FALSE)</f>
        <v>Ajiesya D P</v>
      </c>
      <c r="I1156" s="31">
        <f>VLOOKUP(A1156,File!$A:$J,9,FALSE)</f>
        <v>46329</v>
      </c>
      <c r="J1156" s="31" t="str">
        <f>VLOOKUP(A1156,File!$A:$K,11,FALSE)</f>
        <v>Nov 2026</v>
      </c>
      <c r="K1156" s="31" t="str">
        <f>VLOOKUP(A1156,File!$A:$K,10,FALSE)</f>
        <v>In-Training</v>
      </c>
      <c r="L1156" s="31" t="s">
        <v>5</v>
      </c>
      <c r="M1156" t="str">
        <f>VLOOKUP(A1156,Response!$A:$M,7,)</f>
        <v>Permanent Residence (House/Home)</v>
      </c>
      <c r="N1156" t="str">
        <f>VLOOKUP(A1156,Response!$A:$M,8,)</f>
        <v>SN Guru Flats, Virugambakkam</v>
      </c>
      <c r="O1156" s="4">
        <f>VLOOKUP(A1156,Response!$A:$M,10,)</f>
        <v>2</v>
      </c>
      <c r="P1156" t="str">
        <f>VLOOKUP(A1156,Response!$A:$M,12,)</f>
        <v>Yes</v>
      </c>
      <c r="Q1156" t="str">
        <f>VLOOKUP(A1156,Response!$A:$M,11,)</f>
        <v>Koyembedu</v>
      </c>
      <c r="S1156" t="s">
        <v>38</v>
      </c>
    </row>
    <row r="1157" spans="1:19">
      <c r="A1157" s="3">
        <v>2530217</v>
      </c>
      <c r="B1157" t="str">
        <f>VLOOKUP(A1157,File!$A:$J,2,FALSE)</f>
        <v>Rohin S</v>
      </c>
      <c r="C1157" s="29">
        <f>VLOOKUP(A1157,File!$A:$J,5,FALSE)</f>
        <v>46247</v>
      </c>
      <c r="D1157" s="29" t="str">
        <f>VLOOKUP(A1157,File!$A:$J,3,FALSE)</f>
        <v>Male</v>
      </c>
      <c r="E1157" s="29" t="str">
        <f>VLOOKUP(A1157,File!$A:$J,4,FALSE)</f>
        <v>FTE</v>
      </c>
      <c r="F1157" s="29" t="str">
        <f>VLOOKUP(A1157,File!$A:$J,6,FALSE)</f>
        <v>Chennai</v>
      </c>
      <c r="G1157" s="29" t="str">
        <f>VLOOKUP(A1157,File!$A:$J,7,FALSE)</f>
        <v>EPS26OSP010</v>
      </c>
      <c r="H1157" s="29" t="str">
        <f>VLOOKUP(A1157,File!$A:$J,8,FALSE)</f>
        <v>Vishnupriya Dakshnamurthy</v>
      </c>
      <c r="I1157" s="31">
        <f>VLOOKUP(A1157,File!$A:$J,9,FALSE)</f>
        <v>46357</v>
      </c>
      <c r="J1157" s="31" t="str">
        <f>VLOOKUP(A1157,File!$A:$K,11,FALSE)</f>
        <v>Dec 2026</v>
      </c>
      <c r="K1157" s="31" t="str">
        <f>VLOOKUP(A1157,File!$A:$K,10,FALSE)</f>
        <v>In-Training</v>
      </c>
      <c r="L1157" s="31" t="s">
        <v>4</v>
      </c>
      <c r="M1157" t="str">
        <f>VLOOKUP(A1157,Response!$A:$M,7,)</f>
        <v>PG (Paying Guest)</v>
      </c>
      <c r="N1157" t="str">
        <f>VLOOKUP(A1157,Response!$A:$M,8,)</f>
        <v>sng pg</v>
      </c>
      <c r="O1157" s="4">
        <f>VLOOKUP(A1157,Response!$A:$M,10,)</f>
        <v>4</v>
      </c>
      <c r="P1157" t="str">
        <f>VLOOKUP(A1157,Response!$A:$M,12,)</f>
        <v>Yes</v>
      </c>
      <c r="Q1157" t="str">
        <f>VLOOKUP(A1157,Response!$A:$M,11,)</f>
        <v>Siruseri</v>
      </c>
      <c r="R1157" t="s">
        <v>19</v>
      </c>
      <c r="S1157" s="39" t="s">
        <v>37</v>
      </c>
    </row>
    <row r="1158" spans="1:19">
      <c r="A1158" s="3">
        <v>2529623</v>
      </c>
      <c r="B1158" t="str">
        <f>VLOOKUP(A1158,File!$A:$J,2,FALSE)</f>
        <v>Sagar Chandrashekhar Saner</v>
      </c>
      <c r="C1158" s="29">
        <f>VLOOKUP(A1158,File!$A:$J,5,FALSE)</f>
        <v>46245</v>
      </c>
      <c r="D1158" s="29" t="str">
        <f>VLOOKUP(A1158,File!$A:$J,3,FALSE)</f>
        <v>Male</v>
      </c>
      <c r="E1158" s="29" t="str">
        <f>VLOOKUP(A1158,File!$A:$J,4,FALSE)</f>
        <v>FTE</v>
      </c>
      <c r="F1158" s="29" t="str">
        <f>VLOOKUP(A1158,File!$A:$J,6,FALSE)</f>
        <v>Chennai</v>
      </c>
      <c r="G1158" s="29" t="str">
        <f>VLOOKUP(A1158,File!$A:$J,7,FALSE)</f>
        <v>CIS26MCPT026</v>
      </c>
      <c r="H1158" s="29" t="str">
        <f>VLOOKUP(A1158,File!$A:$J,8,FALSE)</f>
        <v>Mohamed Harish</v>
      </c>
      <c r="I1158" s="31">
        <f>VLOOKUP(A1158,File!$A:$J,9,FALSE)</f>
        <v>46364</v>
      </c>
      <c r="J1158" s="31" t="str">
        <f>VLOOKUP(A1158,File!$A:$K,11,FALSE)</f>
        <v>Dec 2026</v>
      </c>
      <c r="K1158" s="31" t="str">
        <f>VLOOKUP(A1158,File!$A:$K,10,FALSE)</f>
        <v>In-Training</v>
      </c>
      <c r="L1158" s="31" t="s">
        <v>4</v>
      </c>
      <c r="M1158" t="str">
        <f>VLOOKUP(A1158,Response!$A:$M,7,)</f>
        <v>PG (Paying Guest)</v>
      </c>
      <c r="N1158" t="str">
        <f>VLOOKUP(A1158,Response!$A:$M,8,)</f>
        <v>SNG PG Siruseri</v>
      </c>
      <c r="O1158" s="4">
        <f>VLOOKUP(A1158,Response!$A:$M,10,)</f>
        <v>4</v>
      </c>
      <c r="P1158" t="str">
        <f>VLOOKUP(A1158,Response!$A:$M,12,)</f>
        <v>No</v>
      </c>
      <c r="Q1158" t="str">
        <f>VLOOKUP(A1158,Response!$A:$M,11,)</f>
        <v>Siruseri</v>
      </c>
      <c r="R1158" t="s">
        <v>19</v>
      </c>
      <c r="S1158" s="39" t="s">
        <v>37</v>
      </c>
    </row>
    <row r="1159" spans="1:19">
      <c r="A1159" s="3">
        <v>2521653</v>
      </c>
      <c r="B1159" t="str">
        <f>VLOOKUP(A1159,File!$A:$J,2,FALSE)</f>
        <v>Mauliza Nayak</v>
      </c>
      <c r="C1159" s="29">
        <f>VLOOKUP(A1159,File!$A:$J,5,FALSE)</f>
        <v>46212</v>
      </c>
      <c r="D1159" s="29" t="str">
        <f>VLOOKUP(A1159,File!$A:$J,3,FALSE)</f>
        <v>Female</v>
      </c>
      <c r="E1159" s="29" t="str">
        <f>VLOOKUP(A1159,File!$A:$J,4,FALSE)</f>
        <v>FTE</v>
      </c>
      <c r="F1159" s="29" t="str">
        <f>VLOOKUP(A1159,File!$A:$J,6,FALSE)</f>
        <v>Chennai</v>
      </c>
      <c r="G1159" s="29" t="str">
        <f>VLOOKUP(A1159,File!$A:$J,7,FALSE)</f>
        <v>ADM26MF011</v>
      </c>
      <c r="H1159" s="29" t="str">
        <f>VLOOKUP(A1159,File!$A:$J,8,FALSE)</f>
        <v>Abinaya R</v>
      </c>
      <c r="I1159" s="31">
        <f>VLOOKUP(A1159,File!$A:$J,9,FALSE)</f>
        <v>46328</v>
      </c>
      <c r="J1159" s="31" t="str">
        <f>VLOOKUP(A1159,File!$A:$K,11,FALSE)</f>
        <v>Nov 2026</v>
      </c>
      <c r="K1159" s="31" t="str">
        <f>VLOOKUP(A1159,File!$A:$K,10,FALSE)</f>
        <v>In-Training</v>
      </c>
      <c r="L1159" s="31" t="s">
        <v>4</v>
      </c>
      <c r="M1159" t="str">
        <f>VLOOKUP(A1159,Response!$A:$M,7,)</f>
        <v>PG (Paying Guest)</v>
      </c>
      <c r="N1159" t="str">
        <f>VLOOKUP(A1159,Response!$A:$M,8,)</f>
        <v>SNS Ladies pg</v>
      </c>
      <c r="O1159" s="4">
        <f>VLOOKUP(A1159,Response!$A:$M,10,)</f>
        <v>3</v>
      </c>
      <c r="P1159" t="str">
        <f>VLOOKUP(A1159,Response!$A:$M,12,)</f>
        <v>Yes</v>
      </c>
      <c r="Q1159" t="str">
        <f>VLOOKUP(A1159,Response!$A:$M,11,)</f>
        <v>Egattur</v>
      </c>
      <c r="R1159" t="s">
        <v>19</v>
      </c>
      <c r="S1159" s="39" t="s">
        <v>37</v>
      </c>
    </row>
    <row r="1160" spans="1:19">
      <c r="A1160" s="3">
        <v>2522886</v>
      </c>
      <c r="B1160" t="str">
        <f>VLOOKUP(A1160,File!$A:$J,2,FALSE)</f>
        <v>DONTHI SAMANVITHA Reddy</v>
      </c>
      <c r="C1160" s="29">
        <f>VLOOKUP(A1160,File!$A:$J,5,FALSE)</f>
        <v>46217</v>
      </c>
      <c r="D1160" s="29" t="str">
        <f>VLOOKUP(A1160,File!$A:$J,3,FALSE)</f>
        <v>Female</v>
      </c>
      <c r="E1160" s="29" t="str">
        <f>VLOOKUP(A1160,File!$A:$J,4,FALSE)</f>
        <v>FTE</v>
      </c>
      <c r="F1160" s="29" t="str">
        <f>VLOOKUP(A1160,File!$A:$J,6,FALSE)</f>
        <v>Chennai</v>
      </c>
      <c r="G1160" s="29" t="str">
        <f>VLOOKUP(A1160,File!$A:$J,7,FALSE)</f>
        <v>QEA26ST001</v>
      </c>
      <c r="H1160" s="29" t="str">
        <f>VLOOKUP(A1160,File!$A:$J,8,FALSE)</f>
        <v>Angel Maria Faustina Gomez</v>
      </c>
      <c r="I1160" s="31">
        <f>VLOOKUP(A1160,File!$A:$J,9,FALSE)</f>
        <v>46310</v>
      </c>
      <c r="J1160" s="31" t="str">
        <f>VLOOKUP(A1160,File!$A:$K,11,FALSE)</f>
        <v>Oct 2026</v>
      </c>
      <c r="K1160" s="31" t="str">
        <f>VLOOKUP(A1160,File!$A:$K,10,FALSE)</f>
        <v>In-Training</v>
      </c>
      <c r="L1160" s="31" t="s">
        <v>4</v>
      </c>
      <c r="M1160" t="str">
        <f>VLOOKUP(A1160,Response!$A:$M,7,)</f>
        <v>PG (Paying Guest)</v>
      </c>
      <c r="N1160" t="str">
        <f>VLOOKUP(A1160,Response!$A:$M,8,)</f>
        <v>SNS Ladies PG, Egattur</v>
      </c>
      <c r="O1160" s="4">
        <f>VLOOKUP(A1160,Response!$A:$M,10,)</f>
        <v>2</v>
      </c>
      <c r="P1160" t="str">
        <f>VLOOKUP(A1160,Response!$A:$M,12,)</f>
        <v>No</v>
      </c>
      <c r="Q1160" t="str">
        <f>VLOOKUP(A1160,Response!$A:$M,11,)</f>
        <v>Siruseri</v>
      </c>
      <c r="R1160" t="s">
        <v>19</v>
      </c>
      <c r="S1160" s="39" t="s">
        <v>37</v>
      </c>
    </row>
    <row r="1161" spans="1:19">
      <c r="A1161" s="3">
        <v>2521644</v>
      </c>
      <c r="B1161" t="str">
        <f>VLOOKUP(A1161,File!$A:$J,2,FALSE)</f>
        <v>Gouri Shankar Mahendrakar</v>
      </c>
      <c r="C1161" s="29">
        <f>VLOOKUP(A1161,File!$A:$J,5,FALSE)</f>
        <v>46212</v>
      </c>
      <c r="D1161" s="29" t="str">
        <f>VLOOKUP(A1161,File!$A:$J,3,FALSE)</f>
        <v>Female</v>
      </c>
      <c r="E1161" s="29" t="str">
        <f>VLOOKUP(A1161,File!$A:$J,4,FALSE)</f>
        <v>FTE</v>
      </c>
      <c r="F1161" s="29" t="str">
        <f>VLOOKUP(A1161,File!$A:$J,6,FALSE)</f>
        <v>Chennai</v>
      </c>
      <c r="G1161" s="29" t="str">
        <f>VLOOKUP(A1161,File!$A:$J,7,FALSE)</f>
        <v>QEA26QEPT023</v>
      </c>
      <c r="H1161" s="29" t="str">
        <f>VLOOKUP(A1161,File!$A:$J,8,FALSE)</f>
        <v>Sweta Thoppil</v>
      </c>
      <c r="I1161" s="31">
        <f>VLOOKUP(A1161,File!$A:$J,9,FALSE)</f>
        <v>46314</v>
      </c>
      <c r="J1161" s="31" t="str">
        <f>VLOOKUP(A1161,File!$A:$K,11,FALSE)</f>
        <v>Oct 2026</v>
      </c>
      <c r="K1161" s="31" t="str">
        <f>VLOOKUP(A1161,File!$A:$K,10,FALSE)</f>
        <v>In-Training</v>
      </c>
      <c r="L1161" s="31" t="s">
        <v>4</v>
      </c>
      <c r="M1161" t="str">
        <f>VLOOKUP(A1161,Response!$A:$M,7,)</f>
        <v>PG (Paying Guest)</v>
      </c>
      <c r="N1161" t="str">
        <f>VLOOKUP(A1161,Response!$A:$M,8,)</f>
        <v>SNS PG for Ladies</v>
      </c>
      <c r="O1161" s="4">
        <f>VLOOKUP(A1161,Response!$A:$M,10,)</f>
        <v>3</v>
      </c>
      <c r="P1161" t="str">
        <f>VLOOKUP(A1161,Response!$A:$M,12,)</f>
        <v>No</v>
      </c>
      <c r="Q1161" t="str">
        <f>VLOOKUP(A1161,Response!$A:$M,11,)</f>
        <v>Egattur</v>
      </c>
      <c r="R1161" t="s">
        <v>19</v>
      </c>
      <c r="S1161" s="39" t="s">
        <v>37</v>
      </c>
    </row>
    <row r="1162" spans="1:19">
      <c r="A1162" s="3">
        <v>2521705</v>
      </c>
      <c r="B1162" t="str">
        <f>VLOOKUP(A1162,File!$A:$J,2,FALSE)</f>
        <v>Impana N</v>
      </c>
      <c r="C1162" s="29">
        <f>VLOOKUP(A1162,File!$A:$J,5,FALSE)</f>
        <v>46212</v>
      </c>
      <c r="D1162" s="29" t="str">
        <f>VLOOKUP(A1162,File!$A:$J,3,FALSE)</f>
        <v>Female</v>
      </c>
      <c r="E1162" s="29" t="str">
        <f>VLOOKUP(A1162,File!$A:$J,4,FALSE)</f>
        <v>FTE</v>
      </c>
      <c r="F1162" s="29" t="str">
        <f>VLOOKUP(A1162,File!$A:$J,6,FALSE)</f>
        <v>Chennai</v>
      </c>
      <c r="G1162" s="29" t="str">
        <f>VLOOKUP(A1162,File!$A:$J,7,FALSE)</f>
        <v>QEA26QEPT023</v>
      </c>
      <c r="H1162" s="29" t="str">
        <f>VLOOKUP(A1162,File!$A:$J,8,FALSE)</f>
        <v>Sweta Thoppil</v>
      </c>
      <c r="I1162" s="31">
        <f>VLOOKUP(A1162,File!$A:$J,9,FALSE)</f>
        <v>46314</v>
      </c>
      <c r="J1162" s="31" t="str">
        <f>VLOOKUP(A1162,File!$A:$K,11,FALSE)</f>
        <v>Oct 2026</v>
      </c>
      <c r="K1162" s="31" t="str">
        <f>VLOOKUP(A1162,File!$A:$K,10,FALSE)</f>
        <v>In-Training</v>
      </c>
      <c r="L1162" s="31" t="s">
        <v>4</v>
      </c>
      <c r="M1162" t="str">
        <f>VLOOKUP(A1162,Response!$A:$M,7,)</f>
        <v>PG (Paying Guest)</v>
      </c>
      <c r="N1162" t="str">
        <f>VLOOKUP(A1162,Response!$A:$M,8,)</f>
        <v>SNS PG FOR LADIES</v>
      </c>
      <c r="O1162" s="4">
        <f>VLOOKUP(A1162,Response!$A:$M,10,)</f>
        <v>3</v>
      </c>
      <c r="P1162" t="str">
        <f>VLOOKUP(A1162,Response!$A:$M,12,)</f>
        <v>No</v>
      </c>
      <c r="Q1162" t="str">
        <f>VLOOKUP(A1162,Response!$A:$M,11,)</f>
        <v>Egattur</v>
      </c>
      <c r="R1162" t="s">
        <v>19</v>
      </c>
      <c r="S1162" s="39" t="s">
        <v>37</v>
      </c>
    </row>
    <row r="1163" spans="1:19">
      <c r="A1163" s="3">
        <v>2524607</v>
      </c>
      <c r="B1163" t="str">
        <f>VLOOKUP(A1163,File!$A:$J,2,FALSE)</f>
        <v>Shivam Chaudhary</v>
      </c>
      <c r="C1163" s="29">
        <f>VLOOKUP(A1163,File!$A:$J,5,FALSE)</f>
        <v>46224</v>
      </c>
      <c r="D1163" s="29" t="str">
        <f>VLOOKUP(A1163,File!$A:$J,3,FALSE)</f>
        <v>Male</v>
      </c>
      <c r="E1163" s="29" t="str">
        <f>VLOOKUP(A1163,File!$A:$J,4,FALSE)</f>
        <v>FTE</v>
      </c>
      <c r="F1163" s="29" t="str">
        <f>VLOOKUP(A1163,File!$A:$J,6,FALSE)</f>
        <v>Chennai</v>
      </c>
      <c r="G1163" s="29" t="str">
        <f>VLOOKUP(A1163,File!$A:$J,7,FALSE)</f>
        <v>QEA26QEPT024</v>
      </c>
      <c r="H1163" s="29" t="str">
        <f>VLOOKUP(A1163,File!$A:$J,8,FALSE)</f>
        <v>Ajiesya D P</v>
      </c>
      <c r="I1163" s="31">
        <f>VLOOKUP(A1163,File!$A:$J,9,FALSE)</f>
        <v>46325</v>
      </c>
      <c r="J1163" s="31" t="str">
        <f>VLOOKUP(A1163,File!$A:$K,11,FALSE)</f>
        <v>Oct 2026</v>
      </c>
      <c r="K1163" s="31" t="str">
        <f>VLOOKUP(A1163,File!$A:$K,10,FALSE)</f>
        <v>In-Training</v>
      </c>
      <c r="L1163" s="31" t="s">
        <v>4</v>
      </c>
      <c r="M1163" t="str">
        <f>VLOOKUP(A1163,Response!$A:$M,7,)</f>
        <v>PG (Paying Guest)</v>
      </c>
      <c r="N1163" t="str">
        <f>VLOOKUP(A1163,Response!$A:$M,8,)</f>
        <v>Soma Men Stays</v>
      </c>
      <c r="O1163" s="4">
        <f>VLOOKUP(A1163,Response!$A:$M,10,)</f>
        <v>4</v>
      </c>
      <c r="P1163" t="str">
        <f>VLOOKUP(A1163,Response!$A:$M,12,)</f>
        <v>Yes</v>
      </c>
      <c r="Q1163" t="str">
        <f>VLOOKUP(A1163,Response!$A:$M,11,)</f>
        <v>Egattur</v>
      </c>
      <c r="R1163" t="s">
        <v>19</v>
      </c>
      <c r="S1163" s="39" t="s">
        <v>37</v>
      </c>
    </row>
    <row r="1164" spans="1:19">
      <c r="A1164" s="3">
        <v>2533015</v>
      </c>
      <c r="B1164" t="str">
        <f>VLOOKUP(A1164,File!$A:$J,2,FALSE)</f>
        <v>Damisetty Lohith</v>
      </c>
      <c r="C1164" s="29">
        <f>VLOOKUP(A1164,File!$A:$J,5,FALSE)</f>
        <v>46259</v>
      </c>
      <c r="D1164" s="29" t="str">
        <f>VLOOKUP(A1164,File!$A:$J,3,FALSE)</f>
        <v>Male</v>
      </c>
      <c r="E1164" s="29" t="str">
        <f>VLOOKUP(A1164,File!$A:$J,4,FALSE)</f>
        <v>FTE</v>
      </c>
      <c r="F1164" s="29" t="str">
        <f>VLOOKUP(A1164,File!$A:$J,6,FALSE)</f>
        <v>Chennai</v>
      </c>
      <c r="G1164" s="29" t="str">
        <f>VLOOKUP(A1164,File!$A:$J,7,FALSE)</f>
        <v>IOT26CSJ002</v>
      </c>
      <c r="H1164" s="29" t="str">
        <f>VLOOKUP(A1164,File!$A:$J,8,FALSE)</f>
        <v>Pavithra Kandasamy</v>
      </c>
      <c r="I1164" s="31">
        <f>VLOOKUP(A1164,File!$A:$J,9,FALSE)</f>
        <v>46337</v>
      </c>
      <c r="J1164" s="31" t="str">
        <f>VLOOKUP(A1164,File!$A:$K,11,FALSE)</f>
        <v>Nov 2026</v>
      </c>
      <c r="K1164" s="31" t="str">
        <f>VLOOKUP(A1164,File!$A:$K,10,FALSE)</f>
        <v>In-Training</v>
      </c>
      <c r="L1164" s="31" t="s">
        <v>4</v>
      </c>
      <c r="M1164" t="str">
        <f>VLOOKUP(A1164,Response!$A:$M,7,)</f>
        <v>PG (Paying Guest)</v>
      </c>
      <c r="N1164" t="str">
        <f>VLOOKUP(A1164,Response!$A:$M,8,)</f>
        <v>Soma Mens Pg</v>
      </c>
      <c r="O1164" s="4">
        <f>VLOOKUP(A1164,Response!$A:$M,10,)</f>
        <v>1</v>
      </c>
      <c r="P1164" t="str">
        <f>VLOOKUP(A1164,Response!$A:$M,12,)</f>
        <v>Yes</v>
      </c>
      <c r="Q1164" t="str">
        <f>VLOOKUP(A1164,Response!$A:$M,11,)</f>
        <v>Siruseri</v>
      </c>
      <c r="R1164" t="s">
        <v>19</v>
      </c>
      <c r="S1164" s="39" t="s">
        <v>37</v>
      </c>
    </row>
    <row r="1165" spans="1:19">
      <c r="A1165" s="3">
        <v>2525010</v>
      </c>
      <c r="B1165" t="str">
        <f>VLOOKUP(A1165,File!$A:$J,2,FALSE)</f>
        <v>Kiran D R</v>
      </c>
      <c r="C1165" s="29">
        <f>VLOOKUP(A1165,File!$A:$J,5,FALSE)</f>
        <v>46226</v>
      </c>
      <c r="D1165" s="29" t="str">
        <f>VLOOKUP(A1165,File!$A:$J,3,FALSE)</f>
        <v>Male</v>
      </c>
      <c r="E1165" s="29" t="str">
        <f>VLOOKUP(A1165,File!$A:$J,4,FALSE)</f>
        <v>FTE</v>
      </c>
      <c r="F1165" s="29" t="str">
        <f>VLOOKUP(A1165,File!$A:$J,6,FALSE)</f>
        <v>Chennai</v>
      </c>
      <c r="G1165" s="29" t="str">
        <f>VLOOKUP(A1165,File!$A:$J,7,FALSE)</f>
        <v>ADM26ISMO010</v>
      </c>
      <c r="H1165" s="29" t="str">
        <f>VLOOKUP(A1165,File!$A:$J,8,FALSE)</f>
        <v>Thomas Naveen. J</v>
      </c>
      <c r="I1165" s="31">
        <f>VLOOKUP(A1165,File!$A:$J,9,FALSE)</f>
        <v>46301</v>
      </c>
      <c r="J1165" s="31" t="str">
        <f>VLOOKUP(A1165,File!$A:$K,11,FALSE)</f>
        <v>Oct 2026</v>
      </c>
      <c r="K1165" s="31" t="str">
        <f>VLOOKUP(A1165,File!$A:$K,10,FALSE)</f>
        <v>In-Training</v>
      </c>
      <c r="L1165" s="31" t="s">
        <v>4</v>
      </c>
      <c r="M1165" t="str">
        <f>VLOOKUP(A1165,Response!$A:$M,7,)</f>
        <v>PG (Paying Guest)</v>
      </c>
      <c r="N1165" t="str">
        <f>VLOOKUP(A1165,Response!$A:$M,8,)</f>
        <v xml:space="preserve">Soma mens pg </v>
      </c>
      <c r="O1165" s="4">
        <f>VLOOKUP(A1165,Response!$A:$M,10,)</f>
        <v>2</v>
      </c>
      <c r="P1165" t="str">
        <f>VLOOKUP(A1165,Response!$A:$M,12,)</f>
        <v>No</v>
      </c>
      <c r="Q1165" t="str">
        <f>VLOOKUP(A1165,Response!$A:$M,11,)</f>
        <v>Siruseri</v>
      </c>
      <c r="R1165" t="s">
        <v>19</v>
      </c>
      <c r="S1165" s="39" t="s">
        <v>37</v>
      </c>
    </row>
    <row r="1166" spans="1:19">
      <c r="A1166" s="3">
        <v>2525029</v>
      </c>
      <c r="B1166" t="str">
        <f>VLOOKUP(A1166,File!$A:$J,2,FALSE)</f>
        <v>Reddy Jagadeesh Babu</v>
      </c>
      <c r="C1166" s="29">
        <f>VLOOKUP(A1166,File!$A:$J,5,FALSE)</f>
        <v>46226</v>
      </c>
      <c r="D1166" s="29" t="str">
        <f>VLOOKUP(A1166,File!$A:$J,3,FALSE)</f>
        <v>Male</v>
      </c>
      <c r="E1166" s="29" t="str">
        <f>VLOOKUP(A1166,File!$A:$J,4,FALSE)</f>
        <v>FTE</v>
      </c>
      <c r="F1166" s="29" t="str">
        <f>VLOOKUP(A1166,File!$A:$J,6,FALSE)</f>
        <v>Chennai</v>
      </c>
      <c r="G1166" s="29" t="str">
        <f>VLOOKUP(A1166,File!$A:$J,7,FALSE)</f>
        <v>ADM26ISMO010</v>
      </c>
      <c r="H1166" s="29" t="str">
        <f>VLOOKUP(A1166,File!$A:$J,8,FALSE)</f>
        <v>Thomas Naveen. J</v>
      </c>
      <c r="I1166" s="31">
        <f>VLOOKUP(A1166,File!$A:$J,9,FALSE)</f>
        <v>46301</v>
      </c>
      <c r="J1166" s="31" t="str">
        <f>VLOOKUP(A1166,File!$A:$K,11,FALSE)</f>
        <v>Oct 2026</v>
      </c>
      <c r="K1166" s="31" t="str">
        <f>VLOOKUP(A1166,File!$A:$K,10,FALSE)</f>
        <v>In-Training</v>
      </c>
      <c r="L1166" s="31" t="s">
        <v>4</v>
      </c>
      <c r="M1166" t="str">
        <f>VLOOKUP(A1166,Response!$A:$M,7,)</f>
        <v>Hostel</v>
      </c>
      <c r="N1166" t="str">
        <f>VLOOKUP(A1166,Response!$A:$M,8,)</f>
        <v>Soma mens PG hostel, siruseri, Tamil Nadu - 603103</v>
      </c>
      <c r="O1166" s="4">
        <f>VLOOKUP(A1166,Response!$A:$M,10,)</f>
        <v>2</v>
      </c>
      <c r="P1166" t="str">
        <f>VLOOKUP(A1166,Response!$A:$M,12,)</f>
        <v>No</v>
      </c>
      <c r="Q1166" t="str">
        <f>VLOOKUP(A1166,Response!$A:$M,11,)</f>
        <v>Siruseri</v>
      </c>
      <c r="R1166" t="s">
        <v>19</v>
      </c>
      <c r="S1166" s="39" t="s">
        <v>37</v>
      </c>
    </row>
    <row r="1167" spans="1:19">
      <c r="A1167" s="3">
        <v>2525034</v>
      </c>
      <c r="B1167" t="str">
        <f>VLOOKUP(A1167,File!$A:$J,2,FALSE)</f>
        <v>Neelisetti N N V K Durga Manikanta</v>
      </c>
      <c r="C1167" s="29">
        <f>VLOOKUP(A1167,File!$A:$J,5,FALSE)</f>
        <v>46226</v>
      </c>
      <c r="D1167" s="29" t="str">
        <f>VLOOKUP(A1167,File!$A:$J,3,FALSE)</f>
        <v>Male</v>
      </c>
      <c r="E1167" s="29" t="str">
        <f>VLOOKUP(A1167,File!$A:$J,4,FALSE)</f>
        <v>FTE</v>
      </c>
      <c r="F1167" s="29" t="str">
        <f>VLOOKUP(A1167,File!$A:$J,6,FALSE)</f>
        <v>Chennai</v>
      </c>
      <c r="G1167" s="29" t="str">
        <f>VLOOKUP(A1167,File!$A:$J,7,FALSE)</f>
        <v>ADM26ISMO010</v>
      </c>
      <c r="H1167" s="29" t="str">
        <f>VLOOKUP(A1167,File!$A:$J,8,FALSE)</f>
        <v>Thomas Naveen. J</v>
      </c>
      <c r="I1167" s="31">
        <f>VLOOKUP(A1167,File!$A:$J,9,FALSE)</f>
        <v>46301</v>
      </c>
      <c r="J1167" s="31" t="str">
        <f>VLOOKUP(A1167,File!$A:$K,11,FALSE)</f>
        <v>Oct 2026</v>
      </c>
      <c r="K1167" s="31" t="str">
        <f>VLOOKUP(A1167,File!$A:$K,10,FALSE)</f>
        <v>In-Training</v>
      </c>
      <c r="L1167" s="31" t="s">
        <v>4</v>
      </c>
      <c r="M1167" t="str">
        <f>VLOOKUP(A1167,Response!$A:$M,7,)</f>
        <v>PG (Paying Guest)</v>
      </c>
      <c r="N1167" t="str">
        <f>VLOOKUP(A1167,Response!$A:$M,8,)</f>
        <v>Soma Mens PG, Egattur</v>
      </c>
      <c r="O1167" s="4">
        <f>VLOOKUP(A1167,Response!$A:$M,10,)</f>
        <v>4</v>
      </c>
      <c r="P1167" t="str">
        <f>VLOOKUP(A1167,Response!$A:$M,12,)</f>
        <v>No</v>
      </c>
      <c r="Q1167" t="str">
        <f>VLOOKUP(A1167,Response!$A:$M,11,)</f>
        <v>Siruseri</v>
      </c>
      <c r="R1167" t="s">
        <v>19</v>
      </c>
      <c r="S1167" s="39" t="s">
        <v>37</v>
      </c>
    </row>
    <row r="1168" spans="1:19">
      <c r="A1168" s="3">
        <v>2532972</v>
      </c>
      <c r="B1168" t="str">
        <f>VLOOKUP(A1168,File!$A:$J,2,FALSE)</f>
        <v>Sarva Siva Sai Bhaskar</v>
      </c>
      <c r="C1168" s="29">
        <f>VLOOKUP(A1168,File!$A:$J,5,FALSE)</f>
        <v>46259</v>
      </c>
      <c r="D1168" s="29" t="str">
        <f>VLOOKUP(A1168,File!$A:$J,3,FALSE)</f>
        <v>Male</v>
      </c>
      <c r="E1168" s="29" t="str">
        <f>VLOOKUP(A1168,File!$A:$J,4,FALSE)</f>
        <v>FTE</v>
      </c>
      <c r="F1168" s="29" t="str">
        <f>VLOOKUP(A1168,File!$A:$J,6,FALSE)</f>
        <v>Chennai</v>
      </c>
      <c r="G1168" s="29" t="str">
        <f>VLOOKUP(A1168,File!$A:$J,7,FALSE)</f>
        <v>CIS26MBG005</v>
      </c>
      <c r="H1168" s="29" t="str">
        <f>VLOOKUP(A1168,File!$A:$J,8,FALSE)</f>
        <v>Angel Maria Faustina Gomez</v>
      </c>
      <c r="I1168" s="31">
        <f>VLOOKUP(A1168,File!$A:$J,9,FALSE)</f>
        <v>46367</v>
      </c>
      <c r="J1168" s="31" t="str">
        <f>VLOOKUP(A1168,File!$A:$K,11,FALSE)</f>
        <v>Dec 2026</v>
      </c>
      <c r="K1168" s="31" t="str">
        <f>VLOOKUP(A1168,File!$A:$K,10,FALSE)</f>
        <v>In-Training</v>
      </c>
      <c r="L1168" s="31" t="s">
        <v>4</v>
      </c>
      <c r="M1168" t="str">
        <f>VLOOKUP(A1168,Response!$A:$M,7,)</f>
        <v>PG (Paying Guest)</v>
      </c>
      <c r="N1168" t="str">
        <f>VLOOKUP(A1168,Response!$A:$M,8,)</f>
        <v>SOMA MENS PG</v>
      </c>
      <c r="O1168" s="4">
        <f>VLOOKUP(A1168,Response!$A:$M,10,)</f>
        <v>1</v>
      </c>
      <c r="P1168" t="str">
        <f>VLOOKUP(A1168,Response!$A:$M,12,)</f>
        <v>No</v>
      </c>
      <c r="Q1168" t="str">
        <f>VLOOKUP(A1168,Response!$A:$M,11,)</f>
        <v>Siruseri</v>
      </c>
      <c r="R1168" t="s">
        <v>19</v>
      </c>
      <c r="S1168" s="39" t="s">
        <v>37</v>
      </c>
    </row>
    <row r="1169" spans="1:19">
      <c r="A1169" s="3">
        <v>2520974</v>
      </c>
      <c r="B1169" t="str">
        <f>VLOOKUP(A1169,File!$A:$J,2,FALSE)</f>
        <v>Piyush Dnyaneshwar Ghanghav</v>
      </c>
      <c r="C1169" s="29">
        <f>VLOOKUP(A1169,File!$A:$J,5,FALSE)</f>
        <v>46210</v>
      </c>
      <c r="D1169" s="29" t="str">
        <f>VLOOKUP(A1169,File!$A:$J,3,FALSE)</f>
        <v>Male</v>
      </c>
      <c r="E1169" s="29" t="str">
        <f>VLOOKUP(A1169,File!$A:$J,4,FALSE)</f>
        <v>FTE</v>
      </c>
      <c r="F1169" s="29" t="str">
        <f>VLOOKUP(A1169,File!$A:$J,6,FALSE)</f>
        <v>Chennai</v>
      </c>
      <c r="G1169" s="29" t="str">
        <f>VLOOKUP(A1169,File!$A:$J,7,FALSE)</f>
        <v>CS26CS007</v>
      </c>
      <c r="H1169" s="29" t="str">
        <f>VLOOKUP(A1169,File!$A:$J,8,FALSE)</f>
        <v>Lawrance M</v>
      </c>
      <c r="I1169" s="31">
        <f>VLOOKUP(A1169,File!$A:$J,9,FALSE)</f>
        <v>46272</v>
      </c>
      <c r="J1169" s="31" t="str">
        <f>VLOOKUP(A1169,File!$A:$K,11,FALSE)</f>
        <v>Sep 2026</v>
      </c>
      <c r="K1169" s="31" t="str">
        <f>VLOOKUP(A1169,File!$A:$K,10,FALSE)</f>
        <v>In-Training</v>
      </c>
      <c r="L1169" s="31" t="s">
        <v>4</v>
      </c>
      <c r="M1169" t="str">
        <f>VLOOKUP(A1169,Response!$A:$M,7,)</f>
        <v>PG (Paying Guest)</v>
      </c>
      <c r="N1169" t="str">
        <f>VLOOKUP(A1169,Response!$A:$M,8,)</f>
        <v>Soma Mens Stay</v>
      </c>
      <c r="O1169" s="4">
        <f>VLOOKUP(A1169,Response!$A:$M,10,)</f>
        <v>2</v>
      </c>
      <c r="P1169" t="str">
        <f>VLOOKUP(A1169,Response!$A:$M,12,)</f>
        <v>No</v>
      </c>
      <c r="Q1169" t="str">
        <f>VLOOKUP(A1169,Response!$A:$M,11,)</f>
        <v>Siruseri</v>
      </c>
      <c r="R1169" t="s">
        <v>19</v>
      </c>
      <c r="S1169" s="39" t="s">
        <v>37</v>
      </c>
    </row>
    <row r="1170" spans="1:19">
      <c r="A1170" s="3">
        <v>2523394</v>
      </c>
      <c r="B1170" t="str">
        <f>VLOOKUP(A1170,File!$A:$J,2,FALSE)</f>
        <v>Gowtham H M</v>
      </c>
      <c r="C1170" s="29">
        <f>VLOOKUP(A1170,File!$A:$J,5,FALSE)</f>
        <v>46219</v>
      </c>
      <c r="D1170" s="29" t="str">
        <f>VLOOKUP(A1170,File!$A:$J,3,FALSE)</f>
        <v>Male</v>
      </c>
      <c r="E1170" s="29" t="str">
        <f>VLOOKUP(A1170,File!$A:$J,4,FALSE)</f>
        <v>FTE</v>
      </c>
      <c r="F1170" s="29" t="str">
        <f>VLOOKUP(A1170,File!$A:$J,6,FALSE)</f>
        <v>Chennai</v>
      </c>
      <c r="G1170" s="29" t="str">
        <f>VLOOKUP(A1170,File!$A:$J,7,FALSE)</f>
        <v>CS26CS010</v>
      </c>
      <c r="H1170" s="29" t="str">
        <f>VLOOKUP(A1170,File!$A:$J,8,FALSE)</f>
        <v>Laksiya Vijayendran</v>
      </c>
      <c r="I1170" s="31">
        <f>VLOOKUP(A1170,File!$A:$J,9,FALSE)</f>
        <v>46314</v>
      </c>
      <c r="J1170" s="31" t="str">
        <f>VLOOKUP(A1170,File!$A:$K,11,FALSE)</f>
        <v>Oct 2026</v>
      </c>
      <c r="K1170" s="31" t="str">
        <f>VLOOKUP(A1170,File!$A:$K,10,FALSE)</f>
        <v>In-Training</v>
      </c>
      <c r="L1170" s="31" t="s">
        <v>4</v>
      </c>
      <c r="M1170" t="str">
        <f>VLOOKUP(A1170,Response!$A:$M,7,)</f>
        <v>PG (Paying Guest)</v>
      </c>
      <c r="N1170" t="str">
        <f>VLOOKUP(A1170,Response!$A:$M,8,)</f>
        <v>Soma Mens Stay</v>
      </c>
      <c r="O1170" s="4">
        <f>VLOOKUP(A1170,Response!$A:$M,10,)</f>
        <v>2</v>
      </c>
      <c r="P1170" t="str">
        <f>VLOOKUP(A1170,Response!$A:$M,12,)</f>
        <v>No</v>
      </c>
      <c r="Q1170" t="str">
        <f>VLOOKUP(A1170,Response!$A:$M,11,)</f>
        <v>Siruseri</v>
      </c>
      <c r="R1170" t="s">
        <v>19</v>
      </c>
      <c r="S1170" s="39" t="s">
        <v>37</v>
      </c>
    </row>
    <row r="1171" spans="1:19">
      <c r="A1171" s="3">
        <v>2521825</v>
      </c>
      <c r="B1171" t="str">
        <f>VLOOKUP(A1171,File!$A:$J,2,FALSE)</f>
        <v>Mohammed Misba</v>
      </c>
      <c r="C1171" s="29">
        <f>VLOOKUP(A1171,File!$A:$J,5,FALSE)</f>
        <v>46212</v>
      </c>
      <c r="D1171" s="29" t="str">
        <f>VLOOKUP(A1171,File!$A:$J,3,FALSE)</f>
        <v>Male</v>
      </c>
      <c r="E1171" s="29" t="str">
        <f>VLOOKUP(A1171,File!$A:$J,4,FALSE)</f>
        <v>FTE</v>
      </c>
      <c r="F1171" s="29" t="str">
        <f>VLOOKUP(A1171,File!$A:$J,6,FALSE)</f>
        <v>Chennai</v>
      </c>
      <c r="G1171" s="29" t="str">
        <f>VLOOKUP(A1171,File!$A:$J,7,FALSE)</f>
        <v>ADM26DNAT003</v>
      </c>
      <c r="H1171" s="29" t="str">
        <f>VLOOKUP(A1171,File!$A:$J,8,FALSE)</f>
        <v>Athira P</v>
      </c>
      <c r="I1171" s="31">
        <f>VLOOKUP(A1171,File!$A:$J,9,FALSE)</f>
        <v>46318</v>
      </c>
      <c r="J1171" s="31" t="str">
        <f>VLOOKUP(A1171,File!$A:$K,11,FALSE)</f>
        <v>Oct 2026</v>
      </c>
      <c r="K1171" s="31" t="str">
        <f>VLOOKUP(A1171,File!$A:$K,10,FALSE)</f>
        <v>In-Training</v>
      </c>
      <c r="L1171" s="31" t="s">
        <v>4</v>
      </c>
      <c r="M1171" t="str">
        <f>VLOOKUP(A1171,Response!$A:$M,7,)</f>
        <v>PG (Paying Guest)</v>
      </c>
      <c r="N1171" t="str">
        <f>VLOOKUP(A1171,Response!$A:$M,8,)</f>
        <v>Soma mens stay</v>
      </c>
      <c r="O1171" s="4">
        <f>VLOOKUP(A1171,Response!$A:$M,10,)</f>
        <v>3</v>
      </c>
      <c r="P1171" t="str">
        <f>VLOOKUP(A1171,Response!$A:$M,12,)</f>
        <v>No</v>
      </c>
      <c r="Q1171" t="str">
        <f>VLOOKUP(A1171,Response!$A:$M,11,)</f>
        <v>Egattur</v>
      </c>
      <c r="R1171" t="s">
        <v>19</v>
      </c>
      <c r="S1171" s="39" t="s">
        <v>37</v>
      </c>
    </row>
    <row r="1172" spans="1:19">
      <c r="A1172" s="3">
        <v>2523376</v>
      </c>
      <c r="B1172" t="str">
        <f>VLOOKUP(A1172,File!$A:$J,2,FALSE)</f>
        <v>Sarvesh Sharad Gurav</v>
      </c>
      <c r="C1172" s="29">
        <f>VLOOKUP(A1172,File!$A:$J,5,FALSE)</f>
        <v>46219</v>
      </c>
      <c r="D1172" s="29" t="str">
        <f>VLOOKUP(A1172,File!$A:$J,3,FALSE)</f>
        <v>Male</v>
      </c>
      <c r="E1172" s="29" t="str">
        <f>VLOOKUP(A1172,File!$A:$J,4,FALSE)</f>
        <v>FTE</v>
      </c>
      <c r="F1172" s="29" t="str">
        <f>VLOOKUP(A1172,File!$A:$J,6,FALSE)</f>
        <v>Chennai</v>
      </c>
      <c r="G1172" s="29" t="str">
        <f>VLOOKUP(A1172,File!$A:$J,7,FALSE)</f>
        <v>CS26CS009</v>
      </c>
      <c r="H1172" s="29" t="str">
        <f>VLOOKUP(A1172,File!$A:$J,8,FALSE)</f>
        <v>Laksiya Vijayendran</v>
      </c>
      <c r="I1172" s="31">
        <f>VLOOKUP(A1172,File!$A:$J,9,FALSE)</f>
        <v>46309</v>
      </c>
      <c r="J1172" s="31" t="str">
        <f>VLOOKUP(A1172,File!$A:$K,11,FALSE)</f>
        <v>Oct 2026</v>
      </c>
      <c r="K1172" s="31" t="str">
        <f>VLOOKUP(A1172,File!$A:$K,10,FALSE)</f>
        <v>In-Training</v>
      </c>
      <c r="L1172" s="31" t="s">
        <v>4</v>
      </c>
      <c r="M1172" t="str">
        <f>VLOOKUP(A1172,Response!$A:$M,7,)</f>
        <v>PG (Paying Guest)</v>
      </c>
      <c r="N1172" t="str">
        <f>VLOOKUP(A1172,Response!$A:$M,8,)</f>
        <v>Soma Mens Stay</v>
      </c>
      <c r="O1172" s="4">
        <f>VLOOKUP(A1172,Response!$A:$M,10,)</f>
        <v>4</v>
      </c>
      <c r="P1172" t="str">
        <f>VLOOKUP(A1172,Response!$A:$M,12,)</f>
        <v>No</v>
      </c>
      <c r="Q1172" t="str">
        <f>VLOOKUP(A1172,Response!$A:$M,11,)</f>
        <v>Egattur</v>
      </c>
      <c r="R1172" t="s">
        <v>19</v>
      </c>
      <c r="S1172" s="39" t="s">
        <v>37</v>
      </c>
    </row>
    <row r="1173" spans="1:19">
      <c r="A1173" s="3">
        <v>2529568</v>
      </c>
      <c r="B1173" t="str">
        <f>VLOOKUP(A1173,File!$A:$J,2,FALSE)</f>
        <v>Harshal Sambhaji Gade</v>
      </c>
      <c r="C1173" s="29">
        <f>VLOOKUP(A1173,File!$A:$J,5,FALSE)</f>
        <v>46245</v>
      </c>
      <c r="D1173" s="29" t="str">
        <f>VLOOKUP(A1173,File!$A:$J,3,FALSE)</f>
        <v>Male</v>
      </c>
      <c r="E1173" s="29" t="str">
        <f>VLOOKUP(A1173,File!$A:$J,4,FALSE)</f>
        <v>FTE</v>
      </c>
      <c r="F1173" s="29" t="str">
        <f>VLOOKUP(A1173,File!$A:$J,6,FALSE)</f>
        <v>Chennai</v>
      </c>
      <c r="G1173" s="29" t="str">
        <f>VLOOKUP(A1173,File!$A:$J,7,FALSE)</f>
        <v>CIS26MCPT022</v>
      </c>
      <c r="H1173" s="29" t="str">
        <f>VLOOKUP(A1173,File!$A:$J,8,FALSE)</f>
        <v>Laksiya Vijayendran</v>
      </c>
      <c r="I1173" s="31">
        <f>VLOOKUP(A1173,File!$A:$J,9,FALSE)</f>
        <v>46359</v>
      </c>
      <c r="J1173" s="31" t="str">
        <f>VLOOKUP(A1173,File!$A:$K,11,FALSE)</f>
        <v>Dec 2026</v>
      </c>
      <c r="K1173" s="31" t="str">
        <f>VLOOKUP(A1173,File!$A:$K,10,FALSE)</f>
        <v>In-Training</v>
      </c>
      <c r="L1173" s="31" t="s">
        <v>4</v>
      </c>
      <c r="M1173" t="str">
        <f>VLOOKUP(A1173,Response!$A:$M,7,)</f>
        <v>PG (Paying Guest)</v>
      </c>
      <c r="N1173" t="str">
        <f>VLOOKUP(A1173,Response!$A:$M,8,)</f>
        <v>soma mens stay</v>
      </c>
      <c r="O1173" s="4">
        <f>VLOOKUP(A1173,Response!$A:$M,10,)</f>
        <v>4</v>
      </c>
      <c r="P1173" t="str">
        <f>VLOOKUP(A1173,Response!$A:$M,12,)</f>
        <v>No</v>
      </c>
      <c r="Q1173" t="str">
        <f>VLOOKUP(A1173,Response!$A:$M,11,)</f>
        <v>Siruseri</v>
      </c>
      <c r="R1173" t="s">
        <v>19</v>
      </c>
      <c r="S1173" s="39" t="s">
        <v>37</v>
      </c>
    </row>
    <row r="1174" spans="1:19">
      <c r="A1174" s="3">
        <v>2532889</v>
      </c>
      <c r="B1174" t="str">
        <f>VLOOKUP(A1174,File!$A:$J,2,FALSE)</f>
        <v>Sumit Pathak</v>
      </c>
      <c r="C1174" s="29">
        <f>VLOOKUP(A1174,File!$A:$J,5,FALSE)</f>
        <v>46259</v>
      </c>
      <c r="D1174" s="29" t="str">
        <f>VLOOKUP(A1174,File!$A:$J,3,FALSE)</f>
        <v>Male</v>
      </c>
      <c r="E1174" s="29" t="str">
        <f>VLOOKUP(A1174,File!$A:$J,4,FALSE)</f>
        <v>FTE</v>
      </c>
      <c r="F1174" s="29" t="str">
        <f>VLOOKUP(A1174,File!$A:$J,6,FALSE)</f>
        <v>Chennai</v>
      </c>
      <c r="G1174" s="29" t="str">
        <f>VLOOKUP(A1174,File!$A:$J,7,FALSE)</f>
        <v>CIS26DWP032</v>
      </c>
      <c r="H1174" s="29" t="str">
        <f>VLOOKUP(A1174,File!$A:$J,8,FALSE)</f>
        <v>Aiswarya A Kumar</v>
      </c>
      <c r="I1174" s="31">
        <f>VLOOKUP(A1174,File!$A:$J,9,FALSE)</f>
        <v>46330</v>
      </c>
      <c r="J1174" s="31" t="str">
        <f>VLOOKUP(A1174,File!$A:$K,11,FALSE)</f>
        <v>Nov 2026</v>
      </c>
      <c r="K1174" s="31" t="str">
        <f>VLOOKUP(A1174,File!$A:$K,10,FALSE)</f>
        <v>In-Training</v>
      </c>
      <c r="L1174" s="31" t="s">
        <v>4</v>
      </c>
      <c r="M1174" t="str">
        <f>VLOOKUP(A1174,Response!$A:$M,7,)</f>
        <v>PG (Paying Guest)</v>
      </c>
      <c r="N1174" t="str">
        <f>VLOOKUP(A1174,Response!$A:$M,8,)</f>
        <v>Soma Mens Stay</v>
      </c>
      <c r="O1174" s="4">
        <f>VLOOKUP(A1174,Response!$A:$M,10,)</f>
        <v>4</v>
      </c>
      <c r="P1174" t="str">
        <f>VLOOKUP(A1174,Response!$A:$M,12,)</f>
        <v>No</v>
      </c>
      <c r="Q1174" t="str">
        <f>VLOOKUP(A1174,Response!$A:$M,11,)</f>
        <v>Siruseri</v>
      </c>
      <c r="R1174" t="s">
        <v>19</v>
      </c>
      <c r="S1174" s="39" t="s">
        <v>37</v>
      </c>
    </row>
    <row r="1175" spans="1:19">
      <c r="A1175" s="3">
        <v>2533057</v>
      </c>
      <c r="B1175" t="str">
        <f>VLOOKUP(A1175,File!$A:$J,2,FALSE)</f>
        <v>Venkatesh Chadaram</v>
      </c>
      <c r="C1175" s="29">
        <f>VLOOKUP(A1175,File!$A:$J,5,FALSE)</f>
        <v>46259</v>
      </c>
      <c r="D1175" s="29" t="str">
        <f>VLOOKUP(A1175,File!$A:$J,3,FALSE)</f>
        <v>Male</v>
      </c>
      <c r="E1175" s="29" t="str">
        <f>VLOOKUP(A1175,File!$A:$J,4,FALSE)</f>
        <v>FTE</v>
      </c>
      <c r="F1175" s="29" t="str">
        <f>VLOOKUP(A1175,File!$A:$J,6,FALSE)</f>
        <v>Chennai</v>
      </c>
      <c r="G1175" s="29" t="str">
        <f>VLOOKUP(A1175,File!$A:$J,7,FALSE)</f>
        <v>CIS26MBG006</v>
      </c>
      <c r="H1175" s="29" t="str">
        <f>VLOOKUP(A1175,File!$A:$J,8,FALSE)</f>
        <v>Angel Maria Faustina Gomez</v>
      </c>
      <c r="I1175" s="31">
        <f>VLOOKUP(A1175,File!$A:$J,9,FALSE)</f>
        <v>46367</v>
      </c>
      <c r="J1175" s="31" t="str">
        <f>VLOOKUP(A1175,File!$A:$K,11,FALSE)</f>
        <v>Dec 2026</v>
      </c>
      <c r="K1175" s="31" t="str">
        <f>VLOOKUP(A1175,File!$A:$K,10,FALSE)</f>
        <v>In-Training</v>
      </c>
      <c r="L1175" s="31" t="s">
        <v>4</v>
      </c>
      <c r="M1175" t="str">
        <f>VLOOKUP(A1175,Response!$A:$M,7,)</f>
        <v>PG (Paying Guest)</v>
      </c>
      <c r="N1175" t="str">
        <f>VLOOKUP(A1175,Response!$A:$M,8,)</f>
        <v>soma mens stay</v>
      </c>
      <c r="O1175" s="4">
        <f>VLOOKUP(A1175,Response!$A:$M,10,)</f>
        <v>4</v>
      </c>
      <c r="P1175" t="str">
        <f>VLOOKUP(A1175,Response!$A:$M,12,)</f>
        <v>No</v>
      </c>
      <c r="Q1175" t="str">
        <f>VLOOKUP(A1175,Response!$A:$M,11,)</f>
        <v>Siruseri</v>
      </c>
      <c r="R1175" t="s">
        <v>19</v>
      </c>
      <c r="S1175" s="39" t="s">
        <v>37</v>
      </c>
    </row>
    <row r="1176" spans="1:19">
      <c r="A1176" s="3">
        <v>2532901</v>
      </c>
      <c r="B1176" t="str">
        <f>VLOOKUP(A1176,File!$A:$J,2,FALSE)</f>
        <v>Pranav Ganesh Shahakar</v>
      </c>
      <c r="C1176" s="29">
        <f>VLOOKUP(A1176,File!$A:$J,5,FALSE)</f>
        <v>46259</v>
      </c>
      <c r="D1176" s="29" t="str">
        <f>VLOOKUP(A1176,File!$A:$J,3,FALSE)</f>
        <v>Male</v>
      </c>
      <c r="E1176" s="29" t="str">
        <f>VLOOKUP(A1176,File!$A:$J,4,FALSE)</f>
        <v>FTE</v>
      </c>
      <c r="F1176" s="29" t="str">
        <f>VLOOKUP(A1176,File!$A:$J,6,FALSE)</f>
        <v>Chennai</v>
      </c>
      <c r="G1176" s="29" t="str">
        <f>VLOOKUP(A1176,File!$A:$J,7,FALSE)</f>
        <v>CIS26MBG007</v>
      </c>
      <c r="H1176" s="29" t="str">
        <f>VLOOKUP(A1176,File!$A:$J,8,FALSE)</f>
        <v>Lawrance M</v>
      </c>
      <c r="I1176" s="31">
        <f>VLOOKUP(A1176,File!$A:$J,9,FALSE)</f>
        <v>46367</v>
      </c>
      <c r="J1176" s="31" t="str">
        <f>VLOOKUP(A1176,File!$A:$K,11,FALSE)</f>
        <v>Dec 2026</v>
      </c>
      <c r="K1176" s="31" t="str">
        <f>VLOOKUP(A1176,File!$A:$K,10,FALSE)</f>
        <v>In-Training</v>
      </c>
      <c r="L1176" s="31" t="s">
        <v>4</v>
      </c>
      <c r="M1176" t="str">
        <f>VLOOKUP(A1176,Response!$A:$M,7,)</f>
        <v>PG (Paying Guest)</v>
      </c>
      <c r="N1176" t="str">
        <f>VLOOKUP(A1176,Response!$A:$M,8,)</f>
        <v>Soma Mens Stay</v>
      </c>
      <c r="O1176" s="4">
        <f>VLOOKUP(A1176,Response!$A:$M,10,)</f>
        <v>5</v>
      </c>
      <c r="P1176" t="str">
        <f>VLOOKUP(A1176,Response!$A:$M,12,)</f>
        <v>No</v>
      </c>
      <c r="Q1176" t="str">
        <f>VLOOKUP(A1176,Response!$A:$M,11,)</f>
        <v>Egattur</v>
      </c>
      <c r="R1176" t="s">
        <v>19</v>
      </c>
      <c r="S1176" s="39" t="s">
        <v>37</v>
      </c>
    </row>
    <row r="1177" spans="1:19">
      <c r="A1177" s="3">
        <v>2524545</v>
      </c>
      <c r="B1177" t="str">
        <f>VLOOKUP(A1177,File!$A:$J,2,FALSE)</f>
        <v>Somnath Umakant Swami</v>
      </c>
      <c r="C1177" s="29">
        <f>VLOOKUP(A1177,File!$A:$J,5,FALSE)</f>
        <v>46224</v>
      </c>
      <c r="D1177" s="29" t="str">
        <f>VLOOKUP(A1177,File!$A:$J,3,FALSE)</f>
        <v>Male</v>
      </c>
      <c r="E1177" s="29" t="str">
        <f>VLOOKUP(A1177,File!$A:$J,4,FALSE)</f>
        <v>FTE</v>
      </c>
      <c r="F1177" s="29" t="str">
        <f>VLOOKUP(A1177,File!$A:$J,6,FALSE)</f>
        <v>Chennai</v>
      </c>
      <c r="G1177" s="29" t="str">
        <f>VLOOKUP(A1177,File!$A:$J,7,FALSE)</f>
        <v>QEA26QEPT024</v>
      </c>
      <c r="H1177" s="29" t="str">
        <f>VLOOKUP(A1177,File!$A:$J,8,FALSE)</f>
        <v>Ajiesya D P</v>
      </c>
      <c r="I1177" s="31">
        <f>VLOOKUP(A1177,File!$A:$J,9,FALSE)</f>
        <v>46330</v>
      </c>
      <c r="J1177" s="31" t="str">
        <f>VLOOKUP(A1177,File!$A:$K,11,FALSE)</f>
        <v>Nov 2026</v>
      </c>
      <c r="K1177" s="31" t="str">
        <f>VLOOKUP(A1177,File!$A:$K,10,FALSE)</f>
        <v>In-Training</v>
      </c>
      <c r="L1177" s="31" t="s">
        <v>4</v>
      </c>
      <c r="M1177" t="str">
        <f>VLOOKUP(A1177,Response!$A:$M,7,)</f>
        <v>PG (Paying Guest)</v>
      </c>
      <c r="N1177" t="str">
        <f>VLOOKUP(A1177,Response!$A:$M,8,)</f>
        <v xml:space="preserve">Soma mens Stay </v>
      </c>
      <c r="O1177" s="4">
        <f>VLOOKUP(A1177,Response!$A:$M,10,)</f>
        <v>3</v>
      </c>
      <c r="P1177" t="str">
        <f>VLOOKUP(A1177,Response!$A:$M,12,)</f>
        <v>No</v>
      </c>
      <c r="Q1177" t="str">
        <f>VLOOKUP(A1177,Response!$A:$M,11,)</f>
        <v>Egattur</v>
      </c>
      <c r="R1177" t="s">
        <v>19</v>
      </c>
      <c r="S1177" s="39" t="s">
        <v>37</v>
      </c>
    </row>
    <row r="1178" spans="1:19">
      <c r="A1178" s="3">
        <v>2529581</v>
      </c>
      <c r="B1178" t="str">
        <f>VLOOKUP(A1178,File!$A:$J,2,FALSE)</f>
        <v>Nani Mekala</v>
      </c>
      <c r="C1178" s="29">
        <f>VLOOKUP(A1178,File!$A:$J,5,FALSE)</f>
        <v>46245</v>
      </c>
      <c r="D1178" s="29" t="str">
        <f>VLOOKUP(A1178,File!$A:$J,3,FALSE)</f>
        <v>Male</v>
      </c>
      <c r="E1178" s="29" t="str">
        <f>VLOOKUP(A1178,File!$A:$J,4,FALSE)</f>
        <v>FTE</v>
      </c>
      <c r="F1178" s="29" t="str">
        <f>VLOOKUP(A1178,File!$A:$J,6,FALSE)</f>
        <v>Chennai</v>
      </c>
      <c r="G1178" s="29" t="str">
        <f>VLOOKUP(A1178,File!$A:$J,7,FALSE)</f>
        <v>CIS26MCPT024</v>
      </c>
      <c r="H1178" s="29" t="str">
        <f>VLOOKUP(A1178,File!$A:$J,8,FALSE)</f>
        <v>Ashiya Begam S</v>
      </c>
      <c r="I1178" s="31">
        <f>VLOOKUP(A1178,File!$A:$J,9,FALSE)</f>
        <v>46359</v>
      </c>
      <c r="J1178" s="31" t="str">
        <f>VLOOKUP(A1178,File!$A:$K,11,FALSE)</f>
        <v>Dec 2026</v>
      </c>
      <c r="K1178" s="31" t="str">
        <f>VLOOKUP(A1178,File!$A:$K,10,FALSE)</f>
        <v>In-Training</v>
      </c>
      <c r="L1178" s="31" t="s">
        <v>4</v>
      </c>
      <c r="M1178" t="str">
        <f>VLOOKUP(A1178,Response!$A:$M,7,)</f>
        <v>PG (Paying Guest)</v>
      </c>
      <c r="N1178" t="str">
        <f>VLOOKUP(A1178,Response!$A:$M,8,)</f>
        <v xml:space="preserve">Soma Mens Stay  </v>
      </c>
      <c r="O1178" s="4">
        <f>VLOOKUP(A1178,Response!$A:$M,10,)</f>
        <v>1</v>
      </c>
      <c r="P1178" t="str">
        <f>VLOOKUP(A1178,Response!$A:$M,12,)</f>
        <v>No</v>
      </c>
      <c r="Q1178" t="str">
        <f>VLOOKUP(A1178,Response!$A:$M,11,)</f>
        <v>Siruseri</v>
      </c>
      <c r="R1178" t="s">
        <v>19</v>
      </c>
      <c r="S1178" s="39" t="s">
        <v>37</v>
      </c>
    </row>
    <row r="1179" spans="1:19">
      <c r="A1179" s="3">
        <v>2529638</v>
      </c>
      <c r="B1179" t="str">
        <f>VLOOKUP(A1179,File!$A:$J,2,FALSE)</f>
        <v>Tejas Santosh Wanare</v>
      </c>
      <c r="C1179" s="29">
        <f>VLOOKUP(A1179,File!$A:$J,5,FALSE)</f>
        <v>46245</v>
      </c>
      <c r="D1179" s="29" t="str">
        <f>VLOOKUP(A1179,File!$A:$J,3,FALSE)</f>
        <v>Male</v>
      </c>
      <c r="E1179" s="29" t="str">
        <f>VLOOKUP(A1179,File!$A:$J,4,FALSE)</f>
        <v>FTE</v>
      </c>
      <c r="F1179" s="29" t="str">
        <f>VLOOKUP(A1179,File!$A:$J,6,FALSE)</f>
        <v>Chennai</v>
      </c>
      <c r="G1179" s="29" t="str">
        <f>VLOOKUP(A1179,File!$A:$J,7,FALSE)</f>
        <v>CIS26MCPT026</v>
      </c>
      <c r="H1179" s="29" t="str">
        <f>VLOOKUP(A1179,File!$A:$J,8,FALSE)</f>
        <v>Mohamed Harish</v>
      </c>
      <c r="I1179" s="31">
        <f>VLOOKUP(A1179,File!$A:$J,9,FALSE)</f>
        <v>46364</v>
      </c>
      <c r="J1179" s="31" t="str">
        <f>VLOOKUP(A1179,File!$A:$K,11,FALSE)</f>
        <v>Dec 2026</v>
      </c>
      <c r="K1179" s="31" t="str">
        <f>VLOOKUP(A1179,File!$A:$K,10,FALSE)</f>
        <v>In-Training</v>
      </c>
      <c r="L1179" s="31" t="s">
        <v>4</v>
      </c>
      <c r="M1179" t="str">
        <f>VLOOKUP(A1179,Response!$A:$M,7,)</f>
        <v>PG (Paying Guest)</v>
      </c>
      <c r="N1179" t="str">
        <f>VLOOKUP(A1179,Response!$A:$M,8,)</f>
        <v>Soma Mens Stay - Sipcot, Siruseri</v>
      </c>
      <c r="O1179" s="4">
        <f>VLOOKUP(A1179,Response!$A:$M,10,)</f>
        <v>3</v>
      </c>
      <c r="P1179" t="str">
        <f>VLOOKUP(A1179,Response!$A:$M,12,)</f>
        <v>No</v>
      </c>
      <c r="Q1179" t="str">
        <f>VLOOKUP(A1179,Response!$A:$M,11,)</f>
        <v>Siruseri</v>
      </c>
      <c r="R1179" t="s">
        <v>19</v>
      </c>
      <c r="S1179" s="39" t="s">
        <v>37</v>
      </c>
    </row>
    <row r="1180" spans="1:19">
      <c r="A1180" s="3">
        <v>2526127</v>
      </c>
      <c r="B1180" t="str">
        <f>VLOOKUP(A1180,File!$A:$J,2,FALSE)</f>
        <v>Shubham Rajendra Mahind</v>
      </c>
      <c r="C1180" s="29">
        <f>VLOOKUP(A1180,File!$A:$J,5,FALSE)</f>
        <v>46231</v>
      </c>
      <c r="D1180" s="29" t="str">
        <f>VLOOKUP(A1180,File!$A:$J,3,FALSE)</f>
        <v>Male</v>
      </c>
      <c r="E1180" s="29" t="str">
        <f>VLOOKUP(A1180,File!$A:$J,4,FALSE)</f>
        <v>FTE</v>
      </c>
      <c r="F1180" s="29" t="str">
        <f>VLOOKUP(A1180,File!$A:$J,6,FALSE)</f>
        <v>Chennai</v>
      </c>
      <c r="G1180" s="29" t="str">
        <f>VLOOKUP(A1180,File!$A:$J,7,FALSE)</f>
        <v>EPS26WD006</v>
      </c>
      <c r="H1180" s="29" t="str">
        <f>VLOOKUP(A1180,File!$A:$J,8,FALSE)</f>
        <v>Vishnupriya Dakshnamurthy</v>
      </c>
      <c r="I1180" s="31">
        <f>VLOOKUP(A1180,File!$A:$J,9,FALSE)</f>
        <v>46353</v>
      </c>
      <c r="J1180" s="31" t="str">
        <f>VLOOKUP(A1180,File!$A:$K,11,FALSE)</f>
        <v>Nov 2026</v>
      </c>
      <c r="K1180" s="31" t="str">
        <f>VLOOKUP(A1180,File!$A:$K,10,FALSE)</f>
        <v>In-Training</v>
      </c>
      <c r="L1180" s="31" t="s">
        <v>4</v>
      </c>
      <c r="M1180" t="str">
        <f>VLOOKUP(A1180,Response!$A:$M,7,)</f>
        <v>PG (Paying Guest)</v>
      </c>
      <c r="N1180" t="str">
        <f>VLOOKUP(A1180,Response!$A:$M,8,)</f>
        <v>Soma Mens Stay (PG Hostel)</v>
      </c>
      <c r="O1180" s="4">
        <f>VLOOKUP(A1180,Response!$A:$M,10,)</f>
        <v>2</v>
      </c>
      <c r="P1180" t="str">
        <f>VLOOKUP(A1180,Response!$A:$M,12,)</f>
        <v>Yes</v>
      </c>
      <c r="Q1180" t="str">
        <f>VLOOKUP(A1180,Response!$A:$M,11,)</f>
        <v>Siruseri</v>
      </c>
      <c r="R1180" t="s">
        <v>19</v>
      </c>
      <c r="S1180" s="39" t="s">
        <v>37</v>
      </c>
    </row>
    <row r="1181" spans="1:19">
      <c r="A1181" s="3">
        <v>2521200</v>
      </c>
      <c r="B1181" t="str">
        <f>VLOOKUP(A1181,File!$A:$J,2,FALSE)</f>
        <v>Rohit Dadasaheb Dhage</v>
      </c>
      <c r="C1181" s="29">
        <f>VLOOKUP(A1181,File!$A:$J,5,FALSE)</f>
        <v>46210</v>
      </c>
      <c r="D1181" s="29" t="str">
        <f>VLOOKUP(A1181,File!$A:$J,3,FALSE)</f>
        <v>Male</v>
      </c>
      <c r="E1181" s="29" t="str">
        <f>VLOOKUP(A1181,File!$A:$J,4,FALSE)</f>
        <v>FTE</v>
      </c>
      <c r="F1181" s="29" t="str">
        <f>VLOOKUP(A1181,File!$A:$J,6,FALSE)</f>
        <v>Chennai</v>
      </c>
      <c r="G1181" s="29" t="str">
        <f>VLOOKUP(A1181,File!$A:$J,7,FALSE)</f>
        <v>CS26CS007</v>
      </c>
      <c r="H1181" s="29" t="str">
        <f>VLOOKUP(A1181,File!$A:$J,8,FALSE)</f>
        <v>Lawrance M</v>
      </c>
      <c r="I1181" s="31">
        <f>VLOOKUP(A1181,File!$A:$J,9,FALSE)</f>
        <v>46272</v>
      </c>
      <c r="J1181" s="31" t="str">
        <f>VLOOKUP(A1181,File!$A:$K,11,FALSE)</f>
        <v>Sep 2026</v>
      </c>
      <c r="K1181" s="31" t="str">
        <f>VLOOKUP(A1181,File!$A:$K,10,FALSE)</f>
        <v>In-Training</v>
      </c>
      <c r="L1181" s="31" t="s">
        <v>4</v>
      </c>
      <c r="M1181" t="str">
        <f>VLOOKUP(A1181,Response!$A:$M,7,)</f>
        <v>PG (Paying Guest)</v>
      </c>
      <c r="N1181" t="str">
        <f>VLOOKUP(A1181,Response!$A:$M,8,)</f>
        <v>Soma Mens Stay (PG Hostel)</v>
      </c>
      <c r="O1181" s="4">
        <f>VLOOKUP(A1181,Response!$A:$M,10,)</f>
        <v>3</v>
      </c>
      <c r="P1181" t="str">
        <f>VLOOKUP(A1181,Response!$A:$M,12,)</f>
        <v>No</v>
      </c>
      <c r="Q1181" t="str">
        <f>VLOOKUP(A1181,Response!$A:$M,11,)</f>
        <v>Siruseri</v>
      </c>
      <c r="R1181" t="s">
        <v>19</v>
      </c>
      <c r="S1181" s="39" t="s">
        <v>37</v>
      </c>
    </row>
    <row r="1182" spans="1:19">
      <c r="A1182" s="3">
        <v>2521737</v>
      </c>
      <c r="B1182" t="str">
        <f>VLOOKUP(A1182,File!$A:$J,2,FALSE)</f>
        <v>Kashinath Rajesh</v>
      </c>
      <c r="C1182" s="29">
        <f>VLOOKUP(A1182,File!$A:$J,5,FALSE)</f>
        <v>46212</v>
      </c>
      <c r="D1182" s="29" t="str">
        <f>VLOOKUP(A1182,File!$A:$J,3,FALSE)</f>
        <v>Male</v>
      </c>
      <c r="E1182" s="29" t="str">
        <f>VLOOKUP(A1182,File!$A:$J,4,FALSE)</f>
        <v>FTE</v>
      </c>
      <c r="F1182" s="29" t="str">
        <f>VLOOKUP(A1182,File!$A:$J,6,FALSE)</f>
        <v>Chennai</v>
      </c>
      <c r="G1182" s="29" t="str">
        <f>VLOOKUP(A1182,File!$A:$J,7,FALSE)</f>
        <v>QEA26SD001</v>
      </c>
      <c r="H1182" s="29" t="str">
        <f>VLOOKUP(A1182,File!$A:$J,8,FALSE)</f>
        <v>Ajiesya D P</v>
      </c>
      <c r="I1182" s="31">
        <f>VLOOKUP(A1182,File!$A:$J,9,FALSE)</f>
        <v>46329</v>
      </c>
      <c r="J1182" s="31" t="str">
        <f>VLOOKUP(A1182,File!$A:$K,11,FALSE)</f>
        <v>Nov 2026</v>
      </c>
      <c r="K1182" s="31" t="str">
        <f>VLOOKUP(A1182,File!$A:$K,10,FALSE)</f>
        <v>In-Training</v>
      </c>
      <c r="L1182" s="31" t="s">
        <v>4</v>
      </c>
      <c r="M1182" t="str">
        <f>VLOOKUP(A1182,Response!$A:$M,7,)</f>
        <v>PG (Paying Guest)</v>
      </c>
      <c r="N1182" t="str">
        <f>VLOOKUP(A1182,Response!$A:$M,8,)</f>
        <v>Soma Mens Stay (PG Hostel)</v>
      </c>
      <c r="O1182" s="4">
        <f>VLOOKUP(A1182,Response!$A:$M,10,)</f>
        <v>3</v>
      </c>
      <c r="P1182" t="str">
        <f>VLOOKUP(A1182,Response!$A:$M,12,)</f>
        <v>Yes</v>
      </c>
      <c r="Q1182" t="str">
        <f>VLOOKUP(A1182,Response!$A:$M,11,)</f>
        <v>Siruseri</v>
      </c>
      <c r="R1182" t="s">
        <v>19</v>
      </c>
      <c r="S1182" s="39" t="s">
        <v>37</v>
      </c>
    </row>
    <row r="1183" spans="1:19">
      <c r="A1183" s="3">
        <v>2524977</v>
      </c>
      <c r="B1183" t="str">
        <f>VLOOKUP(A1183,File!$A:$J,2,FALSE)</f>
        <v>Hemanth Sri Venkatesh Nadimpalli</v>
      </c>
      <c r="C1183" s="29">
        <f>VLOOKUP(A1183,File!$A:$J,5,FALSE)</f>
        <v>46226</v>
      </c>
      <c r="D1183" s="29" t="str">
        <f>VLOOKUP(A1183,File!$A:$J,3,FALSE)</f>
        <v>Male</v>
      </c>
      <c r="E1183" s="29" t="str">
        <f>VLOOKUP(A1183,File!$A:$J,4,FALSE)</f>
        <v>FTE</v>
      </c>
      <c r="F1183" s="29" t="str">
        <f>VLOOKUP(A1183,File!$A:$J,6,FALSE)</f>
        <v>Chennai</v>
      </c>
      <c r="G1183" s="29" t="str">
        <f>VLOOKUP(A1183,File!$A:$J,7,FALSE)</f>
        <v>ADM26ISMO010</v>
      </c>
      <c r="H1183" s="29" t="str">
        <f>VLOOKUP(A1183,File!$A:$J,8,FALSE)</f>
        <v>Thomas Naveen. J</v>
      </c>
      <c r="I1183" s="31">
        <f>VLOOKUP(A1183,File!$A:$J,9,FALSE)</f>
        <v>46301</v>
      </c>
      <c r="J1183" s="31" t="str">
        <f>VLOOKUP(A1183,File!$A:$K,11,FALSE)</f>
        <v>Oct 2026</v>
      </c>
      <c r="K1183" s="31" t="str">
        <f>VLOOKUP(A1183,File!$A:$K,10,FALSE)</f>
        <v>In-Training</v>
      </c>
      <c r="L1183" s="31" t="s">
        <v>4</v>
      </c>
      <c r="M1183" t="str">
        <f>VLOOKUP(A1183,Response!$A:$M,7,)</f>
        <v>PG (Paying Guest)</v>
      </c>
      <c r="N1183" t="str">
        <f>VLOOKUP(A1183,Response!$A:$M,8,)</f>
        <v>soma mens stay (pg hostel) ,egattur</v>
      </c>
      <c r="O1183" s="4">
        <f>VLOOKUP(A1183,Response!$A:$M,10,)</f>
        <v>2</v>
      </c>
      <c r="P1183" t="str">
        <f>VLOOKUP(A1183,Response!$A:$M,12,)</f>
        <v>No</v>
      </c>
      <c r="Q1183" t="str">
        <f>VLOOKUP(A1183,Response!$A:$M,11,)</f>
        <v>Siruseri</v>
      </c>
      <c r="R1183" t="s">
        <v>19</v>
      </c>
      <c r="S1183" s="39" t="s">
        <v>37</v>
      </c>
    </row>
    <row r="1184" spans="1:19">
      <c r="A1184" s="3">
        <v>2532949</v>
      </c>
      <c r="B1184" t="str">
        <f>VLOOKUP(A1184,File!$A:$J,2,FALSE)</f>
        <v>Ketha Siva Kishore</v>
      </c>
      <c r="C1184" s="29">
        <f>VLOOKUP(A1184,File!$A:$J,5,FALSE)</f>
        <v>46259</v>
      </c>
      <c r="D1184" s="29" t="str">
        <f>VLOOKUP(A1184,File!$A:$J,3,FALSE)</f>
        <v>Male</v>
      </c>
      <c r="E1184" s="29" t="str">
        <f>VLOOKUP(A1184,File!$A:$J,4,FALSE)</f>
        <v>FTE</v>
      </c>
      <c r="F1184" s="29" t="str">
        <f>VLOOKUP(A1184,File!$A:$J,6,FALSE)</f>
        <v>Chennai</v>
      </c>
      <c r="G1184" s="29" t="str">
        <f>VLOOKUP(A1184,File!$A:$J,7,FALSE)</f>
        <v>CIS26MBG006</v>
      </c>
      <c r="H1184" s="29" t="str">
        <f>VLOOKUP(A1184,File!$A:$J,8,FALSE)</f>
        <v>Angel Maria Faustina Gomez</v>
      </c>
      <c r="I1184" s="31">
        <f>VLOOKUP(A1184,File!$A:$J,9,FALSE)</f>
        <v>46367</v>
      </c>
      <c r="J1184" s="31" t="str">
        <f>VLOOKUP(A1184,File!$A:$K,11,FALSE)</f>
        <v>Dec 2026</v>
      </c>
      <c r="K1184" s="31" t="str">
        <f>VLOOKUP(A1184,File!$A:$K,10,FALSE)</f>
        <v>In-Training</v>
      </c>
      <c r="L1184" s="31" t="s">
        <v>4</v>
      </c>
      <c r="M1184" t="str">
        <f>VLOOKUP(A1184,Response!$A:$M,7,)</f>
        <v>PG (Paying Guest)</v>
      </c>
      <c r="N1184" t="str">
        <f>VLOOKUP(A1184,Response!$A:$M,8,)</f>
        <v>Soma Mens Stay (pg hostel) Mammothiamman Street, opposite to chennai, Egattur, Tamil Nadu 603103</v>
      </c>
      <c r="O1184" s="4">
        <f>VLOOKUP(A1184,Response!$A:$M,10,)</f>
        <v>4</v>
      </c>
      <c r="P1184" t="str">
        <f>VLOOKUP(A1184,Response!$A:$M,12,)</f>
        <v>No</v>
      </c>
      <c r="Q1184" t="str">
        <f>VLOOKUP(A1184,Response!$A:$M,11,)</f>
        <v>Egattur</v>
      </c>
      <c r="R1184" t="s">
        <v>19</v>
      </c>
      <c r="S1184" s="39" t="s">
        <v>37</v>
      </c>
    </row>
    <row r="1185" spans="1:19">
      <c r="A1185" s="3">
        <v>2529543</v>
      </c>
      <c r="B1185" t="str">
        <f>VLOOKUP(A1185,File!$A:$J,2,FALSE)</f>
        <v>Pranav Pravin Bargir</v>
      </c>
      <c r="C1185" s="29">
        <f>VLOOKUP(A1185,File!$A:$J,5,FALSE)</f>
        <v>46245</v>
      </c>
      <c r="D1185" s="29" t="str">
        <f>VLOOKUP(A1185,File!$A:$J,3,FALSE)</f>
        <v>Male</v>
      </c>
      <c r="E1185" s="29" t="str">
        <f>VLOOKUP(A1185,File!$A:$J,4,FALSE)</f>
        <v>FTE</v>
      </c>
      <c r="F1185" s="29" t="str">
        <f>VLOOKUP(A1185,File!$A:$J,6,FALSE)</f>
        <v>Chennai</v>
      </c>
      <c r="G1185" s="29" t="str">
        <f>VLOOKUP(A1185,File!$A:$J,7,FALSE)</f>
        <v>CIS26MCPT023</v>
      </c>
      <c r="H1185" s="29" t="str">
        <f>VLOOKUP(A1185,File!$A:$J,8,FALSE)</f>
        <v>Kishorekumar P</v>
      </c>
      <c r="I1185" s="31">
        <f>VLOOKUP(A1185,File!$A:$J,9,FALSE)</f>
        <v>46359</v>
      </c>
      <c r="J1185" s="31" t="str">
        <f>VLOOKUP(A1185,File!$A:$K,11,FALSE)</f>
        <v>Dec 2026</v>
      </c>
      <c r="K1185" s="31" t="str">
        <f>VLOOKUP(A1185,File!$A:$K,10,FALSE)</f>
        <v>In-Training</v>
      </c>
      <c r="L1185" s="31" t="s">
        <v>4</v>
      </c>
      <c r="M1185" t="str">
        <f>VLOOKUP(A1185,Response!$A:$M,7,)</f>
        <v>PG (Paying Guest)</v>
      </c>
      <c r="N1185" t="str">
        <f>VLOOKUP(A1185,Response!$A:$M,8,)</f>
        <v>Soma Mens Stay (PG Hostel), Egattur</v>
      </c>
      <c r="O1185" s="4">
        <f>VLOOKUP(A1185,Response!$A:$M,10,)</f>
        <v>3</v>
      </c>
      <c r="P1185" t="str">
        <f>VLOOKUP(A1185,Response!$A:$M,12,)</f>
        <v>No</v>
      </c>
      <c r="Q1185" t="str">
        <f>VLOOKUP(A1185,Response!$A:$M,11,)</f>
        <v>Egattur</v>
      </c>
      <c r="R1185" t="s">
        <v>19</v>
      </c>
      <c r="S1185" s="39" t="s">
        <v>37</v>
      </c>
    </row>
    <row r="1186" spans="1:19">
      <c r="A1186" s="3">
        <v>2532906</v>
      </c>
      <c r="B1186" t="str">
        <f>VLOOKUP(A1186,File!$A:$J,2,FALSE)</f>
        <v>Vybogula Bhavani Shankar Kamaraju</v>
      </c>
      <c r="C1186" s="29">
        <f>VLOOKUP(A1186,File!$A:$J,5,FALSE)</f>
        <v>46259</v>
      </c>
      <c r="D1186" s="29" t="str">
        <f>VLOOKUP(A1186,File!$A:$J,3,FALSE)</f>
        <v>Male</v>
      </c>
      <c r="E1186" s="29" t="str">
        <f>VLOOKUP(A1186,File!$A:$J,4,FALSE)</f>
        <v>FTE</v>
      </c>
      <c r="F1186" s="29" t="str">
        <f>VLOOKUP(A1186,File!$A:$J,6,FALSE)</f>
        <v>Chennai</v>
      </c>
      <c r="G1186" s="29" t="str">
        <f>VLOOKUP(A1186,File!$A:$J,7,FALSE)</f>
        <v>CIS26MBG006</v>
      </c>
      <c r="H1186" s="29" t="str">
        <f>VLOOKUP(A1186,File!$A:$J,8,FALSE)</f>
        <v>Angel Maria Faustina Gomez</v>
      </c>
      <c r="I1186" s="31">
        <f>VLOOKUP(A1186,File!$A:$J,9,FALSE)</f>
        <v>46367</v>
      </c>
      <c r="J1186" s="31" t="str">
        <f>VLOOKUP(A1186,File!$A:$K,11,FALSE)</f>
        <v>Dec 2026</v>
      </c>
      <c r="K1186" s="31" t="str">
        <f>VLOOKUP(A1186,File!$A:$K,10,FALSE)</f>
        <v>In-Training</v>
      </c>
      <c r="L1186" s="31" t="s">
        <v>4</v>
      </c>
      <c r="M1186" t="str">
        <f>VLOOKUP(A1186,Response!$A:$M,7,)</f>
        <v>PG (Paying Guest)</v>
      </c>
      <c r="N1186" t="str">
        <f>VLOOKUP(A1186,Response!$A:$M,8,)</f>
        <v>Soma Mens Stay (PG Hostel), Mammthiamman Street, Opposite to Chennai, Egattur, Tamil Nadu 603103</v>
      </c>
      <c r="O1186" s="4">
        <f>VLOOKUP(A1186,Response!$A:$M,10,)</f>
        <v>1</v>
      </c>
      <c r="P1186" t="str">
        <f>VLOOKUP(A1186,Response!$A:$M,12,)</f>
        <v>Yes</v>
      </c>
      <c r="Q1186" t="str">
        <f>VLOOKUP(A1186,Response!$A:$M,11,)</f>
        <v>Egattur</v>
      </c>
      <c r="R1186" t="s">
        <v>19</v>
      </c>
      <c r="S1186" s="39" t="s">
        <v>37</v>
      </c>
    </row>
    <row r="1187" spans="1:19">
      <c r="A1187" s="3">
        <v>2523373</v>
      </c>
      <c r="B1187" t="str">
        <f>VLOOKUP(A1187,File!$A:$J,2,FALSE)</f>
        <v>Aditya Narayan Ghatol</v>
      </c>
      <c r="C1187" s="29">
        <f>VLOOKUP(A1187,File!$A:$J,5,FALSE)</f>
        <v>46219</v>
      </c>
      <c r="D1187" s="29" t="str">
        <f>VLOOKUP(A1187,File!$A:$J,3,FALSE)</f>
        <v>Male</v>
      </c>
      <c r="E1187" s="29" t="str">
        <f>VLOOKUP(A1187,File!$A:$J,4,FALSE)</f>
        <v>FTE</v>
      </c>
      <c r="F1187" s="29" t="str">
        <f>VLOOKUP(A1187,File!$A:$J,6,FALSE)</f>
        <v>Chennai</v>
      </c>
      <c r="G1187" s="29" t="str">
        <f>VLOOKUP(A1187,File!$A:$J,7,FALSE)</f>
        <v>CS26CS009</v>
      </c>
      <c r="H1187" s="29" t="str">
        <f>VLOOKUP(A1187,File!$A:$J,8,FALSE)</f>
        <v>Laksiya Vijayendran</v>
      </c>
      <c r="I1187" s="31">
        <f>VLOOKUP(A1187,File!$A:$J,9,FALSE)</f>
        <v>46309</v>
      </c>
      <c r="J1187" s="31" t="str">
        <f>VLOOKUP(A1187,File!$A:$K,11,FALSE)</f>
        <v>Oct 2026</v>
      </c>
      <c r="K1187" s="31" t="str">
        <f>VLOOKUP(A1187,File!$A:$K,10,FALSE)</f>
        <v>In-Training</v>
      </c>
      <c r="L1187" s="31" t="s">
        <v>4</v>
      </c>
      <c r="M1187" t="str">
        <f>VLOOKUP(A1187,Response!$A:$M,7,)</f>
        <v>PG (Paying Guest)</v>
      </c>
      <c r="N1187" t="str">
        <f>VLOOKUP(A1187,Response!$A:$M,8,)</f>
        <v>Soma Mens Stay Branch 1, Sipcot IT Park</v>
      </c>
      <c r="O1187" s="4" t="str">
        <f>VLOOKUP(A1187,Response!$A:$M,10,)</f>
        <v>GF</v>
      </c>
      <c r="P1187" t="str">
        <f>VLOOKUP(A1187,Response!$A:$M,12,)</f>
        <v>No</v>
      </c>
      <c r="Q1187" t="str">
        <f>VLOOKUP(A1187,Response!$A:$M,11,)</f>
        <v>Siruseri</v>
      </c>
      <c r="R1187" t="s">
        <v>19</v>
      </c>
      <c r="S1187" s="39" t="s">
        <v>37</v>
      </c>
    </row>
    <row r="1188" spans="1:19">
      <c r="A1188" s="3">
        <v>2524648</v>
      </c>
      <c r="B1188" t="str">
        <f>VLOOKUP(A1188,File!$A:$J,2,FALSE)</f>
        <v>Devesh Bharat Deore</v>
      </c>
      <c r="C1188" s="29">
        <f>VLOOKUP(A1188,File!$A:$J,5,FALSE)</f>
        <v>46224</v>
      </c>
      <c r="D1188" s="29" t="str">
        <f>VLOOKUP(A1188,File!$A:$J,3,FALSE)</f>
        <v>Male</v>
      </c>
      <c r="E1188" s="29" t="str">
        <f>VLOOKUP(A1188,File!$A:$J,4,FALSE)</f>
        <v>FTE</v>
      </c>
      <c r="F1188" s="29" t="str">
        <f>VLOOKUP(A1188,File!$A:$J,6,FALSE)</f>
        <v>Chennai</v>
      </c>
      <c r="G1188" s="29" t="str">
        <f>VLOOKUP(A1188,File!$A:$J,7,FALSE)</f>
        <v>QEA26QEPT024</v>
      </c>
      <c r="H1188" s="29" t="str">
        <f>VLOOKUP(A1188,File!$A:$J,8,FALSE)</f>
        <v>Ajiesya D P</v>
      </c>
      <c r="I1188" s="31">
        <f>VLOOKUP(A1188,File!$A:$J,9,FALSE)</f>
        <v>46325</v>
      </c>
      <c r="J1188" s="31" t="str">
        <f>VLOOKUP(A1188,File!$A:$K,11,FALSE)</f>
        <v>Oct 2026</v>
      </c>
      <c r="K1188" s="31" t="str">
        <f>VLOOKUP(A1188,File!$A:$K,10,FALSE)</f>
        <v>In-Training</v>
      </c>
      <c r="L1188" s="31" t="s">
        <v>4</v>
      </c>
      <c r="M1188" t="str">
        <f>VLOOKUP(A1188,Response!$A:$M,7,)</f>
        <v>PG (Paying Guest)</v>
      </c>
      <c r="N1188" t="str">
        <f>VLOOKUP(A1188,Response!$A:$M,8,)</f>
        <v xml:space="preserve">Soma Mens Stay </v>
      </c>
      <c r="O1188" s="4">
        <f>VLOOKUP(A1188,Response!$A:$M,10,)</f>
        <v>3</v>
      </c>
      <c r="P1188" t="str">
        <f>VLOOKUP(A1188,Response!$A:$M,12,)</f>
        <v>No</v>
      </c>
      <c r="Q1188" t="str">
        <f>VLOOKUP(A1188,Response!$A:$M,11,)</f>
        <v>Siruseri</v>
      </c>
      <c r="R1188" t="s">
        <v>19</v>
      </c>
      <c r="S1188" s="39" t="s">
        <v>37</v>
      </c>
    </row>
    <row r="1189" spans="1:19">
      <c r="A1189" s="3">
        <v>2529566</v>
      </c>
      <c r="B1189" t="str">
        <f>VLOOKUP(A1189,File!$A:$J,2,FALSE)</f>
        <v>Vivek Uttreshwar Giram</v>
      </c>
      <c r="C1189" s="29">
        <f>VLOOKUP(A1189,File!$A:$J,5,FALSE)</f>
        <v>46245</v>
      </c>
      <c r="D1189" s="29" t="str">
        <f>VLOOKUP(A1189,File!$A:$J,3,FALSE)</f>
        <v>Male</v>
      </c>
      <c r="E1189" s="29" t="str">
        <f>VLOOKUP(A1189,File!$A:$J,4,FALSE)</f>
        <v>FTE</v>
      </c>
      <c r="F1189" s="29" t="str">
        <f>VLOOKUP(A1189,File!$A:$J,6,FALSE)</f>
        <v>Chennai</v>
      </c>
      <c r="G1189" s="29" t="str">
        <f>VLOOKUP(A1189,File!$A:$J,7,FALSE)</f>
        <v>CIS26MCPT024</v>
      </c>
      <c r="H1189" s="29" t="str">
        <f>VLOOKUP(A1189,File!$A:$J,8,FALSE)</f>
        <v>Ashiya Begam S</v>
      </c>
      <c r="I1189" s="31">
        <f>VLOOKUP(A1189,File!$A:$J,9,FALSE)</f>
        <v>46359</v>
      </c>
      <c r="J1189" s="31" t="str">
        <f>VLOOKUP(A1189,File!$A:$K,11,FALSE)</f>
        <v>Dec 2026</v>
      </c>
      <c r="K1189" s="31" t="str">
        <f>VLOOKUP(A1189,File!$A:$K,10,FALSE)</f>
        <v>In-Training</v>
      </c>
      <c r="L1189" s="31" t="s">
        <v>4</v>
      </c>
      <c r="M1189" t="str">
        <f>VLOOKUP(A1189,Response!$A:$M,7,)</f>
        <v>PG (Paying Guest)</v>
      </c>
      <c r="N1189" t="str">
        <f>VLOOKUP(A1189,Response!$A:$M,8,)</f>
        <v>Soma Mens Stay PG</v>
      </c>
      <c r="O1189" s="4">
        <f>VLOOKUP(A1189,Response!$A:$M,10,)</f>
        <v>4</v>
      </c>
      <c r="P1189" t="str">
        <f>VLOOKUP(A1189,Response!$A:$M,12,)</f>
        <v>No</v>
      </c>
      <c r="Q1189" t="str">
        <f>VLOOKUP(A1189,Response!$A:$M,11,)</f>
        <v>Egattur</v>
      </c>
      <c r="R1189" t="s">
        <v>19</v>
      </c>
      <c r="S1189" s="39" t="s">
        <v>37</v>
      </c>
    </row>
    <row r="1190" spans="1:19">
      <c r="A1190" s="3">
        <v>2516809</v>
      </c>
      <c r="B1190" t="str">
        <f>VLOOKUP(A1190,File!$A:$J,2,FALSE)</f>
        <v>Rishad V N</v>
      </c>
      <c r="C1190" s="29">
        <f>VLOOKUP(A1190,File!$A:$J,5,FALSE)</f>
        <v>46191</v>
      </c>
      <c r="D1190" s="29" t="str">
        <f>VLOOKUP(A1190,File!$A:$J,3,FALSE)</f>
        <v>Male</v>
      </c>
      <c r="E1190" s="29" t="str">
        <f>VLOOKUP(A1190,File!$A:$J,4,FALSE)</f>
        <v>FTE</v>
      </c>
      <c r="F1190" s="29" t="str">
        <f>VLOOKUP(A1190,File!$A:$J,6,FALSE)</f>
        <v>Chennai</v>
      </c>
      <c r="G1190" s="29" t="str">
        <f>VLOOKUP(A1190,File!$A:$J,7,FALSE)</f>
        <v>CIS26DCO002</v>
      </c>
      <c r="H1190" s="29" t="str">
        <f>VLOOKUP(A1190,File!$A:$J,8,FALSE)</f>
        <v>Yuvasree Thiruvengadam</v>
      </c>
      <c r="I1190" s="31">
        <f>VLOOKUP(A1190,File!$A:$J,9,FALSE)</f>
        <v>46290</v>
      </c>
      <c r="J1190" s="31" t="str">
        <f>VLOOKUP(A1190,File!$A:$K,11,FALSE)</f>
        <v>Sep 2026</v>
      </c>
      <c r="K1190" s="31" t="str">
        <f>VLOOKUP(A1190,File!$A:$K,10,FALSE)</f>
        <v>In-Training</v>
      </c>
      <c r="L1190" s="31" t="s">
        <v>4</v>
      </c>
      <c r="M1190" t="str">
        <f>VLOOKUP(A1190,Response!$A:$M,7,)</f>
        <v>PG (Paying Guest)</v>
      </c>
      <c r="N1190" t="str">
        <f>VLOOKUP(A1190,Response!$A:$M,8,)</f>
        <v>Soma Mens Stay PG</v>
      </c>
      <c r="O1190" s="4" t="str">
        <f>VLOOKUP(A1190,Response!$A:$M,10,)</f>
        <v>GF</v>
      </c>
      <c r="P1190" t="str">
        <f>VLOOKUP(A1190,Response!$A:$M,12,)</f>
        <v>No</v>
      </c>
      <c r="Q1190" t="str">
        <f>VLOOKUP(A1190,Response!$A:$M,11,)</f>
        <v>Siruseri</v>
      </c>
      <c r="R1190" t="s">
        <v>19</v>
      </c>
      <c r="S1190" s="39" t="s">
        <v>37</v>
      </c>
    </row>
    <row r="1191" spans="1:19">
      <c r="A1191" s="3">
        <v>2524560</v>
      </c>
      <c r="B1191" t="str">
        <f>VLOOKUP(A1191,File!$A:$J,2,FALSE)</f>
        <v>Suryabhansing Narayansing Girase</v>
      </c>
      <c r="C1191" s="29">
        <f>VLOOKUP(A1191,File!$A:$J,5,FALSE)</f>
        <v>46224</v>
      </c>
      <c r="D1191" s="29" t="str">
        <f>VLOOKUP(A1191,File!$A:$J,3,FALSE)</f>
        <v>Male</v>
      </c>
      <c r="E1191" s="29" t="str">
        <f>VLOOKUP(A1191,File!$A:$J,4,FALSE)</f>
        <v>FTE</v>
      </c>
      <c r="F1191" s="29" t="str">
        <f>VLOOKUP(A1191,File!$A:$J,6,FALSE)</f>
        <v>Chennai</v>
      </c>
      <c r="G1191" s="29" t="str">
        <f>VLOOKUP(A1191,File!$A:$J,7,FALSE)</f>
        <v>QEA26QEPT024</v>
      </c>
      <c r="H1191" s="29" t="str">
        <f>VLOOKUP(A1191,File!$A:$J,8,FALSE)</f>
        <v>Ajiesya D P</v>
      </c>
      <c r="I1191" s="31">
        <f>VLOOKUP(A1191,File!$A:$J,9,FALSE)</f>
        <v>46330</v>
      </c>
      <c r="J1191" s="31" t="str">
        <f>VLOOKUP(A1191,File!$A:$K,11,FALSE)</f>
        <v>Nov 2026</v>
      </c>
      <c r="K1191" s="31" t="str">
        <f>VLOOKUP(A1191,File!$A:$K,10,FALSE)</f>
        <v>In-Training</v>
      </c>
      <c r="L1191" s="31" t="s">
        <v>4</v>
      </c>
      <c r="M1191" t="str">
        <f>VLOOKUP(A1191,Response!$A:$M,7,)</f>
        <v>PG (Paying Guest)</v>
      </c>
      <c r="N1191" t="str">
        <f>VLOOKUP(A1191,Response!$A:$M,8,)</f>
        <v>Soma Mens Stay PG  Branch 1, Egatur</v>
      </c>
      <c r="O1191" s="4">
        <f>VLOOKUP(A1191,Response!$A:$M,10,)</f>
        <v>1</v>
      </c>
      <c r="P1191" t="str">
        <f>VLOOKUP(A1191,Response!$A:$M,12,)</f>
        <v>No</v>
      </c>
      <c r="Q1191" t="str">
        <f>VLOOKUP(A1191,Response!$A:$M,11,)</f>
        <v>Egattur</v>
      </c>
      <c r="R1191" t="s">
        <v>19</v>
      </c>
      <c r="S1191" s="39" t="s">
        <v>37</v>
      </c>
    </row>
    <row r="1192" spans="1:19">
      <c r="A1192" s="3">
        <v>2524563</v>
      </c>
      <c r="B1192" t="str">
        <f>VLOOKUP(A1192,File!$A:$J,2,FALSE)</f>
        <v>Jagtap Omkar Malhari</v>
      </c>
      <c r="C1192" s="29">
        <f>VLOOKUP(A1192,File!$A:$J,5,FALSE)</f>
        <v>46224</v>
      </c>
      <c r="D1192" s="29" t="str">
        <f>VLOOKUP(A1192,File!$A:$J,3,FALSE)</f>
        <v>Male</v>
      </c>
      <c r="E1192" s="29" t="str">
        <f>VLOOKUP(A1192,File!$A:$J,4,FALSE)</f>
        <v>FTE</v>
      </c>
      <c r="F1192" s="29" t="str">
        <f>VLOOKUP(A1192,File!$A:$J,6,FALSE)</f>
        <v>Chennai</v>
      </c>
      <c r="G1192" s="29" t="str">
        <f>VLOOKUP(A1192,File!$A:$J,7,FALSE)</f>
        <v>QEA26QEPT024</v>
      </c>
      <c r="H1192" s="29" t="str">
        <f>VLOOKUP(A1192,File!$A:$J,8,FALSE)</f>
        <v>Ajiesya D P</v>
      </c>
      <c r="I1192" s="31">
        <f>VLOOKUP(A1192,File!$A:$J,9,FALSE)</f>
        <v>46325</v>
      </c>
      <c r="J1192" s="31" t="str">
        <f>VLOOKUP(A1192,File!$A:$K,11,FALSE)</f>
        <v>Oct 2026</v>
      </c>
      <c r="K1192" s="31" t="str">
        <f>VLOOKUP(A1192,File!$A:$K,10,FALSE)</f>
        <v>In-Training</v>
      </c>
      <c r="L1192" s="31" t="s">
        <v>4</v>
      </c>
      <c r="M1192" t="str">
        <f>VLOOKUP(A1192,Response!$A:$M,7,)</f>
        <v>PG (Paying Guest)</v>
      </c>
      <c r="N1192" t="str">
        <f>VLOOKUP(A1192,Response!$A:$M,8,)</f>
        <v>Soma Mens Stay PG, Egattur</v>
      </c>
      <c r="O1192" s="4">
        <f>VLOOKUP(A1192,Response!$A:$M,10,)</f>
        <v>3</v>
      </c>
      <c r="P1192" t="str">
        <f>VLOOKUP(A1192,Response!$A:$M,12,)</f>
        <v>No</v>
      </c>
      <c r="Q1192" t="str">
        <f>VLOOKUP(A1192,Response!$A:$M,11,)</f>
        <v>Egattur</v>
      </c>
      <c r="R1192" t="s">
        <v>19</v>
      </c>
      <c r="S1192" s="39" t="s">
        <v>37</v>
      </c>
    </row>
    <row r="1193" spans="1:19">
      <c r="A1193" s="3">
        <v>2529523</v>
      </c>
      <c r="B1193" t="str">
        <f>VLOOKUP(A1193,File!$A:$J,2,FALSE)</f>
        <v>Tanmay Kumar Singatkar</v>
      </c>
      <c r="C1193" s="29">
        <f>VLOOKUP(A1193,File!$A:$J,5,FALSE)</f>
        <v>46245</v>
      </c>
      <c r="D1193" s="29" t="str">
        <f>VLOOKUP(A1193,File!$A:$J,3,FALSE)</f>
        <v>Male</v>
      </c>
      <c r="E1193" s="29" t="str">
        <f>VLOOKUP(A1193,File!$A:$J,4,FALSE)</f>
        <v>FTE</v>
      </c>
      <c r="F1193" s="29" t="str">
        <f>VLOOKUP(A1193,File!$A:$J,6,FALSE)</f>
        <v>Chennai</v>
      </c>
      <c r="G1193" s="29" t="str">
        <f>VLOOKUP(A1193,File!$A:$J,7,FALSE)</f>
        <v>CIS26MCPT025</v>
      </c>
      <c r="H1193" s="29" t="str">
        <f>VLOOKUP(A1193,File!$A:$J,8,FALSE)</f>
        <v>Vignesh S</v>
      </c>
      <c r="I1193" s="31">
        <f>VLOOKUP(A1193,File!$A:$J,9,FALSE)</f>
        <v>46359</v>
      </c>
      <c r="J1193" s="31" t="str">
        <f>VLOOKUP(A1193,File!$A:$K,11,FALSE)</f>
        <v>Dec 2026</v>
      </c>
      <c r="K1193" s="31" t="str">
        <f>VLOOKUP(A1193,File!$A:$K,10,FALSE)</f>
        <v>In-Training</v>
      </c>
      <c r="L1193" s="31" t="s">
        <v>4</v>
      </c>
      <c r="M1193" t="str">
        <f>VLOOKUP(A1193,Response!$A:$M,7,)</f>
        <v>PG (Paying Guest)</v>
      </c>
      <c r="N1193" t="str">
        <f>VLOOKUP(A1193,Response!$A:$M,8,)</f>
        <v>Soma Mens Stay(Hostel PG)</v>
      </c>
      <c r="O1193" s="4">
        <f>VLOOKUP(A1193,Response!$A:$M,10,)</f>
        <v>3</v>
      </c>
      <c r="P1193" t="str">
        <f>VLOOKUP(A1193,Response!$A:$M,12,)</f>
        <v>No</v>
      </c>
      <c r="Q1193" t="str">
        <f>VLOOKUP(A1193,Response!$A:$M,11,)</f>
        <v>Siruseri</v>
      </c>
      <c r="R1193" t="s">
        <v>19</v>
      </c>
      <c r="S1193" s="39" t="s">
        <v>37</v>
      </c>
    </row>
    <row r="1194" spans="1:19">
      <c r="A1194" s="3">
        <v>2526157</v>
      </c>
      <c r="B1194" t="str">
        <f>VLOOKUP(A1194,File!$A:$J,2,FALSE)</f>
        <v>Ashutosh Premsing Rathod</v>
      </c>
      <c r="C1194" s="29">
        <f>VLOOKUP(A1194,File!$A:$J,5,FALSE)</f>
        <v>46231</v>
      </c>
      <c r="D1194" s="29" t="str">
        <f>VLOOKUP(A1194,File!$A:$J,3,FALSE)</f>
        <v>Male</v>
      </c>
      <c r="E1194" s="29" t="str">
        <f>VLOOKUP(A1194,File!$A:$J,4,FALSE)</f>
        <v>FTE</v>
      </c>
      <c r="F1194" s="29" t="str">
        <f>VLOOKUP(A1194,File!$A:$J,6,FALSE)</f>
        <v>Chennai</v>
      </c>
      <c r="G1194" s="29" t="str">
        <f>VLOOKUP(A1194,File!$A:$J,7,FALSE)</f>
        <v>EPS26WD005</v>
      </c>
      <c r="H1194" s="29" t="str">
        <f>VLOOKUP(A1194,File!$A:$J,8,FALSE)</f>
        <v>Vishnupriya Dakshnamurthy</v>
      </c>
      <c r="I1194" s="31">
        <f>VLOOKUP(A1194,File!$A:$J,9,FALSE)</f>
        <v>46332</v>
      </c>
      <c r="J1194" s="31" t="str">
        <f>VLOOKUP(A1194,File!$A:$K,11,FALSE)</f>
        <v>Nov 2026</v>
      </c>
      <c r="K1194" s="31" t="str">
        <f>VLOOKUP(A1194,File!$A:$K,10,FALSE)</f>
        <v>In-Training</v>
      </c>
      <c r="L1194" s="31" t="s">
        <v>4</v>
      </c>
      <c r="M1194" t="str">
        <f>VLOOKUP(A1194,Response!$A:$M,7,)</f>
        <v>PG (Paying Guest)</v>
      </c>
      <c r="N1194" t="str">
        <f>VLOOKUP(A1194,Response!$A:$M,8,)</f>
        <v>Soma Mens stay, sipcot</v>
      </c>
      <c r="O1194" s="4">
        <f>VLOOKUP(A1194,Response!$A:$M,10,)</f>
        <v>2</v>
      </c>
      <c r="P1194" t="str">
        <f>VLOOKUP(A1194,Response!$A:$M,12,)</f>
        <v>No</v>
      </c>
      <c r="Q1194" t="str">
        <f>VLOOKUP(A1194,Response!$A:$M,11,)</f>
        <v>Egattur</v>
      </c>
      <c r="R1194" t="s">
        <v>19</v>
      </c>
      <c r="S1194" s="39" t="s">
        <v>37</v>
      </c>
    </row>
    <row r="1195" spans="1:19">
      <c r="A1195" s="3">
        <v>2526128</v>
      </c>
      <c r="B1195" t="str">
        <f>VLOOKUP(A1195,File!$A:$J,2,FALSE)</f>
        <v>Tejas Sanjay Bagul</v>
      </c>
      <c r="C1195" s="29">
        <f>VLOOKUP(A1195,File!$A:$J,5,FALSE)</f>
        <v>46231</v>
      </c>
      <c r="D1195" s="29" t="str">
        <f>VLOOKUP(A1195,File!$A:$J,3,FALSE)</f>
        <v>Male</v>
      </c>
      <c r="E1195" s="29" t="str">
        <f>VLOOKUP(A1195,File!$A:$J,4,FALSE)</f>
        <v>FTE</v>
      </c>
      <c r="F1195" s="29" t="str">
        <f>VLOOKUP(A1195,File!$A:$J,6,FALSE)</f>
        <v>Chennai</v>
      </c>
      <c r="G1195" s="29" t="str">
        <f>VLOOKUP(A1195,File!$A:$J,7,FALSE)</f>
        <v>EPS26WD005</v>
      </c>
      <c r="H1195" s="29" t="str">
        <f>VLOOKUP(A1195,File!$A:$J,8,FALSE)</f>
        <v>Vishnupriya Dakshnamurthy</v>
      </c>
      <c r="I1195" s="31">
        <f>VLOOKUP(A1195,File!$A:$J,9,FALSE)</f>
        <v>46332</v>
      </c>
      <c r="J1195" s="31" t="str">
        <f>VLOOKUP(A1195,File!$A:$K,11,FALSE)</f>
        <v>Nov 2026</v>
      </c>
      <c r="K1195" s="31" t="str">
        <f>VLOOKUP(A1195,File!$A:$K,10,FALSE)</f>
        <v>In-Training</v>
      </c>
      <c r="L1195" s="31" t="s">
        <v>4</v>
      </c>
      <c r="M1195" t="str">
        <f>VLOOKUP(A1195,Response!$A:$M,7,)</f>
        <v>PG (Paying Guest)</v>
      </c>
      <c r="N1195" t="str">
        <f>VLOOKUP(A1195,Response!$A:$M,8,)</f>
        <v>Soma Mens Stay, Sipcot, Siruseri, Chennai</v>
      </c>
      <c r="O1195" s="4">
        <f>VLOOKUP(A1195,Response!$A:$M,10,)</f>
        <v>2</v>
      </c>
      <c r="P1195" t="str">
        <f>VLOOKUP(A1195,Response!$A:$M,12,)</f>
        <v>Yes</v>
      </c>
      <c r="Q1195" t="str">
        <f>VLOOKUP(A1195,Response!$A:$M,11,)</f>
        <v>Siruseri</v>
      </c>
      <c r="R1195" t="s">
        <v>19</v>
      </c>
      <c r="S1195" s="39" t="s">
        <v>37</v>
      </c>
    </row>
    <row r="1196" spans="1:19">
      <c r="A1196" s="3">
        <v>2523423</v>
      </c>
      <c r="B1196" t="str">
        <f>VLOOKUP(A1196,File!$A:$J,2,FALSE)</f>
        <v>Subrahmanya Lnu</v>
      </c>
      <c r="C1196" s="29">
        <f>VLOOKUP(A1196,File!$A:$J,5,FALSE)</f>
        <v>46219</v>
      </c>
      <c r="D1196" s="29" t="str">
        <f>VLOOKUP(A1196,File!$A:$J,3,FALSE)</f>
        <v>Male</v>
      </c>
      <c r="E1196" s="29" t="str">
        <f>VLOOKUP(A1196,File!$A:$J,4,FALSE)</f>
        <v>FTE</v>
      </c>
      <c r="F1196" s="29" t="str">
        <f>VLOOKUP(A1196,File!$A:$J,6,FALSE)</f>
        <v>Chennai</v>
      </c>
      <c r="G1196" s="29" t="str">
        <f>VLOOKUP(A1196,File!$A:$J,7,FALSE)</f>
        <v>CS26CS009</v>
      </c>
      <c r="H1196" s="29" t="str">
        <f>VLOOKUP(A1196,File!$A:$J,8,FALSE)</f>
        <v>Laksiya Vijayendran</v>
      </c>
      <c r="I1196" s="31">
        <f>VLOOKUP(A1196,File!$A:$J,9,FALSE)</f>
        <v>46309</v>
      </c>
      <c r="J1196" s="31" t="str">
        <f>VLOOKUP(A1196,File!$A:$K,11,FALSE)</f>
        <v>Oct 2026</v>
      </c>
      <c r="K1196" s="31" t="str">
        <f>VLOOKUP(A1196,File!$A:$K,10,FALSE)</f>
        <v>In-Training</v>
      </c>
      <c r="L1196" s="31" t="s">
        <v>4</v>
      </c>
      <c r="M1196" t="str">
        <f>VLOOKUP(A1196,Response!$A:$M,7,)</f>
        <v>PG (Paying Guest)</v>
      </c>
      <c r="N1196" t="str">
        <f>VLOOKUP(A1196,Response!$A:$M,8,)</f>
        <v>Soma Mens StayPlot No. 15 B6, City Park Layout, 2nd LaneMammothiamman Street, EgatturSiruseri, ChennaiTamil Nadu – 603103</v>
      </c>
      <c r="O1196" s="4" t="str">
        <f>VLOOKUP(A1196,Response!$A:$M,10,)</f>
        <v>GF</v>
      </c>
      <c r="P1196" t="str">
        <f>VLOOKUP(A1196,Response!$A:$M,12,)</f>
        <v>No</v>
      </c>
      <c r="Q1196" t="str">
        <f>VLOOKUP(A1196,Response!$A:$M,11,)</f>
        <v>Siruseri</v>
      </c>
      <c r="R1196" t="s">
        <v>19</v>
      </c>
      <c r="S1196" s="39" t="s">
        <v>37</v>
      </c>
    </row>
    <row r="1197" spans="1:19">
      <c r="A1197" s="3">
        <v>2524527</v>
      </c>
      <c r="B1197" t="str">
        <f>VLOOKUP(A1197,File!$A:$J,2,FALSE)</f>
        <v>Nikhil Babulal Santre</v>
      </c>
      <c r="C1197" s="29">
        <f>VLOOKUP(A1197,File!$A:$J,5,FALSE)</f>
        <v>46224</v>
      </c>
      <c r="D1197" s="29" t="str">
        <f>VLOOKUP(A1197,File!$A:$J,3,FALSE)</f>
        <v>Male</v>
      </c>
      <c r="E1197" s="29" t="str">
        <f>VLOOKUP(A1197,File!$A:$J,4,FALSE)</f>
        <v>FTE</v>
      </c>
      <c r="F1197" s="29" t="str">
        <f>VLOOKUP(A1197,File!$A:$J,6,FALSE)</f>
        <v>Chennai</v>
      </c>
      <c r="G1197" s="29" t="str">
        <f>VLOOKUP(A1197,File!$A:$J,7,FALSE)</f>
        <v>QEA26QEPT024</v>
      </c>
      <c r="H1197" s="29" t="str">
        <f>VLOOKUP(A1197,File!$A:$J,8,FALSE)</f>
        <v>Ajiesya D P</v>
      </c>
      <c r="I1197" s="31">
        <f>VLOOKUP(A1197,File!$A:$J,9,FALSE)</f>
        <v>46330</v>
      </c>
      <c r="J1197" s="31" t="str">
        <f>VLOOKUP(A1197,File!$A:$K,11,FALSE)</f>
        <v>Nov 2026</v>
      </c>
      <c r="K1197" s="31" t="str">
        <f>VLOOKUP(A1197,File!$A:$K,10,FALSE)</f>
        <v>In-Training</v>
      </c>
      <c r="L1197" s="31" t="s">
        <v>4</v>
      </c>
      <c r="M1197" t="str">
        <f>VLOOKUP(A1197,Response!$A:$M,7,)</f>
        <v>PG (Paying Guest)</v>
      </c>
      <c r="N1197" t="str">
        <f>VLOOKUP(A1197,Response!$A:$M,8,)</f>
        <v>Soma pg</v>
      </c>
      <c r="O1197" s="4">
        <f>VLOOKUP(A1197,Response!$A:$M,10,)</f>
        <v>3</v>
      </c>
      <c r="P1197" t="str">
        <f>VLOOKUP(A1197,Response!$A:$M,12,)</f>
        <v>No</v>
      </c>
      <c r="Q1197" t="str">
        <f>VLOOKUP(A1197,Response!$A:$M,11,)</f>
        <v>Egattur</v>
      </c>
      <c r="R1197" t="s">
        <v>19</v>
      </c>
      <c r="S1197" s="39" t="s">
        <v>37</v>
      </c>
    </row>
    <row r="1198" spans="1:19">
      <c r="A1198" s="3">
        <v>2523382</v>
      </c>
      <c r="B1198" t="str">
        <f>VLOOKUP(A1198,File!$A:$J,2,FALSE)</f>
        <v>Makarand Rameshwar Hawale</v>
      </c>
      <c r="C1198" s="29">
        <f>VLOOKUP(A1198,File!$A:$J,5,FALSE)</f>
        <v>46219</v>
      </c>
      <c r="D1198" s="29" t="str">
        <f>VLOOKUP(A1198,File!$A:$J,3,FALSE)</f>
        <v>Male</v>
      </c>
      <c r="E1198" s="29" t="str">
        <f>VLOOKUP(A1198,File!$A:$J,4,FALSE)</f>
        <v>FTE</v>
      </c>
      <c r="F1198" s="29" t="str">
        <f>VLOOKUP(A1198,File!$A:$J,6,FALSE)</f>
        <v>Chennai</v>
      </c>
      <c r="G1198" s="29" t="str">
        <f>VLOOKUP(A1198,File!$A:$J,7,FALSE)</f>
        <v>PG26JFR004</v>
      </c>
      <c r="H1198" s="29" t="str">
        <f>VLOOKUP(A1198,File!$A:$J,8,FALSE)</f>
        <v>Thomas Naveen. J</v>
      </c>
      <c r="I1198" s="31">
        <f>VLOOKUP(A1198,File!$A:$J,9,FALSE)</f>
        <v>46342</v>
      </c>
      <c r="J1198" s="31" t="str">
        <f>VLOOKUP(A1198,File!$A:$K,11,FALSE)</f>
        <v>Nov 2026</v>
      </c>
      <c r="K1198" s="31" t="str">
        <f>VLOOKUP(A1198,File!$A:$K,10,FALSE)</f>
        <v>In-Training</v>
      </c>
      <c r="L1198" s="31" t="s">
        <v>4</v>
      </c>
      <c r="M1198" t="str">
        <f>VLOOKUP(A1198,Response!$A:$M,7,)</f>
        <v>PG (Paying Guest)</v>
      </c>
      <c r="N1198" t="str">
        <f>VLOOKUP(A1198,Response!$A:$M,8,)</f>
        <v>Soma PG Siruseri</v>
      </c>
      <c r="O1198" s="4">
        <f>VLOOKUP(A1198,Response!$A:$M,10,)</f>
        <v>4</v>
      </c>
      <c r="P1198" t="str">
        <f>VLOOKUP(A1198,Response!$A:$M,12,)</f>
        <v>No</v>
      </c>
      <c r="Q1198" t="str">
        <f>VLOOKUP(A1198,Response!$A:$M,11,)</f>
        <v>Egattur</v>
      </c>
      <c r="R1198" t="s">
        <v>19</v>
      </c>
      <c r="S1198" s="39" t="s">
        <v>37</v>
      </c>
    </row>
    <row r="1199" spans="1:19">
      <c r="A1199" s="3">
        <v>2525031</v>
      </c>
      <c r="B1199" t="str">
        <f>VLOOKUP(A1199,File!$A:$J,2,FALSE)</f>
        <v>Pravinkumar S</v>
      </c>
      <c r="C1199" s="29">
        <f>VLOOKUP(A1199,File!$A:$J,5,FALSE)</f>
        <v>46226</v>
      </c>
      <c r="D1199" s="29" t="str">
        <f>VLOOKUP(A1199,File!$A:$J,3,FALSE)</f>
        <v>Male</v>
      </c>
      <c r="E1199" s="29" t="str">
        <f>VLOOKUP(A1199,File!$A:$J,4,FALSE)</f>
        <v>FTE</v>
      </c>
      <c r="F1199" s="29" t="str">
        <f>VLOOKUP(A1199,File!$A:$J,6,FALSE)</f>
        <v>Chennai</v>
      </c>
      <c r="G1199" s="29" t="str">
        <f>VLOOKUP(A1199,File!$A:$J,7,FALSE)</f>
        <v>ADM26ISMO010</v>
      </c>
      <c r="H1199" s="29" t="str">
        <f>VLOOKUP(A1199,File!$A:$J,8,FALSE)</f>
        <v>Thomas Naveen. J</v>
      </c>
      <c r="I1199" s="31">
        <f>VLOOKUP(A1199,File!$A:$J,9,FALSE)</f>
        <v>46301</v>
      </c>
      <c r="J1199" s="31" t="str">
        <f>VLOOKUP(A1199,File!$A:$K,11,FALSE)</f>
        <v>Oct 2026</v>
      </c>
      <c r="K1199" s="31" t="str">
        <f>VLOOKUP(A1199,File!$A:$K,10,FALSE)</f>
        <v>In-Training</v>
      </c>
      <c r="L1199" s="31" t="s">
        <v>4</v>
      </c>
      <c r="M1199" t="str">
        <f>VLOOKUP(A1199,Response!$A:$M,7,)</f>
        <v>PG (Paying Guest)</v>
      </c>
      <c r="N1199" t="str">
        <f>VLOOKUP(A1199,Response!$A:$M,8,)</f>
        <v>Soma Pg stays - egattur</v>
      </c>
      <c r="O1199" s="4">
        <f>VLOOKUP(A1199,Response!$A:$M,10,)</f>
        <v>3</v>
      </c>
      <c r="P1199" t="str">
        <f>VLOOKUP(A1199,Response!$A:$M,12,)</f>
        <v>No</v>
      </c>
      <c r="Q1199" t="str">
        <f>VLOOKUP(A1199,Response!$A:$M,11,)</f>
        <v>Egattur</v>
      </c>
      <c r="R1199" t="s">
        <v>19</v>
      </c>
      <c r="S1199" s="39" t="s">
        <v>37</v>
      </c>
    </row>
    <row r="1200" spans="1:19">
      <c r="A1200" s="3">
        <v>2516748</v>
      </c>
      <c r="B1200" t="str">
        <f>VLOOKUP(A1200,File!$A:$J,2,FALSE)</f>
        <v>Abhay Ram J</v>
      </c>
      <c r="C1200" s="29">
        <f>VLOOKUP(A1200,File!$A:$J,5,FALSE)</f>
        <v>46191</v>
      </c>
      <c r="D1200" s="29" t="str">
        <f>VLOOKUP(A1200,File!$A:$J,3,FALSE)</f>
        <v>Male</v>
      </c>
      <c r="E1200" s="29" t="str">
        <f>VLOOKUP(A1200,File!$A:$J,4,FALSE)</f>
        <v>FTE</v>
      </c>
      <c r="F1200" s="29" t="str">
        <f>VLOOKUP(A1200,File!$A:$J,6,FALSE)</f>
        <v>Chennai</v>
      </c>
      <c r="G1200" s="29" t="str">
        <f>VLOOKUP(A1200,File!$A:$J,7,FALSE)</f>
        <v>CIS26NET003</v>
      </c>
      <c r="H1200" s="29" t="str">
        <f>VLOOKUP(A1200,File!$A:$J,8,FALSE)</f>
        <v>Uma Venkatachalam</v>
      </c>
      <c r="I1200" s="31">
        <f>VLOOKUP(A1200,File!$A:$J,9,FALSE)</f>
        <v>46269</v>
      </c>
      <c r="J1200" s="31" t="str">
        <f>VLOOKUP(A1200,File!$A:$K,11,FALSE)</f>
        <v>Sep 2026</v>
      </c>
      <c r="K1200" s="31" t="str">
        <f>VLOOKUP(A1200,File!$A:$K,10,FALSE)</f>
        <v>In-Training</v>
      </c>
      <c r="L1200" s="31" t="s">
        <v>4</v>
      </c>
      <c r="M1200" t="str">
        <f>VLOOKUP(A1200,Response!$A:$M,7,)</f>
        <v>PG (Paying Guest)</v>
      </c>
      <c r="N1200" t="str">
        <f>VLOOKUP(A1200,Response!$A:$M,8,)</f>
        <v>Soma Pg,Siruseri</v>
      </c>
      <c r="O1200" s="4" t="str">
        <f>VLOOKUP(A1200,Response!$A:$M,10,)</f>
        <v>GF</v>
      </c>
      <c r="P1200" t="str">
        <f>VLOOKUP(A1200,Response!$A:$M,12,)</f>
        <v>Yes</v>
      </c>
      <c r="Q1200" t="str">
        <f>VLOOKUP(A1200,Response!$A:$M,11,)</f>
        <v>Siruseri</v>
      </c>
      <c r="R1200" t="s">
        <v>19</v>
      </c>
      <c r="S1200" s="39" t="s">
        <v>37</v>
      </c>
    </row>
    <row r="1201" spans="1:19">
      <c r="A1201" s="3">
        <v>2523432</v>
      </c>
      <c r="B1201" t="str">
        <f>VLOOKUP(A1201,File!$A:$J,2,FALSE)</f>
        <v>Manikanta Singh M G</v>
      </c>
      <c r="C1201" s="29">
        <f>VLOOKUP(A1201,File!$A:$J,5,FALSE)</f>
        <v>46219</v>
      </c>
      <c r="D1201" s="29" t="str">
        <f>VLOOKUP(A1201,File!$A:$J,3,FALSE)</f>
        <v>Male</v>
      </c>
      <c r="E1201" s="29" t="str">
        <f>VLOOKUP(A1201,File!$A:$J,4,FALSE)</f>
        <v>FTE</v>
      </c>
      <c r="F1201" s="29" t="str">
        <f>VLOOKUP(A1201,File!$A:$J,6,FALSE)</f>
        <v>Chennai</v>
      </c>
      <c r="G1201" s="29" t="str">
        <f>VLOOKUP(A1201,File!$A:$J,7,FALSE)</f>
        <v>CS26CS010</v>
      </c>
      <c r="H1201" s="29" t="str">
        <f>VLOOKUP(A1201,File!$A:$J,8,FALSE)</f>
        <v>Laksiya Vijayendran</v>
      </c>
      <c r="I1201" s="31">
        <f>VLOOKUP(A1201,File!$A:$J,9,FALSE)</f>
        <v>46314</v>
      </c>
      <c r="J1201" s="31" t="str">
        <f>VLOOKUP(A1201,File!$A:$K,11,FALSE)</f>
        <v>Oct 2026</v>
      </c>
      <c r="K1201" s="31" t="str">
        <f>VLOOKUP(A1201,File!$A:$K,10,FALSE)</f>
        <v>In-Training</v>
      </c>
      <c r="L1201" s="31" t="s">
        <v>4</v>
      </c>
      <c r="M1201" t="str">
        <f>VLOOKUP(A1201,Response!$A:$M,7,)</f>
        <v>PG (Paying Guest)</v>
      </c>
      <c r="N1201" t="str">
        <f>VLOOKUP(A1201,Response!$A:$M,8,)</f>
        <v xml:space="preserve">Somas Mens Stay </v>
      </c>
      <c r="O1201" s="4" t="str">
        <f>VLOOKUP(A1201,Response!$A:$M,10,)</f>
        <v>GF</v>
      </c>
      <c r="P1201" t="str">
        <f>VLOOKUP(A1201,Response!$A:$M,12,)</f>
        <v>Yes</v>
      </c>
      <c r="Q1201" t="str">
        <f>VLOOKUP(A1201,Response!$A:$M,11,)</f>
        <v>Siruseri</v>
      </c>
      <c r="R1201" t="s">
        <v>19</v>
      </c>
      <c r="S1201" s="39" t="s">
        <v>37</v>
      </c>
    </row>
    <row r="1202" spans="1:19">
      <c r="A1202" s="3">
        <v>2521195</v>
      </c>
      <c r="B1202" t="str">
        <f>VLOOKUP(A1202,File!$A:$J,2,FALSE)</f>
        <v>Sreenand N</v>
      </c>
      <c r="C1202" s="29">
        <f>VLOOKUP(A1202,File!$A:$J,5,FALSE)</f>
        <v>46210</v>
      </c>
      <c r="D1202" s="29" t="str">
        <f>VLOOKUP(A1202,File!$A:$J,3,FALSE)</f>
        <v>Male</v>
      </c>
      <c r="E1202" s="29" t="str">
        <f>VLOOKUP(A1202,File!$A:$J,4,FALSE)</f>
        <v>FTE</v>
      </c>
      <c r="F1202" s="29" t="str">
        <f>VLOOKUP(A1202,File!$A:$J,6,FALSE)</f>
        <v>Chennai</v>
      </c>
      <c r="G1202" s="29" t="str">
        <f>VLOOKUP(A1202,File!$A:$J,7,FALSE)</f>
        <v>PG26JFR003</v>
      </c>
      <c r="H1202" s="29" t="str">
        <f>VLOOKUP(A1202,File!$A:$J,8,FALSE)</f>
        <v>Vijay K</v>
      </c>
      <c r="I1202" s="31">
        <f>VLOOKUP(A1202,File!$A:$J,9,FALSE)</f>
        <v>46322</v>
      </c>
      <c r="J1202" s="31" t="str">
        <f>VLOOKUP(A1202,File!$A:$K,11,FALSE)</f>
        <v>Oct 2026</v>
      </c>
      <c r="K1202" s="31" t="str">
        <f>VLOOKUP(A1202,File!$A:$K,10,FALSE)</f>
        <v>In-Training</v>
      </c>
      <c r="L1202" s="31" t="s">
        <v>4</v>
      </c>
      <c r="M1202" t="str">
        <f>VLOOKUP(A1202,Response!$A:$M,7,)</f>
        <v>PG (Paying Guest)</v>
      </c>
      <c r="N1202" t="str">
        <f>VLOOKUP(A1202,Response!$A:$M,8,)</f>
        <v>Some Mens Stay (Gents PG)</v>
      </c>
      <c r="O1202" s="4">
        <f>VLOOKUP(A1202,Response!$A:$M,10,)</f>
        <v>2</v>
      </c>
      <c r="P1202" t="str">
        <f>VLOOKUP(A1202,Response!$A:$M,12,)</f>
        <v>No</v>
      </c>
      <c r="Q1202" t="str">
        <f>VLOOKUP(A1202,Response!$A:$M,11,)</f>
        <v>Siruseri</v>
      </c>
      <c r="R1202" t="s">
        <v>19</v>
      </c>
      <c r="S1202" s="39" t="s">
        <v>37</v>
      </c>
    </row>
    <row r="1203" spans="1:19">
      <c r="A1203" s="3">
        <v>2521070</v>
      </c>
      <c r="B1203" t="str">
        <f>VLOOKUP(A1203,File!$A:$J,2,FALSE)</f>
        <v>Animireddy Sai Gowtham</v>
      </c>
      <c r="C1203" s="29">
        <f>VLOOKUP(A1203,File!$A:$J,5,FALSE)</f>
        <v>46210</v>
      </c>
      <c r="D1203" s="29" t="str">
        <f>VLOOKUP(A1203,File!$A:$J,3,FALSE)</f>
        <v>Male</v>
      </c>
      <c r="E1203" s="29" t="str">
        <f>VLOOKUP(A1203,File!$A:$J,4,FALSE)</f>
        <v>FTE</v>
      </c>
      <c r="F1203" s="29" t="str">
        <f>VLOOKUP(A1203,File!$A:$J,6,FALSE)</f>
        <v>Chennai</v>
      </c>
      <c r="G1203" s="29" t="str">
        <f>VLOOKUP(A1203,File!$A:$J,7,FALSE)</f>
        <v>SNBG26SN004</v>
      </c>
      <c r="H1203" s="29" t="str">
        <f>VLOOKUP(A1203,File!$A:$J,8,FALSE)</f>
        <v>Kishorekumar P</v>
      </c>
      <c r="I1203" s="31">
        <f>VLOOKUP(A1203,File!$A:$J,9,FALSE)</f>
        <v>46281</v>
      </c>
      <c r="J1203" s="31" t="str">
        <f>VLOOKUP(A1203,File!$A:$K,11,FALSE)</f>
        <v>Sep 2026</v>
      </c>
      <c r="K1203" s="31" t="str">
        <f>VLOOKUP(A1203,File!$A:$K,10,FALSE)</f>
        <v>In-Training</v>
      </c>
      <c r="L1203" s="31" t="s">
        <v>4</v>
      </c>
      <c r="M1203" t="str">
        <f>VLOOKUP(A1203,Response!$A:$M,7,)</f>
        <v>PG (Paying Guest)</v>
      </c>
      <c r="N1203" t="str">
        <f>VLOOKUP(A1203,Response!$A:$M,8,)</f>
        <v>SP MENS PG</v>
      </c>
      <c r="O1203" s="4">
        <f>VLOOKUP(A1203,Response!$A:$M,10,)</f>
        <v>1</v>
      </c>
      <c r="P1203" t="str">
        <f>VLOOKUP(A1203,Response!$A:$M,12,)</f>
        <v>No</v>
      </c>
      <c r="Q1203" t="str">
        <f>VLOOKUP(A1203,Response!$A:$M,11,)</f>
        <v>Navalur</v>
      </c>
      <c r="R1203" t="s">
        <v>19</v>
      </c>
      <c r="S1203" s="39" t="s">
        <v>37</v>
      </c>
    </row>
    <row r="1204" spans="1:19">
      <c r="A1204" s="3">
        <v>2521059</v>
      </c>
      <c r="B1204" t="str">
        <f>VLOOKUP(A1204,File!$A:$J,2,FALSE)</f>
        <v>Kalla Rama Sri Sai Sandeep</v>
      </c>
      <c r="C1204" s="29">
        <f>VLOOKUP(A1204,File!$A:$J,5,FALSE)</f>
        <v>46210</v>
      </c>
      <c r="D1204" s="29" t="str">
        <f>VLOOKUP(A1204,File!$A:$J,3,FALSE)</f>
        <v>Male</v>
      </c>
      <c r="E1204" s="29" t="str">
        <f>VLOOKUP(A1204,File!$A:$J,4,FALSE)</f>
        <v>FTE</v>
      </c>
      <c r="F1204" s="29" t="str">
        <f>VLOOKUP(A1204,File!$A:$J,6,FALSE)</f>
        <v>Chennai</v>
      </c>
      <c r="G1204" s="29" t="str">
        <f>VLOOKUP(A1204,File!$A:$J,7,FALSE)</f>
        <v>SNBG26SN002</v>
      </c>
      <c r="H1204" s="29" t="str">
        <f>VLOOKUP(A1204,File!$A:$J,8,FALSE)</f>
        <v>Lawrance M</v>
      </c>
      <c r="I1204" s="31">
        <f>VLOOKUP(A1204,File!$A:$J,9,FALSE)</f>
        <v>46281</v>
      </c>
      <c r="J1204" s="31" t="str">
        <f>VLOOKUP(A1204,File!$A:$K,11,FALSE)</f>
        <v>Sep 2026</v>
      </c>
      <c r="K1204" s="31" t="str">
        <f>VLOOKUP(A1204,File!$A:$K,10,FALSE)</f>
        <v>In-Training</v>
      </c>
      <c r="L1204" s="31" t="s">
        <v>4</v>
      </c>
      <c r="M1204" t="str">
        <f>VLOOKUP(A1204,Response!$A:$M,7,)</f>
        <v>PG (Paying Guest)</v>
      </c>
      <c r="N1204" t="str">
        <f>VLOOKUP(A1204,Response!$A:$M,8,)</f>
        <v>SP MENS PG</v>
      </c>
      <c r="O1204" s="4">
        <f>VLOOKUP(A1204,Response!$A:$M,10,)</f>
        <v>5</v>
      </c>
      <c r="P1204" t="str">
        <f>VLOOKUP(A1204,Response!$A:$M,12,)</f>
        <v>Yes</v>
      </c>
      <c r="Q1204" t="str">
        <f>VLOOKUP(A1204,Response!$A:$M,11,)</f>
        <v>Siruseri</v>
      </c>
      <c r="R1204" t="s">
        <v>19</v>
      </c>
      <c r="S1204" s="39" t="s">
        <v>37</v>
      </c>
    </row>
    <row r="1205" spans="1:19">
      <c r="A1205" s="3">
        <v>2521076</v>
      </c>
      <c r="B1205" t="str">
        <f>VLOOKUP(A1205,File!$A:$J,2,FALSE)</f>
        <v>Vathumilli Lakshmi Sri Sai Ganesh</v>
      </c>
      <c r="C1205" s="29">
        <f>VLOOKUP(A1205,File!$A:$J,5,FALSE)</f>
        <v>46210</v>
      </c>
      <c r="D1205" s="29" t="str">
        <f>VLOOKUP(A1205,File!$A:$J,3,FALSE)</f>
        <v>Male</v>
      </c>
      <c r="E1205" s="29" t="str">
        <f>VLOOKUP(A1205,File!$A:$J,4,FALSE)</f>
        <v>FTE</v>
      </c>
      <c r="F1205" s="29" t="str">
        <f>VLOOKUP(A1205,File!$A:$J,6,FALSE)</f>
        <v>Chennai</v>
      </c>
      <c r="G1205" s="29" t="str">
        <f>VLOOKUP(A1205,File!$A:$J,7,FALSE)</f>
        <v>SNBG26SN004</v>
      </c>
      <c r="H1205" s="29" t="str">
        <f>VLOOKUP(A1205,File!$A:$J,8,FALSE)</f>
        <v>Kishorekumar P</v>
      </c>
      <c r="I1205" s="31">
        <f>VLOOKUP(A1205,File!$A:$J,9,FALSE)</f>
        <v>46303</v>
      </c>
      <c r="J1205" s="31" t="str">
        <f>VLOOKUP(A1205,File!$A:$K,11,FALSE)</f>
        <v>Oct 2026</v>
      </c>
      <c r="K1205" s="31" t="str">
        <f>VLOOKUP(A1205,File!$A:$K,10,FALSE)</f>
        <v>In-Training</v>
      </c>
      <c r="L1205" s="31" t="s">
        <v>4</v>
      </c>
      <c r="M1205" t="str">
        <f>VLOOKUP(A1205,Response!$A:$M,7,)</f>
        <v>PG (Paying Guest)</v>
      </c>
      <c r="N1205" t="str">
        <f>VLOOKUP(A1205,Response!$A:$M,8,)</f>
        <v>SP Mens PG - Egattur</v>
      </c>
      <c r="O1205" s="4">
        <f>VLOOKUP(A1205,Response!$A:$M,10,)</f>
        <v>5</v>
      </c>
      <c r="P1205" t="str">
        <f>VLOOKUP(A1205,Response!$A:$M,12,)</f>
        <v>No</v>
      </c>
      <c r="Q1205" t="str">
        <f>VLOOKUP(A1205,Response!$A:$M,11,)</f>
        <v>Egattur</v>
      </c>
      <c r="R1205" t="s">
        <v>19</v>
      </c>
      <c r="S1205" s="39" t="s">
        <v>37</v>
      </c>
    </row>
    <row r="1206" spans="1:19">
      <c r="A1206" s="3">
        <v>2521058</v>
      </c>
      <c r="B1206" t="str">
        <f>VLOOKUP(A1206,File!$A:$J,2,FALSE)</f>
        <v>Chandra Naga Mouli Matta</v>
      </c>
      <c r="C1206" s="29">
        <f>VLOOKUP(A1206,File!$A:$J,5,FALSE)</f>
        <v>46210</v>
      </c>
      <c r="D1206" s="29" t="str">
        <f>VLOOKUP(A1206,File!$A:$J,3,FALSE)</f>
        <v>Male</v>
      </c>
      <c r="E1206" s="29" t="str">
        <f>VLOOKUP(A1206,File!$A:$J,4,FALSE)</f>
        <v>FTE</v>
      </c>
      <c r="F1206" s="29" t="str">
        <f>VLOOKUP(A1206,File!$A:$J,6,FALSE)</f>
        <v>Chennai</v>
      </c>
      <c r="G1206" s="29" t="str">
        <f>VLOOKUP(A1206,File!$A:$J,7,FALSE)</f>
        <v>SNBG26SN004</v>
      </c>
      <c r="H1206" s="29" t="str">
        <f>VLOOKUP(A1206,File!$A:$J,8,FALSE)</f>
        <v>Kishorekumar P</v>
      </c>
      <c r="I1206" s="31">
        <f>VLOOKUP(A1206,File!$A:$J,9,FALSE)</f>
        <v>46303</v>
      </c>
      <c r="J1206" s="31" t="str">
        <f>VLOOKUP(A1206,File!$A:$K,11,FALSE)</f>
        <v>Oct 2026</v>
      </c>
      <c r="K1206" s="31" t="str">
        <f>VLOOKUP(A1206,File!$A:$K,10,FALSE)</f>
        <v>In-Training</v>
      </c>
      <c r="L1206" s="31" t="s">
        <v>4</v>
      </c>
      <c r="M1206" t="str">
        <f>VLOOKUP(A1206,Response!$A:$M,7,)</f>
        <v>PG (Paying Guest)</v>
      </c>
      <c r="N1206" t="str">
        <f>VLOOKUP(A1206,Response!$A:$M,8,)</f>
        <v>SP MENS PG, Egattur</v>
      </c>
      <c r="O1206" s="4">
        <f>VLOOKUP(A1206,Response!$A:$M,10,)</f>
        <v>3</v>
      </c>
      <c r="P1206" t="str">
        <f>VLOOKUP(A1206,Response!$A:$M,12,)</f>
        <v>No</v>
      </c>
      <c r="Q1206" t="str">
        <f>VLOOKUP(A1206,Response!$A:$M,11,)</f>
        <v>Siruseri</v>
      </c>
      <c r="R1206" t="s">
        <v>19</v>
      </c>
      <c r="S1206" s="39" t="s">
        <v>37</v>
      </c>
    </row>
    <row r="1207" spans="1:19">
      <c r="A1207" s="3">
        <v>2521068</v>
      </c>
      <c r="B1207" t="str">
        <f>VLOOKUP(A1207,File!$A:$J,2,FALSE)</f>
        <v>Illapu Mehar Arun Teja</v>
      </c>
      <c r="C1207" s="29">
        <f>VLOOKUP(A1207,File!$A:$J,5,FALSE)</f>
        <v>46210</v>
      </c>
      <c r="D1207" s="29" t="str">
        <f>VLOOKUP(A1207,File!$A:$J,3,FALSE)</f>
        <v>Male</v>
      </c>
      <c r="E1207" s="29" t="str">
        <f>VLOOKUP(A1207,File!$A:$J,4,FALSE)</f>
        <v>FTE</v>
      </c>
      <c r="F1207" s="29" t="str">
        <f>VLOOKUP(A1207,File!$A:$J,6,FALSE)</f>
        <v>Chennai</v>
      </c>
      <c r="G1207" s="29" t="str">
        <f>VLOOKUP(A1207,File!$A:$J,7,FALSE)</f>
        <v>SNBG26SN002</v>
      </c>
      <c r="H1207" s="29" t="str">
        <f>VLOOKUP(A1207,File!$A:$J,8,FALSE)</f>
        <v>Lawrance M</v>
      </c>
      <c r="I1207" s="31">
        <f>VLOOKUP(A1207,File!$A:$J,9,FALSE)</f>
        <v>46281</v>
      </c>
      <c r="J1207" s="31" t="str">
        <f>VLOOKUP(A1207,File!$A:$K,11,FALSE)</f>
        <v>Sep 2026</v>
      </c>
      <c r="K1207" s="31" t="str">
        <f>VLOOKUP(A1207,File!$A:$K,10,FALSE)</f>
        <v>In-Training</v>
      </c>
      <c r="L1207" s="31" t="s">
        <v>4</v>
      </c>
      <c r="M1207" t="str">
        <f>VLOOKUP(A1207,Response!$A:$M,7,)</f>
        <v>PG (Paying Guest)</v>
      </c>
      <c r="N1207" t="str">
        <f>VLOOKUP(A1207,Response!$A:$M,8,)</f>
        <v>SP Mens PG,118b, Egattur</v>
      </c>
      <c r="O1207" s="4">
        <f>VLOOKUP(A1207,Response!$A:$M,10,)</f>
        <v>1</v>
      </c>
      <c r="P1207" t="str">
        <f>VLOOKUP(A1207,Response!$A:$M,12,)</f>
        <v>No</v>
      </c>
      <c r="Q1207" t="str">
        <f>VLOOKUP(A1207,Response!$A:$M,11,)</f>
        <v>Siruseri</v>
      </c>
      <c r="R1207" t="s">
        <v>19</v>
      </c>
      <c r="S1207" s="39" t="s">
        <v>37</v>
      </c>
    </row>
    <row r="1208" spans="1:19">
      <c r="A1208" s="3">
        <v>2521131</v>
      </c>
      <c r="B1208" t="str">
        <f>VLOOKUP(A1208,File!$A:$J,2,FALSE)</f>
        <v>Ungarala Leela Krishna Manikanta</v>
      </c>
      <c r="C1208" s="29">
        <f>VLOOKUP(A1208,File!$A:$J,5,FALSE)</f>
        <v>46210</v>
      </c>
      <c r="D1208" s="29" t="str">
        <f>VLOOKUP(A1208,File!$A:$J,3,FALSE)</f>
        <v>Male</v>
      </c>
      <c r="E1208" s="29" t="str">
        <f>VLOOKUP(A1208,File!$A:$J,4,FALSE)</f>
        <v>FTE</v>
      </c>
      <c r="F1208" s="29" t="str">
        <f>VLOOKUP(A1208,File!$A:$J,6,FALSE)</f>
        <v>Chennai</v>
      </c>
      <c r="G1208" s="29" t="str">
        <f>VLOOKUP(A1208,File!$A:$J,7,FALSE)</f>
        <v>SNBG26SN003</v>
      </c>
      <c r="H1208" s="29" t="str">
        <f>VLOOKUP(A1208,File!$A:$J,8,FALSE)</f>
        <v>Lawrance M</v>
      </c>
      <c r="I1208" s="31">
        <f>VLOOKUP(A1208,File!$A:$J,9,FALSE)</f>
        <v>46303</v>
      </c>
      <c r="J1208" s="31" t="str">
        <f>VLOOKUP(A1208,File!$A:$K,11,FALSE)</f>
        <v>Oct 2026</v>
      </c>
      <c r="K1208" s="31" t="str">
        <f>VLOOKUP(A1208,File!$A:$K,10,FALSE)</f>
        <v>In-Training</v>
      </c>
      <c r="L1208" s="31" t="s">
        <v>4</v>
      </c>
      <c r="M1208" t="str">
        <f>VLOOKUP(A1208,Response!$A:$M,7,)</f>
        <v>PG (Paying Guest)</v>
      </c>
      <c r="N1208" t="str">
        <f>VLOOKUP(A1208,Response!$A:$M,8,)</f>
        <v>SP Mens PG,Egattur</v>
      </c>
      <c r="O1208" s="4">
        <f>VLOOKUP(A1208,Response!$A:$M,10,)</f>
        <v>5</v>
      </c>
      <c r="P1208" t="str">
        <f>VLOOKUP(A1208,Response!$A:$M,12,)</f>
        <v>No</v>
      </c>
      <c r="Q1208" t="str">
        <f>VLOOKUP(A1208,Response!$A:$M,11,)</f>
        <v>Siruseri</v>
      </c>
      <c r="R1208" t="s">
        <v>19</v>
      </c>
      <c r="S1208" s="39" t="s">
        <v>37</v>
      </c>
    </row>
    <row r="1209" spans="1:19">
      <c r="A1209" s="3">
        <v>2521208</v>
      </c>
      <c r="B1209" t="str">
        <f>VLOOKUP(A1209,File!$A:$J,2,FALSE)</f>
        <v>Kartikey Agarwal</v>
      </c>
      <c r="C1209" s="29">
        <f>VLOOKUP(A1209,File!$A:$J,5,FALSE)</f>
        <v>46210</v>
      </c>
      <c r="D1209" s="29" t="str">
        <f>VLOOKUP(A1209,File!$A:$J,3,FALSE)</f>
        <v>Male</v>
      </c>
      <c r="E1209" s="29" t="str">
        <f>VLOOKUP(A1209,File!$A:$J,4,FALSE)</f>
        <v>FTE</v>
      </c>
      <c r="F1209" s="29" t="str">
        <f>VLOOKUP(A1209,File!$A:$J,6,FALSE)</f>
        <v>Chennai</v>
      </c>
      <c r="G1209" s="29" t="str">
        <f>VLOOKUP(A1209,File!$A:$J,7,FALSE)</f>
        <v>CM26SFDC006</v>
      </c>
      <c r="H1209" s="29" t="str">
        <f>VLOOKUP(A1209,File!$A:$J,8,FALSE)</f>
        <v>Gayathri Ramachandran</v>
      </c>
      <c r="I1209" s="31">
        <f>VLOOKUP(A1209,File!$A:$J,9,FALSE)</f>
        <v>46337</v>
      </c>
      <c r="J1209" s="31" t="str">
        <f>VLOOKUP(A1209,File!$A:$K,11,FALSE)</f>
        <v>Nov 2026</v>
      </c>
      <c r="K1209" s="31" t="str">
        <f>VLOOKUP(A1209,File!$A:$K,10,FALSE)</f>
        <v>In-Training</v>
      </c>
      <c r="L1209" s="31" t="s">
        <v>4</v>
      </c>
      <c r="M1209" t="str">
        <f>VLOOKUP(A1209,Response!$A:$M,7,)</f>
        <v>PG (Paying Guest)</v>
      </c>
      <c r="N1209" t="str">
        <f>VLOOKUP(A1209,Response!$A:$M,8,)</f>
        <v xml:space="preserve">SP Menz PG </v>
      </c>
      <c r="O1209" s="4">
        <f>VLOOKUP(A1209,Response!$A:$M,10,)</f>
        <v>1</v>
      </c>
      <c r="P1209" t="str">
        <f>VLOOKUP(A1209,Response!$A:$M,12,)</f>
        <v>No</v>
      </c>
      <c r="Q1209" t="str">
        <f>VLOOKUP(A1209,Response!$A:$M,11,)</f>
        <v>Siruseri</v>
      </c>
      <c r="R1209" t="s">
        <v>19</v>
      </c>
      <c r="S1209" s="39" t="s">
        <v>37</v>
      </c>
    </row>
    <row r="1210" spans="1:19">
      <c r="A1210" s="3">
        <v>2511233</v>
      </c>
      <c r="B1210" t="str">
        <f>VLOOKUP(A1210,File!$A:$J,2,FALSE)</f>
        <v>Amol Bhujangrao Awalod</v>
      </c>
      <c r="C1210" s="29">
        <f>VLOOKUP(A1210,File!$A:$J,5,FALSE)</f>
        <v>46163</v>
      </c>
      <c r="D1210" s="29" t="str">
        <f>VLOOKUP(A1210,File!$A:$J,3,FALSE)</f>
        <v>Male</v>
      </c>
      <c r="E1210" s="29" t="str">
        <f>VLOOKUP(A1210,File!$A:$J,4,FALSE)</f>
        <v>FTE</v>
      </c>
      <c r="F1210" s="29" t="str">
        <f>VLOOKUP(A1210,File!$A:$J,6,FALSE)</f>
        <v>Chennai</v>
      </c>
      <c r="G1210" s="29" t="str">
        <f>VLOOKUP(A1210,File!$A:$J,7,FALSE)</f>
        <v>CIS26MCPT010</v>
      </c>
      <c r="H1210" s="29" t="str">
        <f>VLOOKUP(A1210,File!$A:$J,8,FALSE)</f>
        <v>Mohamed Harish</v>
      </c>
      <c r="I1210" s="31">
        <f>VLOOKUP(A1210,File!$A:$J,9,FALSE)</f>
        <v>46275</v>
      </c>
      <c r="J1210" s="31" t="str">
        <f>VLOOKUP(A1210,File!$A:$K,11,FALSE)</f>
        <v>Sep 2026</v>
      </c>
      <c r="K1210" s="31" t="str">
        <f>VLOOKUP(A1210,File!$A:$K,10,FALSE)</f>
        <v>In-Training</v>
      </c>
      <c r="L1210" s="31" t="s">
        <v>4</v>
      </c>
      <c r="M1210" t="str">
        <f>VLOOKUP(A1210,Response!$A:$M,7,)</f>
        <v>PG (Paying Guest)</v>
      </c>
      <c r="N1210" t="str">
        <f>VLOOKUP(A1210,Response!$A:$M,8,)</f>
        <v>SPT Gents hostel, Egattur</v>
      </c>
      <c r="O1210" s="4">
        <f>VLOOKUP(A1210,Response!$A:$M,10,)</f>
        <v>1</v>
      </c>
      <c r="P1210" t="str">
        <f>VLOOKUP(A1210,Response!$A:$M,12,)</f>
        <v>No</v>
      </c>
      <c r="Q1210" t="str">
        <f>VLOOKUP(A1210,Response!$A:$M,11,)</f>
        <v>Egattur</v>
      </c>
      <c r="R1210" t="s">
        <v>19</v>
      </c>
      <c r="S1210" s="39" t="s">
        <v>37</v>
      </c>
    </row>
    <row r="1211" spans="1:19">
      <c r="A1211" s="3">
        <v>2516778</v>
      </c>
      <c r="B1211" t="str">
        <f>VLOOKUP(A1211,File!$A:$J,2,FALSE)</f>
        <v>D Venkat Hemanth Kumar</v>
      </c>
      <c r="C1211" s="29">
        <f>VLOOKUP(A1211,File!$A:$J,5,FALSE)</f>
        <v>46191</v>
      </c>
      <c r="D1211" s="29" t="str">
        <f>VLOOKUP(A1211,File!$A:$J,3,FALSE)</f>
        <v>Male</v>
      </c>
      <c r="E1211" s="29" t="str">
        <f>VLOOKUP(A1211,File!$A:$J,4,FALSE)</f>
        <v>FTE</v>
      </c>
      <c r="F1211" s="29" t="str">
        <f>VLOOKUP(A1211,File!$A:$J,6,FALSE)</f>
        <v>Chennai</v>
      </c>
      <c r="G1211" s="29" t="str">
        <f>VLOOKUP(A1211,File!$A:$J,7,FALSE)</f>
        <v>CIS26DCO002</v>
      </c>
      <c r="H1211" s="29" t="str">
        <f>VLOOKUP(A1211,File!$A:$J,8,FALSE)</f>
        <v>Yuvasree Thiruvengadam</v>
      </c>
      <c r="I1211" s="31">
        <f>VLOOKUP(A1211,File!$A:$J,9,FALSE)</f>
        <v>46290</v>
      </c>
      <c r="J1211" s="31" t="str">
        <f>VLOOKUP(A1211,File!$A:$K,11,FALSE)</f>
        <v>Sep 2026</v>
      </c>
      <c r="K1211" s="31" t="str">
        <f>VLOOKUP(A1211,File!$A:$K,10,FALSE)</f>
        <v>In-Training</v>
      </c>
      <c r="L1211" s="31" t="s">
        <v>4</v>
      </c>
      <c r="M1211" t="str">
        <f>VLOOKUP(A1211,Response!$A:$M,7,)</f>
        <v>PG (Paying Guest)</v>
      </c>
      <c r="N1211" t="str">
        <f>VLOOKUP(A1211,Response!$A:$M,8,)</f>
        <v>SPT Gents PG</v>
      </c>
      <c r="O1211" s="4">
        <f>VLOOKUP(A1211,Response!$A:$M,10,)</f>
        <v>1</v>
      </c>
      <c r="P1211" t="str">
        <f>VLOOKUP(A1211,Response!$A:$M,12,)</f>
        <v>No</v>
      </c>
      <c r="Q1211" t="str">
        <f>VLOOKUP(A1211,Response!$A:$M,11,)</f>
        <v>Egattur</v>
      </c>
      <c r="R1211" t="s">
        <v>19</v>
      </c>
      <c r="S1211" s="39" t="s">
        <v>37</v>
      </c>
    </row>
    <row r="1212" spans="1:19">
      <c r="A1212" s="3">
        <v>2529551</v>
      </c>
      <c r="B1212" t="str">
        <f>VLOOKUP(A1212,File!$A:$J,2,FALSE)</f>
        <v>Jyothi Swaroop J</v>
      </c>
      <c r="C1212" s="29">
        <f>VLOOKUP(A1212,File!$A:$J,5,FALSE)</f>
        <v>46245</v>
      </c>
      <c r="D1212" s="29" t="str">
        <f>VLOOKUP(A1212,File!$A:$J,3,FALSE)</f>
        <v>Male</v>
      </c>
      <c r="E1212" s="29" t="str">
        <f>VLOOKUP(A1212,File!$A:$J,4,FALSE)</f>
        <v>FTE</v>
      </c>
      <c r="F1212" s="29" t="str">
        <f>VLOOKUP(A1212,File!$A:$J,6,FALSE)</f>
        <v>Chennai</v>
      </c>
      <c r="G1212" s="29" t="str">
        <f>VLOOKUP(A1212,File!$A:$J,7,FALSE)</f>
        <v>CIS26MCPT025</v>
      </c>
      <c r="H1212" s="29" t="str">
        <f>VLOOKUP(A1212,File!$A:$J,8,FALSE)</f>
        <v>Vignesh S</v>
      </c>
      <c r="I1212" s="31">
        <f>VLOOKUP(A1212,File!$A:$J,9,FALSE)</f>
        <v>46359</v>
      </c>
      <c r="J1212" s="31" t="str">
        <f>VLOOKUP(A1212,File!$A:$K,11,FALSE)</f>
        <v>Dec 2026</v>
      </c>
      <c r="K1212" s="31" t="str">
        <f>VLOOKUP(A1212,File!$A:$K,10,FALSE)</f>
        <v>In-Training</v>
      </c>
      <c r="L1212" s="31" t="s">
        <v>4</v>
      </c>
      <c r="M1212" t="str">
        <f>VLOOKUP(A1212,Response!$A:$M,7,)</f>
        <v>PG (Paying Guest)</v>
      </c>
      <c r="N1212" t="str">
        <f>VLOOKUP(A1212,Response!$A:$M,8,)</f>
        <v xml:space="preserve">SPT GENTS PG </v>
      </c>
      <c r="O1212" s="4">
        <f>VLOOKUP(A1212,Response!$A:$M,10,)</f>
        <v>3</v>
      </c>
      <c r="P1212" t="str">
        <f>VLOOKUP(A1212,Response!$A:$M,12,)</f>
        <v>No</v>
      </c>
      <c r="Q1212" t="str">
        <f>VLOOKUP(A1212,Response!$A:$M,11,)</f>
        <v>Egattur</v>
      </c>
      <c r="R1212" t="s">
        <v>19</v>
      </c>
      <c r="S1212" s="39" t="s">
        <v>37</v>
      </c>
    </row>
    <row r="1213" spans="1:19">
      <c r="A1213" s="3">
        <v>2523434</v>
      </c>
      <c r="B1213" t="str">
        <f>VLOOKUP(A1213,File!$A:$J,2,FALSE)</f>
        <v>Anuroop LNU</v>
      </c>
      <c r="C1213" s="29">
        <f>VLOOKUP(A1213,File!$A:$J,5,FALSE)</f>
        <v>46219</v>
      </c>
      <c r="D1213" s="29" t="str">
        <f>VLOOKUP(A1213,File!$A:$J,3,FALSE)</f>
        <v>Male</v>
      </c>
      <c r="E1213" s="29" t="str">
        <f>VLOOKUP(A1213,File!$A:$J,4,FALSE)</f>
        <v>FTE</v>
      </c>
      <c r="F1213" s="29" t="str">
        <f>VLOOKUP(A1213,File!$A:$J,6,FALSE)</f>
        <v>Chennai</v>
      </c>
      <c r="G1213" s="29" t="str">
        <f>VLOOKUP(A1213,File!$A:$J,7,FALSE)</f>
        <v>CS26CS010</v>
      </c>
      <c r="H1213" s="29" t="str">
        <f>VLOOKUP(A1213,File!$A:$J,8,FALSE)</f>
        <v>Laksiya Vijayendran</v>
      </c>
      <c r="I1213" s="31">
        <f>VLOOKUP(A1213,File!$A:$J,9,FALSE)</f>
        <v>46314</v>
      </c>
      <c r="J1213" s="31" t="str">
        <f>VLOOKUP(A1213,File!$A:$K,11,FALSE)</f>
        <v>Oct 2026</v>
      </c>
      <c r="K1213" s="31" t="str">
        <f>VLOOKUP(A1213,File!$A:$K,10,FALSE)</f>
        <v>In-Training</v>
      </c>
      <c r="L1213" s="31" t="s">
        <v>4</v>
      </c>
      <c r="M1213" t="str">
        <f>VLOOKUP(A1213,Response!$A:$M,7,)</f>
        <v>PG (Paying Guest)</v>
      </c>
      <c r="N1213" t="str">
        <f>VLOOKUP(A1213,Response!$A:$M,8,)</f>
        <v xml:space="preserve">SPT GENTS PG EGATTUR </v>
      </c>
      <c r="O1213" s="4">
        <f>VLOOKUP(A1213,Response!$A:$M,10,)</f>
        <v>3</v>
      </c>
      <c r="P1213" t="str">
        <f>VLOOKUP(A1213,Response!$A:$M,12,)</f>
        <v>No</v>
      </c>
      <c r="Q1213" t="str">
        <f>VLOOKUP(A1213,Response!$A:$M,11,)</f>
        <v>Egattur</v>
      </c>
      <c r="R1213" t="s">
        <v>19</v>
      </c>
      <c r="S1213" s="39" t="s">
        <v>37</v>
      </c>
    </row>
    <row r="1214" spans="1:19">
      <c r="A1214" s="3">
        <v>2518821</v>
      </c>
      <c r="B1214" t="str">
        <f>VLOOKUP(A1214,File!$A:$J,2,FALSE)</f>
        <v>Gopaldasu Suresh</v>
      </c>
      <c r="C1214" s="29">
        <f>VLOOKUP(A1214,File!$A:$J,5,FALSE)</f>
        <v>46203</v>
      </c>
      <c r="D1214" s="29" t="str">
        <f>VLOOKUP(A1214,File!$A:$J,3,FALSE)</f>
        <v>Male</v>
      </c>
      <c r="E1214" s="29" t="str">
        <f>VLOOKUP(A1214,File!$A:$J,4,FALSE)</f>
        <v>FTE</v>
      </c>
      <c r="F1214" s="29" t="str">
        <f>VLOOKUP(A1214,File!$A:$J,6,FALSE)</f>
        <v>Chennai</v>
      </c>
      <c r="G1214" s="29" t="str">
        <f>VLOOKUP(A1214,File!$A:$J,7,FALSE)</f>
        <v>CIS26SB001</v>
      </c>
      <c r="H1214" s="29" t="str">
        <f>VLOOKUP(A1214,File!$A:$J,8,FALSE)</f>
        <v>Kishorekumar P</v>
      </c>
      <c r="I1214" s="31">
        <f>VLOOKUP(A1214,File!$A:$J,9,FALSE)</f>
        <v>46309</v>
      </c>
      <c r="J1214" s="31" t="str">
        <f>VLOOKUP(A1214,File!$A:$K,11,FALSE)</f>
        <v>Oct 2026</v>
      </c>
      <c r="K1214" s="31" t="str">
        <f>VLOOKUP(A1214,File!$A:$K,10,FALSE)</f>
        <v>In-Training</v>
      </c>
      <c r="L1214" s="31" t="s">
        <v>4</v>
      </c>
      <c r="M1214" t="str">
        <f>VLOOKUP(A1214,Response!$A:$M,7,)</f>
        <v>PG (Paying Guest)</v>
      </c>
      <c r="N1214" t="str">
        <f>VLOOKUP(A1214,Response!$A:$M,8,)</f>
        <v>SPT Gents PG Egattur Near Sahasra PG</v>
      </c>
      <c r="O1214" s="4">
        <f>VLOOKUP(A1214,Response!$A:$M,10,)</f>
        <v>3</v>
      </c>
      <c r="P1214" t="str">
        <f>VLOOKUP(A1214,Response!$A:$M,12,)</f>
        <v>No</v>
      </c>
      <c r="Q1214" t="str">
        <f>VLOOKUP(A1214,Response!$A:$M,11,)</f>
        <v>Egattur</v>
      </c>
      <c r="R1214" t="s">
        <v>19</v>
      </c>
      <c r="S1214" s="39" t="s">
        <v>37</v>
      </c>
    </row>
    <row r="1215" spans="1:19">
      <c r="A1215" s="3">
        <v>2518829</v>
      </c>
      <c r="B1215" t="str">
        <f>VLOOKUP(A1215,File!$A:$J,2,FALSE)</f>
        <v>Lakshmi Sriram Emani</v>
      </c>
      <c r="C1215" s="29">
        <f>VLOOKUP(A1215,File!$A:$J,5,FALSE)</f>
        <v>46203</v>
      </c>
      <c r="D1215" s="29" t="str">
        <f>VLOOKUP(A1215,File!$A:$J,3,FALSE)</f>
        <v>Male</v>
      </c>
      <c r="E1215" s="29" t="str">
        <f>VLOOKUP(A1215,File!$A:$J,4,FALSE)</f>
        <v>FTE</v>
      </c>
      <c r="F1215" s="29" t="str">
        <f>VLOOKUP(A1215,File!$A:$J,6,FALSE)</f>
        <v>Chennai</v>
      </c>
      <c r="G1215" s="29" t="str">
        <f>VLOOKUP(A1215,File!$A:$J,7,FALSE)</f>
        <v>CIS26SB001</v>
      </c>
      <c r="H1215" s="29" t="str">
        <f>VLOOKUP(A1215,File!$A:$J,8,FALSE)</f>
        <v>Kishorekumar P</v>
      </c>
      <c r="I1215" s="31">
        <f>VLOOKUP(A1215,File!$A:$J,9,FALSE)</f>
        <v>46309</v>
      </c>
      <c r="J1215" s="31" t="str">
        <f>VLOOKUP(A1215,File!$A:$K,11,FALSE)</f>
        <v>Oct 2026</v>
      </c>
      <c r="K1215" s="31" t="str">
        <f>VLOOKUP(A1215,File!$A:$K,10,FALSE)</f>
        <v>In-Training</v>
      </c>
      <c r="L1215" s="31" t="s">
        <v>4</v>
      </c>
      <c r="M1215" t="str">
        <f>VLOOKUP(A1215,Response!$A:$M,7,)</f>
        <v>PG (Paying Guest)</v>
      </c>
      <c r="N1215" t="str">
        <f>VLOOKUP(A1215,Response!$A:$M,8,)</f>
        <v xml:space="preserve">SPT Gents PG for men </v>
      </c>
      <c r="O1215" s="4">
        <f>VLOOKUP(A1215,Response!$A:$M,10,)</f>
        <v>3</v>
      </c>
      <c r="P1215" t="str">
        <f>VLOOKUP(A1215,Response!$A:$M,12,)</f>
        <v>No</v>
      </c>
      <c r="Q1215" t="str">
        <f>VLOOKUP(A1215,Response!$A:$M,11,)</f>
        <v>Egattur</v>
      </c>
      <c r="R1215" t="s">
        <v>19</v>
      </c>
      <c r="S1215" s="39" t="s">
        <v>37</v>
      </c>
    </row>
    <row r="1216" spans="1:19">
      <c r="A1216" s="3">
        <v>2518827</v>
      </c>
      <c r="B1216" t="str">
        <f>VLOOKUP(A1216,File!$A:$J,2,FALSE)</f>
        <v>Sriram Vijaykumar</v>
      </c>
      <c r="C1216" s="29">
        <f>VLOOKUP(A1216,File!$A:$J,5,FALSE)</f>
        <v>46203</v>
      </c>
      <c r="D1216" s="29" t="str">
        <f>VLOOKUP(A1216,File!$A:$J,3,FALSE)</f>
        <v>Male</v>
      </c>
      <c r="E1216" s="29" t="str">
        <f>VLOOKUP(A1216,File!$A:$J,4,FALSE)</f>
        <v>FTE</v>
      </c>
      <c r="F1216" s="29" t="str">
        <f>VLOOKUP(A1216,File!$A:$J,6,FALSE)</f>
        <v>Chennai</v>
      </c>
      <c r="G1216" s="29" t="str">
        <f>VLOOKUP(A1216,File!$A:$J,7,FALSE)</f>
        <v>CIS26SB001</v>
      </c>
      <c r="H1216" s="29" t="str">
        <f>VLOOKUP(A1216,File!$A:$J,8,FALSE)</f>
        <v>Kishorekumar P</v>
      </c>
      <c r="I1216" s="31">
        <f>VLOOKUP(A1216,File!$A:$J,9,FALSE)</f>
        <v>46309</v>
      </c>
      <c r="J1216" s="31" t="str">
        <f>VLOOKUP(A1216,File!$A:$K,11,FALSE)</f>
        <v>Oct 2026</v>
      </c>
      <c r="K1216" s="31" t="str">
        <f>VLOOKUP(A1216,File!$A:$K,10,FALSE)</f>
        <v>In-Training</v>
      </c>
      <c r="L1216" s="31" t="s">
        <v>4</v>
      </c>
      <c r="M1216" t="str">
        <f>VLOOKUP(A1216,Response!$A:$M,7,)</f>
        <v>PG (Paying Guest)</v>
      </c>
      <c r="N1216" t="str">
        <f>VLOOKUP(A1216,Response!$A:$M,8,)</f>
        <v>SPT Gents PG for men, Egattur</v>
      </c>
      <c r="O1216" s="4">
        <f>VLOOKUP(A1216,Response!$A:$M,10,)</f>
        <v>3</v>
      </c>
      <c r="P1216" t="str">
        <f>VLOOKUP(A1216,Response!$A:$M,12,)</f>
        <v>Yes</v>
      </c>
      <c r="Q1216" t="str">
        <f>VLOOKUP(A1216,Response!$A:$M,11,)</f>
        <v>Egattur</v>
      </c>
      <c r="R1216" t="s">
        <v>19</v>
      </c>
      <c r="S1216" s="39" t="s">
        <v>37</v>
      </c>
    </row>
    <row r="1217" spans="1:19">
      <c r="A1217" s="3">
        <v>2521040</v>
      </c>
      <c r="B1217" t="str">
        <f>VLOOKUP(A1217,File!$A:$J,2,FALSE)</f>
        <v>Jupelli Shiva Shankara Vara Prasad</v>
      </c>
      <c r="C1217" s="29">
        <f>VLOOKUP(A1217,File!$A:$J,5,FALSE)</f>
        <v>46210</v>
      </c>
      <c r="D1217" s="29" t="str">
        <f>VLOOKUP(A1217,File!$A:$J,3,FALSE)</f>
        <v>Male</v>
      </c>
      <c r="E1217" s="29" t="str">
        <f>VLOOKUP(A1217,File!$A:$J,4,FALSE)</f>
        <v>FTE</v>
      </c>
      <c r="F1217" s="29" t="str">
        <f>VLOOKUP(A1217,File!$A:$J,6,FALSE)</f>
        <v>Chennai</v>
      </c>
      <c r="G1217" s="29" t="str">
        <f>VLOOKUP(A1217,File!$A:$J,7,FALSE)</f>
        <v>SNBG26SN004</v>
      </c>
      <c r="H1217" s="29" t="str">
        <f>VLOOKUP(A1217,File!$A:$J,8,FALSE)</f>
        <v>Kishorekumar P</v>
      </c>
      <c r="I1217" s="31">
        <f>VLOOKUP(A1217,File!$A:$J,9,FALSE)</f>
        <v>46303</v>
      </c>
      <c r="J1217" s="31" t="str">
        <f>VLOOKUP(A1217,File!$A:$K,11,FALSE)</f>
        <v>Oct 2026</v>
      </c>
      <c r="K1217" s="31" t="str">
        <f>VLOOKUP(A1217,File!$A:$K,10,FALSE)</f>
        <v>In-Training</v>
      </c>
      <c r="L1217" s="31" t="s">
        <v>4</v>
      </c>
      <c r="M1217" t="str">
        <f>VLOOKUP(A1217,Response!$A:$M,7,)</f>
        <v>PG (Paying Guest)</v>
      </c>
      <c r="N1217" t="str">
        <f>VLOOKUP(A1217,Response!$A:$M,8,)</f>
        <v>SPT Mens PG Hostel, Room Number:G6, Egattur.</v>
      </c>
      <c r="O1217" s="4" t="str">
        <f>VLOOKUP(A1217,Response!$A:$M,10,)</f>
        <v>GF</v>
      </c>
      <c r="P1217" t="str">
        <f>VLOOKUP(A1217,Response!$A:$M,12,)</f>
        <v>No</v>
      </c>
      <c r="Q1217" t="str">
        <f>VLOOKUP(A1217,Response!$A:$M,11,)</f>
        <v>Egattur</v>
      </c>
      <c r="R1217" t="s">
        <v>19</v>
      </c>
      <c r="S1217" s="39" t="s">
        <v>37</v>
      </c>
    </row>
    <row r="1218" spans="1:19">
      <c r="A1218" s="3">
        <v>2521043</v>
      </c>
      <c r="B1218" t="str">
        <f>VLOOKUP(A1218,File!$A:$J,2,FALSE)</f>
        <v>Kadagala Satish</v>
      </c>
      <c r="C1218" s="29">
        <f>VLOOKUP(A1218,File!$A:$J,5,FALSE)</f>
        <v>46210</v>
      </c>
      <c r="D1218" s="29" t="str">
        <f>VLOOKUP(A1218,File!$A:$J,3,FALSE)</f>
        <v>Male</v>
      </c>
      <c r="E1218" s="29" t="str">
        <f>VLOOKUP(A1218,File!$A:$J,4,FALSE)</f>
        <v>FTE</v>
      </c>
      <c r="F1218" s="29" t="str">
        <f>VLOOKUP(A1218,File!$A:$J,6,FALSE)</f>
        <v>Chennai</v>
      </c>
      <c r="G1218" s="29" t="str">
        <f>VLOOKUP(A1218,File!$A:$J,7,FALSE)</f>
        <v>CIS26SN001</v>
      </c>
      <c r="H1218" s="29" t="str">
        <f>VLOOKUP(A1218,File!$A:$J,8,FALSE)</f>
        <v>Ashiya Begam S</v>
      </c>
      <c r="I1218" s="31">
        <f>VLOOKUP(A1218,File!$A:$J,9,FALSE)</f>
        <v>46303</v>
      </c>
      <c r="J1218" s="31" t="str">
        <f>VLOOKUP(A1218,File!$A:$K,11,FALSE)</f>
        <v>Oct 2026</v>
      </c>
      <c r="K1218" s="31" t="str">
        <f>VLOOKUP(A1218,File!$A:$K,10,FALSE)</f>
        <v>In-Training</v>
      </c>
      <c r="L1218" s="31" t="s">
        <v>4</v>
      </c>
      <c r="M1218" t="str">
        <f>VLOOKUP(A1218,Response!$A:$M,7,)</f>
        <v>PG (Paying Guest)</v>
      </c>
      <c r="N1218" t="str">
        <f>VLOOKUP(A1218,Response!$A:$M,8,)</f>
        <v>SPT Mens PG,Egattur,600130</v>
      </c>
      <c r="O1218" s="4">
        <f>VLOOKUP(A1218,Response!$A:$M,10,)</f>
        <v>4</v>
      </c>
      <c r="P1218" t="str">
        <f>VLOOKUP(A1218,Response!$A:$M,12,)</f>
        <v>No</v>
      </c>
      <c r="Q1218" t="str">
        <f>VLOOKUP(A1218,Response!$A:$M,11,)</f>
        <v>Egattur</v>
      </c>
      <c r="R1218" t="s">
        <v>19</v>
      </c>
      <c r="S1218" s="39" t="s">
        <v>37</v>
      </c>
    </row>
    <row r="1219" spans="1:19">
      <c r="A1219" s="3">
        <v>2518828</v>
      </c>
      <c r="B1219" t="str">
        <f>VLOOKUP(A1219,File!$A:$J,2,FALSE)</f>
        <v>Kuruba Siddartha</v>
      </c>
      <c r="C1219" s="29">
        <f>VLOOKUP(A1219,File!$A:$J,5,FALSE)</f>
        <v>46203</v>
      </c>
      <c r="D1219" s="29" t="str">
        <f>VLOOKUP(A1219,File!$A:$J,3,FALSE)</f>
        <v>Male</v>
      </c>
      <c r="E1219" s="29" t="str">
        <f>VLOOKUP(A1219,File!$A:$J,4,FALSE)</f>
        <v>FTE</v>
      </c>
      <c r="F1219" s="29" t="str">
        <f>VLOOKUP(A1219,File!$A:$J,6,FALSE)</f>
        <v>Chennai</v>
      </c>
      <c r="G1219" s="29" t="str">
        <f>VLOOKUP(A1219,File!$A:$J,7,FALSE)</f>
        <v>CIS26SB001</v>
      </c>
      <c r="H1219" s="29" t="str">
        <f>VLOOKUP(A1219,File!$A:$J,8,FALSE)</f>
        <v>Kishorekumar P</v>
      </c>
      <c r="I1219" s="31">
        <f>VLOOKUP(A1219,File!$A:$J,9,FALSE)</f>
        <v>46309</v>
      </c>
      <c r="J1219" s="31" t="str">
        <f>VLOOKUP(A1219,File!$A:$K,11,FALSE)</f>
        <v>Oct 2026</v>
      </c>
      <c r="K1219" s="31" t="str">
        <f>VLOOKUP(A1219,File!$A:$K,10,FALSE)</f>
        <v>In-Training</v>
      </c>
      <c r="L1219" s="31" t="s">
        <v>4</v>
      </c>
      <c r="M1219" t="str">
        <f>VLOOKUP(A1219,Response!$A:$M,7,)</f>
        <v>PG (Paying Guest)</v>
      </c>
      <c r="N1219" t="str">
        <f>VLOOKUP(A1219,Response!$A:$M,8,)</f>
        <v>SPT PG - Egatur</v>
      </c>
      <c r="O1219" s="4">
        <f>VLOOKUP(A1219,Response!$A:$M,10,)</f>
        <v>4</v>
      </c>
      <c r="P1219" t="str">
        <f>VLOOKUP(A1219,Response!$A:$M,12,)</f>
        <v>No</v>
      </c>
      <c r="Q1219" t="str">
        <f>VLOOKUP(A1219,Response!$A:$M,11,)</f>
        <v>Siruseri</v>
      </c>
      <c r="R1219" t="s">
        <v>19</v>
      </c>
      <c r="S1219" s="39" t="s">
        <v>37</v>
      </c>
    </row>
    <row r="1220" spans="1:19">
      <c r="A1220" s="3">
        <v>2521146</v>
      </c>
      <c r="B1220" t="str">
        <f>VLOOKUP(A1220,File!$A:$J,2,FALSE)</f>
        <v>Banne Venkat Pavan</v>
      </c>
      <c r="C1220" s="29">
        <f>VLOOKUP(A1220,File!$A:$J,5,FALSE)</f>
        <v>46210</v>
      </c>
      <c r="D1220" s="29" t="str">
        <f>VLOOKUP(A1220,File!$A:$J,3,FALSE)</f>
        <v>Male</v>
      </c>
      <c r="E1220" s="29" t="str">
        <f>VLOOKUP(A1220,File!$A:$J,4,FALSE)</f>
        <v>FTE</v>
      </c>
      <c r="F1220" s="29" t="str">
        <f>VLOOKUP(A1220,File!$A:$J,6,FALSE)</f>
        <v>Chennai</v>
      </c>
      <c r="G1220" s="29" t="str">
        <f>VLOOKUP(A1220,File!$A:$J,7,FALSE)</f>
        <v>CS26CS007</v>
      </c>
      <c r="H1220" s="29" t="str">
        <f>VLOOKUP(A1220,File!$A:$J,8,FALSE)</f>
        <v>Lawrance M</v>
      </c>
      <c r="I1220" s="31">
        <f>VLOOKUP(A1220,File!$A:$J,9,FALSE)</f>
        <v>46272</v>
      </c>
      <c r="J1220" s="31" t="str">
        <f>VLOOKUP(A1220,File!$A:$K,11,FALSE)</f>
        <v>Sep 2026</v>
      </c>
      <c r="K1220" s="31" t="str">
        <f>VLOOKUP(A1220,File!$A:$K,10,FALSE)</f>
        <v>In-Training</v>
      </c>
      <c r="L1220" s="31" t="s">
        <v>4</v>
      </c>
      <c r="M1220" t="str">
        <f>VLOOKUP(A1220,Response!$A:$M,7,)</f>
        <v>PG (Paying Guest)</v>
      </c>
      <c r="N1220" t="str">
        <f>VLOOKUP(A1220,Response!$A:$M,8,)</f>
        <v>SPT PG for gents</v>
      </c>
      <c r="O1220" s="4">
        <f>VLOOKUP(A1220,Response!$A:$M,10,)</f>
        <v>1</v>
      </c>
      <c r="P1220" t="str">
        <f>VLOOKUP(A1220,Response!$A:$M,12,)</f>
        <v>No</v>
      </c>
      <c r="Q1220" t="str">
        <f>VLOOKUP(A1220,Response!$A:$M,11,)</f>
        <v>Egattur</v>
      </c>
      <c r="R1220" t="s">
        <v>19</v>
      </c>
      <c r="S1220" s="39" t="s">
        <v>37</v>
      </c>
    </row>
    <row r="1221" spans="1:19">
      <c r="A1221" s="3">
        <v>2523417</v>
      </c>
      <c r="B1221" t="str">
        <f>VLOOKUP(A1221,File!$A:$J,2,FALSE)</f>
        <v>Police Niranjan Reddy</v>
      </c>
      <c r="C1221" s="29">
        <f>VLOOKUP(A1221,File!$A:$J,5,FALSE)</f>
        <v>46219</v>
      </c>
      <c r="D1221" s="29" t="str">
        <f>VLOOKUP(A1221,File!$A:$J,3,FALSE)</f>
        <v>Male</v>
      </c>
      <c r="E1221" s="29" t="str">
        <f>VLOOKUP(A1221,File!$A:$J,4,FALSE)</f>
        <v>FTE</v>
      </c>
      <c r="F1221" s="29" t="str">
        <f>VLOOKUP(A1221,File!$A:$J,6,FALSE)</f>
        <v>Chennai</v>
      </c>
      <c r="G1221" s="29" t="str">
        <f>VLOOKUP(A1221,File!$A:$J,7,FALSE)</f>
        <v>CS26CS009</v>
      </c>
      <c r="H1221" s="29" t="str">
        <f>VLOOKUP(A1221,File!$A:$J,8,FALSE)</f>
        <v>Laksiya Vijayendran</v>
      </c>
      <c r="I1221" s="31">
        <f>VLOOKUP(A1221,File!$A:$J,9,FALSE)</f>
        <v>46309</v>
      </c>
      <c r="J1221" s="31" t="str">
        <f>VLOOKUP(A1221,File!$A:$K,11,FALSE)</f>
        <v>Oct 2026</v>
      </c>
      <c r="K1221" s="31" t="str">
        <f>VLOOKUP(A1221,File!$A:$K,10,FALSE)</f>
        <v>In-Training</v>
      </c>
      <c r="L1221" s="31" t="s">
        <v>4</v>
      </c>
      <c r="M1221" t="str">
        <f>VLOOKUP(A1221,Response!$A:$M,7,)</f>
        <v>PG (Paying Guest)</v>
      </c>
      <c r="N1221" t="str">
        <f>VLOOKUP(A1221,Response!$A:$M,8,)</f>
        <v>SPT PG for gents, Beside Sahasra PG for mens,Eggatur</v>
      </c>
      <c r="O1221" s="4">
        <f>VLOOKUP(A1221,Response!$A:$M,10,)</f>
        <v>4</v>
      </c>
      <c r="P1221" t="str">
        <f>VLOOKUP(A1221,Response!$A:$M,12,)</f>
        <v>No</v>
      </c>
      <c r="Q1221" t="str">
        <f>VLOOKUP(A1221,Response!$A:$M,11,)</f>
        <v>Egattur</v>
      </c>
      <c r="R1221" t="s">
        <v>19</v>
      </c>
      <c r="S1221" s="39" t="s">
        <v>37</v>
      </c>
    </row>
    <row r="1222" spans="1:19">
      <c r="A1222" s="3">
        <v>2521050</v>
      </c>
      <c r="B1222" t="str">
        <f>VLOOKUP(A1222,File!$A:$J,2,FALSE)</f>
        <v>Mogalapalli Aravind Reddy</v>
      </c>
      <c r="C1222" s="29">
        <f>VLOOKUP(A1222,File!$A:$J,5,FALSE)</f>
        <v>46210</v>
      </c>
      <c r="D1222" s="29" t="str">
        <f>VLOOKUP(A1222,File!$A:$J,3,FALSE)</f>
        <v>Male</v>
      </c>
      <c r="E1222" s="29" t="str">
        <f>VLOOKUP(A1222,File!$A:$J,4,FALSE)</f>
        <v>FTE</v>
      </c>
      <c r="F1222" s="29" t="str">
        <f>VLOOKUP(A1222,File!$A:$J,6,FALSE)</f>
        <v>Chennai</v>
      </c>
      <c r="G1222" s="29" t="str">
        <f>VLOOKUP(A1222,File!$A:$J,7,FALSE)</f>
        <v>CIS26SN001</v>
      </c>
      <c r="H1222" s="29" t="str">
        <f>VLOOKUP(A1222,File!$A:$J,8,FALSE)</f>
        <v>Ashiya Begam S</v>
      </c>
      <c r="I1222" s="31">
        <f>VLOOKUP(A1222,File!$A:$J,9,FALSE)</f>
        <v>46281</v>
      </c>
      <c r="J1222" s="31" t="str">
        <f>VLOOKUP(A1222,File!$A:$K,11,FALSE)</f>
        <v>Sep 2026</v>
      </c>
      <c r="K1222" s="31" t="str">
        <f>VLOOKUP(A1222,File!$A:$K,10,FALSE)</f>
        <v>In-Training</v>
      </c>
      <c r="L1222" s="31" t="s">
        <v>4</v>
      </c>
      <c r="M1222" t="str">
        <f>VLOOKUP(A1222,Response!$A:$M,7,)</f>
        <v>PG (Paying Guest)</v>
      </c>
      <c r="N1222" t="str">
        <f>VLOOKUP(A1222,Response!$A:$M,8,)</f>
        <v>SPT Pg for Gents, Egattur</v>
      </c>
      <c r="O1222" s="4">
        <f>VLOOKUP(A1222,Response!$A:$M,10,)</f>
        <v>1</v>
      </c>
      <c r="P1222" t="str">
        <f>VLOOKUP(A1222,Response!$A:$M,12,)</f>
        <v>No</v>
      </c>
      <c r="Q1222" t="str">
        <f>VLOOKUP(A1222,Response!$A:$M,11,)</f>
        <v>Egattur</v>
      </c>
      <c r="R1222" t="s">
        <v>19</v>
      </c>
      <c r="S1222" s="39" t="s">
        <v>37</v>
      </c>
    </row>
    <row r="1223" spans="1:19">
      <c r="A1223" s="3">
        <v>2521100</v>
      </c>
      <c r="B1223" t="str">
        <f>VLOOKUP(A1223,File!$A:$J,2,FALSE)</f>
        <v>Gowtham Tirumalakonda</v>
      </c>
      <c r="C1223" s="29">
        <f>VLOOKUP(A1223,File!$A:$J,5,FALSE)</f>
        <v>46210</v>
      </c>
      <c r="D1223" s="29" t="str">
        <f>VLOOKUP(A1223,File!$A:$J,3,FALSE)</f>
        <v>Male</v>
      </c>
      <c r="E1223" s="29" t="str">
        <f>VLOOKUP(A1223,File!$A:$J,4,FALSE)</f>
        <v>FTE</v>
      </c>
      <c r="F1223" s="29" t="str">
        <f>VLOOKUP(A1223,File!$A:$J,6,FALSE)</f>
        <v>Chennai</v>
      </c>
      <c r="G1223" s="29" t="str">
        <f>VLOOKUP(A1223,File!$A:$J,7,FALSE)</f>
        <v>SNBG26SN003</v>
      </c>
      <c r="H1223" s="29" t="str">
        <f>VLOOKUP(A1223,File!$A:$J,8,FALSE)</f>
        <v>Lawrance M</v>
      </c>
      <c r="I1223" s="31">
        <f>VLOOKUP(A1223,File!$A:$J,9,FALSE)</f>
        <v>46281</v>
      </c>
      <c r="J1223" s="31" t="str">
        <f>VLOOKUP(A1223,File!$A:$K,11,FALSE)</f>
        <v>Sep 2026</v>
      </c>
      <c r="K1223" s="31" t="str">
        <f>VLOOKUP(A1223,File!$A:$K,10,FALSE)</f>
        <v>In-Training</v>
      </c>
      <c r="L1223" s="31" t="s">
        <v>4</v>
      </c>
      <c r="M1223" t="str">
        <f>VLOOKUP(A1223,Response!$A:$M,7,)</f>
        <v>PG (Paying Guest)</v>
      </c>
      <c r="N1223" t="str">
        <f>VLOOKUP(A1223,Response!$A:$M,8,)</f>
        <v>SPT PG FOR GENTS, Egattur</v>
      </c>
      <c r="O1223" s="4">
        <f>VLOOKUP(A1223,Response!$A:$M,10,)</f>
        <v>1</v>
      </c>
      <c r="P1223" t="str">
        <f>VLOOKUP(A1223,Response!$A:$M,12,)</f>
        <v>No</v>
      </c>
      <c r="Q1223" t="str">
        <f>VLOOKUP(A1223,Response!$A:$M,11,)</f>
        <v>Egattur</v>
      </c>
      <c r="R1223" t="s">
        <v>19</v>
      </c>
      <c r="S1223" s="39" t="s">
        <v>37</v>
      </c>
    </row>
    <row r="1224" spans="1:19">
      <c r="A1224" s="3">
        <v>2521263</v>
      </c>
      <c r="B1224" t="str">
        <f>VLOOKUP(A1224,File!$A:$J,2,FALSE)</f>
        <v>Gajjala Shashidhar Reddy</v>
      </c>
      <c r="C1224" s="29">
        <f>VLOOKUP(A1224,File!$A:$J,5,FALSE)</f>
        <v>46210</v>
      </c>
      <c r="D1224" s="29" t="str">
        <f>VLOOKUP(A1224,File!$A:$J,3,FALSE)</f>
        <v>Male</v>
      </c>
      <c r="E1224" s="29" t="str">
        <f>VLOOKUP(A1224,File!$A:$J,4,FALSE)</f>
        <v>FTE</v>
      </c>
      <c r="F1224" s="29" t="str">
        <f>VLOOKUP(A1224,File!$A:$J,6,FALSE)</f>
        <v>Chennai</v>
      </c>
      <c r="G1224" s="29" t="str">
        <f>VLOOKUP(A1224,File!$A:$J,7,FALSE)</f>
        <v>SNBG26SN004</v>
      </c>
      <c r="H1224" s="29" t="str">
        <f>VLOOKUP(A1224,File!$A:$J,8,FALSE)</f>
        <v>Kishorekumar P</v>
      </c>
      <c r="I1224" s="31">
        <f>VLOOKUP(A1224,File!$A:$J,9,FALSE)</f>
        <v>46303</v>
      </c>
      <c r="J1224" s="31" t="str">
        <f>VLOOKUP(A1224,File!$A:$K,11,FALSE)</f>
        <v>Oct 2026</v>
      </c>
      <c r="K1224" s="31" t="str">
        <f>VLOOKUP(A1224,File!$A:$K,10,FALSE)</f>
        <v>In-Training</v>
      </c>
      <c r="L1224" s="31" t="s">
        <v>4</v>
      </c>
      <c r="M1224" t="str">
        <f>VLOOKUP(A1224,Response!$A:$M,7,)</f>
        <v>PG (Paying Guest)</v>
      </c>
      <c r="N1224" t="str">
        <f>VLOOKUP(A1224,Response!$A:$M,8,)</f>
        <v>SPT PG for Gents, Egattur</v>
      </c>
      <c r="O1224" s="4">
        <f>VLOOKUP(A1224,Response!$A:$M,10,)</f>
        <v>1</v>
      </c>
      <c r="P1224" t="str">
        <f>VLOOKUP(A1224,Response!$A:$M,12,)</f>
        <v>No</v>
      </c>
      <c r="Q1224" t="str">
        <f>VLOOKUP(A1224,Response!$A:$M,11,)</f>
        <v>Egattur</v>
      </c>
      <c r="R1224" t="s">
        <v>19</v>
      </c>
      <c r="S1224" s="39" t="s">
        <v>37</v>
      </c>
    </row>
    <row r="1225" spans="1:19">
      <c r="A1225" s="3">
        <v>2521308</v>
      </c>
      <c r="B1225" t="str">
        <f>VLOOKUP(A1225,File!$A:$J,2,FALSE)</f>
        <v>Shaik Abdul Mueen</v>
      </c>
      <c r="C1225" s="29">
        <f>VLOOKUP(A1225,File!$A:$J,5,FALSE)</f>
        <v>46210</v>
      </c>
      <c r="D1225" s="29" t="str">
        <f>VLOOKUP(A1225,File!$A:$J,3,FALSE)</f>
        <v>Male</v>
      </c>
      <c r="E1225" s="29" t="str">
        <f>VLOOKUP(A1225,File!$A:$J,4,FALSE)</f>
        <v>FTE</v>
      </c>
      <c r="F1225" s="29" t="str">
        <f>VLOOKUP(A1225,File!$A:$J,6,FALSE)</f>
        <v>Chennai</v>
      </c>
      <c r="G1225" s="29" t="str">
        <f>VLOOKUP(A1225,File!$A:$J,7,FALSE)</f>
        <v>SNBG26SN003</v>
      </c>
      <c r="H1225" s="29" t="str">
        <f>VLOOKUP(A1225,File!$A:$J,8,FALSE)</f>
        <v>Lawrance M</v>
      </c>
      <c r="I1225" s="31">
        <f>VLOOKUP(A1225,File!$A:$J,9,FALSE)</f>
        <v>46281</v>
      </c>
      <c r="J1225" s="31" t="str">
        <f>VLOOKUP(A1225,File!$A:$K,11,FALSE)</f>
        <v>Sep 2026</v>
      </c>
      <c r="K1225" s="31" t="str">
        <f>VLOOKUP(A1225,File!$A:$K,10,FALSE)</f>
        <v>In-Training</v>
      </c>
      <c r="L1225" s="31" t="s">
        <v>4</v>
      </c>
      <c r="M1225" t="str">
        <f>VLOOKUP(A1225,Response!$A:$M,7,)</f>
        <v>PG (Paying Guest)</v>
      </c>
      <c r="N1225" t="str">
        <f>VLOOKUP(A1225,Response!$A:$M,8,)</f>
        <v>SPT PG FOR GENTS, Egattur</v>
      </c>
      <c r="O1225" s="4">
        <f>VLOOKUP(A1225,Response!$A:$M,10,)</f>
        <v>1</v>
      </c>
      <c r="P1225" t="str">
        <f>VLOOKUP(A1225,Response!$A:$M,12,)</f>
        <v>No</v>
      </c>
      <c r="Q1225" t="str">
        <f>VLOOKUP(A1225,Response!$A:$M,11,)</f>
        <v>Egattur</v>
      </c>
      <c r="R1225" t="s">
        <v>19</v>
      </c>
      <c r="S1225" s="39" t="s">
        <v>37</v>
      </c>
    </row>
    <row r="1226" spans="1:19">
      <c r="A1226" s="3">
        <v>2529532</v>
      </c>
      <c r="B1226" t="str">
        <f>VLOOKUP(A1226,File!$A:$J,2,FALSE)</f>
        <v>Kolluru Vikki</v>
      </c>
      <c r="C1226" s="29">
        <f>VLOOKUP(A1226,File!$A:$J,5,FALSE)</f>
        <v>46245</v>
      </c>
      <c r="D1226" s="29" t="str">
        <f>VLOOKUP(A1226,File!$A:$J,3,FALSE)</f>
        <v>Male</v>
      </c>
      <c r="E1226" s="29" t="str">
        <f>VLOOKUP(A1226,File!$A:$J,4,FALSE)</f>
        <v>FTE</v>
      </c>
      <c r="F1226" s="29" t="str">
        <f>VLOOKUP(A1226,File!$A:$J,6,FALSE)</f>
        <v>Chennai</v>
      </c>
      <c r="G1226" s="29" t="str">
        <f>VLOOKUP(A1226,File!$A:$J,7,FALSE)</f>
        <v>CIS26MCPT023</v>
      </c>
      <c r="H1226" s="29" t="str">
        <f>VLOOKUP(A1226,File!$A:$J,8,FALSE)</f>
        <v>Kishorekumar P</v>
      </c>
      <c r="I1226" s="31">
        <f>VLOOKUP(A1226,File!$A:$J,9,FALSE)</f>
        <v>46359</v>
      </c>
      <c r="J1226" s="31" t="str">
        <f>VLOOKUP(A1226,File!$A:$K,11,FALSE)</f>
        <v>Dec 2026</v>
      </c>
      <c r="K1226" s="31" t="str">
        <f>VLOOKUP(A1226,File!$A:$K,10,FALSE)</f>
        <v>In-Training</v>
      </c>
      <c r="L1226" s="31" t="s">
        <v>4</v>
      </c>
      <c r="M1226" t="str">
        <f>VLOOKUP(A1226,Response!$A:$M,7,)</f>
        <v>PG (Paying Guest)</v>
      </c>
      <c r="N1226" t="str">
        <f>VLOOKUP(A1226,Response!$A:$M,8,)</f>
        <v>SPT PG for Gents, Egattur</v>
      </c>
      <c r="O1226" s="4">
        <f>VLOOKUP(A1226,Response!$A:$M,10,)</f>
        <v>3</v>
      </c>
      <c r="P1226" t="str">
        <f>VLOOKUP(A1226,Response!$A:$M,12,)</f>
        <v>No</v>
      </c>
      <c r="Q1226" t="str">
        <f>VLOOKUP(A1226,Response!$A:$M,11,)</f>
        <v>Egattur</v>
      </c>
      <c r="R1226" t="s">
        <v>19</v>
      </c>
      <c r="S1226" s="39" t="s">
        <v>37</v>
      </c>
    </row>
    <row r="1227" spans="1:19">
      <c r="A1227" s="3">
        <v>2519594</v>
      </c>
      <c r="B1227" t="str">
        <f>VLOOKUP(A1227,File!$A:$J,2,FALSE)</f>
        <v>Aluru Vasu</v>
      </c>
      <c r="C1227" s="29">
        <f>VLOOKUP(A1227,File!$A:$J,5,FALSE)</f>
        <v>46205</v>
      </c>
      <c r="D1227" s="29" t="str">
        <f>VLOOKUP(A1227,File!$A:$J,3,FALSE)</f>
        <v>Male</v>
      </c>
      <c r="E1227" s="29" t="str">
        <f>VLOOKUP(A1227,File!$A:$J,4,FALSE)</f>
        <v>FTE</v>
      </c>
      <c r="F1227" s="29" t="str">
        <f>VLOOKUP(A1227,File!$A:$J,6,FALSE)</f>
        <v>Chennai</v>
      </c>
      <c r="G1227" s="29" t="str">
        <f>VLOOKUP(A1227,File!$A:$J,7,FALSE)</f>
        <v>CIS26UNIX003</v>
      </c>
      <c r="H1227" s="29" t="str">
        <f>VLOOKUP(A1227,File!$A:$J,8,FALSE)</f>
        <v>Haritha P</v>
      </c>
      <c r="I1227" s="31">
        <f>VLOOKUP(A1227,File!$A:$J,9,FALSE)</f>
        <v>46289</v>
      </c>
      <c r="J1227" s="31" t="str">
        <f>VLOOKUP(A1227,File!$A:$K,11,FALSE)</f>
        <v>Sep 2026</v>
      </c>
      <c r="K1227" s="31" t="str">
        <f>VLOOKUP(A1227,File!$A:$K,10,FALSE)</f>
        <v>In-Training</v>
      </c>
      <c r="L1227" s="31" t="s">
        <v>4</v>
      </c>
      <c r="M1227" t="str">
        <f>VLOOKUP(A1227,Response!$A:$M,7,)</f>
        <v>PG (Paying Guest)</v>
      </c>
      <c r="N1227" t="str">
        <f>VLOOKUP(A1227,Response!$A:$M,8,)</f>
        <v>SPT PG FOR GENTS, Egattur</v>
      </c>
      <c r="O1227" s="4">
        <f>VLOOKUP(A1227,Response!$A:$M,10,)</f>
        <v>4</v>
      </c>
      <c r="P1227" t="str">
        <f>VLOOKUP(A1227,Response!$A:$M,12,)</f>
        <v>No</v>
      </c>
      <c r="Q1227" t="str">
        <f>VLOOKUP(A1227,Response!$A:$M,11,)</f>
        <v>Egattur</v>
      </c>
      <c r="R1227" t="s">
        <v>19</v>
      </c>
      <c r="S1227" s="39" t="s">
        <v>37</v>
      </c>
    </row>
    <row r="1228" spans="1:19">
      <c r="A1228" s="3">
        <v>2519715</v>
      </c>
      <c r="B1228" t="str">
        <f>VLOOKUP(A1228,File!$A:$J,2,FALSE)</f>
        <v>Botta Venu</v>
      </c>
      <c r="C1228" s="29">
        <f>VLOOKUP(A1228,File!$A:$J,5,FALSE)</f>
        <v>46205</v>
      </c>
      <c r="D1228" s="29" t="str">
        <f>VLOOKUP(A1228,File!$A:$J,3,FALSE)</f>
        <v>Male</v>
      </c>
      <c r="E1228" s="29" t="str">
        <f>VLOOKUP(A1228,File!$A:$J,4,FALSE)</f>
        <v>FTE</v>
      </c>
      <c r="F1228" s="29" t="str">
        <f>VLOOKUP(A1228,File!$A:$J,6,FALSE)</f>
        <v>Chennai</v>
      </c>
      <c r="G1228" s="29" t="str">
        <f>VLOOKUP(A1228,File!$A:$J,7,FALSE)</f>
        <v>CIS26UNIX004</v>
      </c>
      <c r="H1228" s="29" t="str">
        <f>VLOOKUP(A1228,File!$A:$J,8,FALSE)</f>
        <v>Haritha P</v>
      </c>
      <c r="I1228" s="31">
        <f>VLOOKUP(A1228,File!$A:$J,9,FALSE)</f>
        <v>46289</v>
      </c>
      <c r="J1228" s="31" t="str">
        <f>VLOOKUP(A1228,File!$A:$K,11,FALSE)</f>
        <v>Sep 2026</v>
      </c>
      <c r="K1228" s="31" t="str">
        <f>VLOOKUP(A1228,File!$A:$K,10,FALSE)</f>
        <v>In-Training</v>
      </c>
      <c r="L1228" s="31" t="s">
        <v>4</v>
      </c>
      <c r="M1228" t="str">
        <f>VLOOKUP(A1228,Response!$A:$M,7,)</f>
        <v>PG (Paying Guest)</v>
      </c>
      <c r="N1228" t="str">
        <f>VLOOKUP(A1228,Response!$A:$M,8,)</f>
        <v>SPT PG FOR GENTS, Egattur</v>
      </c>
      <c r="O1228" s="4">
        <f>VLOOKUP(A1228,Response!$A:$M,10,)</f>
        <v>4</v>
      </c>
      <c r="P1228" t="str">
        <f>VLOOKUP(A1228,Response!$A:$M,12,)</f>
        <v>Yes</v>
      </c>
      <c r="Q1228" t="str">
        <f>VLOOKUP(A1228,Response!$A:$M,11,)</f>
        <v>Egattur</v>
      </c>
      <c r="R1228" t="s">
        <v>19</v>
      </c>
      <c r="S1228" s="39" t="s">
        <v>37</v>
      </c>
    </row>
    <row r="1229" spans="1:19">
      <c r="A1229" s="3">
        <v>2521139</v>
      </c>
      <c r="B1229" t="str">
        <f>VLOOKUP(A1229,File!$A:$J,2,FALSE)</f>
        <v>Praneeth Reddy Ambati</v>
      </c>
      <c r="C1229" s="29">
        <f>VLOOKUP(A1229,File!$A:$J,5,FALSE)</f>
        <v>46210</v>
      </c>
      <c r="D1229" s="29" t="str">
        <f>VLOOKUP(A1229,File!$A:$J,3,FALSE)</f>
        <v>Male</v>
      </c>
      <c r="E1229" s="29" t="str">
        <f>VLOOKUP(A1229,File!$A:$J,4,FALSE)</f>
        <v>FTE</v>
      </c>
      <c r="F1229" s="29" t="str">
        <f>VLOOKUP(A1229,File!$A:$J,6,FALSE)</f>
        <v>Chennai</v>
      </c>
      <c r="G1229" s="29" t="str">
        <f>VLOOKUP(A1229,File!$A:$J,7,FALSE)</f>
        <v>SNBG26SN003</v>
      </c>
      <c r="H1229" s="29" t="str">
        <f>VLOOKUP(A1229,File!$A:$J,8,FALSE)</f>
        <v>Lawrance M</v>
      </c>
      <c r="I1229" s="31">
        <f>VLOOKUP(A1229,File!$A:$J,9,FALSE)</f>
        <v>46281</v>
      </c>
      <c r="J1229" s="31" t="str">
        <f>VLOOKUP(A1229,File!$A:$K,11,FALSE)</f>
        <v>Sep 2026</v>
      </c>
      <c r="K1229" s="31" t="str">
        <f>VLOOKUP(A1229,File!$A:$K,10,FALSE)</f>
        <v>In-Training</v>
      </c>
      <c r="L1229" s="31" t="s">
        <v>4</v>
      </c>
      <c r="M1229" t="str">
        <f>VLOOKUP(A1229,Response!$A:$M,7,)</f>
        <v>PG (Paying Guest)</v>
      </c>
      <c r="N1229" t="str">
        <f>VLOOKUP(A1229,Response!$A:$M,8,)</f>
        <v>SPT pg for gents, egattur, chennai Tamilnadu</v>
      </c>
      <c r="O1229" s="4">
        <f>VLOOKUP(A1229,Response!$A:$M,10,)</f>
        <v>1</v>
      </c>
      <c r="P1229" t="str">
        <f>VLOOKUP(A1229,Response!$A:$M,12,)</f>
        <v>No</v>
      </c>
      <c r="Q1229" t="str">
        <f>VLOOKUP(A1229,Response!$A:$M,11,)</f>
        <v>Siruseri</v>
      </c>
      <c r="R1229" t="s">
        <v>19</v>
      </c>
      <c r="S1229" s="39" t="s">
        <v>37</v>
      </c>
    </row>
    <row r="1230" spans="1:19">
      <c r="A1230" s="3">
        <v>2523448</v>
      </c>
      <c r="B1230" t="str">
        <f>VLOOKUP(A1230,File!$A:$J,2,FALSE)</f>
        <v>Mittapally Adithya</v>
      </c>
      <c r="C1230" s="29">
        <f>VLOOKUP(A1230,File!$A:$J,5,FALSE)</f>
        <v>46219</v>
      </c>
      <c r="D1230" s="29" t="str">
        <f>VLOOKUP(A1230,File!$A:$J,3,FALSE)</f>
        <v>Male</v>
      </c>
      <c r="E1230" s="29" t="str">
        <f>VLOOKUP(A1230,File!$A:$J,4,FALSE)</f>
        <v>FTE</v>
      </c>
      <c r="F1230" s="29" t="str">
        <f>VLOOKUP(A1230,File!$A:$J,6,FALSE)</f>
        <v>Chennai</v>
      </c>
      <c r="G1230" s="29" t="str">
        <f>VLOOKUP(A1230,File!$A:$J,7,FALSE)</f>
        <v>CS26CS010</v>
      </c>
      <c r="H1230" s="29" t="str">
        <f>VLOOKUP(A1230,File!$A:$J,8,FALSE)</f>
        <v>Laksiya Vijayendran</v>
      </c>
      <c r="I1230" s="31">
        <f>VLOOKUP(A1230,File!$A:$J,9,FALSE)</f>
        <v>46314</v>
      </c>
      <c r="J1230" s="31" t="str">
        <f>VLOOKUP(A1230,File!$A:$K,11,FALSE)</f>
        <v>Oct 2026</v>
      </c>
      <c r="K1230" s="31" t="str">
        <f>VLOOKUP(A1230,File!$A:$K,10,FALSE)</f>
        <v>In-Training</v>
      </c>
      <c r="L1230" s="31" t="s">
        <v>4</v>
      </c>
      <c r="M1230" t="str">
        <f>VLOOKUP(A1230,Response!$A:$M,7,)</f>
        <v>PG (Paying Guest)</v>
      </c>
      <c r="N1230" t="str">
        <f>VLOOKUP(A1230,Response!$A:$M,8,)</f>
        <v>SPT PG FOR GENTS, Egattur, Chennai, Tamilnadu - 600130</v>
      </c>
      <c r="O1230" s="4">
        <f>VLOOKUP(A1230,Response!$A:$M,10,)</f>
        <v>1</v>
      </c>
      <c r="P1230" t="str">
        <f>VLOOKUP(A1230,Response!$A:$M,12,)</f>
        <v>No</v>
      </c>
      <c r="Q1230" t="str">
        <f>VLOOKUP(A1230,Response!$A:$M,11,)</f>
        <v>Egattur</v>
      </c>
      <c r="R1230" t="s">
        <v>19</v>
      </c>
      <c r="S1230" s="39" t="s">
        <v>37</v>
      </c>
    </row>
    <row r="1231" spans="1:19">
      <c r="A1231" s="3">
        <v>2519593</v>
      </c>
      <c r="B1231" t="str">
        <f>VLOOKUP(A1231,File!$A:$J,2,FALSE)</f>
        <v>Kalapati Dinesh</v>
      </c>
      <c r="C1231" s="29">
        <f>VLOOKUP(A1231,File!$A:$J,5,FALSE)</f>
        <v>46205</v>
      </c>
      <c r="D1231" s="29" t="str">
        <f>VLOOKUP(A1231,File!$A:$J,3,FALSE)</f>
        <v>Male</v>
      </c>
      <c r="E1231" s="29" t="str">
        <f>VLOOKUP(A1231,File!$A:$J,4,FALSE)</f>
        <v>FTE</v>
      </c>
      <c r="F1231" s="29" t="str">
        <f>VLOOKUP(A1231,File!$A:$J,6,FALSE)</f>
        <v>Chennai</v>
      </c>
      <c r="G1231" s="29" t="str">
        <f>VLOOKUP(A1231,File!$A:$J,7,FALSE)</f>
        <v>CIS26UNIX003</v>
      </c>
      <c r="H1231" s="29" t="str">
        <f>VLOOKUP(A1231,File!$A:$J,8,FALSE)</f>
        <v>Haritha P</v>
      </c>
      <c r="I1231" s="31">
        <f>VLOOKUP(A1231,File!$A:$J,9,FALSE)</f>
        <v>46289</v>
      </c>
      <c r="J1231" s="31" t="str">
        <f>VLOOKUP(A1231,File!$A:$K,11,FALSE)</f>
        <v>Sep 2026</v>
      </c>
      <c r="K1231" s="31" t="str">
        <f>VLOOKUP(A1231,File!$A:$K,10,FALSE)</f>
        <v>In-Training</v>
      </c>
      <c r="L1231" s="31" t="s">
        <v>4</v>
      </c>
      <c r="M1231" t="str">
        <f>VLOOKUP(A1231,Response!$A:$M,7,)</f>
        <v>PG (Paying Guest)</v>
      </c>
      <c r="N1231" t="str">
        <f>VLOOKUP(A1231,Response!$A:$M,8,)</f>
        <v>SPT PG FOR GENTS, Egattur, Near SIPCOT, Chennai, Tamil Nadu 600130</v>
      </c>
      <c r="O1231" s="4">
        <f>VLOOKUP(A1231,Response!$A:$M,10,)</f>
        <v>2</v>
      </c>
      <c r="P1231" t="str">
        <f>VLOOKUP(A1231,Response!$A:$M,12,)</f>
        <v>No</v>
      </c>
      <c r="Q1231" t="str">
        <f>VLOOKUP(A1231,Response!$A:$M,11,)</f>
        <v>Egattur</v>
      </c>
      <c r="R1231" t="s">
        <v>19</v>
      </c>
      <c r="S1231" s="39" t="s">
        <v>37</v>
      </c>
    </row>
    <row r="1232" spans="1:19">
      <c r="A1232" s="3">
        <v>2529537</v>
      </c>
      <c r="B1232" t="str">
        <f>VLOOKUP(A1232,File!$A:$J,2,FALSE)</f>
        <v>Samineni Harish Kumar</v>
      </c>
      <c r="C1232" s="29">
        <f>VLOOKUP(A1232,File!$A:$J,5,FALSE)</f>
        <v>46245</v>
      </c>
      <c r="D1232" s="29" t="str">
        <f>VLOOKUP(A1232,File!$A:$J,3,FALSE)</f>
        <v>Male</v>
      </c>
      <c r="E1232" s="29" t="str">
        <f>VLOOKUP(A1232,File!$A:$J,4,FALSE)</f>
        <v>FTE</v>
      </c>
      <c r="F1232" s="29" t="str">
        <f>VLOOKUP(A1232,File!$A:$J,6,FALSE)</f>
        <v>Chennai</v>
      </c>
      <c r="G1232" s="29" t="str">
        <f>VLOOKUP(A1232,File!$A:$J,7,FALSE)</f>
        <v>CIS26MCPT025</v>
      </c>
      <c r="H1232" s="29" t="str">
        <f>VLOOKUP(A1232,File!$A:$J,8,FALSE)</f>
        <v>Vignesh S</v>
      </c>
      <c r="I1232" s="31">
        <f>VLOOKUP(A1232,File!$A:$J,9,FALSE)</f>
        <v>46359</v>
      </c>
      <c r="J1232" s="31" t="str">
        <f>VLOOKUP(A1232,File!$A:$K,11,FALSE)</f>
        <v>Dec 2026</v>
      </c>
      <c r="K1232" s="31" t="str">
        <f>VLOOKUP(A1232,File!$A:$K,10,FALSE)</f>
        <v>In-Training</v>
      </c>
      <c r="L1232" s="31" t="s">
        <v>4</v>
      </c>
      <c r="M1232" t="str">
        <f>VLOOKUP(A1232,Response!$A:$M,7,)</f>
        <v>PG (Paying Guest)</v>
      </c>
      <c r="N1232" t="str">
        <f>VLOOKUP(A1232,Response!$A:$M,8,)</f>
        <v>SPT pg for gents, near Sahasra pg, Egattur, Chennai.</v>
      </c>
      <c r="O1232" s="4">
        <f>VLOOKUP(A1232,Response!$A:$M,10,)</f>
        <v>2</v>
      </c>
      <c r="P1232" t="str">
        <f>VLOOKUP(A1232,Response!$A:$M,12,)</f>
        <v>No</v>
      </c>
      <c r="Q1232" t="str">
        <f>VLOOKUP(A1232,Response!$A:$M,11,)</f>
        <v>Egattur</v>
      </c>
      <c r="R1232" t="s">
        <v>19</v>
      </c>
      <c r="S1232" s="39" t="s">
        <v>37</v>
      </c>
    </row>
    <row r="1233" spans="1:19">
      <c r="A1233" s="3">
        <v>2521190</v>
      </c>
      <c r="B1233" t="str">
        <f>VLOOKUP(A1233,File!$A:$J,2,FALSE)</f>
        <v>Harshraj Sharma</v>
      </c>
      <c r="C1233" s="29">
        <f>VLOOKUP(A1233,File!$A:$J,5,FALSE)</f>
        <v>46210</v>
      </c>
      <c r="D1233" s="29" t="str">
        <f>VLOOKUP(A1233,File!$A:$J,3,FALSE)</f>
        <v>Male</v>
      </c>
      <c r="E1233" s="29" t="str">
        <f>VLOOKUP(A1233,File!$A:$J,4,FALSE)</f>
        <v>FTE</v>
      </c>
      <c r="F1233" s="29" t="str">
        <f>VLOOKUP(A1233,File!$A:$J,6,FALSE)</f>
        <v>Chennai</v>
      </c>
      <c r="G1233" s="29" t="str">
        <f>VLOOKUP(A1233,File!$A:$J,7,FALSE)</f>
        <v>CM26SFDC006</v>
      </c>
      <c r="H1233" s="29" t="str">
        <f>VLOOKUP(A1233,File!$A:$J,8,FALSE)</f>
        <v>Gayathri Ramachandran</v>
      </c>
      <c r="I1233" s="31">
        <f>VLOOKUP(A1233,File!$A:$J,9,FALSE)</f>
        <v>46337</v>
      </c>
      <c r="J1233" s="31" t="str">
        <f>VLOOKUP(A1233,File!$A:$K,11,FALSE)</f>
        <v>Nov 2026</v>
      </c>
      <c r="K1233" s="31" t="str">
        <f>VLOOKUP(A1233,File!$A:$K,10,FALSE)</f>
        <v>In-Training</v>
      </c>
      <c r="L1233" s="31" t="s">
        <v>4</v>
      </c>
      <c r="M1233" t="str">
        <f>VLOOKUP(A1233,Response!$A:$M,7,)</f>
        <v>PG (Paying Guest)</v>
      </c>
      <c r="N1233" t="str">
        <f>VLOOKUP(A1233,Response!$A:$M,8,)</f>
        <v>SPT PG FOR GENTS, Siruseri</v>
      </c>
      <c r="O1233" s="4">
        <f>VLOOKUP(A1233,Response!$A:$M,10,)</f>
        <v>4</v>
      </c>
      <c r="P1233" t="str">
        <f>VLOOKUP(A1233,Response!$A:$M,12,)</f>
        <v>No</v>
      </c>
      <c r="Q1233" t="str">
        <f>VLOOKUP(A1233,Response!$A:$M,11,)</f>
        <v>Siruseri</v>
      </c>
      <c r="R1233" t="s">
        <v>19</v>
      </c>
      <c r="S1233" s="39" t="s">
        <v>37</v>
      </c>
    </row>
    <row r="1234" spans="1:19">
      <c r="A1234" s="3">
        <v>2521209</v>
      </c>
      <c r="B1234" t="str">
        <f>VLOOKUP(A1234,File!$A:$J,2,FALSE)</f>
        <v>Shubham Kumar</v>
      </c>
      <c r="C1234" s="29">
        <f>VLOOKUP(A1234,File!$A:$J,5,FALSE)</f>
        <v>46210</v>
      </c>
      <c r="D1234" s="29" t="str">
        <f>VLOOKUP(A1234,File!$A:$J,3,FALSE)</f>
        <v>Male</v>
      </c>
      <c r="E1234" s="29" t="str">
        <f>VLOOKUP(A1234,File!$A:$J,4,FALSE)</f>
        <v>FTE</v>
      </c>
      <c r="F1234" s="29" t="str">
        <f>VLOOKUP(A1234,File!$A:$J,6,FALSE)</f>
        <v>Chennai</v>
      </c>
      <c r="G1234" s="29" t="str">
        <f>VLOOKUP(A1234,File!$A:$J,7,FALSE)</f>
        <v>CM26SFDC006</v>
      </c>
      <c r="H1234" s="29" t="str">
        <f>VLOOKUP(A1234,File!$A:$J,8,FALSE)</f>
        <v>Gayathri Ramachandran</v>
      </c>
      <c r="I1234" s="31">
        <f>VLOOKUP(A1234,File!$A:$J,9,FALSE)</f>
        <v>46337</v>
      </c>
      <c r="J1234" s="31" t="str">
        <f>VLOOKUP(A1234,File!$A:$K,11,FALSE)</f>
        <v>Nov 2026</v>
      </c>
      <c r="K1234" s="31" t="str">
        <f>VLOOKUP(A1234,File!$A:$K,10,FALSE)</f>
        <v>In-Training</v>
      </c>
      <c r="L1234" s="31" t="s">
        <v>4</v>
      </c>
      <c r="M1234" t="str">
        <f>VLOOKUP(A1234,Response!$A:$M,7,)</f>
        <v>PG (Paying Guest)</v>
      </c>
      <c r="N1234" t="str">
        <f>VLOOKUP(A1234,Response!$A:$M,8,)</f>
        <v>SPT PG FOR GENTS,Egattur</v>
      </c>
      <c r="O1234" s="4">
        <f>VLOOKUP(A1234,Response!$A:$M,10,)</f>
        <v>1</v>
      </c>
      <c r="P1234" t="str">
        <f>VLOOKUP(A1234,Response!$A:$M,12,)</f>
        <v>No</v>
      </c>
      <c r="Q1234" t="str">
        <f>VLOOKUP(A1234,Response!$A:$M,11,)</f>
        <v>Egattur</v>
      </c>
      <c r="R1234" t="s">
        <v>19</v>
      </c>
      <c r="S1234" s="39" t="s">
        <v>37</v>
      </c>
    </row>
    <row r="1235" spans="1:19">
      <c r="A1235" s="3">
        <v>2533080</v>
      </c>
      <c r="B1235" t="str">
        <f>VLOOKUP(A1235,File!$A:$J,2,FALSE)</f>
        <v>Gunthakanti Venkata Narayana</v>
      </c>
      <c r="C1235" s="29">
        <f>VLOOKUP(A1235,File!$A:$J,5,FALSE)</f>
        <v>46259</v>
      </c>
      <c r="D1235" s="29" t="str">
        <f>VLOOKUP(A1235,File!$A:$J,3,FALSE)</f>
        <v>Male</v>
      </c>
      <c r="E1235" s="29" t="str">
        <f>VLOOKUP(A1235,File!$A:$J,4,FALSE)</f>
        <v>FTE</v>
      </c>
      <c r="F1235" s="29" t="str">
        <f>VLOOKUP(A1235,File!$A:$J,6,FALSE)</f>
        <v>Chennai</v>
      </c>
      <c r="G1235" s="29" t="str">
        <f>VLOOKUP(A1235,File!$A:$J,7,FALSE)</f>
        <v>CIS26SN002</v>
      </c>
      <c r="H1235" s="29" t="str">
        <f>VLOOKUP(A1235,File!$A:$J,8,FALSE)</f>
        <v>Ashiya Begam S</v>
      </c>
      <c r="I1235" s="31">
        <f>VLOOKUP(A1235,File!$A:$J,9,FALSE)</f>
        <v>46358</v>
      </c>
      <c r="J1235" s="31" t="str">
        <f>VLOOKUP(A1235,File!$A:$K,11,FALSE)</f>
        <v>Dec 2026</v>
      </c>
      <c r="K1235" s="31" t="str">
        <f>VLOOKUP(A1235,File!$A:$K,10,FALSE)</f>
        <v>In-Training</v>
      </c>
      <c r="L1235" s="31" t="s">
        <v>4</v>
      </c>
      <c r="M1235" t="str">
        <f>VLOOKUP(A1235,Response!$A:$M,7,)</f>
        <v>PG (Paying Guest)</v>
      </c>
      <c r="N1235" t="str">
        <f>VLOOKUP(A1235,Response!$A:$M,8,)</f>
        <v>SPT PG for Gents,Egattur</v>
      </c>
      <c r="O1235" s="4">
        <f>VLOOKUP(A1235,Response!$A:$M,10,)</f>
        <v>1</v>
      </c>
      <c r="P1235" t="str">
        <f>VLOOKUP(A1235,Response!$A:$M,12,)</f>
        <v>No</v>
      </c>
      <c r="Q1235" t="str">
        <f>VLOOKUP(A1235,Response!$A:$M,11,)</f>
        <v>Egattur</v>
      </c>
      <c r="R1235" t="s">
        <v>19</v>
      </c>
      <c r="S1235" s="39" t="s">
        <v>37</v>
      </c>
    </row>
    <row r="1236" spans="1:19">
      <c r="A1236" s="3">
        <v>2519683</v>
      </c>
      <c r="B1236" t="str">
        <f>VLOOKUP(A1236,File!$A:$J,2,FALSE)</f>
        <v>Vidupulapati Udaysrinivas</v>
      </c>
      <c r="C1236" s="29">
        <f>VLOOKUP(A1236,File!$A:$J,5,FALSE)</f>
        <v>46205</v>
      </c>
      <c r="D1236" s="29" t="str">
        <f>VLOOKUP(A1236,File!$A:$J,3,FALSE)</f>
        <v>Male</v>
      </c>
      <c r="E1236" s="29" t="str">
        <f>VLOOKUP(A1236,File!$A:$J,4,FALSE)</f>
        <v>FTE</v>
      </c>
      <c r="F1236" s="29" t="str">
        <f>VLOOKUP(A1236,File!$A:$J,6,FALSE)</f>
        <v>Chennai</v>
      </c>
      <c r="G1236" s="29" t="str">
        <f>VLOOKUP(A1236,File!$A:$J,7,FALSE)</f>
        <v>CIS26UNIX003</v>
      </c>
      <c r="H1236" s="29" t="str">
        <f>VLOOKUP(A1236,File!$A:$J,8,FALSE)</f>
        <v>Haritha P</v>
      </c>
      <c r="I1236" s="31">
        <f>VLOOKUP(A1236,File!$A:$J,9,FALSE)</f>
        <v>46289</v>
      </c>
      <c r="J1236" s="31" t="str">
        <f>VLOOKUP(A1236,File!$A:$K,11,FALSE)</f>
        <v>Sep 2026</v>
      </c>
      <c r="K1236" s="31" t="str">
        <f>VLOOKUP(A1236,File!$A:$K,10,FALSE)</f>
        <v>In-Training</v>
      </c>
      <c r="L1236" s="31" t="s">
        <v>4</v>
      </c>
      <c r="M1236" t="str">
        <f>VLOOKUP(A1236,Response!$A:$M,7,)</f>
        <v>PG (Paying Guest)</v>
      </c>
      <c r="N1236" t="str">
        <f>VLOOKUP(A1236,Response!$A:$M,8,)</f>
        <v>SPT pg for gents,egattur</v>
      </c>
      <c r="O1236" s="4">
        <f>VLOOKUP(A1236,Response!$A:$M,10,)</f>
        <v>3</v>
      </c>
      <c r="P1236" t="str">
        <f>VLOOKUP(A1236,Response!$A:$M,12,)</f>
        <v>No</v>
      </c>
      <c r="Q1236" t="str">
        <f>VLOOKUP(A1236,Response!$A:$M,11,)</f>
        <v>Egattur</v>
      </c>
      <c r="R1236" t="s">
        <v>19</v>
      </c>
      <c r="S1236" s="39" t="s">
        <v>37</v>
      </c>
    </row>
    <row r="1237" spans="1:19">
      <c r="A1237" s="3">
        <v>2521077</v>
      </c>
      <c r="B1237" t="str">
        <f>VLOOKUP(A1237,File!$A:$J,2,FALSE)</f>
        <v>Narala Sai Simha Reddy</v>
      </c>
      <c r="C1237" s="29">
        <f>VLOOKUP(A1237,File!$A:$J,5,FALSE)</f>
        <v>46210</v>
      </c>
      <c r="D1237" s="29" t="str">
        <f>VLOOKUP(A1237,File!$A:$J,3,FALSE)</f>
        <v>Male</v>
      </c>
      <c r="E1237" s="29" t="str">
        <f>VLOOKUP(A1237,File!$A:$J,4,FALSE)</f>
        <v>FTE</v>
      </c>
      <c r="F1237" s="29" t="str">
        <f>VLOOKUP(A1237,File!$A:$J,6,FALSE)</f>
        <v>Chennai</v>
      </c>
      <c r="G1237" s="29" t="str">
        <f>VLOOKUP(A1237,File!$A:$J,7,FALSE)</f>
        <v>CIS26SN001</v>
      </c>
      <c r="H1237" s="29" t="str">
        <f>VLOOKUP(A1237,File!$A:$J,8,FALSE)</f>
        <v>Ashiya Begam S</v>
      </c>
      <c r="I1237" s="31">
        <f>VLOOKUP(A1237,File!$A:$J,9,FALSE)</f>
        <v>46281</v>
      </c>
      <c r="J1237" s="31" t="str">
        <f>VLOOKUP(A1237,File!$A:$K,11,FALSE)</f>
        <v>Sep 2026</v>
      </c>
      <c r="K1237" s="31" t="str">
        <f>VLOOKUP(A1237,File!$A:$K,10,FALSE)</f>
        <v>In-Training</v>
      </c>
      <c r="L1237" s="31" t="s">
        <v>4</v>
      </c>
      <c r="M1237" t="str">
        <f>VLOOKUP(A1237,Response!$A:$M,7,)</f>
        <v>PG (Paying Guest)</v>
      </c>
      <c r="N1237" t="str">
        <f>VLOOKUP(A1237,Response!$A:$M,8,)</f>
        <v xml:space="preserve">SPT PG FOR GENTS </v>
      </c>
      <c r="O1237" s="4">
        <f>VLOOKUP(A1237,Response!$A:$M,10,)</f>
        <v>4</v>
      </c>
      <c r="P1237" t="str">
        <f>VLOOKUP(A1237,Response!$A:$M,12,)</f>
        <v>No</v>
      </c>
      <c r="Q1237" t="str">
        <f>VLOOKUP(A1237,Response!$A:$M,11,)</f>
        <v>Egattur</v>
      </c>
      <c r="R1237" t="s">
        <v>19</v>
      </c>
      <c r="S1237" s="39" t="s">
        <v>37</v>
      </c>
    </row>
    <row r="1238" spans="1:19">
      <c r="A1238" s="3">
        <v>2521105</v>
      </c>
      <c r="B1238" t="str">
        <f>VLOOKUP(A1238,File!$A:$J,2,FALSE)</f>
        <v>Avudai Nayagam</v>
      </c>
      <c r="C1238" s="29">
        <f>VLOOKUP(A1238,File!$A:$J,5,FALSE)</f>
        <v>46210</v>
      </c>
      <c r="D1238" s="29" t="str">
        <f>VLOOKUP(A1238,File!$A:$J,3,FALSE)</f>
        <v>Male</v>
      </c>
      <c r="E1238" s="29" t="str">
        <f>VLOOKUP(A1238,File!$A:$J,4,FALSE)</f>
        <v>FTE</v>
      </c>
      <c r="F1238" s="29" t="str">
        <f>VLOOKUP(A1238,File!$A:$J,6,FALSE)</f>
        <v>Chennai</v>
      </c>
      <c r="G1238" s="29" t="str">
        <f>VLOOKUP(A1238,File!$A:$J,7,FALSE)</f>
        <v>HPC26DN005</v>
      </c>
      <c r="H1238" s="29" t="str">
        <f>VLOOKUP(A1238,File!$A:$J,8,FALSE)</f>
        <v>Viveka Preethi</v>
      </c>
      <c r="I1238" s="31">
        <f>VLOOKUP(A1238,File!$A:$J,9,FALSE)</f>
        <v>46296</v>
      </c>
      <c r="J1238" s="31" t="str">
        <f>VLOOKUP(A1238,File!$A:$K,11,FALSE)</f>
        <v>Oct 2026</v>
      </c>
      <c r="K1238" s="31" t="str">
        <f>VLOOKUP(A1238,File!$A:$K,10,FALSE)</f>
        <v>In-Training</v>
      </c>
      <c r="L1238" s="31" t="s">
        <v>4</v>
      </c>
      <c r="M1238" t="str">
        <f>VLOOKUP(A1238,Response!$A:$M,7,)</f>
        <v>PG (Paying Guest)</v>
      </c>
      <c r="N1238" t="str">
        <f>VLOOKUP(A1238,Response!$A:$M,8,)</f>
        <v>SR Guest House</v>
      </c>
      <c r="O1238" s="4">
        <f>VLOOKUP(A1238,Response!$A:$M,10,)</f>
        <v>4</v>
      </c>
      <c r="P1238" t="str">
        <f>VLOOKUP(A1238,Response!$A:$M,12,)</f>
        <v>Yes</v>
      </c>
      <c r="Q1238" t="str">
        <f>VLOOKUP(A1238,Response!$A:$M,11,)</f>
        <v>Siruseri</v>
      </c>
      <c r="R1238" t="s">
        <v>19</v>
      </c>
      <c r="S1238" s="39" t="s">
        <v>37</v>
      </c>
    </row>
    <row r="1239" spans="1:19">
      <c r="A1239" s="3">
        <v>2533576</v>
      </c>
      <c r="B1239" t="str">
        <f>VLOOKUP(A1239,File!$A:$J,2,FALSE)</f>
        <v>Omkar Ravindra Matsagar</v>
      </c>
      <c r="C1239" s="29">
        <f>VLOOKUP(A1239,File!$A:$J,5,FALSE)</f>
        <v>46261</v>
      </c>
      <c r="D1239" s="29" t="str">
        <f>VLOOKUP(A1239,File!$A:$J,3,FALSE)</f>
        <v>Male</v>
      </c>
      <c r="E1239" s="29" t="str">
        <f>VLOOKUP(A1239,File!$A:$J,4,FALSE)</f>
        <v>FTE</v>
      </c>
      <c r="F1239" s="29" t="str">
        <f>VLOOKUP(A1239,File!$A:$J,6,FALSE)</f>
        <v>Chennai</v>
      </c>
      <c r="G1239" s="29" t="str">
        <f>VLOOKUP(A1239,File!$A:$J,7,FALSE)</f>
        <v>EPS26SAP038</v>
      </c>
      <c r="H1239" s="29" t="str">
        <f>VLOOKUP(A1239,File!$A:$J,8,FALSE)</f>
        <v>Ajith Ganesan</v>
      </c>
      <c r="I1239" s="31">
        <f>VLOOKUP(A1239,File!$A:$J,9,FALSE)</f>
        <v>46322</v>
      </c>
      <c r="J1239" s="31" t="str">
        <f>VLOOKUP(A1239,File!$A:$K,11,FALSE)</f>
        <v>Oct 2026</v>
      </c>
      <c r="K1239" s="31" t="str">
        <f>VLOOKUP(A1239,File!$A:$K,10,FALSE)</f>
        <v>In-Training</v>
      </c>
      <c r="L1239" s="31" t="s">
        <v>4</v>
      </c>
      <c r="M1239" t="str">
        <f>VLOOKUP(A1239,Response!$A:$M,7,)</f>
        <v>PG (Paying Guest)</v>
      </c>
      <c r="N1239" t="str">
        <f>VLOOKUP(A1239,Response!$A:$M,8,)</f>
        <v>SR guest house</v>
      </c>
      <c r="O1239" s="4">
        <f>VLOOKUP(A1239,Response!$A:$M,10,)</f>
        <v>4</v>
      </c>
      <c r="P1239" t="str">
        <f>VLOOKUP(A1239,Response!$A:$M,12,)</f>
        <v>No</v>
      </c>
      <c r="Q1239" t="str">
        <f>VLOOKUP(A1239,Response!$A:$M,11,)</f>
        <v>Siruseri</v>
      </c>
      <c r="R1239" t="s">
        <v>19</v>
      </c>
      <c r="S1239" s="39" t="s">
        <v>37</v>
      </c>
    </row>
    <row r="1240" spans="1:19">
      <c r="A1240" s="3">
        <v>2526130</v>
      </c>
      <c r="B1240" t="str">
        <f>VLOOKUP(A1240,File!$A:$J,2,FALSE)</f>
        <v>Mohammed Shanid Sulthan</v>
      </c>
      <c r="C1240" s="29">
        <f>VLOOKUP(A1240,File!$A:$J,5,FALSE)</f>
        <v>46231</v>
      </c>
      <c r="D1240" s="29" t="str">
        <f>VLOOKUP(A1240,File!$A:$J,3,FALSE)</f>
        <v>Male</v>
      </c>
      <c r="E1240" s="29" t="str">
        <f>VLOOKUP(A1240,File!$A:$J,4,FALSE)</f>
        <v>FTE</v>
      </c>
      <c r="F1240" s="29" t="str">
        <f>VLOOKUP(A1240,File!$A:$J,6,FALSE)</f>
        <v>Chennai</v>
      </c>
      <c r="G1240" s="29" t="str">
        <f>VLOOKUP(A1240,File!$A:$J,7,FALSE)</f>
        <v>EPS26WD006</v>
      </c>
      <c r="H1240" s="29" t="str">
        <f>VLOOKUP(A1240,File!$A:$J,8,FALSE)</f>
        <v>Vishnupriya Dakshnamurthy</v>
      </c>
      <c r="I1240" s="31">
        <f>VLOOKUP(A1240,File!$A:$J,9,FALSE)</f>
        <v>46353</v>
      </c>
      <c r="J1240" s="31" t="str">
        <f>VLOOKUP(A1240,File!$A:$K,11,FALSE)</f>
        <v>Nov 2026</v>
      </c>
      <c r="K1240" s="31" t="str">
        <f>VLOOKUP(A1240,File!$A:$K,10,FALSE)</f>
        <v>In-Training</v>
      </c>
      <c r="L1240" s="31" t="s">
        <v>4</v>
      </c>
      <c r="M1240" t="str">
        <f>VLOOKUP(A1240,Response!$A:$M,7,)</f>
        <v>PG (Paying Guest)</v>
      </c>
      <c r="N1240" t="str">
        <f>VLOOKUP(A1240,Response!$A:$M,8,)</f>
        <v>SR GUEST HOUSE</v>
      </c>
      <c r="O1240" s="4">
        <f>VLOOKUP(A1240,Response!$A:$M,10,)</f>
        <v>4</v>
      </c>
      <c r="P1240" t="str">
        <f>VLOOKUP(A1240,Response!$A:$M,12,)</f>
        <v>No</v>
      </c>
      <c r="Q1240" t="str">
        <f>VLOOKUP(A1240,Response!$A:$M,11,)</f>
        <v>Egattur</v>
      </c>
      <c r="R1240" t="s">
        <v>19</v>
      </c>
      <c r="S1240" s="39" t="s">
        <v>37</v>
      </c>
    </row>
    <row r="1241" spans="1:19">
      <c r="A1241" s="3">
        <v>2526135</v>
      </c>
      <c r="B1241" t="str">
        <f>VLOOKUP(A1241,File!$A:$J,2,FALSE)</f>
        <v>Vikash L</v>
      </c>
      <c r="C1241" s="29">
        <f>VLOOKUP(A1241,File!$A:$J,5,FALSE)</f>
        <v>46231</v>
      </c>
      <c r="D1241" s="29" t="str">
        <f>VLOOKUP(A1241,File!$A:$J,3,FALSE)</f>
        <v>Male</v>
      </c>
      <c r="E1241" s="29" t="str">
        <f>VLOOKUP(A1241,File!$A:$J,4,FALSE)</f>
        <v>FTE</v>
      </c>
      <c r="F1241" s="29" t="str">
        <f>VLOOKUP(A1241,File!$A:$J,6,FALSE)</f>
        <v>Chennai</v>
      </c>
      <c r="G1241" s="29" t="str">
        <f>VLOOKUP(A1241,File!$A:$J,7,FALSE)</f>
        <v>CIS26DWP024</v>
      </c>
      <c r="H1241" s="29" t="str">
        <f>VLOOKUP(A1241,File!$A:$J,8,FALSE)</f>
        <v>Lakavath Udhaya Bhavana</v>
      </c>
      <c r="I1241" s="31">
        <f>VLOOKUP(A1241,File!$A:$J,9,FALSE)</f>
        <v>46286</v>
      </c>
      <c r="J1241" s="31" t="str">
        <f>VLOOKUP(A1241,File!$A:$K,11,FALSE)</f>
        <v>Sep 2026</v>
      </c>
      <c r="K1241" s="31" t="str">
        <f>VLOOKUP(A1241,File!$A:$K,10,FALSE)</f>
        <v>In-Training</v>
      </c>
      <c r="L1241" s="31" t="s">
        <v>4</v>
      </c>
      <c r="M1241" t="str">
        <f>VLOOKUP(A1241,Response!$A:$M,7,)</f>
        <v>PG (Paying Guest)</v>
      </c>
      <c r="N1241" t="str">
        <f>VLOOKUP(A1241,Response!$A:$M,8,)</f>
        <v xml:space="preserve">Sr guest house </v>
      </c>
      <c r="O1241" s="4">
        <f>VLOOKUP(A1241,Response!$A:$M,10,)</f>
        <v>4</v>
      </c>
      <c r="P1241" t="str">
        <f>VLOOKUP(A1241,Response!$A:$M,12,)</f>
        <v>No</v>
      </c>
      <c r="Q1241" t="str">
        <f>VLOOKUP(A1241,Response!$A:$M,11,)</f>
        <v>Siruseri</v>
      </c>
      <c r="R1241" t="s">
        <v>19</v>
      </c>
      <c r="S1241" s="39" t="s">
        <v>37</v>
      </c>
    </row>
    <row r="1242" spans="1:19">
      <c r="A1242" s="3">
        <v>2533148</v>
      </c>
      <c r="B1242" t="str">
        <f>VLOOKUP(A1242,File!$A:$J,2,FALSE)</f>
        <v>Thiru Mugilan C</v>
      </c>
      <c r="C1242" s="29">
        <f>VLOOKUP(A1242,File!$A:$J,5,FALSE)</f>
        <v>46259</v>
      </c>
      <c r="D1242" s="29" t="str">
        <f>VLOOKUP(A1242,File!$A:$J,3,FALSE)</f>
        <v>Male</v>
      </c>
      <c r="E1242" s="29" t="str">
        <f>VLOOKUP(A1242,File!$A:$J,4,FALSE)</f>
        <v>FTE</v>
      </c>
      <c r="F1242" s="29" t="str">
        <f>VLOOKUP(A1242,File!$A:$J,6,FALSE)</f>
        <v>Chennai</v>
      </c>
      <c r="G1242" s="29" t="str">
        <f>VLOOKUP(A1242,File!$A:$J,7,FALSE)</f>
        <v>CIS26MBG003</v>
      </c>
      <c r="H1242" s="29" t="str">
        <f>VLOOKUP(A1242,File!$A:$J,8,FALSE)</f>
        <v>Kishorekumar P</v>
      </c>
      <c r="I1242" s="31">
        <f>VLOOKUP(A1242,File!$A:$J,9,FALSE)</f>
        <v>46367</v>
      </c>
      <c r="J1242" s="31" t="str">
        <f>VLOOKUP(A1242,File!$A:$K,11,FALSE)</f>
        <v>Dec 2026</v>
      </c>
      <c r="K1242" s="31" t="str">
        <f>VLOOKUP(A1242,File!$A:$K,10,FALSE)</f>
        <v>In-Training</v>
      </c>
      <c r="L1242" s="31" t="s">
        <v>4</v>
      </c>
      <c r="M1242" t="str">
        <f>VLOOKUP(A1242,Response!$A:$M,7,)</f>
        <v>PG (Paying Guest)</v>
      </c>
      <c r="N1242" t="str">
        <f>VLOOKUP(A1242,Response!$A:$M,8,)</f>
        <v>SR Guest house, Egattur</v>
      </c>
      <c r="O1242" s="4">
        <f>VLOOKUP(A1242,Response!$A:$M,10,)</f>
        <v>4</v>
      </c>
      <c r="P1242" t="str">
        <f>VLOOKUP(A1242,Response!$A:$M,12,)</f>
        <v>No</v>
      </c>
      <c r="Q1242" t="str">
        <f>VLOOKUP(A1242,Response!$A:$M,11,)</f>
        <v>Egattur</v>
      </c>
      <c r="R1242" t="s">
        <v>19</v>
      </c>
      <c r="S1242" s="39" t="s">
        <v>37</v>
      </c>
    </row>
    <row r="1243" spans="1:19">
      <c r="A1243" s="3">
        <v>2529618</v>
      </c>
      <c r="B1243" t="str">
        <f>VLOOKUP(A1243,File!$A:$J,2,FALSE)</f>
        <v>Summit Baruah</v>
      </c>
      <c r="C1243" s="29">
        <f>VLOOKUP(A1243,File!$A:$J,5,FALSE)</f>
        <v>46245</v>
      </c>
      <c r="D1243" s="29" t="str">
        <f>VLOOKUP(A1243,File!$A:$J,3,FALSE)</f>
        <v>Male</v>
      </c>
      <c r="E1243" s="29" t="str">
        <f>VLOOKUP(A1243,File!$A:$J,4,FALSE)</f>
        <v>FTE</v>
      </c>
      <c r="F1243" s="29" t="str">
        <f>VLOOKUP(A1243,File!$A:$J,6,FALSE)</f>
        <v>Chennai</v>
      </c>
      <c r="G1243" s="29" t="str">
        <f>VLOOKUP(A1243,File!$A:$J,7,FALSE)</f>
        <v>CIS26MCPT026</v>
      </c>
      <c r="H1243" s="29" t="str">
        <f>VLOOKUP(A1243,File!$A:$J,8,FALSE)</f>
        <v>Mohamed Harish</v>
      </c>
      <c r="I1243" s="31">
        <f>VLOOKUP(A1243,File!$A:$J,9,FALSE)</f>
        <v>46364</v>
      </c>
      <c r="J1243" s="31" t="str">
        <f>VLOOKUP(A1243,File!$A:$K,11,FALSE)</f>
        <v>Dec 2026</v>
      </c>
      <c r="K1243" s="31" t="str">
        <f>VLOOKUP(A1243,File!$A:$K,10,FALSE)</f>
        <v>In-Training</v>
      </c>
      <c r="L1243" s="31" t="s">
        <v>4</v>
      </c>
      <c r="M1243" t="str">
        <f>VLOOKUP(A1243,Response!$A:$M,7,)</f>
        <v>PG (Paying Guest)</v>
      </c>
      <c r="N1243" t="str">
        <f>VLOOKUP(A1243,Response!$A:$M,8,)</f>
        <v>SR Guest House, Egattur</v>
      </c>
      <c r="O1243" s="4">
        <f>VLOOKUP(A1243,Response!$A:$M,10,)</f>
        <v>4</v>
      </c>
      <c r="P1243" t="str">
        <f>VLOOKUP(A1243,Response!$A:$M,12,)</f>
        <v>No</v>
      </c>
      <c r="Q1243" t="str">
        <f>VLOOKUP(A1243,Response!$A:$M,11,)</f>
        <v>Egattur</v>
      </c>
      <c r="R1243" t="s">
        <v>19</v>
      </c>
      <c r="S1243" s="39" t="s">
        <v>37</v>
      </c>
    </row>
    <row r="1244" spans="1:19">
      <c r="A1244" s="3">
        <v>2524505</v>
      </c>
      <c r="B1244" t="str">
        <f>VLOOKUP(A1244,File!$A:$J,2,FALSE)</f>
        <v>Prashant Saniv Savle</v>
      </c>
      <c r="C1244" s="29">
        <f>VLOOKUP(A1244,File!$A:$J,5,FALSE)</f>
        <v>46224</v>
      </c>
      <c r="D1244" s="29" t="str">
        <f>VLOOKUP(A1244,File!$A:$J,3,FALSE)</f>
        <v>Male</v>
      </c>
      <c r="E1244" s="29" t="str">
        <f>VLOOKUP(A1244,File!$A:$J,4,FALSE)</f>
        <v>FTE</v>
      </c>
      <c r="F1244" s="29" t="str">
        <f>VLOOKUP(A1244,File!$A:$J,6,FALSE)</f>
        <v>Chennai</v>
      </c>
      <c r="G1244" s="29" t="str">
        <f>VLOOKUP(A1244,File!$A:$J,7,FALSE)</f>
        <v>QEA26QEPT024</v>
      </c>
      <c r="H1244" s="29" t="str">
        <f>VLOOKUP(A1244,File!$A:$J,8,FALSE)</f>
        <v>Ajiesya D P</v>
      </c>
      <c r="I1244" s="31">
        <f>VLOOKUP(A1244,File!$A:$J,9,FALSE)</f>
        <v>46330</v>
      </c>
      <c r="J1244" s="31" t="str">
        <f>VLOOKUP(A1244,File!$A:$K,11,FALSE)</f>
        <v>Nov 2026</v>
      </c>
      <c r="K1244" s="31" t="str">
        <f>VLOOKUP(A1244,File!$A:$K,10,FALSE)</f>
        <v>In-Training</v>
      </c>
      <c r="L1244" s="31" t="s">
        <v>4</v>
      </c>
      <c r="M1244" t="str">
        <f>VLOOKUP(A1244,Response!$A:$M,7,)</f>
        <v>PG (Paying Guest)</v>
      </c>
      <c r="N1244" t="str">
        <f>VLOOKUP(A1244,Response!$A:$M,8,)</f>
        <v>SREE VENKATESHWARA LUXURY PG FOR GENTS</v>
      </c>
      <c r="O1244" s="4">
        <f>VLOOKUP(A1244,Response!$A:$M,10,)</f>
        <v>3</v>
      </c>
      <c r="P1244" t="str">
        <f>VLOOKUP(A1244,Response!$A:$M,12,)</f>
        <v>Yes</v>
      </c>
      <c r="Q1244" t="str">
        <f>VLOOKUP(A1244,Response!$A:$M,11,)</f>
        <v>Navalur</v>
      </c>
      <c r="R1244" t="s">
        <v>19</v>
      </c>
      <c r="S1244" s="39" t="s">
        <v>37</v>
      </c>
    </row>
    <row r="1245" spans="1:19">
      <c r="A1245" s="3">
        <v>2516745</v>
      </c>
      <c r="B1245" t="str">
        <f>VLOOKUP(A1245,File!$A:$J,2,FALSE)</f>
        <v>Gonehal Matada Akash Raj</v>
      </c>
      <c r="C1245" s="29">
        <f>VLOOKUP(A1245,File!$A:$J,5,FALSE)</f>
        <v>46191</v>
      </c>
      <c r="D1245" s="29" t="str">
        <f>VLOOKUP(A1245,File!$A:$J,3,FALSE)</f>
        <v>Male</v>
      </c>
      <c r="E1245" s="29" t="str">
        <f>VLOOKUP(A1245,File!$A:$J,4,FALSE)</f>
        <v>FTE</v>
      </c>
      <c r="F1245" s="29" t="str">
        <f>VLOOKUP(A1245,File!$A:$J,6,FALSE)</f>
        <v>Chennai</v>
      </c>
      <c r="G1245" s="29" t="str">
        <f>VLOOKUP(A1245,File!$A:$J,7,FALSE)</f>
        <v>CIS26MW001</v>
      </c>
      <c r="H1245" s="29" t="str">
        <f>VLOOKUP(A1245,File!$A:$J,8,FALSE)</f>
        <v>Ashiya Begam S</v>
      </c>
      <c r="I1245" s="31">
        <f>VLOOKUP(A1245,File!$A:$J,9,FALSE)</f>
        <v>46276</v>
      </c>
      <c r="J1245" s="31" t="str">
        <f>VLOOKUP(A1245,File!$A:$K,11,FALSE)</f>
        <v>Sep 2026</v>
      </c>
      <c r="K1245" s="31" t="str">
        <f>VLOOKUP(A1245,File!$A:$K,10,FALSE)</f>
        <v>In-Training</v>
      </c>
      <c r="L1245" s="31" t="s">
        <v>4</v>
      </c>
      <c r="M1245" t="str">
        <f>VLOOKUP(A1245,Response!$A:$M,7,)</f>
        <v>PG (Paying Guest)</v>
      </c>
      <c r="N1245" t="str">
        <f>VLOOKUP(A1245,Response!$A:$M,8,)</f>
        <v xml:space="preserve">Sree Venkateshwara luxury pg for gents </v>
      </c>
      <c r="O1245" s="4">
        <f>VLOOKUP(A1245,Response!$A:$M,10,)</f>
        <v>3</v>
      </c>
      <c r="P1245" t="str">
        <f>VLOOKUP(A1245,Response!$A:$M,12,)</f>
        <v>No</v>
      </c>
      <c r="Q1245" t="str">
        <f>VLOOKUP(A1245,Response!$A:$M,11,)</f>
        <v>Navalur</v>
      </c>
      <c r="R1245" t="s">
        <v>19</v>
      </c>
      <c r="S1245" s="39" t="s">
        <v>37</v>
      </c>
    </row>
    <row r="1246" spans="1:19">
      <c r="A1246" s="3">
        <v>2533584</v>
      </c>
      <c r="B1246" t="str">
        <f>VLOOKUP(A1246,File!$A:$J,2,FALSE)</f>
        <v>Rhaveen Senthil</v>
      </c>
      <c r="C1246" s="29">
        <f>VLOOKUP(A1246,File!$A:$J,5,FALSE)</f>
        <v>46261</v>
      </c>
      <c r="D1246" s="29" t="str">
        <f>VLOOKUP(A1246,File!$A:$J,3,FALSE)</f>
        <v>Male</v>
      </c>
      <c r="E1246" s="29" t="str">
        <f>VLOOKUP(A1246,File!$A:$J,4,FALSE)</f>
        <v>FTE</v>
      </c>
      <c r="F1246" s="29" t="str">
        <f>VLOOKUP(A1246,File!$A:$J,6,FALSE)</f>
        <v>Chennai</v>
      </c>
      <c r="G1246" s="29" t="str">
        <f>VLOOKUP(A1246,File!$A:$J,7,FALSE)</f>
        <v>ADM27DFSA001</v>
      </c>
      <c r="H1246" s="29" t="str">
        <f>VLOOKUP(A1246,File!$A:$J,8,FALSE)</f>
        <v>Thomas Naveen. J</v>
      </c>
      <c r="I1246" s="31">
        <f>VLOOKUP(A1246,File!$A:$J,9,FALSE)</f>
        <v>46386</v>
      </c>
      <c r="J1246" s="31" t="str">
        <f>VLOOKUP(A1246,File!$A:$K,11,FALSE)</f>
        <v>Dec 2026</v>
      </c>
      <c r="K1246" s="31" t="str">
        <f>VLOOKUP(A1246,File!$A:$K,10,FALSE)</f>
        <v>In-Training</v>
      </c>
      <c r="L1246" s="31" t="s">
        <v>4</v>
      </c>
      <c r="M1246" t="str">
        <f>VLOOKUP(A1246,Response!$A:$M,7,)</f>
        <v>PG (Paying Guest)</v>
      </c>
      <c r="N1246" t="str">
        <f>VLOOKUP(A1246,Response!$A:$M,8,)</f>
        <v>sree venkateshwara luxury pg for men</v>
      </c>
      <c r="O1246" s="4">
        <f>VLOOKUP(A1246,Response!$A:$M,10,)</f>
        <v>2</v>
      </c>
      <c r="P1246" t="str">
        <f>VLOOKUP(A1246,Response!$A:$M,12,)</f>
        <v>No</v>
      </c>
      <c r="Q1246" t="str">
        <f>VLOOKUP(A1246,Response!$A:$M,11,)</f>
        <v>Navalur</v>
      </c>
      <c r="R1246" t="s">
        <v>19</v>
      </c>
      <c r="S1246" s="39" t="s">
        <v>37</v>
      </c>
    </row>
    <row r="1247" spans="1:19">
      <c r="A1247" s="3">
        <v>2523427</v>
      </c>
      <c r="B1247" t="str">
        <f>VLOOKUP(A1247,File!$A:$J,2,FALSE)</f>
        <v>Manu T V</v>
      </c>
      <c r="C1247" s="29">
        <f>VLOOKUP(A1247,File!$A:$J,5,FALSE)</f>
        <v>46219</v>
      </c>
      <c r="D1247" s="29" t="str">
        <f>VLOOKUP(A1247,File!$A:$J,3,FALSE)</f>
        <v>Male</v>
      </c>
      <c r="E1247" s="29" t="str">
        <f>VLOOKUP(A1247,File!$A:$J,4,FALSE)</f>
        <v>FTE</v>
      </c>
      <c r="F1247" s="29" t="str">
        <f>VLOOKUP(A1247,File!$A:$J,6,FALSE)</f>
        <v>Chennai</v>
      </c>
      <c r="G1247" s="29" t="str">
        <f>VLOOKUP(A1247,File!$A:$J,7,FALSE)</f>
        <v>CS26CS010</v>
      </c>
      <c r="H1247" s="29" t="str">
        <f>VLOOKUP(A1247,File!$A:$J,8,FALSE)</f>
        <v>Laksiya Vijayendran</v>
      </c>
      <c r="I1247" s="31">
        <f>VLOOKUP(A1247,File!$A:$J,9,FALSE)</f>
        <v>46314</v>
      </c>
      <c r="J1247" s="31" t="str">
        <f>VLOOKUP(A1247,File!$A:$K,11,FALSE)</f>
        <v>Oct 2026</v>
      </c>
      <c r="K1247" s="31" t="str">
        <f>VLOOKUP(A1247,File!$A:$K,10,FALSE)</f>
        <v>In-Training</v>
      </c>
      <c r="L1247" s="31" t="s">
        <v>4</v>
      </c>
      <c r="M1247" t="str">
        <f>VLOOKUP(A1247,Response!$A:$M,7,)</f>
        <v>PG (Paying Guest)</v>
      </c>
      <c r="N1247" t="str">
        <f>VLOOKUP(A1247,Response!$A:$M,8,)</f>
        <v xml:space="preserve">Sree Venkateshwara luxury PG for Men </v>
      </c>
      <c r="O1247" s="4">
        <f>VLOOKUP(A1247,Response!$A:$M,10,)</f>
        <v>1</v>
      </c>
      <c r="P1247" t="str">
        <f>VLOOKUP(A1247,Response!$A:$M,12,)</f>
        <v>No</v>
      </c>
      <c r="Q1247" t="str">
        <f>VLOOKUP(A1247,Response!$A:$M,11,)</f>
        <v>Navalur</v>
      </c>
      <c r="R1247" t="s">
        <v>19</v>
      </c>
      <c r="S1247" s="39" t="s">
        <v>37</v>
      </c>
    </row>
    <row r="1248" spans="1:19">
      <c r="A1248" s="3">
        <v>2521698</v>
      </c>
      <c r="B1248" t="str">
        <f>VLOOKUP(A1248,File!$A:$J,2,FALSE)</f>
        <v>Ashwin B S</v>
      </c>
      <c r="C1248" s="29">
        <f>VLOOKUP(A1248,File!$A:$J,5,FALSE)</f>
        <v>46212</v>
      </c>
      <c r="D1248" s="29" t="str">
        <f>VLOOKUP(A1248,File!$A:$J,3,FALSE)</f>
        <v>Male</v>
      </c>
      <c r="E1248" s="29" t="str">
        <f>VLOOKUP(A1248,File!$A:$J,4,FALSE)</f>
        <v>FTE</v>
      </c>
      <c r="F1248" s="29" t="str">
        <f>VLOOKUP(A1248,File!$A:$J,6,FALSE)</f>
        <v>Chennai</v>
      </c>
      <c r="G1248" s="29" t="str">
        <f>VLOOKUP(A1248,File!$A:$J,7,FALSE)</f>
        <v>QEA26QEPT023</v>
      </c>
      <c r="H1248" s="29" t="str">
        <f>VLOOKUP(A1248,File!$A:$J,8,FALSE)</f>
        <v>Sweta Thoppil</v>
      </c>
      <c r="I1248" s="31">
        <f>VLOOKUP(A1248,File!$A:$J,9,FALSE)</f>
        <v>46314</v>
      </c>
      <c r="J1248" s="31" t="str">
        <f>VLOOKUP(A1248,File!$A:$K,11,FALSE)</f>
        <v>Oct 2026</v>
      </c>
      <c r="K1248" s="31" t="str">
        <f>VLOOKUP(A1248,File!$A:$K,10,FALSE)</f>
        <v>In-Training</v>
      </c>
      <c r="L1248" s="31" t="s">
        <v>4</v>
      </c>
      <c r="M1248" t="str">
        <f>VLOOKUP(A1248,Response!$A:$M,7,)</f>
        <v>PG (Paying Guest)</v>
      </c>
      <c r="N1248" t="str">
        <f>VLOOKUP(A1248,Response!$A:$M,8,)</f>
        <v>SREE VENKATESWARA LUXURY GENTS PG, NAVALUR, CHENNAI</v>
      </c>
      <c r="O1248" s="4">
        <f>VLOOKUP(A1248,Response!$A:$M,10,)</f>
        <v>2</v>
      </c>
      <c r="P1248" t="str">
        <f>VLOOKUP(A1248,Response!$A:$M,12,)</f>
        <v>No</v>
      </c>
      <c r="Q1248" t="str">
        <f>VLOOKUP(A1248,Response!$A:$M,11,)</f>
        <v>Navalur</v>
      </c>
      <c r="R1248" t="s">
        <v>19</v>
      </c>
      <c r="S1248" s="39" t="s">
        <v>37</v>
      </c>
    </row>
    <row r="1249" spans="1:19">
      <c r="A1249" s="3">
        <v>2516886</v>
      </c>
      <c r="B1249" t="str">
        <f>VLOOKUP(A1249,File!$A:$J,2,FALSE)</f>
        <v>Murulidhara J</v>
      </c>
      <c r="C1249" s="29">
        <f>VLOOKUP(A1249,File!$A:$J,5,FALSE)</f>
        <v>46191</v>
      </c>
      <c r="D1249" s="29" t="str">
        <f>VLOOKUP(A1249,File!$A:$J,3,FALSE)</f>
        <v>Male</v>
      </c>
      <c r="E1249" s="29" t="str">
        <f>VLOOKUP(A1249,File!$A:$J,4,FALSE)</f>
        <v>FTE</v>
      </c>
      <c r="F1249" s="29" t="str">
        <f>VLOOKUP(A1249,File!$A:$J,6,FALSE)</f>
        <v>Chennai</v>
      </c>
      <c r="G1249" s="29" t="str">
        <f>VLOOKUP(A1249,File!$A:$J,7,FALSE)</f>
        <v>CIS26NET003</v>
      </c>
      <c r="H1249" s="29" t="str">
        <f>VLOOKUP(A1249,File!$A:$J,8,FALSE)</f>
        <v>Uma Venkatachalam</v>
      </c>
      <c r="I1249" s="31">
        <f>VLOOKUP(A1249,File!$A:$J,9,FALSE)</f>
        <v>46269</v>
      </c>
      <c r="J1249" s="31" t="str">
        <f>VLOOKUP(A1249,File!$A:$K,11,FALSE)</f>
        <v>Sep 2026</v>
      </c>
      <c r="K1249" s="31" t="str">
        <f>VLOOKUP(A1249,File!$A:$K,10,FALSE)</f>
        <v>In-Training-Remedial</v>
      </c>
      <c r="L1249" s="31" t="s">
        <v>4</v>
      </c>
      <c r="M1249" t="str">
        <f>VLOOKUP(A1249,Response!$A:$M,7,)</f>
        <v>PG (Paying Guest)</v>
      </c>
      <c r="N1249" t="str">
        <f>VLOOKUP(A1249,Response!$A:$M,8,)</f>
        <v>sree venkateswara luxury pg for gents</v>
      </c>
      <c r="O1249" s="4">
        <f>VLOOKUP(A1249,Response!$A:$M,10,)</f>
        <v>3</v>
      </c>
      <c r="P1249" t="str">
        <f>VLOOKUP(A1249,Response!$A:$M,12,)</f>
        <v>No</v>
      </c>
      <c r="Q1249" t="str">
        <f>VLOOKUP(A1249,Response!$A:$M,11,)</f>
        <v>Navalur</v>
      </c>
      <c r="R1249" t="s">
        <v>19</v>
      </c>
      <c r="S1249" s="39" t="s">
        <v>37</v>
      </c>
    </row>
    <row r="1250" spans="1:19">
      <c r="A1250" s="3">
        <v>2512334</v>
      </c>
      <c r="B1250" t="str">
        <f>VLOOKUP(A1250,File!$A:$J,2,FALSE)</f>
        <v>Pavan Kumar Mahto</v>
      </c>
      <c r="C1250" s="29">
        <f>VLOOKUP(A1250,File!$A:$J,5,FALSE)</f>
        <v>46170</v>
      </c>
      <c r="D1250" s="29" t="str">
        <f>VLOOKUP(A1250,File!$A:$J,3,FALSE)</f>
        <v>Male</v>
      </c>
      <c r="E1250" s="29" t="str">
        <f>VLOOKUP(A1250,File!$A:$J,4,FALSE)</f>
        <v>FTE</v>
      </c>
      <c r="F1250" s="29" t="str">
        <f>VLOOKUP(A1250,File!$A:$J,6,FALSE)</f>
        <v>Chennai</v>
      </c>
      <c r="G1250" s="29" t="str">
        <f>VLOOKUP(A1250,File!$A:$J,7,FALSE)</f>
        <v>CIS26MCPT012</v>
      </c>
      <c r="H1250" s="29" t="str">
        <f>VLOOKUP(A1250,File!$A:$J,8,FALSE)</f>
        <v>Uma Venkatachalam</v>
      </c>
      <c r="I1250" s="31">
        <f>VLOOKUP(A1250,File!$A:$J,9,FALSE)</f>
        <v>46282</v>
      </c>
      <c r="J1250" s="31" t="str">
        <f>VLOOKUP(A1250,File!$A:$K,11,FALSE)</f>
        <v>Sep 2026</v>
      </c>
      <c r="K1250" s="31" t="str">
        <f>VLOOKUP(A1250,File!$A:$K,10,FALSE)</f>
        <v>In-Training</v>
      </c>
      <c r="L1250" s="31" t="s">
        <v>4</v>
      </c>
      <c r="M1250" t="str">
        <f>VLOOKUP(A1250,Response!$A:$M,7,)</f>
        <v>PG (Paying Guest)</v>
      </c>
      <c r="N1250" t="str">
        <f>VLOOKUP(A1250,Response!$A:$M,8,)</f>
        <v>SREE VENKATSHWARA MENS PG-NAVALUR</v>
      </c>
      <c r="O1250" s="4">
        <f>VLOOKUP(A1250,Response!$A:$M,10,)</f>
        <v>4</v>
      </c>
      <c r="P1250" t="str">
        <f>VLOOKUP(A1250,Response!$A:$M,12,)</f>
        <v>No</v>
      </c>
      <c r="Q1250" t="str">
        <f>VLOOKUP(A1250,Response!$A:$M,11,)</f>
        <v>Navalur</v>
      </c>
      <c r="R1250" t="s">
        <v>19</v>
      </c>
      <c r="S1250" s="39" t="s">
        <v>37</v>
      </c>
    </row>
    <row r="1251" spans="1:19">
      <c r="A1251" s="3">
        <v>2529601</v>
      </c>
      <c r="B1251" t="str">
        <f>VLOOKUP(A1251,File!$A:$J,2,FALSE)</f>
        <v>Abhishek Nivaratti Shinde</v>
      </c>
      <c r="C1251" s="29">
        <f>VLOOKUP(A1251,File!$A:$J,5,FALSE)</f>
        <v>46245</v>
      </c>
      <c r="D1251" s="29" t="str">
        <f>VLOOKUP(A1251,File!$A:$J,3,FALSE)</f>
        <v>Male</v>
      </c>
      <c r="E1251" s="29" t="str">
        <f>VLOOKUP(A1251,File!$A:$J,4,FALSE)</f>
        <v>FTE</v>
      </c>
      <c r="F1251" s="29" t="str">
        <f>VLOOKUP(A1251,File!$A:$J,6,FALSE)</f>
        <v>Chennai</v>
      </c>
      <c r="G1251" s="29" t="str">
        <f>VLOOKUP(A1251,File!$A:$J,7,FALSE)</f>
        <v>CIS26MCPT024</v>
      </c>
      <c r="H1251" s="29" t="str">
        <f>VLOOKUP(A1251,File!$A:$J,8,FALSE)</f>
        <v>Ashiya Begam S</v>
      </c>
      <c r="I1251" s="31">
        <f>VLOOKUP(A1251,File!$A:$J,9,FALSE)</f>
        <v>46359</v>
      </c>
      <c r="J1251" s="31" t="str">
        <f>VLOOKUP(A1251,File!$A:$K,11,FALSE)</f>
        <v>Dec 2026</v>
      </c>
      <c r="K1251" s="31" t="str">
        <f>VLOOKUP(A1251,File!$A:$K,10,FALSE)</f>
        <v>In-Training</v>
      </c>
      <c r="L1251" s="31" t="s">
        <v>4</v>
      </c>
      <c r="M1251" t="str">
        <f>VLOOKUP(A1251,Response!$A:$M,7,)</f>
        <v>PG (Paying Guest)</v>
      </c>
      <c r="N1251" t="str">
        <f>VLOOKUP(A1251,Response!$A:$M,8,)</f>
        <v>SREE VENKTESHWARA LUXURY PG FOR GENTS ONLY</v>
      </c>
      <c r="O1251" s="4">
        <f>VLOOKUP(A1251,Response!$A:$M,10,)</f>
        <v>3</v>
      </c>
      <c r="P1251" t="str">
        <f>VLOOKUP(A1251,Response!$A:$M,12,)</f>
        <v>No</v>
      </c>
      <c r="Q1251" t="str">
        <f>VLOOKUP(A1251,Response!$A:$M,11,)</f>
        <v>Navalur</v>
      </c>
      <c r="R1251" t="s">
        <v>19</v>
      </c>
      <c r="S1251" s="39" t="s">
        <v>37</v>
      </c>
    </row>
    <row r="1252" spans="1:19">
      <c r="A1252" s="3">
        <v>2507499</v>
      </c>
      <c r="B1252" t="str">
        <f>VLOOKUP(A1252,File!$A:$J,2,FALSE)</f>
        <v>Tamilvanan Karthikeyan</v>
      </c>
      <c r="C1252" s="29">
        <f>VLOOKUP(A1252,File!$A:$J,5,FALSE)</f>
        <v>46142</v>
      </c>
      <c r="D1252" s="29" t="str">
        <f>VLOOKUP(A1252,File!$A:$J,3,FALSE)</f>
        <v>Male</v>
      </c>
      <c r="E1252" s="29" t="str">
        <f>VLOOKUP(A1252,File!$A:$J,4,FALSE)</f>
        <v>FTE</v>
      </c>
      <c r="F1252" s="29" t="str">
        <f>VLOOKUP(A1252,File!$A:$J,6,FALSE)</f>
        <v>Chennai</v>
      </c>
      <c r="G1252" s="29" t="str">
        <f>VLOOKUP(A1252,File!$A:$J,7,FALSE)</f>
        <v>ISG26JSAAT002</v>
      </c>
      <c r="H1252" s="29" t="str">
        <f>VLOOKUP(A1252,File!$A:$J,8,FALSE)</f>
        <v>Ashiya Begam S</v>
      </c>
      <c r="I1252" s="31">
        <f>VLOOKUP(A1252,File!$A:$J,9,FALSE)</f>
        <v>46272</v>
      </c>
      <c r="J1252" s="31" t="str">
        <f>VLOOKUP(A1252,File!$A:$K,11,FALSE)</f>
        <v>Sep 2026</v>
      </c>
      <c r="K1252" s="31" t="str">
        <f>VLOOKUP(A1252,File!$A:$K,10,FALSE)</f>
        <v>In-Training-Remedial</v>
      </c>
      <c r="L1252" s="31" t="s">
        <v>4</v>
      </c>
      <c r="M1252" t="str">
        <f>VLOOKUP(A1252,Response!$A:$M,7,)</f>
        <v>PG (Paying Guest)</v>
      </c>
      <c r="N1252" t="str">
        <f>VLOOKUP(A1252,Response!$A:$M,8,)</f>
        <v xml:space="preserve">SRI GANGA MENS PG </v>
      </c>
      <c r="O1252" s="4" t="str">
        <f>VLOOKUP(A1252,Response!$A:$M,10,)</f>
        <v>GF</v>
      </c>
      <c r="P1252" t="str">
        <f>VLOOKUP(A1252,Response!$A:$M,12,)</f>
        <v>No</v>
      </c>
      <c r="Q1252" t="str">
        <f>VLOOKUP(A1252,Response!$A:$M,11,)</f>
        <v>Egattur</v>
      </c>
      <c r="R1252" t="s">
        <v>19</v>
      </c>
      <c r="S1252" s="39" t="s">
        <v>37</v>
      </c>
    </row>
    <row r="1253" spans="1:19">
      <c r="A1253" s="3">
        <v>2530169</v>
      </c>
      <c r="B1253" t="str">
        <f>VLOOKUP(A1253,File!$A:$J,2,FALSE)</f>
        <v>Helan U</v>
      </c>
      <c r="C1253" s="29">
        <f>VLOOKUP(A1253,File!$A:$J,5,FALSE)</f>
        <v>46247</v>
      </c>
      <c r="D1253" s="29" t="str">
        <f>VLOOKUP(A1253,File!$A:$J,3,FALSE)</f>
        <v>Female</v>
      </c>
      <c r="E1253" s="29" t="str">
        <f>VLOOKUP(A1253,File!$A:$J,4,FALSE)</f>
        <v>FTE</v>
      </c>
      <c r="F1253" s="29" t="str">
        <f>VLOOKUP(A1253,File!$A:$J,6,FALSE)</f>
        <v>Chennai</v>
      </c>
      <c r="G1253" s="29" t="str">
        <f>VLOOKUP(A1253,File!$A:$J,7,FALSE)</f>
        <v>CIS26DWP026</v>
      </c>
      <c r="H1253" s="29" t="str">
        <f>VLOOKUP(A1253,File!$A:$J,8,FALSE)</f>
        <v>Shunmugasundari A</v>
      </c>
      <c r="I1253" s="31">
        <f>VLOOKUP(A1253,File!$A:$J,9,FALSE)</f>
        <v>46314</v>
      </c>
      <c r="J1253" s="31" t="str">
        <f>VLOOKUP(A1253,File!$A:$K,11,FALSE)</f>
        <v>Oct 2026</v>
      </c>
      <c r="K1253" s="31" t="str">
        <f>VLOOKUP(A1253,File!$A:$K,10,FALSE)</f>
        <v>In-Training</v>
      </c>
      <c r="L1253" s="31" t="s">
        <v>4</v>
      </c>
      <c r="M1253" t="str">
        <f>VLOOKUP(A1253,Response!$A:$M,7,)</f>
        <v>PG (Paying Guest)</v>
      </c>
      <c r="N1253" t="str">
        <f>VLOOKUP(A1253,Response!$A:$M,8,)</f>
        <v>Sri Krishna Nivas ,Egattur</v>
      </c>
      <c r="O1253" s="4">
        <f>VLOOKUP(A1253,Response!$A:$M,10,)</f>
        <v>4</v>
      </c>
      <c r="P1253" t="str">
        <f>VLOOKUP(A1253,Response!$A:$M,12,)</f>
        <v>Yes</v>
      </c>
      <c r="Q1253" t="str">
        <f>VLOOKUP(A1253,Response!$A:$M,11,)</f>
        <v>Egattur</v>
      </c>
      <c r="R1253" t="s">
        <v>19</v>
      </c>
      <c r="S1253" s="39" t="s">
        <v>37</v>
      </c>
    </row>
    <row r="1254" spans="1:19">
      <c r="A1254" s="3">
        <v>2530158</v>
      </c>
      <c r="B1254" t="str">
        <f>VLOOKUP(A1254,File!$A:$J,2,FALSE)</f>
        <v>Jezneel Chryso Paulin John Christopher</v>
      </c>
      <c r="C1254" s="29">
        <f>VLOOKUP(A1254,File!$A:$J,5,FALSE)</f>
        <v>46247</v>
      </c>
      <c r="D1254" s="29" t="str">
        <f>VLOOKUP(A1254,File!$A:$J,3,FALSE)</f>
        <v>Female</v>
      </c>
      <c r="E1254" s="29" t="str">
        <f>VLOOKUP(A1254,File!$A:$J,4,FALSE)</f>
        <v>FTE</v>
      </c>
      <c r="F1254" s="29" t="str">
        <f>VLOOKUP(A1254,File!$A:$J,6,FALSE)</f>
        <v>Chennai</v>
      </c>
      <c r="G1254" s="29" t="str">
        <f>VLOOKUP(A1254,File!$A:$J,7,FALSE)</f>
        <v>CIS26DWP026</v>
      </c>
      <c r="H1254" s="29" t="str">
        <f>VLOOKUP(A1254,File!$A:$J,8,FALSE)</f>
        <v>Shunmugasundari A</v>
      </c>
      <c r="I1254" s="31">
        <f>VLOOKUP(A1254,File!$A:$J,9,FALSE)</f>
        <v>46314</v>
      </c>
      <c r="J1254" s="31" t="str">
        <f>VLOOKUP(A1254,File!$A:$K,11,FALSE)</f>
        <v>Oct 2026</v>
      </c>
      <c r="K1254" s="31" t="str">
        <f>VLOOKUP(A1254,File!$A:$K,10,FALSE)</f>
        <v>In-Training</v>
      </c>
      <c r="L1254" s="31" t="s">
        <v>4</v>
      </c>
      <c r="M1254" t="str">
        <f>VLOOKUP(A1254,Response!$A:$M,7,)</f>
        <v>PG (Paying Guest)</v>
      </c>
      <c r="N1254" t="str">
        <f>VLOOKUP(A1254,Response!$A:$M,8,)</f>
        <v xml:space="preserve">Sri Krishna Nivas PG - Egattur </v>
      </c>
      <c r="O1254" s="4">
        <f>VLOOKUP(A1254,Response!$A:$M,10,)</f>
        <v>3</v>
      </c>
      <c r="P1254" t="str">
        <f>VLOOKUP(A1254,Response!$A:$M,12,)</f>
        <v>Yes</v>
      </c>
      <c r="Q1254" t="str">
        <f>VLOOKUP(A1254,Response!$A:$M,11,)</f>
        <v>Egattur</v>
      </c>
      <c r="R1254" t="s">
        <v>19</v>
      </c>
      <c r="S1254" s="39" t="s">
        <v>37</v>
      </c>
    </row>
    <row r="1255" spans="1:19">
      <c r="A1255" s="3">
        <v>2516818</v>
      </c>
      <c r="B1255" t="str">
        <f>VLOOKUP(A1255,File!$A:$J,2,FALSE)</f>
        <v>Bhavya Sree Vitta</v>
      </c>
      <c r="C1255" s="29">
        <f>VLOOKUP(A1255,File!$A:$J,5,FALSE)</f>
        <v>46191</v>
      </c>
      <c r="D1255" s="29" t="str">
        <f>VLOOKUP(A1255,File!$A:$J,3,FALSE)</f>
        <v>Female</v>
      </c>
      <c r="E1255" s="29" t="str">
        <f>VLOOKUP(A1255,File!$A:$J,4,FALSE)</f>
        <v>FTE</v>
      </c>
      <c r="F1255" s="29" t="str">
        <f>VLOOKUP(A1255,File!$A:$J,6,FALSE)</f>
        <v>Chennai</v>
      </c>
      <c r="G1255" s="29" t="str">
        <f>VLOOKUP(A1255,File!$A:$J,7,FALSE)</f>
        <v>CIS26MW001</v>
      </c>
      <c r="H1255" s="29" t="str">
        <f>VLOOKUP(A1255,File!$A:$J,8,FALSE)</f>
        <v>Ashiya Begam S</v>
      </c>
      <c r="I1255" s="31">
        <f>VLOOKUP(A1255,File!$A:$J,9,FALSE)</f>
        <v>46276</v>
      </c>
      <c r="J1255" s="31" t="str">
        <f>VLOOKUP(A1255,File!$A:$K,11,FALSE)</f>
        <v>Sep 2026</v>
      </c>
      <c r="K1255" s="31" t="str">
        <f>VLOOKUP(A1255,File!$A:$K,10,FALSE)</f>
        <v>In-Training</v>
      </c>
      <c r="L1255" s="31" t="s">
        <v>4</v>
      </c>
      <c r="M1255" t="str">
        <f>VLOOKUP(A1255,Response!$A:$M,7,)</f>
        <v>PG (Paying Guest)</v>
      </c>
      <c r="N1255" t="str">
        <f>VLOOKUP(A1255,Response!$A:$M,8,)</f>
        <v>Sri Lakshimi Ladies Luxury pg</v>
      </c>
      <c r="O1255" s="4">
        <f>VLOOKUP(A1255,Response!$A:$M,10,)</f>
        <v>1</v>
      </c>
      <c r="P1255" t="str">
        <f>VLOOKUP(A1255,Response!$A:$M,12,)</f>
        <v>No</v>
      </c>
      <c r="Q1255" t="str">
        <f>VLOOKUP(A1255,Response!$A:$M,11,)</f>
        <v>Navalur</v>
      </c>
      <c r="R1255" t="s">
        <v>19</v>
      </c>
      <c r="S1255" s="39" t="s">
        <v>37</v>
      </c>
    </row>
    <row r="1256" spans="1:19">
      <c r="A1256" s="3">
        <v>2521309</v>
      </c>
      <c r="B1256" t="str">
        <f>VLOOKUP(A1256,File!$A:$J,2,FALSE)</f>
        <v>Seelam Joshnavi Supriya Sri</v>
      </c>
      <c r="C1256" s="29">
        <f>VLOOKUP(A1256,File!$A:$J,5,FALSE)</f>
        <v>46210</v>
      </c>
      <c r="D1256" s="29" t="str">
        <f>VLOOKUP(A1256,File!$A:$J,3,FALSE)</f>
        <v>Female</v>
      </c>
      <c r="E1256" s="29" t="str">
        <f>VLOOKUP(A1256,File!$A:$J,4,FALSE)</f>
        <v>FTE</v>
      </c>
      <c r="F1256" s="29" t="str">
        <f>VLOOKUP(A1256,File!$A:$J,6,FALSE)</f>
        <v>Chennai</v>
      </c>
      <c r="G1256" s="29" t="str">
        <f>VLOOKUP(A1256,File!$A:$J,7,FALSE)</f>
        <v>SNBG26SN002</v>
      </c>
      <c r="H1256" s="29" t="str">
        <f>VLOOKUP(A1256,File!$A:$J,8,FALSE)</f>
        <v>Lawrance M</v>
      </c>
      <c r="I1256" s="31">
        <f>VLOOKUP(A1256,File!$A:$J,9,FALSE)</f>
        <v>46281</v>
      </c>
      <c r="J1256" s="31" t="str">
        <f>VLOOKUP(A1256,File!$A:$K,11,FALSE)</f>
        <v>Sep 2026</v>
      </c>
      <c r="K1256" s="31" t="str">
        <f>VLOOKUP(A1256,File!$A:$K,10,FALSE)</f>
        <v>In-Training</v>
      </c>
      <c r="L1256" s="31" t="s">
        <v>4</v>
      </c>
      <c r="M1256" t="str">
        <f>VLOOKUP(A1256,Response!$A:$M,7,)</f>
        <v>PG (Paying Guest)</v>
      </c>
      <c r="N1256" t="str">
        <f>VLOOKUP(A1256,Response!$A:$M,8,)</f>
        <v>Sri lakshmi ladies luxury PG</v>
      </c>
      <c r="O1256" s="4">
        <f>VLOOKUP(A1256,Response!$A:$M,10,)</f>
        <v>1</v>
      </c>
      <c r="P1256" t="str">
        <f>VLOOKUP(A1256,Response!$A:$M,12,)</f>
        <v>No</v>
      </c>
      <c r="Q1256" t="str">
        <f>VLOOKUP(A1256,Response!$A:$M,11,)</f>
        <v>Navalur</v>
      </c>
      <c r="R1256" t="s">
        <v>19</v>
      </c>
      <c r="S1256" s="39" t="s">
        <v>37</v>
      </c>
    </row>
    <row r="1257" spans="1:19">
      <c r="A1257" s="3">
        <v>2516866</v>
      </c>
      <c r="B1257" t="str">
        <f>VLOOKUP(A1257,File!$A:$J,2,FALSE)</f>
        <v>Veluri Uma Bharathi</v>
      </c>
      <c r="C1257" s="29">
        <f>VLOOKUP(A1257,File!$A:$J,5,FALSE)</f>
        <v>46191</v>
      </c>
      <c r="D1257" s="29" t="str">
        <f>VLOOKUP(A1257,File!$A:$J,3,FALSE)</f>
        <v>Female</v>
      </c>
      <c r="E1257" s="29" t="str">
        <f>VLOOKUP(A1257,File!$A:$J,4,FALSE)</f>
        <v>FTE</v>
      </c>
      <c r="F1257" s="29" t="str">
        <f>VLOOKUP(A1257,File!$A:$J,6,FALSE)</f>
        <v>Chennai</v>
      </c>
      <c r="G1257" s="29" t="str">
        <f>VLOOKUP(A1257,File!$A:$J,7,FALSE)</f>
        <v>CIS26MW001</v>
      </c>
      <c r="H1257" s="29" t="str">
        <f>VLOOKUP(A1257,File!$A:$J,8,FALSE)</f>
        <v>Ashiya Begam S</v>
      </c>
      <c r="I1257" s="31">
        <f>VLOOKUP(A1257,File!$A:$J,9,FALSE)</f>
        <v>46276</v>
      </c>
      <c r="J1257" s="31" t="str">
        <f>VLOOKUP(A1257,File!$A:$K,11,FALSE)</f>
        <v>Sep 2026</v>
      </c>
      <c r="K1257" s="31" t="str">
        <f>VLOOKUP(A1257,File!$A:$K,10,FALSE)</f>
        <v>In-Training</v>
      </c>
      <c r="L1257" s="31" t="s">
        <v>4</v>
      </c>
      <c r="M1257" t="str">
        <f>VLOOKUP(A1257,Response!$A:$M,7,)</f>
        <v>PG (Paying Guest)</v>
      </c>
      <c r="N1257" t="str">
        <f>VLOOKUP(A1257,Response!$A:$M,8,)</f>
        <v>SRI LAKSHMI LADIES LUXURY PG</v>
      </c>
      <c r="O1257" s="4">
        <f>VLOOKUP(A1257,Response!$A:$M,10,)</f>
        <v>3</v>
      </c>
      <c r="P1257" t="str">
        <f>VLOOKUP(A1257,Response!$A:$M,12,)</f>
        <v>No</v>
      </c>
      <c r="Q1257" t="str">
        <f>VLOOKUP(A1257,Response!$A:$M,11,)</f>
        <v>Egattur</v>
      </c>
      <c r="R1257" t="s">
        <v>19</v>
      </c>
      <c r="S1257" s="39" t="s">
        <v>37</v>
      </c>
    </row>
    <row r="1258" spans="1:19">
      <c r="A1258" s="3">
        <v>2516819</v>
      </c>
      <c r="B1258" t="str">
        <f>VLOOKUP(A1258,File!$A:$J,2,FALSE)</f>
        <v>Marakattu Sumalatha</v>
      </c>
      <c r="C1258" s="29">
        <f>VLOOKUP(A1258,File!$A:$J,5,FALSE)</f>
        <v>46191</v>
      </c>
      <c r="D1258" s="29" t="str">
        <f>VLOOKUP(A1258,File!$A:$J,3,FALSE)</f>
        <v>Female</v>
      </c>
      <c r="E1258" s="29" t="str">
        <f>VLOOKUP(A1258,File!$A:$J,4,FALSE)</f>
        <v>FTE</v>
      </c>
      <c r="F1258" s="29" t="str">
        <f>VLOOKUP(A1258,File!$A:$J,6,FALSE)</f>
        <v>Chennai</v>
      </c>
      <c r="G1258" s="29" t="str">
        <f>VLOOKUP(A1258,File!$A:$J,7,FALSE)</f>
        <v>CIS26DCO002</v>
      </c>
      <c r="H1258" s="29" t="str">
        <f>VLOOKUP(A1258,File!$A:$J,8,FALSE)</f>
        <v>Yuvasree Thiruvengadam</v>
      </c>
      <c r="I1258" s="31">
        <f>VLOOKUP(A1258,File!$A:$J,9,FALSE)</f>
        <v>46290</v>
      </c>
      <c r="J1258" s="31" t="str">
        <f>VLOOKUP(A1258,File!$A:$K,11,FALSE)</f>
        <v>Sep 2026</v>
      </c>
      <c r="K1258" s="31" t="str">
        <f>VLOOKUP(A1258,File!$A:$K,10,FALSE)</f>
        <v>In-Training</v>
      </c>
      <c r="L1258" s="31" t="s">
        <v>4</v>
      </c>
      <c r="M1258" t="str">
        <f>VLOOKUP(A1258,Response!$A:$M,7,)</f>
        <v>PG (Paying Guest)</v>
      </c>
      <c r="N1258" t="str">
        <f>VLOOKUP(A1258,Response!$A:$M,8,)</f>
        <v>Sri Lakshmi Luxury Ladies pg,Egattur</v>
      </c>
      <c r="O1258" s="4">
        <f>VLOOKUP(A1258,Response!$A:$M,10,)</f>
        <v>1</v>
      </c>
      <c r="P1258" t="str">
        <f>VLOOKUP(A1258,Response!$A:$M,12,)</f>
        <v>No</v>
      </c>
      <c r="Q1258" t="str">
        <f>VLOOKUP(A1258,Response!$A:$M,11,)</f>
        <v>Navalur</v>
      </c>
      <c r="R1258" t="s">
        <v>19</v>
      </c>
      <c r="S1258" s="39" t="s">
        <v>37</v>
      </c>
    </row>
    <row r="1259" spans="1:19">
      <c r="A1259" s="3">
        <v>2505092</v>
      </c>
      <c r="B1259" t="str">
        <f>VLOOKUP(A1259,File!$A:$J,2,FALSE)</f>
        <v>Somprakash Das</v>
      </c>
      <c r="C1259" s="29">
        <f>VLOOKUP(A1259,File!$A:$J,5,FALSE)</f>
        <v>46133</v>
      </c>
      <c r="D1259" s="29" t="str">
        <f>VLOOKUP(A1259,File!$A:$J,3,FALSE)</f>
        <v>Male</v>
      </c>
      <c r="E1259" s="29" t="str">
        <f>VLOOKUP(A1259,File!$A:$J,4,FALSE)</f>
        <v>FTE</v>
      </c>
      <c r="F1259" s="29" t="str">
        <f>VLOOKUP(A1259,File!$A:$J,6,FALSE)</f>
        <v>Chennai</v>
      </c>
      <c r="G1259" s="29" t="str">
        <f>VLOOKUP(A1259,File!$A:$J,7,FALSE)</f>
        <v>ADM26ISMO010</v>
      </c>
      <c r="H1259" s="29" t="str">
        <f>VLOOKUP(A1259,File!$A:$J,8,FALSE)</f>
        <v>Thomas Naveen. J</v>
      </c>
      <c r="I1259" s="31">
        <f>VLOOKUP(A1259,File!$A:$J,9,FALSE)</f>
        <v>46301</v>
      </c>
      <c r="J1259" s="31" t="str">
        <f>VLOOKUP(A1259,File!$A:$K,11,FALSE)</f>
        <v>Oct 2026</v>
      </c>
      <c r="K1259" s="31" t="str">
        <f>VLOOKUP(A1259,File!$A:$K,10,FALSE)</f>
        <v>In-Training</v>
      </c>
      <c r="L1259" s="31" t="s">
        <v>4</v>
      </c>
      <c r="M1259" t="str">
        <f>VLOOKUP(A1259,Response!$A:$M,7,)</f>
        <v>PG (Paying Guest)</v>
      </c>
      <c r="N1259" t="str">
        <f>VLOOKUP(A1259,Response!$A:$M,8,)</f>
        <v>Sri Lakshmi narayana Gents Pg Accommodation, 86, Sambalal St, Navalur</v>
      </c>
      <c r="O1259" s="4" t="str">
        <f>VLOOKUP(A1259,Response!$A:$M,10,)</f>
        <v>GF</v>
      </c>
      <c r="P1259" t="str">
        <f>VLOOKUP(A1259,Response!$A:$M,12,)</f>
        <v>No</v>
      </c>
      <c r="Q1259" t="str">
        <f>VLOOKUP(A1259,Response!$A:$M,11,)</f>
        <v>Navalur</v>
      </c>
      <c r="R1259" t="s">
        <v>19</v>
      </c>
      <c r="S1259" s="39" t="s">
        <v>37</v>
      </c>
    </row>
    <row r="1260" spans="1:19">
      <c r="A1260" s="3">
        <v>2512362</v>
      </c>
      <c r="B1260" t="str">
        <f>VLOOKUP(A1260,File!$A:$J,2,FALSE)</f>
        <v>Yuva Naveen Sai Ratnakar Veeramalla</v>
      </c>
      <c r="C1260" s="29">
        <f>VLOOKUP(A1260,File!$A:$J,5,FALSE)</f>
        <v>46170</v>
      </c>
      <c r="D1260" s="29" t="str">
        <f>VLOOKUP(A1260,File!$A:$J,3,FALSE)</f>
        <v>Male</v>
      </c>
      <c r="E1260" s="29" t="str">
        <f>VLOOKUP(A1260,File!$A:$J,4,FALSE)</f>
        <v>FTE</v>
      </c>
      <c r="F1260" s="29" t="str">
        <f>VLOOKUP(A1260,File!$A:$J,6,FALSE)</f>
        <v>Chennai</v>
      </c>
      <c r="G1260" s="29" t="str">
        <f>VLOOKUP(A1260,File!$A:$J,7,FALSE)</f>
        <v>CIS26MCPT011</v>
      </c>
      <c r="H1260" s="29" t="str">
        <f>VLOOKUP(A1260,File!$A:$J,8,FALSE)</f>
        <v>Uma Venkatachalam</v>
      </c>
      <c r="I1260" s="31">
        <f>VLOOKUP(A1260,File!$A:$J,9,FALSE)</f>
        <v>46282</v>
      </c>
      <c r="J1260" s="31" t="str">
        <f>VLOOKUP(A1260,File!$A:$K,11,FALSE)</f>
        <v>Sep 2026</v>
      </c>
      <c r="K1260" s="31" t="str">
        <f>VLOOKUP(A1260,File!$A:$K,10,FALSE)</f>
        <v>In-Training</v>
      </c>
      <c r="L1260" s="31" t="s">
        <v>4</v>
      </c>
      <c r="M1260" t="str">
        <f>VLOOKUP(A1260,Response!$A:$M,7,)</f>
        <v>PG (Paying Guest)</v>
      </c>
      <c r="N1260" t="str">
        <f>VLOOKUP(A1260,Response!$A:$M,8,)</f>
        <v>SRI LAKSHMI NARAYANA GENTS PG, NAVALUR</v>
      </c>
      <c r="O1260" s="4">
        <f>VLOOKUP(A1260,Response!$A:$M,10,)</f>
        <v>1</v>
      </c>
      <c r="P1260" t="str">
        <f>VLOOKUP(A1260,Response!$A:$M,12,)</f>
        <v>No</v>
      </c>
      <c r="Q1260" t="str">
        <f>VLOOKUP(A1260,Response!$A:$M,11,)</f>
        <v>Navalur</v>
      </c>
      <c r="R1260" t="s">
        <v>19</v>
      </c>
      <c r="S1260" s="39" t="s">
        <v>37</v>
      </c>
    </row>
    <row r="1261" spans="1:19">
      <c r="A1261" s="3">
        <v>2533577</v>
      </c>
      <c r="B1261" t="str">
        <f>VLOOKUP(A1261,File!$A:$J,2,FALSE)</f>
        <v>Ebenezer Josephraj</v>
      </c>
      <c r="C1261" s="29">
        <f>VLOOKUP(A1261,File!$A:$J,5,FALSE)</f>
        <v>46261</v>
      </c>
      <c r="D1261" s="29" t="str">
        <f>VLOOKUP(A1261,File!$A:$J,3,FALSE)</f>
        <v>Male</v>
      </c>
      <c r="E1261" s="29" t="str">
        <f>VLOOKUP(A1261,File!$A:$J,4,FALSE)</f>
        <v>FTE</v>
      </c>
      <c r="F1261" s="29" t="str">
        <f>VLOOKUP(A1261,File!$A:$J,6,FALSE)</f>
        <v>Chennai</v>
      </c>
      <c r="G1261" s="29" t="str">
        <f>VLOOKUP(A1261,File!$A:$J,7,FALSE)</f>
        <v>EPS26SAP038</v>
      </c>
      <c r="H1261" s="29" t="str">
        <f>VLOOKUP(A1261,File!$A:$J,8,FALSE)</f>
        <v>Ajith Ganesan</v>
      </c>
      <c r="I1261" s="31">
        <f>VLOOKUP(A1261,File!$A:$J,9,FALSE)</f>
        <v>46322</v>
      </c>
      <c r="J1261" s="31" t="str">
        <f>VLOOKUP(A1261,File!$A:$K,11,FALSE)</f>
        <v>Oct 2026</v>
      </c>
      <c r="K1261" s="31" t="str">
        <f>VLOOKUP(A1261,File!$A:$K,10,FALSE)</f>
        <v>In-Training</v>
      </c>
      <c r="L1261" s="31" t="s">
        <v>4</v>
      </c>
      <c r="M1261" t="str">
        <f>VLOOKUP(A1261,Response!$A:$M,7,)</f>
        <v>PG (Paying Guest)</v>
      </c>
      <c r="N1261" t="str">
        <f>VLOOKUP(A1261,Response!$A:$M,8,)</f>
        <v>Sri Lakshmi Narayana Gents PG, Navalur</v>
      </c>
      <c r="O1261" s="4" t="str">
        <f>VLOOKUP(A1261,Response!$A:$M,10,)</f>
        <v>GF</v>
      </c>
      <c r="P1261" t="str">
        <f>VLOOKUP(A1261,Response!$A:$M,12,)</f>
        <v>No</v>
      </c>
      <c r="Q1261" t="str">
        <f>VLOOKUP(A1261,Response!$A:$M,11,)</f>
        <v>Navalur</v>
      </c>
      <c r="R1261" t="s">
        <v>19</v>
      </c>
      <c r="S1261" s="39" t="s">
        <v>37</v>
      </c>
    </row>
    <row r="1262" spans="1:19">
      <c r="A1262" s="3">
        <v>2533031</v>
      </c>
      <c r="B1262" t="str">
        <f>VLOOKUP(A1262,File!$A:$J,2,FALSE)</f>
        <v>Keesara Sreya</v>
      </c>
      <c r="C1262" s="29">
        <f>VLOOKUP(A1262,File!$A:$J,5,FALSE)</f>
        <v>46259</v>
      </c>
      <c r="D1262" s="29" t="str">
        <f>VLOOKUP(A1262,File!$A:$J,3,FALSE)</f>
        <v>Female</v>
      </c>
      <c r="E1262" s="29" t="str">
        <f>VLOOKUP(A1262,File!$A:$J,4,FALSE)</f>
        <v>FTE</v>
      </c>
      <c r="F1262" s="29" t="str">
        <f>VLOOKUP(A1262,File!$A:$J,6,FALSE)</f>
        <v>Chennai</v>
      </c>
      <c r="G1262" s="29" t="str">
        <f>VLOOKUP(A1262,File!$A:$J,7,FALSE)</f>
        <v>ADM27DFSA001</v>
      </c>
      <c r="H1262" s="29" t="str">
        <f>VLOOKUP(A1262,File!$A:$J,8,FALSE)</f>
        <v>Thomas Naveen. J</v>
      </c>
      <c r="I1262" s="31">
        <f>VLOOKUP(A1262,File!$A:$J,9,FALSE)</f>
        <v>46386</v>
      </c>
      <c r="J1262" s="31" t="str">
        <f>VLOOKUP(A1262,File!$A:$K,11,FALSE)</f>
        <v>Dec 2026</v>
      </c>
      <c r="K1262" s="31" t="str">
        <f>VLOOKUP(A1262,File!$A:$K,10,FALSE)</f>
        <v>In-Training</v>
      </c>
      <c r="L1262" s="31" t="s">
        <v>4</v>
      </c>
      <c r="M1262" t="str">
        <f>VLOOKUP(A1262,Response!$A:$M,7,)</f>
        <v>PG (Paying Guest)</v>
      </c>
      <c r="N1262" t="str">
        <f>VLOOKUP(A1262,Response!$A:$M,8,)</f>
        <v>Sri Lakshmi Srinivasa Ladies PG</v>
      </c>
      <c r="O1262" s="4">
        <f>VLOOKUP(A1262,Response!$A:$M,10,)</f>
        <v>2</v>
      </c>
      <c r="P1262" t="str">
        <f>VLOOKUP(A1262,Response!$A:$M,12,)</f>
        <v>No</v>
      </c>
      <c r="Q1262" t="str">
        <f>VLOOKUP(A1262,Response!$A:$M,11,)</f>
        <v>Egattur</v>
      </c>
      <c r="R1262" t="s">
        <v>19</v>
      </c>
      <c r="S1262" s="39" t="s">
        <v>37</v>
      </c>
    </row>
    <row r="1263" spans="1:19">
      <c r="A1263" s="3">
        <v>2532924</v>
      </c>
      <c r="B1263" t="str">
        <f>VLOOKUP(A1263,File!$A:$J,2,FALSE)</f>
        <v>Sunduru Jahnavi</v>
      </c>
      <c r="C1263" s="29">
        <f>VLOOKUP(A1263,File!$A:$J,5,FALSE)</f>
        <v>46259</v>
      </c>
      <c r="D1263" s="29" t="str">
        <f>VLOOKUP(A1263,File!$A:$J,3,FALSE)</f>
        <v>Female</v>
      </c>
      <c r="E1263" s="29" t="str">
        <f>VLOOKUP(A1263,File!$A:$J,4,FALSE)</f>
        <v>FTE</v>
      </c>
      <c r="F1263" s="29" t="str">
        <f>VLOOKUP(A1263,File!$A:$J,6,FALSE)</f>
        <v>Chennai</v>
      </c>
      <c r="G1263" s="29" t="str">
        <f>VLOOKUP(A1263,File!$A:$J,7,FALSE)</f>
        <v>CIS26MBG005</v>
      </c>
      <c r="H1263" s="29" t="str">
        <f>VLOOKUP(A1263,File!$A:$J,8,FALSE)</f>
        <v>Angel Maria Faustina Gomez</v>
      </c>
      <c r="I1263" s="31">
        <f>VLOOKUP(A1263,File!$A:$J,9,FALSE)</f>
        <v>46367</v>
      </c>
      <c r="J1263" s="31" t="str">
        <f>VLOOKUP(A1263,File!$A:$K,11,FALSE)</f>
        <v>Dec 2026</v>
      </c>
      <c r="K1263" s="31" t="str">
        <f>VLOOKUP(A1263,File!$A:$K,10,FALSE)</f>
        <v>In-Training</v>
      </c>
      <c r="L1263" s="31" t="s">
        <v>4</v>
      </c>
      <c r="M1263" t="str">
        <f>VLOOKUP(A1263,Response!$A:$M,7,)</f>
        <v>PG (Paying Guest)</v>
      </c>
      <c r="N1263" t="str">
        <f>VLOOKUP(A1263,Response!$A:$M,8,)</f>
        <v>SRI LAKSHMI SRINIVASA LADIES PG</v>
      </c>
      <c r="O1263" s="4">
        <f>VLOOKUP(A1263,Response!$A:$M,10,)</f>
        <v>2</v>
      </c>
      <c r="P1263" t="str">
        <f>VLOOKUP(A1263,Response!$A:$M,12,)</f>
        <v>No</v>
      </c>
      <c r="Q1263" t="str">
        <f>VLOOKUP(A1263,Response!$A:$M,11,)</f>
        <v>Siruseri</v>
      </c>
      <c r="R1263" t="s">
        <v>19</v>
      </c>
      <c r="S1263" s="39" t="s">
        <v>37</v>
      </c>
    </row>
    <row r="1264" spans="1:19">
      <c r="A1264" s="3">
        <v>2521714</v>
      </c>
      <c r="B1264" t="str">
        <f>VLOOKUP(A1264,File!$A:$J,2,FALSE)</f>
        <v>Doradla Shyama Jyothi</v>
      </c>
      <c r="C1264" s="29">
        <f>VLOOKUP(A1264,File!$A:$J,5,FALSE)</f>
        <v>46212</v>
      </c>
      <c r="D1264" s="29" t="str">
        <f>VLOOKUP(A1264,File!$A:$J,3,FALSE)</f>
        <v>Female</v>
      </c>
      <c r="E1264" s="29" t="str">
        <f>VLOOKUP(A1264,File!$A:$J,4,FALSE)</f>
        <v>FTE</v>
      </c>
      <c r="F1264" s="29" t="str">
        <f>VLOOKUP(A1264,File!$A:$J,6,FALSE)</f>
        <v>Chennai</v>
      </c>
      <c r="G1264" s="29" t="str">
        <f>VLOOKUP(A1264,File!$A:$J,7,FALSE)</f>
        <v>ADM26MF011</v>
      </c>
      <c r="H1264" s="29" t="str">
        <f>VLOOKUP(A1264,File!$A:$J,8,FALSE)</f>
        <v>Abinaya R</v>
      </c>
      <c r="I1264" s="31">
        <f>VLOOKUP(A1264,File!$A:$J,9,FALSE)</f>
        <v>46328</v>
      </c>
      <c r="J1264" s="31" t="str">
        <f>VLOOKUP(A1264,File!$A:$K,11,FALSE)</f>
        <v>Nov 2026</v>
      </c>
      <c r="K1264" s="31" t="str">
        <f>VLOOKUP(A1264,File!$A:$K,10,FALSE)</f>
        <v>In-Training</v>
      </c>
      <c r="L1264" s="31" t="s">
        <v>4</v>
      </c>
      <c r="M1264" t="str">
        <f>VLOOKUP(A1264,Response!$A:$M,7,)</f>
        <v>PG (Paying Guest)</v>
      </c>
      <c r="N1264" t="str">
        <f>VLOOKUP(A1264,Response!$A:$M,8,)</f>
        <v>SRI LAKSHMI SRINIVASA LADIES PG</v>
      </c>
      <c r="O1264" s="4">
        <f>VLOOKUP(A1264,Response!$A:$M,10,)</f>
        <v>3</v>
      </c>
      <c r="P1264" t="str">
        <f>VLOOKUP(A1264,Response!$A:$M,12,)</f>
        <v>No</v>
      </c>
      <c r="Q1264" t="str">
        <f>VLOOKUP(A1264,Response!$A:$M,11,)</f>
        <v>Egattur</v>
      </c>
      <c r="R1264" t="s">
        <v>19</v>
      </c>
      <c r="S1264" s="39" t="s">
        <v>37</v>
      </c>
    </row>
    <row r="1265" spans="1:19">
      <c r="A1265" s="3">
        <v>2532967</v>
      </c>
      <c r="B1265" t="str">
        <f>VLOOKUP(A1265,File!$A:$J,2,FALSE)</f>
        <v>Yarragudi Vijaya Kumari</v>
      </c>
      <c r="C1265" s="29">
        <f>VLOOKUP(A1265,File!$A:$J,5,FALSE)</f>
        <v>46259</v>
      </c>
      <c r="D1265" s="29" t="str">
        <f>VLOOKUP(A1265,File!$A:$J,3,FALSE)</f>
        <v>Female</v>
      </c>
      <c r="E1265" s="29" t="str">
        <f>VLOOKUP(A1265,File!$A:$J,4,FALSE)</f>
        <v>FTE</v>
      </c>
      <c r="F1265" s="29" t="str">
        <f>VLOOKUP(A1265,File!$A:$J,6,FALSE)</f>
        <v>Chennai</v>
      </c>
      <c r="G1265" s="29" t="str">
        <f>VLOOKUP(A1265,File!$A:$J,7,FALSE)</f>
        <v>CIS26MBG006</v>
      </c>
      <c r="H1265" s="29" t="str">
        <f>VLOOKUP(A1265,File!$A:$J,8,FALSE)</f>
        <v>Angel Maria Faustina Gomez</v>
      </c>
      <c r="I1265" s="31">
        <f>VLOOKUP(A1265,File!$A:$J,9,FALSE)</f>
        <v>46367</v>
      </c>
      <c r="J1265" s="31" t="str">
        <f>VLOOKUP(A1265,File!$A:$K,11,FALSE)</f>
        <v>Dec 2026</v>
      </c>
      <c r="K1265" s="31" t="str">
        <f>VLOOKUP(A1265,File!$A:$K,10,FALSE)</f>
        <v>In-Training</v>
      </c>
      <c r="L1265" s="31" t="s">
        <v>4</v>
      </c>
      <c r="M1265" t="str">
        <f>VLOOKUP(A1265,Response!$A:$M,7,)</f>
        <v>PG (Paying Guest)</v>
      </c>
      <c r="N1265" t="str">
        <f>VLOOKUP(A1265,Response!$A:$M,8,)</f>
        <v>Sri Lakshmi Srinivasa Ladies Pg</v>
      </c>
      <c r="O1265" s="4">
        <f>VLOOKUP(A1265,Response!$A:$M,10,)</f>
        <v>3</v>
      </c>
      <c r="P1265" t="str">
        <f>VLOOKUP(A1265,Response!$A:$M,12,)</f>
        <v>No</v>
      </c>
      <c r="Q1265" t="str">
        <f>VLOOKUP(A1265,Response!$A:$M,11,)</f>
        <v>Egattur</v>
      </c>
      <c r="R1265" t="s">
        <v>19</v>
      </c>
      <c r="S1265" s="39" t="s">
        <v>37</v>
      </c>
    </row>
    <row r="1266" spans="1:19">
      <c r="A1266" s="3">
        <v>2516853</v>
      </c>
      <c r="B1266" t="str">
        <f>VLOOKUP(A1266,File!$A:$J,2,FALSE)</f>
        <v>Baby Sree B</v>
      </c>
      <c r="C1266" s="29">
        <f>VLOOKUP(A1266,File!$A:$J,5,FALSE)</f>
        <v>46191</v>
      </c>
      <c r="D1266" s="29" t="str">
        <f>VLOOKUP(A1266,File!$A:$J,3,FALSE)</f>
        <v>Female</v>
      </c>
      <c r="E1266" s="29" t="str">
        <f>VLOOKUP(A1266,File!$A:$J,4,FALSE)</f>
        <v>FTE</v>
      </c>
      <c r="F1266" s="29" t="str">
        <f>VLOOKUP(A1266,File!$A:$J,6,FALSE)</f>
        <v>Chennai</v>
      </c>
      <c r="G1266" s="29" t="str">
        <f>VLOOKUP(A1266,File!$A:$J,7,FALSE)</f>
        <v>CIS26MW001</v>
      </c>
      <c r="H1266" s="29" t="str">
        <f>VLOOKUP(A1266,File!$A:$J,8,FALSE)</f>
        <v>Ashiya Begam S</v>
      </c>
      <c r="I1266" s="31">
        <f>VLOOKUP(A1266,File!$A:$J,9,FALSE)</f>
        <v>46276</v>
      </c>
      <c r="J1266" s="31" t="str">
        <f>VLOOKUP(A1266,File!$A:$K,11,FALSE)</f>
        <v>Sep 2026</v>
      </c>
      <c r="K1266" s="31" t="str">
        <f>VLOOKUP(A1266,File!$A:$K,10,FALSE)</f>
        <v>In-Training</v>
      </c>
      <c r="L1266" s="31" t="s">
        <v>4</v>
      </c>
      <c r="M1266" t="str">
        <f>VLOOKUP(A1266,Response!$A:$M,7,)</f>
        <v>PG (Paying Guest)</v>
      </c>
      <c r="N1266" t="str">
        <f>VLOOKUP(A1266,Response!$A:$M,8,)</f>
        <v>Sri Lakshmi Srinivasa Ladies PG</v>
      </c>
      <c r="O1266" s="4">
        <f>VLOOKUP(A1266,Response!$A:$M,10,)</f>
        <v>4</v>
      </c>
      <c r="P1266" t="str">
        <f>VLOOKUP(A1266,Response!$A:$M,12,)</f>
        <v>No</v>
      </c>
      <c r="Q1266" t="str">
        <f>VLOOKUP(A1266,Response!$A:$M,11,)</f>
        <v>Siruseri</v>
      </c>
      <c r="R1266" t="s">
        <v>19</v>
      </c>
      <c r="S1266" s="39" t="s">
        <v>37</v>
      </c>
    </row>
    <row r="1267" spans="1:19">
      <c r="A1267" s="3">
        <v>2516749</v>
      </c>
      <c r="B1267" t="str">
        <f>VLOOKUP(A1267,File!$A:$J,2,FALSE)</f>
        <v>Vishnu Priya Chadulla</v>
      </c>
      <c r="C1267" s="29">
        <f>VLOOKUP(A1267,File!$A:$J,5,FALSE)</f>
        <v>46191</v>
      </c>
      <c r="D1267" s="29" t="str">
        <f>VLOOKUP(A1267,File!$A:$J,3,FALSE)</f>
        <v>Female</v>
      </c>
      <c r="E1267" s="29" t="str">
        <f>VLOOKUP(A1267,File!$A:$J,4,FALSE)</f>
        <v>FTE</v>
      </c>
      <c r="F1267" s="29" t="str">
        <f>VLOOKUP(A1267,File!$A:$J,6,FALSE)</f>
        <v>Chennai</v>
      </c>
      <c r="G1267" s="29" t="str">
        <f>VLOOKUP(A1267,File!$A:$J,7,FALSE)</f>
        <v>CIS26MW001</v>
      </c>
      <c r="H1267" s="29" t="str">
        <f>VLOOKUP(A1267,File!$A:$J,8,FALSE)</f>
        <v>Ashiya Begam S</v>
      </c>
      <c r="I1267" s="31">
        <f>VLOOKUP(A1267,File!$A:$J,9,FALSE)</f>
        <v>46276</v>
      </c>
      <c r="J1267" s="31" t="str">
        <f>VLOOKUP(A1267,File!$A:$K,11,FALSE)</f>
        <v>Sep 2026</v>
      </c>
      <c r="K1267" s="31" t="str">
        <f>VLOOKUP(A1267,File!$A:$K,10,FALSE)</f>
        <v>In-Training</v>
      </c>
      <c r="L1267" s="31" t="s">
        <v>4</v>
      </c>
      <c r="M1267" t="str">
        <f>VLOOKUP(A1267,Response!$A:$M,7,)</f>
        <v>PG (Paying Guest)</v>
      </c>
      <c r="N1267" t="str">
        <f>VLOOKUP(A1267,Response!$A:$M,8,)</f>
        <v>Sri Lakshmi Srinivasa Ladies Pg - Egattur</v>
      </c>
      <c r="O1267" s="4">
        <f>VLOOKUP(A1267,Response!$A:$M,10,)</f>
        <v>5</v>
      </c>
      <c r="P1267" t="str">
        <f>VLOOKUP(A1267,Response!$A:$M,12,)</f>
        <v>No</v>
      </c>
      <c r="Q1267" t="str">
        <f>VLOOKUP(A1267,Response!$A:$M,11,)</f>
        <v>Siruseri</v>
      </c>
      <c r="R1267" t="s">
        <v>19</v>
      </c>
      <c r="S1267" s="39" t="s">
        <v>37</v>
      </c>
    </row>
    <row r="1268" spans="1:19">
      <c r="A1268" s="3">
        <v>2532942</v>
      </c>
      <c r="B1268" t="str">
        <f>VLOOKUP(A1268,File!$A:$J,2,FALSE)</f>
        <v>Nalluri Anusha</v>
      </c>
      <c r="C1268" s="29">
        <f>VLOOKUP(A1268,File!$A:$J,5,FALSE)</f>
        <v>46259</v>
      </c>
      <c r="D1268" s="29" t="str">
        <f>VLOOKUP(A1268,File!$A:$J,3,FALSE)</f>
        <v>Female</v>
      </c>
      <c r="E1268" s="29" t="str">
        <f>VLOOKUP(A1268,File!$A:$J,4,FALSE)</f>
        <v>FTE</v>
      </c>
      <c r="F1268" s="29" t="str">
        <f>VLOOKUP(A1268,File!$A:$J,6,FALSE)</f>
        <v>Chennai</v>
      </c>
      <c r="G1268" s="29" t="str">
        <f>VLOOKUP(A1268,File!$A:$J,7,FALSE)</f>
        <v>CIS26MBG005</v>
      </c>
      <c r="H1268" s="29" t="str">
        <f>VLOOKUP(A1268,File!$A:$J,8,FALSE)</f>
        <v>Angel Maria Faustina Gomez</v>
      </c>
      <c r="I1268" s="31">
        <f>VLOOKUP(A1268,File!$A:$J,9,FALSE)</f>
        <v>46367</v>
      </c>
      <c r="J1268" s="31" t="str">
        <f>VLOOKUP(A1268,File!$A:$K,11,FALSE)</f>
        <v>Dec 2026</v>
      </c>
      <c r="K1268" s="31" t="str">
        <f>VLOOKUP(A1268,File!$A:$K,10,FALSE)</f>
        <v>In-Training</v>
      </c>
      <c r="L1268" s="31" t="s">
        <v>4</v>
      </c>
      <c r="M1268" t="str">
        <f>VLOOKUP(A1268,Response!$A:$M,7,)</f>
        <v>PG (Paying Guest)</v>
      </c>
      <c r="N1268" t="str">
        <f>VLOOKUP(A1268,Response!$A:$M,8,)</f>
        <v>Sri Lakshmi Srinivasa Ladies PG ,  Periyar St, Siruseri, Egattur</v>
      </c>
      <c r="O1268" s="4">
        <f>VLOOKUP(A1268,Response!$A:$M,10,)</f>
        <v>2</v>
      </c>
      <c r="P1268" t="str">
        <f>VLOOKUP(A1268,Response!$A:$M,12,)</f>
        <v>No</v>
      </c>
      <c r="Q1268" t="str">
        <f>VLOOKUP(A1268,Response!$A:$M,11,)</f>
        <v>Siruseri</v>
      </c>
      <c r="R1268" t="s">
        <v>19</v>
      </c>
      <c r="S1268" s="39" t="s">
        <v>37</v>
      </c>
    </row>
    <row r="1269" spans="1:19">
      <c r="A1269" s="3">
        <v>2533588</v>
      </c>
      <c r="B1269" t="str">
        <f>VLOOKUP(A1269,File!$A:$J,2,FALSE)</f>
        <v>Thotakura Navya Annapurna</v>
      </c>
      <c r="C1269" s="29">
        <f>VLOOKUP(A1269,File!$A:$J,5,FALSE)</f>
        <v>46261</v>
      </c>
      <c r="D1269" s="29" t="str">
        <f>VLOOKUP(A1269,File!$A:$J,3,FALSE)</f>
        <v>Female</v>
      </c>
      <c r="E1269" s="29" t="str">
        <f>VLOOKUP(A1269,File!$A:$J,4,FALSE)</f>
        <v>FTE</v>
      </c>
      <c r="F1269" s="29" t="str">
        <f>VLOOKUP(A1269,File!$A:$J,6,FALSE)</f>
        <v>Chennai</v>
      </c>
      <c r="G1269" s="29" t="str">
        <f>VLOOKUP(A1269,File!$A:$J,7,FALSE)</f>
        <v>EPS26SAP038</v>
      </c>
      <c r="H1269" s="29" t="str">
        <f>VLOOKUP(A1269,File!$A:$J,8,FALSE)</f>
        <v>Ajith Ganesan</v>
      </c>
      <c r="I1269" s="31">
        <f>VLOOKUP(A1269,File!$A:$J,9,FALSE)</f>
        <v>46322</v>
      </c>
      <c r="J1269" s="31" t="str">
        <f>VLOOKUP(A1269,File!$A:$K,11,FALSE)</f>
        <v>Oct 2026</v>
      </c>
      <c r="K1269" s="31" t="str">
        <f>VLOOKUP(A1269,File!$A:$K,10,FALSE)</f>
        <v>In-Training</v>
      </c>
      <c r="L1269" s="31" t="s">
        <v>4</v>
      </c>
      <c r="M1269" t="str">
        <f>VLOOKUP(A1269,Response!$A:$M,7,)</f>
        <v>PG (Paying Guest)</v>
      </c>
      <c r="N1269" t="str">
        <f>VLOOKUP(A1269,Response!$A:$M,8,)</f>
        <v>Sri Lakshmi Srinivasa Ladies PG, Egattur</v>
      </c>
      <c r="O1269" s="4">
        <f>VLOOKUP(A1269,Response!$A:$M,10,)</f>
        <v>2</v>
      </c>
      <c r="P1269" t="str">
        <f>VLOOKUP(A1269,Response!$A:$M,12,)</f>
        <v>No</v>
      </c>
      <c r="Q1269" t="str">
        <f>VLOOKUP(A1269,Response!$A:$M,11,)</f>
        <v>Egattur</v>
      </c>
      <c r="R1269" t="s">
        <v>19</v>
      </c>
      <c r="S1269" s="39" t="s">
        <v>37</v>
      </c>
    </row>
    <row r="1270" spans="1:19">
      <c r="A1270" s="3">
        <v>2532980</v>
      </c>
      <c r="B1270" t="str">
        <f>VLOOKUP(A1270,File!$A:$J,2,FALSE)</f>
        <v>Pallala Manasa</v>
      </c>
      <c r="C1270" s="29">
        <f>VLOOKUP(A1270,File!$A:$J,5,FALSE)</f>
        <v>46259</v>
      </c>
      <c r="D1270" s="29" t="str">
        <f>VLOOKUP(A1270,File!$A:$J,3,FALSE)</f>
        <v>Female</v>
      </c>
      <c r="E1270" s="29" t="str">
        <f>VLOOKUP(A1270,File!$A:$J,4,FALSE)</f>
        <v>FTE</v>
      </c>
      <c r="F1270" s="29" t="str">
        <f>VLOOKUP(A1270,File!$A:$J,6,FALSE)</f>
        <v>Chennai</v>
      </c>
      <c r="G1270" s="29" t="str">
        <f>VLOOKUP(A1270,File!$A:$J,7,FALSE)</f>
        <v>CIS26MBG005</v>
      </c>
      <c r="H1270" s="29" t="str">
        <f>VLOOKUP(A1270,File!$A:$J,8,FALSE)</f>
        <v>Angel Maria Faustina Gomez</v>
      </c>
      <c r="I1270" s="31">
        <f>VLOOKUP(A1270,File!$A:$J,9,FALSE)</f>
        <v>46367</v>
      </c>
      <c r="J1270" s="31" t="str">
        <f>VLOOKUP(A1270,File!$A:$K,11,FALSE)</f>
        <v>Dec 2026</v>
      </c>
      <c r="K1270" s="31" t="str">
        <f>VLOOKUP(A1270,File!$A:$K,10,FALSE)</f>
        <v>In-Training</v>
      </c>
      <c r="L1270" s="31" t="s">
        <v>4</v>
      </c>
      <c r="M1270" t="str">
        <f>VLOOKUP(A1270,Response!$A:$M,7,)</f>
        <v>PG (Paying Guest)</v>
      </c>
      <c r="N1270" t="str">
        <f>VLOOKUP(A1270,Response!$A:$M,8,)</f>
        <v>sri lakshmi srinivasa ladies pg, Eggattur</v>
      </c>
      <c r="O1270" s="4">
        <f>VLOOKUP(A1270,Response!$A:$M,10,)</f>
        <v>2</v>
      </c>
      <c r="P1270" t="str">
        <f>VLOOKUP(A1270,Response!$A:$M,12,)</f>
        <v>No</v>
      </c>
      <c r="Q1270" t="str">
        <f>VLOOKUP(A1270,Response!$A:$M,11,)</f>
        <v>Egattur</v>
      </c>
      <c r="R1270" t="s">
        <v>19</v>
      </c>
      <c r="S1270" s="39" t="s">
        <v>37</v>
      </c>
    </row>
    <row r="1271" spans="1:19">
      <c r="A1271" s="3">
        <v>2521761</v>
      </c>
      <c r="B1271" t="str">
        <f>VLOOKUP(A1271,File!$A:$J,2,FALSE)</f>
        <v>Jyesta Sai Manogna</v>
      </c>
      <c r="C1271" s="29">
        <f>VLOOKUP(A1271,File!$A:$J,5,FALSE)</f>
        <v>46212</v>
      </c>
      <c r="D1271" s="29" t="str">
        <f>VLOOKUP(A1271,File!$A:$J,3,FALSE)</f>
        <v>Female</v>
      </c>
      <c r="E1271" s="29" t="str">
        <f>VLOOKUP(A1271,File!$A:$J,4,FALSE)</f>
        <v>FTE</v>
      </c>
      <c r="F1271" s="29" t="str">
        <f>VLOOKUP(A1271,File!$A:$J,6,FALSE)</f>
        <v>Chennai</v>
      </c>
      <c r="G1271" s="29" t="str">
        <f>VLOOKUP(A1271,File!$A:$J,7,FALSE)</f>
        <v>QEA26SD001</v>
      </c>
      <c r="H1271" s="29" t="str">
        <f>VLOOKUP(A1271,File!$A:$J,8,FALSE)</f>
        <v>Ajiesya D P</v>
      </c>
      <c r="I1271" s="31">
        <f>VLOOKUP(A1271,File!$A:$J,9,FALSE)</f>
        <v>46329</v>
      </c>
      <c r="J1271" s="31" t="str">
        <f>VLOOKUP(A1271,File!$A:$K,11,FALSE)</f>
        <v>Nov 2026</v>
      </c>
      <c r="K1271" s="31" t="str">
        <f>VLOOKUP(A1271,File!$A:$K,10,FALSE)</f>
        <v>In-Training</v>
      </c>
      <c r="L1271" s="31" t="s">
        <v>4</v>
      </c>
      <c r="M1271" t="str">
        <f>VLOOKUP(A1271,Response!$A:$M,7,)</f>
        <v>PG (Paying Guest)</v>
      </c>
      <c r="N1271" t="str">
        <f>VLOOKUP(A1271,Response!$A:$M,8,)</f>
        <v>Sri Lakshmi Srinivasa Ladies Pg,Egattur</v>
      </c>
      <c r="O1271" s="4">
        <f>VLOOKUP(A1271,Response!$A:$M,10,)</f>
        <v>3</v>
      </c>
      <c r="P1271" t="str">
        <f>VLOOKUP(A1271,Response!$A:$M,12,)</f>
        <v>No</v>
      </c>
      <c r="Q1271" t="str">
        <f>VLOOKUP(A1271,Response!$A:$M,11,)</f>
        <v>Egattur</v>
      </c>
      <c r="R1271" t="s">
        <v>19</v>
      </c>
      <c r="S1271" s="39" t="s">
        <v>37</v>
      </c>
    </row>
    <row r="1272" spans="1:19">
      <c r="A1272" s="3">
        <v>2533082</v>
      </c>
      <c r="B1272" t="str">
        <f>VLOOKUP(A1272,File!$A:$J,2,FALSE)</f>
        <v>Tunuguntla Tanuja</v>
      </c>
      <c r="C1272" s="29">
        <f>VLOOKUP(A1272,File!$A:$J,5,FALSE)</f>
        <v>46259</v>
      </c>
      <c r="D1272" s="29" t="str">
        <f>VLOOKUP(A1272,File!$A:$J,3,FALSE)</f>
        <v>Female</v>
      </c>
      <c r="E1272" s="29" t="str">
        <f>VLOOKUP(A1272,File!$A:$J,4,FALSE)</f>
        <v>FTE</v>
      </c>
      <c r="F1272" s="29" t="str">
        <f>VLOOKUP(A1272,File!$A:$J,6,FALSE)</f>
        <v>Chennai</v>
      </c>
      <c r="G1272" s="29" t="str">
        <f>VLOOKUP(A1272,File!$A:$J,7,FALSE)</f>
        <v>CIS26MBG003</v>
      </c>
      <c r="H1272" s="29" t="str">
        <f>VLOOKUP(A1272,File!$A:$J,8,FALSE)</f>
        <v>Kishorekumar P</v>
      </c>
      <c r="I1272" s="31">
        <f>VLOOKUP(A1272,File!$A:$J,9,FALSE)</f>
        <v>46367</v>
      </c>
      <c r="J1272" s="31" t="str">
        <f>VLOOKUP(A1272,File!$A:$K,11,FALSE)</f>
        <v>Dec 2026</v>
      </c>
      <c r="K1272" s="31" t="str">
        <f>VLOOKUP(A1272,File!$A:$K,10,FALSE)</f>
        <v>In-Training</v>
      </c>
      <c r="L1272" s="31" t="s">
        <v>4</v>
      </c>
      <c r="M1272" t="str">
        <f>VLOOKUP(A1272,Response!$A:$M,7,)</f>
        <v>PG (Paying Guest)</v>
      </c>
      <c r="N1272" t="str">
        <f>VLOOKUP(A1272,Response!$A:$M,8,)</f>
        <v>Sri Lakshmi Srinivasa Ladies Pg,Siruseri</v>
      </c>
      <c r="O1272" s="4">
        <f>VLOOKUP(A1272,Response!$A:$M,10,)</f>
        <v>2</v>
      </c>
      <c r="P1272" t="str">
        <f>VLOOKUP(A1272,Response!$A:$M,12,)</f>
        <v>No</v>
      </c>
      <c r="Q1272" t="str">
        <f>VLOOKUP(A1272,Response!$A:$M,11,)</f>
        <v>Siruseri</v>
      </c>
      <c r="R1272" t="s">
        <v>19</v>
      </c>
      <c r="S1272" s="39" t="s">
        <v>37</v>
      </c>
    </row>
    <row r="1273" spans="1:19">
      <c r="A1273" s="3">
        <v>2530178</v>
      </c>
      <c r="B1273" t="str">
        <f>VLOOKUP(A1273,File!$A:$J,2,FALSE)</f>
        <v>Pasupuleti Kundana</v>
      </c>
      <c r="C1273" s="29">
        <f>VLOOKUP(A1273,File!$A:$J,5,FALSE)</f>
        <v>46247</v>
      </c>
      <c r="D1273" s="29" t="str">
        <f>VLOOKUP(A1273,File!$A:$J,3,FALSE)</f>
        <v>Female</v>
      </c>
      <c r="E1273" s="29" t="str">
        <f>VLOOKUP(A1273,File!$A:$J,4,FALSE)</f>
        <v>FTE</v>
      </c>
      <c r="F1273" s="29" t="str">
        <f>VLOOKUP(A1273,File!$A:$J,6,FALSE)</f>
        <v>Chennai</v>
      </c>
      <c r="G1273" s="29" t="str">
        <f>VLOOKUP(A1273,File!$A:$J,7,FALSE)</f>
        <v>EPS26OSP010</v>
      </c>
      <c r="H1273" s="29" t="str">
        <f>VLOOKUP(A1273,File!$A:$J,8,FALSE)</f>
        <v>Vishnupriya Dakshnamurthy</v>
      </c>
      <c r="I1273" s="31">
        <f>VLOOKUP(A1273,File!$A:$J,9,FALSE)</f>
        <v>46357</v>
      </c>
      <c r="J1273" s="31" t="str">
        <f>VLOOKUP(A1273,File!$A:$K,11,FALSE)</f>
        <v>Dec 2026</v>
      </c>
      <c r="K1273" s="31" t="str">
        <f>VLOOKUP(A1273,File!$A:$K,10,FALSE)</f>
        <v>In-Training</v>
      </c>
      <c r="L1273" s="31" t="s">
        <v>4</v>
      </c>
      <c r="M1273" t="str">
        <f>VLOOKUP(A1273,Response!$A:$M,7,)</f>
        <v>PG (Paying Guest)</v>
      </c>
      <c r="N1273" t="str">
        <f>VLOOKUP(A1273,Response!$A:$M,8,)</f>
        <v>Sri Lakshmi Srinivasa Ladies pg,Siruseri,Periyar Street,Chennai</v>
      </c>
      <c r="O1273" s="4">
        <f>VLOOKUP(A1273,Response!$A:$M,10,)</f>
        <v>3</v>
      </c>
      <c r="P1273" t="str">
        <f>VLOOKUP(A1273,Response!$A:$M,12,)</f>
        <v>No</v>
      </c>
      <c r="Q1273" t="str">
        <f>VLOOKUP(A1273,Response!$A:$M,11,)</f>
        <v>Siruseri</v>
      </c>
      <c r="R1273" t="s">
        <v>19</v>
      </c>
      <c r="S1273" s="39" t="s">
        <v>37</v>
      </c>
    </row>
    <row r="1274" spans="1:19">
      <c r="A1274" s="3">
        <v>2524990</v>
      </c>
      <c r="B1274" t="str">
        <f>VLOOKUP(A1274,File!$A:$J,2,FALSE)</f>
        <v>Kadavakallu Srivani</v>
      </c>
      <c r="C1274" s="29">
        <f>VLOOKUP(A1274,File!$A:$J,5,FALSE)</f>
        <v>46226</v>
      </c>
      <c r="D1274" s="29" t="str">
        <f>VLOOKUP(A1274,File!$A:$J,3,FALSE)</f>
        <v>Female</v>
      </c>
      <c r="E1274" s="29" t="str">
        <f>VLOOKUP(A1274,File!$A:$J,4,FALSE)</f>
        <v>FTE</v>
      </c>
      <c r="F1274" s="29" t="str">
        <f>VLOOKUP(A1274,File!$A:$J,6,FALSE)</f>
        <v>Chennai</v>
      </c>
      <c r="G1274" s="29" t="str">
        <f>VLOOKUP(A1274,File!$A:$J,7,FALSE)</f>
        <v>ADM26ISMO010</v>
      </c>
      <c r="H1274" s="29" t="str">
        <f>VLOOKUP(A1274,File!$A:$J,8,FALSE)</f>
        <v>Thomas Naveen. J</v>
      </c>
      <c r="I1274" s="31">
        <f>VLOOKUP(A1274,File!$A:$J,9,FALSE)</f>
        <v>46301</v>
      </c>
      <c r="J1274" s="31" t="str">
        <f>VLOOKUP(A1274,File!$A:$K,11,FALSE)</f>
        <v>Oct 2026</v>
      </c>
      <c r="K1274" s="31" t="str">
        <f>VLOOKUP(A1274,File!$A:$K,10,FALSE)</f>
        <v>In-Training</v>
      </c>
      <c r="L1274" s="31" t="s">
        <v>4</v>
      </c>
      <c r="M1274" t="str">
        <f>VLOOKUP(A1274,Response!$A:$M,7,)</f>
        <v>PG (Paying Guest)</v>
      </c>
      <c r="N1274" t="str">
        <f>VLOOKUP(A1274,Response!$A:$M,8,)</f>
        <v>sri lakshmi srinuvasa ladies pg</v>
      </c>
      <c r="O1274" s="4" t="str">
        <f>VLOOKUP(A1274,Response!$A:$M,10,)</f>
        <v>GF</v>
      </c>
      <c r="P1274" t="str">
        <f>VLOOKUP(A1274,Response!$A:$M,12,)</f>
        <v>No</v>
      </c>
      <c r="Q1274" t="str">
        <f>VLOOKUP(A1274,Response!$A:$M,11,)</f>
        <v>Egattur</v>
      </c>
      <c r="R1274" t="s">
        <v>19</v>
      </c>
      <c r="S1274" s="39" t="s">
        <v>37</v>
      </c>
    </row>
    <row r="1275" spans="1:19">
      <c r="A1275" s="3">
        <v>2525032</v>
      </c>
      <c r="B1275" t="str">
        <f>VLOOKUP(A1275,File!$A:$J,2,FALSE)</f>
        <v>Terli Roja</v>
      </c>
      <c r="C1275" s="29">
        <f>VLOOKUP(A1275,File!$A:$J,5,FALSE)</f>
        <v>46226</v>
      </c>
      <c r="D1275" s="29" t="str">
        <f>VLOOKUP(A1275,File!$A:$J,3,FALSE)</f>
        <v>Female</v>
      </c>
      <c r="E1275" s="29" t="str">
        <f>VLOOKUP(A1275,File!$A:$J,4,FALSE)</f>
        <v>FTE</v>
      </c>
      <c r="F1275" s="29" t="str">
        <f>VLOOKUP(A1275,File!$A:$J,6,FALSE)</f>
        <v>Chennai</v>
      </c>
      <c r="G1275" s="29" t="str">
        <f>VLOOKUP(A1275,File!$A:$J,7,FALSE)</f>
        <v>ADM26ISMO010</v>
      </c>
      <c r="H1275" s="29" t="str">
        <f>VLOOKUP(A1275,File!$A:$J,8,FALSE)</f>
        <v>Thomas Naveen. J</v>
      </c>
      <c r="I1275" s="31">
        <f>VLOOKUP(A1275,File!$A:$J,9,FALSE)</f>
        <v>46301</v>
      </c>
      <c r="J1275" s="31" t="str">
        <f>VLOOKUP(A1275,File!$A:$K,11,FALSE)</f>
        <v>Oct 2026</v>
      </c>
      <c r="K1275" s="31" t="str">
        <f>VLOOKUP(A1275,File!$A:$K,10,FALSE)</f>
        <v>In-Training</v>
      </c>
      <c r="L1275" s="31" t="s">
        <v>4</v>
      </c>
      <c r="M1275" t="str">
        <f>VLOOKUP(A1275,Response!$A:$M,7,)</f>
        <v>Hostel</v>
      </c>
      <c r="N1275" t="str">
        <f>VLOOKUP(A1275,Response!$A:$M,8,)</f>
        <v>sri lakshmi srinuvasa pg,egattur</v>
      </c>
      <c r="O1275" s="4" t="str">
        <f>VLOOKUP(A1275,Response!$A:$M,10,)</f>
        <v>GF</v>
      </c>
      <c r="P1275" t="str">
        <f>VLOOKUP(A1275,Response!$A:$M,12,)</f>
        <v>No</v>
      </c>
      <c r="Q1275" t="str">
        <f>VLOOKUP(A1275,Response!$A:$M,11,)</f>
        <v>Egattur</v>
      </c>
      <c r="R1275" t="s">
        <v>19</v>
      </c>
      <c r="S1275" s="39" t="s">
        <v>37</v>
      </c>
    </row>
    <row r="1276" spans="1:19">
      <c r="A1276" s="3">
        <v>2531800</v>
      </c>
      <c r="B1276" t="str">
        <f>VLOOKUP(A1276,File!$A:$J,2,FALSE)</f>
        <v>Vavilapalli Siva Kumar</v>
      </c>
      <c r="C1276" s="29">
        <f>VLOOKUP(A1276,File!$A:$J,5,FALSE)</f>
        <v>46254</v>
      </c>
      <c r="D1276" s="29" t="str">
        <f>VLOOKUP(A1276,File!$A:$J,3,FALSE)</f>
        <v>Male</v>
      </c>
      <c r="E1276" s="29" t="str">
        <f>VLOOKUP(A1276,File!$A:$J,4,FALSE)</f>
        <v>Intern</v>
      </c>
      <c r="F1276" s="29" t="str">
        <f>VLOOKUP(A1276,File!$A:$J,6,FALSE)</f>
        <v>Chennai</v>
      </c>
      <c r="G1276" s="29" t="str">
        <f>VLOOKUP(A1276,File!$A:$J,7,FALSE)</f>
        <v>INTFE26FE001</v>
      </c>
      <c r="H1276" s="29" t="str">
        <f>VLOOKUP(A1276,File!$A:$J,8,FALSE)</f>
        <v>Grace Esther S</v>
      </c>
      <c r="I1276" s="31">
        <f>VLOOKUP(A1276,File!$A:$J,9,FALSE)</f>
        <v>46310</v>
      </c>
      <c r="J1276" s="31" t="str">
        <f>VLOOKUP(A1276,File!$A:$K,11,FALSE)</f>
        <v>Oct 2026</v>
      </c>
      <c r="K1276" s="31" t="str">
        <f>VLOOKUP(A1276,File!$A:$K,10,FALSE)</f>
        <v>In-Training</v>
      </c>
      <c r="L1276" s="31" t="s">
        <v>4</v>
      </c>
      <c r="M1276" t="str">
        <f>VLOOKUP(A1276,Response!$A:$M,7,)</f>
        <v>PG (Paying Guest)</v>
      </c>
      <c r="N1276" t="str">
        <f>VLOOKUP(A1276,Response!$A:$M,8,)</f>
        <v>Sri Lakshmi Venkateshwara PG For Gents</v>
      </c>
      <c r="O1276" s="4">
        <f>VLOOKUP(A1276,Response!$A:$M,10,)</f>
        <v>1</v>
      </c>
      <c r="P1276" t="str">
        <f>VLOOKUP(A1276,Response!$A:$M,12,)</f>
        <v>No</v>
      </c>
      <c r="Q1276" t="str">
        <f>VLOOKUP(A1276,Response!$A:$M,11,)</f>
        <v>Egattur</v>
      </c>
      <c r="R1276" t="s">
        <v>19</v>
      </c>
      <c r="S1276" s="39" t="s">
        <v>37</v>
      </c>
    </row>
    <row r="1277" spans="1:19">
      <c r="A1277" s="3">
        <v>2529715</v>
      </c>
      <c r="B1277" t="str">
        <f>VLOOKUP(A1277,File!$A:$J,2,FALSE)</f>
        <v>Adithya Salagram</v>
      </c>
      <c r="C1277" s="29">
        <f>VLOOKUP(A1277,File!$A:$J,5,FALSE)</f>
        <v>46245</v>
      </c>
      <c r="D1277" s="29" t="str">
        <f>VLOOKUP(A1277,File!$A:$J,3,FALSE)</f>
        <v>Male</v>
      </c>
      <c r="E1277" s="29" t="str">
        <f>VLOOKUP(A1277,File!$A:$J,4,FALSE)</f>
        <v>FTE</v>
      </c>
      <c r="F1277" s="29" t="str">
        <f>VLOOKUP(A1277,File!$A:$J,6,FALSE)</f>
        <v>Chennai</v>
      </c>
      <c r="G1277" s="29" t="str">
        <f>VLOOKUP(A1277,File!$A:$J,7,FALSE)</f>
        <v>EPS26SAP033</v>
      </c>
      <c r="H1277" s="29" t="str">
        <f>VLOOKUP(A1277,File!$A:$J,8,FALSE)</f>
        <v>Ajith Ganesan</v>
      </c>
      <c r="I1277" s="31">
        <f>VLOOKUP(A1277,File!$A:$J,9,FALSE)</f>
        <v>46330</v>
      </c>
      <c r="J1277" s="31" t="str">
        <f>VLOOKUP(A1277,File!$A:$K,11,FALSE)</f>
        <v>Nov 2026</v>
      </c>
      <c r="K1277" s="31" t="str">
        <f>VLOOKUP(A1277,File!$A:$K,10,FALSE)</f>
        <v>In-Training</v>
      </c>
      <c r="L1277" s="31" t="s">
        <v>4</v>
      </c>
      <c r="M1277" t="str">
        <f>VLOOKUP(A1277,Response!$A:$M,7,)</f>
        <v>PG (Paying Guest)</v>
      </c>
      <c r="N1277" t="str">
        <f>VLOOKUP(A1277,Response!$A:$M,8,)</f>
        <v>Sri Lakshmi Venkateshwara Mens PG</v>
      </c>
      <c r="O1277" s="4">
        <f>VLOOKUP(A1277,Response!$A:$M,10,)</f>
        <v>1</v>
      </c>
      <c r="P1277" t="str">
        <f>VLOOKUP(A1277,Response!$A:$M,12,)</f>
        <v>No</v>
      </c>
      <c r="Q1277" t="str">
        <f>VLOOKUP(A1277,Response!$A:$M,11,)</f>
        <v>Egattur</v>
      </c>
      <c r="R1277" t="s">
        <v>19</v>
      </c>
      <c r="S1277" s="39" t="s">
        <v>37</v>
      </c>
    </row>
    <row r="1278" spans="1:19">
      <c r="A1278" s="3">
        <v>2520928</v>
      </c>
      <c r="B1278" t="str">
        <f>VLOOKUP(A1278,File!$A:$J,2,FALSE)</f>
        <v>Nalajala Gayathri</v>
      </c>
      <c r="C1278" s="29">
        <f>VLOOKUP(A1278,File!$A:$J,5,FALSE)</f>
        <v>46210</v>
      </c>
      <c r="D1278" s="29" t="str">
        <f>VLOOKUP(A1278,File!$A:$J,3,FALSE)</f>
        <v>Female</v>
      </c>
      <c r="E1278" s="29" t="str">
        <f>VLOOKUP(A1278,File!$A:$J,4,FALSE)</f>
        <v>FTE</v>
      </c>
      <c r="F1278" s="29" t="str">
        <f>VLOOKUP(A1278,File!$A:$J,6,FALSE)</f>
        <v>Chennai</v>
      </c>
      <c r="G1278" s="29" t="str">
        <f>VLOOKUP(A1278,File!$A:$J,7,FALSE)</f>
        <v>CIS26UNIX004</v>
      </c>
      <c r="H1278" s="29" t="str">
        <f>VLOOKUP(A1278,File!$A:$J,8,FALSE)</f>
        <v>Haritha P</v>
      </c>
      <c r="I1278" s="31">
        <f>VLOOKUP(A1278,File!$A:$J,9,FALSE)</f>
        <v>46289</v>
      </c>
      <c r="J1278" s="31" t="str">
        <f>VLOOKUP(A1278,File!$A:$K,11,FALSE)</f>
        <v>Sep 2026</v>
      </c>
      <c r="K1278" s="31" t="str">
        <f>VLOOKUP(A1278,File!$A:$K,10,FALSE)</f>
        <v>In-Training</v>
      </c>
      <c r="L1278" s="31" t="s">
        <v>4</v>
      </c>
      <c r="M1278" t="str">
        <f>VLOOKUP(A1278,Response!$A:$M,7,)</f>
        <v>Hostel</v>
      </c>
      <c r="N1278" t="str">
        <f>VLOOKUP(A1278,Response!$A:$M,8,)</f>
        <v>Sri Lakshmi Venkateswara</v>
      </c>
      <c r="O1278" s="4">
        <f>VLOOKUP(A1278,Response!$A:$M,10,)</f>
        <v>1</v>
      </c>
      <c r="P1278" t="str">
        <f>VLOOKUP(A1278,Response!$A:$M,12,)</f>
        <v>No</v>
      </c>
      <c r="Q1278" t="str">
        <f>VLOOKUP(A1278,Response!$A:$M,11,)</f>
        <v>Egattur</v>
      </c>
      <c r="R1278" t="s">
        <v>19</v>
      </c>
      <c r="S1278" s="39" t="s">
        <v>37</v>
      </c>
    </row>
    <row r="1279" spans="1:19">
      <c r="A1279" s="3">
        <v>2529557</v>
      </c>
      <c r="B1279" t="str">
        <f>VLOOKUP(A1279,File!$A:$J,2,FALSE)</f>
        <v>Manoj Mukhiya</v>
      </c>
      <c r="C1279" s="29">
        <f>VLOOKUP(A1279,File!$A:$J,5,FALSE)</f>
        <v>46245</v>
      </c>
      <c r="D1279" s="29" t="str">
        <f>VLOOKUP(A1279,File!$A:$J,3,FALSE)</f>
        <v>Male</v>
      </c>
      <c r="E1279" s="29" t="str">
        <f>VLOOKUP(A1279,File!$A:$J,4,FALSE)</f>
        <v>FTE</v>
      </c>
      <c r="F1279" s="29" t="str">
        <f>VLOOKUP(A1279,File!$A:$J,6,FALSE)</f>
        <v>Chennai</v>
      </c>
      <c r="G1279" s="29" t="str">
        <f>VLOOKUP(A1279,File!$A:$J,7,FALSE)</f>
        <v>CIS26MCPT022</v>
      </c>
      <c r="H1279" s="29" t="str">
        <f>VLOOKUP(A1279,File!$A:$J,8,FALSE)</f>
        <v>Laksiya Vijayendran</v>
      </c>
      <c r="I1279" s="31">
        <f>VLOOKUP(A1279,File!$A:$J,9,FALSE)</f>
        <v>46359</v>
      </c>
      <c r="J1279" s="31" t="str">
        <f>VLOOKUP(A1279,File!$A:$K,11,FALSE)</f>
        <v>Dec 2026</v>
      </c>
      <c r="K1279" s="31" t="str">
        <f>VLOOKUP(A1279,File!$A:$K,10,FALSE)</f>
        <v>In-Training</v>
      </c>
      <c r="L1279" s="31" t="s">
        <v>4</v>
      </c>
      <c r="M1279" t="str">
        <f>VLOOKUP(A1279,Response!$A:$M,7,)</f>
        <v>PG (Paying Guest)</v>
      </c>
      <c r="N1279" t="str">
        <f>VLOOKUP(A1279,Response!$A:$M,8,)</f>
        <v>SRI LAKSHMI VENKATESWARA GENTS PG</v>
      </c>
      <c r="O1279" s="4">
        <f>VLOOKUP(A1279,Response!$A:$M,10,)</f>
        <v>1</v>
      </c>
      <c r="P1279" t="str">
        <f>VLOOKUP(A1279,Response!$A:$M,12,)</f>
        <v>Yes</v>
      </c>
      <c r="Q1279" t="str">
        <f>VLOOKUP(A1279,Response!$A:$M,11,)</f>
        <v>Navalur</v>
      </c>
      <c r="R1279" t="s">
        <v>19</v>
      </c>
      <c r="S1279" s="39" t="s">
        <v>37</v>
      </c>
    </row>
    <row r="1280" spans="1:19">
      <c r="A1280" s="3">
        <v>2529553</v>
      </c>
      <c r="B1280" t="str">
        <f>VLOOKUP(A1280,File!$A:$J,2,FALSE)</f>
        <v>Fiyanshu Singh</v>
      </c>
      <c r="C1280" s="29">
        <f>VLOOKUP(A1280,File!$A:$J,5,FALSE)</f>
        <v>46245</v>
      </c>
      <c r="D1280" s="29" t="str">
        <f>VLOOKUP(A1280,File!$A:$J,3,FALSE)</f>
        <v>Male</v>
      </c>
      <c r="E1280" s="29" t="str">
        <f>VLOOKUP(A1280,File!$A:$J,4,FALSE)</f>
        <v>FTE</v>
      </c>
      <c r="F1280" s="29" t="str">
        <f>VLOOKUP(A1280,File!$A:$J,6,FALSE)</f>
        <v>Chennai</v>
      </c>
      <c r="G1280" s="29" t="str">
        <f>VLOOKUP(A1280,File!$A:$J,7,FALSE)</f>
        <v>CIS26MCPT022</v>
      </c>
      <c r="H1280" s="29" t="str">
        <f>VLOOKUP(A1280,File!$A:$J,8,FALSE)</f>
        <v>Laksiya Vijayendran</v>
      </c>
      <c r="I1280" s="31">
        <f>VLOOKUP(A1280,File!$A:$J,9,FALSE)</f>
        <v>46359</v>
      </c>
      <c r="J1280" s="31" t="str">
        <f>VLOOKUP(A1280,File!$A:$K,11,FALSE)</f>
        <v>Dec 2026</v>
      </c>
      <c r="K1280" s="31" t="str">
        <f>VLOOKUP(A1280,File!$A:$K,10,FALSE)</f>
        <v>In-Training</v>
      </c>
      <c r="L1280" s="31" t="s">
        <v>4</v>
      </c>
      <c r="M1280" t="str">
        <f>VLOOKUP(A1280,Response!$A:$M,7,)</f>
        <v>PG (Paying Guest)</v>
      </c>
      <c r="N1280" t="str">
        <f>VLOOKUP(A1280,Response!$A:$M,8,)</f>
        <v>Sri Lakshmi Venkateswara Gents Pg Chennai, Navalur, Tamil Nadu</v>
      </c>
      <c r="O1280" s="4">
        <f>VLOOKUP(A1280,Response!$A:$M,10,)</f>
        <v>2</v>
      </c>
      <c r="P1280" t="str">
        <f>VLOOKUP(A1280,Response!$A:$M,12,)</f>
        <v>Yes</v>
      </c>
      <c r="Q1280" t="str">
        <f>VLOOKUP(A1280,Response!$A:$M,11,)</f>
        <v>Navalur</v>
      </c>
      <c r="R1280" t="s">
        <v>19</v>
      </c>
      <c r="S1280" s="39" t="s">
        <v>37</v>
      </c>
    </row>
    <row r="1281" spans="1:19">
      <c r="A1281" s="3">
        <v>2531793</v>
      </c>
      <c r="B1281" t="str">
        <f>VLOOKUP(A1281,File!$A:$J,2,FALSE)</f>
        <v>Sai Chandu Kothapalli</v>
      </c>
      <c r="C1281" s="29">
        <f>VLOOKUP(A1281,File!$A:$J,5,FALSE)</f>
        <v>46254</v>
      </c>
      <c r="D1281" s="29" t="str">
        <f>VLOOKUP(A1281,File!$A:$J,3,FALSE)</f>
        <v>Male</v>
      </c>
      <c r="E1281" s="29" t="str">
        <f>VLOOKUP(A1281,File!$A:$J,4,FALSE)</f>
        <v>Intern</v>
      </c>
      <c r="F1281" s="29" t="str">
        <f>VLOOKUP(A1281,File!$A:$J,6,FALSE)</f>
        <v>Chennai</v>
      </c>
      <c r="G1281" s="29" t="str">
        <f>VLOOKUP(A1281,File!$A:$J,7,FALSE)</f>
        <v>INTFE26FE001</v>
      </c>
      <c r="H1281" s="29" t="str">
        <f>VLOOKUP(A1281,File!$A:$J,8,FALSE)</f>
        <v>Grace Esther S</v>
      </c>
      <c r="I1281" s="31">
        <f>VLOOKUP(A1281,File!$A:$J,9,FALSE)</f>
        <v>46310</v>
      </c>
      <c r="J1281" s="31" t="str">
        <f>VLOOKUP(A1281,File!$A:$K,11,FALSE)</f>
        <v>Oct 2026</v>
      </c>
      <c r="K1281" s="31" t="str">
        <f>VLOOKUP(A1281,File!$A:$K,10,FALSE)</f>
        <v>In-Training</v>
      </c>
      <c r="L1281" s="31" t="s">
        <v>4</v>
      </c>
      <c r="M1281" t="str">
        <f>VLOOKUP(A1281,Response!$A:$M,7,)</f>
        <v>PG (Paying Guest)</v>
      </c>
      <c r="N1281" t="str">
        <f>VLOOKUP(A1281,Response!$A:$M,8,)</f>
        <v>Sri Lakshmi Venkateswara Gents PG, Egattur</v>
      </c>
      <c r="O1281" s="4">
        <f>VLOOKUP(A1281,Response!$A:$M,10,)</f>
        <v>1</v>
      </c>
      <c r="P1281" t="str">
        <f>VLOOKUP(A1281,Response!$A:$M,12,)</f>
        <v>No</v>
      </c>
      <c r="Q1281" t="str">
        <f>VLOOKUP(A1281,Response!$A:$M,11,)</f>
        <v>Egattur</v>
      </c>
      <c r="R1281" t="s">
        <v>19</v>
      </c>
      <c r="S1281" s="39" t="s">
        <v>37</v>
      </c>
    </row>
    <row r="1282" spans="1:19">
      <c r="A1282" s="3">
        <v>2521804</v>
      </c>
      <c r="B1282" t="str">
        <f>VLOOKUP(A1282,File!$A:$J,2,FALSE)</f>
        <v>Aditya Umesh Patil</v>
      </c>
      <c r="C1282" s="29">
        <f>VLOOKUP(A1282,File!$A:$J,5,FALSE)</f>
        <v>46212</v>
      </c>
      <c r="D1282" s="29" t="str">
        <f>VLOOKUP(A1282,File!$A:$J,3,FALSE)</f>
        <v>Male</v>
      </c>
      <c r="E1282" s="29" t="str">
        <f>VLOOKUP(A1282,File!$A:$J,4,FALSE)</f>
        <v>FTE</v>
      </c>
      <c r="F1282" s="29" t="str">
        <f>VLOOKUP(A1282,File!$A:$J,6,FALSE)</f>
        <v>Chennai</v>
      </c>
      <c r="G1282" s="29" t="str">
        <f>VLOOKUP(A1282,File!$A:$J,7,FALSE)</f>
        <v>ADM26DNAT003</v>
      </c>
      <c r="H1282" s="29" t="str">
        <f>VLOOKUP(A1282,File!$A:$J,8,FALSE)</f>
        <v>Athira P</v>
      </c>
      <c r="I1282" s="31">
        <f>VLOOKUP(A1282,File!$A:$J,9,FALSE)</f>
        <v>46318</v>
      </c>
      <c r="J1282" s="31" t="str">
        <f>VLOOKUP(A1282,File!$A:$K,11,FALSE)</f>
        <v>Oct 2026</v>
      </c>
      <c r="K1282" s="31" t="str">
        <f>VLOOKUP(A1282,File!$A:$K,10,FALSE)</f>
        <v>In-Training</v>
      </c>
      <c r="L1282" s="31" t="s">
        <v>4</v>
      </c>
      <c r="M1282" t="str">
        <f>VLOOKUP(A1282,Response!$A:$M,7,)</f>
        <v>PG (Paying Guest)</v>
      </c>
      <c r="N1282" t="str">
        <f>VLOOKUP(A1282,Response!$A:$M,8,)</f>
        <v>SRI LAKSHMI VENKATESWARA GENTS PG, Navalur.</v>
      </c>
      <c r="O1282" s="4">
        <f>VLOOKUP(A1282,Response!$A:$M,10,)</f>
        <v>2</v>
      </c>
      <c r="P1282" t="str">
        <f>VLOOKUP(A1282,Response!$A:$M,12,)</f>
        <v>No</v>
      </c>
      <c r="Q1282" t="str">
        <f>VLOOKUP(A1282,Response!$A:$M,11,)</f>
        <v>Navalur</v>
      </c>
      <c r="R1282" t="s">
        <v>19</v>
      </c>
      <c r="S1282" s="39" t="s">
        <v>37</v>
      </c>
    </row>
    <row r="1283" spans="1:19">
      <c r="A1283" s="3">
        <v>2520934</v>
      </c>
      <c r="B1283" t="str">
        <f>VLOOKUP(A1283,File!$A:$J,2,FALSE)</f>
        <v>Sahana Katral</v>
      </c>
      <c r="C1283" s="29">
        <f>VLOOKUP(A1283,File!$A:$J,5,FALSE)</f>
        <v>46210</v>
      </c>
      <c r="D1283" s="29" t="str">
        <f>VLOOKUP(A1283,File!$A:$J,3,FALSE)</f>
        <v>Female</v>
      </c>
      <c r="E1283" s="29" t="str">
        <f>VLOOKUP(A1283,File!$A:$J,4,FALSE)</f>
        <v>FTE</v>
      </c>
      <c r="F1283" s="29" t="str">
        <f>VLOOKUP(A1283,File!$A:$J,6,FALSE)</f>
        <v>Chennai</v>
      </c>
      <c r="G1283" s="29" t="str">
        <f>VLOOKUP(A1283,File!$A:$J,7,FALSE)</f>
        <v>EPS26WD004</v>
      </c>
      <c r="H1283" s="29" t="str">
        <f>VLOOKUP(A1283,File!$A:$J,8,FALSE)</f>
        <v>Ajith Ganesan</v>
      </c>
      <c r="I1283" s="31">
        <f>VLOOKUP(A1283,File!$A:$J,9,FALSE)</f>
        <v>46310</v>
      </c>
      <c r="J1283" s="31" t="str">
        <f>VLOOKUP(A1283,File!$A:$K,11,FALSE)</f>
        <v>Oct 2026</v>
      </c>
      <c r="K1283" s="31" t="str">
        <f>VLOOKUP(A1283,File!$A:$K,10,FALSE)</f>
        <v>In-Training</v>
      </c>
      <c r="L1283" s="31" t="s">
        <v>4</v>
      </c>
      <c r="M1283" t="str">
        <f>VLOOKUP(A1283,Response!$A:$M,7,)</f>
        <v>PG (Paying Guest)</v>
      </c>
      <c r="N1283" t="str">
        <f>VLOOKUP(A1283,Response!$A:$M,8,)</f>
        <v>Sri Lakshmi Venkateswara ladies Pg</v>
      </c>
      <c r="O1283" s="4">
        <f>VLOOKUP(A1283,Response!$A:$M,10,)</f>
        <v>1</v>
      </c>
      <c r="P1283" t="str">
        <f>VLOOKUP(A1283,Response!$A:$M,12,)</f>
        <v>Yes</v>
      </c>
      <c r="Q1283" t="str">
        <f>VLOOKUP(A1283,Response!$A:$M,11,)</f>
        <v>Siruseri</v>
      </c>
      <c r="R1283" t="s">
        <v>19</v>
      </c>
      <c r="S1283" s="39" t="s">
        <v>37</v>
      </c>
    </row>
    <row r="1284" spans="1:19">
      <c r="A1284" s="3">
        <v>2521710</v>
      </c>
      <c r="B1284" t="str">
        <f>VLOOKUP(A1284,File!$A:$J,2,FALSE)</f>
        <v>Gunnam Srihitha</v>
      </c>
      <c r="C1284" s="29">
        <f>VLOOKUP(A1284,File!$A:$J,5,FALSE)</f>
        <v>46212</v>
      </c>
      <c r="D1284" s="29" t="str">
        <f>VLOOKUP(A1284,File!$A:$J,3,FALSE)</f>
        <v>Female</v>
      </c>
      <c r="E1284" s="29" t="str">
        <f>VLOOKUP(A1284,File!$A:$J,4,FALSE)</f>
        <v>FTE</v>
      </c>
      <c r="F1284" s="29" t="str">
        <f>VLOOKUP(A1284,File!$A:$J,6,FALSE)</f>
        <v>Chennai</v>
      </c>
      <c r="G1284" s="29" t="str">
        <f>VLOOKUP(A1284,File!$A:$J,7,FALSE)</f>
        <v>QEA26QEPT023</v>
      </c>
      <c r="H1284" s="29" t="str">
        <f>VLOOKUP(A1284,File!$A:$J,8,FALSE)</f>
        <v>Sweta Thoppil</v>
      </c>
      <c r="I1284" s="31">
        <f>VLOOKUP(A1284,File!$A:$J,9,FALSE)</f>
        <v>46314</v>
      </c>
      <c r="J1284" s="31" t="str">
        <f>VLOOKUP(A1284,File!$A:$K,11,FALSE)</f>
        <v>Oct 2026</v>
      </c>
      <c r="K1284" s="31" t="str">
        <f>VLOOKUP(A1284,File!$A:$K,10,FALSE)</f>
        <v>In-Training</v>
      </c>
      <c r="L1284" s="31" t="s">
        <v>4</v>
      </c>
      <c r="M1284" t="str">
        <f>VLOOKUP(A1284,Response!$A:$M,7,)</f>
        <v>PG (Paying Guest)</v>
      </c>
      <c r="N1284" t="str">
        <f>VLOOKUP(A1284,Response!$A:$M,8,)</f>
        <v>Sri Lakshmi Venkateswara Ladies Pg</v>
      </c>
      <c r="O1284" s="4">
        <f>VLOOKUP(A1284,Response!$A:$M,10,)</f>
        <v>1</v>
      </c>
      <c r="P1284" t="str">
        <f>VLOOKUP(A1284,Response!$A:$M,12,)</f>
        <v>No</v>
      </c>
      <c r="Q1284" t="str">
        <f>VLOOKUP(A1284,Response!$A:$M,11,)</f>
        <v>Egattur</v>
      </c>
      <c r="R1284" t="s">
        <v>19</v>
      </c>
      <c r="S1284" s="39" t="s">
        <v>37</v>
      </c>
    </row>
    <row r="1285" spans="1:19">
      <c r="A1285" s="3">
        <v>2521124</v>
      </c>
      <c r="B1285" t="str">
        <f>VLOOKUP(A1285,File!$A:$J,2,FALSE)</f>
        <v>Amireddy Poojitha</v>
      </c>
      <c r="C1285" s="29">
        <f>VLOOKUP(A1285,File!$A:$J,5,FALSE)</f>
        <v>46210</v>
      </c>
      <c r="D1285" s="29" t="str">
        <f>VLOOKUP(A1285,File!$A:$J,3,FALSE)</f>
        <v>Female</v>
      </c>
      <c r="E1285" s="29" t="str">
        <f>VLOOKUP(A1285,File!$A:$J,4,FALSE)</f>
        <v>FTE</v>
      </c>
      <c r="F1285" s="29" t="str">
        <f>VLOOKUP(A1285,File!$A:$J,6,FALSE)</f>
        <v>Chennai</v>
      </c>
      <c r="G1285" s="29" t="str">
        <f>VLOOKUP(A1285,File!$A:$J,7,FALSE)</f>
        <v>CIS26SN001</v>
      </c>
      <c r="H1285" s="29" t="str">
        <f>VLOOKUP(A1285,File!$A:$J,8,FALSE)</f>
        <v>Ashiya Begam S</v>
      </c>
      <c r="I1285" s="31">
        <f>VLOOKUP(A1285,File!$A:$J,9,FALSE)</f>
        <v>46281</v>
      </c>
      <c r="J1285" s="31" t="str">
        <f>VLOOKUP(A1285,File!$A:$K,11,FALSE)</f>
        <v>Sep 2026</v>
      </c>
      <c r="K1285" s="31" t="str">
        <f>VLOOKUP(A1285,File!$A:$K,10,FALSE)</f>
        <v>In-Training</v>
      </c>
      <c r="L1285" s="31" t="s">
        <v>4</v>
      </c>
      <c r="M1285" t="str">
        <f>VLOOKUP(A1285,Response!$A:$M,7,)</f>
        <v>PG (Paying Guest)</v>
      </c>
      <c r="N1285" t="str">
        <f>VLOOKUP(A1285,Response!$A:$M,8,)</f>
        <v>Sri lakshmi Venkateswara ladies pg</v>
      </c>
      <c r="O1285" s="4">
        <f>VLOOKUP(A1285,Response!$A:$M,10,)</f>
        <v>1</v>
      </c>
      <c r="P1285" t="str">
        <f>VLOOKUP(A1285,Response!$A:$M,12,)</f>
        <v>No</v>
      </c>
      <c r="Q1285" t="str">
        <f>VLOOKUP(A1285,Response!$A:$M,11,)</f>
        <v>Siruseri</v>
      </c>
      <c r="R1285" t="s">
        <v>19</v>
      </c>
      <c r="S1285" s="39" t="s">
        <v>37</v>
      </c>
    </row>
    <row r="1286" spans="1:19">
      <c r="A1286" s="3">
        <v>2512329</v>
      </c>
      <c r="B1286" t="str">
        <f>VLOOKUP(A1286,File!$A:$J,2,FALSE)</f>
        <v>Sai Sirisha Lakshmi Gudhe</v>
      </c>
      <c r="C1286" s="29">
        <f>VLOOKUP(A1286,File!$A:$J,5,FALSE)</f>
        <v>46170</v>
      </c>
      <c r="D1286" s="29" t="str">
        <f>VLOOKUP(A1286,File!$A:$J,3,FALSE)</f>
        <v>Female</v>
      </c>
      <c r="E1286" s="29" t="str">
        <f>VLOOKUP(A1286,File!$A:$J,4,FALSE)</f>
        <v>FTE</v>
      </c>
      <c r="F1286" s="29" t="str">
        <f>VLOOKUP(A1286,File!$A:$J,6,FALSE)</f>
        <v>Chennai</v>
      </c>
      <c r="G1286" s="29" t="str">
        <f>VLOOKUP(A1286,File!$A:$J,7,FALSE)</f>
        <v>CIS26MCPT012</v>
      </c>
      <c r="H1286" s="29" t="str">
        <f>VLOOKUP(A1286,File!$A:$J,8,FALSE)</f>
        <v>Uma Venkatachalam</v>
      </c>
      <c r="I1286" s="31">
        <f>VLOOKUP(A1286,File!$A:$J,9,FALSE)</f>
        <v>46282</v>
      </c>
      <c r="J1286" s="31" t="str">
        <f>VLOOKUP(A1286,File!$A:$K,11,FALSE)</f>
        <v>Sep 2026</v>
      </c>
      <c r="K1286" s="31" t="str">
        <f>VLOOKUP(A1286,File!$A:$K,10,FALSE)</f>
        <v>In-Training</v>
      </c>
      <c r="L1286" s="31" t="s">
        <v>4</v>
      </c>
      <c r="M1286" t="str">
        <f>VLOOKUP(A1286,Response!$A:$M,7,)</f>
        <v>PG (Paying Guest)</v>
      </c>
      <c r="N1286" t="str">
        <f>VLOOKUP(A1286,Response!$A:$M,8,)</f>
        <v>sri lakshmi venkateswara ladies pg, egattur</v>
      </c>
      <c r="O1286" s="4">
        <f>VLOOKUP(A1286,Response!$A:$M,10,)</f>
        <v>3</v>
      </c>
      <c r="P1286" t="str">
        <f>VLOOKUP(A1286,Response!$A:$M,12,)</f>
        <v>No</v>
      </c>
      <c r="Q1286" t="str">
        <f>VLOOKUP(A1286,Response!$A:$M,11,)</f>
        <v>Egattur</v>
      </c>
      <c r="R1286" t="s">
        <v>19</v>
      </c>
      <c r="S1286" s="39" t="s">
        <v>37</v>
      </c>
    </row>
    <row r="1287" spans="1:19">
      <c r="A1287" s="3">
        <v>2521109</v>
      </c>
      <c r="B1287" t="str">
        <f>VLOOKUP(A1287,File!$A:$J,2,FALSE)</f>
        <v>Kancharla Priyanka</v>
      </c>
      <c r="C1287" s="29">
        <f>VLOOKUP(A1287,File!$A:$J,5,FALSE)</f>
        <v>46210</v>
      </c>
      <c r="D1287" s="29" t="str">
        <f>VLOOKUP(A1287,File!$A:$J,3,FALSE)</f>
        <v>Female</v>
      </c>
      <c r="E1287" s="29" t="str">
        <f>VLOOKUP(A1287,File!$A:$J,4,FALSE)</f>
        <v>FTE</v>
      </c>
      <c r="F1287" s="29" t="str">
        <f>VLOOKUP(A1287,File!$A:$J,6,FALSE)</f>
        <v>Chennai</v>
      </c>
      <c r="G1287" s="29" t="str">
        <f>VLOOKUP(A1287,File!$A:$J,7,FALSE)</f>
        <v>CS26CS007</v>
      </c>
      <c r="H1287" s="29" t="str">
        <f>VLOOKUP(A1287,File!$A:$J,8,FALSE)</f>
        <v>Lawrance M</v>
      </c>
      <c r="I1287" s="31">
        <f>VLOOKUP(A1287,File!$A:$J,9,FALSE)</f>
        <v>46272</v>
      </c>
      <c r="J1287" s="31" t="str">
        <f>VLOOKUP(A1287,File!$A:$K,11,FALSE)</f>
        <v>Sep 2026</v>
      </c>
      <c r="K1287" s="31" t="str">
        <f>VLOOKUP(A1287,File!$A:$K,10,FALSE)</f>
        <v>In-Training</v>
      </c>
      <c r="L1287" s="31" t="s">
        <v>4</v>
      </c>
      <c r="M1287" t="str">
        <f>VLOOKUP(A1287,Response!$A:$M,7,)</f>
        <v>PG (Paying Guest)</v>
      </c>
      <c r="N1287" t="str">
        <f>VLOOKUP(A1287,Response!$A:$M,8,)</f>
        <v>Sri Lakshmi Venkateswara PG For Ladies</v>
      </c>
      <c r="O1287" s="4">
        <f>VLOOKUP(A1287,Response!$A:$M,10,)</f>
        <v>1</v>
      </c>
      <c r="P1287" t="str">
        <f>VLOOKUP(A1287,Response!$A:$M,12,)</f>
        <v>No</v>
      </c>
      <c r="Q1287" t="str">
        <f>VLOOKUP(A1287,Response!$A:$M,11,)</f>
        <v>Egattur</v>
      </c>
      <c r="R1287" t="s">
        <v>19</v>
      </c>
      <c r="S1287" s="39" t="s">
        <v>37</v>
      </c>
    </row>
    <row r="1288" spans="1:19">
      <c r="A1288" s="3">
        <v>2529550</v>
      </c>
      <c r="B1288" t="str">
        <f>VLOOKUP(A1288,File!$A:$J,2,FALSE)</f>
        <v>Pradeepthi Beesetti</v>
      </c>
      <c r="C1288" s="29">
        <f>VLOOKUP(A1288,File!$A:$J,5,FALSE)</f>
        <v>46245</v>
      </c>
      <c r="D1288" s="29" t="str">
        <f>VLOOKUP(A1288,File!$A:$J,3,FALSE)</f>
        <v>Female</v>
      </c>
      <c r="E1288" s="29" t="str">
        <f>VLOOKUP(A1288,File!$A:$J,4,FALSE)</f>
        <v>FTE</v>
      </c>
      <c r="F1288" s="29" t="str">
        <f>VLOOKUP(A1288,File!$A:$J,6,FALSE)</f>
        <v>Chennai</v>
      </c>
      <c r="G1288" s="29" t="str">
        <f>VLOOKUP(A1288,File!$A:$J,7,FALSE)</f>
        <v>CIS26MCPT025</v>
      </c>
      <c r="H1288" s="29" t="str">
        <f>VLOOKUP(A1288,File!$A:$J,8,FALSE)</f>
        <v>Vignesh S</v>
      </c>
      <c r="I1288" s="31">
        <f>VLOOKUP(A1288,File!$A:$J,9,FALSE)</f>
        <v>46359</v>
      </c>
      <c r="J1288" s="31" t="str">
        <f>VLOOKUP(A1288,File!$A:$K,11,FALSE)</f>
        <v>Dec 2026</v>
      </c>
      <c r="K1288" s="31" t="str">
        <f>VLOOKUP(A1288,File!$A:$K,10,FALSE)</f>
        <v>In-Training</v>
      </c>
      <c r="L1288" s="31" t="s">
        <v>4</v>
      </c>
      <c r="M1288" t="str">
        <f>VLOOKUP(A1288,Response!$A:$M,7,)</f>
        <v>PG (Paying Guest)</v>
      </c>
      <c r="N1288" t="str">
        <f>VLOOKUP(A1288,Response!$A:$M,8,)</f>
        <v>Sri Lakshmi Venkateswara PG for Ladies</v>
      </c>
      <c r="O1288" s="4">
        <f>VLOOKUP(A1288,Response!$A:$M,10,)</f>
        <v>2</v>
      </c>
      <c r="P1288" t="str">
        <f>VLOOKUP(A1288,Response!$A:$M,12,)</f>
        <v>No</v>
      </c>
      <c r="Q1288" t="str">
        <f>VLOOKUP(A1288,Response!$A:$M,11,)</f>
        <v>Egattur</v>
      </c>
      <c r="R1288" t="s">
        <v>19</v>
      </c>
      <c r="S1288" s="39" t="s">
        <v>37</v>
      </c>
    </row>
    <row r="1289" spans="1:19">
      <c r="A1289" s="3">
        <v>2521081</v>
      </c>
      <c r="B1289" t="str">
        <f>VLOOKUP(A1289,File!$A:$J,2,FALSE)</f>
        <v>Beella Rupadevi</v>
      </c>
      <c r="C1289" s="29">
        <f>VLOOKUP(A1289,File!$A:$J,5,FALSE)</f>
        <v>46210</v>
      </c>
      <c r="D1289" s="29" t="str">
        <f>VLOOKUP(A1289,File!$A:$J,3,FALSE)</f>
        <v>Female</v>
      </c>
      <c r="E1289" s="29" t="str">
        <f>VLOOKUP(A1289,File!$A:$J,4,FALSE)</f>
        <v>FTE</v>
      </c>
      <c r="F1289" s="29" t="str">
        <f>VLOOKUP(A1289,File!$A:$J,6,FALSE)</f>
        <v>Chennai</v>
      </c>
      <c r="G1289" s="29" t="str">
        <f>VLOOKUP(A1289,File!$A:$J,7,FALSE)</f>
        <v>SNBG26SN002</v>
      </c>
      <c r="H1289" s="29" t="str">
        <f>VLOOKUP(A1289,File!$A:$J,8,FALSE)</f>
        <v>Lawrance M</v>
      </c>
      <c r="I1289" s="31">
        <f>VLOOKUP(A1289,File!$A:$J,9,FALSE)</f>
        <v>46303</v>
      </c>
      <c r="J1289" s="31" t="str">
        <f>VLOOKUP(A1289,File!$A:$K,11,FALSE)</f>
        <v>Oct 2026</v>
      </c>
      <c r="K1289" s="31" t="str">
        <f>VLOOKUP(A1289,File!$A:$K,10,FALSE)</f>
        <v>In-Training</v>
      </c>
      <c r="L1289" s="31" t="s">
        <v>4</v>
      </c>
      <c r="M1289" t="str">
        <f>VLOOKUP(A1289,Response!$A:$M,7,)</f>
        <v>PG (Paying Guest)</v>
      </c>
      <c r="N1289" t="str">
        <f>VLOOKUP(A1289,Response!$A:$M,8,)</f>
        <v>Sri Lakshmi Venkateswara PG For Ladies,R6MG+FWW, Gangai Amman Kovil St, Uthandi, Egattur, Tamil Nadu 600130</v>
      </c>
      <c r="O1289" s="4">
        <f>VLOOKUP(A1289,Response!$A:$M,10,)</f>
        <v>3</v>
      </c>
      <c r="P1289" t="str">
        <f>VLOOKUP(A1289,Response!$A:$M,12,)</f>
        <v>No</v>
      </c>
      <c r="Q1289" t="str">
        <f>VLOOKUP(A1289,Response!$A:$M,11,)</f>
        <v>Egattur</v>
      </c>
      <c r="R1289" t="s">
        <v>19</v>
      </c>
      <c r="S1289" s="39" t="s">
        <v>37</v>
      </c>
    </row>
    <row r="1290" spans="1:19">
      <c r="A1290" s="3">
        <v>2532943</v>
      </c>
      <c r="B1290" t="str">
        <f>VLOOKUP(A1290,File!$A:$J,2,FALSE)</f>
        <v>Swetha M</v>
      </c>
      <c r="C1290" s="29">
        <f>VLOOKUP(A1290,File!$A:$J,5,FALSE)</f>
        <v>46259</v>
      </c>
      <c r="D1290" s="29" t="str">
        <f>VLOOKUP(A1290,File!$A:$J,3,FALSE)</f>
        <v>Female</v>
      </c>
      <c r="E1290" s="29" t="str">
        <f>VLOOKUP(A1290,File!$A:$J,4,FALSE)</f>
        <v>FTE</v>
      </c>
      <c r="F1290" s="29" t="str">
        <f>VLOOKUP(A1290,File!$A:$J,6,FALSE)</f>
        <v>Chennai</v>
      </c>
      <c r="G1290" s="29" t="str">
        <f>VLOOKUP(A1290,File!$A:$J,7,FALSE)</f>
        <v>ADM27DFSA001</v>
      </c>
      <c r="H1290" s="29" t="str">
        <f>VLOOKUP(A1290,File!$A:$J,8,FALSE)</f>
        <v>Thomas Naveen. J</v>
      </c>
      <c r="I1290" s="31">
        <f>VLOOKUP(A1290,File!$A:$J,9,FALSE)</f>
        <v>46386</v>
      </c>
      <c r="J1290" s="31" t="str">
        <f>VLOOKUP(A1290,File!$A:$K,11,FALSE)</f>
        <v>Dec 2026</v>
      </c>
      <c r="K1290" s="31" t="str">
        <f>VLOOKUP(A1290,File!$A:$K,10,FALSE)</f>
        <v>In-Training</v>
      </c>
      <c r="L1290" s="31" t="s">
        <v>4</v>
      </c>
      <c r="M1290" t="str">
        <f>VLOOKUP(A1290,Response!$A:$M,7,)</f>
        <v>PG (Paying Guest)</v>
      </c>
      <c r="N1290" t="str">
        <f>VLOOKUP(A1290,Response!$A:$M,8,)</f>
        <v>Sri Narayana Swamy PG - Branch 2, Navalur</v>
      </c>
      <c r="O1290" s="4" t="str">
        <f>VLOOKUP(A1290,Response!$A:$M,10,)</f>
        <v>GF</v>
      </c>
      <c r="P1290" t="str">
        <f>VLOOKUP(A1290,Response!$A:$M,12,)</f>
        <v>No</v>
      </c>
      <c r="Q1290" t="str">
        <f>VLOOKUP(A1290,Response!$A:$M,11,)</f>
        <v>Navalur</v>
      </c>
      <c r="R1290" t="s">
        <v>19</v>
      </c>
      <c r="S1290" s="39" t="s">
        <v>37</v>
      </c>
    </row>
    <row r="1291" spans="1:19">
      <c r="A1291" s="3">
        <v>2533585</v>
      </c>
      <c r="B1291" t="str">
        <f>VLOOKUP(A1291,File!$A:$J,2,FALSE)</f>
        <v>Indhu Varshni M S</v>
      </c>
      <c r="C1291" s="29">
        <f>VLOOKUP(A1291,File!$A:$J,5,FALSE)</f>
        <v>46261</v>
      </c>
      <c r="D1291" s="29" t="str">
        <f>VLOOKUP(A1291,File!$A:$J,3,FALSE)</f>
        <v>Female</v>
      </c>
      <c r="E1291" s="29" t="str">
        <f>VLOOKUP(A1291,File!$A:$J,4,FALSE)</f>
        <v>FTE</v>
      </c>
      <c r="F1291" s="29" t="str">
        <f>VLOOKUP(A1291,File!$A:$J,6,FALSE)</f>
        <v>Chennai</v>
      </c>
      <c r="G1291" s="29" t="str">
        <f>VLOOKUP(A1291,File!$A:$J,7,FALSE)</f>
        <v>EPS26SAP038</v>
      </c>
      <c r="H1291" s="29" t="str">
        <f>VLOOKUP(A1291,File!$A:$J,8,FALSE)</f>
        <v>Ajith Ganesan</v>
      </c>
      <c r="I1291" s="31">
        <f>VLOOKUP(A1291,File!$A:$J,9,FALSE)</f>
        <v>46322</v>
      </c>
      <c r="J1291" s="31" t="str">
        <f>VLOOKUP(A1291,File!$A:$K,11,FALSE)</f>
        <v>Oct 2026</v>
      </c>
      <c r="K1291" s="31" t="str">
        <f>VLOOKUP(A1291,File!$A:$K,10,FALSE)</f>
        <v>In-Training</v>
      </c>
      <c r="L1291" s="31" t="s">
        <v>4</v>
      </c>
      <c r="M1291" t="str">
        <f>VLOOKUP(A1291,Response!$A:$M,7,)</f>
        <v>PG (Paying Guest)</v>
      </c>
      <c r="N1291" t="str">
        <f>VLOOKUP(A1291,Response!$A:$M,8,)</f>
        <v>Sri Narayanaswami Ladies PG Branch-2, Nethaiji Street, Navalur</v>
      </c>
      <c r="O1291" s="4" t="str">
        <f>VLOOKUP(A1291,Response!$A:$M,10,)</f>
        <v>GF</v>
      </c>
      <c r="P1291" t="str">
        <f>VLOOKUP(A1291,Response!$A:$M,12,)</f>
        <v>No</v>
      </c>
      <c r="Q1291" t="str">
        <f>VLOOKUP(A1291,Response!$A:$M,11,)</f>
        <v>Navalur</v>
      </c>
      <c r="R1291" t="s">
        <v>19</v>
      </c>
      <c r="S1291" s="39" t="s">
        <v>37</v>
      </c>
    </row>
    <row r="1292" spans="1:19">
      <c r="A1292" s="3">
        <v>2512365</v>
      </c>
      <c r="B1292" t="str">
        <f>VLOOKUP(A1292,File!$A:$J,2,FALSE)</f>
        <v>Sravanth Pulicheri</v>
      </c>
      <c r="C1292" s="29">
        <f>VLOOKUP(A1292,File!$A:$J,5,FALSE)</f>
        <v>46170</v>
      </c>
      <c r="D1292" s="29" t="str">
        <f>VLOOKUP(A1292,File!$A:$J,3,FALSE)</f>
        <v>Male</v>
      </c>
      <c r="E1292" s="29" t="str">
        <f>VLOOKUP(A1292,File!$A:$J,4,FALSE)</f>
        <v>FTE</v>
      </c>
      <c r="F1292" s="29" t="str">
        <f>VLOOKUP(A1292,File!$A:$J,6,FALSE)</f>
        <v>Chennai</v>
      </c>
      <c r="G1292" s="29" t="str">
        <f>VLOOKUP(A1292,File!$A:$J,7,FALSE)</f>
        <v>CIS26MCPT012</v>
      </c>
      <c r="H1292" s="29" t="str">
        <f>VLOOKUP(A1292,File!$A:$J,8,FALSE)</f>
        <v>Uma Venkatachalam</v>
      </c>
      <c r="I1292" s="31">
        <f>VLOOKUP(A1292,File!$A:$J,9,FALSE)</f>
        <v>46282</v>
      </c>
      <c r="J1292" s="31" t="str">
        <f>VLOOKUP(A1292,File!$A:$K,11,FALSE)</f>
        <v>Sep 2026</v>
      </c>
      <c r="K1292" s="31" t="str">
        <f>VLOOKUP(A1292,File!$A:$K,10,FALSE)</f>
        <v>In-Training</v>
      </c>
      <c r="L1292" s="31" t="s">
        <v>4</v>
      </c>
      <c r="M1292" t="str">
        <f>VLOOKUP(A1292,Response!$A:$M,7,)</f>
        <v>PG (Paying Guest)</v>
      </c>
      <c r="N1292" t="str">
        <f>VLOOKUP(A1292,Response!$A:$M,8,)</f>
        <v>Sri Nilayam Gents Pg - Navallur</v>
      </c>
      <c r="O1292" s="4">
        <f>VLOOKUP(A1292,Response!$A:$M,10,)</f>
        <v>1</v>
      </c>
      <c r="P1292" t="str">
        <f>VLOOKUP(A1292,Response!$A:$M,12,)</f>
        <v>No</v>
      </c>
      <c r="Q1292" t="str">
        <f>VLOOKUP(A1292,Response!$A:$M,11,)</f>
        <v>Navalur</v>
      </c>
      <c r="R1292" t="s">
        <v>19</v>
      </c>
      <c r="S1292" s="39" t="s">
        <v>37</v>
      </c>
    </row>
    <row r="1293" spans="1:19">
      <c r="A1293" s="3">
        <v>2512297</v>
      </c>
      <c r="B1293" t="str">
        <f>VLOOKUP(A1293,File!$A:$J,2,FALSE)</f>
        <v>Chandaluru Kailashnath Achari</v>
      </c>
      <c r="C1293" s="29">
        <f>VLOOKUP(A1293,File!$A:$J,5,FALSE)</f>
        <v>46170</v>
      </c>
      <c r="D1293" s="29" t="str">
        <f>VLOOKUP(A1293,File!$A:$J,3,FALSE)</f>
        <v>Male</v>
      </c>
      <c r="E1293" s="29" t="str">
        <f>VLOOKUP(A1293,File!$A:$J,4,FALSE)</f>
        <v>FTE</v>
      </c>
      <c r="F1293" s="29" t="str">
        <f>VLOOKUP(A1293,File!$A:$J,6,FALSE)</f>
        <v>Chennai</v>
      </c>
      <c r="G1293" s="29" t="str">
        <f>VLOOKUP(A1293,File!$A:$J,7,FALSE)</f>
        <v>CIS26MCPT011</v>
      </c>
      <c r="H1293" s="29" t="str">
        <f>VLOOKUP(A1293,File!$A:$J,8,FALSE)</f>
        <v>Uma Venkatachalam</v>
      </c>
      <c r="I1293" s="31">
        <f>VLOOKUP(A1293,File!$A:$J,9,FALSE)</f>
        <v>46282</v>
      </c>
      <c r="J1293" s="31" t="str">
        <f>VLOOKUP(A1293,File!$A:$K,11,FALSE)</f>
        <v>Sep 2026</v>
      </c>
      <c r="K1293" s="31" t="str">
        <f>VLOOKUP(A1293,File!$A:$K,10,FALSE)</f>
        <v>In-Training</v>
      </c>
      <c r="L1293" s="31" t="s">
        <v>4</v>
      </c>
      <c r="M1293" t="str">
        <f>VLOOKUP(A1293,Response!$A:$M,7,)</f>
        <v>PG (Paying Guest)</v>
      </c>
      <c r="N1293" t="str">
        <f>VLOOKUP(A1293,Response!$A:$M,8,)</f>
        <v>Sri Nilayam Gents Pag , Navalur</v>
      </c>
      <c r="O1293" s="4">
        <f>VLOOKUP(A1293,Response!$A:$M,10,)</f>
        <v>1</v>
      </c>
      <c r="P1293" t="str">
        <f>VLOOKUP(A1293,Response!$A:$M,12,)</f>
        <v>No</v>
      </c>
      <c r="Q1293" t="str">
        <f>VLOOKUP(A1293,Response!$A:$M,11,)</f>
        <v>Navalur</v>
      </c>
      <c r="R1293" t="s">
        <v>19</v>
      </c>
      <c r="S1293" s="39" t="s">
        <v>37</v>
      </c>
    </row>
    <row r="1294" spans="1:19">
      <c r="A1294" s="3">
        <v>2512343</v>
      </c>
      <c r="B1294" t="str">
        <f>VLOOKUP(A1294,File!$A:$J,2,FALSE)</f>
        <v>Gandham Srujan</v>
      </c>
      <c r="C1294" s="29">
        <f>VLOOKUP(A1294,File!$A:$J,5,FALSE)</f>
        <v>46170</v>
      </c>
      <c r="D1294" s="29" t="str">
        <f>VLOOKUP(A1294,File!$A:$J,3,FALSE)</f>
        <v>Male</v>
      </c>
      <c r="E1294" s="29" t="str">
        <f>VLOOKUP(A1294,File!$A:$J,4,FALSE)</f>
        <v>FTE</v>
      </c>
      <c r="F1294" s="29" t="str">
        <f>VLOOKUP(A1294,File!$A:$J,6,FALSE)</f>
        <v>Chennai</v>
      </c>
      <c r="G1294" s="29" t="str">
        <f>VLOOKUP(A1294,File!$A:$J,7,FALSE)</f>
        <v>CIS26MCPT011</v>
      </c>
      <c r="H1294" s="29" t="str">
        <f>VLOOKUP(A1294,File!$A:$J,8,FALSE)</f>
        <v>Uma Venkatachalam</v>
      </c>
      <c r="I1294" s="31">
        <f>VLOOKUP(A1294,File!$A:$J,9,FALSE)</f>
        <v>46282</v>
      </c>
      <c r="J1294" s="31" t="str">
        <f>VLOOKUP(A1294,File!$A:$K,11,FALSE)</f>
        <v>Sep 2026</v>
      </c>
      <c r="K1294" s="31" t="str">
        <f>VLOOKUP(A1294,File!$A:$K,10,FALSE)</f>
        <v>In-Training</v>
      </c>
      <c r="L1294" s="31" t="s">
        <v>4</v>
      </c>
      <c r="M1294" t="str">
        <f>VLOOKUP(A1294,Response!$A:$M,7,)</f>
        <v>PG (Paying Guest)</v>
      </c>
      <c r="N1294" t="str">
        <f>VLOOKUP(A1294,Response!$A:$M,8,)</f>
        <v>SRI NILAYAM GENTS PG NAVALUR OMR CHENNAI</v>
      </c>
      <c r="O1294" s="4">
        <f>VLOOKUP(A1294,Response!$A:$M,10,)</f>
        <v>1</v>
      </c>
      <c r="P1294" t="str">
        <f>VLOOKUP(A1294,Response!$A:$M,12,)</f>
        <v>No</v>
      </c>
      <c r="Q1294" t="str">
        <f>VLOOKUP(A1294,Response!$A:$M,11,)</f>
        <v>Egattur</v>
      </c>
      <c r="R1294" t="s">
        <v>19</v>
      </c>
      <c r="S1294" s="39" t="s">
        <v>37</v>
      </c>
    </row>
    <row r="1295" spans="1:19">
      <c r="A1295" s="3">
        <v>2521269</v>
      </c>
      <c r="B1295" t="str">
        <f>VLOOKUP(A1295,File!$A:$J,2,FALSE)</f>
        <v>Arthi S</v>
      </c>
      <c r="C1295" s="29">
        <f>VLOOKUP(A1295,File!$A:$J,5,FALSE)</f>
        <v>46210</v>
      </c>
      <c r="D1295" s="29" t="str">
        <f>VLOOKUP(A1295,File!$A:$J,3,FALSE)</f>
        <v>Female</v>
      </c>
      <c r="E1295" s="29" t="str">
        <f>VLOOKUP(A1295,File!$A:$J,4,FALSE)</f>
        <v>FTE</v>
      </c>
      <c r="F1295" s="29" t="str">
        <f>VLOOKUP(A1295,File!$A:$J,6,FALSE)</f>
        <v>Chennai</v>
      </c>
      <c r="G1295" s="29" t="str">
        <f>VLOOKUP(A1295,File!$A:$J,7,FALSE)</f>
        <v>HPC26DN005</v>
      </c>
      <c r="H1295" s="29" t="str">
        <f>VLOOKUP(A1295,File!$A:$J,8,FALSE)</f>
        <v>Viveka Preethi</v>
      </c>
      <c r="I1295" s="31">
        <f>VLOOKUP(A1295,File!$A:$J,9,FALSE)</f>
        <v>46296</v>
      </c>
      <c r="J1295" s="31" t="str">
        <f>VLOOKUP(A1295,File!$A:$K,11,FALSE)</f>
        <v>Oct 2026</v>
      </c>
      <c r="K1295" s="31" t="str">
        <f>VLOOKUP(A1295,File!$A:$K,10,FALSE)</f>
        <v>In-Training</v>
      </c>
      <c r="L1295" s="31" t="s">
        <v>4</v>
      </c>
      <c r="M1295" t="str">
        <f>VLOOKUP(A1295,Response!$A:$M,7,)</f>
        <v>PG (Paying Guest)</v>
      </c>
      <c r="N1295" t="str">
        <f>VLOOKUP(A1295,Response!$A:$M,8,)</f>
        <v>Sri Ram Sai (SRS) Ladies PG -  Branch 2, Egattur</v>
      </c>
      <c r="O1295" s="4">
        <f>VLOOKUP(A1295,Response!$A:$M,10,)</f>
        <v>2</v>
      </c>
      <c r="P1295" t="str">
        <f>VLOOKUP(A1295,Response!$A:$M,12,)</f>
        <v>No</v>
      </c>
      <c r="Q1295" t="str">
        <f>VLOOKUP(A1295,Response!$A:$M,11,)</f>
        <v>Siruseri</v>
      </c>
      <c r="R1295" t="s">
        <v>19</v>
      </c>
      <c r="S1295" s="39" t="s">
        <v>37</v>
      </c>
    </row>
    <row r="1296" spans="1:19">
      <c r="A1296" s="3">
        <v>2529743</v>
      </c>
      <c r="B1296" t="str">
        <f>VLOOKUP(A1296,File!$A:$J,2,FALSE)</f>
        <v>Goli Sai Lohithya</v>
      </c>
      <c r="C1296" s="29">
        <f>VLOOKUP(A1296,File!$A:$J,5,FALSE)</f>
        <v>46245</v>
      </c>
      <c r="D1296" s="29" t="str">
        <f>VLOOKUP(A1296,File!$A:$J,3,FALSE)</f>
        <v>Female</v>
      </c>
      <c r="E1296" s="29" t="str">
        <f>VLOOKUP(A1296,File!$A:$J,4,FALSE)</f>
        <v>FTE</v>
      </c>
      <c r="F1296" s="29" t="str">
        <f>VLOOKUP(A1296,File!$A:$J,6,FALSE)</f>
        <v>Chennai</v>
      </c>
      <c r="G1296" s="29" t="str">
        <f>VLOOKUP(A1296,File!$A:$J,7,FALSE)</f>
        <v>EPS26SAP033</v>
      </c>
      <c r="H1296" s="29" t="str">
        <f>VLOOKUP(A1296,File!$A:$J,8,FALSE)</f>
        <v>Ajith Ganesan</v>
      </c>
      <c r="I1296" s="31">
        <f>VLOOKUP(A1296,File!$A:$J,9,FALSE)</f>
        <v>46330</v>
      </c>
      <c r="J1296" s="31" t="str">
        <f>VLOOKUP(A1296,File!$A:$K,11,FALSE)</f>
        <v>Nov 2026</v>
      </c>
      <c r="K1296" s="31" t="str">
        <f>VLOOKUP(A1296,File!$A:$K,10,FALSE)</f>
        <v>In-Training</v>
      </c>
      <c r="L1296" s="31" t="s">
        <v>4</v>
      </c>
      <c r="M1296" t="str">
        <f>VLOOKUP(A1296,Response!$A:$M,7,)</f>
        <v>PG (Paying Guest)</v>
      </c>
      <c r="N1296" t="str">
        <f>VLOOKUP(A1296,Response!$A:$M,8,)</f>
        <v>Sri Rama Sai hostel</v>
      </c>
      <c r="O1296" s="4">
        <f>VLOOKUP(A1296,Response!$A:$M,10,)</f>
        <v>3</v>
      </c>
      <c r="P1296" t="str">
        <f>VLOOKUP(A1296,Response!$A:$M,12,)</f>
        <v>No</v>
      </c>
      <c r="Q1296" t="str">
        <f>VLOOKUP(A1296,Response!$A:$M,11,)</f>
        <v>Siruseri</v>
      </c>
      <c r="R1296" t="s">
        <v>19</v>
      </c>
      <c r="S1296" s="39" t="s">
        <v>37</v>
      </c>
    </row>
    <row r="1297" spans="1:19">
      <c r="A1297" s="3">
        <v>2521675</v>
      </c>
      <c r="B1297" t="str">
        <f>VLOOKUP(A1297,File!$A:$J,2,FALSE)</f>
        <v>Kashish Kumari</v>
      </c>
      <c r="C1297" s="29">
        <f>VLOOKUP(A1297,File!$A:$J,5,FALSE)</f>
        <v>46212</v>
      </c>
      <c r="D1297" s="29" t="str">
        <f>VLOOKUP(A1297,File!$A:$J,3,FALSE)</f>
        <v>Female</v>
      </c>
      <c r="E1297" s="29" t="str">
        <f>VLOOKUP(A1297,File!$A:$J,4,FALSE)</f>
        <v>FTE</v>
      </c>
      <c r="F1297" s="29" t="str">
        <f>VLOOKUP(A1297,File!$A:$J,6,FALSE)</f>
        <v>Chennai</v>
      </c>
      <c r="G1297" s="29" t="str">
        <f>VLOOKUP(A1297,File!$A:$J,7,FALSE)</f>
        <v>ADM26MF011</v>
      </c>
      <c r="H1297" s="29" t="str">
        <f>VLOOKUP(A1297,File!$A:$J,8,FALSE)</f>
        <v>Abinaya R</v>
      </c>
      <c r="I1297" s="31">
        <f>VLOOKUP(A1297,File!$A:$J,9,FALSE)</f>
        <v>46328</v>
      </c>
      <c r="J1297" s="31" t="str">
        <f>VLOOKUP(A1297,File!$A:$K,11,FALSE)</f>
        <v>Nov 2026</v>
      </c>
      <c r="K1297" s="31" t="str">
        <f>VLOOKUP(A1297,File!$A:$K,10,FALSE)</f>
        <v>In-Training</v>
      </c>
      <c r="L1297" s="31" t="s">
        <v>4</v>
      </c>
      <c r="M1297" t="str">
        <f>VLOOKUP(A1297,Response!$A:$M,7,)</f>
        <v>PG (Paying Guest)</v>
      </c>
      <c r="N1297" t="str">
        <f>VLOOKUP(A1297,Response!$A:$M,8,)</f>
        <v>Sri Rama Sai Ladies Hostel-Branch 2, Egattur</v>
      </c>
      <c r="O1297" s="4">
        <f>VLOOKUP(A1297,Response!$A:$M,10,)</f>
        <v>2</v>
      </c>
      <c r="P1297" t="str">
        <f>VLOOKUP(A1297,Response!$A:$M,12,)</f>
        <v>No</v>
      </c>
      <c r="Q1297" t="str">
        <f>VLOOKUP(A1297,Response!$A:$M,11,)</f>
        <v>Egattur</v>
      </c>
      <c r="R1297" t="s">
        <v>19</v>
      </c>
      <c r="S1297" s="39" t="s">
        <v>37</v>
      </c>
    </row>
    <row r="1298" spans="1:19">
      <c r="A1298" s="3">
        <v>2524550</v>
      </c>
      <c r="B1298" t="str">
        <f>VLOOKUP(A1298,File!$A:$J,2,FALSE)</f>
        <v>Gayathri M</v>
      </c>
      <c r="C1298" s="29">
        <f>VLOOKUP(A1298,File!$A:$J,5,FALSE)</f>
        <v>46224</v>
      </c>
      <c r="D1298" s="29" t="str">
        <f>VLOOKUP(A1298,File!$A:$J,3,FALSE)</f>
        <v>Female</v>
      </c>
      <c r="E1298" s="29" t="str">
        <f>VLOOKUP(A1298,File!$A:$J,4,FALSE)</f>
        <v>FTE</v>
      </c>
      <c r="F1298" s="29" t="str">
        <f>VLOOKUP(A1298,File!$A:$J,6,FALSE)</f>
        <v>Chennai</v>
      </c>
      <c r="G1298" s="29" t="str">
        <f>VLOOKUP(A1298,File!$A:$J,7,FALSE)</f>
        <v>IOA26RPA005</v>
      </c>
      <c r="H1298" s="29" t="str">
        <f>VLOOKUP(A1298,File!$A:$J,8,FALSE)</f>
        <v>Adarsh J Nair</v>
      </c>
      <c r="I1298" s="31">
        <f>VLOOKUP(A1298,File!$A:$J,9,FALSE)</f>
        <v>46309</v>
      </c>
      <c r="J1298" s="31" t="str">
        <f>VLOOKUP(A1298,File!$A:$K,11,FALSE)</f>
        <v>Oct 2026</v>
      </c>
      <c r="K1298" s="31" t="str">
        <f>VLOOKUP(A1298,File!$A:$K,10,FALSE)</f>
        <v>In-Training</v>
      </c>
      <c r="L1298" s="31" t="s">
        <v>4</v>
      </c>
      <c r="M1298" t="str">
        <f>VLOOKUP(A1298,Response!$A:$M,7,)</f>
        <v>PG (Paying Guest)</v>
      </c>
      <c r="N1298" t="str">
        <f>VLOOKUP(A1298,Response!$A:$M,8,)</f>
        <v>Sri Rama Sai Ladies PG - Branch 2, Egattur</v>
      </c>
      <c r="O1298" s="4">
        <f>VLOOKUP(A1298,Response!$A:$M,10,)</f>
        <v>3</v>
      </c>
      <c r="P1298" t="str">
        <f>VLOOKUP(A1298,Response!$A:$M,12,)</f>
        <v>Yes</v>
      </c>
      <c r="Q1298" t="str">
        <f>VLOOKUP(A1298,Response!$A:$M,11,)</f>
        <v>Navalur</v>
      </c>
      <c r="R1298" t="s">
        <v>19</v>
      </c>
      <c r="S1298" s="39" t="s">
        <v>37</v>
      </c>
    </row>
    <row r="1299" spans="1:19">
      <c r="A1299" s="3">
        <v>2512339</v>
      </c>
      <c r="B1299" t="str">
        <f>VLOOKUP(A1299,File!$A:$J,2,FALSE)</f>
        <v>Lahari Anthakapalli</v>
      </c>
      <c r="C1299" s="29">
        <f>VLOOKUP(A1299,File!$A:$J,5,FALSE)</f>
        <v>46170</v>
      </c>
      <c r="D1299" s="29" t="str">
        <f>VLOOKUP(A1299,File!$A:$J,3,FALSE)</f>
        <v>Female</v>
      </c>
      <c r="E1299" s="29" t="str">
        <f>VLOOKUP(A1299,File!$A:$J,4,FALSE)</f>
        <v>FTE</v>
      </c>
      <c r="F1299" s="29" t="str">
        <f>VLOOKUP(A1299,File!$A:$J,6,FALSE)</f>
        <v>Chennai</v>
      </c>
      <c r="G1299" s="29" t="str">
        <f>VLOOKUP(A1299,File!$A:$J,7,FALSE)</f>
        <v>CIS26MCPT012</v>
      </c>
      <c r="H1299" s="29" t="str">
        <f>VLOOKUP(A1299,File!$A:$J,8,FALSE)</f>
        <v>Uma Venkatachalam</v>
      </c>
      <c r="I1299" s="31">
        <f>VLOOKUP(A1299,File!$A:$J,9,FALSE)</f>
        <v>46282</v>
      </c>
      <c r="J1299" s="31" t="str">
        <f>VLOOKUP(A1299,File!$A:$K,11,FALSE)</f>
        <v>Sep 2026</v>
      </c>
      <c r="K1299" s="31" t="str">
        <f>VLOOKUP(A1299,File!$A:$K,10,FALSE)</f>
        <v>In-Training</v>
      </c>
      <c r="L1299" s="31" t="s">
        <v>4</v>
      </c>
      <c r="M1299" t="str">
        <f>VLOOKUP(A1299,Response!$A:$M,7,)</f>
        <v>PG (Paying Guest)</v>
      </c>
      <c r="N1299" t="str">
        <f>VLOOKUP(A1299,Response!$A:$M,8,)</f>
        <v xml:space="preserve">Sri Rama Sai Ladies PG , Egattur </v>
      </c>
      <c r="O1299" s="4">
        <f>VLOOKUP(A1299,Response!$A:$M,10,)</f>
        <v>1</v>
      </c>
      <c r="P1299" t="str">
        <f>VLOOKUP(A1299,Response!$A:$M,12,)</f>
        <v>No</v>
      </c>
      <c r="Q1299" t="str">
        <f>VLOOKUP(A1299,Response!$A:$M,11,)</f>
        <v>Egattur</v>
      </c>
      <c r="R1299" t="s">
        <v>19</v>
      </c>
      <c r="S1299" s="39" t="s">
        <v>37</v>
      </c>
    </row>
    <row r="1300" spans="1:19">
      <c r="A1300" s="3">
        <v>2521757</v>
      </c>
      <c r="B1300" t="str">
        <f>VLOOKUP(A1300,File!$A:$J,2,FALSE)</f>
        <v>Navaneetha Kompally</v>
      </c>
      <c r="C1300" s="29">
        <f>VLOOKUP(A1300,File!$A:$J,5,FALSE)</f>
        <v>46212</v>
      </c>
      <c r="D1300" s="29" t="str">
        <f>VLOOKUP(A1300,File!$A:$J,3,FALSE)</f>
        <v>Female</v>
      </c>
      <c r="E1300" s="29" t="str">
        <f>VLOOKUP(A1300,File!$A:$J,4,FALSE)</f>
        <v>FTE</v>
      </c>
      <c r="F1300" s="29" t="str">
        <f>VLOOKUP(A1300,File!$A:$J,6,FALSE)</f>
        <v>Chennai</v>
      </c>
      <c r="G1300" s="29" t="str">
        <f>VLOOKUP(A1300,File!$A:$J,7,FALSE)</f>
        <v>QEA26DS001</v>
      </c>
      <c r="H1300" s="29" t="str">
        <f>VLOOKUP(A1300,File!$A:$J,8,FALSE)</f>
        <v>Lourdhu Selvin Raj X</v>
      </c>
      <c r="I1300" s="31">
        <f>VLOOKUP(A1300,File!$A:$J,9,FALSE)</f>
        <v>46325</v>
      </c>
      <c r="J1300" s="31" t="str">
        <f>VLOOKUP(A1300,File!$A:$K,11,FALSE)</f>
        <v>Oct 2026</v>
      </c>
      <c r="K1300" s="31" t="str">
        <f>VLOOKUP(A1300,File!$A:$K,10,FALSE)</f>
        <v>In-Training</v>
      </c>
      <c r="L1300" s="31" t="s">
        <v>4</v>
      </c>
      <c r="M1300" t="str">
        <f>VLOOKUP(A1300,Response!$A:$M,7,)</f>
        <v>PG (Paying Guest)</v>
      </c>
      <c r="N1300" t="str">
        <f>VLOOKUP(A1300,Response!$A:$M,8,)</f>
        <v>Sri Rama Sai luxury ladies pg - branch 2 , Egattur</v>
      </c>
      <c r="O1300" s="4">
        <f>VLOOKUP(A1300,Response!$A:$M,10,)</f>
        <v>4</v>
      </c>
      <c r="P1300" t="str">
        <f>VLOOKUP(A1300,Response!$A:$M,12,)</f>
        <v>No</v>
      </c>
      <c r="Q1300" t="str">
        <f>VLOOKUP(A1300,Response!$A:$M,11,)</f>
        <v>Siruseri</v>
      </c>
      <c r="R1300" t="s">
        <v>19</v>
      </c>
      <c r="S1300" s="39" t="s">
        <v>37</v>
      </c>
    </row>
    <row r="1301" spans="1:19">
      <c r="A1301" s="3">
        <v>2524661</v>
      </c>
      <c r="B1301" t="str">
        <f>VLOOKUP(A1301,File!$A:$J,2,FALSE)</f>
        <v>Suja S</v>
      </c>
      <c r="C1301" s="29">
        <f>VLOOKUP(A1301,File!$A:$J,5,FALSE)</f>
        <v>46224</v>
      </c>
      <c r="D1301" s="29" t="str">
        <f>VLOOKUP(A1301,File!$A:$J,3,FALSE)</f>
        <v>Female</v>
      </c>
      <c r="E1301" s="29" t="str">
        <f>VLOOKUP(A1301,File!$A:$J,4,FALSE)</f>
        <v>FTE</v>
      </c>
      <c r="F1301" s="29" t="str">
        <f>VLOOKUP(A1301,File!$A:$J,6,FALSE)</f>
        <v>Chennai</v>
      </c>
      <c r="G1301" s="29" t="str">
        <f>VLOOKUP(A1301,File!$A:$J,7,FALSE)</f>
        <v>ADM26DFSA007</v>
      </c>
      <c r="H1301" s="29" t="str">
        <f>VLOOKUP(A1301,File!$A:$J,8,FALSE)</f>
        <v>Sweta Thoppil</v>
      </c>
      <c r="I1301" s="31">
        <f>VLOOKUP(A1301,File!$A:$J,9,FALSE)</f>
        <v>46336</v>
      </c>
      <c r="J1301" s="31" t="str">
        <f>VLOOKUP(A1301,File!$A:$K,11,FALSE)</f>
        <v>Nov 2026</v>
      </c>
      <c r="K1301" s="31" t="str">
        <f>VLOOKUP(A1301,File!$A:$K,10,FALSE)</f>
        <v>In-Training</v>
      </c>
      <c r="L1301" s="31" t="s">
        <v>4</v>
      </c>
      <c r="M1301" t="str">
        <f>VLOOKUP(A1301,Response!$A:$M,7,)</f>
        <v>PG (Paying Guest)</v>
      </c>
      <c r="N1301" t="str">
        <f>VLOOKUP(A1301,Response!$A:$M,8,)</f>
        <v>Sri Rama Sai Luxury PG for Women (ladies hostel) - Branch 2, HP Petrol pump, Vembuliamman Kovil street, behind navalur, Egattur</v>
      </c>
      <c r="O1301" s="4">
        <f>VLOOKUP(A1301,Response!$A:$M,10,)</f>
        <v>4</v>
      </c>
      <c r="P1301" t="str">
        <f>VLOOKUP(A1301,Response!$A:$M,12,)</f>
        <v>Yes</v>
      </c>
      <c r="Q1301" t="str">
        <f>VLOOKUP(A1301,Response!$A:$M,11,)</f>
        <v>Egattur</v>
      </c>
      <c r="R1301" t="s">
        <v>19</v>
      </c>
      <c r="S1301" s="39" t="s">
        <v>37</v>
      </c>
    </row>
    <row r="1302" spans="1:19">
      <c r="A1302" s="3">
        <v>2521295</v>
      </c>
      <c r="B1302" t="str">
        <f>VLOOKUP(A1302,File!$A:$J,2,FALSE)</f>
        <v>Jeba Nasrath Shaik</v>
      </c>
      <c r="C1302" s="29">
        <f>VLOOKUP(A1302,File!$A:$J,5,FALSE)</f>
        <v>46210</v>
      </c>
      <c r="D1302" s="29" t="str">
        <f>VLOOKUP(A1302,File!$A:$J,3,FALSE)</f>
        <v>Female</v>
      </c>
      <c r="E1302" s="29" t="str">
        <f>VLOOKUP(A1302,File!$A:$J,4,FALSE)</f>
        <v>FTE</v>
      </c>
      <c r="F1302" s="29" t="str">
        <f>VLOOKUP(A1302,File!$A:$J,6,FALSE)</f>
        <v>Chennai</v>
      </c>
      <c r="G1302" s="29" t="str">
        <f>VLOOKUP(A1302,File!$A:$J,7,FALSE)</f>
        <v>SNBG26SN003</v>
      </c>
      <c r="H1302" s="29" t="str">
        <f>VLOOKUP(A1302,File!$A:$J,8,FALSE)</f>
        <v>Lawrance M</v>
      </c>
      <c r="I1302" s="31">
        <f>VLOOKUP(A1302,File!$A:$J,9,FALSE)</f>
        <v>46281</v>
      </c>
      <c r="J1302" s="31" t="str">
        <f>VLOOKUP(A1302,File!$A:$K,11,FALSE)</f>
        <v>Sep 2026</v>
      </c>
      <c r="K1302" s="31" t="str">
        <f>VLOOKUP(A1302,File!$A:$K,10,FALSE)</f>
        <v>In-Training</v>
      </c>
      <c r="L1302" s="31" t="s">
        <v>4</v>
      </c>
      <c r="M1302" t="str">
        <f>VLOOKUP(A1302,Response!$A:$M,7,)</f>
        <v>PG (Paying Guest)</v>
      </c>
      <c r="N1302" t="str">
        <f>VLOOKUP(A1302,Response!$A:$M,8,)</f>
        <v xml:space="preserve">Sri Rama Sai PG for women branch 1 , Ambedkar street , Egattur </v>
      </c>
      <c r="O1302" s="4">
        <f>VLOOKUP(A1302,Response!$A:$M,10,)</f>
        <v>2</v>
      </c>
      <c r="P1302" t="str">
        <f>VLOOKUP(A1302,Response!$A:$M,12,)</f>
        <v>No</v>
      </c>
      <c r="Q1302" t="str">
        <f>VLOOKUP(A1302,Response!$A:$M,11,)</f>
        <v>Egattur</v>
      </c>
      <c r="R1302" t="s">
        <v>19</v>
      </c>
      <c r="S1302" s="39" t="s">
        <v>37</v>
      </c>
    </row>
    <row r="1303" spans="1:19">
      <c r="A1303" s="3">
        <v>2521259</v>
      </c>
      <c r="B1303" t="str">
        <f>VLOOKUP(A1303,File!$A:$J,2,FALSE)</f>
        <v>Navya Sree Madineni</v>
      </c>
      <c r="C1303" s="29">
        <f>VLOOKUP(A1303,File!$A:$J,5,FALSE)</f>
        <v>46210</v>
      </c>
      <c r="D1303" s="29" t="str">
        <f>VLOOKUP(A1303,File!$A:$J,3,FALSE)</f>
        <v>Female</v>
      </c>
      <c r="E1303" s="29" t="str">
        <f>VLOOKUP(A1303,File!$A:$J,4,FALSE)</f>
        <v>FTE</v>
      </c>
      <c r="F1303" s="29" t="str">
        <f>VLOOKUP(A1303,File!$A:$J,6,FALSE)</f>
        <v>Chennai</v>
      </c>
      <c r="G1303" s="29" t="str">
        <f>VLOOKUP(A1303,File!$A:$J,7,FALSE)</f>
        <v>SNBG26SN002</v>
      </c>
      <c r="H1303" s="29" t="str">
        <f>VLOOKUP(A1303,File!$A:$J,8,FALSE)</f>
        <v>Lawrance M</v>
      </c>
      <c r="I1303" s="31">
        <f>VLOOKUP(A1303,File!$A:$J,9,FALSE)</f>
        <v>46303</v>
      </c>
      <c r="J1303" s="31" t="str">
        <f>VLOOKUP(A1303,File!$A:$K,11,FALSE)</f>
        <v>Oct 2026</v>
      </c>
      <c r="K1303" s="31" t="str">
        <f>VLOOKUP(A1303,File!$A:$K,10,FALSE)</f>
        <v>In-Training</v>
      </c>
      <c r="L1303" s="31" t="s">
        <v>4</v>
      </c>
      <c r="M1303" t="str">
        <f>VLOOKUP(A1303,Response!$A:$M,7,)</f>
        <v>PG (Paying Guest)</v>
      </c>
      <c r="N1303" t="str">
        <f>VLOOKUP(A1303,Response!$A:$M,8,)</f>
        <v>Sri Sai Balaji Ladies PG</v>
      </c>
      <c r="O1303" s="4">
        <f>VLOOKUP(A1303,Response!$A:$M,10,)</f>
        <v>2</v>
      </c>
      <c r="P1303" t="str">
        <f>VLOOKUP(A1303,Response!$A:$M,12,)</f>
        <v>No</v>
      </c>
      <c r="Q1303" t="str">
        <f>VLOOKUP(A1303,Response!$A:$M,11,)</f>
        <v>Navalur</v>
      </c>
      <c r="R1303" t="s">
        <v>19</v>
      </c>
      <c r="S1303" s="39" t="s">
        <v>37</v>
      </c>
    </row>
    <row r="1304" spans="1:19">
      <c r="A1304" s="3">
        <v>2511258</v>
      </c>
      <c r="B1304" t="str">
        <f>VLOOKUP(A1304,File!$A:$J,2,FALSE)</f>
        <v>Kottamasu Sai Lakshmi Gowthami</v>
      </c>
      <c r="C1304" s="29">
        <f>VLOOKUP(A1304,File!$A:$J,5,FALSE)</f>
        <v>46163</v>
      </c>
      <c r="D1304" s="29" t="str">
        <f>VLOOKUP(A1304,File!$A:$J,3,FALSE)</f>
        <v>Female</v>
      </c>
      <c r="E1304" s="29" t="str">
        <f>VLOOKUP(A1304,File!$A:$J,4,FALSE)</f>
        <v>FTE</v>
      </c>
      <c r="F1304" s="29" t="str">
        <f>VLOOKUP(A1304,File!$A:$J,6,FALSE)</f>
        <v>Chennai</v>
      </c>
      <c r="G1304" s="29" t="str">
        <f>VLOOKUP(A1304,File!$A:$J,7,FALSE)</f>
        <v>CIS26MCPT010</v>
      </c>
      <c r="H1304" s="29" t="str">
        <f>VLOOKUP(A1304,File!$A:$J,8,FALSE)</f>
        <v>Mohamed Harish</v>
      </c>
      <c r="I1304" s="31">
        <f>VLOOKUP(A1304,File!$A:$J,9,FALSE)</f>
        <v>46275</v>
      </c>
      <c r="J1304" s="31" t="str">
        <f>VLOOKUP(A1304,File!$A:$K,11,FALSE)</f>
        <v>Sep 2026</v>
      </c>
      <c r="K1304" s="31" t="str">
        <f>VLOOKUP(A1304,File!$A:$K,10,FALSE)</f>
        <v>In-Training</v>
      </c>
      <c r="L1304" s="31" t="s">
        <v>4</v>
      </c>
      <c r="M1304" t="str">
        <f>VLOOKUP(A1304,Response!$A:$M,7,)</f>
        <v>PG (Paying Guest)</v>
      </c>
      <c r="N1304" t="str">
        <f>VLOOKUP(A1304,Response!$A:$M,8,)</f>
        <v>Sri sai balaji ladies pg</v>
      </c>
      <c r="O1304" s="4">
        <f>VLOOKUP(A1304,Response!$A:$M,10,)</f>
        <v>2</v>
      </c>
      <c r="P1304" t="str">
        <f>VLOOKUP(A1304,Response!$A:$M,12,)</f>
        <v>No</v>
      </c>
      <c r="Q1304" t="str">
        <f>VLOOKUP(A1304,Response!$A:$M,11,)</f>
        <v>Navalur</v>
      </c>
      <c r="R1304" t="s">
        <v>19</v>
      </c>
      <c r="S1304" s="39" t="s">
        <v>37</v>
      </c>
    </row>
    <row r="1305" spans="1:19">
      <c r="A1305" s="3">
        <v>2521304</v>
      </c>
      <c r="B1305" t="str">
        <f>VLOOKUP(A1305,File!$A:$J,2,FALSE)</f>
        <v>Maktumsabgari Juha Fathima</v>
      </c>
      <c r="C1305" s="29">
        <f>VLOOKUP(A1305,File!$A:$J,5,FALSE)</f>
        <v>46210</v>
      </c>
      <c r="D1305" s="29" t="str">
        <f>VLOOKUP(A1305,File!$A:$J,3,FALSE)</f>
        <v>Female</v>
      </c>
      <c r="E1305" s="29" t="str">
        <f>VLOOKUP(A1305,File!$A:$J,4,FALSE)</f>
        <v>FTE</v>
      </c>
      <c r="F1305" s="29" t="str">
        <f>VLOOKUP(A1305,File!$A:$J,6,FALSE)</f>
        <v>Chennai</v>
      </c>
      <c r="G1305" s="29" t="str">
        <f>VLOOKUP(A1305,File!$A:$J,7,FALSE)</f>
        <v>SNBG26SN002</v>
      </c>
      <c r="H1305" s="29" t="str">
        <f>VLOOKUP(A1305,File!$A:$J,8,FALSE)</f>
        <v>Lawrance M</v>
      </c>
      <c r="I1305" s="31">
        <f>VLOOKUP(A1305,File!$A:$J,9,FALSE)</f>
        <v>46303</v>
      </c>
      <c r="J1305" s="31" t="str">
        <f>VLOOKUP(A1305,File!$A:$K,11,FALSE)</f>
        <v>Oct 2026</v>
      </c>
      <c r="K1305" s="31" t="str">
        <f>VLOOKUP(A1305,File!$A:$K,10,FALSE)</f>
        <v>In-Training</v>
      </c>
      <c r="L1305" s="31" t="s">
        <v>4</v>
      </c>
      <c r="M1305" t="str">
        <f>VLOOKUP(A1305,Response!$A:$M,7,)</f>
        <v>PG (Paying Guest)</v>
      </c>
      <c r="N1305" t="str">
        <f>VLOOKUP(A1305,Response!$A:$M,8,)</f>
        <v>Sri Sai Balaji PG, Thiruvallur street, Navalur, Chennai, Tamil Nadu 600130, Navalur, Chennai</v>
      </c>
      <c r="O1305" s="4">
        <f>VLOOKUP(A1305,Response!$A:$M,10,)</f>
        <v>2</v>
      </c>
      <c r="P1305" t="str">
        <f>VLOOKUP(A1305,Response!$A:$M,12,)</f>
        <v>No</v>
      </c>
      <c r="Q1305" t="str">
        <f>VLOOKUP(A1305,Response!$A:$M,11,)</f>
        <v>Navalur</v>
      </c>
      <c r="R1305" t="s">
        <v>19</v>
      </c>
      <c r="S1305" s="39" t="s">
        <v>37</v>
      </c>
    </row>
    <row r="1306" spans="1:19">
      <c r="A1306" s="3">
        <v>2529529</v>
      </c>
      <c r="B1306" t="str">
        <f>VLOOKUP(A1306,File!$A:$J,2,FALSE)</f>
        <v>A Vishnu Prakash Reddy</v>
      </c>
      <c r="C1306" s="29">
        <f>VLOOKUP(A1306,File!$A:$J,5,FALSE)</f>
        <v>46245</v>
      </c>
      <c r="D1306" s="29" t="str">
        <f>VLOOKUP(A1306,File!$A:$J,3,FALSE)</f>
        <v>Male</v>
      </c>
      <c r="E1306" s="29" t="str">
        <f>VLOOKUP(A1306,File!$A:$J,4,FALSE)</f>
        <v>FTE</v>
      </c>
      <c r="F1306" s="29" t="str">
        <f>VLOOKUP(A1306,File!$A:$J,6,FALSE)</f>
        <v>Chennai</v>
      </c>
      <c r="G1306" s="29" t="str">
        <f>VLOOKUP(A1306,File!$A:$J,7,FALSE)</f>
        <v>CIS26MCPT024</v>
      </c>
      <c r="H1306" s="29" t="str">
        <f>VLOOKUP(A1306,File!$A:$J,8,FALSE)</f>
        <v>Ashiya Begam S</v>
      </c>
      <c r="I1306" s="31">
        <f>VLOOKUP(A1306,File!$A:$J,9,FALSE)</f>
        <v>46359</v>
      </c>
      <c r="J1306" s="31" t="str">
        <f>VLOOKUP(A1306,File!$A:$K,11,FALSE)</f>
        <v>Dec 2026</v>
      </c>
      <c r="K1306" s="31" t="str">
        <f>VLOOKUP(A1306,File!$A:$K,10,FALSE)</f>
        <v>In-Training</v>
      </c>
      <c r="L1306" s="31" t="s">
        <v>4</v>
      </c>
      <c r="M1306" t="str">
        <f>VLOOKUP(A1306,Response!$A:$M,7,)</f>
        <v>PG (Paying Guest)</v>
      </c>
      <c r="N1306" t="str">
        <f>VLOOKUP(A1306,Response!$A:$M,8,)</f>
        <v>Sri Sai gents Deluxe PG , periyar street ,uthandi,siruseri</v>
      </c>
      <c r="O1306" s="4">
        <f>VLOOKUP(A1306,Response!$A:$M,10,)</f>
        <v>2</v>
      </c>
      <c r="P1306" t="str">
        <f>VLOOKUP(A1306,Response!$A:$M,12,)</f>
        <v>No</v>
      </c>
      <c r="Q1306" t="str">
        <f>VLOOKUP(A1306,Response!$A:$M,11,)</f>
        <v>Siruseri</v>
      </c>
      <c r="R1306" t="s">
        <v>19</v>
      </c>
      <c r="S1306" s="39" t="s">
        <v>37</v>
      </c>
    </row>
    <row r="1307" spans="1:19">
      <c r="A1307" s="3">
        <v>2511223</v>
      </c>
      <c r="B1307" t="str">
        <f>VLOOKUP(A1307,File!$A:$J,2,FALSE)</f>
        <v>Potharla Joshna</v>
      </c>
      <c r="C1307" s="29">
        <f>VLOOKUP(A1307,File!$A:$J,5,FALSE)</f>
        <v>46163</v>
      </c>
      <c r="D1307" s="29" t="str">
        <f>VLOOKUP(A1307,File!$A:$J,3,FALSE)</f>
        <v>Female</v>
      </c>
      <c r="E1307" s="29" t="str">
        <f>VLOOKUP(A1307,File!$A:$J,4,FALSE)</f>
        <v>FTE</v>
      </c>
      <c r="F1307" s="29" t="str">
        <f>VLOOKUP(A1307,File!$A:$J,6,FALSE)</f>
        <v>Chennai</v>
      </c>
      <c r="G1307" s="29" t="str">
        <f>VLOOKUP(A1307,File!$A:$J,7,FALSE)</f>
        <v>CIS26MCPT010</v>
      </c>
      <c r="H1307" s="29" t="str">
        <f>VLOOKUP(A1307,File!$A:$J,8,FALSE)</f>
        <v>Mohamed Harish</v>
      </c>
      <c r="I1307" s="31">
        <f>VLOOKUP(A1307,File!$A:$J,9,FALSE)</f>
        <v>46275</v>
      </c>
      <c r="J1307" s="31" t="str">
        <f>VLOOKUP(A1307,File!$A:$K,11,FALSE)</f>
        <v>Sep 2026</v>
      </c>
      <c r="K1307" s="31" t="str">
        <f>VLOOKUP(A1307,File!$A:$K,10,FALSE)</f>
        <v>In-Training</v>
      </c>
      <c r="L1307" s="31" t="s">
        <v>4</v>
      </c>
      <c r="M1307" t="str">
        <f>VLOOKUP(A1307,Response!$A:$M,7,)</f>
        <v>PG (Paying Guest)</v>
      </c>
      <c r="N1307" t="str">
        <f>VLOOKUP(A1307,Response!$A:$M,8,)</f>
        <v>Sri sai uniq ladies hostel, Egattur, chennai</v>
      </c>
      <c r="O1307" s="4" t="str">
        <f>VLOOKUP(A1307,Response!$A:$M,10,)</f>
        <v>GF</v>
      </c>
      <c r="P1307" t="str">
        <f>VLOOKUP(A1307,Response!$A:$M,12,)</f>
        <v>No</v>
      </c>
      <c r="Q1307" t="str">
        <f>VLOOKUP(A1307,Response!$A:$M,11,)</f>
        <v>Egattur</v>
      </c>
      <c r="R1307" t="s">
        <v>19</v>
      </c>
      <c r="S1307" s="39" t="s">
        <v>37</v>
      </c>
    </row>
    <row r="1308" spans="1:19">
      <c r="A1308" s="3">
        <v>2521637</v>
      </c>
      <c r="B1308" t="str">
        <f>VLOOKUP(A1308,File!$A:$J,2,FALSE)</f>
        <v>Sadiya Khamar Patel</v>
      </c>
      <c r="C1308" s="29">
        <f>VLOOKUP(A1308,File!$A:$J,5,FALSE)</f>
        <v>46212</v>
      </c>
      <c r="D1308" s="29" t="str">
        <f>VLOOKUP(A1308,File!$A:$J,3,FALSE)</f>
        <v>Female</v>
      </c>
      <c r="E1308" s="29" t="str">
        <f>VLOOKUP(A1308,File!$A:$J,4,FALSE)</f>
        <v>FTE</v>
      </c>
      <c r="F1308" s="29" t="str">
        <f>VLOOKUP(A1308,File!$A:$J,6,FALSE)</f>
        <v>Chennai</v>
      </c>
      <c r="G1308" s="29" t="str">
        <f>VLOOKUP(A1308,File!$A:$J,7,FALSE)</f>
        <v>ADM26MF011</v>
      </c>
      <c r="H1308" s="29" t="str">
        <f>VLOOKUP(A1308,File!$A:$J,8,FALSE)</f>
        <v>Abinaya R</v>
      </c>
      <c r="I1308" s="31">
        <f>VLOOKUP(A1308,File!$A:$J,9,FALSE)</f>
        <v>46328</v>
      </c>
      <c r="J1308" s="31" t="str">
        <f>VLOOKUP(A1308,File!$A:$K,11,FALSE)</f>
        <v>Nov 2026</v>
      </c>
      <c r="K1308" s="31" t="str">
        <f>VLOOKUP(A1308,File!$A:$K,10,FALSE)</f>
        <v>In-Training</v>
      </c>
      <c r="L1308" s="31" t="s">
        <v>4</v>
      </c>
      <c r="M1308" t="str">
        <f>VLOOKUP(A1308,Response!$A:$M,7,)</f>
        <v>PG (Paying Guest)</v>
      </c>
      <c r="N1308" t="str">
        <f>VLOOKUP(A1308,Response!$A:$M,8,)</f>
        <v>Sri Sai Uniq Ladies PG, Egattur</v>
      </c>
      <c r="O1308" s="4">
        <f>VLOOKUP(A1308,Response!$A:$M,10,)</f>
        <v>1</v>
      </c>
      <c r="P1308" t="str">
        <f>VLOOKUP(A1308,Response!$A:$M,12,)</f>
        <v>No</v>
      </c>
      <c r="Q1308" t="str">
        <f>VLOOKUP(A1308,Response!$A:$M,11,)</f>
        <v>Siruseri</v>
      </c>
      <c r="R1308" t="s">
        <v>19</v>
      </c>
      <c r="S1308" s="39" t="s">
        <v>37</v>
      </c>
    </row>
    <row r="1309" spans="1:19">
      <c r="A1309" s="3">
        <v>2521311</v>
      </c>
      <c r="B1309" t="str">
        <f>VLOOKUP(A1309,File!$A:$J,2,FALSE)</f>
        <v>Kasturi Harini</v>
      </c>
      <c r="C1309" s="29">
        <f>VLOOKUP(A1309,File!$A:$J,5,FALSE)</f>
        <v>46210</v>
      </c>
      <c r="D1309" s="29" t="str">
        <f>VLOOKUP(A1309,File!$A:$J,3,FALSE)</f>
        <v>Female</v>
      </c>
      <c r="E1309" s="29" t="str">
        <f>VLOOKUP(A1309,File!$A:$J,4,FALSE)</f>
        <v>FTE</v>
      </c>
      <c r="F1309" s="29" t="str">
        <f>VLOOKUP(A1309,File!$A:$J,6,FALSE)</f>
        <v>Chennai</v>
      </c>
      <c r="G1309" s="29" t="str">
        <f>VLOOKUP(A1309,File!$A:$J,7,FALSE)</f>
        <v>SNBG26SN002</v>
      </c>
      <c r="H1309" s="29" t="str">
        <f>VLOOKUP(A1309,File!$A:$J,8,FALSE)</f>
        <v>Lawrance M</v>
      </c>
      <c r="I1309" s="31">
        <f>VLOOKUP(A1309,File!$A:$J,9,FALSE)</f>
        <v>46303</v>
      </c>
      <c r="J1309" s="31" t="str">
        <f>VLOOKUP(A1309,File!$A:$K,11,FALSE)</f>
        <v>Oct 2026</v>
      </c>
      <c r="K1309" s="31" t="str">
        <f>VLOOKUP(A1309,File!$A:$K,10,FALSE)</f>
        <v>In-Training</v>
      </c>
      <c r="L1309" s="31" t="s">
        <v>4</v>
      </c>
      <c r="M1309" t="str">
        <f>VLOOKUP(A1309,Response!$A:$M,7,)</f>
        <v>PG (Paying Guest)</v>
      </c>
      <c r="N1309" t="str">
        <f>VLOOKUP(A1309,Response!$A:$M,8,)</f>
        <v>Sri sai uniq ladies pg, egattur</v>
      </c>
      <c r="O1309" s="4">
        <f>VLOOKUP(A1309,Response!$A:$M,10,)</f>
        <v>1</v>
      </c>
      <c r="P1309" t="str">
        <f>VLOOKUP(A1309,Response!$A:$M,12,)</f>
        <v>No</v>
      </c>
      <c r="Q1309" t="str">
        <f>VLOOKUP(A1309,Response!$A:$M,11,)</f>
        <v>Egattur</v>
      </c>
      <c r="R1309" t="s">
        <v>19</v>
      </c>
      <c r="S1309" s="39" t="s">
        <v>37</v>
      </c>
    </row>
    <row r="1310" spans="1:19">
      <c r="A1310" s="3">
        <v>2529651</v>
      </c>
      <c r="B1310" t="str">
        <f>VLOOKUP(A1310,File!$A:$J,2,FALSE)</f>
        <v>Akanksha Sunil Athawale</v>
      </c>
      <c r="C1310" s="29">
        <f>VLOOKUP(A1310,File!$A:$J,5,FALSE)</f>
        <v>46245</v>
      </c>
      <c r="D1310" s="29" t="str">
        <f>VLOOKUP(A1310,File!$A:$J,3,FALSE)</f>
        <v>Female</v>
      </c>
      <c r="E1310" s="29" t="str">
        <f>VLOOKUP(A1310,File!$A:$J,4,FALSE)</f>
        <v>FTE</v>
      </c>
      <c r="F1310" s="29" t="str">
        <f>VLOOKUP(A1310,File!$A:$J,6,FALSE)</f>
        <v>Chennai</v>
      </c>
      <c r="G1310" s="29" t="str">
        <f>VLOOKUP(A1310,File!$A:$J,7,FALSE)</f>
        <v>CIS26MCPT025</v>
      </c>
      <c r="H1310" s="29" t="str">
        <f>VLOOKUP(A1310,File!$A:$J,8,FALSE)</f>
        <v>Vignesh S</v>
      </c>
      <c r="I1310" s="31">
        <f>VLOOKUP(A1310,File!$A:$J,9,FALSE)</f>
        <v>46359</v>
      </c>
      <c r="J1310" s="31" t="str">
        <f>VLOOKUP(A1310,File!$A:$K,11,FALSE)</f>
        <v>Dec 2026</v>
      </c>
      <c r="K1310" s="31" t="str">
        <f>VLOOKUP(A1310,File!$A:$K,10,FALSE)</f>
        <v>In-Training</v>
      </c>
      <c r="L1310" s="31" t="s">
        <v>4</v>
      </c>
      <c r="M1310" t="str">
        <f>VLOOKUP(A1310,Response!$A:$M,7,)</f>
        <v>PG (Paying Guest)</v>
      </c>
      <c r="N1310" t="str">
        <f>VLOOKUP(A1310,Response!$A:$M,8,)</f>
        <v>Sri Sai Uniq Ladies PG, Egattur</v>
      </c>
      <c r="O1310" s="4">
        <f>VLOOKUP(A1310,Response!$A:$M,10,)</f>
        <v>1</v>
      </c>
      <c r="P1310" t="str">
        <f>VLOOKUP(A1310,Response!$A:$M,12,)</f>
        <v>No</v>
      </c>
      <c r="Q1310" t="str">
        <f>VLOOKUP(A1310,Response!$A:$M,11,)</f>
        <v>Egattur</v>
      </c>
      <c r="R1310" t="s">
        <v>19</v>
      </c>
      <c r="S1310" s="39" t="s">
        <v>37</v>
      </c>
    </row>
    <row r="1311" spans="1:19">
      <c r="A1311" s="3">
        <v>2533177</v>
      </c>
      <c r="B1311" t="str">
        <f>VLOOKUP(A1311,File!$A:$J,2,FALSE)</f>
        <v>Bhoomika Sree Gunda</v>
      </c>
      <c r="C1311" s="29">
        <f>VLOOKUP(A1311,File!$A:$J,5,FALSE)</f>
        <v>46259</v>
      </c>
      <c r="D1311" s="29" t="str">
        <f>VLOOKUP(A1311,File!$A:$J,3,FALSE)</f>
        <v>Female</v>
      </c>
      <c r="E1311" s="29" t="str">
        <f>VLOOKUP(A1311,File!$A:$J,4,FALSE)</f>
        <v>FTE</v>
      </c>
      <c r="F1311" s="29" t="str">
        <f>VLOOKUP(A1311,File!$A:$J,6,FALSE)</f>
        <v>Chennai</v>
      </c>
      <c r="G1311" s="29" t="str">
        <f>VLOOKUP(A1311,File!$A:$J,7,FALSE)</f>
        <v>IOT26CSJ002</v>
      </c>
      <c r="H1311" s="29" t="str">
        <f>VLOOKUP(A1311,File!$A:$J,8,FALSE)</f>
        <v>Pavithra Kandasamy</v>
      </c>
      <c r="I1311" s="31">
        <f>VLOOKUP(A1311,File!$A:$J,9,FALSE)</f>
        <v>46337</v>
      </c>
      <c r="J1311" s="31" t="str">
        <f>VLOOKUP(A1311,File!$A:$K,11,FALSE)</f>
        <v>Nov 2026</v>
      </c>
      <c r="K1311" s="31" t="str">
        <f>VLOOKUP(A1311,File!$A:$K,10,FALSE)</f>
        <v>In-Training</v>
      </c>
      <c r="L1311" s="31" t="s">
        <v>4</v>
      </c>
      <c r="M1311" t="str">
        <f>VLOOKUP(A1311,Response!$A:$M,7,)</f>
        <v>PG (Paying Guest)</v>
      </c>
      <c r="N1311" t="str">
        <f>VLOOKUP(A1311,Response!$A:$M,8,)</f>
        <v>Sri Sai UniQ ladies PG, Egattur</v>
      </c>
      <c r="O1311" s="4">
        <f>VLOOKUP(A1311,Response!$A:$M,10,)</f>
        <v>2</v>
      </c>
      <c r="P1311" t="str">
        <f>VLOOKUP(A1311,Response!$A:$M,12,)</f>
        <v>No</v>
      </c>
      <c r="Q1311" t="str">
        <f>VLOOKUP(A1311,Response!$A:$M,11,)</f>
        <v>Egattur</v>
      </c>
      <c r="R1311" t="s">
        <v>19</v>
      </c>
      <c r="S1311" s="39" t="s">
        <v>37</v>
      </c>
    </row>
    <row r="1312" spans="1:19">
      <c r="A1312" s="3">
        <v>2529740</v>
      </c>
      <c r="B1312" t="str">
        <f>VLOOKUP(A1312,File!$A:$J,2,FALSE)</f>
        <v>Yogeswari S</v>
      </c>
      <c r="C1312" s="29">
        <f>VLOOKUP(A1312,File!$A:$J,5,FALSE)</f>
        <v>46245</v>
      </c>
      <c r="D1312" s="29" t="str">
        <f>VLOOKUP(A1312,File!$A:$J,3,FALSE)</f>
        <v>Female</v>
      </c>
      <c r="E1312" s="29" t="str">
        <f>VLOOKUP(A1312,File!$A:$J,4,FALSE)</f>
        <v>FTE</v>
      </c>
      <c r="F1312" s="29" t="str">
        <f>VLOOKUP(A1312,File!$A:$J,6,FALSE)</f>
        <v>Chennai</v>
      </c>
      <c r="G1312" s="29" t="str">
        <f>VLOOKUP(A1312,File!$A:$J,7,FALSE)</f>
        <v>EPS26SAP031</v>
      </c>
      <c r="H1312" s="29" t="str">
        <f>VLOOKUP(A1312,File!$A:$J,8,FALSE)</f>
        <v>Akashraj R</v>
      </c>
      <c r="I1312" s="31">
        <f>VLOOKUP(A1312,File!$A:$J,9,FALSE)</f>
        <v>46330</v>
      </c>
      <c r="J1312" s="31" t="str">
        <f>VLOOKUP(A1312,File!$A:$K,11,FALSE)</f>
        <v>Nov 2026</v>
      </c>
      <c r="K1312" s="31" t="str">
        <f>VLOOKUP(A1312,File!$A:$K,10,FALSE)</f>
        <v>In-Training</v>
      </c>
      <c r="L1312" s="31" t="s">
        <v>4</v>
      </c>
      <c r="M1312" t="str">
        <f>VLOOKUP(A1312,Response!$A:$M,7,)</f>
        <v>PG (Paying Guest)</v>
      </c>
      <c r="N1312" t="str">
        <f>VLOOKUP(A1312,Response!$A:$M,8,)</f>
        <v>Sri Sai Uniq stays for ladies,Pazhandi Amman Kovil Street ,Egattur,Siruseri,Chennai-600130</v>
      </c>
      <c r="O1312" s="4">
        <f>VLOOKUP(A1312,Response!$A:$M,10,)</f>
        <v>2</v>
      </c>
      <c r="P1312" t="str">
        <f>VLOOKUP(A1312,Response!$A:$M,12,)</f>
        <v>Yes</v>
      </c>
      <c r="Q1312" t="str">
        <f>VLOOKUP(A1312,Response!$A:$M,11,)</f>
        <v>Egattur</v>
      </c>
      <c r="R1312" t="s">
        <v>19</v>
      </c>
      <c r="S1312" s="39" t="s">
        <v>37</v>
      </c>
    </row>
    <row r="1313" spans="1:19">
      <c r="A1313" s="3">
        <v>2529717</v>
      </c>
      <c r="B1313" t="str">
        <f>VLOOKUP(A1313,File!$A:$J,2,FALSE)</f>
        <v>Akshaya Murugeson</v>
      </c>
      <c r="C1313" s="29">
        <f>VLOOKUP(A1313,File!$A:$J,5,FALSE)</f>
        <v>46245</v>
      </c>
      <c r="D1313" s="29" t="str">
        <f>VLOOKUP(A1313,File!$A:$J,3,FALSE)</f>
        <v>Female</v>
      </c>
      <c r="E1313" s="29" t="str">
        <f>VLOOKUP(A1313,File!$A:$J,4,FALSE)</f>
        <v>FTE</v>
      </c>
      <c r="F1313" s="29" t="str">
        <f>VLOOKUP(A1313,File!$A:$J,6,FALSE)</f>
        <v>Chennai</v>
      </c>
      <c r="G1313" s="29" t="str">
        <f>VLOOKUP(A1313,File!$A:$J,7,FALSE)</f>
        <v>EPS26SAP034</v>
      </c>
      <c r="H1313" s="29" t="str">
        <f>VLOOKUP(A1313,File!$A:$J,8,FALSE)</f>
        <v>Gayathri Ramachandran</v>
      </c>
      <c r="I1313" s="31">
        <f>VLOOKUP(A1313,File!$A:$J,9,FALSE)</f>
        <v>46331</v>
      </c>
      <c r="J1313" s="31" t="str">
        <f>VLOOKUP(A1313,File!$A:$K,11,FALSE)</f>
        <v>Nov 2026</v>
      </c>
      <c r="K1313" s="31" t="str">
        <f>VLOOKUP(A1313,File!$A:$K,10,FALSE)</f>
        <v>In-Training</v>
      </c>
      <c r="L1313" s="31" t="s">
        <v>4</v>
      </c>
      <c r="M1313" t="str">
        <f>VLOOKUP(A1313,Response!$A:$M,7,)</f>
        <v>PG (Paying Guest)</v>
      </c>
      <c r="N1313" t="str">
        <f>VLOOKUP(A1313,Response!$A:$M,8,)</f>
        <v>Sri Sai Uniqs (Ladies), Egattur</v>
      </c>
      <c r="O1313" s="4">
        <f>VLOOKUP(A1313,Response!$A:$M,10,)</f>
        <v>2</v>
      </c>
      <c r="P1313" t="str">
        <f>VLOOKUP(A1313,Response!$A:$M,12,)</f>
        <v>Yes</v>
      </c>
      <c r="Q1313" t="str">
        <f>VLOOKUP(A1313,Response!$A:$M,11,)</f>
        <v>Egattur</v>
      </c>
      <c r="R1313" t="s">
        <v>19</v>
      </c>
      <c r="S1313" s="39" t="s">
        <v>37</v>
      </c>
    </row>
    <row r="1314" spans="1:19">
      <c r="A1314" s="3">
        <v>2533160</v>
      </c>
      <c r="B1314" t="str">
        <f>VLOOKUP(A1314,File!$A:$J,2,FALSE)</f>
        <v>Pothuganti Sushmitha</v>
      </c>
      <c r="C1314" s="29">
        <f>VLOOKUP(A1314,File!$A:$J,5,FALSE)</f>
        <v>46259</v>
      </c>
      <c r="D1314" s="29" t="str">
        <f>VLOOKUP(A1314,File!$A:$J,3,FALSE)</f>
        <v>Female</v>
      </c>
      <c r="E1314" s="29" t="str">
        <f>VLOOKUP(A1314,File!$A:$J,4,FALSE)</f>
        <v>FTE</v>
      </c>
      <c r="F1314" s="29" t="str">
        <f>VLOOKUP(A1314,File!$A:$J,6,FALSE)</f>
        <v>Chennai</v>
      </c>
      <c r="G1314" s="29" t="str">
        <f>VLOOKUP(A1314,File!$A:$J,7,FALSE)</f>
        <v>CIS26SN002</v>
      </c>
      <c r="H1314" s="29" t="str">
        <f>VLOOKUP(A1314,File!$A:$J,8,FALSE)</f>
        <v>Ashiya Begam S</v>
      </c>
      <c r="I1314" s="31">
        <f>VLOOKUP(A1314,File!$A:$J,9,FALSE)</f>
        <v>46358</v>
      </c>
      <c r="J1314" s="31" t="str">
        <f>VLOOKUP(A1314,File!$A:$K,11,FALSE)</f>
        <v>Dec 2026</v>
      </c>
      <c r="K1314" s="31" t="str">
        <f>VLOOKUP(A1314,File!$A:$K,10,FALSE)</f>
        <v>In-Training</v>
      </c>
      <c r="L1314" s="31" t="s">
        <v>4</v>
      </c>
      <c r="M1314" t="str">
        <f>VLOOKUP(A1314,Response!$A:$M,7,)</f>
        <v>PG (Paying Guest)</v>
      </c>
      <c r="N1314" t="str">
        <f>VLOOKUP(A1314,Response!$A:$M,8,)</f>
        <v>Sri Sai UniQs PG Ladies Hostel</v>
      </c>
      <c r="O1314" s="4">
        <f>VLOOKUP(A1314,Response!$A:$M,10,)</f>
        <v>3</v>
      </c>
      <c r="P1314" t="str">
        <f>VLOOKUP(A1314,Response!$A:$M,12,)</f>
        <v>No</v>
      </c>
      <c r="Q1314" t="str">
        <f>VLOOKUP(A1314,Response!$A:$M,11,)</f>
        <v>Egattur</v>
      </c>
      <c r="R1314" t="s">
        <v>19</v>
      </c>
      <c r="S1314" s="39" t="s">
        <v>37</v>
      </c>
    </row>
    <row r="1315" spans="1:19">
      <c r="A1315" s="3">
        <v>2531414</v>
      </c>
      <c r="B1315" t="str">
        <f>VLOOKUP(A1315,File!$A:$J,2,FALSE)</f>
        <v>J Swetha</v>
      </c>
      <c r="C1315" s="29">
        <f>VLOOKUP(A1315,File!$A:$J,5,FALSE)</f>
        <v>46252</v>
      </c>
      <c r="D1315" s="29" t="str">
        <f>VLOOKUP(A1315,File!$A:$J,3,FALSE)</f>
        <v>Female</v>
      </c>
      <c r="E1315" s="29" t="str">
        <f>VLOOKUP(A1315,File!$A:$J,4,FALSE)</f>
        <v>FTE</v>
      </c>
      <c r="F1315" s="29" t="str">
        <f>VLOOKUP(A1315,File!$A:$J,6,FALSE)</f>
        <v>Chennai</v>
      </c>
      <c r="G1315" s="29" t="str">
        <f>VLOOKUP(A1315,File!$A:$J,7,FALSE)</f>
        <v>EPS26SAP034</v>
      </c>
      <c r="H1315" s="29" t="str">
        <f>VLOOKUP(A1315,File!$A:$J,8,FALSE)</f>
        <v>Gayathri Ramachandran</v>
      </c>
      <c r="I1315" s="31">
        <f>VLOOKUP(A1315,File!$A:$J,9,FALSE)</f>
        <v>46331</v>
      </c>
      <c r="J1315" s="31" t="str">
        <f>VLOOKUP(A1315,File!$A:$K,11,FALSE)</f>
        <v>Nov 2026</v>
      </c>
      <c r="K1315" s="31" t="str">
        <f>VLOOKUP(A1315,File!$A:$K,10,FALSE)</f>
        <v>In-Training</v>
      </c>
      <c r="L1315" s="31" t="s">
        <v>4</v>
      </c>
      <c r="M1315" t="str">
        <f>VLOOKUP(A1315,Response!$A:$M,7,)</f>
        <v>PG (Paying Guest)</v>
      </c>
      <c r="N1315" t="str">
        <f>VLOOKUP(A1315,Response!$A:$M,8,)</f>
        <v>Sri Sai Uniqs stays for ladies</v>
      </c>
      <c r="O1315" s="4">
        <f>VLOOKUP(A1315,Response!$A:$M,10,)</f>
        <v>2</v>
      </c>
      <c r="P1315" t="str">
        <f>VLOOKUP(A1315,Response!$A:$M,12,)</f>
        <v>Yes</v>
      </c>
      <c r="Q1315" t="str">
        <f>VLOOKUP(A1315,Response!$A:$M,11,)</f>
        <v>Egattur</v>
      </c>
      <c r="R1315" t="s">
        <v>19</v>
      </c>
      <c r="S1315" s="39" t="s">
        <v>37</v>
      </c>
    </row>
    <row r="1316" spans="1:19">
      <c r="A1316" s="3">
        <v>2521246</v>
      </c>
      <c r="B1316" t="str">
        <f>VLOOKUP(A1316,File!$A:$J,2,FALSE)</f>
        <v>Manya Saraswat</v>
      </c>
      <c r="C1316" s="29">
        <f>VLOOKUP(A1316,File!$A:$J,5,FALSE)</f>
        <v>46210</v>
      </c>
      <c r="D1316" s="29" t="str">
        <f>VLOOKUP(A1316,File!$A:$J,3,FALSE)</f>
        <v>Female</v>
      </c>
      <c r="E1316" s="29" t="str">
        <f>VLOOKUP(A1316,File!$A:$J,4,FALSE)</f>
        <v>FTE</v>
      </c>
      <c r="F1316" s="29" t="str">
        <f>VLOOKUP(A1316,File!$A:$J,6,FALSE)</f>
        <v>Chennai</v>
      </c>
      <c r="G1316" s="29" t="str">
        <f>VLOOKUP(A1316,File!$A:$J,7,FALSE)</f>
        <v>SNBG26SN004</v>
      </c>
      <c r="H1316" s="29" t="str">
        <f>VLOOKUP(A1316,File!$A:$J,8,FALSE)</f>
        <v>Kishorekumar P</v>
      </c>
      <c r="I1316" s="31">
        <f>VLOOKUP(A1316,File!$A:$J,9,FALSE)</f>
        <v>46303</v>
      </c>
      <c r="J1316" s="31" t="str">
        <f>VLOOKUP(A1316,File!$A:$K,11,FALSE)</f>
        <v>Oct 2026</v>
      </c>
      <c r="K1316" s="31" t="str">
        <f>VLOOKUP(A1316,File!$A:$K,10,FALSE)</f>
        <v>In-Training</v>
      </c>
      <c r="L1316" s="31" t="s">
        <v>4</v>
      </c>
      <c r="M1316" t="str">
        <f>VLOOKUP(A1316,Response!$A:$M,7,)</f>
        <v>PG (Paying Guest)</v>
      </c>
      <c r="N1316" t="str">
        <f>VLOOKUP(A1316,Response!$A:$M,8,)</f>
        <v>Sri Sai Unique Ladies PG</v>
      </c>
      <c r="O1316" s="4">
        <f>VLOOKUP(A1316,Response!$A:$M,10,)</f>
        <v>1</v>
      </c>
      <c r="P1316" t="str">
        <f>VLOOKUP(A1316,Response!$A:$M,12,)</f>
        <v>No</v>
      </c>
      <c r="Q1316" t="str">
        <f>VLOOKUP(A1316,Response!$A:$M,11,)</f>
        <v>Egattur</v>
      </c>
      <c r="R1316" t="s">
        <v>19</v>
      </c>
      <c r="S1316" s="39" t="s">
        <v>37</v>
      </c>
    </row>
    <row r="1317" spans="1:19">
      <c r="A1317" s="3">
        <v>2524497</v>
      </c>
      <c r="B1317" t="str">
        <f>VLOOKUP(A1317,File!$A:$J,2,FALSE)</f>
        <v>Thalluri Lahari</v>
      </c>
      <c r="C1317" s="29">
        <f>VLOOKUP(A1317,File!$A:$J,5,FALSE)</f>
        <v>46224</v>
      </c>
      <c r="D1317" s="29" t="str">
        <f>VLOOKUP(A1317,File!$A:$J,3,FALSE)</f>
        <v>Female</v>
      </c>
      <c r="E1317" s="29" t="str">
        <f>VLOOKUP(A1317,File!$A:$J,4,FALSE)</f>
        <v>FTE</v>
      </c>
      <c r="F1317" s="29" t="str">
        <f>VLOOKUP(A1317,File!$A:$J,6,FALSE)</f>
        <v>Chennai</v>
      </c>
      <c r="G1317" s="29" t="str">
        <f>VLOOKUP(A1317,File!$A:$J,7,FALSE)</f>
        <v>ADM26DFSA007</v>
      </c>
      <c r="H1317" s="29" t="str">
        <f>VLOOKUP(A1317,File!$A:$J,8,FALSE)</f>
        <v>Sweta Thoppil</v>
      </c>
      <c r="I1317" s="31">
        <f>VLOOKUP(A1317,File!$A:$J,9,FALSE)</f>
        <v>46336</v>
      </c>
      <c r="J1317" s="31" t="str">
        <f>VLOOKUP(A1317,File!$A:$K,11,FALSE)</f>
        <v>Nov 2026</v>
      </c>
      <c r="K1317" s="31" t="str">
        <f>VLOOKUP(A1317,File!$A:$K,10,FALSE)</f>
        <v>In-Training</v>
      </c>
      <c r="L1317" s="31" t="s">
        <v>4</v>
      </c>
      <c r="M1317" t="str">
        <f>VLOOKUP(A1317,Response!$A:$M,7,)</f>
        <v>PG (Paying Guest)</v>
      </c>
      <c r="N1317" t="str">
        <f>VLOOKUP(A1317,Response!$A:$M,8,)</f>
        <v>Sri Sai Unique Ladies PG</v>
      </c>
      <c r="O1317" s="4">
        <f>VLOOKUP(A1317,Response!$A:$M,10,)</f>
        <v>1</v>
      </c>
      <c r="P1317" t="str">
        <f>VLOOKUP(A1317,Response!$A:$M,12,)</f>
        <v>No</v>
      </c>
      <c r="Q1317" t="str">
        <f>VLOOKUP(A1317,Response!$A:$M,11,)</f>
        <v>Egattur</v>
      </c>
      <c r="R1317" t="s">
        <v>19</v>
      </c>
      <c r="S1317" s="39" t="s">
        <v>37</v>
      </c>
    </row>
    <row r="1318" spans="1:19">
      <c r="A1318" s="3">
        <v>2533083</v>
      </c>
      <c r="B1318" t="str">
        <f>VLOOKUP(A1318,File!$A:$J,2,FALSE)</f>
        <v>Meghna Beeram</v>
      </c>
      <c r="C1318" s="29">
        <f>VLOOKUP(A1318,File!$A:$J,5,FALSE)</f>
        <v>46259</v>
      </c>
      <c r="D1318" s="29" t="str">
        <f>VLOOKUP(A1318,File!$A:$J,3,FALSE)</f>
        <v>Female</v>
      </c>
      <c r="E1318" s="29" t="str">
        <f>VLOOKUP(A1318,File!$A:$J,4,FALSE)</f>
        <v>FTE</v>
      </c>
      <c r="F1318" s="29" t="str">
        <f>VLOOKUP(A1318,File!$A:$J,6,FALSE)</f>
        <v>Chennai</v>
      </c>
      <c r="G1318" s="29" t="str">
        <f>VLOOKUP(A1318,File!$A:$J,7,FALSE)</f>
        <v>CIS26SN002</v>
      </c>
      <c r="H1318" s="29" t="str">
        <f>VLOOKUP(A1318,File!$A:$J,8,FALSE)</f>
        <v>Ashiya Begam S</v>
      </c>
      <c r="I1318" s="31">
        <f>VLOOKUP(A1318,File!$A:$J,9,FALSE)</f>
        <v>46358</v>
      </c>
      <c r="J1318" s="31" t="str">
        <f>VLOOKUP(A1318,File!$A:$K,11,FALSE)</f>
        <v>Dec 2026</v>
      </c>
      <c r="K1318" s="31" t="str">
        <f>VLOOKUP(A1318,File!$A:$K,10,FALSE)</f>
        <v>In-Training</v>
      </c>
      <c r="L1318" s="31" t="s">
        <v>4</v>
      </c>
      <c r="M1318" t="str">
        <f>VLOOKUP(A1318,Response!$A:$M,7,)</f>
        <v>PG (Paying Guest)</v>
      </c>
      <c r="N1318" t="str">
        <f>VLOOKUP(A1318,Response!$A:$M,8,)</f>
        <v>Sri sai unique ladies pg</v>
      </c>
      <c r="O1318" s="4">
        <f>VLOOKUP(A1318,Response!$A:$M,10,)</f>
        <v>1</v>
      </c>
      <c r="P1318" t="str">
        <f>VLOOKUP(A1318,Response!$A:$M,12,)</f>
        <v>No</v>
      </c>
      <c r="Q1318" t="str">
        <f>VLOOKUP(A1318,Response!$A:$M,11,)</f>
        <v>Siruseri</v>
      </c>
      <c r="R1318" t="s">
        <v>19</v>
      </c>
      <c r="S1318" s="39" t="s">
        <v>37</v>
      </c>
    </row>
    <row r="1319" spans="1:19">
      <c r="A1319" s="3">
        <v>2529547</v>
      </c>
      <c r="B1319" t="str">
        <f>VLOOKUP(A1319,File!$A:$J,2,FALSE)</f>
        <v>Pranjal Bhausaheb Purkar</v>
      </c>
      <c r="C1319" s="29">
        <f>VLOOKUP(A1319,File!$A:$J,5,FALSE)</f>
        <v>46245</v>
      </c>
      <c r="D1319" s="29" t="str">
        <f>VLOOKUP(A1319,File!$A:$J,3,FALSE)</f>
        <v>Female</v>
      </c>
      <c r="E1319" s="29" t="str">
        <f>VLOOKUP(A1319,File!$A:$J,4,FALSE)</f>
        <v>FTE</v>
      </c>
      <c r="F1319" s="29" t="str">
        <f>VLOOKUP(A1319,File!$A:$J,6,FALSE)</f>
        <v>Chennai</v>
      </c>
      <c r="G1319" s="29" t="str">
        <f>VLOOKUP(A1319,File!$A:$J,7,FALSE)</f>
        <v>CIS26MCPT023</v>
      </c>
      <c r="H1319" s="29" t="str">
        <f>VLOOKUP(A1319,File!$A:$J,8,FALSE)</f>
        <v>Kishorekumar P</v>
      </c>
      <c r="I1319" s="31">
        <f>VLOOKUP(A1319,File!$A:$J,9,FALSE)</f>
        <v>46359</v>
      </c>
      <c r="J1319" s="31" t="str">
        <f>VLOOKUP(A1319,File!$A:$K,11,FALSE)</f>
        <v>Dec 2026</v>
      </c>
      <c r="K1319" s="31" t="str">
        <f>VLOOKUP(A1319,File!$A:$K,10,FALSE)</f>
        <v>In-Training</v>
      </c>
      <c r="L1319" s="31" t="s">
        <v>4</v>
      </c>
      <c r="M1319" t="str">
        <f>VLOOKUP(A1319,Response!$A:$M,7,)</f>
        <v>PG (Paying Guest)</v>
      </c>
      <c r="N1319" t="str">
        <f>VLOOKUP(A1319,Response!$A:$M,8,)</f>
        <v>Sri Sai unique ladies PG</v>
      </c>
      <c r="O1319" s="4">
        <f>VLOOKUP(A1319,Response!$A:$M,10,)</f>
        <v>2</v>
      </c>
      <c r="P1319" t="str">
        <f>VLOOKUP(A1319,Response!$A:$M,12,)</f>
        <v>No</v>
      </c>
      <c r="Q1319" t="str">
        <f>VLOOKUP(A1319,Response!$A:$M,11,)</f>
        <v>Siruseri</v>
      </c>
      <c r="R1319" t="s">
        <v>19</v>
      </c>
      <c r="S1319" s="39" t="s">
        <v>37</v>
      </c>
    </row>
    <row r="1320" spans="1:19">
      <c r="A1320" s="3">
        <v>2529808</v>
      </c>
      <c r="B1320" t="str">
        <f>VLOOKUP(A1320,File!$A:$J,2,FALSE)</f>
        <v>Maddimanu Deepthi</v>
      </c>
      <c r="C1320" s="29">
        <f>VLOOKUP(A1320,File!$A:$J,5,FALSE)</f>
        <v>46245</v>
      </c>
      <c r="D1320" s="29" t="str">
        <f>VLOOKUP(A1320,File!$A:$J,3,FALSE)</f>
        <v>Female</v>
      </c>
      <c r="E1320" s="29" t="str">
        <f>VLOOKUP(A1320,File!$A:$J,4,FALSE)</f>
        <v>FTE</v>
      </c>
      <c r="F1320" s="29" t="str">
        <f>VLOOKUP(A1320,File!$A:$J,6,FALSE)</f>
        <v>Chennai</v>
      </c>
      <c r="G1320" s="29" t="str">
        <f>VLOOKUP(A1320,File!$A:$J,7,FALSE)</f>
        <v>CIS26AZ001</v>
      </c>
      <c r="H1320" s="29" t="str">
        <f>VLOOKUP(A1320,File!$A:$J,8,FALSE)</f>
        <v>Ashiya Begam S</v>
      </c>
      <c r="I1320" s="31">
        <f>VLOOKUP(A1320,File!$A:$J,9,FALSE)</f>
        <v>46335</v>
      </c>
      <c r="J1320" s="31" t="str">
        <f>VLOOKUP(A1320,File!$A:$K,11,FALSE)</f>
        <v>Nov 2026</v>
      </c>
      <c r="K1320" s="31" t="str">
        <f>VLOOKUP(A1320,File!$A:$K,10,FALSE)</f>
        <v>In-Training</v>
      </c>
      <c r="L1320" s="31" t="s">
        <v>4</v>
      </c>
      <c r="M1320" t="str">
        <f>VLOOKUP(A1320,Response!$A:$M,7,)</f>
        <v>PG (Paying Guest)</v>
      </c>
      <c r="N1320" t="str">
        <f>VLOOKUP(A1320,Response!$A:$M,8,)</f>
        <v>Sri Sai Unique Ladies PG</v>
      </c>
      <c r="O1320" s="4">
        <f>VLOOKUP(A1320,Response!$A:$M,10,)</f>
        <v>4</v>
      </c>
      <c r="P1320" t="str">
        <f>VLOOKUP(A1320,Response!$A:$M,12,)</f>
        <v>No</v>
      </c>
      <c r="Q1320" t="str">
        <f>VLOOKUP(A1320,Response!$A:$M,11,)</f>
        <v>Siruseri</v>
      </c>
      <c r="R1320" t="s">
        <v>19</v>
      </c>
      <c r="S1320" s="39" t="s">
        <v>37</v>
      </c>
    </row>
    <row r="1321" spans="1:19">
      <c r="A1321" s="3">
        <v>2529561</v>
      </c>
      <c r="B1321" t="str">
        <f>VLOOKUP(A1321,File!$A:$J,2,FALSE)</f>
        <v>Muktanjali Bhagwat Ghangale</v>
      </c>
      <c r="C1321" s="29">
        <f>VLOOKUP(A1321,File!$A:$J,5,FALSE)</f>
        <v>46245</v>
      </c>
      <c r="D1321" s="29" t="str">
        <f>VLOOKUP(A1321,File!$A:$J,3,FALSE)</f>
        <v>Female</v>
      </c>
      <c r="E1321" s="29" t="str">
        <f>VLOOKUP(A1321,File!$A:$J,4,FALSE)</f>
        <v>FTE</v>
      </c>
      <c r="F1321" s="29" t="str">
        <f>VLOOKUP(A1321,File!$A:$J,6,FALSE)</f>
        <v>Chennai</v>
      </c>
      <c r="G1321" s="29" t="str">
        <f>VLOOKUP(A1321,File!$A:$J,7,FALSE)</f>
        <v>CIS26MCPT023</v>
      </c>
      <c r="H1321" s="29" t="str">
        <f>VLOOKUP(A1321,File!$A:$J,8,FALSE)</f>
        <v>Kishorekumar P</v>
      </c>
      <c r="I1321" s="31">
        <f>VLOOKUP(A1321,File!$A:$J,9,FALSE)</f>
        <v>46359</v>
      </c>
      <c r="J1321" s="31" t="str">
        <f>VLOOKUP(A1321,File!$A:$K,11,FALSE)</f>
        <v>Dec 2026</v>
      </c>
      <c r="K1321" s="31" t="str">
        <f>VLOOKUP(A1321,File!$A:$K,10,FALSE)</f>
        <v>In-Training</v>
      </c>
      <c r="L1321" s="31" t="s">
        <v>4</v>
      </c>
      <c r="M1321" t="str">
        <f>VLOOKUP(A1321,Response!$A:$M,7,)</f>
        <v>PG (Paying Guest)</v>
      </c>
      <c r="N1321" t="str">
        <f>VLOOKUP(A1321,Response!$A:$M,8,)</f>
        <v xml:space="preserve">Sri Sai Unique Ladies pg </v>
      </c>
      <c r="O1321" s="4">
        <f>VLOOKUP(A1321,Response!$A:$M,10,)</f>
        <v>2</v>
      </c>
      <c r="P1321" t="str">
        <f>VLOOKUP(A1321,Response!$A:$M,12,)</f>
        <v>No</v>
      </c>
      <c r="Q1321" t="str">
        <f>VLOOKUP(A1321,Response!$A:$M,11,)</f>
        <v>Siruseri</v>
      </c>
      <c r="R1321" t="s">
        <v>19</v>
      </c>
      <c r="S1321" s="39" t="s">
        <v>37</v>
      </c>
    </row>
    <row r="1322" spans="1:19">
      <c r="A1322" s="3">
        <v>2521288</v>
      </c>
      <c r="B1322" t="str">
        <f>VLOOKUP(A1322,File!$A:$J,2,FALSE)</f>
        <v>Thati Sree Varsha</v>
      </c>
      <c r="C1322" s="29">
        <f>VLOOKUP(A1322,File!$A:$J,5,FALSE)</f>
        <v>46210</v>
      </c>
      <c r="D1322" s="29" t="str">
        <f>VLOOKUP(A1322,File!$A:$J,3,FALSE)</f>
        <v>Female</v>
      </c>
      <c r="E1322" s="29" t="str">
        <f>VLOOKUP(A1322,File!$A:$J,4,FALSE)</f>
        <v>FTE</v>
      </c>
      <c r="F1322" s="29" t="str">
        <f>VLOOKUP(A1322,File!$A:$J,6,FALSE)</f>
        <v>Chennai</v>
      </c>
      <c r="G1322" s="29" t="str">
        <f>VLOOKUP(A1322,File!$A:$J,7,FALSE)</f>
        <v>SNBG26SN003</v>
      </c>
      <c r="H1322" s="29" t="str">
        <f>VLOOKUP(A1322,File!$A:$J,8,FALSE)</f>
        <v>Lawrance M</v>
      </c>
      <c r="I1322" s="31">
        <f>VLOOKUP(A1322,File!$A:$J,9,FALSE)</f>
        <v>46303</v>
      </c>
      <c r="J1322" s="31" t="str">
        <f>VLOOKUP(A1322,File!$A:$K,11,FALSE)</f>
        <v>Oct 2026</v>
      </c>
      <c r="K1322" s="31" t="str">
        <f>VLOOKUP(A1322,File!$A:$K,10,FALSE)</f>
        <v>In-Training</v>
      </c>
      <c r="L1322" s="31" t="s">
        <v>4</v>
      </c>
      <c r="M1322" t="str">
        <f>VLOOKUP(A1322,Response!$A:$M,7,)</f>
        <v>PG (Paying Guest)</v>
      </c>
      <c r="N1322" t="str">
        <f>VLOOKUP(A1322,Response!$A:$M,8,)</f>
        <v>Sri Sai Unique Ladies PG , Gangaiamman Kovil Street, Egattur, Siruseri, Chennai - 603103, Tamil Nadu</v>
      </c>
      <c r="O1322" s="4">
        <f>VLOOKUP(A1322,Response!$A:$M,10,)</f>
        <v>1</v>
      </c>
      <c r="P1322" t="str">
        <f>VLOOKUP(A1322,Response!$A:$M,12,)</f>
        <v>No</v>
      </c>
      <c r="Q1322" t="str">
        <f>VLOOKUP(A1322,Response!$A:$M,11,)</f>
        <v>Egattur</v>
      </c>
      <c r="R1322" t="s">
        <v>19</v>
      </c>
      <c r="S1322" s="39" t="s">
        <v>37</v>
      </c>
    </row>
    <row r="1323" spans="1:19">
      <c r="A1323" s="3">
        <v>2521249</v>
      </c>
      <c r="B1323" t="str">
        <f>VLOOKUP(A1323,File!$A:$J,2,FALSE)</f>
        <v>Rohini Nakka</v>
      </c>
      <c r="C1323" s="29">
        <f>VLOOKUP(A1323,File!$A:$J,5,FALSE)</f>
        <v>46210</v>
      </c>
      <c r="D1323" s="29" t="str">
        <f>VLOOKUP(A1323,File!$A:$J,3,FALSE)</f>
        <v>Female</v>
      </c>
      <c r="E1323" s="29" t="str">
        <f>VLOOKUP(A1323,File!$A:$J,4,FALSE)</f>
        <v>FTE</v>
      </c>
      <c r="F1323" s="29" t="str">
        <f>VLOOKUP(A1323,File!$A:$J,6,FALSE)</f>
        <v>Chennai</v>
      </c>
      <c r="G1323" s="29" t="str">
        <f>VLOOKUP(A1323,File!$A:$J,7,FALSE)</f>
        <v>SNBG26SN003</v>
      </c>
      <c r="H1323" s="29" t="str">
        <f>VLOOKUP(A1323,File!$A:$J,8,FALSE)</f>
        <v>Lawrance M</v>
      </c>
      <c r="I1323" s="31">
        <f>VLOOKUP(A1323,File!$A:$J,9,FALSE)</f>
        <v>46281</v>
      </c>
      <c r="J1323" s="31" t="str">
        <f>VLOOKUP(A1323,File!$A:$K,11,FALSE)</f>
        <v>Sep 2026</v>
      </c>
      <c r="K1323" s="31" t="str">
        <f>VLOOKUP(A1323,File!$A:$K,10,FALSE)</f>
        <v>In-Training</v>
      </c>
      <c r="L1323" s="31" t="s">
        <v>4</v>
      </c>
      <c r="M1323" t="str">
        <f>VLOOKUP(A1323,Response!$A:$M,7,)</f>
        <v>PG (Paying Guest)</v>
      </c>
      <c r="N1323" t="str">
        <f>VLOOKUP(A1323,Response!$A:$M,8,)</f>
        <v xml:space="preserve">Sri Sai Unique Ladies PG , Gangaiamman Kovil Street, Egattur, Siruseri, Chennai - 603103, Tamil Nadu    </v>
      </c>
      <c r="O1323" s="4">
        <f>VLOOKUP(A1323,Response!$A:$M,10,)</f>
        <v>1</v>
      </c>
      <c r="P1323" t="str">
        <f>VLOOKUP(A1323,Response!$A:$M,12,)</f>
        <v>No</v>
      </c>
      <c r="Q1323" t="str">
        <f>VLOOKUP(A1323,Response!$A:$M,11,)</f>
        <v>Egattur</v>
      </c>
      <c r="R1323" t="s">
        <v>19</v>
      </c>
      <c r="S1323" s="39" t="s">
        <v>37</v>
      </c>
    </row>
    <row r="1324" spans="1:19">
      <c r="A1324" s="3">
        <v>2521056</v>
      </c>
      <c r="B1324" t="str">
        <f>VLOOKUP(A1324,File!$A:$J,2,FALSE)</f>
        <v>Goriparthi Krishna Swapnika</v>
      </c>
      <c r="C1324" s="29">
        <f>VLOOKUP(A1324,File!$A:$J,5,FALSE)</f>
        <v>46210</v>
      </c>
      <c r="D1324" s="29" t="str">
        <f>VLOOKUP(A1324,File!$A:$J,3,FALSE)</f>
        <v>Female</v>
      </c>
      <c r="E1324" s="29" t="str">
        <f>VLOOKUP(A1324,File!$A:$J,4,FALSE)</f>
        <v>FTE</v>
      </c>
      <c r="F1324" s="29" t="str">
        <f>VLOOKUP(A1324,File!$A:$J,6,FALSE)</f>
        <v>Chennai</v>
      </c>
      <c r="G1324" s="29" t="str">
        <f>VLOOKUP(A1324,File!$A:$J,7,FALSE)</f>
        <v>CIS26SN001</v>
      </c>
      <c r="H1324" s="29" t="str">
        <f>VLOOKUP(A1324,File!$A:$J,8,FALSE)</f>
        <v>Ashiya Begam S</v>
      </c>
      <c r="I1324" s="31">
        <f>VLOOKUP(A1324,File!$A:$J,9,FALSE)</f>
        <v>46303</v>
      </c>
      <c r="J1324" s="31" t="str">
        <f>VLOOKUP(A1324,File!$A:$K,11,FALSE)</f>
        <v>Oct 2026</v>
      </c>
      <c r="K1324" s="31" t="str">
        <f>VLOOKUP(A1324,File!$A:$K,10,FALSE)</f>
        <v>In-Training</v>
      </c>
      <c r="L1324" s="31" t="s">
        <v>4</v>
      </c>
      <c r="M1324" t="str">
        <f>VLOOKUP(A1324,Response!$A:$M,7,)</f>
        <v>PG (Paying Guest)</v>
      </c>
      <c r="N1324" t="str">
        <f>VLOOKUP(A1324,Response!$A:$M,8,)</f>
        <v>Sri Sai Unique Ladies PG, Egattur</v>
      </c>
      <c r="O1324" s="4">
        <f>VLOOKUP(A1324,Response!$A:$M,10,)</f>
        <v>1</v>
      </c>
      <c r="P1324" t="str">
        <f>VLOOKUP(A1324,Response!$A:$M,12,)</f>
        <v>Yes</v>
      </c>
      <c r="Q1324" t="str">
        <f>VLOOKUP(A1324,Response!$A:$M,11,)</f>
        <v>Egattur</v>
      </c>
      <c r="R1324" t="s">
        <v>19</v>
      </c>
      <c r="S1324" s="39" t="s">
        <v>37</v>
      </c>
    </row>
    <row r="1325" spans="1:19">
      <c r="A1325" s="3">
        <v>2532975</v>
      </c>
      <c r="B1325" t="str">
        <f>VLOOKUP(A1325,File!$A:$J,2,FALSE)</f>
        <v>Vishnupriya Nuvvula</v>
      </c>
      <c r="C1325" s="29">
        <f>VLOOKUP(A1325,File!$A:$J,5,FALSE)</f>
        <v>46259</v>
      </c>
      <c r="D1325" s="29" t="str">
        <f>VLOOKUP(A1325,File!$A:$J,3,FALSE)</f>
        <v>Female</v>
      </c>
      <c r="E1325" s="29" t="str">
        <f>VLOOKUP(A1325,File!$A:$J,4,FALSE)</f>
        <v>FTE</v>
      </c>
      <c r="F1325" s="29" t="str">
        <f>VLOOKUP(A1325,File!$A:$J,6,FALSE)</f>
        <v>Chennai</v>
      </c>
      <c r="G1325" s="29" t="str">
        <f>VLOOKUP(A1325,File!$A:$J,7,FALSE)</f>
        <v>CIS26MBG005</v>
      </c>
      <c r="H1325" s="29" t="str">
        <f>VLOOKUP(A1325,File!$A:$J,8,FALSE)</f>
        <v>Angel Maria Faustina Gomez</v>
      </c>
      <c r="I1325" s="31">
        <f>VLOOKUP(A1325,File!$A:$J,9,FALSE)</f>
        <v>46367</v>
      </c>
      <c r="J1325" s="31" t="str">
        <f>VLOOKUP(A1325,File!$A:$K,11,FALSE)</f>
        <v>Dec 2026</v>
      </c>
      <c r="K1325" s="31" t="str">
        <f>VLOOKUP(A1325,File!$A:$K,10,FALSE)</f>
        <v>In-Training</v>
      </c>
      <c r="L1325" s="31" t="s">
        <v>4</v>
      </c>
      <c r="M1325" t="str">
        <f>VLOOKUP(A1325,Response!$A:$M,7,)</f>
        <v>PG (Paying Guest)</v>
      </c>
      <c r="N1325" t="str">
        <f>VLOOKUP(A1325,Response!$A:$M,8,)</f>
        <v>Sri sai unique ladies pg, Egattur</v>
      </c>
      <c r="O1325" s="4">
        <f>VLOOKUP(A1325,Response!$A:$M,10,)</f>
        <v>4</v>
      </c>
      <c r="P1325" t="str">
        <f>VLOOKUP(A1325,Response!$A:$M,12,)</f>
        <v>Yes</v>
      </c>
      <c r="Q1325" t="str">
        <f>VLOOKUP(A1325,Response!$A:$M,11,)</f>
        <v>Egattur</v>
      </c>
      <c r="R1325" t="s">
        <v>19</v>
      </c>
      <c r="S1325" s="39" t="s">
        <v>37</v>
      </c>
    </row>
    <row r="1326" spans="1:19">
      <c r="A1326" s="3">
        <v>2529708</v>
      </c>
      <c r="B1326" t="str">
        <f>VLOOKUP(A1326,File!$A:$J,2,FALSE)</f>
        <v>Nusum Srilakshmi Lavanya</v>
      </c>
      <c r="C1326" s="29">
        <f>VLOOKUP(A1326,File!$A:$J,5,FALSE)</f>
        <v>46245</v>
      </c>
      <c r="D1326" s="29" t="str">
        <f>VLOOKUP(A1326,File!$A:$J,3,FALSE)</f>
        <v>Female</v>
      </c>
      <c r="E1326" s="29" t="str">
        <f>VLOOKUP(A1326,File!$A:$J,4,FALSE)</f>
        <v>FTE</v>
      </c>
      <c r="F1326" s="29" t="str">
        <f>VLOOKUP(A1326,File!$A:$J,6,FALSE)</f>
        <v>Chennai</v>
      </c>
      <c r="G1326" s="29" t="str">
        <f>VLOOKUP(A1326,File!$A:$J,7,FALSE)</f>
        <v>CIS26AZ001</v>
      </c>
      <c r="H1326" s="29" t="str">
        <f>VLOOKUP(A1326,File!$A:$J,8,FALSE)</f>
        <v>Ashiya Begam S</v>
      </c>
      <c r="I1326" s="31">
        <f>VLOOKUP(A1326,File!$A:$J,9,FALSE)</f>
        <v>46335</v>
      </c>
      <c r="J1326" s="31" t="str">
        <f>VLOOKUP(A1326,File!$A:$K,11,FALSE)</f>
        <v>Nov 2026</v>
      </c>
      <c r="K1326" s="31" t="str">
        <f>VLOOKUP(A1326,File!$A:$K,10,FALSE)</f>
        <v>In-Training</v>
      </c>
      <c r="L1326" s="31" t="s">
        <v>4</v>
      </c>
      <c r="M1326" t="str">
        <f>VLOOKUP(A1326,Response!$A:$M,7,)</f>
        <v>PG (Paying Guest)</v>
      </c>
      <c r="N1326" t="str">
        <f>VLOOKUP(A1326,Response!$A:$M,8,)</f>
        <v>sri sai unique ladies pg, egattur</v>
      </c>
      <c r="O1326" s="4">
        <f>VLOOKUP(A1326,Response!$A:$M,10,)</f>
        <v>4</v>
      </c>
      <c r="P1326" t="str">
        <f>VLOOKUP(A1326,Response!$A:$M,12,)</f>
        <v>No</v>
      </c>
      <c r="Q1326" t="str">
        <f>VLOOKUP(A1326,Response!$A:$M,11,)</f>
        <v>Egattur</v>
      </c>
      <c r="R1326" t="s">
        <v>19</v>
      </c>
      <c r="S1326" s="39" t="s">
        <v>37</v>
      </c>
    </row>
    <row r="1327" spans="1:19">
      <c r="A1327" s="3">
        <v>2533026</v>
      </c>
      <c r="B1327" t="str">
        <f>VLOOKUP(A1327,File!$A:$J,2,FALSE)</f>
        <v>Vundemodalu Divija</v>
      </c>
      <c r="C1327" s="29">
        <f>VLOOKUP(A1327,File!$A:$J,5,FALSE)</f>
        <v>46259</v>
      </c>
      <c r="D1327" s="29" t="str">
        <f>VLOOKUP(A1327,File!$A:$J,3,FALSE)</f>
        <v>Female</v>
      </c>
      <c r="E1327" s="29" t="str">
        <f>VLOOKUP(A1327,File!$A:$J,4,FALSE)</f>
        <v>FTE</v>
      </c>
      <c r="F1327" s="29" t="str">
        <f>VLOOKUP(A1327,File!$A:$J,6,FALSE)</f>
        <v>Chennai</v>
      </c>
      <c r="G1327" s="29" t="str">
        <f>VLOOKUP(A1327,File!$A:$J,7,FALSE)</f>
        <v>CIS26AT008</v>
      </c>
      <c r="H1327" s="29" t="str">
        <f>VLOOKUP(A1327,File!$A:$J,8,FALSE)</f>
        <v>Uma Venkatachalam</v>
      </c>
      <c r="I1327" s="31">
        <f>VLOOKUP(A1327,File!$A:$J,9,FALSE)</f>
        <v>46365</v>
      </c>
      <c r="J1327" s="31" t="str">
        <f>VLOOKUP(A1327,File!$A:$K,11,FALSE)</f>
        <v>Dec 2026</v>
      </c>
      <c r="K1327" s="31" t="str">
        <f>VLOOKUP(A1327,File!$A:$K,10,FALSE)</f>
        <v>In-Training</v>
      </c>
      <c r="L1327" s="31" t="s">
        <v>4</v>
      </c>
      <c r="M1327" t="str">
        <f>VLOOKUP(A1327,Response!$A:$M,7,)</f>
        <v>PG (Paying Guest)</v>
      </c>
      <c r="N1327" t="str">
        <f>VLOOKUP(A1327,Response!$A:$M,8,)</f>
        <v>Sri sai unique ladies pg</v>
      </c>
      <c r="O1327" s="4">
        <f>VLOOKUP(A1327,Response!$A:$M,10,)</f>
        <v>4</v>
      </c>
      <c r="P1327" t="str">
        <f>VLOOKUP(A1327,Response!$A:$M,12,)</f>
        <v>No</v>
      </c>
      <c r="Q1327" t="str">
        <f>VLOOKUP(A1327,Response!$A:$M,11,)</f>
        <v>Egattur</v>
      </c>
      <c r="R1327" t="s">
        <v>19</v>
      </c>
      <c r="S1327" s="39" t="s">
        <v>37</v>
      </c>
    </row>
    <row r="1328" spans="1:19">
      <c r="A1328" s="3">
        <v>2533002</v>
      </c>
      <c r="B1328" t="str">
        <f>VLOOKUP(A1328,File!$A:$J,2,FALSE)</f>
        <v>Vallem Venkata Vaishnavi</v>
      </c>
      <c r="C1328" s="29">
        <f>VLOOKUP(A1328,File!$A:$J,5,FALSE)</f>
        <v>46259</v>
      </c>
      <c r="D1328" s="29" t="str">
        <f>VLOOKUP(A1328,File!$A:$J,3,FALSE)</f>
        <v>Female</v>
      </c>
      <c r="E1328" s="29" t="str">
        <f>VLOOKUP(A1328,File!$A:$J,4,FALSE)</f>
        <v>FTE</v>
      </c>
      <c r="F1328" s="29" t="str">
        <f>VLOOKUP(A1328,File!$A:$J,6,FALSE)</f>
        <v>Chennai</v>
      </c>
      <c r="G1328" s="29" t="str">
        <f>VLOOKUP(A1328,File!$A:$J,7,FALSE)</f>
        <v>CIS26MBG007</v>
      </c>
      <c r="H1328" s="29" t="str">
        <f>VLOOKUP(A1328,File!$A:$J,8,FALSE)</f>
        <v>Lawrance M</v>
      </c>
      <c r="I1328" s="31">
        <f>VLOOKUP(A1328,File!$A:$J,9,FALSE)</f>
        <v>46367</v>
      </c>
      <c r="J1328" s="31" t="str">
        <f>VLOOKUP(A1328,File!$A:$K,11,FALSE)</f>
        <v>Dec 2026</v>
      </c>
      <c r="K1328" s="31" t="str">
        <f>VLOOKUP(A1328,File!$A:$K,10,FALSE)</f>
        <v>In-Training</v>
      </c>
      <c r="L1328" s="31" t="s">
        <v>4</v>
      </c>
      <c r="M1328" t="str">
        <f>VLOOKUP(A1328,Response!$A:$M,7,)</f>
        <v>PG (Paying Guest)</v>
      </c>
      <c r="N1328" t="str">
        <f>VLOOKUP(A1328,Response!$A:$M,8,)</f>
        <v>Sri Sai unique ladies pg,gangai amman Kovil, Egattur, sirusei, tamilnadu, 603103.</v>
      </c>
      <c r="O1328" s="4">
        <f>VLOOKUP(A1328,Response!$A:$M,10,)</f>
        <v>4</v>
      </c>
      <c r="P1328" t="str">
        <f>VLOOKUP(A1328,Response!$A:$M,12,)</f>
        <v>No</v>
      </c>
      <c r="Q1328" t="str">
        <f>VLOOKUP(A1328,Response!$A:$M,11,)</f>
        <v>Egattur</v>
      </c>
      <c r="R1328" t="s">
        <v>19</v>
      </c>
      <c r="S1328" s="39" t="s">
        <v>37</v>
      </c>
    </row>
    <row r="1329" spans="1:19">
      <c r="A1329" s="3">
        <v>2531410</v>
      </c>
      <c r="B1329" t="str">
        <f>VLOOKUP(A1329,File!$A:$J,2,FALSE)</f>
        <v>Vagdevi Kilaru</v>
      </c>
      <c r="C1329" s="29">
        <f>VLOOKUP(A1329,File!$A:$J,5,FALSE)</f>
        <v>46252</v>
      </c>
      <c r="D1329" s="29" t="str">
        <f>VLOOKUP(A1329,File!$A:$J,3,FALSE)</f>
        <v>Female</v>
      </c>
      <c r="E1329" s="29" t="str">
        <f>VLOOKUP(A1329,File!$A:$J,4,FALSE)</f>
        <v>FTE</v>
      </c>
      <c r="F1329" s="29" t="str">
        <f>VLOOKUP(A1329,File!$A:$J,6,FALSE)</f>
        <v>Chennai</v>
      </c>
      <c r="G1329" s="29" t="str">
        <f>VLOOKUP(A1329,File!$A:$J,7,FALSE)</f>
        <v>CIS26AT007</v>
      </c>
      <c r="H1329" s="29" t="str">
        <f>VLOOKUP(A1329,File!$A:$J,8,FALSE)</f>
        <v>Uma Venkatachalam</v>
      </c>
      <c r="I1329" s="31">
        <f>VLOOKUP(A1329,File!$A:$J,9,FALSE)</f>
        <v>46365</v>
      </c>
      <c r="J1329" s="31" t="str">
        <f>VLOOKUP(A1329,File!$A:$K,11,FALSE)</f>
        <v>Dec 2026</v>
      </c>
      <c r="K1329" s="31" t="str">
        <f>VLOOKUP(A1329,File!$A:$K,10,FALSE)</f>
        <v>In-Training</v>
      </c>
      <c r="L1329" s="31" t="s">
        <v>4</v>
      </c>
      <c r="M1329" t="str">
        <f>VLOOKUP(A1329,Response!$A:$M,7,)</f>
        <v>PG (Paying Guest)</v>
      </c>
      <c r="N1329" t="str">
        <f>VLOOKUP(A1329,Response!$A:$M,8,)</f>
        <v>Sri Sai Unique Ladies PGm</v>
      </c>
      <c r="O1329" s="4">
        <f>VLOOKUP(A1329,Response!$A:$M,10,)</f>
        <v>4</v>
      </c>
      <c r="P1329" t="str">
        <f>VLOOKUP(A1329,Response!$A:$M,12,)</f>
        <v>No</v>
      </c>
      <c r="Q1329" t="str">
        <f>VLOOKUP(A1329,Response!$A:$M,11,)</f>
        <v>Egattur</v>
      </c>
      <c r="R1329" t="s">
        <v>19</v>
      </c>
      <c r="S1329" s="39" t="s">
        <v>37</v>
      </c>
    </row>
    <row r="1330" spans="1:19">
      <c r="A1330" s="3">
        <v>2533264</v>
      </c>
      <c r="B1330" t="str">
        <f>VLOOKUP(A1330,File!$A:$J,2,FALSE)</f>
        <v>Katlagal Bathul Sultana</v>
      </c>
      <c r="C1330" s="29">
        <f>VLOOKUP(A1330,File!$A:$J,5,FALSE)</f>
        <v>46259</v>
      </c>
      <c r="D1330" s="29" t="str">
        <f>VLOOKUP(A1330,File!$A:$J,3,FALSE)</f>
        <v>Female</v>
      </c>
      <c r="E1330" s="29" t="str">
        <f>VLOOKUP(A1330,File!$A:$J,4,FALSE)</f>
        <v>FTE</v>
      </c>
      <c r="F1330" s="29" t="str">
        <f>VLOOKUP(A1330,File!$A:$J,6,FALSE)</f>
        <v>Chennai</v>
      </c>
      <c r="G1330" s="29" t="str">
        <f>VLOOKUP(A1330,File!$A:$J,7,FALSE)</f>
        <v>ADM27DFSA001</v>
      </c>
      <c r="H1330" s="29" t="str">
        <f>VLOOKUP(A1330,File!$A:$J,8,FALSE)</f>
        <v>Thomas Naveen. J</v>
      </c>
      <c r="I1330" s="31">
        <f>VLOOKUP(A1330,File!$A:$J,9,FALSE)</f>
        <v>46386</v>
      </c>
      <c r="J1330" s="31" t="str">
        <f>VLOOKUP(A1330,File!$A:$K,11,FALSE)</f>
        <v>Dec 2026</v>
      </c>
      <c r="K1330" s="31" t="str">
        <f>VLOOKUP(A1330,File!$A:$K,10,FALSE)</f>
        <v>In-Training</v>
      </c>
      <c r="L1330" s="31" t="s">
        <v>4</v>
      </c>
      <c r="M1330" t="str">
        <f>VLOOKUP(A1330,Response!$A:$M,7,)</f>
        <v>PG (Paying Guest)</v>
      </c>
      <c r="N1330" t="str">
        <f>VLOOKUP(A1330,Response!$A:$M,8,)</f>
        <v>Sri Sai Unique PG</v>
      </c>
      <c r="O1330" s="4">
        <f>VLOOKUP(A1330,Response!$A:$M,10,)</f>
        <v>4</v>
      </c>
      <c r="P1330" t="str">
        <f>VLOOKUP(A1330,Response!$A:$M,12,)</f>
        <v>No</v>
      </c>
      <c r="Q1330" t="str">
        <f>VLOOKUP(A1330,Response!$A:$M,11,)</f>
        <v>Siruseri</v>
      </c>
      <c r="R1330" t="s">
        <v>19</v>
      </c>
      <c r="S1330" s="39" t="s">
        <v>37</v>
      </c>
    </row>
    <row r="1331" spans="1:19">
      <c r="A1331" s="3">
        <v>2529784</v>
      </c>
      <c r="B1331" t="str">
        <f>VLOOKUP(A1331,File!$A:$J,2,FALSE)</f>
        <v>Malla Mounika Krishna</v>
      </c>
      <c r="C1331" s="29">
        <f>VLOOKUP(A1331,File!$A:$J,5,FALSE)</f>
        <v>46245</v>
      </c>
      <c r="D1331" s="29" t="str">
        <f>VLOOKUP(A1331,File!$A:$J,3,FALSE)</f>
        <v>Female</v>
      </c>
      <c r="E1331" s="29" t="str">
        <f>VLOOKUP(A1331,File!$A:$J,4,FALSE)</f>
        <v>FTE</v>
      </c>
      <c r="F1331" s="29" t="str">
        <f>VLOOKUP(A1331,File!$A:$J,6,FALSE)</f>
        <v>Chennai</v>
      </c>
      <c r="G1331" s="29" t="str">
        <f>VLOOKUP(A1331,File!$A:$J,7,FALSE)</f>
        <v>CIS26MCPT021</v>
      </c>
      <c r="H1331" s="29" t="str">
        <f>VLOOKUP(A1331,File!$A:$J,8,FALSE)</f>
        <v>Uma Venkatachalam</v>
      </c>
      <c r="I1331" s="31">
        <f>VLOOKUP(A1331,File!$A:$J,9,FALSE)</f>
        <v>46364</v>
      </c>
      <c r="J1331" s="31" t="str">
        <f>VLOOKUP(A1331,File!$A:$K,11,FALSE)</f>
        <v>Dec 2026</v>
      </c>
      <c r="K1331" s="31" t="str">
        <f>VLOOKUP(A1331,File!$A:$K,10,FALSE)</f>
        <v>In-Training</v>
      </c>
      <c r="L1331" s="31" t="s">
        <v>4</v>
      </c>
      <c r="M1331" t="str">
        <f>VLOOKUP(A1331,Response!$A:$M,7,)</f>
        <v>PG (Paying Guest)</v>
      </c>
      <c r="N1331" t="str">
        <f>VLOOKUP(A1331,Response!$A:$M,8,)</f>
        <v>SRI SAI UNIQUE PG LADIES HOSTEL, GANGAMMA AMMAN KOVALI STREET,EGATTUR, CHENNAI</v>
      </c>
      <c r="O1331" s="4">
        <f>VLOOKUP(A1331,Response!$A:$M,10,)</f>
        <v>4</v>
      </c>
      <c r="P1331" t="str">
        <f>VLOOKUP(A1331,Response!$A:$M,12,)</f>
        <v>No</v>
      </c>
      <c r="Q1331" t="str">
        <f>VLOOKUP(A1331,Response!$A:$M,11,)</f>
        <v>Siruseri</v>
      </c>
      <c r="R1331" t="s">
        <v>19</v>
      </c>
      <c r="S1331" s="39" t="s">
        <v>37</v>
      </c>
    </row>
    <row r="1332" spans="1:19">
      <c r="A1332" s="3">
        <v>2529555</v>
      </c>
      <c r="B1332" t="str">
        <f>VLOOKUP(A1332,File!$A:$J,2,FALSE)</f>
        <v>Navyashree K S</v>
      </c>
      <c r="C1332" s="29">
        <f>VLOOKUP(A1332,File!$A:$J,5,FALSE)</f>
        <v>46245</v>
      </c>
      <c r="D1332" s="29" t="str">
        <f>VLOOKUP(A1332,File!$A:$J,3,FALSE)</f>
        <v>Female</v>
      </c>
      <c r="E1332" s="29" t="str">
        <f>VLOOKUP(A1332,File!$A:$J,4,FALSE)</f>
        <v>FTE</v>
      </c>
      <c r="F1332" s="29" t="str">
        <f>VLOOKUP(A1332,File!$A:$J,6,FALSE)</f>
        <v>Chennai</v>
      </c>
      <c r="G1332" s="29" t="str">
        <f>VLOOKUP(A1332,File!$A:$J,7,FALSE)</f>
        <v>CIS26MCPT023</v>
      </c>
      <c r="H1332" s="29" t="str">
        <f>VLOOKUP(A1332,File!$A:$J,8,FALSE)</f>
        <v>Kishorekumar P</v>
      </c>
      <c r="I1332" s="31">
        <f>VLOOKUP(A1332,File!$A:$J,9,FALSE)</f>
        <v>46359</v>
      </c>
      <c r="J1332" s="31" t="str">
        <f>VLOOKUP(A1332,File!$A:$K,11,FALSE)</f>
        <v>Dec 2026</v>
      </c>
      <c r="K1332" s="31" t="str">
        <f>VLOOKUP(A1332,File!$A:$K,10,FALSE)</f>
        <v>In-Training</v>
      </c>
      <c r="L1332" s="31" t="s">
        <v>4</v>
      </c>
      <c r="M1332" t="str">
        <f>VLOOKUP(A1332,Response!$A:$M,7,)</f>
        <v>PG (Paying Guest)</v>
      </c>
      <c r="N1332" t="str">
        <f>VLOOKUP(A1332,Response!$A:$M,8,)</f>
        <v>Sri Sai unique stay for ladies,egattur</v>
      </c>
      <c r="O1332" s="4">
        <f>VLOOKUP(A1332,Response!$A:$M,10,)</f>
        <v>3</v>
      </c>
      <c r="P1332" t="str">
        <f>VLOOKUP(A1332,Response!$A:$M,12,)</f>
        <v>No</v>
      </c>
      <c r="Q1332" t="str">
        <f>VLOOKUP(A1332,Response!$A:$M,11,)</f>
        <v>Egattur</v>
      </c>
      <c r="R1332" t="s">
        <v>19</v>
      </c>
      <c r="S1332" s="39" t="s">
        <v>37</v>
      </c>
    </row>
    <row r="1333" spans="1:19">
      <c r="A1333" s="3">
        <v>2521731</v>
      </c>
      <c r="B1333" t="str">
        <f>VLOOKUP(A1333,File!$A:$J,2,FALSE)</f>
        <v>Pooja Shree P</v>
      </c>
      <c r="C1333" s="29">
        <f>VLOOKUP(A1333,File!$A:$J,5,FALSE)</f>
        <v>46212</v>
      </c>
      <c r="D1333" s="29" t="str">
        <f>VLOOKUP(A1333,File!$A:$J,3,FALSE)</f>
        <v>Female</v>
      </c>
      <c r="E1333" s="29" t="str">
        <f>VLOOKUP(A1333,File!$A:$J,4,FALSE)</f>
        <v>FTE</v>
      </c>
      <c r="F1333" s="29" t="str">
        <f>VLOOKUP(A1333,File!$A:$J,6,FALSE)</f>
        <v>Chennai</v>
      </c>
      <c r="G1333" s="29" t="str">
        <f>VLOOKUP(A1333,File!$A:$J,7,FALSE)</f>
        <v>QEA26NFTPA001</v>
      </c>
      <c r="H1333" s="29" t="str">
        <f>VLOOKUP(A1333,File!$A:$J,8,FALSE)</f>
        <v>Lourdhu Selvin Raj X</v>
      </c>
      <c r="I1333" s="31">
        <f>VLOOKUP(A1333,File!$A:$J,9,FALSE)</f>
        <v>46337</v>
      </c>
      <c r="J1333" s="31" t="str">
        <f>VLOOKUP(A1333,File!$A:$K,11,FALSE)</f>
        <v>Nov 2026</v>
      </c>
      <c r="K1333" s="31" t="str">
        <f>VLOOKUP(A1333,File!$A:$K,10,FALSE)</f>
        <v>In-Training</v>
      </c>
      <c r="L1333" s="31" t="s">
        <v>4</v>
      </c>
      <c r="M1333" t="str">
        <f>VLOOKUP(A1333,Response!$A:$M,7,)</f>
        <v>PG (Paying Guest)</v>
      </c>
      <c r="N1333" t="str">
        <f>VLOOKUP(A1333,Response!$A:$M,8,)</f>
        <v>Sri Sai Unique Stays For Ladies</v>
      </c>
      <c r="O1333" s="4">
        <f>VLOOKUP(A1333,Response!$A:$M,10,)</f>
        <v>2</v>
      </c>
      <c r="P1333" t="str">
        <f>VLOOKUP(A1333,Response!$A:$M,12,)</f>
        <v>Yes</v>
      </c>
      <c r="Q1333" t="str">
        <f>VLOOKUP(A1333,Response!$A:$M,11,)</f>
        <v>Egattur</v>
      </c>
      <c r="R1333" t="s">
        <v>19</v>
      </c>
      <c r="S1333" s="39" t="s">
        <v>37</v>
      </c>
    </row>
    <row r="1334" spans="1:19">
      <c r="A1334" s="3">
        <v>2529559</v>
      </c>
      <c r="B1334" t="str">
        <f>VLOOKUP(A1334,File!$A:$J,2,FALSE)</f>
        <v>Chaitanya Prabhu</v>
      </c>
      <c r="C1334" s="29">
        <f>VLOOKUP(A1334,File!$A:$J,5,FALSE)</f>
        <v>46245</v>
      </c>
      <c r="D1334" s="29" t="str">
        <f>VLOOKUP(A1334,File!$A:$J,3,FALSE)</f>
        <v>Male</v>
      </c>
      <c r="E1334" s="29" t="str">
        <f>VLOOKUP(A1334,File!$A:$J,4,FALSE)</f>
        <v>FTE</v>
      </c>
      <c r="F1334" s="29" t="str">
        <f>VLOOKUP(A1334,File!$A:$J,6,FALSE)</f>
        <v>Chennai</v>
      </c>
      <c r="G1334" s="29" t="str">
        <f>VLOOKUP(A1334,File!$A:$J,7,FALSE)</f>
        <v>CIS26MCPT022</v>
      </c>
      <c r="H1334" s="29" t="str">
        <f>VLOOKUP(A1334,File!$A:$J,8,FALSE)</f>
        <v>Laksiya Vijayendran</v>
      </c>
      <c r="I1334" s="31">
        <f>VLOOKUP(A1334,File!$A:$J,9,FALSE)</f>
        <v>46359</v>
      </c>
      <c r="J1334" s="31" t="str">
        <f>VLOOKUP(A1334,File!$A:$K,11,FALSE)</f>
        <v>Dec 2026</v>
      </c>
      <c r="K1334" s="31" t="str">
        <f>VLOOKUP(A1334,File!$A:$K,10,FALSE)</f>
        <v>In-Training</v>
      </c>
      <c r="L1334" s="31" t="s">
        <v>4</v>
      </c>
      <c r="M1334" t="str">
        <f>VLOOKUP(A1334,Response!$A:$M,7,)</f>
        <v>PG (Paying Guest)</v>
      </c>
      <c r="N1334" t="str">
        <f>VLOOKUP(A1334,Response!$A:$M,8,)</f>
        <v>Sri sai venkata hanuman mens pg  New Branch , Egattur</v>
      </c>
      <c r="O1334" s="4">
        <f>VLOOKUP(A1334,Response!$A:$M,10,)</f>
        <v>4</v>
      </c>
      <c r="P1334" t="str">
        <f>VLOOKUP(A1334,Response!$A:$M,12,)</f>
        <v>No</v>
      </c>
      <c r="Q1334" t="str">
        <f>VLOOKUP(A1334,Response!$A:$M,11,)</f>
        <v>Egattur</v>
      </c>
      <c r="R1334" t="s">
        <v>19</v>
      </c>
      <c r="S1334" s="39" t="s">
        <v>37</v>
      </c>
    </row>
    <row r="1335" spans="1:19">
      <c r="A1335" s="3">
        <v>2529616</v>
      </c>
      <c r="B1335" t="str">
        <f>VLOOKUP(A1335,File!$A:$J,2,FALSE)</f>
        <v>Arun Rachuri</v>
      </c>
      <c r="C1335" s="29">
        <f>VLOOKUP(A1335,File!$A:$J,5,FALSE)</f>
        <v>46245</v>
      </c>
      <c r="D1335" s="29" t="str">
        <f>VLOOKUP(A1335,File!$A:$J,3,FALSE)</f>
        <v>Male</v>
      </c>
      <c r="E1335" s="29" t="str">
        <f>VLOOKUP(A1335,File!$A:$J,4,FALSE)</f>
        <v>FTE</v>
      </c>
      <c r="F1335" s="29" t="str">
        <f>VLOOKUP(A1335,File!$A:$J,6,FALSE)</f>
        <v>Chennai</v>
      </c>
      <c r="G1335" s="29" t="str">
        <f>VLOOKUP(A1335,File!$A:$J,7,FALSE)</f>
        <v>CIS26MCPT022</v>
      </c>
      <c r="H1335" s="29" t="str">
        <f>VLOOKUP(A1335,File!$A:$J,8,FALSE)</f>
        <v>Laksiya Vijayendran</v>
      </c>
      <c r="I1335" s="31">
        <f>VLOOKUP(A1335,File!$A:$J,9,FALSE)</f>
        <v>46359</v>
      </c>
      <c r="J1335" s="31" t="str">
        <f>VLOOKUP(A1335,File!$A:$K,11,FALSE)</f>
        <v>Dec 2026</v>
      </c>
      <c r="K1335" s="31" t="str">
        <f>VLOOKUP(A1335,File!$A:$K,10,FALSE)</f>
        <v>In-Training</v>
      </c>
      <c r="L1335" s="31" t="s">
        <v>4</v>
      </c>
      <c r="M1335" t="str">
        <f>VLOOKUP(A1335,Response!$A:$M,7,)</f>
        <v>PG (Paying Guest)</v>
      </c>
      <c r="N1335" t="str">
        <f>VLOOKUP(A1335,Response!$A:$M,8,)</f>
        <v>sri sai venkateswara pg, Egattur</v>
      </c>
      <c r="O1335" s="4">
        <f>VLOOKUP(A1335,Response!$A:$M,10,)</f>
        <v>2</v>
      </c>
      <c r="P1335" t="str">
        <f>VLOOKUP(A1335,Response!$A:$M,12,)</f>
        <v>No</v>
      </c>
      <c r="Q1335" t="str">
        <f>VLOOKUP(A1335,Response!$A:$M,11,)</f>
        <v>Egattur</v>
      </c>
      <c r="R1335" t="s">
        <v>19</v>
      </c>
      <c r="S1335" s="39" t="s">
        <v>37</v>
      </c>
    </row>
    <row r="1336" spans="1:19">
      <c r="A1336" s="3">
        <v>2533054</v>
      </c>
      <c r="B1336" t="str">
        <f>VLOOKUP(A1336,File!$A:$J,2,FALSE)</f>
        <v>Jayani Nirupa V</v>
      </c>
      <c r="C1336" s="29">
        <f>VLOOKUP(A1336,File!$A:$J,5,FALSE)</f>
        <v>46259</v>
      </c>
      <c r="D1336" s="29" t="str">
        <f>VLOOKUP(A1336,File!$A:$J,3,FALSE)</f>
        <v>Female</v>
      </c>
      <c r="E1336" s="29" t="str">
        <f>VLOOKUP(A1336,File!$A:$J,4,FALSE)</f>
        <v>FTE</v>
      </c>
      <c r="F1336" s="29" t="str">
        <f>VLOOKUP(A1336,File!$A:$J,6,FALSE)</f>
        <v>Chennai</v>
      </c>
      <c r="G1336" s="29" t="str">
        <f>VLOOKUP(A1336,File!$A:$J,7,FALSE)</f>
        <v>ADM27DFSA001</v>
      </c>
      <c r="H1336" s="29" t="str">
        <f>VLOOKUP(A1336,File!$A:$J,8,FALSE)</f>
        <v>Thomas Naveen. J</v>
      </c>
      <c r="I1336" s="31">
        <f>VLOOKUP(A1336,File!$A:$J,9,FALSE)</f>
        <v>46386</v>
      </c>
      <c r="J1336" s="31" t="str">
        <f>VLOOKUP(A1336,File!$A:$K,11,FALSE)</f>
        <v>Dec 2026</v>
      </c>
      <c r="K1336" s="31" t="str">
        <f>VLOOKUP(A1336,File!$A:$K,10,FALSE)</f>
        <v>In-Training</v>
      </c>
      <c r="L1336" s="31" t="s">
        <v>5</v>
      </c>
      <c r="M1336" t="str">
        <f>VLOOKUP(A1336,Response!$A:$M,7,)</f>
        <v>Permanent Residence (House/Home)</v>
      </c>
      <c r="N1336" t="str">
        <f>VLOOKUP(A1336,Response!$A:$M,8,)</f>
        <v>Sri Sai Villa</v>
      </c>
      <c r="O1336" s="4" t="str">
        <f>VLOOKUP(A1336,Response!$A:$M,10,)</f>
        <v>GF</v>
      </c>
      <c r="P1336" t="str">
        <f>VLOOKUP(A1336,Response!$A:$M,12,)</f>
        <v>No</v>
      </c>
      <c r="Q1336" t="str">
        <f>VLOOKUP(A1336,Response!$A:$M,11,)</f>
        <v>Sholinganallur</v>
      </c>
      <c r="R1336" t="s">
        <v>17</v>
      </c>
      <c r="S1336" t="s">
        <v>38</v>
      </c>
    </row>
    <row r="1337" spans="1:19">
      <c r="A1337" s="3">
        <v>2519709</v>
      </c>
      <c r="B1337" t="str">
        <f>VLOOKUP(A1337,File!$A:$J,2,FALSE)</f>
        <v>Ritvik Raj</v>
      </c>
      <c r="C1337" s="29">
        <f>VLOOKUP(A1337,File!$A:$J,5,FALSE)</f>
        <v>46205</v>
      </c>
      <c r="D1337" s="29" t="str">
        <f>VLOOKUP(A1337,File!$A:$J,3,FALSE)</f>
        <v>Male</v>
      </c>
      <c r="E1337" s="29" t="str">
        <f>VLOOKUP(A1337,File!$A:$J,4,FALSE)</f>
        <v>FTE</v>
      </c>
      <c r="F1337" s="29" t="str">
        <f>VLOOKUP(A1337,File!$A:$J,6,FALSE)</f>
        <v>Chennai</v>
      </c>
      <c r="G1337" s="29" t="str">
        <f>VLOOKUP(A1337,File!$A:$J,7,FALSE)</f>
        <v>CIS26UNIX003</v>
      </c>
      <c r="H1337" s="29" t="str">
        <f>VLOOKUP(A1337,File!$A:$J,8,FALSE)</f>
        <v>Haritha P</v>
      </c>
      <c r="I1337" s="31">
        <f>VLOOKUP(A1337,File!$A:$J,9,FALSE)</f>
        <v>46289</v>
      </c>
      <c r="J1337" s="31" t="str">
        <f>VLOOKUP(A1337,File!$A:$K,11,FALSE)</f>
        <v>Sep 2026</v>
      </c>
      <c r="K1337" s="31" t="str">
        <f>VLOOKUP(A1337,File!$A:$K,10,FALSE)</f>
        <v>In-Training</v>
      </c>
      <c r="L1337" s="31" t="s">
        <v>4</v>
      </c>
      <c r="M1337" t="str">
        <f>VLOOKUP(A1337,Response!$A:$M,7,)</f>
        <v>PG (Paying Guest)</v>
      </c>
      <c r="N1337" t="str">
        <f>VLOOKUP(A1337,Response!$A:$M,8,)</f>
        <v>Sri Saravana Mens Hostel</v>
      </c>
      <c r="O1337" s="4">
        <f>VLOOKUP(A1337,Response!$A:$M,10,)</f>
        <v>3</v>
      </c>
      <c r="P1337" t="str">
        <f>VLOOKUP(A1337,Response!$A:$M,12,)</f>
        <v>No</v>
      </c>
      <c r="Q1337" t="str">
        <f>VLOOKUP(A1337,Response!$A:$M,11,)</f>
        <v>Egattur</v>
      </c>
      <c r="R1337" t="s">
        <v>19</v>
      </c>
      <c r="S1337" s="39" t="s">
        <v>37</v>
      </c>
    </row>
    <row r="1338" spans="1:19">
      <c r="A1338" s="3">
        <v>2529506</v>
      </c>
      <c r="B1338" t="str">
        <f>VLOOKUP(A1338,File!$A:$J,2,FALSE)</f>
        <v>Samarth Somnath Unde</v>
      </c>
      <c r="C1338" s="29">
        <f>VLOOKUP(A1338,File!$A:$J,5,FALSE)</f>
        <v>46245</v>
      </c>
      <c r="D1338" s="29" t="str">
        <f>VLOOKUP(A1338,File!$A:$J,3,FALSE)</f>
        <v>Male</v>
      </c>
      <c r="E1338" s="29" t="str">
        <f>VLOOKUP(A1338,File!$A:$J,4,FALSE)</f>
        <v>FTE</v>
      </c>
      <c r="F1338" s="29" t="str">
        <f>VLOOKUP(A1338,File!$A:$J,6,FALSE)</f>
        <v>Chennai</v>
      </c>
      <c r="G1338" s="29" t="str">
        <f>VLOOKUP(A1338,File!$A:$J,7,FALSE)</f>
        <v>CIS26MCPT023</v>
      </c>
      <c r="H1338" s="29" t="str">
        <f>VLOOKUP(A1338,File!$A:$J,8,FALSE)</f>
        <v>Kishorekumar P</v>
      </c>
      <c r="I1338" s="31">
        <f>VLOOKUP(A1338,File!$A:$J,9,FALSE)</f>
        <v>46359</v>
      </c>
      <c r="J1338" s="31" t="str">
        <f>VLOOKUP(A1338,File!$A:$K,11,FALSE)</f>
        <v>Dec 2026</v>
      </c>
      <c r="K1338" s="31" t="str">
        <f>VLOOKUP(A1338,File!$A:$K,10,FALSE)</f>
        <v>In-Training</v>
      </c>
      <c r="L1338" s="31" t="s">
        <v>4</v>
      </c>
      <c r="M1338" t="str">
        <f>VLOOKUP(A1338,Response!$A:$M,7,)</f>
        <v>PG (Paying Guest)</v>
      </c>
      <c r="N1338" t="str">
        <f>VLOOKUP(A1338,Response!$A:$M,8,)</f>
        <v>Sri Saravana Mens Hostel | Mens Pg in Egattur | Mens Pg Accommodation in Egattur | Mens Hostel in Egattur</v>
      </c>
      <c r="O1338" s="4">
        <f>VLOOKUP(A1338,Response!$A:$M,10,)</f>
        <v>4</v>
      </c>
      <c r="P1338" t="str">
        <f>VLOOKUP(A1338,Response!$A:$M,12,)</f>
        <v>No</v>
      </c>
      <c r="Q1338" t="str">
        <f>VLOOKUP(A1338,Response!$A:$M,11,)</f>
        <v>Egattur</v>
      </c>
      <c r="R1338" t="s">
        <v>19</v>
      </c>
      <c r="S1338" s="39" t="s">
        <v>37</v>
      </c>
    </row>
    <row r="1339" spans="1:19">
      <c r="A1339" s="3">
        <v>2524556</v>
      </c>
      <c r="B1339" t="str">
        <f>VLOOKUP(A1339,File!$A:$J,2,FALSE)</f>
        <v>Aamol Ashok Mamidwar</v>
      </c>
      <c r="C1339" s="29">
        <f>VLOOKUP(A1339,File!$A:$J,5,FALSE)</f>
        <v>46224</v>
      </c>
      <c r="D1339" s="29" t="str">
        <f>VLOOKUP(A1339,File!$A:$J,3,FALSE)</f>
        <v>Male</v>
      </c>
      <c r="E1339" s="29" t="str">
        <f>VLOOKUP(A1339,File!$A:$J,4,FALSE)</f>
        <v>FTE</v>
      </c>
      <c r="F1339" s="29" t="str">
        <f>VLOOKUP(A1339,File!$A:$J,6,FALSE)</f>
        <v>Chennai</v>
      </c>
      <c r="G1339" s="29" t="str">
        <f>VLOOKUP(A1339,File!$A:$J,7,FALSE)</f>
        <v>QEA26QEPT024</v>
      </c>
      <c r="H1339" s="29" t="str">
        <f>VLOOKUP(A1339,File!$A:$J,8,FALSE)</f>
        <v>Ajiesya D P</v>
      </c>
      <c r="I1339" s="31">
        <f>VLOOKUP(A1339,File!$A:$J,9,FALSE)</f>
        <v>46330</v>
      </c>
      <c r="J1339" s="31" t="str">
        <f>VLOOKUP(A1339,File!$A:$K,11,FALSE)</f>
        <v>Nov 2026</v>
      </c>
      <c r="K1339" s="31" t="str">
        <f>VLOOKUP(A1339,File!$A:$K,10,FALSE)</f>
        <v>In-Training</v>
      </c>
      <c r="L1339" s="31" t="s">
        <v>4</v>
      </c>
      <c r="M1339" t="str">
        <f>VLOOKUP(A1339,Response!$A:$M,7,)</f>
        <v>PG (Paying Guest)</v>
      </c>
      <c r="N1339" t="str">
        <f>VLOOKUP(A1339,Response!$A:$M,8,)</f>
        <v>Sri Saravana Mens Hostel Back Side Marina Mall Egattur</v>
      </c>
      <c r="O1339" s="4">
        <f>VLOOKUP(A1339,Response!$A:$M,10,)</f>
        <v>1</v>
      </c>
      <c r="P1339" t="str">
        <f>VLOOKUP(A1339,Response!$A:$M,12,)</f>
        <v>No</v>
      </c>
      <c r="Q1339" t="str">
        <f>VLOOKUP(A1339,Response!$A:$M,11,)</f>
        <v>Egattur</v>
      </c>
      <c r="R1339" t="s">
        <v>19</v>
      </c>
      <c r="S1339" s="39" t="s">
        <v>37</v>
      </c>
    </row>
    <row r="1340" spans="1:19">
      <c r="A1340" s="3">
        <v>2521638</v>
      </c>
      <c r="B1340" t="str">
        <f>VLOOKUP(A1340,File!$A:$J,2,FALSE)</f>
        <v>Kartik Arun Wagh</v>
      </c>
      <c r="C1340" s="29">
        <f>VLOOKUP(A1340,File!$A:$J,5,FALSE)</f>
        <v>46212</v>
      </c>
      <c r="D1340" s="29" t="str">
        <f>VLOOKUP(A1340,File!$A:$J,3,FALSE)</f>
        <v>Male</v>
      </c>
      <c r="E1340" s="29" t="str">
        <f>VLOOKUP(A1340,File!$A:$J,4,FALSE)</f>
        <v>FTE</v>
      </c>
      <c r="F1340" s="29" t="str">
        <f>VLOOKUP(A1340,File!$A:$J,6,FALSE)</f>
        <v>Chennai</v>
      </c>
      <c r="G1340" s="29" t="str">
        <f>VLOOKUP(A1340,File!$A:$J,7,FALSE)</f>
        <v>ADM26MF010</v>
      </c>
      <c r="H1340" s="29" t="str">
        <f>VLOOKUP(A1340,File!$A:$J,8,FALSE)</f>
        <v>Thomas Naveen. J</v>
      </c>
      <c r="I1340" s="31">
        <f>VLOOKUP(A1340,File!$A:$J,9,FALSE)</f>
        <v>46328</v>
      </c>
      <c r="J1340" s="31" t="str">
        <f>VLOOKUP(A1340,File!$A:$K,11,FALSE)</f>
        <v>Nov 2026</v>
      </c>
      <c r="K1340" s="31" t="str">
        <f>VLOOKUP(A1340,File!$A:$K,10,FALSE)</f>
        <v>In-Training</v>
      </c>
      <c r="L1340" s="31" t="s">
        <v>4</v>
      </c>
      <c r="M1340" t="str">
        <f>VLOOKUP(A1340,Response!$A:$M,7,)</f>
        <v>PG (Paying Guest)</v>
      </c>
      <c r="N1340" t="str">
        <f>VLOOKUP(A1340,Response!$A:$M,8,)</f>
        <v>Sri Saravanan Mens Hostel</v>
      </c>
      <c r="O1340" s="4">
        <f>VLOOKUP(A1340,Response!$A:$M,10,)</f>
        <v>1</v>
      </c>
      <c r="P1340" t="str">
        <f>VLOOKUP(A1340,Response!$A:$M,12,)</f>
        <v>No</v>
      </c>
      <c r="Q1340" t="str">
        <f>VLOOKUP(A1340,Response!$A:$M,11,)</f>
        <v>Siruseri</v>
      </c>
      <c r="R1340" t="s">
        <v>19</v>
      </c>
      <c r="S1340" s="39" t="s">
        <v>37</v>
      </c>
    </row>
    <row r="1341" spans="1:19">
      <c r="A1341" s="3">
        <v>2529569</v>
      </c>
      <c r="B1341" t="str">
        <f>VLOOKUP(A1341,File!$A:$J,2,FALSE)</f>
        <v>Pratik Satish Warad</v>
      </c>
      <c r="C1341" s="29">
        <f>VLOOKUP(A1341,File!$A:$J,5,FALSE)</f>
        <v>46245</v>
      </c>
      <c r="D1341" s="29" t="str">
        <f>VLOOKUP(A1341,File!$A:$J,3,FALSE)</f>
        <v>Male</v>
      </c>
      <c r="E1341" s="29" t="str">
        <f>VLOOKUP(A1341,File!$A:$J,4,FALSE)</f>
        <v>FTE</v>
      </c>
      <c r="F1341" s="29" t="str">
        <f>VLOOKUP(A1341,File!$A:$J,6,FALSE)</f>
        <v>Chennai</v>
      </c>
      <c r="G1341" s="29" t="str">
        <f>VLOOKUP(A1341,File!$A:$J,7,FALSE)</f>
        <v>CIS26MCPT022</v>
      </c>
      <c r="H1341" s="29" t="str">
        <f>VLOOKUP(A1341,File!$A:$J,8,FALSE)</f>
        <v>Laksiya Vijayendran</v>
      </c>
      <c r="I1341" s="31">
        <f>VLOOKUP(A1341,File!$A:$J,9,FALSE)</f>
        <v>46359</v>
      </c>
      <c r="J1341" s="31" t="str">
        <f>VLOOKUP(A1341,File!$A:$K,11,FALSE)</f>
        <v>Dec 2026</v>
      </c>
      <c r="K1341" s="31" t="str">
        <f>VLOOKUP(A1341,File!$A:$K,10,FALSE)</f>
        <v>In-Training</v>
      </c>
      <c r="L1341" s="31" t="s">
        <v>4</v>
      </c>
      <c r="M1341" t="str">
        <f>VLOOKUP(A1341,Response!$A:$M,7,)</f>
        <v>PG (Paying Guest)</v>
      </c>
      <c r="N1341" t="str">
        <f>VLOOKUP(A1341,Response!$A:$M,8,)</f>
        <v xml:space="preserve">Sri Sarvana Mens Hostel , Mens Pg in Egattur </v>
      </c>
      <c r="O1341" s="4">
        <f>VLOOKUP(A1341,Response!$A:$M,10,)</f>
        <v>2</v>
      </c>
      <c r="P1341" t="str">
        <f>VLOOKUP(A1341,Response!$A:$M,12,)</f>
        <v>No</v>
      </c>
      <c r="Q1341" t="str">
        <f>VLOOKUP(A1341,Response!$A:$M,11,)</f>
        <v>Egattur</v>
      </c>
      <c r="R1341" t="s">
        <v>19</v>
      </c>
      <c r="S1341" s="39" t="s">
        <v>37</v>
      </c>
    </row>
    <row r="1342" spans="1:19">
      <c r="A1342" s="3">
        <v>2524552</v>
      </c>
      <c r="B1342" t="str">
        <f>VLOOKUP(A1342,File!$A:$J,2,FALSE)</f>
        <v>Pravin Dattatray Shinde</v>
      </c>
      <c r="C1342" s="29">
        <f>VLOOKUP(A1342,File!$A:$J,5,FALSE)</f>
        <v>46224</v>
      </c>
      <c r="D1342" s="29" t="str">
        <f>VLOOKUP(A1342,File!$A:$J,3,FALSE)</f>
        <v>Male</v>
      </c>
      <c r="E1342" s="29" t="str">
        <f>VLOOKUP(A1342,File!$A:$J,4,FALSE)</f>
        <v>FTE</v>
      </c>
      <c r="F1342" s="29" t="str">
        <f>VLOOKUP(A1342,File!$A:$J,6,FALSE)</f>
        <v>Chennai</v>
      </c>
      <c r="G1342" s="29" t="str">
        <f>VLOOKUP(A1342,File!$A:$J,7,FALSE)</f>
        <v>QEA26QEPT024</v>
      </c>
      <c r="H1342" s="29" t="str">
        <f>VLOOKUP(A1342,File!$A:$J,8,FALSE)</f>
        <v>Ajiesya D P</v>
      </c>
      <c r="I1342" s="31">
        <f>VLOOKUP(A1342,File!$A:$J,9,FALSE)</f>
        <v>46330</v>
      </c>
      <c r="J1342" s="31" t="str">
        <f>VLOOKUP(A1342,File!$A:$K,11,FALSE)</f>
        <v>Nov 2026</v>
      </c>
      <c r="K1342" s="31" t="str">
        <f>VLOOKUP(A1342,File!$A:$K,10,FALSE)</f>
        <v>In-Training</v>
      </c>
      <c r="L1342" s="31" t="s">
        <v>4</v>
      </c>
      <c r="M1342" t="str">
        <f>VLOOKUP(A1342,Response!$A:$M,7,)</f>
        <v>PG (Paying Guest)</v>
      </c>
      <c r="N1342" t="str">
        <f>VLOOKUP(A1342,Response!$A:$M,8,)</f>
        <v>Sri Sarvana Mens Hostel ,Egattur</v>
      </c>
      <c r="O1342" s="4">
        <f>VLOOKUP(A1342,Response!$A:$M,10,)</f>
        <v>4</v>
      </c>
      <c r="P1342" t="str">
        <f>VLOOKUP(A1342,Response!$A:$M,12,)</f>
        <v>No</v>
      </c>
      <c r="Q1342" t="str">
        <f>VLOOKUP(A1342,Response!$A:$M,11,)</f>
        <v>Egattur</v>
      </c>
      <c r="R1342" t="s">
        <v>19</v>
      </c>
      <c r="S1342" s="39" t="s">
        <v>37</v>
      </c>
    </row>
    <row r="1343" spans="1:19">
      <c r="A1343" s="3">
        <v>2524654</v>
      </c>
      <c r="B1343" t="str">
        <f>VLOOKUP(A1343,File!$A:$J,2,FALSE)</f>
        <v>Nikhil Subhash Kachole</v>
      </c>
      <c r="C1343" s="29">
        <f>VLOOKUP(A1343,File!$A:$J,5,FALSE)</f>
        <v>46224</v>
      </c>
      <c r="D1343" s="29" t="str">
        <f>VLOOKUP(A1343,File!$A:$J,3,FALSE)</f>
        <v>Male</v>
      </c>
      <c r="E1343" s="29" t="str">
        <f>VLOOKUP(A1343,File!$A:$J,4,FALSE)</f>
        <v>FTE</v>
      </c>
      <c r="F1343" s="29" t="str">
        <f>VLOOKUP(A1343,File!$A:$J,6,FALSE)</f>
        <v>Chennai</v>
      </c>
      <c r="G1343" s="29" t="str">
        <f>VLOOKUP(A1343,File!$A:$J,7,FALSE)</f>
        <v>QEA26QEPT024</v>
      </c>
      <c r="H1343" s="29" t="str">
        <f>VLOOKUP(A1343,File!$A:$J,8,FALSE)</f>
        <v>Ajiesya D P</v>
      </c>
      <c r="I1343" s="31">
        <f>VLOOKUP(A1343,File!$A:$J,9,FALSE)</f>
        <v>46325</v>
      </c>
      <c r="J1343" s="31" t="str">
        <f>VLOOKUP(A1343,File!$A:$K,11,FALSE)</f>
        <v>Oct 2026</v>
      </c>
      <c r="K1343" s="31" t="str">
        <f>VLOOKUP(A1343,File!$A:$K,10,FALSE)</f>
        <v>In-Training</v>
      </c>
      <c r="L1343" s="31" t="s">
        <v>4</v>
      </c>
      <c r="M1343" t="str">
        <f>VLOOKUP(A1343,Response!$A:$M,7,)</f>
        <v>PG (Paying Guest)</v>
      </c>
      <c r="N1343" t="str">
        <f>VLOOKUP(A1343,Response!$A:$M,8,)</f>
        <v>Sri Sarvana Mens Hostel</v>
      </c>
      <c r="O1343" s="4">
        <f>VLOOKUP(A1343,Response!$A:$M,10,)</f>
        <v>1</v>
      </c>
      <c r="P1343" t="str">
        <f>VLOOKUP(A1343,Response!$A:$M,12,)</f>
        <v>No</v>
      </c>
      <c r="Q1343" t="str">
        <f>VLOOKUP(A1343,Response!$A:$M,11,)</f>
        <v>Egattur</v>
      </c>
      <c r="R1343" t="s">
        <v>19</v>
      </c>
      <c r="S1343" s="39" t="s">
        <v>37</v>
      </c>
    </row>
    <row r="1344" spans="1:19">
      <c r="A1344" s="3">
        <v>2511277</v>
      </c>
      <c r="B1344" t="str">
        <f>VLOOKUP(A1344,File!$A:$J,2,FALSE)</f>
        <v>Varshith S</v>
      </c>
      <c r="C1344" s="29">
        <f>VLOOKUP(A1344,File!$A:$J,5,FALSE)</f>
        <v>46163</v>
      </c>
      <c r="D1344" s="29" t="str">
        <f>VLOOKUP(A1344,File!$A:$J,3,FALSE)</f>
        <v>Male</v>
      </c>
      <c r="E1344" s="29" t="str">
        <f>VLOOKUP(A1344,File!$A:$J,4,FALSE)</f>
        <v>FTE</v>
      </c>
      <c r="F1344" s="29" t="str">
        <f>VLOOKUP(A1344,File!$A:$J,6,FALSE)</f>
        <v>Chennai</v>
      </c>
      <c r="G1344" s="29" t="str">
        <f>VLOOKUP(A1344,File!$A:$J,7,FALSE)</f>
        <v>CIS26MCPT010</v>
      </c>
      <c r="H1344" s="29" t="str">
        <f>VLOOKUP(A1344,File!$A:$J,8,FALSE)</f>
        <v>Mohamed Harish</v>
      </c>
      <c r="I1344" s="31">
        <f>VLOOKUP(A1344,File!$A:$J,9,FALSE)</f>
        <v>46280</v>
      </c>
      <c r="J1344" s="31" t="str">
        <f>VLOOKUP(A1344,File!$A:$K,11,FALSE)</f>
        <v>Sep 2026</v>
      </c>
      <c r="K1344" s="31" t="str">
        <f>VLOOKUP(A1344,File!$A:$K,10,FALSE)</f>
        <v>In-Training</v>
      </c>
      <c r="L1344" s="31" t="s">
        <v>4</v>
      </c>
      <c r="M1344" t="str">
        <f>VLOOKUP(A1344,Response!$A:$M,7,)</f>
        <v>PG (Paying Guest)</v>
      </c>
      <c r="N1344" t="str">
        <f>VLOOKUP(A1344,Response!$A:$M,8,)</f>
        <v>Sri Sarvana PG</v>
      </c>
      <c r="O1344" s="4">
        <f>VLOOKUP(A1344,Response!$A:$M,10,)</f>
        <v>2</v>
      </c>
      <c r="P1344" t="str">
        <f>VLOOKUP(A1344,Response!$A:$M,12,)</f>
        <v>No</v>
      </c>
      <c r="Q1344" t="str">
        <f>VLOOKUP(A1344,Response!$A:$M,11,)</f>
        <v>Egattur</v>
      </c>
      <c r="R1344" t="s">
        <v>19</v>
      </c>
      <c r="S1344" s="39" t="s">
        <v>37</v>
      </c>
    </row>
    <row r="1345" spans="1:19">
      <c r="A1345" s="3">
        <v>2519719</v>
      </c>
      <c r="B1345" t="str">
        <f>VLOOKUP(A1345,File!$A:$J,2,FALSE)</f>
        <v>Sumit Gajendra Panchal</v>
      </c>
      <c r="C1345" s="29">
        <f>VLOOKUP(A1345,File!$A:$J,5,FALSE)</f>
        <v>46205</v>
      </c>
      <c r="D1345" s="29" t="str">
        <f>VLOOKUP(A1345,File!$A:$J,3,FALSE)</f>
        <v>Male</v>
      </c>
      <c r="E1345" s="29" t="str">
        <f>VLOOKUP(A1345,File!$A:$J,4,FALSE)</f>
        <v>FTE</v>
      </c>
      <c r="F1345" s="29" t="str">
        <f>VLOOKUP(A1345,File!$A:$J,6,FALSE)</f>
        <v>Chennai</v>
      </c>
      <c r="G1345" s="29" t="str">
        <f>VLOOKUP(A1345,File!$A:$J,7,FALSE)</f>
        <v>CIS26MCPT013</v>
      </c>
      <c r="H1345" s="29" t="str">
        <f>VLOOKUP(A1345,File!$A:$J,8,FALSE)</f>
        <v>Lawrance M</v>
      </c>
      <c r="I1345" s="31">
        <f>VLOOKUP(A1345,File!$A:$J,9,FALSE)</f>
        <v>46324</v>
      </c>
      <c r="J1345" s="31" t="str">
        <f>VLOOKUP(A1345,File!$A:$K,11,FALSE)</f>
        <v>Oct 2026</v>
      </c>
      <c r="K1345" s="31" t="str">
        <f>VLOOKUP(A1345,File!$A:$K,10,FALSE)</f>
        <v>In-Training</v>
      </c>
      <c r="L1345" s="31" t="s">
        <v>4</v>
      </c>
      <c r="M1345" t="str">
        <f>VLOOKUP(A1345,Response!$A:$M,7,)</f>
        <v>PG (Paying Guest)</v>
      </c>
      <c r="N1345" t="str">
        <f>VLOOKUP(A1345,Response!$A:$M,8,)</f>
        <v>Sri sarvanan mens pg, Egattur</v>
      </c>
      <c r="O1345" s="4">
        <f>VLOOKUP(A1345,Response!$A:$M,10,)</f>
        <v>3</v>
      </c>
      <c r="P1345" t="str">
        <f>VLOOKUP(A1345,Response!$A:$M,12,)</f>
        <v>No</v>
      </c>
      <c r="Q1345" t="str">
        <f>VLOOKUP(A1345,Response!$A:$M,11,)</f>
        <v>Egattur</v>
      </c>
      <c r="R1345" t="s">
        <v>19</v>
      </c>
      <c r="S1345" s="39" t="s">
        <v>37</v>
      </c>
    </row>
    <row r="1346" spans="1:19">
      <c r="A1346" s="3">
        <v>2529637</v>
      </c>
      <c r="B1346" t="str">
        <f>VLOOKUP(A1346,File!$A:$J,2,FALSE)</f>
        <v>Priya LNU</v>
      </c>
      <c r="C1346" s="29">
        <f>VLOOKUP(A1346,File!$A:$J,5,FALSE)</f>
        <v>46245</v>
      </c>
      <c r="D1346" s="29" t="str">
        <f>VLOOKUP(A1346,File!$A:$J,3,FALSE)</f>
        <v>Female</v>
      </c>
      <c r="E1346" s="29" t="str">
        <f>VLOOKUP(A1346,File!$A:$J,4,FALSE)</f>
        <v>FTE</v>
      </c>
      <c r="F1346" s="29" t="str">
        <f>VLOOKUP(A1346,File!$A:$J,6,FALSE)</f>
        <v>Chennai</v>
      </c>
      <c r="G1346" s="29" t="str">
        <f>VLOOKUP(A1346,File!$A:$J,7,FALSE)</f>
        <v>CIS26MCPT022</v>
      </c>
      <c r="H1346" s="29" t="str">
        <f>VLOOKUP(A1346,File!$A:$J,8,FALSE)</f>
        <v>Laksiya Vijayendran</v>
      </c>
      <c r="I1346" s="31">
        <f>VLOOKUP(A1346,File!$A:$J,9,FALSE)</f>
        <v>46359</v>
      </c>
      <c r="J1346" s="31" t="str">
        <f>VLOOKUP(A1346,File!$A:$K,11,FALSE)</f>
        <v>Dec 2026</v>
      </c>
      <c r="K1346" s="31" t="str">
        <f>VLOOKUP(A1346,File!$A:$K,10,FALSE)</f>
        <v>In-Training</v>
      </c>
      <c r="L1346" s="31" t="s">
        <v>4</v>
      </c>
      <c r="M1346" t="str">
        <f>VLOOKUP(A1346,Response!$A:$M,7,)</f>
        <v>PG (Paying Guest)</v>
      </c>
      <c r="N1346" t="str">
        <f>VLOOKUP(A1346,Response!$A:$M,8,)</f>
        <v>Sri Srinivasa Ladies PG</v>
      </c>
      <c r="O1346" s="4">
        <f>VLOOKUP(A1346,Response!$A:$M,10,)</f>
        <v>3</v>
      </c>
      <c r="P1346" t="str">
        <f>VLOOKUP(A1346,Response!$A:$M,12,)</f>
        <v>No</v>
      </c>
      <c r="Q1346" t="str">
        <f>VLOOKUP(A1346,Response!$A:$M,11,)</f>
        <v>Egattur</v>
      </c>
      <c r="R1346" t="s">
        <v>19</v>
      </c>
      <c r="S1346" s="39" t="s">
        <v>37</v>
      </c>
    </row>
    <row r="1347" spans="1:19">
      <c r="A1347" s="3">
        <v>2512326</v>
      </c>
      <c r="B1347" t="str">
        <f>VLOOKUP(A1347,File!$A:$J,2,FALSE)</f>
        <v>Vanapalli Parmila</v>
      </c>
      <c r="C1347" s="29">
        <f>VLOOKUP(A1347,File!$A:$J,5,FALSE)</f>
        <v>46170</v>
      </c>
      <c r="D1347" s="29" t="str">
        <f>VLOOKUP(A1347,File!$A:$J,3,FALSE)</f>
        <v>Female</v>
      </c>
      <c r="E1347" s="29" t="str">
        <f>VLOOKUP(A1347,File!$A:$J,4,FALSE)</f>
        <v>FTE</v>
      </c>
      <c r="F1347" s="29" t="str">
        <f>VLOOKUP(A1347,File!$A:$J,6,FALSE)</f>
        <v>Chennai</v>
      </c>
      <c r="G1347" s="29" t="str">
        <f>VLOOKUP(A1347,File!$A:$J,7,FALSE)</f>
        <v>CIS26MCPT012</v>
      </c>
      <c r="H1347" s="29" t="str">
        <f>VLOOKUP(A1347,File!$A:$J,8,FALSE)</f>
        <v>Uma Venkatachalam</v>
      </c>
      <c r="I1347" s="31">
        <f>VLOOKUP(A1347,File!$A:$J,9,FALSE)</f>
        <v>46282</v>
      </c>
      <c r="J1347" s="31" t="str">
        <f>VLOOKUP(A1347,File!$A:$K,11,FALSE)</f>
        <v>Sep 2026</v>
      </c>
      <c r="K1347" s="31" t="str">
        <f>VLOOKUP(A1347,File!$A:$K,10,FALSE)</f>
        <v>In-Training</v>
      </c>
      <c r="L1347" s="31" t="s">
        <v>4</v>
      </c>
      <c r="M1347" t="str">
        <f>VLOOKUP(A1347,Response!$A:$M,7,)</f>
        <v>PG (Paying Guest)</v>
      </c>
      <c r="N1347" t="str">
        <f>VLOOKUP(A1347,Response!$A:$M,8,)</f>
        <v xml:space="preserve">Sri srinivasa ladies pg </v>
      </c>
      <c r="O1347" s="4">
        <f>VLOOKUP(A1347,Response!$A:$M,10,)</f>
        <v>3</v>
      </c>
      <c r="P1347" t="str">
        <f>VLOOKUP(A1347,Response!$A:$M,12,)</f>
        <v>No</v>
      </c>
      <c r="Q1347" t="str">
        <f>VLOOKUP(A1347,Response!$A:$M,11,)</f>
        <v>Egattur</v>
      </c>
      <c r="R1347" t="s">
        <v>19</v>
      </c>
      <c r="S1347" s="39" t="s">
        <v>37</v>
      </c>
    </row>
    <row r="1348" spans="1:19">
      <c r="A1348" s="3">
        <v>2520987</v>
      </c>
      <c r="B1348" t="str">
        <f>VLOOKUP(A1348,File!$A:$J,2,FALSE)</f>
        <v>Mangiri Devika</v>
      </c>
      <c r="C1348" s="29">
        <f>VLOOKUP(A1348,File!$A:$J,5,FALSE)</f>
        <v>46210</v>
      </c>
      <c r="D1348" s="29" t="str">
        <f>VLOOKUP(A1348,File!$A:$J,3,FALSE)</f>
        <v>Female</v>
      </c>
      <c r="E1348" s="29" t="str">
        <f>VLOOKUP(A1348,File!$A:$J,4,FALSE)</f>
        <v>FTE</v>
      </c>
      <c r="F1348" s="29" t="str">
        <f>VLOOKUP(A1348,File!$A:$J,6,FALSE)</f>
        <v>Chennai</v>
      </c>
      <c r="G1348" s="29" t="str">
        <f>VLOOKUP(A1348,File!$A:$J,7,FALSE)</f>
        <v>EPS26WD004</v>
      </c>
      <c r="H1348" s="29" t="str">
        <f>VLOOKUP(A1348,File!$A:$J,8,FALSE)</f>
        <v>Ajith Ganesan</v>
      </c>
      <c r="I1348" s="31">
        <f>VLOOKUP(A1348,File!$A:$J,9,FALSE)</f>
        <v>46310</v>
      </c>
      <c r="J1348" s="31" t="str">
        <f>VLOOKUP(A1348,File!$A:$K,11,FALSE)</f>
        <v>Oct 2026</v>
      </c>
      <c r="K1348" s="31" t="str">
        <f>VLOOKUP(A1348,File!$A:$K,10,FALSE)</f>
        <v>In-Training</v>
      </c>
      <c r="L1348" s="31" t="s">
        <v>4</v>
      </c>
      <c r="M1348" t="str">
        <f>VLOOKUP(A1348,Response!$A:$M,7,)</f>
        <v>PG (Paying Guest)</v>
      </c>
      <c r="N1348" t="str">
        <f>VLOOKUP(A1348,Response!$A:$M,8,)</f>
        <v>Sri Srinivasa Ladies PG, Periyar st, Egattur, Tamil Nadu,600130</v>
      </c>
      <c r="O1348" s="4">
        <f>VLOOKUP(A1348,Response!$A:$M,10,)</f>
        <v>1</v>
      </c>
      <c r="P1348" t="str">
        <f>VLOOKUP(A1348,Response!$A:$M,12,)</f>
        <v>No</v>
      </c>
      <c r="Q1348" t="str">
        <f>VLOOKUP(A1348,Response!$A:$M,11,)</f>
        <v>Egattur</v>
      </c>
      <c r="R1348" t="s">
        <v>19</v>
      </c>
      <c r="S1348" s="39" t="s">
        <v>37</v>
      </c>
    </row>
    <row r="1349" spans="1:19">
      <c r="A1349" s="3">
        <v>2512311</v>
      </c>
      <c r="B1349" t="str">
        <f>VLOOKUP(A1349,File!$A:$J,2,FALSE)</f>
        <v>Yamini Rongala</v>
      </c>
      <c r="C1349" s="29">
        <f>VLOOKUP(A1349,File!$A:$J,5,FALSE)</f>
        <v>46170</v>
      </c>
      <c r="D1349" s="29" t="str">
        <f>VLOOKUP(A1349,File!$A:$J,3,FALSE)</f>
        <v>Female</v>
      </c>
      <c r="E1349" s="29" t="str">
        <f>VLOOKUP(A1349,File!$A:$J,4,FALSE)</f>
        <v>FTE</v>
      </c>
      <c r="F1349" s="29" t="str">
        <f>VLOOKUP(A1349,File!$A:$J,6,FALSE)</f>
        <v>Chennai</v>
      </c>
      <c r="G1349" s="29" t="str">
        <f>VLOOKUP(A1349,File!$A:$J,7,FALSE)</f>
        <v>CIS26MCPT011</v>
      </c>
      <c r="H1349" s="29" t="str">
        <f>VLOOKUP(A1349,File!$A:$J,8,FALSE)</f>
        <v>Uma Venkatachalam</v>
      </c>
      <c r="I1349" s="31">
        <f>VLOOKUP(A1349,File!$A:$J,9,FALSE)</f>
        <v>46282</v>
      </c>
      <c r="J1349" s="31" t="str">
        <f>VLOOKUP(A1349,File!$A:$K,11,FALSE)</f>
        <v>Sep 2026</v>
      </c>
      <c r="K1349" s="31" t="str">
        <f>VLOOKUP(A1349,File!$A:$K,10,FALSE)</f>
        <v>In-Training</v>
      </c>
      <c r="L1349" s="31" t="s">
        <v>4</v>
      </c>
      <c r="M1349" t="str">
        <f>VLOOKUP(A1349,Response!$A:$M,7,)</f>
        <v>PG (Paying Guest)</v>
      </c>
      <c r="N1349" t="str">
        <f>VLOOKUP(A1349,Response!$A:$M,8,)</f>
        <v>Sri Srinivasa ladies Pg, Periyar street, Egattur</v>
      </c>
      <c r="O1349" s="4">
        <f>VLOOKUP(A1349,Response!$A:$M,10,)</f>
        <v>3</v>
      </c>
      <c r="P1349" t="str">
        <f>VLOOKUP(A1349,Response!$A:$M,12,)</f>
        <v>No</v>
      </c>
      <c r="Q1349" t="str">
        <f>VLOOKUP(A1349,Response!$A:$M,11,)</f>
        <v>Egattur</v>
      </c>
      <c r="R1349" t="s">
        <v>19</v>
      </c>
      <c r="S1349" s="39" t="s">
        <v>37</v>
      </c>
    </row>
    <row r="1350" spans="1:19">
      <c r="A1350" s="3">
        <v>2521212</v>
      </c>
      <c r="B1350" t="str">
        <f>VLOOKUP(A1350,File!$A:$J,2,FALSE)</f>
        <v>Harshith Kumar P</v>
      </c>
      <c r="C1350" s="29">
        <f>VLOOKUP(A1350,File!$A:$J,5,FALSE)</f>
        <v>46210</v>
      </c>
      <c r="D1350" s="29" t="str">
        <f>VLOOKUP(A1350,File!$A:$J,3,FALSE)</f>
        <v>Male</v>
      </c>
      <c r="E1350" s="29" t="str">
        <f>VLOOKUP(A1350,File!$A:$J,4,FALSE)</f>
        <v>FTE</v>
      </c>
      <c r="F1350" s="29" t="str">
        <f>VLOOKUP(A1350,File!$A:$J,6,FALSE)</f>
        <v>Chennai</v>
      </c>
      <c r="G1350" s="29" t="str">
        <f>VLOOKUP(A1350,File!$A:$J,7,FALSE)</f>
        <v>CS26CS007</v>
      </c>
      <c r="H1350" s="29" t="str">
        <f>VLOOKUP(A1350,File!$A:$J,8,FALSE)</f>
        <v>Lawrance M</v>
      </c>
      <c r="I1350" s="31">
        <f>VLOOKUP(A1350,File!$A:$J,9,FALSE)</f>
        <v>46272</v>
      </c>
      <c r="J1350" s="31" t="str">
        <f>VLOOKUP(A1350,File!$A:$K,11,FALSE)</f>
        <v>Sep 2026</v>
      </c>
      <c r="K1350" s="31" t="str">
        <f>VLOOKUP(A1350,File!$A:$K,10,FALSE)</f>
        <v>In-Training</v>
      </c>
      <c r="L1350" s="31" t="s">
        <v>4</v>
      </c>
      <c r="M1350" t="str">
        <f>VLOOKUP(A1350,Response!$A:$M,7,)</f>
        <v>PG (Paying Guest)</v>
      </c>
      <c r="N1350" t="str">
        <f>VLOOKUP(A1350,Response!$A:$M,8,)</f>
        <v>Sri srinivasa mens pg</v>
      </c>
      <c r="O1350" s="4">
        <f>VLOOKUP(A1350,Response!$A:$M,10,)</f>
        <v>3</v>
      </c>
      <c r="P1350" t="str">
        <f>VLOOKUP(A1350,Response!$A:$M,12,)</f>
        <v>No</v>
      </c>
      <c r="Q1350" t="str">
        <f>VLOOKUP(A1350,Response!$A:$M,11,)</f>
        <v>Navalur</v>
      </c>
      <c r="R1350" t="s">
        <v>19</v>
      </c>
      <c r="S1350" s="39" t="s">
        <v>37</v>
      </c>
    </row>
    <row r="1351" spans="1:19">
      <c r="A1351" s="3">
        <v>2516840</v>
      </c>
      <c r="B1351" t="str">
        <f>VLOOKUP(A1351,File!$A:$J,2,FALSE)</f>
        <v>Ritik Katiyar</v>
      </c>
      <c r="C1351" s="29">
        <f>VLOOKUP(A1351,File!$A:$J,5,FALSE)</f>
        <v>46191</v>
      </c>
      <c r="D1351" s="29" t="str">
        <f>VLOOKUP(A1351,File!$A:$J,3,FALSE)</f>
        <v>Male</v>
      </c>
      <c r="E1351" s="29" t="str">
        <f>VLOOKUP(A1351,File!$A:$J,4,FALSE)</f>
        <v>FTE</v>
      </c>
      <c r="F1351" s="29" t="str">
        <f>VLOOKUP(A1351,File!$A:$J,6,FALSE)</f>
        <v>Chennai</v>
      </c>
      <c r="G1351" s="29" t="str">
        <f>VLOOKUP(A1351,File!$A:$J,7,FALSE)</f>
        <v>CIS26NET004</v>
      </c>
      <c r="H1351" s="29" t="str">
        <f>VLOOKUP(A1351,File!$A:$J,8,FALSE)</f>
        <v>Uma Venkatachalam</v>
      </c>
      <c r="I1351" s="31">
        <f>VLOOKUP(A1351,File!$A:$J,9,FALSE)</f>
        <v>46269</v>
      </c>
      <c r="J1351" s="31" t="str">
        <f>VLOOKUP(A1351,File!$A:$K,11,FALSE)</f>
        <v>Sep 2026</v>
      </c>
      <c r="K1351" s="31" t="str">
        <f>VLOOKUP(A1351,File!$A:$K,10,FALSE)</f>
        <v>In-Training-Remedial</v>
      </c>
      <c r="L1351" s="31" t="s">
        <v>4</v>
      </c>
      <c r="M1351" t="str">
        <f>VLOOKUP(A1351,Response!$A:$M,7,)</f>
        <v>PG (Paying Guest)</v>
      </c>
      <c r="N1351" t="str">
        <f>VLOOKUP(A1351,Response!$A:$M,8,)</f>
        <v xml:space="preserve">Sri Srinivasa mens PG </v>
      </c>
      <c r="O1351" s="4">
        <f>VLOOKUP(A1351,Response!$A:$M,10,)</f>
        <v>2</v>
      </c>
      <c r="P1351" t="str">
        <f>VLOOKUP(A1351,Response!$A:$M,12,)</f>
        <v>No</v>
      </c>
      <c r="Q1351" t="str">
        <f>VLOOKUP(A1351,Response!$A:$M,11,)</f>
        <v>Navalur</v>
      </c>
      <c r="R1351" t="s">
        <v>19</v>
      </c>
      <c r="S1351" s="39" t="s">
        <v>37</v>
      </c>
    </row>
    <row r="1352" spans="1:19">
      <c r="A1352" s="3">
        <v>2520936</v>
      </c>
      <c r="B1352" t="str">
        <f>VLOOKUP(A1352,File!$A:$J,2,FALSE)</f>
        <v>Anurag Kushwaha</v>
      </c>
      <c r="C1352" s="29">
        <f>VLOOKUP(A1352,File!$A:$J,5,FALSE)</f>
        <v>46210</v>
      </c>
      <c r="D1352" s="29" t="str">
        <f>VLOOKUP(A1352,File!$A:$J,3,FALSE)</f>
        <v>Male</v>
      </c>
      <c r="E1352" s="29" t="str">
        <f>VLOOKUP(A1352,File!$A:$J,4,FALSE)</f>
        <v>FTE</v>
      </c>
      <c r="F1352" s="29" t="str">
        <f>VLOOKUP(A1352,File!$A:$J,6,FALSE)</f>
        <v>Chennai</v>
      </c>
      <c r="G1352" s="29" t="str">
        <f>VLOOKUP(A1352,File!$A:$J,7,FALSE)</f>
        <v>EPS26WD004</v>
      </c>
      <c r="H1352" s="29" t="str">
        <f>VLOOKUP(A1352,File!$A:$J,8,FALSE)</f>
        <v>Ajith Ganesan</v>
      </c>
      <c r="I1352" s="31">
        <f>VLOOKUP(A1352,File!$A:$J,9,FALSE)</f>
        <v>46310</v>
      </c>
      <c r="J1352" s="31" t="str">
        <f>VLOOKUP(A1352,File!$A:$K,11,FALSE)</f>
        <v>Oct 2026</v>
      </c>
      <c r="K1352" s="31" t="str">
        <f>VLOOKUP(A1352,File!$A:$K,10,FALSE)</f>
        <v>In-Training</v>
      </c>
      <c r="L1352" s="31" t="s">
        <v>4</v>
      </c>
      <c r="M1352" t="str">
        <f>VLOOKUP(A1352,Response!$A:$M,7,)</f>
        <v>PG (Paying Guest)</v>
      </c>
      <c r="N1352" t="str">
        <f>VLOOKUP(A1352,Response!$A:$M,8,)</f>
        <v>Sri Srinivasa mens PG, Navallur</v>
      </c>
      <c r="O1352" s="4">
        <f>VLOOKUP(A1352,Response!$A:$M,10,)</f>
        <v>4</v>
      </c>
      <c r="P1352" t="str">
        <f>VLOOKUP(A1352,Response!$A:$M,12,)</f>
        <v>No</v>
      </c>
      <c r="Q1352" t="str">
        <f>VLOOKUP(A1352,Response!$A:$M,11,)</f>
        <v>Navalur</v>
      </c>
      <c r="R1352" t="s">
        <v>19</v>
      </c>
      <c r="S1352" s="39" t="s">
        <v>37</v>
      </c>
    </row>
    <row r="1353" spans="1:19">
      <c r="A1353" s="3">
        <v>2521202</v>
      </c>
      <c r="B1353" t="str">
        <f>VLOOKUP(A1353,File!$A:$J,2,FALSE)</f>
        <v>Shravan V</v>
      </c>
      <c r="C1353" s="29">
        <f>VLOOKUP(A1353,File!$A:$J,5,FALSE)</f>
        <v>46210</v>
      </c>
      <c r="D1353" s="29" t="str">
        <f>VLOOKUP(A1353,File!$A:$J,3,FALSE)</f>
        <v>Male</v>
      </c>
      <c r="E1353" s="29" t="str">
        <f>VLOOKUP(A1353,File!$A:$J,4,FALSE)</f>
        <v>FTE</v>
      </c>
      <c r="F1353" s="29" t="str">
        <f>VLOOKUP(A1353,File!$A:$J,6,FALSE)</f>
        <v>Chennai</v>
      </c>
      <c r="G1353" s="29" t="str">
        <f>VLOOKUP(A1353,File!$A:$J,7,FALSE)</f>
        <v>CS26CS008</v>
      </c>
      <c r="H1353" s="29" t="str">
        <f>VLOOKUP(A1353,File!$A:$J,8,FALSE)</f>
        <v>Kishorekumar P</v>
      </c>
      <c r="I1353" s="31">
        <f>VLOOKUP(A1353,File!$A:$J,9,FALSE)</f>
        <v>46323</v>
      </c>
      <c r="J1353" s="31" t="str">
        <f>VLOOKUP(A1353,File!$A:$K,11,FALSE)</f>
        <v>Oct 2026</v>
      </c>
      <c r="K1353" s="31" t="str">
        <f>VLOOKUP(A1353,File!$A:$K,10,FALSE)</f>
        <v>In-Training</v>
      </c>
      <c r="L1353" s="31" t="s">
        <v>4</v>
      </c>
      <c r="M1353" t="str">
        <f>VLOOKUP(A1353,Response!$A:$M,7,)</f>
        <v>PG (Paying Guest)</v>
      </c>
      <c r="N1353" t="str">
        <f>VLOOKUP(A1353,Response!$A:$M,8,)</f>
        <v>Sri Srinivasa Mens PG, Navalur</v>
      </c>
      <c r="O1353" s="4">
        <f>VLOOKUP(A1353,Response!$A:$M,10,)</f>
        <v>3</v>
      </c>
      <c r="P1353" t="str">
        <f>VLOOKUP(A1353,Response!$A:$M,12,)</f>
        <v>No</v>
      </c>
      <c r="Q1353" t="str">
        <f>VLOOKUP(A1353,Response!$A:$M,11,)</f>
        <v>Navalur</v>
      </c>
      <c r="R1353" t="s">
        <v>19</v>
      </c>
      <c r="S1353" s="39" t="s">
        <v>37</v>
      </c>
    </row>
    <row r="1354" spans="1:19">
      <c r="A1354" s="3">
        <v>2512352</v>
      </c>
      <c r="B1354" t="str">
        <f>VLOOKUP(A1354,File!$A:$J,2,FALSE)</f>
        <v>Syed Simran</v>
      </c>
      <c r="C1354" s="29">
        <f>VLOOKUP(A1354,File!$A:$J,5,FALSE)</f>
        <v>46170</v>
      </c>
      <c r="D1354" s="29" t="str">
        <f>VLOOKUP(A1354,File!$A:$J,3,FALSE)</f>
        <v>Female</v>
      </c>
      <c r="E1354" s="29" t="str">
        <f>VLOOKUP(A1354,File!$A:$J,4,FALSE)</f>
        <v>FTE</v>
      </c>
      <c r="F1354" s="29" t="str">
        <f>VLOOKUP(A1354,File!$A:$J,6,FALSE)</f>
        <v>Chennai</v>
      </c>
      <c r="G1354" s="29" t="str">
        <f>VLOOKUP(A1354,File!$A:$J,7,FALSE)</f>
        <v>CIS26MCPT011</v>
      </c>
      <c r="H1354" s="29" t="str">
        <f>VLOOKUP(A1354,File!$A:$J,8,FALSE)</f>
        <v>Uma Venkatachalam</v>
      </c>
      <c r="I1354" s="31">
        <f>VLOOKUP(A1354,File!$A:$J,9,FALSE)</f>
        <v>46282</v>
      </c>
      <c r="J1354" s="31" t="str">
        <f>VLOOKUP(A1354,File!$A:$K,11,FALSE)</f>
        <v>Sep 2026</v>
      </c>
      <c r="K1354" s="31" t="str">
        <f>VLOOKUP(A1354,File!$A:$K,10,FALSE)</f>
        <v>In-Training</v>
      </c>
      <c r="L1354" s="31" t="s">
        <v>4</v>
      </c>
      <c r="M1354" t="str">
        <f>VLOOKUP(A1354,Response!$A:$M,7,)</f>
        <v>PG (Paying Guest)</v>
      </c>
      <c r="N1354" t="str">
        <f>VLOOKUP(A1354,Response!$A:$M,8,)</f>
        <v>sri sudiksha ladies PG , karapakkam</v>
      </c>
      <c r="O1354" s="4">
        <f>VLOOKUP(A1354,Response!$A:$M,10,)</f>
        <v>4</v>
      </c>
      <c r="P1354" t="str">
        <f>VLOOKUP(A1354,Response!$A:$M,12,)</f>
        <v>No</v>
      </c>
      <c r="Q1354" t="str">
        <f>VLOOKUP(A1354,Response!$A:$M,11,)</f>
        <v>Sholinganallur</v>
      </c>
      <c r="R1354" t="s">
        <v>17</v>
      </c>
      <c r="S1354" s="39" t="s">
        <v>37</v>
      </c>
    </row>
    <row r="1355" spans="1:19">
      <c r="A1355" s="3">
        <v>2511338</v>
      </c>
      <c r="B1355" t="str">
        <f>VLOOKUP(A1355,File!$A:$J,2,FALSE)</f>
        <v>Charumathi P</v>
      </c>
      <c r="C1355" s="29">
        <f>VLOOKUP(A1355,File!$A:$J,5,FALSE)</f>
        <v>46163</v>
      </c>
      <c r="D1355" s="29" t="str">
        <f>VLOOKUP(A1355,File!$A:$J,3,FALSE)</f>
        <v>Female</v>
      </c>
      <c r="E1355" s="29" t="str">
        <f>VLOOKUP(A1355,File!$A:$J,4,FALSE)</f>
        <v>FTE</v>
      </c>
      <c r="F1355" s="29" t="str">
        <f>VLOOKUP(A1355,File!$A:$J,6,FALSE)</f>
        <v>Chennai</v>
      </c>
      <c r="G1355" s="29" t="str">
        <f>VLOOKUP(A1355,File!$A:$J,7,FALSE)</f>
        <v>CIS26MCPT010</v>
      </c>
      <c r="H1355" s="29" t="str">
        <f>VLOOKUP(A1355,File!$A:$J,8,FALSE)</f>
        <v>Mohamed Harish</v>
      </c>
      <c r="I1355" s="31">
        <f>VLOOKUP(A1355,File!$A:$J,9,FALSE)</f>
        <v>46280</v>
      </c>
      <c r="J1355" s="31" t="str">
        <f>VLOOKUP(A1355,File!$A:$K,11,FALSE)</f>
        <v>Sep 2026</v>
      </c>
      <c r="K1355" s="31" t="str">
        <f>VLOOKUP(A1355,File!$A:$K,10,FALSE)</f>
        <v>In-Training</v>
      </c>
      <c r="L1355" s="31" t="s">
        <v>4</v>
      </c>
      <c r="M1355" t="str">
        <f>VLOOKUP(A1355,Response!$A:$M,7,)</f>
        <v>PG (Paying Guest)</v>
      </c>
      <c r="N1355" t="str">
        <f>VLOOKUP(A1355,Response!$A:$M,8,)</f>
        <v>Sri Svs Grand Stay, Sholinganallur</v>
      </c>
      <c r="O1355" s="4">
        <f>VLOOKUP(A1355,Response!$A:$M,10,)</f>
        <v>2</v>
      </c>
      <c r="P1355" t="str">
        <f>VLOOKUP(A1355,Response!$A:$M,12,)</f>
        <v>Yes</v>
      </c>
      <c r="Q1355" t="str">
        <f>VLOOKUP(A1355,Response!$A:$M,11,)</f>
        <v>Sholinganallur</v>
      </c>
      <c r="R1355" t="s">
        <v>17</v>
      </c>
      <c r="S1355" s="39" t="s">
        <v>37</v>
      </c>
    </row>
    <row r="1356" spans="1:19">
      <c r="A1356" s="3">
        <v>2529542</v>
      </c>
      <c r="B1356" t="str">
        <f>VLOOKUP(A1356,File!$A:$J,2,FALSE)</f>
        <v>Madhyanapu Anand Sri Satya Sai</v>
      </c>
      <c r="C1356" s="29">
        <f>VLOOKUP(A1356,File!$A:$J,5,FALSE)</f>
        <v>46245</v>
      </c>
      <c r="D1356" s="29" t="str">
        <f>VLOOKUP(A1356,File!$A:$J,3,FALSE)</f>
        <v>Male</v>
      </c>
      <c r="E1356" s="29" t="str">
        <f>VLOOKUP(A1356,File!$A:$J,4,FALSE)</f>
        <v>FTE</v>
      </c>
      <c r="F1356" s="29" t="str">
        <f>VLOOKUP(A1356,File!$A:$J,6,FALSE)</f>
        <v>Chennai</v>
      </c>
      <c r="G1356" s="29" t="str">
        <f>VLOOKUP(A1356,File!$A:$J,7,FALSE)</f>
        <v>CIS26MCPT023</v>
      </c>
      <c r="H1356" s="29" t="str">
        <f>VLOOKUP(A1356,File!$A:$J,8,FALSE)</f>
        <v>Kishorekumar P</v>
      </c>
      <c r="I1356" s="31">
        <f>VLOOKUP(A1356,File!$A:$J,9,FALSE)</f>
        <v>46359</v>
      </c>
      <c r="J1356" s="31" t="str">
        <f>VLOOKUP(A1356,File!$A:$K,11,FALSE)</f>
        <v>Dec 2026</v>
      </c>
      <c r="K1356" s="31" t="str">
        <f>VLOOKUP(A1356,File!$A:$K,10,FALSE)</f>
        <v>In-Training</v>
      </c>
      <c r="L1356" s="31" t="s">
        <v>4</v>
      </c>
      <c r="M1356" t="str">
        <f>VLOOKUP(A1356,Response!$A:$M,7,)</f>
        <v>PG (Paying Guest)</v>
      </c>
      <c r="N1356" t="str">
        <f>VLOOKUP(A1356,Response!$A:$M,8,)</f>
        <v>SRI THARUN PG FOR GENTS, NAVALUR</v>
      </c>
      <c r="O1356" s="4">
        <f>VLOOKUP(A1356,Response!$A:$M,10,)</f>
        <v>2</v>
      </c>
      <c r="P1356" t="str">
        <f>VLOOKUP(A1356,Response!$A:$M,12,)</f>
        <v>No</v>
      </c>
      <c r="Q1356" t="str">
        <f>VLOOKUP(A1356,Response!$A:$M,11,)</f>
        <v>Navalur</v>
      </c>
      <c r="R1356" t="s">
        <v>19</v>
      </c>
      <c r="S1356" s="39" t="s">
        <v>37</v>
      </c>
    </row>
    <row r="1357" spans="1:19">
      <c r="A1357" s="3">
        <v>2525077</v>
      </c>
      <c r="B1357" t="str">
        <f>VLOOKUP(A1357,File!$A:$J,2,FALSE)</f>
        <v>Siddu Vishnu Priya</v>
      </c>
      <c r="C1357" s="29">
        <f>VLOOKUP(A1357,File!$A:$J,5,FALSE)</f>
        <v>46226</v>
      </c>
      <c r="D1357" s="29" t="str">
        <f>VLOOKUP(A1357,File!$A:$J,3,FALSE)</f>
        <v>Female</v>
      </c>
      <c r="E1357" s="29" t="str">
        <f>VLOOKUP(A1357,File!$A:$J,4,FALSE)</f>
        <v>FTE</v>
      </c>
      <c r="F1357" s="29" t="str">
        <f>VLOOKUP(A1357,File!$A:$J,6,FALSE)</f>
        <v>Chennai</v>
      </c>
      <c r="G1357" s="29" t="str">
        <f>VLOOKUP(A1357,File!$A:$J,7,FALSE)</f>
        <v>CIS26DWP023</v>
      </c>
      <c r="H1357" s="29" t="str">
        <f>VLOOKUP(A1357,File!$A:$J,8,FALSE)</f>
        <v>Geebiga B</v>
      </c>
      <c r="I1357" s="31">
        <f>VLOOKUP(A1357,File!$A:$J,9,FALSE)</f>
        <v>46282</v>
      </c>
      <c r="J1357" s="31" t="str">
        <f>VLOOKUP(A1357,File!$A:$K,11,FALSE)</f>
        <v>Sep 2026</v>
      </c>
      <c r="K1357" s="31" t="str">
        <f>VLOOKUP(A1357,File!$A:$K,10,FALSE)</f>
        <v>In-Training</v>
      </c>
      <c r="L1357" s="31" t="s">
        <v>4</v>
      </c>
      <c r="M1357" t="str">
        <f>VLOOKUP(A1357,Response!$A:$M,7,)</f>
        <v>PG (Paying Guest)</v>
      </c>
      <c r="N1357" t="str">
        <f>VLOOKUP(A1357,Response!$A:$M,8,)</f>
        <v>Sri Vaishnavi PG, Siruseri</v>
      </c>
      <c r="O1357" s="4">
        <f>VLOOKUP(A1357,Response!$A:$M,10,)</f>
        <v>4</v>
      </c>
      <c r="P1357" t="str">
        <f>VLOOKUP(A1357,Response!$A:$M,12,)</f>
        <v>No</v>
      </c>
      <c r="Q1357" t="str">
        <f>VLOOKUP(A1357,Response!$A:$M,11,)</f>
        <v>Siruseri</v>
      </c>
      <c r="R1357" t="s">
        <v>19</v>
      </c>
      <c r="S1357" s="39" t="s">
        <v>37</v>
      </c>
    </row>
    <row r="1358" spans="1:19">
      <c r="A1358" s="3">
        <v>2526129</v>
      </c>
      <c r="B1358" t="str">
        <f>VLOOKUP(A1358,File!$A:$J,2,FALSE)</f>
        <v>G Yaswanth</v>
      </c>
      <c r="C1358" s="29">
        <f>VLOOKUP(A1358,File!$A:$J,5,FALSE)</f>
        <v>46231</v>
      </c>
      <c r="D1358" s="29" t="str">
        <f>VLOOKUP(A1358,File!$A:$J,3,FALSE)</f>
        <v>Male</v>
      </c>
      <c r="E1358" s="29" t="str">
        <f>VLOOKUP(A1358,File!$A:$J,4,FALSE)</f>
        <v>FTE</v>
      </c>
      <c r="F1358" s="29" t="str">
        <f>VLOOKUP(A1358,File!$A:$J,6,FALSE)</f>
        <v>Chennai</v>
      </c>
      <c r="G1358" s="29" t="str">
        <f>VLOOKUP(A1358,File!$A:$J,7,FALSE)</f>
        <v>EPS26WD006</v>
      </c>
      <c r="H1358" s="29" t="str">
        <f>VLOOKUP(A1358,File!$A:$J,8,FALSE)</f>
        <v>Vishnupriya Dakshnamurthy</v>
      </c>
      <c r="I1358" s="31">
        <f>VLOOKUP(A1358,File!$A:$J,9,FALSE)</f>
        <v>46353</v>
      </c>
      <c r="J1358" s="31" t="str">
        <f>VLOOKUP(A1358,File!$A:$K,11,FALSE)</f>
        <v>Nov 2026</v>
      </c>
      <c r="K1358" s="31" t="str">
        <f>VLOOKUP(A1358,File!$A:$K,10,FALSE)</f>
        <v>In-Training</v>
      </c>
      <c r="L1358" s="31" t="s">
        <v>4</v>
      </c>
      <c r="M1358" t="str">
        <f>VLOOKUP(A1358,Response!$A:$M,7,)</f>
        <v>PG (Paying Guest)</v>
      </c>
      <c r="N1358" t="str">
        <f>VLOOKUP(A1358,Response!$A:$M,8,)</f>
        <v xml:space="preserve">Sri venkat luxury gents pg </v>
      </c>
      <c r="O1358" s="4">
        <f>VLOOKUP(A1358,Response!$A:$M,10,)</f>
        <v>1</v>
      </c>
      <c r="P1358" t="str">
        <f>VLOOKUP(A1358,Response!$A:$M,12,)</f>
        <v>No</v>
      </c>
      <c r="Q1358" t="str">
        <f>VLOOKUP(A1358,Response!$A:$M,11,)</f>
        <v>Sholinganallur</v>
      </c>
      <c r="R1358" t="s">
        <v>17</v>
      </c>
      <c r="S1358" s="39" t="s">
        <v>37</v>
      </c>
    </row>
    <row r="1359" spans="1:19">
      <c r="A1359" s="3">
        <v>2519700</v>
      </c>
      <c r="B1359" t="str">
        <f>VLOOKUP(A1359,File!$A:$J,2,FALSE)</f>
        <v>Udagundla Bala Ranganath</v>
      </c>
      <c r="C1359" s="29">
        <f>VLOOKUP(A1359,File!$A:$J,5,FALSE)</f>
        <v>46205</v>
      </c>
      <c r="D1359" s="29" t="str">
        <f>VLOOKUP(A1359,File!$A:$J,3,FALSE)</f>
        <v>Male</v>
      </c>
      <c r="E1359" s="29" t="str">
        <f>VLOOKUP(A1359,File!$A:$J,4,FALSE)</f>
        <v>FTE</v>
      </c>
      <c r="F1359" s="29" t="str">
        <f>VLOOKUP(A1359,File!$A:$J,6,FALSE)</f>
        <v>Chennai</v>
      </c>
      <c r="G1359" s="29" t="str">
        <f>VLOOKUP(A1359,File!$A:$J,7,FALSE)</f>
        <v>CIS26UNIX003</v>
      </c>
      <c r="H1359" s="29" t="str">
        <f>VLOOKUP(A1359,File!$A:$J,8,FALSE)</f>
        <v>Haritha P</v>
      </c>
      <c r="I1359" s="31">
        <f>VLOOKUP(A1359,File!$A:$J,9,FALSE)</f>
        <v>46289</v>
      </c>
      <c r="J1359" s="31" t="str">
        <f>VLOOKUP(A1359,File!$A:$K,11,FALSE)</f>
        <v>Sep 2026</v>
      </c>
      <c r="K1359" s="31" t="str">
        <f>VLOOKUP(A1359,File!$A:$K,10,FALSE)</f>
        <v>In-Training</v>
      </c>
      <c r="L1359" s="31" t="s">
        <v>4</v>
      </c>
      <c r="M1359" t="str">
        <f>VLOOKUP(A1359,Response!$A:$M,7,)</f>
        <v>PG (Paying Guest)</v>
      </c>
      <c r="N1359" t="str">
        <f>VLOOKUP(A1359,Response!$A:$M,8,)</f>
        <v>sri venkata hanuman gents pg branch-1,Egattur</v>
      </c>
      <c r="O1359" s="4" t="str">
        <f>VLOOKUP(A1359,Response!$A:$M,10,)</f>
        <v>GF</v>
      </c>
      <c r="P1359" t="str">
        <f>VLOOKUP(A1359,Response!$A:$M,12,)</f>
        <v>Yes</v>
      </c>
      <c r="Q1359" t="str">
        <f>VLOOKUP(A1359,Response!$A:$M,11,)</f>
        <v>Siruseri</v>
      </c>
      <c r="R1359" t="s">
        <v>19</v>
      </c>
      <c r="S1359" s="39" t="s">
        <v>37</v>
      </c>
    </row>
    <row r="1360" spans="1:19">
      <c r="A1360" s="3">
        <v>2531274</v>
      </c>
      <c r="B1360" t="str">
        <f>VLOOKUP(A1360,File!$A:$J,2,FALSE)</f>
        <v>Evelyn Devapriya</v>
      </c>
      <c r="C1360" s="29">
        <f>VLOOKUP(A1360,File!$A:$J,5,FALSE)</f>
        <v>46252</v>
      </c>
      <c r="D1360" s="29" t="str">
        <f>VLOOKUP(A1360,File!$A:$J,3,FALSE)</f>
        <v>Female</v>
      </c>
      <c r="E1360" s="29" t="str">
        <f>VLOOKUP(A1360,File!$A:$J,4,FALSE)</f>
        <v>FTE</v>
      </c>
      <c r="F1360" s="29" t="str">
        <f>VLOOKUP(A1360,File!$A:$J,6,FALSE)</f>
        <v>Chennai</v>
      </c>
      <c r="G1360" s="29" t="str">
        <f>VLOOKUP(A1360,File!$A:$J,7,FALSE)</f>
        <v>EPS26SAP033</v>
      </c>
      <c r="H1360" s="29" t="str">
        <f>VLOOKUP(A1360,File!$A:$J,8,FALSE)</f>
        <v>Ajith Ganesan</v>
      </c>
      <c r="I1360" s="31">
        <f>VLOOKUP(A1360,File!$A:$J,9,FALSE)</f>
        <v>46330</v>
      </c>
      <c r="J1360" s="31" t="str">
        <f>VLOOKUP(A1360,File!$A:$K,11,FALSE)</f>
        <v>Nov 2026</v>
      </c>
      <c r="K1360" s="31" t="str">
        <f>VLOOKUP(A1360,File!$A:$K,10,FALSE)</f>
        <v>In-Training</v>
      </c>
      <c r="L1360" s="31" t="s">
        <v>4</v>
      </c>
      <c r="M1360" t="str">
        <f>VLOOKUP(A1360,Response!$A:$M,7,)</f>
        <v>PG (Paying Guest)</v>
      </c>
      <c r="N1360" t="str">
        <f>VLOOKUP(A1360,Response!$A:$M,8,)</f>
        <v>Sri Venkata Hanuman Sai Ladies PG, Egattur</v>
      </c>
      <c r="O1360" s="4">
        <f>VLOOKUP(A1360,Response!$A:$M,10,)</f>
        <v>2</v>
      </c>
      <c r="P1360" t="str">
        <f>VLOOKUP(A1360,Response!$A:$M,12,)</f>
        <v>No</v>
      </c>
      <c r="Q1360" t="str">
        <f>VLOOKUP(A1360,Response!$A:$M,11,)</f>
        <v>Egattur</v>
      </c>
      <c r="R1360" t="s">
        <v>19</v>
      </c>
      <c r="S1360" s="39" t="s">
        <v>37</v>
      </c>
    </row>
    <row r="1361" spans="1:19">
      <c r="A1361" s="3">
        <v>2524547</v>
      </c>
      <c r="B1361" t="str">
        <f>VLOOKUP(A1361,File!$A:$J,2,FALSE)</f>
        <v>Koduri Sai Manas Harsha Vardhan</v>
      </c>
      <c r="C1361" s="29">
        <f>VLOOKUP(A1361,File!$A:$J,5,FALSE)</f>
        <v>46224</v>
      </c>
      <c r="D1361" s="29" t="str">
        <f>VLOOKUP(A1361,File!$A:$J,3,FALSE)</f>
        <v>Male</v>
      </c>
      <c r="E1361" s="29" t="str">
        <f>VLOOKUP(A1361,File!$A:$J,4,FALSE)</f>
        <v>FTE</v>
      </c>
      <c r="F1361" s="29" t="str">
        <f>VLOOKUP(A1361,File!$A:$J,6,FALSE)</f>
        <v>Chennai</v>
      </c>
      <c r="G1361" s="29" t="str">
        <f>VLOOKUP(A1361,File!$A:$J,7,FALSE)</f>
        <v>IOA26RPA005</v>
      </c>
      <c r="H1361" s="29" t="str">
        <f>VLOOKUP(A1361,File!$A:$J,8,FALSE)</f>
        <v>Adarsh J Nair</v>
      </c>
      <c r="I1361" s="31">
        <f>VLOOKUP(A1361,File!$A:$J,9,FALSE)</f>
        <v>46309</v>
      </c>
      <c r="J1361" s="31" t="str">
        <f>VLOOKUP(A1361,File!$A:$K,11,FALSE)</f>
        <v>Oct 2026</v>
      </c>
      <c r="K1361" s="31" t="str">
        <f>VLOOKUP(A1361,File!$A:$K,10,FALSE)</f>
        <v>In-Training</v>
      </c>
      <c r="L1361" s="31" t="s">
        <v>4</v>
      </c>
      <c r="M1361" t="str">
        <f>VLOOKUP(A1361,Response!$A:$M,7,)</f>
        <v>PG (Paying Guest)</v>
      </c>
      <c r="N1361" t="str">
        <f>VLOOKUP(A1361,Response!$A:$M,8,)</f>
        <v>Sri Venkata Rajendra Delux gents pg</v>
      </c>
      <c r="O1361" s="4">
        <f>VLOOKUP(A1361,Response!$A:$M,10,)</f>
        <v>1</v>
      </c>
      <c r="P1361" t="str">
        <f>VLOOKUP(A1361,Response!$A:$M,12,)</f>
        <v>No</v>
      </c>
      <c r="Q1361" t="str">
        <f>VLOOKUP(A1361,Response!$A:$M,11,)</f>
        <v>Sholinganallur</v>
      </c>
      <c r="R1361" t="s">
        <v>17</v>
      </c>
      <c r="S1361" s="39" t="s">
        <v>37</v>
      </c>
    </row>
    <row r="1362" spans="1:19">
      <c r="A1362" s="3">
        <v>2531346</v>
      </c>
      <c r="B1362" t="str">
        <f>VLOOKUP(A1362,File!$A:$J,2,FALSE)</f>
        <v>Vangala Siva Mohan Yadav</v>
      </c>
      <c r="C1362" s="29">
        <f>VLOOKUP(A1362,File!$A:$J,5,FALSE)</f>
        <v>46252</v>
      </c>
      <c r="D1362" s="29" t="str">
        <f>VLOOKUP(A1362,File!$A:$J,3,FALSE)</f>
        <v>Male</v>
      </c>
      <c r="E1362" s="29" t="str">
        <f>VLOOKUP(A1362,File!$A:$J,4,FALSE)</f>
        <v>FTE</v>
      </c>
      <c r="F1362" s="29" t="str">
        <f>VLOOKUP(A1362,File!$A:$J,6,FALSE)</f>
        <v>Chennai</v>
      </c>
      <c r="G1362" s="29" t="str">
        <f>VLOOKUP(A1362,File!$A:$J,7,FALSE)</f>
        <v>CIS26AT007</v>
      </c>
      <c r="H1362" s="29" t="str">
        <f>VLOOKUP(A1362,File!$A:$J,8,FALSE)</f>
        <v>Uma Venkatachalam</v>
      </c>
      <c r="I1362" s="31">
        <f>VLOOKUP(A1362,File!$A:$J,9,FALSE)</f>
        <v>46365</v>
      </c>
      <c r="J1362" s="31" t="str">
        <f>VLOOKUP(A1362,File!$A:$K,11,FALSE)</f>
        <v>Dec 2026</v>
      </c>
      <c r="K1362" s="31" t="str">
        <f>VLOOKUP(A1362,File!$A:$K,10,FALSE)</f>
        <v>In-Training</v>
      </c>
      <c r="L1362" s="31" t="s">
        <v>4</v>
      </c>
      <c r="M1362" t="str">
        <f>VLOOKUP(A1362,Response!$A:$M,7,)</f>
        <v>PG (Paying Guest)</v>
      </c>
      <c r="N1362" t="str">
        <f>VLOOKUP(A1362,Response!$A:$M,8,)</f>
        <v>Sri Venkata Sai Hanuman Gents PG</v>
      </c>
      <c r="O1362" s="4">
        <f>VLOOKUP(A1362,Response!$A:$M,10,)</f>
        <v>1</v>
      </c>
      <c r="P1362" t="str">
        <f>VLOOKUP(A1362,Response!$A:$M,12,)</f>
        <v>No</v>
      </c>
      <c r="Q1362" t="str">
        <f>VLOOKUP(A1362,Response!$A:$M,11,)</f>
        <v>Egattur</v>
      </c>
      <c r="R1362" t="s">
        <v>19</v>
      </c>
      <c r="S1362" s="39" t="s">
        <v>37</v>
      </c>
    </row>
    <row r="1363" spans="1:19">
      <c r="A1363" s="3">
        <v>2521089</v>
      </c>
      <c r="B1363" t="str">
        <f>VLOOKUP(A1363,File!$A:$J,2,FALSE)</f>
        <v>Budigem Dhashvanth Sai</v>
      </c>
      <c r="C1363" s="29">
        <f>VLOOKUP(A1363,File!$A:$J,5,FALSE)</f>
        <v>46210</v>
      </c>
      <c r="D1363" s="29" t="str">
        <f>VLOOKUP(A1363,File!$A:$J,3,FALSE)</f>
        <v>Male</v>
      </c>
      <c r="E1363" s="29" t="str">
        <f>VLOOKUP(A1363,File!$A:$J,4,FALSE)</f>
        <v>FTE</v>
      </c>
      <c r="F1363" s="29" t="str">
        <f>VLOOKUP(A1363,File!$A:$J,6,FALSE)</f>
        <v>Chennai</v>
      </c>
      <c r="G1363" s="29" t="str">
        <f>VLOOKUP(A1363,File!$A:$J,7,FALSE)</f>
        <v>CS26CS007</v>
      </c>
      <c r="H1363" s="29" t="str">
        <f>VLOOKUP(A1363,File!$A:$J,8,FALSE)</f>
        <v>Lawrance M</v>
      </c>
      <c r="I1363" s="31">
        <f>VLOOKUP(A1363,File!$A:$J,9,FALSE)</f>
        <v>46272</v>
      </c>
      <c r="J1363" s="31" t="str">
        <f>VLOOKUP(A1363,File!$A:$K,11,FALSE)</f>
        <v>Sep 2026</v>
      </c>
      <c r="K1363" s="31" t="str">
        <f>VLOOKUP(A1363,File!$A:$K,10,FALSE)</f>
        <v>In-Training</v>
      </c>
      <c r="L1363" s="31" t="s">
        <v>4</v>
      </c>
      <c r="M1363" t="str">
        <f>VLOOKUP(A1363,Response!$A:$M,7,)</f>
        <v>PG (Paying Guest)</v>
      </c>
      <c r="N1363" t="str">
        <f>VLOOKUP(A1363,Response!$A:$M,8,)</f>
        <v>sri venkata sai hanuman gents pg  - Branch 2</v>
      </c>
      <c r="O1363" s="4">
        <f>VLOOKUP(A1363,Response!$A:$M,10,)</f>
        <v>4</v>
      </c>
      <c r="P1363" t="str">
        <f>VLOOKUP(A1363,Response!$A:$M,12,)</f>
        <v>No</v>
      </c>
      <c r="Q1363" t="str">
        <f>VLOOKUP(A1363,Response!$A:$M,11,)</f>
        <v>Egattur</v>
      </c>
      <c r="R1363" t="s">
        <v>19</v>
      </c>
      <c r="S1363" s="39" t="s">
        <v>37</v>
      </c>
    </row>
    <row r="1364" spans="1:19">
      <c r="A1364" s="3">
        <v>2525094</v>
      </c>
      <c r="B1364" t="str">
        <f>VLOOKUP(A1364,File!$A:$J,2,FALSE)</f>
        <v>Aditya Mohan Mane</v>
      </c>
      <c r="C1364" s="29">
        <f>VLOOKUP(A1364,File!$A:$J,5,FALSE)</f>
        <v>46226</v>
      </c>
      <c r="D1364" s="29" t="str">
        <f>VLOOKUP(A1364,File!$A:$J,3,FALSE)</f>
        <v>Male</v>
      </c>
      <c r="E1364" s="29" t="str">
        <f>VLOOKUP(A1364,File!$A:$J,4,FALSE)</f>
        <v>FTE</v>
      </c>
      <c r="F1364" s="29" t="str">
        <f>VLOOKUP(A1364,File!$A:$J,6,FALSE)</f>
        <v>Chennai</v>
      </c>
      <c r="G1364" s="29" t="str">
        <f>VLOOKUP(A1364,File!$A:$J,7,FALSE)</f>
        <v>EPS26WD005</v>
      </c>
      <c r="H1364" s="29" t="str">
        <f>VLOOKUP(A1364,File!$A:$J,8,FALSE)</f>
        <v>Vishnupriya Dakshnamurthy</v>
      </c>
      <c r="I1364" s="31">
        <f>VLOOKUP(A1364,File!$A:$J,9,FALSE)</f>
        <v>46332</v>
      </c>
      <c r="J1364" s="31" t="str">
        <f>VLOOKUP(A1364,File!$A:$K,11,FALSE)</f>
        <v>Nov 2026</v>
      </c>
      <c r="K1364" s="31" t="str">
        <f>VLOOKUP(A1364,File!$A:$K,10,FALSE)</f>
        <v>In-Training</v>
      </c>
      <c r="L1364" s="31" t="s">
        <v>4</v>
      </c>
      <c r="M1364" t="str">
        <f>VLOOKUP(A1364,Response!$A:$M,7,)</f>
        <v>PG (Paying Guest)</v>
      </c>
      <c r="N1364" t="str">
        <f>VLOOKUP(A1364,Response!$A:$M,8,)</f>
        <v>Sri Venkata Sai Hanuman Gents PG - Branch 2, Siruseri</v>
      </c>
      <c r="O1364" s="4">
        <f>VLOOKUP(A1364,Response!$A:$M,10,)</f>
        <v>4</v>
      </c>
      <c r="P1364" t="str">
        <f>VLOOKUP(A1364,Response!$A:$M,12,)</f>
        <v>No</v>
      </c>
      <c r="Q1364" t="str">
        <f>VLOOKUP(A1364,Response!$A:$M,11,)</f>
        <v>Egattur</v>
      </c>
      <c r="R1364" t="s">
        <v>19</v>
      </c>
      <c r="S1364" s="39" t="s">
        <v>37</v>
      </c>
    </row>
    <row r="1365" spans="1:19">
      <c r="A1365" s="3">
        <v>2521180</v>
      </c>
      <c r="B1365" t="str">
        <f>VLOOKUP(A1365,File!$A:$J,2,FALSE)</f>
        <v>Mukesh Patel</v>
      </c>
      <c r="C1365" s="29">
        <f>VLOOKUP(A1365,File!$A:$J,5,FALSE)</f>
        <v>46210</v>
      </c>
      <c r="D1365" s="29" t="str">
        <f>VLOOKUP(A1365,File!$A:$J,3,FALSE)</f>
        <v>Male</v>
      </c>
      <c r="E1365" s="29" t="str">
        <f>VLOOKUP(A1365,File!$A:$J,4,FALSE)</f>
        <v>FTE</v>
      </c>
      <c r="F1365" s="29" t="str">
        <f>VLOOKUP(A1365,File!$A:$J,6,FALSE)</f>
        <v>Chennai</v>
      </c>
      <c r="G1365" s="29" t="str">
        <f>VLOOKUP(A1365,File!$A:$J,7,FALSE)</f>
        <v>CS26CS008</v>
      </c>
      <c r="H1365" s="29" t="str">
        <f>VLOOKUP(A1365,File!$A:$J,8,FALSE)</f>
        <v>Kishorekumar P</v>
      </c>
      <c r="I1365" s="31">
        <f>VLOOKUP(A1365,File!$A:$J,9,FALSE)</f>
        <v>46323</v>
      </c>
      <c r="J1365" s="31" t="str">
        <f>VLOOKUP(A1365,File!$A:$K,11,FALSE)</f>
        <v>Oct 2026</v>
      </c>
      <c r="K1365" s="31" t="str">
        <f>VLOOKUP(A1365,File!$A:$K,10,FALSE)</f>
        <v>In-Training</v>
      </c>
      <c r="L1365" s="31" t="s">
        <v>4</v>
      </c>
      <c r="M1365" t="str">
        <f>VLOOKUP(A1365,Response!$A:$M,7,)</f>
        <v>PG (Paying Guest)</v>
      </c>
      <c r="N1365" t="str">
        <f>VLOOKUP(A1365,Response!$A:$M,8,)</f>
        <v>SRI VENKATA SAI HANUMAN GENTS PG (BRANCH-2)</v>
      </c>
      <c r="O1365" s="4">
        <f>VLOOKUP(A1365,Response!$A:$M,10,)</f>
        <v>1</v>
      </c>
      <c r="P1365" t="str">
        <f>VLOOKUP(A1365,Response!$A:$M,12,)</f>
        <v>No</v>
      </c>
      <c r="Q1365" t="str">
        <f>VLOOKUP(A1365,Response!$A:$M,11,)</f>
        <v>Siruseri</v>
      </c>
      <c r="R1365" t="s">
        <v>19</v>
      </c>
      <c r="S1365" s="39" t="s">
        <v>37</v>
      </c>
    </row>
    <row r="1366" spans="1:19">
      <c r="A1366" s="3">
        <v>2521759</v>
      </c>
      <c r="B1366" t="str">
        <f>VLOOKUP(A1366,File!$A:$J,2,FALSE)</f>
        <v>G Karthik</v>
      </c>
      <c r="C1366" s="29">
        <f>VLOOKUP(A1366,File!$A:$J,5,FALSE)</f>
        <v>46212</v>
      </c>
      <c r="D1366" s="29" t="str">
        <f>VLOOKUP(A1366,File!$A:$J,3,FALSE)</f>
        <v>Male</v>
      </c>
      <c r="E1366" s="29" t="str">
        <f>VLOOKUP(A1366,File!$A:$J,4,FALSE)</f>
        <v>FTE</v>
      </c>
      <c r="F1366" s="29" t="str">
        <f>VLOOKUP(A1366,File!$A:$J,6,FALSE)</f>
        <v>Chennai</v>
      </c>
      <c r="G1366" s="29" t="str">
        <f>VLOOKUP(A1366,File!$A:$J,7,FALSE)</f>
        <v>QEA26SD001</v>
      </c>
      <c r="H1366" s="29" t="str">
        <f>VLOOKUP(A1366,File!$A:$J,8,FALSE)</f>
        <v>Ajiesya D P</v>
      </c>
      <c r="I1366" s="31">
        <f>VLOOKUP(A1366,File!$A:$J,9,FALSE)</f>
        <v>46329</v>
      </c>
      <c r="J1366" s="31" t="str">
        <f>VLOOKUP(A1366,File!$A:$K,11,FALSE)</f>
        <v>Nov 2026</v>
      </c>
      <c r="K1366" s="31" t="str">
        <f>VLOOKUP(A1366,File!$A:$K,10,FALSE)</f>
        <v>In-Training</v>
      </c>
      <c r="L1366" s="31" t="s">
        <v>4</v>
      </c>
      <c r="M1366" t="str">
        <f>VLOOKUP(A1366,Response!$A:$M,7,)</f>
        <v>PG (Paying Guest)</v>
      </c>
      <c r="N1366" t="str">
        <f>VLOOKUP(A1366,Response!$A:$M,8,)</f>
        <v>SRI VENKATA SAI HANUMAN GENTS PG (Branch-2)</v>
      </c>
      <c r="O1366" s="4">
        <f>VLOOKUP(A1366,Response!$A:$M,10,)</f>
        <v>2</v>
      </c>
      <c r="P1366" t="str">
        <f>VLOOKUP(A1366,Response!$A:$M,12,)</f>
        <v>No</v>
      </c>
      <c r="Q1366" t="str">
        <f>VLOOKUP(A1366,Response!$A:$M,11,)</f>
        <v>Siruseri</v>
      </c>
      <c r="R1366" t="s">
        <v>19</v>
      </c>
      <c r="S1366" s="39" t="s">
        <v>37</v>
      </c>
    </row>
    <row r="1367" spans="1:19">
      <c r="A1367" s="3">
        <v>2520963</v>
      </c>
      <c r="B1367" t="str">
        <f>VLOOKUP(A1367,File!$A:$J,2,FALSE)</f>
        <v>Neeraj Sanjay Bhandarwar</v>
      </c>
      <c r="C1367" s="29">
        <f>VLOOKUP(A1367,File!$A:$J,5,FALSE)</f>
        <v>46210</v>
      </c>
      <c r="D1367" s="29" t="str">
        <f>VLOOKUP(A1367,File!$A:$J,3,FALSE)</f>
        <v>Male</v>
      </c>
      <c r="E1367" s="29" t="str">
        <f>VLOOKUP(A1367,File!$A:$J,4,FALSE)</f>
        <v>FTE</v>
      </c>
      <c r="F1367" s="29" t="str">
        <f>VLOOKUP(A1367,File!$A:$J,6,FALSE)</f>
        <v>Chennai</v>
      </c>
      <c r="G1367" s="29" t="str">
        <f>VLOOKUP(A1367,File!$A:$J,7,FALSE)</f>
        <v>CS26CS007</v>
      </c>
      <c r="H1367" s="29" t="str">
        <f>VLOOKUP(A1367,File!$A:$J,8,FALSE)</f>
        <v>Lawrance M</v>
      </c>
      <c r="I1367" s="31">
        <f>VLOOKUP(A1367,File!$A:$J,9,FALSE)</f>
        <v>46272</v>
      </c>
      <c r="J1367" s="31" t="str">
        <f>VLOOKUP(A1367,File!$A:$K,11,FALSE)</f>
        <v>Sep 2026</v>
      </c>
      <c r="K1367" s="31" t="str">
        <f>VLOOKUP(A1367,File!$A:$K,10,FALSE)</f>
        <v>In-Training</v>
      </c>
      <c r="L1367" s="31" t="s">
        <v>4</v>
      </c>
      <c r="M1367" t="str">
        <f>VLOOKUP(A1367,Response!$A:$M,7,)</f>
        <v>PG (Paying Guest)</v>
      </c>
      <c r="N1367" t="str">
        <f>VLOOKUP(A1367,Response!$A:$M,8,)</f>
        <v>SRI VENKATA SAI HANUMAN GENTS PG (Branch-2), 4/162A, Anna Street, Siruseri, Chennai, Tamil Nadu 603103</v>
      </c>
      <c r="O1367" s="4">
        <f>VLOOKUP(A1367,Response!$A:$M,10,)</f>
        <v>1</v>
      </c>
      <c r="P1367" t="str">
        <f>VLOOKUP(A1367,Response!$A:$M,12,)</f>
        <v>No</v>
      </c>
      <c r="Q1367" t="str">
        <f>VLOOKUP(A1367,Response!$A:$M,11,)</f>
        <v>Siruseri</v>
      </c>
      <c r="R1367" t="s">
        <v>19</v>
      </c>
      <c r="S1367" s="39" t="s">
        <v>37</v>
      </c>
    </row>
    <row r="1368" spans="1:19">
      <c r="A1368" s="3">
        <v>2520966</v>
      </c>
      <c r="B1368" t="str">
        <f>VLOOKUP(A1368,File!$A:$J,2,FALSE)</f>
        <v>Shayan Aslam Shaikh</v>
      </c>
      <c r="C1368" s="29">
        <f>VLOOKUP(A1368,File!$A:$J,5,FALSE)</f>
        <v>46210</v>
      </c>
      <c r="D1368" s="29" t="str">
        <f>VLOOKUP(A1368,File!$A:$J,3,FALSE)</f>
        <v>Male</v>
      </c>
      <c r="E1368" s="29" t="str">
        <f>VLOOKUP(A1368,File!$A:$J,4,FALSE)</f>
        <v>FTE</v>
      </c>
      <c r="F1368" s="29" t="str">
        <f>VLOOKUP(A1368,File!$A:$J,6,FALSE)</f>
        <v>Chennai</v>
      </c>
      <c r="G1368" s="29" t="str">
        <f>VLOOKUP(A1368,File!$A:$J,7,FALSE)</f>
        <v>CS26CS007</v>
      </c>
      <c r="H1368" s="29" t="str">
        <f>VLOOKUP(A1368,File!$A:$J,8,FALSE)</f>
        <v>Lawrance M</v>
      </c>
      <c r="I1368" s="31">
        <f>VLOOKUP(A1368,File!$A:$J,9,FALSE)</f>
        <v>46272</v>
      </c>
      <c r="J1368" s="31" t="str">
        <f>VLOOKUP(A1368,File!$A:$K,11,FALSE)</f>
        <v>Sep 2026</v>
      </c>
      <c r="K1368" s="31" t="str">
        <f>VLOOKUP(A1368,File!$A:$K,10,FALSE)</f>
        <v>In-Training</v>
      </c>
      <c r="L1368" s="31" t="s">
        <v>4</v>
      </c>
      <c r="M1368" t="str">
        <f>VLOOKUP(A1368,Response!$A:$M,7,)</f>
        <v>PG (Paying Guest)</v>
      </c>
      <c r="N1368" t="str">
        <f>VLOOKUP(A1368,Response!$A:$M,8,)</f>
        <v>SRI VENKATA SAI HANUMAN GENTS PG (Branch-2), 4/162A, Anna Street, Siruseri, Chennai, Tamil Nadu 603103</v>
      </c>
      <c r="O1368" s="4">
        <f>VLOOKUP(A1368,Response!$A:$M,10,)</f>
        <v>1</v>
      </c>
      <c r="P1368" t="str">
        <f>VLOOKUP(A1368,Response!$A:$M,12,)</f>
        <v>No</v>
      </c>
      <c r="Q1368" t="str">
        <f>VLOOKUP(A1368,Response!$A:$M,11,)</f>
        <v>Siruseri</v>
      </c>
      <c r="R1368" t="s">
        <v>19</v>
      </c>
      <c r="S1368" s="39" t="s">
        <v>37</v>
      </c>
    </row>
    <row r="1369" spans="1:19">
      <c r="A1369" s="3">
        <v>2531992</v>
      </c>
      <c r="B1369" t="str">
        <f>VLOOKUP(A1369,File!$A:$J,2,FALSE)</f>
        <v>Subhrajit Chakrabarti</v>
      </c>
      <c r="C1369" s="29">
        <f>VLOOKUP(A1369,File!$A:$J,5,FALSE)</f>
        <v>46254</v>
      </c>
      <c r="D1369" s="29" t="str">
        <f>VLOOKUP(A1369,File!$A:$J,3,FALSE)</f>
        <v>Male</v>
      </c>
      <c r="E1369" s="29" t="str">
        <f>VLOOKUP(A1369,File!$A:$J,4,FALSE)</f>
        <v>FTE</v>
      </c>
      <c r="F1369" s="29" t="str">
        <f>VLOOKUP(A1369,File!$A:$J,6,FALSE)</f>
        <v>Chennai</v>
      </c>
      <c r="G1369" s="29" t="str">
        <f>VLOOKUP(A1369,File!$A:$J,7,FALSE)</f>
        <v>CS26CS011</v>
      </c>
      <c r="H1369" s="29" t="str">
        <f>VLOOKUP(A1369,File!$A:$J,8,FALSE)</f>
        <v>Kishorekumar P</v>
      </c>
      <c r="I1369" s="31">
        <f>VLOOKUP(A1369,File!$A:$J,9,FALSE)</f>
        <v>46343</v>
      </c>
      <c r="J1369" s="31" t="str">
        <f>VLOOKUP(A1369,File!$A:$K,11,FALSE)</f>
        <v>Nov 2026</v>
      </c>
      <c r="K1369" s="31" t="str">
        <f>VLOOKUP(A1369,File!$A:$K,10,FALSE)</f>
        <v>In-Training</v>
      </c>
      <c r="L1369" s="31" t="s">
        <v>4</v>
      </c>
      <c r="M1369" t="str">
        <f>VLOOKUP(A1369,Response!$A:$M,7,)</f>
        <v>PG (Paying Guest)</v>
      </c>
      <c r="N1369" t="str">
        <f>VLOOKUP(A1369,Response!$A:$M,8,)</f>
        <v>SRI VENKATA SAI HANUMAN GENTS PG (BRANCH-2), EGATTUR</v>
      </c>
      <c r="O1369" s="4">
        <f>VLOOKUP(A1369,Response!$A:$M,10,)</f>
        <v>1</v>
      </c>
      <c r="P1369" t="str">
        <f>VLOOKUP(A1369,Response!$A:$M,12,)</f>
        <v>No</v>
      </c>
      <c r="Q1369" t="str">
        <f>VLOOKUP(A1369,Response!$A:$M,11,)</f>
        <v>Siruseri</v>
      </c>
      <c r="R1369" t="s">
        <v>19</v>
      </c>
      <c r="S1369" s="39" t="s">
        <v>37</v>
      </c>
    </row>
    <row r="1370" spans="1:19">
      <c r="A1370" s="3">
        <v>2531808</v>
      </c>
      <c r="B1370" t="str">
        <f>VLOOKUP(A1370,File!$A:$J,2,FALSE)</f>
        <v>Ajay Sharma Selvam</v>
      </c>
      <c r="C1370" s="29">
        <f>VLOOKUP(A1370,File!$A:$J,5,FALSE)</f>
        <v>46254</v>
      </c>
      <c r="D1370" s="29" t="str">
        <f>VLOOKUP(A1370,File!$A:$J,3,FALSE)</f>
        <v>Male</v>
      </c>
      <c r="E1370" s="29" t="str">
        <f>VLOOKUP(A1370,File!$A:$J,4,FALSE)</f>
        <v>Intern</v>
      </c>
      <c r="F1370" s="29" t="str">
        <f>VLOOKUP(A1370,File!$A:$J,6,FALSE)</f>
        <v>Chennai</v>
      </c>
      <c r="G1370" s="29" t="str">
        <f>VLOOKUP(A1370,File!$A:$J,7,FALSE)</f>
        <v>INTFE26FE001</v>
      </c>
      <c r="H1370" s="29" t="str">
        <f>VLOOKUP(A1370,File!$A:$J,8,FALSE)</f>
        <v>Grace Esther S</v>
      </c>
      <c r="I1370" s="31">
        <f>VLOOKUP(A1370,File!$A:$J,9,FALSE)</f>
        <v>46310</v>
      </c>
      <c r="J1370" s="31" t="str">
        <f>VLOOKUP(A1370,File!$A:$K,11,FALSE)</f>
        <v>Oct 2026</v>
      </c>
      <c r="K1370" s="31" t="str">
        <f>VLOOKUP(A1370,File!$A:$K,10,FALSE)</f>
        <v>In-Training</v>
      </c>
      <c r="L1370" s="31" t="s">
        <v>4</v>
      </c>
      <c r="M1370" t="str">
        <f>VLOOKUP(A1370,Response!$A:$M,7,)</f>
        <v>PG (Paying Guest)</v>
      </c>
      <c r="N1370" t="str">
        <f>VLOOKUP(A1370,Response!$A:$M,8,)</f>
        <v>Sri Venkata Sai hanuman gents PG branch 2</v>
      </c>
      <c r="O1370" s="4">
        <f>VLOOKUP(A1370,Response!$A:$M,10,)</f>
        <v>3</v>
      </c>
      <c r="P1370" t="str">
        <f>VLOOKUP(A1370,Response!$A:$M,12,)</f>
        <v>Yes</v>
      </c>
      <c r="Q1370" t="str">
        <f>VLOOKUP(A1370,Response!$A:$M,11,)</f>
        <v>Egattur</v>
      </c>
      <c r="R1370" t="s">
        <v>19</v>
      </c>
      <c r="S1370" s="39" t="s">
        <v>37</v>
      </c>
    </row>
    <row r="1371" spans="1:19">
      <c r="A1371" s="3">
        <v>2522905</v>
      </c>
      <c r="B1371" t="str">
        <f>VLOOKUP(A1371,File!$A:$J,2,FALSE)</f>
        <v>CHAGANTI  Chaithanya</v>
      </c>
      <c r="C1371" s="29">
        <f>VLOOKUP(A1371,File!$A:$J,5,FALSE)</f>
        <v>46217</v>
      </c>
      <c r="D1371" s="29" t="str">
        <f>VLOOKUP(A1371,File!$A:$J,3,FALSE)</f>
        <v>Male</v>
      </c>
      <c r="E1371" s="29" t="str">
        <f>VLOOKUP(A1371,File!$A:$J,4,FALSE)</f>
        <v>FTE</v>
      </c>
      <c r="F1371" s="29" t="str">
        <f>VLOOKUP(A1371,File!$A:$J,6,FALSE)</f>
        <v>Chennai</v>
      </c>
      <c r="G1371" s="29" t="str">
        <f>VLOOKUP(A1371,File!$A:$J,7,FALSE)</f>
        <v>QEA26ST001</v>
      </c>
      <c r="H1371" s="29" t="str">
        <f>VLOOKUP(A1371,File!$A:$J,8,FALSE)</f>
        <v>Angel Maria Faustina Gomez</v>
      </c>
      <c r="I1371" s="31">
        <f>VLOOKUP(A1371,File!$A:$J,9,FALSE)</f>
        <v>46310</v>
      </c>
      <c r="J1371" s="31" t="str">
        <f>VLOOKUP(A1371,File!$A:$K,11,FALSE)</f>
        <v>Oct 2026</v>
      </c>
      <c r="K1371" s="31" t="str">
        <f>VLOOKUP(A1371,File!$A:$K,10,FALSE)</f>
        <v>In-Training</v>
      </c>
      <c r="L1371" s="31" t="s">
        <v>4</v>
      </c>
      <c r="M1371" t="str">
        <f>VLOOKUP(A1371,Response!$A:$M,7,)</f>
        <v>PG (Paying Guest)</v>
      </c>
      <c r="N1371" t="str">
        <f>VLOOKUP(A1371,Response!$A:$M,8,)</f>
        <v>sri venkata sai hanuman gents pg branch -2 ,4/162A, Anna Street,Siruseri</v>
      </c>
      <c r="O1371" s="4">
        <f>VLOOKUP(A1371,Response!$A:$M,10,)</f>
        <v>4</v>
      </c>
      <c r="P1371" t="str">
        <f>VLOOKUP(A1371,Response!$A:$M,12,)</f>
        <v>Yes</v>
      </c>
      <c r="Q1371" t="str">
        <f>VLOOKUP(A1371,Response!$A:$M,11,)</f>
        <v>Siruseri</v>
      </c>
      <c r="R1371" t="s">
        <v>19</v>
      </c>
      <c r="S1371" s="39" t="s">
        <v>37</v>
      </c>
    </row>
    <row r="1372" spans="1:19">
      <c r="A1372" s="3">
        <v>2531816</v>
      </c>
      <c r="B1372" t="str">
        <f>VLOOKUP(A1372,File!$A:$J,2,FALSE)</f>
        <v>Parigi Rajshekar</v>
      </c>
      <c r="C1372" s="29">
        <f>VLOOKUP(A1372,File!$A:$J,5,FALSE)</f>
        <v>46254</v>
      </c>
      <c r="D1372" s="29" t="str">
        <f>VLOOKUP(A1372,File!$A:$J,3,FALSE)</f>
        <v>Male</v>
      </c>
      <c r="E1372" s="29" t="str">
        <f>VLOOKUP(A1372,File!$A:$J,4,FALSE)</f>
        <v>FTE</v>
      </c>
      <c r="F1372" s="29" t="str">
        <f>VLOOKUP(A1372,File!$A:$J,6,FALSE)</f>
        <v>Chennai</v>
      </c>
      <c r="G1372" s="29" t="str">
        <f>VLOOKUP(A1372,File!$A:$J,7,FALSE)</f>
        <v>CS26CS012</v>
      </c>
      <c r="H1372" s="29" t="str">
        <f>VLOOKUP(A1372,File!$A:$J,8,FALSE)</f>
        <v>Laksiya Vijayendran</v>
      </c>
      <c r="I1372" s="31">
        <f>VLOOKUP(A1372,File!$A:$J,9,FALSE)</f>
        <v>46343</v>
      </c>
      <c r="J1372" s="31" t="str">
        <f>VLOOKUP(A1372,File!$A:$K,11,FALSE)</f>
        <v>Nov 2026</v>
      </c>
      <c r="K1372" s="31" t="str">
        <f>VLOOKUP(A1372,File!$A:$K,10,FALSE)</f>
        <v>In-Training</v>
      </c>
      <c r="L1372" s="31" t="s">
        <v>4</v>
      </c>
      <c r="M1372" t="str">
        <f>VLOOKUP(A1372,Response!$A:$M,7,)</f>
        <v>PG (Paying Guest)</v>
      </c>
      <c r="N1372" t="str">
        <f>VLOOKUP(A1372,Response!$A:$M,8,)</f>
        <v>Sri venkata sai hanuman gents pg -Branch-2,Egattur</v>
      </c>
      <c r="O1372" s="4">
        <f>VLOOKUP(A1372,Response!$A:$M,10,)</f>
        <v>4</v>
      </c>
      <c r="P1372" t="str">
        <f>VLOOKUP(A1372,Response!$A:$M,12,)</f>
        <v>No</v>
      </c>
      <c r="Q1372" t="str">
        <f>VLOOKUP(A1372,Response!$A:$M,11,)</f>
        <v>Egattur</v>
      </c>
      <c r="R1372" t="s">
        <v>19</v>
      </c>
      <c r="S1372" s="39" t="s">
        <v>37</v>
      </c>
    </row>
    <row r="1373" spans="1:19">
      <c r="A1373" s="3">
        <v>2525090</v>
      </c>
      <c r="B1373" t="str">
        <f>VLOOKUP(A1373,File!$A:$J,2,FALSE)</f>
        <v>Aditya Sachin Thete</v>
      </c>
      <c r="C1373" s="29">
        <f>VLOOKUP(A1373,File!$A:$J,5,FALSE)</f>
        <v>46226</v>
      </c>
      <c r="D1373" s="29" t="str">
        <f>VLOOKUP(A1373,File!$A:$J,3,FALSE)</f>
        <v>Male</v>
      </c>
      <c r="E1373" s="29" t="str">
        <f>VLOOKUP(A1373,File!$A:$J,4,FALSE)</f>
        <v>FTE</v>
      </c>
      <c r="F1373" s="29" t="str">
        <f>VLOOKUP(A1373,File!$A:$J,6,FALSE)</f>
        <v>Chennai</v>
      </c>
      <c r="G1373" s="29" t="str">
        <f>VLOOKUP(A1373,File!$A:$J,7,FALSE)</f>
        <v>EPS26WD005</v>
      </c>
      <c r="H1373" s="29" t="str">
        <f>VLOOKUP(A1373,File!$A:$J,8,FALSE)</f>
        <v>Vishnupriya Dakshnamurthy</v>
      </c>
      <c r="I1373" s="31">
        <f>VLOOKUP(A1373,File!$A:$J,9,FALSE)</f>
        <v>46332</v>
      </c>
      <c r="J1373" s="31" t="str">
        <f>VLOOKUP(A1373,File!$A:$K,11,FALSE)</f>
        <v>Nov 2026</v>
      </c>
      <c r="K1373" s="31" t="str">
        <f>VLOOKUP(A1373,File!$A:$K,10,FALSE)</f>
        <v>In-Training</v>
      </c>
      <c r="L1373" s="31" t="s">
        <v>4</v>
      </c>
      <c r="M1373" t="str">
        <f>VLOOKUP(A1373,Response!$A:$M,7,)</f>
        <v>PG (Paying Guest)</v>
      </c>
      <c r="N1373" t="str">
        <f>VLOOKUP(A1373,Response!$A:$M,8,)</f>
        <v>Sri venkata sai hanuman gents pg(branch-2) siruseri chennai</v>
      </c>
      <c r="O1373" s="4">
        <f>VLOOKUP(A1373,Response!$A:$M,10,)</f>
        <v>5</v>
      </c>
      <c r="P1373" t="str">
        <f>VLOOKUP(A1373,Response!$A:$M,12,)</f>
        <v>Yes</v>
      </c>
      <c r="Q1373" t="str">
        <f>VLOOKUP(A1373,Response!$A:$M,11,)</f>
        <v>Egattur</v>
      </c>
      <c r="R1373" t="s">
        <v>19</v>
      </c>
      <c r="S1373" s="39" t="s">
        <v>37</v>
      </c>
    </row>
    <row r="1374" spans="1:19">
      <c r="A1374" s="3">
        <v>2522879</v>
      </c>
      <c r="B1374" t="str">
        <f>VLOOKUP(A1374,File!$A:$J,2,FALSE)</f>
        <v>Krishna Vamsi Veera Venkata Gavara</v>
      </c>
      <c r="C1374" s="29">
        <f>VLOOKUP(A1374,File!$A:$J,5,FALSE)</f>
        <v>46217</v>
      </c>
      <c r="D1374" s="29" t="str">
        <f>VLOOKUP(A1374,File!$A:$J,3,FALSE)</f>
        <v>Male</v>
      </c>
      <c r="E1374" s="29" t="str">
        <f>VLOOKUP(A1374,File!$A:$J,4,FALSE)</f>
        <v>FTE</v>
      </c>
      <c r="F1374" s="29" t="str">
        <f>VLOOKUP(A1374,File!$A:$J,6,FALSE)</f>
        <v>Chennai</v>
      </c>
      <c r="G1374" s="29" t="str">
        <f>VLOOKUP(A1374,File!$A:$J,7,FALSE)</f>
        <v>QEA26ST001</v>
      </c>
      <c r="H1374" s="29" t="str">
        <f>VLOOKUP(A1374,File!$A:$J,8,FALSE)</f>
        <v>Angel Maria Faustina Gomez</v>
      </c>
      <c r="I1374" s="31">
        <f>VLOOKUP(A1374,File!$A:$J,9,FALSE)</f>
        <v>46310</v>
      </c>
      <c r="J1374" s="31" t="str">
        <f>VLOOKUP(A1374,File!$A:$K,11,FALSE)</f>
        <v>Oct 2026</v>
      </c>
      <c r="K1374" s="31" t="str">
        <f>VLOOKUP(A1374,File!$A:$K,10,FALSE)</f>
        <v>In-Training</v>
      </c>
      <c r="L1374" s="31" t="s">
        <v>4</v>
      </c>
      <c r="M1374" t="str">
        <f>VLOOKUP(A1374,Response!$A:$M,7,)</f>
        <v>PG (Paying Guest)</v>
      </c>
      <c r="N1374" t="str">
        <f>VLOOKUP(A1374,Response!$A:$M,8,)</f>
        <v>Sri Venkata Sai Hanuman Gents PG, Anna Street, Egattur</v>
      </c>
      <c r="O1374" s="4" t="str">
        <f>VLOOKUP(A1374,Response!$A:$M,10,)</f>
        <v>GF</v>
      </c>
      <c r="P1374" t="str">
        <f>VLOOKUP(A1374,Response!$A:$M,12,)</f>
        <v>No</v>
      </c>
      <c r="Q1374" t="str">
        <f>VLOOKUP(A1374,Response!$A:$M,11,)</f>
        <v>Egattur</v>
      </c>
      <c r="R1374" t="s">
        <v>19</v>
      </c>
      <c r="S1374" s="39" t="s">
        <v>37</v>
      </c>
    </row>
    <row r="1375" spans="1:19">
      <c r="A1375" s="3">
        <v>2522867</v>
      </c>
      <c r="B1375" t="str">
        <f>VLOOKUP(A1375,File!$A:$J,2,FALSE)</f>
        <v>HARSHITH  Raparthi</v>
      </c>
      <c r="C1375" s="29">
        <f>VLOOKUP(A1375,File!$A:$J,5,FALSE)</f>
        <v>46217</v>
      </c>
      <c r="D1375" s="29" t="str">
        <f>VLOOKUP(A1375,File!$A:$J,3,FALSE)</f>
        <v>Male</v>
      </c>
      <c r="E1375" s="29" t="str">
        <f>VLOOKUP(A1375,File!$A:$J,4,FALSE)</f>
        <v>FTE</v>
      </c>
      <c r="F1375" s="29" t="str">
        <f>VLOOKUP(A1375,File!$A:$J,6,FALSE)</f>
        <v>Chennai</v>
      </c>
      <c r="G1375" s="29" t="str">
        <f>VLOOKUP(A1375,File!$A:$J,7,FALSE)</f>
        <v>QEA26ST001</v>
      </c>
      <c r="H1375" s="29" t="str">
        <f>VLOOKUP(A1375,File!$A:$J,8,FALSE)</f>
        <v>Angel Maria Faustina Gomez</v>
      </c>
      <c r="I1375" s="31">
        <f>VLOOKUP(A1375,File!$A:$J,9,FALSE)</f>
        <v>46310</v>
      </c>
      <c r="J1375" s="31" t="str">
        <f>VLOOKUP(A1375,File!$A:$K,11,FALSE)</f>
        <v>Oct 2026</v>
      </c>
      <c r="K1375" s="31" t="str">
        <f>VLOOKUP(A1375,File!$A:$K,10,FALSE)</f>
        <v>In-Training</v>
      </c>
      <c r="L1375" s="31" t="s">
        <v>4</v>
      </c>
      <c r="M1375" t="str">
        <f>VLOOKUP(A1375,Response!$A:$M,7,)</f>
        <v>Hostel</v>
      </c>
      <c r="N1375" t="str">
        <f>VLOOKUP(A1375,Response!$A:$M,8,)</f>
        <v>Sri venkata sai hanuman mens PG - Branch 2, Egattur</v>
      </c>
      <c r="O1375" s="4">
        <f>VLOOKUP(A1375,Response!$A:$M,10,)</f>
        <v>4</v>
      </c>
      <c r="P1375" t="str">
        <f>VLOOKUP(A1375,Response!$A:$M,12,)</f>
        <v>No</v>
      </c>
      <c r="Q1375" t="str">
        <f>VLOOKUP(A1375,Response!$A:$M,11,)</f>
        <v>Egattur</v>
      </c>
      <c r="R1375" t="s">
        <v>19</v>
      </c>
      <c r="S1375" s="39" t="s">
        <v>37</v>
      </c>
    </row>
    <row r="1376" spans="1:19">
      <c r="A1376" s="3">
        <v>2530197</v>
      </c>
      <c r="B1376" t="str">
        <f>VLOOKUP(A1376,File!$A:$J,2,FALSE)</f>
        <v>Arin Jiji George</v>
      </c>
      <c r="C1376" s="29">
        <f>VLOOKUP(A1376,File!$A:$J,5,FALSE)</f>
        <v>46247</v>
      </c>
      <c r="D1376" s="29" t="str">
        <f>VLOOKUP(A1376,File!$A:$J,3,FALSE)</f>
        <v>Male</v>
      </c>
      <c r="E1376" s="29" t="str">
        <f>VLOOKUP(A1376,File!$A:$J,4,FALSE)</f>
        <v>FTE</v>
      </c>
      <c r="F1376" s="29" t="str">
        <f>VLOOKUP(A1376,File!$A:$J,6,FALSE)</f>
        <v>Chennai</v>
      </c>
      <c r="G1376" s="29" t="str">
        <f>VLOOKUP(A1376,File!$A:$J,7,FALSE)</f>
        <v>EPS26OSP010</v>
      </c>
      <c r="H1376" s="29" t="str">
        <f>VLOOKUP(A1376,File!$A:$J,8,FALSE)</f>
        <v>Vishnupriya Dakshnamurthy</v>
      </c>
      <c r="I1376" s="31">
        <f>VLOOKUP(A1376,File!$A:$J,9,FALSE)</f>
        <v>46357</v>
      </c>
      <c r="J1376" s="31" t="str">
        <f>VLOOKUP(A1376,File!$A:$K,11,FALSE)</f>
        <v>Dec 2026</v>
      </c>
      <c r="K1376" s="31" t="str">
        <f>VLOOKUP(A1376,File!$A:$K,10,FALSE)</f>
        <v>In-Training</v>
      </c>
      <c r="L1376" s="31" t="s">
        <v>4</v>
      </c>
      <c r="M1376" t="str">
        <f>VLOOKUP(A1376,Response!$A:$M,7,)</f>
        <v>PG (Paying Guest)</v>
      </c>
      <c r="N1376" t="str">
        <f>VLOOKUP(A1376,Response!$A:$M,8,)</f>
        <v>Sri venkata Sai Hanuman mens pg, egattur, siruseri</v>
      </c>
      <c r="O1376" s="4">
        <f>VLOOKUP(A1376,Response!$A:$M,10,)</f>
        <v>2</v>
      </c>
      <c r="P1376" t="str">
        <f>VLOOKUP(A1376,Response!$A:$M,12,)</f>
        <v>No</v>
      </c>
      <c r="Q1376" t="str">
        <f>VLOOKUP(A1376,Response!$A:$M,11,)</f>
        <v>Siruseri</v>
      </c>
      <c r="R1376" t="s">
        <v>19</v>
      </c>
      <c r="S1376" s="39" t="s">
        <v>37</v>
      </c>
    </row>
    <row r="1377" spans="1:19">
      <c r="A1377" s="3">
        <v>2531837</v>
      </c>
      <c r="B1377" t="str">
        <f>VLOOKUP(A1377,File!$A:$J,2,FALSE)</f>
        <v>Aditya Gokarn</v>
      </c>
      <c r="C1377" s="29">
        <f>VLOOKUP(A1377,File!$A:$J,5,FALSE)</f>
        <v>46254</v>
      </c>
      <c r="D1377" s="29" t="str">
        <f>VLOOKUP(A1377,File!$A:$J,3,FALSE)</f>
        <v>Male</v>
      </c>
      <c r="E1377" s="29" t="str">
        <f>VLOOKUP(A1377,File!$A:$J,4,FALSE)</f>
        <v>FTE</v>
      </c>
      <c r="F1377" s="29" t="str">
        <f>VLOOKUP(A1377,File!$A:$J,6,FALSE)</f>
        <v>Chennai</v>
      </c>
      <c r="G1377" s="29" t="str">
        <f>VLOOKUP(A1377,File!$A:$J,7,FALSE)</f>
        <v>CS26CS012</v>
      </c>
      <c r="H1377" s="29" t="str">
        <f>VLOOKUP(A1377,File!$A:$J,8,FALSE)</f>
        <v>Laksiya Vijayendran</v>
      </c>
      <c r="I1377" s="31">
        <f>VLOOKUP(A1377,File!$A:$J,9,FALSE)</f>
        <v>46343</v>
      </c>
      <c r="J1377" s="31" t="str">
        <f>VLOOKUP(A1377,File!$A:$K,11,FALSE)</f>
        <v>Nov 2026</v>
      </c>
      <c r="K1377" s="31" t="str">
        <f>VLOOKUP(A1377,File!$A:$K,10,FALSE)</f>
        <v>In-Training</v>
      </c>
      <c r="L1377" s="31" t="s">
        <v>4</v>
      </c>
      <c r="M1377" t="str">
        <f>VLOOKUP(A1377,Response!$A:$M,7,)</f>
        <v>PG (Paying Guest)</v>
      </c>
      <c r="N1377" t="str">
        <f>VLOOKUP(A1377,Response!$A:$M,8,)</f>
        <v>SRI VENKATA SAI HANUMAN GENTS PG (Branch - 2)</v>
      </c>
      <c r="O1377" s="4">
        <f>VLOOKUP(A1377,Response!$A:$M,10,)</f>
        <v>2</v>
      </c>
      <c r="P1377" t="str">
        <f>VLOOKUP(A1377,Response!$A:$M,12,)</f>
        <v>No</v>
      </c>
      <c r="Q1377" t="str">
        <f>VLOOKUP(A1377,Response!$A:$M,11,)</f>
        <v>Egattur</v>
      </c>
      <c r="R1377" t="s">
        <v>19</v>
      </c>
      <c r="S1377" s="39" t="s">
        <v>37</v>
      </c>
    </row>
    <row r="1378" spans="1:19">
      <c r="A1378" s="3">
        <v>2533050</v>
      </c>
      <c r="B1378" t="str">
        <f>VLOOKUP(A1378,File!$A:$J,2,FALSE)</f>
        <v>Naresh Kumaran S</v>
      </c>
      <c r="C1378" s="29">
        <f>VLOOKUP(A1378,File!$A:$J,5,FALSE)</f>
        <v>46259</v>
      </c>
      <c r="D1378" s="29" t="str">
        <f>VLOOKUP(A1378,File!$A:$J,3,FALSE)</f>
        <v>Male</v>
      </c>
      <c r="E1378" s="29" t="str">
        <f>VLOOKUP(A1378,File!$A:$J,4,FALSE)</f>
        <v>FTE</v>
      </c>
      <c r="F1378" s="29" t="str">
        <f>VLOOKUP(A1378,File!$A:$J,6,FALSE)</f>
        <v>Chennai</v>
      </c>
      <c r="G1378" s="29" t="str">
        <f>VLOOKUP(A1378,File!$A:$J,7,FALSE)</f>
        <v>ADM27DFSA001</v>
      </c>
      <c r="H1378" s="29" t="str">
        <f>VLOOKUP(A1378,File!$A:$J,8,FALSE)</f>
        <v>Thomas Naveen. J</v>
      </c>
      <c r="I1378" s="31">
        <f>VLOOKUP(A1378,File!$A:$J,9,FALSE)</f>
        <v>46386</v>
      </c>
      <c r="J1378" s="31" t="str">
        <f>VLOOKUP(A1378,File!$A:$K,11,FALSE)</f>
        <v>Dec 2026</v>
      </c>
      <c r="K1378" s="31" t="str">
        <f>VLOOKUP(A1378,File!$A:$K,10,FALSE)</f>
        <v>In-Training</v>
      </c>
      <c r="L1378" s="31" t="s">
        <v>4</v>
      </c>
      <c r="M1378" t="str">
        <f>VLOOKUP(A1378,Response!$A:$M,7,)</f>
        <v>PG (Paying Guest)</v>
      </c>
      <c r="N1378" t="str">
        <f>VLOOKUP(A1378,Response!$A:$M,8,)</f>
        <v>Sri venkata sai hunuman gents PG - Branck 2, siruseri</v>
      </c>
      <c r="O1378" s="4">
        <f>VLOOKUP(A1378,Response!$A:$M,10,)</f>
        <v>5</v>
      </c>
      <c r="P1378" t="str">
        <f>VLOOKUP(A1378,Response!$A:$M,12,)</f>
        <v>Yes</v>
      </c>
      <c r="Q1378" t="str">
        <f>VLOOKUP(A1378,Response!$A:$M,11,)</f>
        <v>Siruseri</v>
      </c>
      <c r="R1378" t="s">
        <v>19</v>
      </c>
      <c r="S1378" s="39" t="s">
        <v>37</v>
      </c>
    </row>
    <row r="1379" spans="1:19">
      <c r="A1379" s="3">
        <v>2530192</v>
      </c>
      <c r="B1379" t="str">
        <f>VLOOKUP(A1379,File!$A:$J,2,FALSE)</f>
        <v>Ujjwal Mishra</v>
      </c>
      <c r="C1379" s="29">
        <f>VLOOKUP(A1379,File!$A:$J,5,FALSE)</f>
        <v>46247</v>
      </c>
      <c r="D1379" s="29" t="str">
        <f>VLOOKUP(A1379,File!$A:$J,3,FALSE)</f>
        <v>Male</v>
      </c>
      <c r="E1379" s="29" t="str">
        <f>VLOOKUP(A1379,File!$A:$J,4,FALSE)</f>
        <v>FTE</v>
      </c>
      <c r="F1379" s="29" t="str">
        <f>VLOOKUP(A1379,File!$A:$J,6,FALSE)</f>
        <v>Chennai</v>
      </c>
      <c r="G1379" s="29" t="str">
        <f>VLOOKUP(A1379,File!$A:$J,7,FALSE)</f>
        <v>EPS26OSP010</v>
      </c>
      <c r="H1379" s="29" t="str">
        <f>VLOOKUP(A1379,File!$A:$J,8,FALSE)</f>
        <v>Vishnupriya Dakshnamurthy</v>
      </c>
      <c r="I1379" s="31">
        <f>VLOOKUP(A1379,File!$A:$J,9,FALSE)</f>
        <v>46357</v>
      </c>
      <c r="J1379" s="31" t="str">
        <f>VLOOKUP(A1379,File!$A:$K,11,FALSE)</f>
        <v>Dec 2026</v>
      </c>
      <c r="K1379" s="31" t="str">
        <f>VLOOKUP(A1379,File!$A:$K,10,FALSE)</f>
        <v>In-Training</v>
      </c>
      <c r="L1379" s="31" t="s">
        <v>4</v>
      </c>
      <c r="M1379" t="str">
        <f>VLOOKUP(A1379,Response!$A:$M,7,)</f>
        <v>PG (Paying Guest)</v>
      </c>
      <c r="N1379" t="str">
        <f>VLOOKUP(A1379,Response!$A:$M,8,)</f>
        <v>sri venkatasa sai hanuman mens pg</v>
      </c>
      <c r="O1379" s="4">
        <f>VLOOKUP(A1379,Response!$A:$M,10,)</f>
        <v>2</v>
      </c>
      <c r="P1379" t="str">
        <f>VLOOKUP(A1379,Response!$A:$M,12,)</f>
        <v>No</v>
      </c>
      <c r="Q1379" t="str">
        <f>VLOOKUP(A1379,Response!$A:$M,11,)</f>
        <v>Egattur</v>
      </c>
      <c r="R1379" t="s">
        <v>19</v>
      </c>
      <c r="S1379" s="39" t="s">
        <v>37</v>
      </c>
    </row>
    <row r="1380" spans="1:19">
      <c r="A1380" s="3">
        <v>2529748</v>
      </c>
      <c r="B1380" t="str">
        <f>VLOOKUP(A1380,File!$A:$J,2,FALSE)</f>
        <v>Hemanth Naga Sai Ganesuni</v>
      </c>
      <c r="C1380" s="29">
        <f>VLOOKUP(A1380,File!$A:$J,5,FALSE)</f>
        <v>46245</v>
      </c>
      <c r="D1380" s="29" t="str">
        <f>VLOOKUP(A1380,File!$A:$J,3,FALSE)</f>
        <v>Male</v>
      </c>
      <c r="E1380" s="29" t="str">
        <f>VLOOKUP(A1380,File!$A:$J,4,FALSE)</f>
        <v>FTE</v>
      </c>
      <c r="F1380" s="29" t="str">
        <f>VLOOKUP(A1380,File!$A:$J,6,FALSE)</f>
        <v>Chennai</v>
      </c>
      <c r="G1380" s="29" t="str">
        <f>VLOOKUP(A1380,File!$A:$J,7,FALSE)</f>
        <v>CIS26AZ001</v>
      </c>
      <c r="H1380" s="29" t="str">
        <f>VLOOKUP(A1380,File!$A:$J,8,FALSE)</f>
        <v>Ashiya Begam S</v>
      </c>
      <c r="I1380" s="31">
        <f>VLOOKUP(A1380,File!$A:$J,9,FALSE)</f>
        <v>46335</v>
      </c>
      <c r="J1380" s="31" t="str">
        <f>VLOOKUP(A1380,File!$A:$K,11,FALSE)</f>
        <v>Nov 2026</v>
      </c>
      <c r="K1380" s="31" t="str">
        <f>VLOOKUP(A1380,File!$A:$K,10,FALSE)</f>
        <v>In-Training</v>
      </c>
      <c r="L1380" s="31" t="s">
        <v>4</v>
      </c>
      <c r="M1380" t="str">
        <f>VLOOKUP(A1380,Response!$A:$M,7,)</f>
        <v>Hostel</v>
      </c>
      <c r="N1380" t="str">
        <f>VLOOKUP(A1380,Response!$A:$M,8,)</f>
        <v>sri venkateshara delux mens PG, Egattur</v>
      </c>
      <c r="O1380" s="4">
        <f>VLOOKUP(A1380,Response!$A:$M,10,)</f>
        <v>4</v>
      </c>
      <c r="P1380" t="str">
        <f>VLOOKUP(A1380,Response!$A:$M,12,)</f>
        <v>Yes</v>
      </c>
      <c r="Q1380" t="str">
        <f>VLOOKUP(A1380,Response!$A:$M,11,)</f>
        <v>Egattur</v>
      </c>
      <c r="R1380" t="s">
        <v>19</v>
      </c>
      <c r="S1380" s="39" t="s">
        <v>37</v>
      </c>
    </row>
    <row r="1381" spans="1:19">
      <c r="A1381" s="3">
        <v>2524562</v>
      </c>
      <c r="B1381" t="str">
        <f>VLOOKUP(A1381,File!$A:$J,2,FALSE)</f>
        <v>Rahul Dilip Patil</v>
      </c>
      <c r="C1381" s="29">
        <f>VLOOKUP(A1381,File!$A:$J,5,FALSE)</f>
        <v>46224</v>
      </c>
      <c r="D1381" s="29" t="str">
        <f>VLOOKUP(A1381,File!$A:$J,3,FALSE)</f>
        <v>Male</v>
      </c>
      <c r="E1381" s="29" t="str">
        <f>VLOOKUP(A1381,File!$A:$J,4,FALSE)</f>
        <v>FTE</v>
      </c>
      <c r="F1381" s="29" t="str">
        <f>VLOOKUP(A1381,File!$A:$J,6,FALSE)</f>
        <v>Chennai</v>
      </c>
      <c r="G1381" s="29" t="str">
        <f>VLOOKUP(A1381,File!$A:$J,7,FALSE)</f>
        <v>QEA26QEPT024</v>
      </c>
      <c r="H1381" s="29" t="str">
        <f>VLOOKUP(A1381,File!$A:$J,8,FALSE)</f>
        <v>Ajiesya D P</v>
      </c>
      <c r="I1381" s="31">
        <f>VLOOKUP(A1381,File!$A:$J,9,FALSE)</f>
        <v>46325</v>
      </c>
      <c r="J1381" s="31" t="str">
        <f>VLOOKUP(A1381,File!$A:$K,11,FALSE)</f>
        <v>Oct 2026</v>
      </c>
      <c r="K1381" s="31" t="str">
        <f>VLOOKUP(A1381,File!$A:$K,10,FALSE)</f>
        <v>In-Training</v>
      </c>
      <c r="L1381" s="31" t="s">
        <v>4</v>
      </c>
      <c r="M1381" t="str">
        <f>VLOOKUP(A1381,Response!$A:$M,7,)</f>
        <v>PG (Paying Guest)</v>
      </c>
      <c r="N1381" t="str">
        <f>VLOOKUP(A1381,Response!$A:$M,8,)</f>
        <v xml:space="preserve">Sri Venkateshwara deluxe gents pg  </v>
      </c>
      <c r="O1381" s="4">
        <f>VLOOKUP(A1381,Response!$A:$M,10,)</f>
        <v>1</v>
      </c>
      <c r="P1381" t="str">
        <f>VLOOKUP(A1381,Response!$A:$M,12,)</f>
        <v>No</v>
      </c>
      <c r="Q1381" t="str">
        <f>VLOOKUP(A1381,Response!$A:$M,11,)</f>
        <v>Siruseri</v>
      </c>
      <c r="R1381" t="s">
        <v>19</v>
      </c>
      <c r="S1381" s="39" t="s">
        <v>37</v>
      </c>
    </row>
    <row r="1382" spans="1:19">
      <c r="A1382" s="3">
        <v>2516845</v>
      </c>
      <c r="B1382" t="str">
        <f>VLOOKUP(A1382,File!$A:$J,2,FALSE)</f>
        <v>Indra H R</v>
      </c>
      <c r="C1382" s="29">
        <f>VLOOKUP(A1382,File!$A:$J,5,FALSE)</f>
        <v>46191</v>
      </c>
      <c r="D1382" s="29" t="str">
        <f>VLOOKUP(A1382,File!$A:$J,3,FALSE)</f>
        <v>Male</v>
      </c>
      <c r="E1382" s="29" t="str">
        <f>VLOOKUP(A1382,File!$A:$J,4,FALSE)</f>
        <v>FTE</v>
      </c>
      <c r="F1382" s="29" t="str">
        <f>VLOOKUP(A1382,File!$A:$J,6,FALSE)</f>
        <v>Chennai</v>
      </c>
      <c r="G1382" s="29" t="str">
        <f>VLOOKUP(A1382,File!$A:$J,7,FALSE)</f>
        <v>CIS26MW001</v>
      </c>
      <c r="H1382" s="29" t="str">
        <f>VLOOKUP(A1382,File!$A:$J,8,FALSE)</f>
        <v>Ashiya Begam S</v>
      </c>
      <c r="I1382" s="31">
        <f>VLOOKUP(A1382,File!$A:$J,9,FALSE)</f>
        <v>46276</v>
      </c>
      <c r="J1382" s="31" t="str">
        <f>VLOOKUP(A1382,File!$A:$K,11,FALSE)</f>
        <v>Sep 2026</v>
      </c>
      <c r="K1382" s="31" t="str">
        <f>VLOOKUP(A1382,File!$A:$K,10,FALSE)</f>
        <v>In-Training</v>
      </c>
      <c r="L1382" s="31" t="s">
        <v>4</v>
      </c>
      <c r="M1382" t="str">
        <f>VLOOKUP(A1382,Response!$A:$M,7,)</f>
        <v>PG (Paying Guest)</v>
      </c>
      <c r="N1382" t="str">
        <f>VLOOKUP(A1382,Response!$A:$M,8,)</f>
        <v>Sri Venkateshwara deluxe pg, siruseri , Egattur</v>
      </c>
      <c r="O1382" s="4">
        <f>VLOOKUP(A1382,Response!$A:$M,10,)</f>
        <v>3</v>
      </c>
      <c r="P1382" t="str">
        <f>VLOOKUP(A1382,Response!$A:$M,12,)</f>
        <v>No</v>
      </c>
      <c r="Q1382" t="str">
        <f>VLOOKUP(A1382,Response!$A:$M,11,)</f>
        <v>Egattur</v>
      </c>
      <c r="R1382" t="s">
        <v>19</v>
      </c>
      <c r="S1382" s="39" t="s">
        <v>37</v>
      </c>
    </row>
    <row r="1383" spans="1:19">
      <c r="A1383" s="3">
        <v>2533039</v>
      </c>
      <c r="B1383" t="str">
        <f>VLOOKUP(A1383,File!$A:$J,2,FALSE)</f>
        <v>Yuvaraj LNU</v>
      </c>
      <c r="C1383" s="29">
        <f>VLOOKUP(A1383,File!$A:$J,5,FALSE)</f>
        <v>46259</v>
      </c>
      <c r="D1383" s="29" t="str">
        <f>VLOOKUP(A1383,File!$A:$J,3,FALSE)</f>
        <v>Male</v>
      </c>
      <c r="E1383" s="29" t="str">
        <f>VLOOKUP(A1383,File!$A:$J,4,FALSE)</f>
        <v>FTE</v>
      </c>
      <c r="F1383" s="29" t="str">
        <f>VLOOKUP(A1383,File!$A:$J,6,FALSE)</f>
        <v>Chennai</v>
      </c>
      <c r="G1383" s="29" t="str">
        <f>VLOOKUP(A1383,File!$A:$J,7,FALSE)</f>
        <v>CIS26MBG007</v>
      </c>
      <c r="H1383" s="29" t="str">
        <f>VLOOKUP(A1383,File!$A:$J,8,FALSE)</f>
        <v>Lawrance M</v>
      </c>
      <c r="I1383" s="31">
        <f>VLOOKUP(A1383,File!$A:$J,9,FALSE)</f>
        <v>46367</v>
      </c>
      <c r="J1383" s="31" t="str">
        <f>VLOOKUP(A1383,File!$A:$K,11,FALSE)</f>
        <v>Dec 2026</v>
      </c>
      <c r="K1383" s="31" t="str">
        <f>VLOOKUP(A1383,File!$A:$K,10,FALSE)</f>
        <v>In-Training</v>
      </c>
      <c r="L1383" s="31" t="s">
        <v>4</v>
      </c>
      <c r="M1383" t="str">
        <f>VLOOKUP(A1383,Response!$A:$M,7,)</f>
        <v>PG (Paying Guest)</v>
      </c>
      <c r="N1383" t="str">
        <f>VLOOKUP(A1383,Response!$A:$M,8,)</f>
        <v>Sri Venkateshwara hanuman Pg ,Navalur</v>
      </c>
      <c r="O1383" s="4">
        <f>VLOOKUP(A1383,Response!$A:$M,10,)</f>
        <v>5</v>
      </c>
      <c r="P1383" t="str">
        <f>VLOOKUP(A1383,Response!$A:$M,12,)</f>
        <v>Yes</v>
      </c>
      <c r="Q1383" t="str">
        <f>VLOOKUP(A1383,Response!$A:$M,11,)</f>
        <v>Navalur</v>
      </c>
      <c r="R1383" t="s">
        <v>19</v>
      </c>
      <c r="S1383" s="39" t="s">
        <v>37</v>
      </c>
    </row>
    <row r="1384" spans="1:19">
      <c r="A1384" s="3">
        <v>2520947</v>
      </c>
      <c r="B1384" t="str">
        <f>VLOOKUP(A1384,File!$A:$J,2,FALSE)</f>
        <v>Mehran Khan</v>
      </c>
      <c r="C1384" s="29">
        <f>VLOOKUP(A1384,File!$A:$J,5,FALSE)</f>
        <v>46210</v>
      </c>
      <c r="D1384" s="29" t="str">
        <f>VLOOKUP(A1384,File!$A:$J,3,FALSE)</f>
        <v>Male</v>
      </c>
      <c r="E1384" s="29" t="str">
        <f>VLOOKUP(A1384,File!$A:$J,4,FALSE)</f>
        <v>FTE</v>
      </c>
      <c r="F1384" s="29" t="str">
        <f>VLOOKUP(A1384,File!$A:$J,6,FALSE)</f>
        <v>Chennai</v>
      </c>
      <c r="G1384" s="29" t="str">
        <f>VLOOKUP(A1384,File!$A:$J,7,FALSE)</f>
        <v>HPC26DN005</v>
      </c>
      <c r="H1384" s="29" t="str">
        <f>VLOOKUP(A1384,File!$A:$J,8,FALSE)</f>
        <v>Viveka Preethi</v>
      </c>
      <c r="I1384" s="31">
        <f>VLOOKUP(A1384,File!$A:$J,9,FALSE)</f>
        <v>46296</v>
      </c>
      <c r="J1384" s="31" t="str">
        <f>VLOOKUP(A1384,File!$A:$K,11,FALSE)</f>
        <v>Oct 2026</v>
      </c>
      <c r="K1384" s="31" t="str">
        <f>VLOOKUP(A1384,File!$A:$K,10,FALSE)</f>
        <v>In-Training</v>
      </c>
      <c r="L1384" s="31" t="s">
        <v>4</v>
      </c>
      <c r="M1384" t="str">
        <f>VLOOKUP(A1384,Response!$A:$M,7,)</f>
        <v>PG (Paying Guest)</v>
      </c>
      <c r="N1384" t="str">
        <f>VLOOKUP(A1384,Response!$A:$M,8,)</f>
        <v>SRI VENKATESHWARA LUXURY PG FOR GENTS</v>
      </c>
      <c r="O1384" s="4">
        <f>VLOOKUP(A1384,Response!$A:$M,10,)</f>
        <v>1</v>
      </c>
      <c r="P1384" t="str">
        <f>VLOOKUP(A1384,Response!$A:$M,12,)</f>
        <v>No</v>
      </c>
      <c r="Q1384" t="str">
        <f>VLOOKUP(A1384,Response!$A:$M,11,)</f>
        <v>Navalur</v>
      </c>
      <c r="R1384" t="s">
        <v>19</v>
      </c>
      <c r="S1384" s="39" t="s">
        <v>37</v>
      </c>
    </row>
    <row r="1385" spans="1:19">
      <c r="A1385" s="3">
        <v>2521643</v>
      </c>
      <c r="B1385" t="str">
        <f>VLOOKUP(A1385,File!$A:$J,2,FALSE)</f>
        <v>Jyoti Dundappa Dundagi</v>
      </c>
      <c r="C1385" s="29">
        <f>VLOOKUP(A1385,File!$A:$J,5,FALSE)</f>
        <v>46212</v>
      </c>
      <c r="D1385" s="29" t="str">
        <f>VLOOKUP(A1385,File!$A:$J,3,FALSE)</f>
        <v>Male</v>
      </c>
      <c r="E1385" s="29" t="str">
        <f>VLOOKUP(A1385,File!$A:$J,4,FALSE)</f>
        <v>FTE</v>
      </c>
      <c r="F1385" s="29" t="str">
        <f>VLOOKUP(A1385,File!$A:$J,6,FALSE)</f>
        <v>Chennai</v>
      </c>
      <c r="G1385" s="29" t="str">
        <f>VLOOKUP(A1385,File!$A:$J,7,FALSE)</f>
        <v>ADM26MF011</v>
      </c>
      <c r="H1385" s="29" t="str">
        <f>VLOOKUP(A1385,File!$A:$J,8,FALSE)</f>
        <v>Abinaya R</v>
      </c>
      <c r="I1385" s="31">
        <f>VLOOKUP(A1385,File!$A:$J,9,FALSE)</f>
        <v>46328</v>
      </c>
      <c r="J1385" s="31" t="str">
        <f>VLOOKUP(A1385,File!$A:$K,11,FALSE)</f>
        <v>Nov 2026</v>
      </c>
      <c r="K1385" s="31" t="str">
        <f>VLOOKUP(A1385,File!$A:$K,10,FALSE)</f>
        <v>In-Training</v>
      </c>
      <c r="L1385" s="31" t="s">
        <v>4</v>
      </c>
      <c r="M1385" t="str">
        <f>VLOOKUP(A1385,Response!$A:$M,7,)</f>
        <v>PG (Paying Guest)</v>
      </c>
      <c r="N1385" t="str">
        <f>VLOOKUP(A1385,Response!$A:$M,8,)</f>
        <v>SREE VENKATESHWARA LUXURY PG FOR GENTS</v>
      </c>
      <c r="O1385" s="4">
        <f>VLOOKUP(A1385,Response!$A:$M,10,)</f>
        <v>3</v>
      </c>
      <c r="P1385" t="str">
        <f>VLOOKUP(A1385,Response!$A:$M,12,)</f>
        <v>No</v>
      </c>
      <c r="Q1385" t="str">
        <f>VLOOKUP(A1385,Response!$A:$M,11,)</f>
        <v>Navalur</v>
      </c>
      <c r="R1385" t="s">
        <v>19</v>
      </c>
      <c r="S1385" s="39" t="s">
        <v>37</v>
      </c>
    </row>
    <row r="1386" spans="1:19">
      <c r="A1386" s="3">
        <v>2533575</v>
      </c>
      <c r="B1386" t="str">
        <f>VLOOKUP(A1386,File!$A:$J,2,FALSE)</f>
        <v>Prabhakaran Sankar</v>
      </c>
      <c r="C1386" s="29">
        <f>VLOOKUP(A1386,File!$A:$J,5,FALSE)</f>
        <v>46261</v>
      </c>
      <c r="D1386" s="29" t="str">
        <f>VLOOKUP(A1386,File!$A:$J,3,FALSE)</f>
        <v>Male</v>
      </c>
      <c r="E1386" s="29" t="str">
        <f>VLOOKUP(A1386,File!$A:$J,4,FALSE)</f>
        <v>FTE</v>
      </c>
      <c r="F1386" s="29" t="str">
        <f>VLOOKUP(A1386,File!$A:$J,6,FALSE)</f>
        <v>Chennai</v>
      </c>
      <c r="G1386" s="29" t="str">
        <f>VLOOKUP(A1386,File!$A:$J,7,FALSE)</f>
        <v>EPS26SAP038</v>
      </c>
      <c r="H1386" s="29" t="str">
        <f>VLOOKUP(A1386,File!$A:$J,8,FALSE)</f>
        <v>Ajith Ganesan</v>
      </c>
      <c r="I1386" s="31">
        <f>VLOOKUP(A1386,File!$A:$J,9,FALSE)</f>
        <v>46322</v>
      </c>
      <c r="J1386" s="31" t="str">
        <f>VLOOKUP(A1386,File!$A:$K,11,FALSE)</f>
        <v>Oct 2026</v>
      </c>
      <c r="K1386" s="31" t="str">
        <f>VLOOKUP(A1386,File!$A:$K,10,FALSE)</f>
        <v>In-Training</v>
      </c>
      <c r="L1386" s="31" t="s">
        <v>4</v>
      </c>
      <c r="M1386" t="str">
        <f>VLOOKUP(A1386,Response!$A:$M,7,)</f>
        <v>PG (Paying Guest)</v>
      </c>
      <c r="N1386" t="str">
        <f>VLOOKUP(A1386,Response!$A:$M,8,)</f>
        <v>Sri Venkateshwara PG, Navalur.</v>
      </c>
      <c r="O1386" s="4">
        <f>VLOOKUP(A1386,Response!$A:$M,10,)</f>
        <v>1</v>
      </c>
      <c r="P1386" t="str">
        <f>VLOOKUP(A1386,Response!$A:$M,12,)</f>
        <v>Yes</v>
      </c>
      <c r="Q1386" t="str">
        <f>VLOOKUP(A1386,Response!$A:$M,11,)</f>
        <v>Navalur</v>
      </c>
      <c r="R1386" t="s">
        <v>19</v>
      </c>
      <c r="S1386" s="39" t="s">
        <v>37</v>
      </c>
    </row>
    <row r="1387" spans="1:19">
      <c r="A1387" s="3">
        <v>2524487</v>
      </c>
      <c r="B1387" t="str">
        <f>VLOOKUP(A1387,File!$A:$J,2,FALSE)</f>
        <v>Ayush Kushwaha</v>
      </c>
      <c r="C1387" s="29">
        <f>VLOOKUP(A1387,File!$A:$J,5,FALSE)</f>
        <v>46224</v>
      </c>
      <c r="D1387" s="29" t="str">
        <f>VLOOKUP(A1387,File!$A:$J,3,FALSE)</f>
        <v>Male</v>
      </c>
      <c r="E1387" s="29" t="str">
        <f>VLOOKUP(A1387,File!$A:$J,4,FALSE)</f>
        <v>FTE</v>
      </c>
      <c r="F1387" s="29" t="str">
        <f>VLOOKUP(A1387,File!$A:$J,6,FALSE)</f>
        <v>Chennai</v>
      </c>
      <c r="G1387" s="29" t="str">
        <f>VLOOKUP(A1387,File!$A:$J,7,FALSE)</f>
        <v>ADM26MF012</v>
      </c>
      <c r="H1387" s="29" t="str">
        <f>VLOOKUP(A1387,File!$A:$J,8,FALSE)</f>
        <v>Lourdhu Selvin Raj X</v>
      </c>
      <c r="I1387" s="31">
        <f>VLOOKUP(A1387,File!$A:$J,9,FALSE)</f>
        <v>46343</v>
      </c>
      <c r="J1387" s="31" t="str">
        <f>VLOOKUP(A1387,File!$A:$K,11,FALSE)</f>
        <v>Nov 2026</v>
      </c>
      <c r="K1387" s="31" t="str">
        <f>VLOOKUP(A1387,File!$A:$K,10,FALSE)</f>
        <v>In-Training</v>
      </c>
      <c r="L1387" s="31" t="s">
        <v>4</v>
      </c>
      <c r="M1387" t="str">
        <f>VLOOKUP(A1387,Response!$A:$M,7,)</f>
        <v>PG (Paying Guest)</v>
      </c>
      <c r="N1387" t="str">
        <f>VLOOKUP(A1387,Response!$A:$M,8,)</f>
        <v>SRI venkateswara deluxe gents pg</v>
      </c>
      <c r="O1387" s="4">
        <f>VLOOKUP(A1387,Response!$A:$M,10,)</f>
        <v>1</v>
      </c>
      <c r="P1387" t="str">
        <f>VLOOKUP(A1387,Response!$A:$M,12,)</f>
        <v>No</v>
      </c>
      <c r="Q1387" t="str">
        <f>VLOOKUP(A1387,Response!$A:$M,11,)</f>
        <v>Siruseri</v>
      </c>
      <c r="R1387" t="s">
        <v>19</v>
      </c>
      <c r="S1387" s="39" t="s">
        <v>37</v>
      </c>
    </row>
    <row r="1388" spans="1:19">
      <c r="A1388" s="3">
        <v>2524554</v>
      </c>
      <c r="B1388" t="str">
        <f>VLOOKUP(A1388,File!$A:$J,2,FALSE)</f>
        <v>Anirudh Gopal Magnur</v>
      </c>
      <c r="C1388" s="29">
        <f>VLOOKUP(A1388,File!$A:$J,5,FALSE)</f>
        <v>46224</v>
      </c>
      <c r="D1388" s="29" t="str">
        <f>VLOOKUP(A1388,File!$A:$J,3,FALSE)</f>
        <v>Male</v>
      </c>
      <c r="E1388" s="29" t="str">
        <f>VLOOKUP(A1388,File!$A:$J,4,FALSE)</f>
        <v>FTE</v>
      </c>
      <c r="F1388" s="29" t="str">
        <f>VLOOKUP(A1388,File!$A:$J,6,FALSE)</f>
        <v>Chennai</v>
      </c>
      <c r="G1388" s="29" t="str">
        <f>VLOOKUP(A1388,File!$A:$J,7,FALSE)</f>
        <v>QEA26QEPT024</v>
      </c>
      <c r="H1388" s="29" t="str">
        <f>VLOOKUP(A1388,File!$A:$J,8,FALSE)</f>
        <v>Ajiesya D P</v>
      </c>
      <c r="I1388" s="31">
        <f>VLOOKUP(A1388,File!$A:$J,9,FALSE)</f>
        <v>46330</v>
      </c>
      <c r="J1388" s="31" t="str">
        <f>VLOOKUP(A1388,File!$A:$K,11,FALSE)</f>
        <v>Nov 2026</v>
      </c>
      <c r="K1388" s="31" t="str">
        <f>VLOOKUP(A1388,File!$A:$K,10,FALSE)</f>
        <v>In-Training</v>
      </c>
      <c r="L1388" s="31" t="s">
        <v>4</v>
      </c>
      <c r="M1388" t="str">
        <f>VLOOKUP(A1388,Response!$A:$M,7,)</f>
        <v>PG (Paying Guest)</v>
      </c>
      <c r="N1388" t="str">
        <f>VLOOKUP(A1388,Response!$A:$M,8,)</f>
        <v>Sri Venkateswara Deluxe Gents PG</v>
      </c>
      <c r="O1388" s="4">
        <f>VLOOKUP(A1388,Response!$A:$M,10,)</f>
        <v>3</v>
      </c>
      <c r="P1388" t="str">
        <f>VLOOKUP(A1388,Response!$A:$M,12,)</f>
        <v>No</v>
      </c>
      <c r="Q1388" t="str">
        <f>VLOOKUP(A1388,Response!$A:$M,11,)</f>
        <v>Siruseri</v>
      </c>
      <c r="R1388" t="s">
        <v>19</v>
      </c>
      <c r="S1388" s="39" t="s">
        <v>37</v>
      </c>
    </row>
    <row r="1389" spans="1:19">
      <c r="A1389" s="3">
        <v>2529681</v>
      </c>
      <c r="B1389" t="str">
        <f>VLOOKUP(A1389,File!$A:$J,2,FALSE)</f>
        <v>Narendra Talari</v>
      </c>
      <c r="C1389" s="29">
        <f>VLOOKUP(A1389,File!$A:$J,5,FALSE)</f>
        <v>46245</v>
      </c>
      <c r="D1389" s="29" t="str">
        <f>VLOOKUP(A1389,File!$A:$J,3,FALSE)</f>
        <v>Male</v>
      </c>
      <c r="E1389" s="29" t="str">
        <f>VLOOKUP(A1389,File!$A:$J,4,FALSE)</f>
        <v>FTE</v>
      </c>
      <c r="F1389" s="29" t="str">
        <f>VLOOKUP(A1389,File!$A:$J,6,FALSE)</f>
        <v>Chennai</v>
      </c>
      <c r="G1389" s="29" t="str">
        <f>VLOOKUP(A1389,File!$A:$J,7,FALSE)</f>
        <v>CIS26AZ001</v>
      </c>
      <c r="H1389" s="29" t="str">
        <f>VLOOKUP(A1389,File!$A:$J,8,FALSE)</f>
        <v>Ashiya Begam S</v>
      </c>
      <c r="I1389" s="31">
        <f>VLOOKUP(A1389,File!$A:$J,9,FALSE)</f>
        <v>46335</v>
      </c>
      <c r="J1389" s="31" t="str">
        <f>VLOOKUP(A1389,File!$A:$K,11,FALSE)</f>
        <v>Nov 2026</v>
      </c>
      <c r="K1389" s="31" t="str">
        <f>VLOOKUP(A1389,File!$A:$K,10,FALSE)</f>
        <v>In-Training</v>
      </c>
      <c r="L1389" s="31" t="s">
        <v>4</v>
      </c>
      <c r="M1389" t="str">
        <f>VLOOKUP(A1389,Response!$A:$M,7,)</f>
        <v>PG (Paying Guest)</v>
      </c>
      <c r="N1389" t="str">
        <f>VLOOKUP(A1389,Response!$A:$M,8,)</f>
        <v>sri venkateswara deluxe,Egattur</v>
      </c>
      <c r="O1389" s="4">
        <f>VLOOKUP(A1389,Response!$A:$M,10,)</f>
        <v>4</v>
      </c>
      <c r="P1389" t="str">
        <f>VLOOKUP(A1389,Response!$A:$M,12,)</f>
        <v>No</v>
      </c>
      <c r="Q1389" t="str">
        <f>VLOOKUP(A1389,Response!$A:$M,11,)</f>
        <v>Siruseri</v>
      </c>
      <c r="R1389" t="s">
        <v>19</v>
      </c>
      <c r="S1389" s="39" t="s">
        <v>37</v>
      </c>
    </row>
    <row r="1390" spans="1:19">
      <c r="A1390" s="3">
        <v>2520975</v>
      </c>
      <c r="B1390" t="str">
        <f>VLOOKUP(A1390,File!$A:$J,2,FALSE)</f>
        <v>Sanjeev Pal</v>
      </c>
      <c r="C1390" s="29">
        <f>VLOOKUP(A1390,File!$A:$J,5,FALSE)</f>
        <v>46210</v>
      </c>
      <c r="D1390" s="29" t="str">
        <f>VLOOKUP(A1390,File!$A:$J,3,FALSE)</f>
        <v>Male</v>
      </c>
      <c r="E1390" s="29" t="str">
        <f>VLOOKUP(A1390,File!$A:$J,4,FALSE)</f>
        <v>FTE</v>
      </c>
      <c r="F1390" s="29" t="str">
        <f>VLOOKUP(A1390,File!$A:$J,6,FALSE)</f>
        <v>Chennai</v>
      </c>
      <c r="G1390" s="29" t="str">
        <f>VLOOKUP(A1390,File!$A:$J,7,FALSE)</f>
        <v>HPC26DN005</v>
      </c>
      <c r="H1390" s="29" t="str">
        <f>VLOOKUP(A1390,File!$A:$J,8,FALSE)</f>
        <v>Viveka Preethi</v>
      </c>
      <c r="I1390" s="31">
        <f>VLOOKUP(A1390,File!$A:$J,9,FALSE)</f>
        <v>46296</v>
      </c>
      <c r="J1390" s="31" t="str">
        <f>VLOOKUP(A1390,File!$A:$K,11,FALSE)</f>
        <v>Oct 2026</v>
      </c>
      <c r="K1390" s="31" t="str">
        <f>VLOOKUP(A1390,File!$A:$K,10,FALSE)</f>
        <v>In-Training</v>
      </c>
      <c r="L1390" s="31" t="s">
        <v>4</v>
      </c>
      <c r="M1390" t="str">
        <f>VLOOKUP(A1390,Response!$A:$M,7,)</f>
        <v>PG (Paying Guest)</v>
      </c>
      <c r="N1390" t="str">
        <f>VLOOKUP(A1390,Response!$A:$M,8,)</f>
        <v>Sri Venkateswara Luxury for gents , Navalur</v>
      </c>
      <c r="O1390" s="4">
        <f>VLOOKUP(A1390,Response!$A:$M,10,)</f>
        <v>1</v>
      </c>
      <c r="P1390" t="str">
        <f>VLOOKUP(A1390,Response!$A:$M,12,)</f>
        <v>No</v>
      </c>
      <c r="Q1390" t="str">
        <f>VLOOKUP(A1390,Response!$A:$M,11,)</f>
        <v>Navalur</v>
      </c>
      <c r="R1390" t="s">
        <v>19</v>
      </c>
      <c r="S1390" s="39" t="s">
        <v>37</v>
      </c>
    </row>
    <row r="1391" spans="1:19">
      <c r="A1391" s="3">
        <v>2525152</v>
      </c>
      <c r="B1391" t="str">
        <f>VLOOKUP(A1391,File!$A:$J,2,FALSE)</f>
        <v>Shubham Santosh Gadhave</v>
      </c>
      <c r="C1391" s="29">
        <f>VLOOKUP(A1391,File!$A:$J,5,FALSE)</f>
        <v>46226</v>
      </c>
      <c r="D1391" s="29" t="str">
        <f>VLOOKUP(A1391,File!$A:$J,3,FALSE)</f>
        <v>Male</v>
      </c>
      <c r="E1391" s="29" t="str">
        <f>VLOOKUP(A1391,File!$A:$J,4,FALSE)</f>
        <v>FTE</v>
      </c>
      <c r="F1391" s="29" t="str">
        <f>VLOOKUP(A1391,File!$A:$J,6,FALSE)</f>
        <v>Chennai</v>
      </c>
      <c r="G1391" s="29" t="str">
        <f>VLOOKUP(A1391,File!$A:$J,7,FALSE)</f>
        <v>EPS26WD005</v>
      </c>
      <c r="H1391" s="29" t="str">
        <f>VLOOKUP(A1391,File!$A:$J,8,FALSE)</f>
        <v>Vishnupriya Dakshnamurthy</v>
      </c>
      <c r="I1391" s="31">
        <f>VLOOKUP(A1391,File!$A:$J,9,FALSE)</f>
        <v>46332</v>
      </c>
      <c r="J1391" s="31" t="str">
        <f>VLOOKUP(A1391,File!$A:$K,11,FALSE)</f>
        <v>Nov 2026</v>
      </c>
      <c r="K1391" s="31" t="str">
        <f>VLOOKUP(A1391,File!$A:$K,10,FALSE)</f>
        <v>In-Training</v>
      </c>
      <c r="L1391" s="31" t="s">
        <v>4</v>
      </c>
      <c r="M1391" t="str">
        <f>VLOOKUP(A1391,Response!$A:$M,7,)</f>
        <v>PG (Paying Guest)</v>
      </c>
      <c r="N1391" t="str">
        <f>VLOOKUP(A1391,Response!$A:$M,8,)</f>
        <v>Sri vyankata sai hanuman Gents PG - Branch 2, Egattur</v>
      </c>
      <c r="O1391" s="4">
        <f>VLOOKUP(A1391,Response!$A:$M,10,)</f>
        <v>4</v>
      </c>
      <c r="P1391" t="str">
        <f>VLOOKUP(A1391,Response!$A:$M,12,)</f>
        <v>No</v>
      </c>
      <c r="Q1391" t="str">
        <f>VLOOKUP(A1391,Response!$A:$M,11,)</f>
        <v>Egattur</v>
      </c>
      <c r="R1391" t="s">
        <v>19</v>
      </c>
      <c r="S1391" s="39" t="s">
        <v>37</v>
      </c>
    </row>
    <row r="1392" spans="1:19">
      <c r="A1392" s="3">
        <v>2531413</v>
      </c>
      <c r="B1392" t="str">
        <f>VLOOKUP(A1392,File!$A:$J,2,FALSE)</f>
        <v>Keerthana Shree M U</v>
      </c>
      <c r="C1392" s="29">
        <f>VLOOKUP(A1392,File!$A:$J,5,FALSE)</f>
        <v>46252</v>
      </c>
      <c r="D1392" s="29" t="str">
        <f>VLOOKUP(A1392,File!$A:$J,3,FALSE)</f>
        <v>Female</v>
      </c>
      <c r="E1392" s="29" t="str">
        <f>VLOOKUP(A1392,File!$A:$J,4,FALSE)</f>
        <v>FTE</v>
      </c>
      <c r="F1392" s="29" t="str">
        <f>VLOOKUP(A1392,File!$A:$J,6,FALSE)</f>
        <v>Chennai</v>
      </c>
      <c r="G1392" s="29" t="str">
        <f>VLOOKUP(A1392,File!$A:$J,7,FALSE)</f>
        <v>EPS26SAP034</v>
      </c>
      <c r="H1392" s="29" t="str">
        <f>VLOOKUP(A1392,File!$A:$J,8,FALSE)</f>
        <v>Gayathri Ramachandran</v>
      </c>
      <c r="I1392" s="31">
        <f>VLOOKUP(A1392,File!$A:$J,9,FALSE)</f>
        <v>46331</v>
      </c>
      <c r="J1392" s="31" t="str">
        <f>VLOOKUP(A1392,File!$A:$K,11,FALSE)</f>
        <v>Nov 2026</v>
      </c>
      <c r="K1392" s="31" t="str">
        <f>VLOOKUP(A1392,File!$A:$K,10,FALSE)</f>
        <v>In-Training</v>
      </c>
      <c r="L1392" s="31" t="s">
        <v>4</v>
      </c>
      <c r="M1392" t="str">
        <f>VLOOKUP(A1392,Response!$A:$M,7,)</f>
        <v>PG (Paying Guest)</v>
      </c>
      <c r="N1392" t="str">
        <f>VLOOKUP(A1392,Response!$A:$M,8,)</f>
        <v>SRI SAI UNIQS STAYS FOR LADIES,PAZHANDI AMMAN KOVIL STREET,EGATTUR,SIRUSERI,CHENNAI-600130</v>
      </c>
      <c r="O1392" s="4">
        <f>VLOOKUP(A1392,Response!$A:$M,10,)</f>
        <v>3</v>
      </c>
      <c r="P1392" t="str">
        <f>VLOOKUP(A1392,Response!$A:$M,12,)</f>
        <v>No</v>
      </c>
      <c r="Q1392" t="str">
        <f>VLOOKUP(A1392,Response!$A:$M,11,)</f>
        <v>Egattur</v>
      </c>
      <c r="R1392" t="s">
        <v>19</v>
      </c>
      <c r="S1392" s="39" t="s">
        <v>37</v>
      </c>
    </row>
    <row r="1393" spans="1:19">
      <c r="A1393" s="3">
        <v>2521291</v>
      </c>
      <c r="B1393" t="str">
        <f>VLOOKUP(A1393,File!$A:$J,2,FALSE)</f>
        <v>Manoj Chittiri</v>
      </c>
      <c r="C1393" s="29">
        <f>VLOOKUP(A1393,File!$A:$J,5,FALSE)</f>
        <v>46210</v>
      </c>
      <c r="D1393" s="29" t="str">
        <f>VLOOKUP(A1393,File!$A:$J,3,FALSE)</f>
        <v>Male</v>
      </c>
      <c r="E1393" s="29" t="str">
        <f>VLOOKUP(A1393,File!$A:$J,4,FALSE)</f>
        <v>FTE</v>
      </c>
      <c r="F1393" s="29" t="str">
        <f>VLOOKUP(A1393,File!$A:$J,6,FALSE)</f>
        <v>Chennai</v>
      </c>
      <c r="G1393" s="29" t="str">
        <f>VLOOKUP(A1393,File!$A:$J,7,FALSE)</f>
        <v>CS26CS006</v>
      </c>
      <c r="H1393" s="29" t="str">
        <f>VLOOKUP(A1393,File!$A:$J,8,FALSE)</f>
        <v>Lawrance M</v>
      </c>
      <c r="I1393" s="31">
        <f>VLOOKUP(A1393,File!$A:$J,9,FALSE)</f>
        <v>46272</v>
      </c>
      <c r="J1393" s="31" t="str">
        <f>VLOOKUP(A1393,File!$A:$K,11,FALSE)</f>
        <v>Sep 2026</v>
      </c>
      <c r="K1393" s="31" t="str">
        <f>VLOOKUP(A1393,File!$A:$K,10,FALSE)</f>
        <v>In-Training-Remedial</v>
      </c>
      <c r="L1393" s="31" t="s">
        <v>4</v>
      </c>
      <c r="M1393" t="str">
        <f>VLOOKUP(A1393,Response!$A:$M,7,)</f>
        <v>PG (Paying Guest)</v>
      </c>
      <c r="N1393" t="str">
        <f>VLOOKUP(A1393,Response!$A:$M,8,)</f>
        <v>SRNIVAS LAKSHIMI ELITE MENS PG , Egattur</v>
      </c>
      <c r="O1393" s="4">
        <f>VLOOKUP(A1393,Response!$A:$M,10,)</f>
        <v>4</v>
      </c>
      <c r="P1393" t="str">
        <f>VLOOKUP(A1393,Response!$A:$M,12,)</f>
        <v>No</v>
      </c>
      <c r="Q1393" t="str">
        <f>VLOOKUP(A1393,Response!$A:$M,11,)</f>
        <v>Egattur</v>
      </c>
      <c r="R1393" t="s">
        <v>19</v>
      </c>
      <c r="S1393" s="39" t="s">
        <v>37</v>
      </c>
    </row>
    <row r="1394" spans="1:19">
      <c r="A1394" s="3">
        <v>2533068</v>
      </c>
      <c r="B1394" t="str">
        <f>VLOOKUP(A1394,File!$A:$J,2,FALSE)</f>
        <v>Naraharipeta Reddy Monisha</v>
      </c>
      <c r="C1394" s="29">
        <f>VLOOKUP(A1394,File!$A:$J,5,FALSE)</f>
        <v>46259</v>
      </c>
      <c r="D1394" s="29" t="str">
        <f>VLOOKUP(A1394,File!$A:$J,3,FALSE)</f>
        <v>Female</v>
      </c>
      <c r="E1394" s="29" t="str">
        <f>VLOOKUP(A1394,File!$A:$J,4,FALSE)</f>
        <v>FTE</v>
      </c>
      <c r="F1394" s="29" t="str">
        <f>VLOOKUP(A1394,File!$A:$J,6,FALSE)</f>
        <v>Chennai</v>
      </c>
      <c r="G1394" s="29" t="str">
        <f>VLOOKUP(A1394,File!$A:$J,7,FALSE)</f>
        <v>ADM27DFSA001</v>
      </c>
      <c r="H1394" s="29" t="str">
        <f>VLOOKUP(A1394,File!$A:$J,8,FALSE)</f>
        <v>Thomas Naveen. J</v>
      </c>
      <c r="I1394" s="31">
        <f>VLOOKUP(A1394,File!$A:$J,9,FALSE)</f>
        <v>46386</v>
      </c>
      <c r="J1394" s="31" t="str">
        <f>VLOOKUP(A1394,File!$A:$K,11,FALSE)</f>
        <v>Dec 2026</v>
      </c>
      <c r="K1394" s="31" t="str">
        <f>VLOOKUP(A1394,File!$A:$K,10,FALSE)</f>
        <v>In-Training</v>
      </c>
      <c r="L1394" s="31" t="s">
        <v>4</v>
      </c>
      <c r="M1394" t="str">
        <f>VLOOKUP(A1394,Response!$A:$M,7,)</f>
        <v>PG (Paying Guest)</v>
      </c>
      <c r="N1394" t="str">
        <f>VLOOKUP(A1394,Response!$A:$M,8,)</f>
        <v>SRS BRANCH - 6 ,  Thendral street, TVH Taus, Navalur, OMR, Chennai, 600130</v>
      </c>
      <c r="O1394" s="4">
        <f>VLOOKUP(A1394,Response!$A:$M,10,)</f>
        <v>4</v>
      </c>
      <c r="P1394" t="str">
        <f>VLOOKUP(A1394,Response!$A:$M,12,)</f>
        <v>No</v>
      </c>
      <c r="Q1394" t="str">
        <f>VLOOKUP(A1394,Response!$A:$M,11,)</f>
        <v>Navalur</v>
      </c>
      <c r="R1394" t="s">
        <v>19</v>
      </c>
      <c r="S1394" s="39" t="s">
        <v>37</v>
      </c>
    </row>
    <row r="1395" spans="1:19">
      <c r="A1395" s="3">
        <v>2532984</v>
      </c>
      <c r="B1395" t="str">
        <f>VLOOKUP(A1395,File!$A:$J,2,FALSE)</f>
        <v>Keerthi Mekala</v>
      </c>
      <c r="C1395" s="29">
        <f>VLOOKUP(A1395,File!$A:$J,5,FALSE)</f>
        <v>46259</v>
      </c>
      <c r="D1395" s="29" t="str">
        <f>VLOOKUP(A1395,File!$A:$J,3,FALSE)</f>
        <v>Female</v>
      </c>
      <c r="E1395" s="29" t="str">
        <f>VLOOKUP(A1395,File!$A:$J,4,FALSE)</f>
        <v>FTE</v>
      </c>
      <c r="F1395" s="29" t="str">
        <f>VLOOKUP(A1395,File!$A:$J,6,FALSE)</f>
        <v>Chennai</v>
      </c>
      <c r="G1395" s="29" t="str">
        <f>VLOOKUP(A1395,File!$A:$J,7,FALSE)</f>
        <v>CIS26MBG004</v>
      </c>
      <c r="H1395" s="29" t="str">
        <f>VLOOKUP(A1395,File!$A:$J,8,FALSE)</f>
        <v>Kishorekumar P</v>
      </c>
      <c r="I1395" s="31">
        <f>VLOOKUP(A1395,File!$A:$J,9,FALSE)</f>
        <v>46367</v>
      </c>
      <c r="J1395" s="31" t="str">
        <f>VLOOKUP(A1395,File!$A:$K,11,FALSE)</f>
        <v>Dec 2026</v>
      </c>
      <c r="K1395" s="31" t="str">
        <f>VLOOKUP(A1395,File!$A:$K,10,FALSE)</f>
        <v>In-Training</v>
      </c>
      <c r="L1395" s="31" t="s">
        <v>4</v>
      </c>
      <c r="M1395" t="str">
        <f>VLOOKUP(A1395,Response!$A:$M,7,)</f>
        <v>PG (Paying Guest)</v>
      </c>
      <c r="N1395" t="str">
        <f>VLOOKUP(A1395,Response!$A:$M,8,)</f>
        <v>SRS Branch I,Gangai Ammai Kovili Street , Egattur .</v>
      </c>
      <c r="O1395" s="4">
        <f>VLOOKUP(A1395,Response!$A:$M,10,)</f>
        <v>3</v>
      </c>
      <c r="P1395" t="str">
        <f>VLOOKUP(A1395,Response!$A:$M,12,)</f>
        <v>No</v>
      </c>
      <c r="Q1395" t="str">
        <f>VLOOKUP(A1395,Response!$A:$M,11,)</f>
        <v>Egattur</v>
      </c>
      <c r="R1395" t="s">
        <v>19</v>
      </c>
      <c r="S1395" s="39" t="s">
        <v>37</v>
      </c>
    </row>
    <row r="1396" spans="1:19">
      <c r="A1396" s="3">
        <v>2532915</v>
      </c>
      <c r="B1396" t="str">
        <f>VLOOKUP(A1396,File!$A:$J,2,FALSE)</f>
        <v>Nusum Mounika</v>
      </c>
      <c r="C1396" s="29">
        <f>VLOOKUP(A1396,File!$A:$J,5,FALSE)</f>
        <v>46259</v>
      </c>
      <c r="D1396" s="29" t="str">
        <f>VLOOKUP(A1396,File!$A:$J,3,FALSE)</f>
        <v>Female</v>
      </c>
      <c r="E1396" s="29" t="str">
        <f>VLOOKUP(A1396,File!$A:$J,4,FALSE)</f>
        <v>FTE</v>
      </c>
      <c r="F1396" s="29" t="str">
        <f>VLOOKUP(A1396,File!$A:$J,6,FALSE)</f>
        <v>Chennai</v>
      </c>
      <c r="G1396" s="29" t="str">
        <f>VLOOKUP(A1396,File!$A:$J,7,FALSE)</f>
        <v>CIS26MBG004</v>
      </c>
      <c r="H1396" s="29" t="str">
        <f>VLOOKUP(A1396,File!$A:$J,8,FALSE)</f>
        <v>Kishorekumar P</v>
      </c>
      <c r="I1396" s="31">
        <f>VLOOKUP(A1396,File!$A:$J,9,FALSE)</f>
        <v>46367</v>
      </c>
      <c r="J1396" s="31" t="str">
        <f>VLOOKUP(A1396,File!$A:$K,11,FALSE)</f>
        <v>Dec 2026</v>
      </c>
      <c r="K1396" s="31" t="str">
        <f>VLOOKUP(A1396,File!$A:$K,10,FALSE)</f>
        <v>In-Training</v>
      </c>
      <c r="L1396" s="31" t="s">
        <v>4</v>
      </c>
      <c r="M1396" t="str">
        <f>VLOOKUP(A1396,Response!$A:$M,7,)</f>
        <v>PG (Paying Guest)</v>
      </c>
      <c r="N1396" t="str">
        <f>VLOOKUP(A1396,Response!$A:$M,8,)</f>
        <v>SRS branch-6, Navalur.</v>
      </c>
      <c r="O1396" s="4">
        <f>VLOOKUP(A1396,Response!$A:$M,10,)</f>
        <v>4</v>
      </c>
      <c r="P1396" t="str">
        <f>VLOOKUP(A1396,Response!$A:$M,12,)</f>
        <v>No</v>
      </c>
      <c r="Q1396" t="str">
        <f>VLOOKUP(A1396,Response!$A:$M,11,)</f>
        <v>Navalur</v>
      </c>
      <c r="R1396" t="s">
        <v>19</v>
      </c>
      <c r="S1396" s="39" t="s">
        <v>37</v>
      </c>
    </row>
    <row r="1397" spans="1:19">
      <c r="A1397" s="3">
        <v>2524651</v>
      </c>
      <c r="B1397" t="str">
        <f>VLOOKUP(A1397,File!$A:$J,2,FALSE)</f>
        <v>Patil Prerana Vishwas</v>
      </c>
      <c r="C1397" s="29">
        <f>VLOOKUP(A1397,File!$A:$J,5,FALSE)</f>
        <v>46224</v>
      </c>
      <c r="D1397" s="29" t="str">
        <f>VLOOKUP(A1397,File!$A:$J,3,FALSE)</f>
        <v>Female</v>
      </c>
      <c r="E1397" s="29" t="str">
        <f>VLOOKUP(A1397,File!$A:$J,4,FALSE)</f>
        <v>FTE</v>
      </c>
      <c r="F1397" s="29" t="str">
        <f>VLOOKUP(A1397,File!$A:$J,6,FALSE)</f>
        <v>Chennai</v>
      </c>
      <c r="G1397" s="29" t="str">
        <f>VLOOKUP(A1397,File!$A:$J,7,FALSE)</f>
        <v>QEA26QEPT024</v>
      </c>
      <c r="H1397" s="29" t="str">
        <f>VLOOKUP(A1397,File!$A:$J,8,FALSE)</f>
        <v>Ajiesya D P</v>
      </c>
      <c r="I1397" s="31">
        <f>VLOOKUP(A1397,File!$A:$J,9,FALSE)</f>
        <v>46325</v>
      </c>
      <c r="J1397" s="31" t="str">
        <f>VLOOKUP(A1397,File!$A:$K,11,FALSE)</f>
        <v>Oct 2026</v>
      </c>
      <c r="K1397" s="31" t="str">
        <f>VLOOKUP(A1397,File!$A:$K,10,FALSE)</f>
        <v>In-Training</v>
      </c>
      <c r="L1397" s="31" t="s">
        <v>4</v>
      </c>
      <c r="M1397" t="str">
        <f>VLOOKUP(A1397,Response!$A:$M,7,)</f>
        <v>PG (Paying Guest)</v>
      </c>
      <c r="N1397" t="str">
        <f>VLOOKUP(A1397,Response!$A:$M,8,)</f>
        <v>SRS Girls PG, Ambedkar Street, Egattur</v>
      </c>
      <c r="O1397" s="4">
        <f>VLOOKUP(A1397,Response!$A:$M,10,)</f>
        <v>1</v>
      </c>
      <c r="P1397" t="str">
        <f>VLOOKUP(A1397,Response!$A:$M,12,)</f>
        <v>Yes</v>
      </c>
      <c r="Q1397" t="str">
        <f>VLOOKUP(A1397,Response!$A:$M,11,)</f>
        <v>Siruseri</v>
      </c>
      <c r="R1397" t="s">
        <v>19</v>
      </c>
      <c r="S1397" s="39" t="s">
        <v>37</v>
      </c>
    </row>
    <row r="1398" spans="1:19">
      <c r="A1398" s="3">
        <v>2521751</v>
      </c>
      <c r="B1398" t="str">
        <f>VLOOKUP(A1398,File!$A:$J,2,FALSE)</f>
        <v>Nanditha Yenugadhati</v>
      </c>
      <c r="C1398" s="29">
        <f>VLOOKUP(A1398,File!$A:$J,5,FALSE)</f>
        <v>46212</v>
      </c>
      <c r="D1398" s="29" t="str">
        <f>VLOOKUP(A1398,File!$A:$J,3,FALSE)</f>
        <v>Female</v>
      </c>
      <c r="E1398" s="29" t="str">
        <f>VLOOKUP(A1398,File!$A:$J,4,FALSE)</f>
        <v>FTE</v>
      </c>
      <c r="F1398" s="29" t="str">
        <f>VLOOKUP(A1398,File!$A:$J,6,FALSE)</f>
        <v>Chennai</v>
      </c>
      <c r="G1398" s="29" t="str">
        <f>VLOOKUP(A1398,File!$A:$J,7,FALSE)</f>
        <v>QEA26DS001</v>
      </c>
      <c r="H1398" s="29" t="str">
        <f>VLOOKUP(A1398,File!$A:$J,8,FALSE)</f>
        <v>Lourdhu Selvin Raj X</v>
      </c>
      <c r="I1398" s="31">
        <f>VLOOKUP(A1398,File!$A:$J,9,FALSE)</f>
        <v>46325</v>
      </c>
      <c r="J1398" s="31" t="str">
        <f>VLOOKUP(A1398,File!$A:$K,11,FALSE)</f>
        <v>Oct 2026</v>
      </c>
      <c r="K1398" s="31" t="str">
        <f>VLOOKUP(A1398,File!$A:$K,10,FALSE)</f>
        <v>In-Training</v>
      </c>
      <c r="L1398" s="31" t="s">
        <v>4</v>
      </c>
      <c r="M1398" t="str">
        <f>VLOOKUP(A1398,Response!$A:$M,7,)</f>
        <v>PG (Paying Guest)</v>
      </c>
      <c r="N1398" t="str">
        <f>VLOOKUP(A1398,Response!$A:$M,8,)</f>
        <v xml:space="preserve">SRS girls pg, ambedkar street, egattur </v>
      </c>
      <c r="O1398" s="4">
        <f>VLOOKUP(A1398,Response!$A:$M,10,)</f>
        <v>4</v>
      </c>
      <c r="P1398" t="str">
        <f>VLOOKUP(A1398,Response!$A:$M,12,)</f>
        <v>No</v>
      </c>
      <c r="Q1398" t="str">
        <f>VLOOKUP(A1398,Response!$A:$M,11,)</f>
        <v>Egattur</v>
      </c>
      <c r="R1398" t="s">
        <v>19</v>
      </c>
      <c r="S1398" s="39" t="s">
        <v>37</v>
      </c>
    </row>
    <row r="1399" spans="1:19">
      <c r="A1399" s="3">
        <v>2531375</v>
      </c>
      <c r="B1399" t="str">
        <f>VLOOKUP(A1399,File!$A:$J,2,FALSE)</f>
        <v>Vantakula Yamini</v>
      </c>
      <c r="C1399" s="29">
        <f>VLOOKUP(A1399,File!$A:$J,5,FALSE)</f>
        <v>46252</v>
      </c>
      <c r="D1399" s="29" t="str">
        <f>VLOOKUP(A1399,File!$A:$J,3,FALSE)</f>
        <v>Female</v>
      </c>
      <c r="E1399" s="29" t="str">
        <f>VLOOKUP(A1399,File!$A:$J,4,FALSE)</f>
        <v>FTE</v>
      </c>
      <c r="F1399" s="29" t="str">
        <f>VLOOKUP(A1399,File!$A:$J,6,FALSE)</f>
        <v>Chennai</v>
      </c>
      <c r="G1399" s="29" t="str">
        <f>VLOOKUP(A1399,File!$A:$J,7,FALSE)</f>
        <v>CIS26AT007</v>
      </c>
      <c r="H1399" s="29" t="str">
        <f>VLOOKUP(A1399,File!$A:$J,8,FALSE)</f>
        <v>Uma Venkatachalam</v>
      </c>
      <c r="I1399" s="31">
        <f>VLOOKUP(A1399,File!$A:$J,9,FALSE)</f>
        <v>46365</v>
      </c>
      <c r="J1399" s="31" t="str">
        <f>VLOOKUP(A1399,File!$A:$K,11,FALSE)</f>
        <v>Dec 2026</v>
      </c>
      <c r="K1399" s="31" t="str">
        <f>VLOOKUP(A1399,File!$A:$K,10,FALSE)</f>
        <v>In-Training</v>
      </c>
      <c r="L1399" s="31" t="s">
        <v>4</v>
      </c>
      <c r="M1399" t="str">
        <f>VLOOKUP(A1399,Response!$A:$M,7,)</f>
        <v>PG (Paying Guest)</v>
      </c>
      <c r="N1399" t="str">
        <f>VLOOKUP(A1399,Response!$A:$M,8,)</f>
        <v>SRS Girls PG-Branch 6, Navalur</v>
      </c>
      <c r="O1399" s="4">
        <f>VLOOKUP(A1399,Response!$A:$M,10,)</f>
        <v>1</v>
      </c>
      <c r="P1399" t="str">
        <f>VLOOKUP(A1399,Response!$A:$M,12,)</f>
        <v>No</v>
      </c>
      <c r="Q1399" t="str">
        <f>VLOOKUP(A1399,Response!$A:$M,11,)</f>
        <v>Navalur</v>
      </c>
      <c r="R1399" t="s">
        <v>19</v>
      </c>
      <c r="S1399" s="39" t="s">
        <v>37</v>
      </c>
    </row>
    <row r="1400" spans="1:19">
      <c r="A1400" s="3">
        <v>2529789</v>
      </c>
      <c r="B1400" t="str">
        <f>VLOOKUP(A1400,File!$A:$J,2,FALSE)</f>
        <v>Sneha Bose</v>
      </c>
      <c r="C1400" s="29">
        <f>VLOOKUP(A1400,File!$A:$J,5,FALSE)</f>
        <v>46245</v>
      </c>
      <c r="D1400" s="29" t="str">
        <f>VLOOKUP(A1400,File!$A:$J,3,FALSE)</f>
        <v>Female</v>
      </c>
      <c r="E1400" s="29" t="str">
        <f>VLOOKUP(A1400,File!$A:$J,4,FALSE)</f>
        <v>FTE</v>
      </c>
      <c r="F1400" s="29" t="str">
        <f>VLOOKUP(A1400,File!$A:$J,6,FALSE)</f>
        <v>Chennai</v>
      </c>
      <c r="G1400" s="29" t="str">
        <f>VLOOKUP(A1400,File!$A:$J,7,FALSE)</f>
        <v>CIS26MCPT022</v>
      </c>
      <c r="H1400" s="29" t="str">
        <f>VLOOKUP(A1400,File!$A:$J,8,FALSE)</f>
        <v>Laksiya Vijayendran</v>
      </c>
      <c r="I1400" s="31">
        <f>VLOOKUP(A1400,File!$A:$J,9,FALSE)</f>
        <v>46359</v>
      </c>
      <c r="J1400" s="31" t="str">
        <f>VLOOKUP(A1400,File!$A:$K,11,FALSE)</f>
        <v>Dec 2026</v>
      </c>
      <c r="K1400" s="31" t="str">
        <f>VLOOKUP(A1400,File!$A:$K,10,FALSE)</f>
        <v>In-Training</v>
      </c>
      <c r="L1400" s="31" t="s">
        <v>4</v>
      </c>
      <c r="M1400" t="str">
        <f>VLOOKUP(A1400,Response!$A:$M,7,)</f>
        <v>PG (Paying Guest)</v>
      </c>
      <c r="N1400" t="str">
        <f>VLOOKUP(A1400,Response!$A:$M,8,)</f>
        <v>SRS Ladies Hostel</v>
      </c>
      <c r="O1400" s="4">
        <f>VLOOKUP(A1400,Response!$A:$M,10,)</f>
        <v>3</v>
      </c>
      <c r="P1400" t="str">
        <f>VLOOKUP(A1400,Response!$A:$M,12,)</f>
        <v>No</v>
      </c>
      <c r="Q1400" t="str">
        <f>VLOOKUP(A1400,Response!$A:$M,11,)</f>
        <v>Egattur</v>
      </c>
      <c r="R1400" t="s">
        <v>19</v>
      </c>
      <c r="S1400" s="39" t="s">
        <v>37</v>
      </c>
    </row>
    <row r="1401" spans="1:19">
      <c r="A1401" s="3">
        <v>2533158</v>
      </c>
      <c r="B1401" t="str">
        <f>VLOOKUP(A1401,File!$A:$J,2,FALSE)</f>
        <v>Nagalakshmi Sahithi Priya Gorthi</v>
      </c>
      <c r="C1401" s="29">
        <f>VLOOKUP(A1401,File!$A:$J,5,FALSE)</f>
        <v>46259</v>
      </c>
      <c r="D1401" s="29" t="str">
        <f>VLOOKUP(A1401,File!$A:$J,3,FALSE)</f>
        <v>Female</v>
      </c>
      <c r="E1401" s="29" t="str">
        <f>VLOOKUP(A1401,File!$A:$J,4,FALSE)</f>
        <v>FTE</v>
      </c>
      <c r="F1401" s="29" t="str">
        <f>VLOOKUP(A1401,File!$A:$J,6,FALSE)</f>
        <v>Chennai</v>
      </c>
      <c r="G1401" s="29" t="str">
        <f>VLOOKUP(A1401,File!$A:$J,7,FALSE)</f>
        <v>ADM27DFSA001</v>
      </c>
      <c r="H1401" s="29" t="str">
        <f>VLOOKUP(A1401,File!$A:$J,8,FALSE)</f>
        <v>Thomas Naveen. J</v>
      </c>
      <c r="I1401" s="31">
        <f>VLOOKUP(A1401,File!$A:$J,9,FALSE)</f>
        <v>46386</v>
      </c>
      <c r="J1401" s="31" t="str">
        <f>VLOOKUP(A1401,File!$A:$K,11,FALSE)</f>
        <v>Dec 2026</v>
      </c>
      <c r="K1401" s="31" t="str">
        <f>VLOOKUP(A1401,File!$A:$K,10,FALSE)</f>
        <v>In-Training</v>
      </c>
      <c r="L1401" s="31" t="s">
        <v>4</v>
      </c>
      <c r="M1401" t="str">
        <f>VLOOKUP(A1401,Response!$A:$M,7,)</f>
        <v>PG (Paying Guest)</v>
      </c>
      <c r="N1401" t="str">
        <f>VLOOKUP(A1401,Response!$A:$M,8,)</f>
        <v>SRS Ladies Hostel - Branch 3, opp. Marina Mall, Egattur</v>
      </c>
      <c r="O1401" s="4">
        <f>VLOOKUP(A1401,Response!$A:$M,10,)</f>
        <v>1</v>
      </c>
      <c r="P1401" t="str">
        <f>VLOOKUP(A1401,Response!$A:$M,12,)</f>
        <v>Yes</v>
      </c>
      <c r="Q1401" t="str">
        <f>VLOOKUP(A1401,Response!$A:$M,11,)</f>
        <v>Siruseri</v>
      </c>
      <c r="R1401" t="s">
        <v>19</v>
      </c>
      <c r="S1401" s="39" t="s">
        <v>37</v>
      </c>
    </row>
    <row r="1402" spans="1:19">
      <c r="A1402" s="3">
        <v>2519644</v>
      </c>
      <c r="B1402" t="str">
        <f>VLOOKUP(A1402,File!$A:$J,2,FALSE)</f>
        <v>Harini Prakash</v>
      </c>
      <c r="C1402" s="29">
        <f>VLOOKUP(A1402,File!$A:$J,5,FALSE)</f>
        <v>46205</v>
      </c>
      <c r="D1402" s="29" t="str">
        <f>VLOOKUP(A1402,File!$A:$J,3,FALSE)</f>
        <v>Female</v>
      </c>
      <c r="E1402" s="29" t="str">
        <f>VLOOKUP(A1402,File!$A:$J,4,FALSE)</f>
        <v>FTE</v>
      </c>
      <c r="F1402" s="29" t="str">
        <f>VLOOKUP(A1402,File!$A:$J,6,FALSE)</f>
        <v>Chennai</v>
      </c>
      <c r="G1402" s="29" t="str">
        <f>VLOOKUP(A1402,File!$A:$J,7,FALSE)</f>
        <v>CIS26DWP021</v>
      </c>
      <c r="H1402" s="29" t="str">
        <f>VLOOKUP(A1402,File!$A:$J,8,FALSE)</f>
        <v>Laksiya Vijayendran</v>
      </c>
      <c r="I1402" s="31">
        <f>VLOOKUP(A1402,File!$A:$J,9,FALSE)</f>
        <v>46272</v>
      </c>
      <c r="J1402" s="31" t="str">
        <f>VLOOKUP(A1402,File!$A:$K,11,FALSE)</f>
        <v>Sep 2026</v>
      </c>
      <c r="K1402" s="31" t="str">
        <f>VLOOKUP(A1402,File!$A:$K,10,FALSE)</f>
        <v>In-Training</v>
      </c>
      <c r="L1402" s="31" t="s">
        <v>4</v>
      </c>
      <c r="M1402" t="str">
        <f>VLOOKUP(A1402,Response!$A:$M,7,)</f>
        <v>PG (Paying Guest)</v>
      </c>
      <c r="N1402" t="str">
        <f>VLOOKUP(A1402,Response!$A:$M,8,)</f>
        <v>srs ladies hostel -Branch -1,Siruseri</v>
      </c>
      <c r="O1402" s="4">
        <f>VLOOKUP(A1402,Response!$A:$M,10,)</f>
        <v>3</v>
      </c>
      <c r="P1402" t="str">
        <f>VLOOKUP(A1402,Response!$A:$M,12,)</f>
        <v>Yes</v>
      </c>
      <c r="Q1402" t="str">
        <f>VLOOKUP(A1402,Response!$A:$M,11,)</f>
        <v>Padur</v>
      </c>
      <c r="R1402" t="s">
        <v>15</v>
      </c>
      <c r="S1402" s="40" t="s">
        <v>36</v>
      </c>
    </row>
    <row r="1403" spans="1:19">
      <c r="A1403" s="3">
        <v>2525044</v>
      </c>
      <c r="B1403" t="str">
        <f>VLOOKUP(A1403,File!$A:$J,2,FALSE)</f>
        <v>Nayana K M</v>
      </c>
      <c r="C1403" s="29">
        <f>VLOOKUP(A1403,File!$A:$J,5,FALSE)</f>
        <v>46226</v>
      </c>
      <c r="D1403" s="29" t="str">
        <f>VLOOKUP(A1403,File!$A:$J,3,FALSE)</f>
        <v>Female</v>
      </c>
      <c r="E1403" s="29" t="str">
        <f>VLOOKUP(A1403,File!$A:$J,4,FALSE)</f>
        <v>FTE</v>
      </c>
      <c r="F1403" s="29" t="str">
        <f>VLOOKUP(A1403,File!$A:$J,6,FALSE)</f>
        <v>Chennai</v>
      </c>
      <c r="G1403" s="29" t="str">
        <f>VLOOKUP(A1403,File!$A:$J,7,FALSE)</f>
        <v>ADM26ISMO010</v>
      </c>
      <c r="H1403" s="29" t="str">
        <f>VLOOKUP(A1403,File!$A:$J,8,FALSE)</f>
        <v>Thomas Naveen. J</v>
      </c>
      <c r="I1403" s="31">
        <f>VLOOKUP(A1403,File!$A:$J,9,FALSE)</f>
        <v>46301</v>
      </c>
      <c r="J1403" s="31" t="str">
        <f>VLOOKUP(A1403,File!$A:$K,11,FALSE)</f>
        <v>Oct 2026</v>
      </c>
      <c r="K1403" s="31" t="str">
        <f>VLOOKUP(A1403,File!$A:$K,10,FALSE)</f>
        <v>In-Training</v>
      </c>
      <c r="L1403" s="31" t="s">
        <v>4</v>
      </c>
      <c r="M1403" t="str">
        <f>VLOOKUP(A1403,Response!$A:$M,7,)</f>
        <v>PG (Paying Guest)</v>
      </c>
      <c r="N1403" t="str">
        <f>VLOOKUP(A1403,Response!$A:$M,8,)</f>
        <v xml:space="preserve">SRS Ladies P G  branch 1 Egattur </v>
      </c>
      <c r="O1403" s="4">
        <f>VLOOKUP(A1403,Response!$A:$M,10,)</f>
        <v>2</v>
      </c>
      <c r="P1403" t="str">
        <f>VLOOKUP(A1403,Response!$A:$M,12,)</f>
        <v>No</v>
      </c>
      <c r="Q1403" t="str">
        <f>VLOOKUP(A1403,Response!$A:$M,11,)</f>
        <v>Egattur</v>
      </c>
      <c r="R1403" t="s">
        <v>19</v>
      </c>
      <c r="S1403" s="39" t="s">
        <v>37</v>
      </c>
    </row>
    <row r="1404" spans="1:19">
      <c r="A1404" s="3">
        <v>2521713</v>
      </c>
      <c r="B1404" t="str">
        <f>VLOOKUP(A1404,File!$A:$J,2,FALSE)</f>
        <v>Anet Rose Shaju</v>
      </c>
      <c r="C1404" s="29">
        <f>VLOOKUP(A1404,File!$A:$J,5,FALSE)</f>
        <v>46212</v>
      </c>
      <c r="D1404" s="29" t="str">
        <f>VLOOKUP(A1404,File!$A:$J,3,FALSE)</f>
        <v>Female</v>
      </c>
      <c r="E1404" s="29" t="str">
        <f>VLOOKUP(A1404,File!$A:$J,4,FALSE)</f>
        <v>FTE</v>
      </c>
      <c r="F1404" s="29" t="str">
        <f>VLOOKUP(A1404,File!$A:$J,6,FALSE)</f>
        <v>Chennai</v>
      </c>
      <c r="G1404" s="29" t="str">
        <f>VLOOKUP(A1404,File!$A:$J,7,FALSE)</f>
        <v>ADM26DNAT003</v>
      </c>
      <c r="H1404" s="29" t="str">
        <f>VLOOKUP(A1404,File!$A:$J,8,FALSE)</f>
        <v>Athira P</v>
      </c>
      <c r="I1404" s="31">
        <f>VLOOKUP(A1404,File!$A:$J,9,FALSE)</f>
        <v>46318</v>
      </c>
      <c r="J1404" s="31" t="str">
        <f>VLOOKUP(A1404,File!$A:$K,11,FALSE)</f>
        <v>Oct 2026</v>
      </c>
      <c r="K1404" s="31" t="str">
        <f>VLOOKUP(A1404,File!$A:$K,10,FALSE)</f>
        <v>In-Training</v>
      </c>
      <c r="L1404" s="31" t="s">
        <v>4</v>
      </c>
      <c r="M1404" t="str">
        <f>VLOOKUP(A1404,Response!$A:$M,7,)</f>
        <v>PG (Paying Guest)</v>
      </c>
      <c r="N1404" t="str">
        <f>VLOOKUP(A1404,Response!$A:$M,8,)</f>
        <v>SRS Ladies PG</v>
      </c>
      <c r="O1404" s="4">
        <f>VLOOKUP(A1404,Response!$A:$M,10,)</f>
        <v>2</v>
      </c>
      <c r="P1404" t="str">
        <f>VLOOKUP(A1404,Response!$A:$M,12,)</f>
        <v>No</v>
      </c>
      <c r="Q1404" t="str">
        <f>VLOOKUP(A1404,Response!$A:$M,11,)</f>
        <v>Siruseri</v>
      </c>
      <c r="R1404" t="s">
        <v>19</v>
      </c>
      <c r="S1404" s="39" t="s">
        <v>37</v>
      </c>
    </row>
    <row r="1405" spans="1:19">
      <c r="A1405" s="3">
        <v>2529764</v>
      </c>
      <c r="B1405" t="str">
        <f>VLOOKUP(A1405,File!$A:$J,2,FALSE)</f>
        <v>Vedika Pankaj Toke</v>
      </c>
      <c r="C1405" s="29">
        <f>VLOOKUP(A1405,File!$A:$J,5,FALSE)</f>
        <v>46245</v>
      </c>
      <c r="D1405" s="29" t="str">
        <f>VLOOKUP(A1405,File!$A:$J,3,FALSE)</f>
        <v>Female</v>
      </c>
      <c r="E1405" s="29" t="str">
        <f>VLOOKUP(A1405,File!$A:$J,4,FALSE)</f>
        <v>FTE</v>
      </c>
      <c r="F1405" s="29" t="str">
        <f>VLOOKUP(A1405,File!$A:$J,6,FALSE)</f>
        <v>Chennai</v>
      </c>
      <c r="G1405" s="29" t="str">
        <f>VLOOKUP(A1405,File!$A:$J,7,FALSE)</f>
        <v>CIS26MCPT021</v>
      </c>
      <c r="H1405" s="29" t="str">
        <f>VLOOKUP(A1405,File!$A:$J,8,FALSE)</f>
        <v>Uma Venkatachalam</v>
      </c>
      <c r="I1405" s="31">
        <f>VLOOKUP(A1405,File!$A:$J,9,FALSE)</f>
        <v>46364</v>
      </c>
      <c r="J1405" s="31" t="str">
        <f>VLOOKUP(A1405,File!$A:$K,11,FALSE)</f>
        <v>Dec 2026</v>
      </c>
      <c r="K1405" s="31" t="str">
        <f>VLOOKUP(A1405,File!$A:$K,10,FALSE)</f>
        <v>In-Training</v>
      </c>
      <c r="L1405" s="31" t="s">
        <v>4</v>
      </c>
      <c r="M1405" t="str">
        <f>VLOOKUP(A1405,Response!$A:$M,7,)</f>
        <v>PG (Paying Guest)</v>
      </c>
      <c r="N1405" t="str">
        <f>VLOOKUP(A1405,Response!$A:$M,8,)</f>
        <v>SRS ladies Pg</v>
      </c>
      <c r="O1405" s="4">
        <f>VLOOKUP(A1405,Response!$A:$M,10,)</f>
        <v>3</v>
      </c>
      <c r="P1405" t="str">
        <f>VLOOKUP(A1405,Response!$A:$M,12,)</f>
        <v>No</v>
      </c>
      <c r="Q1405" t="str">
        <f>VLOOKUP(A1405,Response!$A:$M,11,)</f>
        <v>Egattur</v>
      </c>
      <c r="R1405" t="s">
        <v>19</v>
      </c>
      <c r="S1405" s="39" t="s">
        <v>37</v>
      </c>
    </row>
    <row r="1406" spans="1:19">
      <c r="A1406" s="3">
        <v>2521658</v>
      </c>
      <c r="B1406" t="str">
        <f>VLOOKUP(A1406,File!$A:$J,2,FALSE)</f>
        <v>Divya Dhanapal</v>
      </c>
      <c r="C1406" s="29">
        <f>VLOOKUP(A1406,File!$A:$J,5,FALSE)</f>
        <v>46212</v>
      </c>
      <c r="D1406" s="29" t="str">
        <f>VLOOKUP(A1406,File!$A:$J,3,FALSE)</f>
        <v>Female</v>
      </c>
      <c r="E1406" s="29" t="str">
        <f>VLOOKUP(A1406,File!$A:$J,4,FALSE)</f>
        <v>FTE</v>
      </c>
      <c r="F1406" s="29" t="str">
        <f>VLOOKUP(A1406,File!$A:$J,6,FALSE)</f>
        <v>Chennai</v>
      </c>
      <c r="G1406" s="29" t="str">
        <f>VLOOKUP(A1406,File!$A:$J,7,FALSE)</f>
        <v>ADM26DNAT003</v>
      </c>
      <c r="H1406" s="29" t="str">
        <f>VLOOKUP(A1406,File!$A:$J,8,FALSE)</f>
        <v>Athira P</v>
      </c>
      <c r="I1406" s="31">
        <f>VLOOKUP(A1406,File!$A:$J,9,FALSE)</f>
        <v>46318</v>
      </c>
      <c r="J1406" s="31" t="str">
        <f>VLOOKUP(A1406,File!$A:$K,11,FALSE)</f>
        <v>Oct 2026</v>
      </c>
      <c r="K1406" s="31" t="str">
        <f>VLOOKUP(A1406,File!$A:$K,10,FALSE)</f>
        <v>In-Training</v>
      </c>
      <c r="L1406" s="31" t="s">
        <v>4</v>
      </c>
      <c r="M1406" t="str">
        <f>VLOOKUP(A1406,Response!$A:$M,7,)</f>
        <v>PG (Paying Guest)</v>
      </c>
      <c r="N1406" t="str">
        <f>VLOOKUP(A1406,Response!$A:$M,8,)</f>
        <v>SRS Ladies PG - Branch - 2, Egattur</v>
      </c>
      <c r="O1406" s="4" t="str">
        <f>VLOOKUP(A1406,Response!$A:$M,10,)</f>
        <v>GF</v>
      </c>
      <c r="P1406" t="str">
        <f>VLOOKUP(A1406,Response!$A:$M,12,)</f>
        <v>No</v>
      </c>
      <c r="Q1406" t="str">
        <f>VLOOKUP(A1406,Response!$A:$M,11,)</f>
        <v>Egattur</v>
      </c>
      <c r="R1406" t="s">
        <v>19</v>
      </c>
      <c r="S1406" s="39" t="s">
        <v>37</v>
      </c>
    </row>
    <row r="1407" spans="1:19">
      <c r="A1407" s="3">
        <v>2521273</v>
      </c>
      <c r="B1407" t="str">
        <f>VLOOKUP(A1407,File!$A:$J,2,FALSE)</f>
        <v>Vanimireddy Himaja</v>
      </c>
      <c r="C1407" s="29">
        <f>VLOOKUP(A1407,File!$A:$J,5,FALSE)</f>
        <v>46210</v>
      </c>
      <c r="D1407" s="29" t="str">
        <f>VLOOKUP(A1407,File!$A:$J,3,FALSE)</f>
        <v>Female</v>
      </c>
      <c r="E1407" s="29" t="str">
        <f>VLOOKUP(A1407,File!$A:$J,4,FALSE)</f>
        <v>FTE</v>
      </c>
      <c r="F1407" s="29" t="str">
        <f>VLOOKUP(A1407,File!$A:$J,6,FALSE)</f>
        <v>Chennai</v>
      </c>
      <c r="G1407" s="29" t="str">
        <f>VLOOKUP(A1407,File!$A:$J,7,FALSE)</f>
        <v>CIS26SN001</v>
      </c>
      <c r="H1407" s="29" t="str">
        <f>VLOOKUP(A1407,File!$A:$J,8,FALSE)</f>
        <v>Ashiya Begam S</v>
      </c>
      <c r="I1407" s="31">
        <f>VLOOKUP(A1407,File!$A:$J,9,FALSE)</f>
        <v>46281</v>
      </c>
      <c r="J1407" s="31" t="str">
        <f>VLOOKUP(A1407,File!$A:$K,11,FALSE)</f>
        <v>Sep 2026</v>
      </c>
      <c r="K1407" s="31" t="str">
        <f>VLOOKUP(A1407,File!$A:$K,10,FALSE)</f>
        <v>In-Training</v>
      </c>
      <c r="L1407" s="31" t="s">
        <v>4</v>
      </c>
      <c r="M1407" t="str">
        <f>VLOOKUP(A1407,Response!$A:$M,7,)</f>
        <v>PG (Paying Guest)</v>
      </c>
      <c r="N1407" t="str">
        <f>VLOOKUP(A1407,Response!$A:$M,8,)</f>
        <v>SRS Ladies PG - Branch 5 , Egattur</v>
      </c>
      <c r="O1407" s="4">
        <f>VLOOKUP(A1407,Response!$A:$M,10,)</f>
        <v>3</v>
      </c>
      <c r="P1407" t="str">
        <f>VLOOKUP(A1407,Response!$A:$M,12,)</f>
        <v>Yes</v>
      </c>
      <c r="Q1407" t="str">
        <f>VLOOKUP(A1407,Response!$A:$M,11,)</f>
        <v>Egattur</v>
      </c>
      <c r="R1407" t="s">
        <v>19</v>
      </c>
      <c r="S1407" s="39" t="s">
        <v>37</v>
      </c>
    </row>
    <row r="1408" spans="1:19">
      <c r="A1408" s="3">
        <v>2533191</v>
      </c>
      <c r="B1408" t="str">
        <f>VLOOKUP(A1408,File!$A:$J,2,FALSE)</f>
        <v>Padmaja Katuri</v>
      </c>
      <c r="C1408" s="29">
        <f>VLOOKUP(A1408,File!$A:$J,5,FALSE)</f>
        <v>46259</v>
      </c>
      <c r="D1408" s="29" t="str">
        <f>VLOOKUP(A1408,File!$A:$J,3,FALSE)</f>
        <v>Female</v>
      </c>
      <c r="E1408" s="29" t="str">
        <f>VLOOKUP(A1408,File!$A:$J,4,FALSE)</f>
        <v>FTE</v>
      </c>
      <c r="F1408" s="29" t="str">
        <f>VLOOKUP(A1408,File!$A:$J,6,FALSE)</f>
        <v>Chennai</v>
      </c>
      <c r="G1408" s="29" t="str">
        <f>VLOOKUP(A1408,File!$A:$J,7,FALSE)</f>
        <v>CIS26MBG006</v>
      </c>
      <c r="H1408" s="29" t="str">
        <f>VLOOKUP(A1408,File!$A:$J,8,FALSE)</f>
        <v>Angel Maria Faustina Gomez</v>
      </c>
      <c r="I1408" s="31">
        <f>VLOOKUP(A1408,File!$A:$J,9,FALSE)</f>
        <v>46367</v>
      </c>
      <c r="J1408" s="31" t="str">
        <f>VLOOKUP(A1408,File!$A:$K,11,FALSE)</f>
        <v>Dec 2026</v>
      </c>
      <c r="K1408" s="31" t="str">
        <f>VLOOKUP(A1408,File!$A:$K,10,FALSE)</f>
        <v>In-Training</v>
      </c>
      <c r="L1408" s="31" t="s">
        <v>4</v>
      </c>
      <c r="M1408" t="str">
        <f>VLOOKUP(A1408,Response!$A:$M,7,)</f>
        <v>PG (Paying Guest)</v>
      </c>
      <c r="N1408" t="str">
        <f>VLOOKUP(A1408,Response!$A:$M,8,)</f>
        <v>SRS ladies PG - Branch 6, Egattur</v>
      </c>
      <c r="O1408" s="4">
        <f>VLOOKUP(A1408,Response!$A:$M,10,)</f>
        <v>3</v>
      </c>
      <c r="P1408" t="str">
        <f>VLOOKUP(A1408,Response!$A:$M,12,)</f>
        <v>No</v>
      </c>
      <c r="Q1408" t="str">
        <f>VLOOKUP(A1408,Response!$A:$M,11,)</f>
        <v>Egattur</v>
      </c>
      <c r="R1408" t="s">
        <v>19</v>
      </c>
      <c r="S1408" s="39" t="s">
        <v>37</v>
      </c>
    </row>
    <row r="1409" spans="1:19">
      <c r="A1409" s="3">
        <v>2520972</v>
      </c>
      <c r="B1409" t="str">
        <f>VLOOKUP(A1409,File!$A:$J,2,FALSE)</f>
        <v>Sindhu D B</v>
      </c>
      <c r="C1409" s="29">
        <f>VLOOKUP(A1409,File!$A:$J,5,FALSE)</f>
        <v>46210</v>
      </c>
      <c r="D1409" s="29" t="str">
        <f>VLOOKUP(A1409,File!$A:$J,3,FALSE)</f>
        <v>Female</v>
      </c>
      <c r="E1409" s="29" t="str">
        <f>VLOOKUP(A1409,File!$A:$J,4,FALSE)</f>
        <v>FTE</v>
      </c>
      <c r="F1409" s="29" t="str">
        <f>VLOOKUP(A1409,File!$A:$J,6,FALSE)</f>
        <v>Chennai</v>
      </c>
      <c r="G1409" s="29" t="str">
        <f>VLOOKUP(A1409,File!$A:$J,7,FALSE)</f>
        <v>HPC26DN005</v>
      </c>
      <c r="H1409" s="29" t="str">
        <f>VLOOKUP(A1409,File!$A:$J,8,FALSE)</f>
        <v>Viveka Preethi</v>
      </c>
      <c r="I1409" s="31">
        <f>VLOOKUP(A1409,File!$A:$J,9,FALSE)</f>
        <v>46296</v>
      </c>
      <c r="J1409" s="31" t="str">
        <f>VLOOKUP(A1409,File!$A:$K,11,FALSE)</f>
        <v>Oct 2026</v>
      </c>
      <c r="K1409" s="31" t="str">
        <f>VLOOKUP(A1409,File!$A:$K,10,FALSE)</f>
        <v>In-Training</v>
      </c>
      <c r="L1409" s="31" t="s">
        <v>4</v>
      </c>
      <c r="M1409" t="str">
        <f>VLOOKUP(A1409,Response!$A:$M,7,)</f>
        <v>PG (Paying Guest)</v>
      </c>
      <c r="N1409" t="str">
        <f>VLOOKUP(A1409,Response!$A:$M,8,)</f>
        <v>SRS LADIES PG Branch 5, Egattur</v>
      </c>
      <c r="O1409" s="4">
        <f>VLOOKUP(A1409,Response!$A:$M,10,)</f>
        <v>5</v>
      </c>
      <c r="P1409" t="str">
        <f>VLOOKUP(A1409,Response!$A:$M,12,)</f>
        <v>No</v>
      </c>
      <c r="Q1409" t="str">
        <f>VLOOKUP(A1409,Response!$A:$M,11,)</f>
        <v>Egattur</v>
      </c>
      <c r="R1409" t="s">
        <v>19</v>
      </c>
      <c r="S1409" s="39" t="s">
        <v>37</v>
      </c>
    </row>
    <row r="1410" spans="1:19">
      <c r="A1410" s="3">
        <v>2521657</v>
      </c>
      <c r="B1410" t="str">
        <f>VLOOKUP(A1410,File!$A:$J,2,FALSE)</f>
        <v>Parupalli Lavanya</v>
      </c>
      <c r="C1410" s="29">
        <f>VLOOKUP(A1410,File!$A:$J,5,FALSE)</f>
        <v>46212</v>
      </c>
      <c r="D1410" s="29" t="str">
        <f>VLOOKUP(A1410,File!$A:$J,3,FALSE)</f>
        <v>Female</v>
      </c>
      <c r="E1410" s="29" t="str">
        <f>VLOOKUP(A1410,File!$A:$J,4,FALSE)</f>
        <v>FTE</v>
      </c>
      <c r="F1410" s="29" t="str">
        <f>VLOOKUP(A1410,File!$A:$J,6,FALSE)</f>
        <v>Chennai</v>
      </c>
      <c r="G1410" s="29" t="str">
        <f>VLOOKUP(A1410,File!$A:$J,7,FALSE)</f>
        <v>ADM26MF010</v>
      </c>
      <c r="H1410" s="29" t="str">
        <f>VLOOKUP(A1410,File!$A:$J,8,FALSE)</f>
        <v>Thomas Naveen. J</v>
      </c>
      <c r="I1410" s="31">
        <f>VLOOKUP(A1410,File!$A:$J,9,FALSE)</f>
        <v>46328</v>
      </c>
      <c r="J1410" s="31" t="str">
        <f>VLOOKUP(A1410,File!$A:$K,11,FALSE)</f>
        <v>Nov 2026</v>
      </c>
      <c r="K1410" s="31" t="str">
        <f>VLOOKUP(A1410,File!$A:$K,10,FALSE)</f>
        <v>In-Training</v>
      </c>
      <c r="L1410" s="31" t="s">
        <v>4</v>
      </c>
      <c r="M1410" t="str">
        <f>VLOOKUP(A1410,Response!$A:$M,7,)</f>
        <v>PG (Paying Guest)</v>
      </c>
      <c r="N1410" t="str">
        <f>VLOOKUP(A1410,Response!$A:$M,8,)</f>
        <v>SRS LADIES PG EGATTUR</v>
      </c>
      <c r="O1410" s="4">
        <f>VLOOKUP(A1410,Response!$A:$M,10,)</f>
        <v>3</v>
      </c>
      <c r="P1410" t="str">
        <f>VLOOKUP(A1410,Response!$A:$M,12,)</f>
        <v>No</v>
      </c>
      <c r="Q1410" t="str">
        <f>VLOOKUP(A1410,Response!$A:$M,11,)</f>
        <v>Egattur</v>
      </c>
      <c r="R1410" t="s">
        <v>19</v>
      </c>
      <c r="S1410" s="39" t="s">
        <v>37</v>
      </c>
    </row>
    <row r="1411" spans="1:19">
      <c r="A1411" s="3">
        <v>2529700</v>
      </c>
      <c r="B1411" t="str">
        <f>VLOOKUP(A1411,File!$A:$J,2,FALSE)</f>
        <v>Tummala Lakshmi Narasamma</v>
      </c>
      <c r="C1411" s="29">
        <f>VLOOKUP(A1411,File!$A:$J,5,FALSE)</f>
        <v>46245</v>
      </c>
      <c r="D1411" s="29" t="str">
        <f>VLOOKUP(A1411,File!$A:$J,3,FALSE)</f>
        <v>Female</v>
      </c>
      <c r="E1411" s="29" t="str">
        <f>VLOOKUP(A1411,File!$A:$J,4,FALSE)</f>
        <v>FTE</v>
      </c>
      <c r="F1411" s="29" t="str">
        <f>VLOOKUP(A1411,File!$A:$J,6,FALSE)</f>
        <v>Chennai</v>
      </c>
      <c r="G1411" s="29" t="str">
        <f>VLOOKUP(A1411,File!$A:$J,7,FALSE)</f>
        <v>CIS26AZ001</v>
      </c>
      <c r="H1411" s="29" t="str">
        <f>VLOOKUP(A1411,File!$A:$J,8,FALSE)</f>
        <v>Ashiya Begam S</v>
      </c>
      <c r="I1411" s="31">
        <f>VLOOKUP(A1411,File!$A:$J,9,FALSE)</f>
        <v>46335</v>
      </c>
      <c r="J1411" s="31" t="str">
        <f>VLOOKUP(A1411,File!$A:$K,11,FALSE)</f>
        <v>Nov 2026</v>
      </c>
      <c r="K1411" s="31" t="str">
        <f>VLOOKUP(A1411,File!$A:$K,10,FALSE)</f>
        <v>In-Training</v>
      </c>
      <c r="L1411" s="31" t="s">
        <v>4</v>
      </c>
      <c r="M1411" t="str">
        <f>VLOOKUP(A1411,Response!$A:$M,7,)</f>
        <v>PG (Paying Guest)</v>
      </c>
      <c r="N1411" t="str">
        <f>VLOOKUP(A1411,Response!$A:$M,8,)</f>
        <v>SRS Ladies PG-Branch 1 Egattur</v>
      </c>
      <c r="O1411" s="4">
        <f>VLOOKUP(A1411,Response!$A:$M,10,)</f>
        <v>3</v>
      </c>
      <c r="P1411" t="str">
        <f>VLOOKUP(A1411,Response!$A:$M,12,)</f>
        <v>No</v>
      </c>
      <c r="Q1411" t="str">
        <f>VLOOKUP(A1411,Response!$A:$M,11,)</f>
        <v>Siruseri</v>
      </c>
      <c r="R1411" t="s">
        <v>19</v>
      </c>
      <c r="S1411" s="39" t="s">
        <v>37</v>
      </c>
    </row>
    <row r="1412" spans="1:19">
      <c r="A1412" s="3">
        <v>2521648</v>
      </c>
      <c r="B1412" t="str">
        <f>VLOOKUP(A1412,File!$A:$J,2,FALSE)</f>
        <v>Akshatha LNU</v>
      </c>
      <c r="C1412" s="29">
        <f>VLOOKUP(A1412,File!$A:$J,5,FALSE)</f>
        <v>46212</v>
      </c>
      <c r="D1412" s="29" t="str">
        <f>VLOOKUP(A1412,File!$A:$J,3,FALSE)</f>
        <v>Female</v>
      </c>
      <c r="E1412" s="29" t="str">
        <f>VLOOKUP(A1412,File!$A:$J,4,FALSE)</f>
        <v>FTE</v>
      </c>
      <c r="F1412" s="29" t="str">
        <f>VLOOKUP(A1412,File!$A:$J,6,FALSE)</f>
        <v>Chennai</v>
      </c>
      <c r="G1412" s="29" t="str">
        <f>VLOOKUP(A1412,File!$A:$J,7,FALSE)</f>
        <v>ADM26MF010</v>
      </c>
      <c r="H1412" s="29" t="str">
        <f>VLOOKUP(A1412,File!$A:$J,8,FALSE)</f>
        <v>Thomas Naveen. J</v>
      </c>
      <c r="I1412" s="31">
        <f>VLOOKUP(A1412,File!$A:$J,9,FALSE)</f>
        <v>46328</v>
      </c>
      <c r="J1412" s="31" t="str">
        <f>VLOOKUP(A1412,File!$A:$K,11,FALSE)</f>
        <v>Nov 2026</v>
      </c>
      <c r="K1412" s="31" t="str">
        <f>VLOOKUP(A1412,File!$A:$K,10,FALSE)</f>
        <v>In-Training</v>
      </c>
      <c r="L1412" s="31" t="s">
        <v>4</v>
      </c>
      <c r="M1412" t="str">
        <f>VLOOKUP(A1412,Response!$A:$M,7,)</f>
        <v>PG (Paying Guest)</v>
      </c>
      <c r="N1412" t="str">
        <f>VLOOKUP(A1412,Response!$A:$M,8,)</f>
        <v>SRS Luxury  ladies PG ,Doctor Ambedkar Street ,Sipcot,Egattur</v>
      </c>
      <c r="O1412" s="4">
        <f>VLOOKUP(A1412,Response!$A:$M,10,)</f>
        <v>4</v>
      </c>
      <c r="P1412" t="str">
        <f>VLOOKUP(A1412,Response!$A:$M,12,)</f>
        <v>No</v>
      </c>
      <c r="Q1412" t="str">
        <f>VLOOKUP(A1412,Response!$A:$M,11,)</f>
        <v>Egattur</v>
      </c>
      <c r="R1412" t="s">
        <v>19</v>
      </c>
      <c r="S1412" s="39" t="s">
        <v>37</v>
      </c>
    </row>
    <row r="1413" spans="1:19">
      <c r="A1413" s="3">
        <v>2533224</v>
      </c>
      <c r="B1413" t="str">
        <f>VLOOKUP(A1413,File!$A:$J,2,FALSE)</f>
        <v>Battu Sisira Neha</v>
      </c>
      <c r="C1413" s="29">
        <f>VLOOKUP(A1413,File!$A:$J,5,FALSE)</f>
        <v>46259</v>
      </c>
      <c r="D1413" s="29" t="str">
        <f>VLOOKUP(A1413,File!$A:$J,3,FALSE)</f>
        <v>Female</v>
      </c>
      <c r="E1413" s="29" t="str">
        <f>VLOOKUP(A1413,File!$A:$J,4,FALSE)</f>
        <v>FTE</v>
      </c>
      <c r="F1413" s="29" t="str">
        <f>VLOOKUP(A1413,File!$A:$J,6,FALSE)</f>
        <v>Chennai</v>
      </c>
      <c r="G1413" s="29" t="str">
        <f>VLOOKUP(A1413,File!$A:$J,7,FALSE)</f>
        <v>CIS26MBG006</v>
      </c>
      <c r="H1413" s="29" t="str">
        <f>VLOOKUP(A1413,File!$A:$J,8,FALSE)</f>
        <v>Angel Maria Faustina Gomez</v>
      </c>
      <c r="I1413" s="31">
        <f>VLOOKUP(A1413,File!$A:$J,9,FALSE)</f>
        <v>46367</v>
      </c>
      <c r="J1413" s="31" t="str">
        <f>VLOOKUP(A1413,File!$A:$K,11,FALSE)</f>
        <v>Dec 2026</v>
      </c>
      <c r="K1413" s="31" t="str">
        <f>VLOOKUP(A1413,File!$A:$K,10,FALSE)</f>
        <v>In-Training</v>
      </c>
      <c r="L1413" s="31" t="s">
        <v>4</v>
      </c>
      <c r="M1413" t="str">
        <f>VLOOKUP(A1413,Response!$A:$M,7,)</f>
        <v>PG (Paying Guest)</v>
      </c>
      <c r="N1413" t="str">
        <f>VLOOKUP(A1413,Response!$A:$M,8,)</f>
        <v>SRS Luxury Ladies Hostel, Branch-1, Egattur</v>
      </c>
      <c r="O1413" s="4">
        <f>VLOOKUP(A1413,Response!$A:$M,10,)</f>
        <v>1</v>
      </c>
      <c r="P1413" t="str">
        <f>VLOOKUP(A1413,Response!$A:$M,12,)</f>
        <v>No</v>
      </c>
      <c r="Q1413" t="str">
        <f>VLOOKUP(A1413,Response!$A:$M,11,)</f>
        <v>Egattur</v>
      </c>
      <c r="R1413" t="s">
        <v>19</v>
      </c>
      <c r="S1413" s="39" t="s">
        <v>37</v>
      </c>
    </row>
    <row r="1414" spans="1:19">
      <c r="A1414" s="3">
        <v>2533209</v>
      </c>
      <c r="B1414" t="str">
        <f>VLOOKUP(A1414,File!$A:$J,2,FALSE)</f>
        <v>Durga Naga Deepika Katreddy</v>
      </c>
      <c r="C1414" s="29">
        <f>VLOOKUP(A1414,File!$A:$J,5,FALSE)</f>
        <v>46259</v>
      </c>
      <c r="D1414" s="29" t="str">
        <f>VLOOKUP(A1414,File!$A:$J,3,FALSE)</f>
        <v>Female</v>
      </c>
      <c r="E1414" s="29" t="str">
        <f>VLOOKUP(A1414,File!$A:$J,4,FALSE)</f>
        <v>FTE</v>
      </c>
      <c r="F1414" s="29" t="str">
        <f>VLOOKUP(A1414,File!$A:$J,6,FALSE)</f>
        <v>Chennai</v>
      </c>
      <c r="G1414" s="29" t="str">
        <f>VLOOKUP(A1414,File!$A:$J,7,FALSE)</f>
        <v>CIS26MBG004</v>
      </c>
      <c r="H1414" s="29" t="str">
        <f>VLOOKUP(A1414,File!$A:$J,8,FALSE)</f>
        <v>Kishorekumar P</v>
      </c>
      <c r="I1414" s="31">
        <f>VLOOKUP(A1414,File!$A:$J,9,FALSE)</f>
        <v>46367</v>
      </c>
      <c r="J1414" s="31" t="str">
        <f>VLOOKUP(A1414,File!$A:$K,11,FALSE)</f>
        <v>Dec 2026</v>
      </c>
      <c r="K1414" s="31" t="str">
        <f>VLOOKUP(A1414,File!$A:$K,10,FALSE)</f>
        <v>In-Training</v>
      </c>
      <c r="L1414" s="31" t="s">
        <v>4</v>
      </c>
      <c r="M1414" t="str">
        <f>VLOOKUP(A1414,Response!$A:$M,7,)</f>
        <v>PG (Paying Guest)</v>
      </c>
      <c r="N1414" t="str">
        <f>VLOOKUP(A1414,Response!$A:$M,8,)</f>
        <v>SRS LUXURY LADIES HOSTEL, BRANCH1, NAVALUR</v>
      </c>
      <c r="O1414" s="4">
        <f>VLOOKUP(A1414,Response!$A:$M,10,)</f>
        <v>1</v>
      </c>
      <c r="P1414" t="str">
        <f>VLOOKUP(A1414,Response!$A:$M,12,)</f>
        <v>Yes</v>
      </c>
      <c r="Q1414" t="str">
        <f>VLOOKUP(A1414,Response!$A:$M,11,)</f>
        <v>Egattur</v>
      </c>
      <c r="R1414" t="s">
        <v>19</v>
      </c>
      <c r="S1414" s="39" t="s">
        <v>37</v>
      </c>
    </row>
    <row r="1415" spans="1:19">
      <c r="A1415" s="3">
        <v>2531272</v>
      </c>
      <c r="B1415" t="str">
        <f>VLOOKUP(A1415,File!$A:$J,2,FALSE)</f>
        <v>Priyadharshini D</v>
      </c>
      <c r="C1415" s="29">
        <f>VLOOKUP(A1415,File!$A:$J,5,FALSE)</f>
        <v>46252</v>
      </c>
      <c r="D1415" s="29" t="str">
        <f>VLOOKUP(A1415,File!$A:$J,3,FALSE)</f>
        <v>Female</v>
      </c>
      <c r="E1415" s="29" t="str">
        <f>VLOOKUP(A1415,File!$A:$J,4,FALSE)</f>
        <v>FTE</v>
      </c>
      <c r="F1415" s="29" t="str">
        <f>VLOOKUP(A1415,File!$A:$J,6,FALSE)</f>
        <v>Chennai</v>
      </c>
      <c r="G1415" s="29" t="str">
        <f>VLOOKUP(A1415,File!$A:$J,7,FALSE)</f>
        <v>CIS26DWP030</v>
      </c>
      <c r="H1415" s="29" t="str">
        <f>VLOOKUP(A1415,File!$A:$J,8,FALSE)</f>
        <v>Prokriti Biswas</v>
      </c>
      <c r="I1415" s="31">
        <f>VLOOKUP(A1415,File!$A:$J,9,FALSE)</f>
        <v>46324</v>
      </c>
      <c r="J1415" s="31" t="str">
        <f>VLOOKUP(A1415,File!$A:$K,11,FALSE)</f>
        <v>Oct 2026</v>
      </c>
      <c r="K1415" s="31" t="str">
        <f>VLOOKUP(A1415,File!$A:$K,10,FALSE)</f>
        <v>In-Training</v>
      </c>
      <c r="L1415" s="31" t="s">
        <v>4</v>
      </c>
      <c r="M1415" t="str">
        <f>VLOOKUP(A1415,Response!$A:$M,7,)</f>
        <v>PG (Paying Guest)</v>
      </c>
      <c r="N1415" t="str">
        <f>VLOOKUP(A1415,Response!$A:$M,8,)</f>
        <v>SRS Luxury ladies PG - Branch 1, Egattur</v>
      </c>
      <c r="O1415" s="4">
        <f>VLOOKUP(A1415,Response!$A:$M,10,)</f>
        <v>5</v>
      </c>
      <c r="P1415" t="str">
        <f>VLOOKUP(A1415,Response!$A:$M,12,)</f>
        <v>Yes</v>
      </c>
      <c r="Q1415" t="str">
        <f>VLOOKUP(A1415,Response!$A:$M,11,)</f>
        <v>Egattur</v>
      </c>
      <c r="R1415" t="s">
        <v>19</v>
      </c>
      <c r="S1415" s="39" t="s">
        <v>37</v>
      </c>
    </row>
    <row r="1416" spans="1:19">
      <c r="A1416" s="3">
        <v>2521166</v>
      </c>
      <c r="B1416" t="str">
        <f>VLOOKUP(A1416,File!$A:$J,2,FALSE)</f>
        <v>Lavanya Panchakshari Tumminakatte</v>
      </c>
      <c r="C1416" s="29">
        <f>VLOOKUP(A1416,File!$A:$J,5,FALSE)</f>
        <v>46210</v>
      </c>
      <c r="D1416" s="29" t="str">
        <f>VLOOKUP(A1416,File!$A:$J,3,FALSE)</f>
        <v>Female</v>
      </c>
      <c r="E1416" s="29" t="str">
        <f>VLOOKUP(A1416,File!$A:$J,4,FALSE)</f>
        <v>FTE</v>
      </c>
      <c r="F1416" s="29" t="str">
        <f>VLOOKUP(A1416,File!$A:$J,6,FALSE)</f>
        <v>Chennai</v>
      </c>
      <c r="G1416" s="29" t="str">
        <f>VLOOKUP(A1416,File!$A:$J,7,FALSE)</f>
        <v>CIS26UNIX004</v>
      </c>
      <c r="H1416" s="29" t="str">
        <f>VLOOKUP(A1416,File!$A:$J,8,FALSE)</f>
        <v>Haritha P</v>
      </c>
      <c r="I1416" s="31">
        <f>VLOOKUP(A1416,File!$A:$J,9,FALSE)</f>
        <v>46289</v>
      </c>
      <c r="J1416" s="31" t="str">
        <f>VLOOKUP(A1416,File!$A:$K,11,FALSE)</f>
        <v>Sep 2026</v>
      </c>
      <c r="K1416" s="31" t="str">
        <f>VLOOKUP(A1416,File!$A:$K,10,FALSE)</f>
        <v>In-Training</v>
      </c>
      <c r="L1416" s="31" t="s">
        <v>4</v>
      </c>
      <c r="M1416" t="str">
        <f>VLOOKUP(A1416,Response!$A:$M,7,)</f>
        <v>PG (Paying Guest)</v>
      </c>
      <c r="N1416" t="str">
        <f>VLOOKUP(A1416,Response!$A:$M,8,)</f>
        <v>SRS Luxury Ladies PG - Branch 5 , Navalur</v>
      </c>
      <c r="O1416" s="4">
        <f>VLOOKUP(A1416,Response!$A:$M,10,)</f>
        <v>5</v>
      </c>
      <c r="P1416" t="str">
        <f>VLOOKUP(A1416,Response!$A:$M,12,)</f>
        <v>No</v>
      </c>
      <c r="Q1416" t="str">
        <f>VLOOKUP(A1416,Response!$A:$M,11,)</f>
        <v>Egattur</v>
      </c>
      <c r="R1416" t="s">
        <v>19</v>
      </c>
      <c r="S1416" s="39" t="s">
        <v>37</v>
      </c>
    </row>
    <row r="1417" spans="1:19">
      <c r="A1417" s="3">
        <v>2520985</v>
      </c>
      <c r="B1417" t="str">
        <f>VLOOKUP(A1417,File!$A:$J,2,FALSE)</f>
        <v>Suchithra M M</v>
      </c>
      <c r="C1417" s="29">
        <f>VLOOKUP(A1417,File!$A:$J,5,FALSE)</f>
        <v>46210</v>
      </c>
      <c r="D1417" s="29" t="str">
        <f>VLOOKUP(A1417,File!$A:$J,3,FALSE)</f>
        <v>Female</v>
      </c>
      <c r="E1417" s="29" t="str">
        <f>VLOOKUP(A1417,File!$A:$J,4,FALSE)</f>
        <v>FTE</v>
      </c>
      <c r="F1417" s="29" t="str">
        <f>VLOOKUP(A1417,File!$A:$J,6,FALSE)</f>
        <v>Chennai</v>
      </c>
      <c r="G1417" s="29" t="str">
        <f>VLOOKUP(A1417,File!$A:$J,7,FALSE)</f>
        <v>PG26JFR003</v>
      </c>
      <c r="H1417" s="29" t="str">
        <f>VLOOKUP(A1417,File!$A:$J,8,FALSE)</f>
        <v>Vijay K</v>
      </c>
      <c r="I1417" s="31">
        <f>VLOOKUP(A1417,File!$A:$J,9,FALSE)</f>
        <v>46322</v>
      </c>
      <c r="J1417" s="31" t="str">
        <f>VLOOKUP(A1417,File!$A:$K,11,FALSE)</f>
        <v>Oct 2026</v>
      </c>
      <c r="K1417" s="31" t="str">
        <f>VLOOKUP(A1417,File!$A:$K,10,FALSE)</f>
        <v>In-Training</v>
      </c>
      <c r="L1417" s="31" t="s">
        <v>4</v>
      </c>
      <c r="M1417" t="str">
        <f>VLOOKUP(A1417,Response!$A:$M,7,)</f>
        <v>PG (Paying Guest)</v>
      </c>
      <c r="N1417" t="str">
        <f>VLOOKUP(A1417,Response!$A:$M,8,)</f>
        <v>SRS Luxury Ladies PG - Branch 5, Egattur</v>
      </c>
      <c r="O1417" s="4">
        <f>VLOOKUP(A1417,Response!$A:$M,10,)</f>
        <v>5</v>
      </c>
      <c r="P1417" t="str">
        <f>VLOOKUP(A1417,Response!$A:$M,12,)</f>
        <v>No</v>
      </c>
      <c r="Q1417" t="str">
        <f>VLOOKUP(A1417,Response!$A:$M,11,)</f>
        <v>Egattur</v>
      </c>
      <c r="R1417" t="s">
        <v>19</v>
      </c>
      <c r="S1417" s="39" t="s">
        <v>37</v>
      </c>
    </row>
    <row r="1418" spans="1:19">
      <c r="A1418" s="3">
        <v>2531402</v>
      </c>
      <c r="B1418" t="str">
        <f>VLOOKUP(A1418,File!$A:$J,2,FALSE)</f>
        <v>Farhana Mohamed Abdul Wahab</v>
      </c>
      <c r="C1418" s="29">
        <f>VLOOKUP(A1418,File!$A:$J,5,FALSE)</f>
        <v>46252</v>
      </c>
      <c r="D1418" s="29" t="str">
        <f>VLOOKUP(A1418,File!$A:$J,3,FALSE)</f>
        <v>Female</v>
      </c>
      <c r="E1418" s="29" t="str">
        <f>VLOOKUP(A1418,File!$A:$J,4,FALSE)</f>
        <v>FTE</v>
      </c>
      <c r="F1418" s="29" t="str">
        <f>VLOOKUP(A1418,File!$A:$J,6,FALSE)</f>
        <v>Chennai</v>
      </c>
      <c r="G1418" s="29" t="str">
        <f>VLOOKUP(A1418,File!$A:$J,7,FALSE)</f>
        <v>EPS26WD006</v>
      </c>
      <c r="H1418" s="29" t="str">
        <f>VLOOKUP(A1418,File!$A:$J,8,FALSE)</f>
        <v>Vishnupriya Dakshnamurthy</v>
      </c>
      <c r="I1418" s="31">
        <f>VLOOKUP(A1418,File!$A:$J,9,FALSE)</f>
        <v>46353</v>
      </c>
      <c r="J1418" s="31" t="str">
        <f>VLOOKUP(A1418,File!$A:$K,11,FALSE)</f>
        <v>Nov 2026</v>
      </c>
      <c r="K1418" s="31" t="str">
        <f>VLOOKUP(A1418,File!$A:$K,10,FALSE)</f>
        <v>In-Training</v>
      </c>
      <c r="L1418" s="31" t="s">
        <v>4</v>
      </c>
      <c r="M1418" t="str">
        <f>VLOOKUP(A1418,Response!$A:$M,7,)</f>
        <v>PG (Paying Guest)</v>
      </c>
      <c r="N1418" t="str">
        <f>VLOOKUP(A1418,Response!$A:$M,8,)</f>
        <v>SRS luxury ladies PG - Branch 6, Egattur</v>
      </c>
      <c r="O1418" s="4">
        <f>VLOOKUP(A1418,Response!$A:$M,10,)</f>
        <v>4</v>
      </c>
      <c r="P1418" t="str">
        <f>VLOOKUP(A1418,Response!$A:$M,12,)</f>
        <v>Yes</v>
      </c>
      <c r="Q1418" t="str">
        <f>VLOOKUP(A1418,Response!$A:$M,11,)</f>
        <v>Egattur</v>
      </c>
      <c r="R1418" t="s">
        <v>19</v>
      </c>
      <c r="S1418" s="39" t="s">
        <v>37</v>
      </c>
    </row>
    <row r="1419" spans="1:19">
      <c r="A1419" s="3">
        <v>2523395</v>
      </c>
      <c r="B1419" t="str">
        <f>VLOOKUP(A1419,File!$A:$J,2,FALSE)</f>
        <v>Gomathi A</v>
      </c>
      <c r="C1419" s="29">
        <f>VLOOKUP(A1419,File!$A:$J,5,FALSE)</f>
        <v>46219</v>
      </c>
      <c r="D1419" s="29" t="str">
        <f>VLOOKUP(A1419,File!$A:$J,3,FALSE)</f>
        <v>Female</v>
      </c>
      <c r="E1419" s="29" t="str">
        <f>VLOOKUP(A1419,File!$A:$J,4,FALSE)</f>
        <v>FTE</v>
      </c>
      <c r="F1419" s="29" t="str">
        <f>VLOOKUP(A1419,File!$A:$J,6,FALSE)</f>
        <v>Chennai</v>
      </c>
      <c r="G1419" s="29" t="str">
        <f>VLOOKUP(A1419,File!$A:$J,7,FALSE)</f>
        <v>CS26CS010</v>
      </c>
      <c r="H1419" s="29" t="str">
        <f>VLOOKUP(A1419,File!$A:$J,8,FALSE)</f>
        <v>Laksiya Vijayendran</v>
      </c>
      <c r="I1419" s="31">
        <f>VLOOKUP(A1419,File!$A:$J,9,FALSE)</f>
        <v>46314</v>
      </c>
      <c r="J1419" s="31" t="str">
        <f>VLOOKUP(A1419,File!$A:$K,11,FALSE)</f>
        <v>Oct 2026</v>
      </c>
      <c r="K1419" s="31" t="str">
        <f>VLOOKUP(A1419,File!$A:$K,10,FALSE)</f>
        <v>In-Training</v>
      </c>
      <c r="L1419" s="31" t="s">
        <v>4</v>
      </c>
      <c r="M1419" t="str">
        <f>VLOOKUP(A1419,Response!$A:$M,7,)</f>
        <v>PG (Paying Guest)</v>
      </c>
      <c r="N1419" t="str">
        <f>VLOOKUP(A1419,Response!$A:$M,8,)</f>
        <v>SRS Luxury Ladies PG -2,Egattur</v>
      </c>
      <c r="O1419" s="4">
        <f>VLOOKUP(A1419,Response!$A:$M,10,)</f>
        <v>1</v>
      </c>
      <c r="P1419" t="str">
        <f>VLOOKUP(A1419,Response!$A:$M,12,)</f>
        <v>No</v>
      </c>
      <c r="Q1419" t="str">
        <f>VLOOKUP(A1419,Response!$A:$M,11,)</f>
        <v>Egattur</v>
      </c>
      <c r="R1419" t="s">
        <v>19</v>
      </c>
      <c r="S1419" s="39" t="s">
        <v>37</v>
      </c>
    </row>
    <row r="1420" spans="1:19">
      <c r="A1420" s="3">
        <v>2526168</v>
      </c>
      <c r="B1420" t="str">
        <f>VLOOKUP(A1420,File!$A:$J,2,FALSE)</f>
        <v>Shanmugapriya P</v>
      </c>
      <c r="C1420" s="29">
        <f>VLOOKUP(A1420,File!$A:$J,5,FALSE)</f>
        <v>46231</v>
      </c>
      <c r="D1420" s="29" t="str">
        <f>VLOOKUP(A1420,File!$A:$J,3,FALSE)</f>
        <v>Female</v>
      </c>
      <c r="E1420" s="29" t="str">
        <f>VLOOKUP(A1420,File!$A:$J,4,FALSE)</f>
        <v>FTE</v>
      </c>
      <c r="F1420" s="29" t="str">
        <f>VLOOKUP(A1420,File!$A:$J,6,FALSE)</f>
        <v>Chennai</v>
      </c>
      <c r="G1420" s="29" t="str">
        <f>VLOOKUP(A1420,File!$A:$J,7,FALSE)</f>
        <v>CIS26DWP024</v>
      </c>
      <c r="H1420" s="29" t="str">
        <f>VLOOKUP(A1420,File!$A:$J,8,FALSE)</f>
        <v>Lakavath Udhaya Bhavana</v>
      </c>
      <c r="I1420" s="31">
        <f>VLOOKUP(A1420,File!$A:$J,9,FALSE)</f>
        <v>46286</v>
      </c>
      <c r="J1420" s="31" t="str">
        <f>VLOOKUP(A1420,File!$A:$K,11,FALSE)</f>
        <v>Sep 2026</v>
      </c>
      <c r="K1420" s="31" t="str">
        <f>VLOOKUP(A1420,File!$A:$K,10,FALSE)</f>
        <v>In-Training</v>
      </c>
      <c r="L1420" s="31" t="s">
        <v>4</v>
      </c>
      <c r="M1420" t="str">
        <f>VLOOKUP(A1420,Response!$A:$M,7,)</f>
        <v>Hostel</v>
      </c>
      <c r="N1420" t="str">
        <f>VLOOKUP(A1420,Response!$A:$M,8,)</f>
        <v>SRS luxury ladies pg branch 5 Thendral street Egattur</v>
      </c>
      <c r="O1420" s="4">
        <f>VLOOKUP(A1420,Response!$A:$M,10,)</f>
        <v>4</v>
      </c>
      <c r="P1420" t="str">
        <f>VLOOKUP(A1420,Response!$A:$M,12,)</f>
        <v>Yes</v>
      </c>
      <c r="Q1420" t="str">
        <f>VLOOKUP(A1420,Response!$A:$M,11,)</f>
        <v>Egattur</v>
      </c>
      <c r="R1420" t="s">
        <v>19</v>
      </c>
      <c r="S1420" s="39" t="s">
        <v>37</v>
      </c>
    </row>
    <row r="1421" spans="1:19">
      <c r="A1421" s="3">
        <v>2531999</v>
      </c>
      <c r="B1421" t="str">
        <f>VLOOKUP(A1421,File!$A:$J,2,FALSE)</f>
        <v>Ammannagari Manoja</v>
      </c>
      <c r="C1421" s="29">
        <f>VLOOKUP(A1421,File!$A:$J,5,FALSE)</f>
        <v>46254</v>
      </c>
      <c r="D1421" s="29" t="str">
        <f>VLOOKUP(A1421,File!$A:$J,3,FALSE)</f>
        <v>Female</v>
      </c>
      <c r="E1421" s="29" t="str">
        <f>VLOOKUP(A1421,File!$A:$J,4,FALSE)</f>
        <v>FTE</v>
      </c>
      <c r="F1421" s="29" t="str">
        <f>VLOOKUP(A1421,File!$A:$J,6,FALSE)</f>
        <v>Chennai</v>
      </c>
      <c r="G1421" s="29" t="str">
        <f>VLOOKUP(A1421,File!$A:$J,7,FALSE)</f>
        <v>CS26CS012</v>
      </c>
      <c r="H1421" s="29" t="str">
        <f>VLOOKUP(A1421,File!$A:$J,8,FALSE)</f>
        <v>Laksiya Vijayendran</v>
      </c>
      <c r="I1421" s="31">
        <f>VLOOKUP(A1421,File!$A:$J,9,FALSE)</f>
        <v>46343</v>
      </c>
      <c r="J1421" s="31" t="str">
        <f>VLOOKUP(A1421,File!$A:$K,11,FALSE)</f>
        <v>Nov 2026</v>
      </c>
      <c r="K1421" s="31" t="str">
        <f>VLOOKUP(A1421,File!$A:$K,10,FALSE)</f>
        <v>In-Training</v>
      </c>
      <c r="L1421" s="31" t="s">
        <v>4</v>
      </c>
      <c r="M1421" t="str">
        <f>VLOOKUP(A1421,Response!$A:$M,7,)</f>
        <v>PG (Paying Guest)</v>
      </c>
      <c r="N1421" t="str">
        <f>VLOOKUP(A1421,Response!$A:$M,8,)</f>
        <v>SRS Luxury Ladies PG branch II -Egattur</v>
      </c>
      <c r="O1421" s="4">
        <f>VLOOKUP(A1421,Response!$A:$M,10,)</f>
        <v>3</v>
      </c>
      <c r="P1421" t="str">
        <f>VLOOKUP(A1421,Response!$A:$M,12,)</f>
        <v>Yes</v>
      </c>
      <c r="Q1421" t="str">
        <f>VLOOKUP(A1421,Response!$A:$M,11,)</f>
        <v>Siruseri</v>
      </c>
      <c r="R1421" t="s">
        <v>19</v>
      </c>
      <c r="S1421" s="39" t="s">
        <v>37</v>
      </c>
    </row>
    <row r="1422" spans="1:19">
      <c r="A1422" s="3">
        <v>2521206</v>
      </c>
      <c r="B1422" t="str">
        <f>VLOOKUP(A1422,File!$A:$J,2,FALSE)</f>
        <v>Megha Krishnaji Salunke</v>
      </c>
      <c r="C1422" s="29">
        <f>VLOOKUP(A1422,File!$A:$J,5,FALSE)</f>
        <v>46210</v>
      </c>
      <c r="D1422" s="29" t="str">
        <f>VLOOKUP(A1422,File!$A:$J,3,FALSE)</f>
        <v>Female</v>
      </c>
      <c r="E1422" s="29" t="str">
        <f>VLOOKUP(A1422,File!$A:$J,4,FALSE)</f>
        <v>FTE</v>
      </c>
      <c r="F1422" s="29" t="str">
        <f>VLOOKUP(A1422,File!$A:$J,6,FALSE)</f>
        <v>Chennai</v>
      </c>
      <c r="G1422" s="29" t="str">
        <f>VLOOKUP(A1422,File!$A:$J,7,FALSE)</f>
        <v>EPS26WD004</v>
      </c>
      <c r="H1422" s="29" t="str">
        <f>VLOOKUP(A1422,File!$A:$J,8,FALSE)</f>
        <v>Ajith Ganesan</v>
      </c>
      <c r="I1422" s="31">
        <f>VLOOKUP(A1422,File!$A:$J,9,FALSE)</f>
        <v>46310</v>
      </c>
      <c r="J1422" s="31" t="str">
        <f>VLOOKUP(A1422,File!$A:$K,11,FALSE)</f>
        <v>Oct 2026</v>
      </c>
      <c r="K1422" s="31" t="str">
        <f>VLOOKUP(A1422,File!$A:$K,10,FALSE)</f>
        <v>In-Training</v>
      </c>
      <c r="L1422" s="31" t="s">
        <v>4</v>
      </c>
      <c r="M1422" t="str">
        <f>VLOOKUP(A1422,Response!$A:$M,7,)</f>
        <v>PG (Paying Guest)</v>
      </c>
      <c r="N1422" t="str">
        <f>VLOOKUP(A1422,Response!$A:$M,8,)</f>
        <v>SRS Luxury ladies PG, Branch 5, Egattur, Navalur.</v>
      </c>
      <c r="O1422" s="4">
        <f>VLOOKUP(A1422,Response!$A:$M,10,)</f>
        <v>1</v>
      </c>
      <c r="P1422" t="str">
        <f>VLOOKUP(A1422,Response!$A:$M,12,)</f>
        <v>No</v>
      </c>
      <c r="Q1422" t="str">
        <f>VLOOKUP(A1422,Response!$A:$M,11,)</f>
        <v>Egattur</v>
      </c>
      <c r="R1422" t="s">
        <v>19</v>
      </c>
      <c r="S1422" s="39" t="s">
        <v>37</v>
      </c>
    </row>
    <row r="1423" spans="1:19">
      <c r="A1423" s="3">
        <v>2533046</v>
      </c>
      <c r="B1423" t="str">
        <f>VLOOKUP(A1423,File!$A:$J,2,FALSE)</f>
        <v>Shaik Shahina</v>
      </c>
      <c r="C1423" s="29">
        <f>VLOOKUP(A1423,File!$A:$J,5,FALSE)</f>
        <v>46259</v>
      </c>
      <c r="D1423" s="29" t="str">
        <f>VLOOKUP(A1423,File!$A:$J,3,FALSE)</f>
        <v>Female</v>
      </c>
      <c r="E1423" s="29" t="str">
        <f>VLOOKUP(A1423,File!$A:$J,4,FALSE)</f>
        <v>FTE</v>
      </c>
      <c r="F1423" s="29" t="str">
        <f>VLOOKUP(A1423,File!$A:$J,6,FALSE)</f>
        <v>Chennai</v>
      </c>
      <c r="G1423" s="29" t="str">
        <f>VLOOKUP(A1423,File!$A:$J,7,FALSE)</f>
        <v>CIS26AT008</v>
      </c>
      <c r="H1423" s="29" t="str">
        <f>VLOOKUP(A1423,File!$A:$J,8,FALSE)</f>
        <v>Uma Venkatachalam</v>
      </c>
      <c r="I1423" s="31">
        <f>VLOOKUP(A1423,File!$A:$J,9,FALSE)</f>
        <v>46365</v>
      </c>
      <c r="J1423" s="31" t="str">
        <f>VLOOKUP(A1423,File!$A:$K,11,FALSE)</f>
        <v>Dec 2026</v>
      </c>
      <c r="K1423" s="31" t="str">
        <f>VLOOKUP(A1423,File!$A:$K,10,FALSE)</f>
        <v>In-Training</v>
      </c>
      <c r="L1423" s="31" t="s">
        <v>4</v>
      </c>
      <c r="M1423" t="str">
        <f>VLOOKUP(A1423,Response!$A:$M,7,)</f>
        <v>PG (Paying Guest)</v>
      </c>
      <c r="N1423" t="str">
        <f>VLOOKUP(A1423,Response!$A:$M,8,)</f>
        <v>SRS Luxury ladies pg, branch-1, Egattur</v>
      </c>
      <c r="O1423" s="4">
        <f>VLOOKUP(A1423,Response!$A:$M,10,)</f>
        <v>3</v>
      </c>
      <c r="P1423" t="str">
        <f>VLOOKUP(A1423,Response!$A:$M,12,)</f>
        <v>No</v>
      </c>
      <c r="Q1423" t="str">
        <f>VLOOKUP(A1423,Response!$A:$M,11,)</f>
        <v>Egattur</v>
      </c>
      <c r="R1423" t="s">
        <v>19</v>
      </c>
      <c r="S1423" s="39" t="s">
        <v>37</v>
      </c>
    </row>
    <row r="1424" spans="1:19">
      <c r="A1424" s="3">
        <v>2529701</v>
      </c>
      <c r="B1424" t="str">
        <f>VLOOKUP(A1424,File!$A:$J,2,FALSE)</f>
        <v>Simma Jyotsna</v>
      </c>
      <c r="C1424" s="29">
        <f>VLOOKUP(A1424,File!$A:$J,5,FALSE)</f>
        <v>46245</v>
      </c>
      <c r="D1424" s="29" t="str">
        <f>VLOOKUP(A1424,File!$A:$J,3,FALSE)</f>
        <v>Female</v>
      </c>
      <c r="E1424" s="29" t="str">
        <f>VLOOKUP(A1424,File!$A:$J,4,FALSE)</f>
        <v>FTE</v>
      </c>
      <c r="F1424" s="29" t="str">
        <f>VLOOKUP(A1424,File!$A:$J,6,FALSE)</f>
        <v>Chennai</v>
      </c>
      <c r="G1424" s="29" t="str">
        <f>VLOOKUP(A1424,File!$A:$J,7,FALSE)</f>
        <v>CIS26AZ001</v>
      </c>
      <c r="H1424" s="29" t="str">
        <f>VLOOKUP(A1424,File!$A:$J,8,FALSE)</f>
        <v>Ashiya Begam S</v>
      </c>
      <c r="I1424" s="31">
        <f>VLOOKUP(A1424,File!$A:$J,9,FALSE)</f>
        <v>46335</v>
      </c>
      <c r="J1424" s="31" t="str">
        <f>VLOOKUP(A1424,File!$A:$K,11,FALSE)</f>
        <v>Nov 2026</v>
      </c>
      <c r="K1424" s="31" t="str">
        <f>VLOOKUP(A1424,File!$A:$K,10,FALSE)</f>
        <v>In-Training</v>
      </c>
      <c r="L1424" s="31" t="s">
        <v>4</v>
      </c>
      <c r="M1424" t="str">
        <f>VLOOKUP(A1424,Response!$A:$M,7,)</f>
        <v>PG (Paying Guest)</v>
      </c>
      <c r="N1424" t="str">
        <f>VLOOKUP(A1424,Response!$A:$M,8,)</f>
        <v>SRS luxury ladies PG, Egattur</v>
      </c>
      <c r="O1424" s="4">
        <f>VLOOKUP(A1424,Response!$A:$M,10,)</f>
        <v>1</v>
      </c>
      <c r="P1424" t="str">
        <f>VLOOKUP(A1424,Response!$A:$M,12,)</f>
        <v>No</v>
      </c>
      <c r="Q1424" t="str">
        <f>VLOOKUP(A1424,Response!$A:$M,11,)</f>
        <v>Egattur</v>
      </c>
      <c r="R1424" t="s">
        <v>19</v>
      </c>
      <c r="S1424" s="39" t="s">
        <v>37</v>
      </c>
    </row>
    <row r="1425" spans="1:19">
      <c r="A1425" s="3">
        <v>2521182</v>
      </c>
      <c r="B1425" t="str">
        <f>VLOOKUP(A1425,File!$A:$J,2,FALSE)</f>
        <v>Suhasini Shivaji Chavan</v>
      </c>
      <c r="C1425" s="29">
        <f>VLOOKUP(A1425,File!$A:$J,5,FALSE)</f>
        <v>46210</v>
      </c>
      <c r="D1425" s="29" t="str">
        <f>VLOOKUP(A1425,File!$A:$J,3,FALSE)</f>
        <v>Female</v>
      </c>
      <c r="E1425" s="29" t="str">
        <f>VLOOKUP(A1425,File!$A:$J,4,FALSE)</f>
        <v>FTE</v>
      </c>
      <c r="F1425" s="29" t="str">
        <f>VLOOKUP(A1425,File!$A:$J,6,FALSE)</f>
        <v>Chennai</v>
      </c>
      <c r="G1425" s="29" t="str">
        <f>VLOOKUP(A1425,File!$A:$J,7,FALSE)</f>
        <v>EPS26WD004</v>
      </c>
      <c r="H1425" s="29" t="str">
        <f>VLOOKUP(A1425,File!$A:$J,8,FALSE)</f>
        <v>Ajith Ganesan</v>
      </c>
      <c r="I1425" s="31">
        <f>VLOOKUP(A1425,File!$A:$J,9,FALSE)</f>
        <v>46310</v>
      </c>
      <c r="J1425" s="31" t="str">
        <f>VLOOKUP(A1425,File!$A:$K,11,FALSE)</f>
        <v>Oct 2026</v>
      </c>
      <c r="K1425" s="31" t="str">
        <f>VLOOKUP(A1425,File!$A:$K,10,FALSE)</f>
        <v>In-Training</v>
      </c>
      <c r="L1425" s="31" t="s">
        <v>4</v>
      </c>
      <c r="M1425" t="str">
        <f>VLOOKUP(A1425,Response!$A:$M,7,)</f>
        <v>PG (Paying Guest)</v>
      </c>
      <c r="N1425" t="str">
        <f>VLOOKUP(A1425,Response!$A:$M,8,)</f>
        <v>SRS Luxury Ladies PG-branch 5,Egattur</v>
      </c>
      <c r="O1425" s="4">
        <f>VLOOKUP(A1425,Response!$A:$M,10,)</f>
        <v>5</v>
      </c>
      <c r="P1425" t="str">
        <f>VLOOKUP(A1425,Response!$A:$M,12,)</f>
        <v>No</v>
      </c>
      <c r="Q1425" t="str">
        <f>VLOOKUP(A1425,Response!$A:$M,11,)</f>
        <v>Egattur</v>
      </c>
      <c r="R1425" t="s">
        <v>19</v>
      </c>
      <c r="S1425" s="39" t="s">
        <v>37</v>
      </c>
    </row>
    <row r="1426" spans="1:19">
      <c r="A1426" s="3">
        <v>2523400</v>
      </c>
      <c r="B1426" t="str">
        <f>VLOOKUP(A1426,File!$A:$J,2,FALSE)</f>
        <v>Sri Gayathri K</v>
      </c>
      <c r="C1426" s="29">
        <f>VLOOKUP(A1426,File!$A:$J,5,FALSE)</f>
        <v>46219</v>
      </c>
      <c r="D1426" s="29" t="str">
        <f>VLOOKUP(A1426,File!$A:$J,3,FALSE)</f>
        <v>Female</v>
      </c>
      <c r="E1426" s="29" t="str">
        <f>VLOOKUP(A1426,File!$A:$J,4,FALSE)</f>
        <v>FTE</v>
      </c>
      <c r="F1426" s="29" t="str">
        <f>VLOOKUP(A1426,File!$A:$J,6,FALSE)</f>
        <v>Chennai</v>
      </c>
      <c r="G1426" s="29" t="str">
        <f>VLOOKUP(A1426,File!$A:$J,7,FALSE)</f>
        <v>CS26CS010</v>
      </c>
      <c r="H1426" s="29" t="str">
        <f>VLOOKUP(A1426,File!$A:$J,8,FALSE)</f>
        <v>Laksiya Vijayendran</v>
      </c>
      <c r="I1426" s="31">
        <f>VLOOKUP(A1426,File!$A:$J,9,FALSE)</f>
        <v>46314</v>
      </c>
      <c r="J1426" s="31" t="str">
        <f>VLOOKUP(A1426,File!$A:$K,11,FALSE)</f>
        <v>Oct 2026</v>
      </c>
      <c r="K1426" s="31" t="str">
        <f>VLOOKUP(A1426,File!$A:$K,10,FALSE)</f>
        <v>In-Training</v>
      </c>
      <c r="L1426" s="31" t="s">
        <v>4</v>
      </c>
      <c r="M1426" t="str">
        <f>VLOOKUP(A1426,Response!$A:$M,7,)</f>
        <v>PG (Paying Guest)</v>
      </c>
      <c r="N1426" t="str">
        <f>VLOOKUP(A1426,Response!$A:$M,8,)</f>
        <v>SRS Luxury Ladies stays Pg -II, Egattur</v>
      </c>
      <c r="O1426" s="4">
        <f>VLOOKUP(A1426,Response!$A:$M,10,)</f>
        <v>2</v>
      </c>
      <c r="P1426" t="str">
        <f>VLOOKUP(A1426,Response!$A:$M,12,)</f>
        <v>No</v>
      </c>
      <c r="Q1426" t="str">
        <f>VLOOKUP(A1426,Response!$A:$M,11,)</f>
        <v>Egattur</v>
      </c>
      <c r="R1426" t="s">
        <v>19</v>
      </c>
      <c r="S1426" s="39" t="s">
        <v>37</v>
      </c>
    </row>
    <row r="1427" spans="1:19">
      <c r="A1427" s="3">
        <v>2533129</v>
      </c>
      <c r="B1427" t="str">
        <f>VLOOKUP(A1427,File!$A:$J,2,FALSE)</f>
        <v>Sayli Mukund Alaspure</v>
      </c>
      <c r="C1427" s="29">
        <f>VLOOKUP(A1427,File!$A:$J,5,FALSE)</f>
        <v>46259</v>
      </c>
      <c r="D1427" s="29" t="str">
        <f>VLOOKUP(A1427,File!$A:$J,3,FALSE)</f>
        <v>Female</v>
      </c>
      <c r="E1427" s="29" t="str">
        <f>VLOOKUP(A1427,File!$A:$J,4,FALSE)</f>
        <v>FTE</v>
      </c>
      <c r="F1427" s="29" t="str">
        <f>VLOOKUP(A1427,File!$A:$J,6,FALSE)</f>
        <v>Chennai</v>
      </c>
      <c r="G1427" s="29" t="str">
        <f>VLOOKUP(A1427,File!$A:$J,7,FALSE)</f>
        <v>CIS26MBG007</v>
      </c>
      <c r="H1427" s="29" t="str">
        <f>VLOOKUP(A1427,File!$A:$J,8,FALSE)</f>
        <v>Lawrance M</v>
      </c>
      <c r="I1427" s="31">
        <f>VLOOKUP(A1427,File!$A:$J,9,FALSE)</f>
        <v>46367</v>
      </c>
      <c r="J1427" s="31" t="str">
        <f>VLOOKUP(A1427,File!$A:$K,11,FALSE)</f>
        <v>Dec 2026</v>
      </c>
      <c r="K1427" s="31" t="str">
        <f>VLOOKUP(A1427,File!$A:$K,10,FALSE)</f>
        <v>In-Training</v>
      </c>
      <c r="L1427" s="31" t="s">
        <v>4</v>
      </c>
      <c r="M1427" t="str">
        <f>VLOOKUP(A1427,Response!$A:$M,7,)</f>
        <v>PG (Paying Guest)</v>
      </c>
      <c r="N1427" t="str">
        <f>VLOOKUP(A1427,Response!$A:$M,8,)</f>
        <v>SRS luxury pg - branch 3opposite to marina mall egattur</v>
      </c>
      <c r="O1427" s="4">
        <f>VLOOKUP(A1427,Response!$A:$M,10,)</f>
        <v>2</v>
      </c>
      <c r="P1427" t="str">
        <f>VLOOKUP(A1427,Response!$A:$M,12,)</f>
        <v>No</v>
      </c>
      <c r="Q1427" t="str">
        <f>VLOOKUP(A1427,Response!$A:$M,11,)</f>
        <v>Egattur</v>
      </c>
      <c r="R1427" t="s">
        <v>19</v>
      </c>
      <c r="S1427" s="39" t="s">
        <v>37</v>
      </c>
    </row>
    <row r="1428" spans="1:19">
      <c r="A1428" s="3">
        <v>2521715</v>
      </c>
      <c r="B1428" t="str">
        <f>VLOOKUP(A1428,File!$A:$J,2,FALSE)</f>
        <v>Hrutuja Umakant Aher</v>
      </c>
      <c r="C1428" s="29">
        <f>VLOOKUP(A1428,File!$A:$J,5,FALSE)</f>
        <v>46212</v>
      </c>
      <c r="D1428" s="29" t="str">
        <f>VLOOKUP(A1428,File!$A:$J,3,FALSE)</f>
        <v>Female</v>
      </c>
      <c r="E1428" s="29" t="str">
        <f>VLOOKUP(A1428,File!$A:$J,4,FALSE)</f>
        <v>FTE</v>
      </c>
      <c r="F1428" s="29" t="str">
        <f>VLOOKUP(A1428,File!$A:$J,6,FALSE)</f>
        <v>Chennai</v>
      </c>
      <c r="G1428" s="29" t="str">
        <f>VLOOKUP(A1428,File!$A:$J,7,FALSE)</f>
        <v>ADM26MF010</v>
      </c>
      <c r="H1428" s="29" t="str">
        <f>VLOOKUP(A1428,File!$A:$J,8,FALSE)</f>
        <v>Thomas Naveen. J</v>
      </c>
      <c r="I1428" s="31">
        <f>VLOOKUP(A1428,File!$A:$J,9,FALSE)</f>
        <v>46328</v>
      </c>
      <c r="J1428" s="31" t="str">
        <f>VLOOKUP(A1428,File!$A:$K,11,FALSE)</f>
        <v>Nov 2026</v>
      </c>
      <c r="K1428" s="31" t="str">
        <f>VLOOKUP(A1428,File!$A:$K,10,FALSE)</f>
        <v>In-Training</v>
      </c>
      <c r="L1428" s="31" t="s">
        <v>4</v>
      </c>
      <c r="M1428" t="str">
        <f>VLOOKUP(A1428,Response!$A:$M,7,)</f>
        <v>PG (Paying Guest)</v>
      </c>
      <c r="N1428" t="str">
        <f>VLOOKUP(A1428,Response!$A:$M,8,)</f>
        <v>SRS Luxury PG- Branch 1,Egattur</v>
      </c>
      <c r="O1428" s="4">
        <f>VLOOKUP(A1428,Response!$A:$M,10,)</f>
        <v>3</v>
      </c>
      <c r="P1428" t="str">
        <f>VLOOKUP(A1428,Response!$A:$M,12,)</f>
        <v>No</v>
      </c>
      <c r="Q1428" t="str">
        <f>VLOOKUP(A1428,Response!$A:$M,11,)</f>
        <v>Egattur</v>
      </c>
      <c r="R1428" t="s">
        <v>19</v>
      </c>
      <c r="S1428" s="39" t="s">
        <v>37</v>
      </c>
    </row>
    <row r="1429" spans="1:19">
      <c r="A1429" s="3">
        <v>2533223</v>
      </c>
      <c r="B1429" t="str">
        <f>VLOOKUP(A1429,File!$A:$J,2,FALSE)</f>
        <v>Bonam Deborah Margaret</v>
      </c>
      <c r="C1429" s="29">
        <f>VLOOKUP(A1429,File!$A:$J,5,FALSE)</f>
        <v>46259</v>
      </c>
      <c r="D1429" s="29" t="str">
        <f>VLOOKUP(A1429,File!$A:$J,3,FALSE)</f>
        <v>Female</v>
      </c>
      <c r="E1429" s="29" t="str">
        <f>VLOOKUP(A1429,File!$A:$J,4,FALSE)</f>
        <v>FTE</v>
      </c>
      <c r="F1429" s="29" t="str">
        <f>VLOOKUP(A1429,File!$A:$J,6,FALSE)</f>
        <v>Chennai</v>
      </c>
      <c r="G1429" s="29" t="str">
        <f>VLOOKUP(A1429,File!$A:$J,7,FALSE)</f>
        <v>CIS26MBG007</v>
      </c>
      <c r="H1429" s="29" t="str">
        <f>VLOOKUP(A1429,File!$A:$J,8,FALSE)</f>
        <v>Lawrance M</v>
      </c>
      <c r="I1429" s="31">
        <f>VLOOKUP(A1429,File!$A:$J,9,FALSE)</f>
        <v>46367</v>
      </c>
      <c r="J1429" s="31" t="str">
        <f>VLOOKUP(A1429,File!$A:$K,11,FALSE)</f>
        <v>Dec 2026</v>
      </c>
      <c r="K1429" s="31" t="str">
        <f>VLOOKUP(A1429,File!$A:$K,10,FALSE)</f>
        <v>In-Training</v>
      </c>
      <c r="L1429" s="31" t="s">
        <v>4</v>
      </c>
      <c r="M1429" t="str">
        <f>VLOOKUP(A1429,Response!$A:$M,7,)</f>
        <v>PG (Paying Guest)</v>
      </c>
      <c r="N1429" t="str">
        <f>VLOOKUP(A1429,Response!$A:$M,8,)</f>
        <v>SRS LUXURY PG BRANCH 1,SIRUSERI</v>
      </c>
      <c r="O1429" s="4">
        <f>VLOOKUP(A1429,Response!$A:$M,10,)</f>
        <v>1</v>
      </c>
      <c r="P1429" t="str">
        <f>VLOOKUP(A1429,Response!$A:$M,12,)</f>
        <v>No</v>
      </c>
      <c r="Q1429" t="str">
        <f>VLOOKUP(A1429,Response!$A:$M,11,)</f>
        <v>Siruseri</v>
      </c>
      <c r="R1429" t="s">
        <v>19</v>
      </c>
      <c r="S1429" s="39" t="s">
        <v>37</v>
      </c>
    </row>
    <row r="1430" spans="1:19">
      <c r="A1430" s="3">
        <v>2533190</v>
      </c>
      <c r="B1430" t="str">
        <f>VLOOKUP(A1430,File!$A:$J,2,FALSE)</f>
        <v>Koduri Joshna Pallavi</v>
      </c>
      <c r="C1430" s="29">
        <f>VLOOKUP(A1430,File!$A:$J,5,FALSE)</f>
        <v>46259</v>
      </c>
      <c r="D1430" s="29" t="str">
        <f>VLOOKUP(A1430,File!$A:$J,3,FALSE)</f>
        <v>Female</v>
      </c>
      <c r="E1430" s="29" t="str">
        <f>VLOOKUP(A1430,File!$A:$J,4,FALSE)</f>
        <v>FTE</v>
      </c>
      <c r="F1430" s="29" t="str">
        <f>VLOOKUP(A1430,File!$A:$J,6,FALSE)</f>
        <v>Chennai</v>
      </c>
      <c r="G1430" s="29" t="str">
        <f>VLOOKUP(A1430,File!$A:$J,7,FALSE)</f>
        <v>CIS26AT007</v>
      </c>
      <c r="H1430" s="29" t="str">
        <f>VLOOKUP(A1430,File!$A:$J,8,FALSE)</f>
        <v>Uma Venkatachalam</v>
      </c>
      <c r="I1430" s="31">
        <f>VLOOKUP(A1430,File!$A:$J,9,FALSE)</f>
        <v>46365</v>
      </c>
      <c r="J1430" s="31" t="str">
        <f>VLOOKUP(A1430,File!$A:$K,11,FALSE)</f>
        <v>Dec 2026</v>
      </c>
      <c r="K1430" s="31" t="str">
        <f>VLOOKUP(A1430,File!$A:$K,10,FALSE)</f>
        <v>In-Training</v>
      </c>
      <c r="L1430" s="31" t="s">
        <v>4</v>
      </c>
      <c r="M1430" t="str">
        <f>VLOOKUP(A1430,Response!$A:$M,7,)</f>
        <v>PG (Paying Guest)</v>
      </c>
      <c r="N1430" t="str">
        <f>VLOOKUP(A1430,Response!$A:$M,8,)</f>
        <v>SRS Luxury PG Branch-1,Egattur</v>
      </c>
      <c r="O1430" s="4">
        <f>VLOOKUP(A1430,Response!$A:$M,10,)</f>
        <v>1</v>
      </c>
      <c r="P1430" t="str">
        <f>VLOOKUP(A1430,Response!$A:$M,12,)</f>
        <v>No</v>
      </c>
      <c r="Q1430" t="str">
        <f>VLOOKUP(A1430,Response!$A:$M,11,)</f>
        <v>Siruseri</v>
      </c>
      <c r="R1430" t="s">
        <v>19</v>
      </c>
      <c r="S1430" s="39" t="s">
        <v>37</v>
      </c>
    </row>
    <row r="1431" spans="1:19">
      <c r="A1431" s="3">
        <v>2529787</v>
      </c>
      <c r="B1431" t="str">
        <f>VLOOKUP(A1431,File!$A:$J,2,FALSE)</f>
        <v>Surabhi Subrota Ghosh</v>
      </c>
      <c r="C1431" s="29">
        <f>VLOOKUP(A1431,File!$A:$J,5,FALSE)</f>
        <v>46245</v>
      </c>
      <c r="D1431" s="29" t="str">
        <f>VLOOKUP(A1431,File!$A:$J,3,FALSE)</f>
        <v>Female</v>
      </c>
      <c r="E1431" s="29" t="str">
        <f>VLOOKUP(A1431,File!$A:$J,4,FALSE)</f>
        <v>FTE</v>
      </c>
      <c r="F1431" s="29" t="str">
        <f>VLOOKUP(A1431,File!$A:$J,6,FALSE)</f>
        <v>Chennai</v>
      </c>
      <c r="G1431" s="29" t="str">
        <f>VLOOKUP(A1431,File!$A:$J,7,FALSE)</f>
        <v>CIS26MCPT023</v>
      </c>
      <c r="H1431" s="29" t="str">
        <f>VLOOKUP(A1431,File!$A:$J,8,FALSE)</f>
        <v>Kishorekumar P</v>
      </c>
      <c r="I1431" s="31">
        <f>VLOOKUP(A1431,File!$A:$J,9,FALSE)</f>
        <v>46359</v>
      </c>
      <c r="J1431" s="31" t="str">
        <f>VLOOKUP(A1431,File!$A:$K,11,FALSE)</f>
        <v>Dec 2026</v>
      </c>
      <c r="K1431" s="31" t="str">
        <f>VLOOKUP(A1431,File!$A:$K,10,FALSE)</f>
        <v>In-Training</v>
      </c>
      <c r="L1431" s="31" t="s">
        <v>4</v>
      </c>
      <c r="M1431" t="str">
        <f>VLOOKUP(A1431,Response!$A:$M,7,)</f>
        <v>PG (Paying Guest)</v>
      </c>
      <c r="N1431" t="str">
        <f>VLOOKUP(A1431,Response!$A:$M,8,)</f>
        <v>SRS Luxury PG for ladies</v>
      </c>
      <c r="O1431" s="4">
        <f>VLOOKUP(A1431,Response!$A:$M,10,)</f>
        <v>3</v>
      </c>
      <c r="P1431" t="str">
        <f>VLOOKUP(A1431,Response!$A:$M,12,)</f>
        <v>No</v>
      </c>
      <c r="Q1431" t="str">
        <f>VLOOKUP(A1431,Response!$A:$M,11,)</f>
        <v>Egattur</v>
      </c>
      <c r="R1431" t="s">
        <v>19</v>
      </c>
      <c r="S1431" s="39" t="s">
        <v>37</v>
      </c>
    </row>
    <row r="1432" spans="1:19">
      <c r="A1432" s="3">
        <v>2531409</v>
      </c>
      <c r="B1432" t="str">
        <f>VLOOKUP(A1432,File!$A:$J,2,FALSE)</f>
        <v>Mahavidhya Mohankumar</v>
      </c>
      <c r="C1432" s="29">
        <f>VLOOKUP(A1432,File!$A:$J,5,FALSE)</f>
        <v>46252</v>
      </c>
      <c r="D1432" s="29" t="str">
        <f>VLOOKUP(A1432,File!$A:$J,3,FALSE)</f>
        <v>Female</v>
      </c>
      <c r="E1432" s="29" t="str">
        <f>VLOOKUP(A1432,File!$A:$J,4,FALSE)</f>
        <v>FTE</v>
      </c>
      <c r="F1432" s="29" t="str">
        <f>VLOOKUP(A1432,File!$A:$J,6,FALSE)</f>
        <v>Chennai</v>
      </c>
      <c r="G1432" s="29" t="str">
        <f>VLOOKUP(A1432,File!$A:$J,7,FALSE)</f>
        <v>EPS26SAP037</v>
      </c>
      <c r="H1432" s="29" t="str">
        <f>VLOOKUP(A1432,File!$A:$J,8,FALSE)</f>
        <v>Gayathri Ramachandran</v>
      </c>
      <c r="I1432" s="31">
        <f>VLOOKUP(A1432,File!$A:$J,9,FALSE)</f>
        <v>46330</v>
      </c>
      <c r="J1432" s="31" t="str">
        <f>VLOOKUP(A1432,File!$A:$K,11,FALSE)</f>
        <v>Nov 2026</v>
      </c>
      <c r="K1432" s="31" t="str">
        <f>VLOOKUP(A1432,File!$A:$K,10,FALSE)</f>
        <v>In-Training</v>
      </c>
      <c r="L1432" s="31" t="s">
        <v>4</v>
      </c>
      <c r="M1432" t="str">
        <f>VLOOKUP(A1432,Response!$A:$M,7,)</f>
        <v>PG (Paying Guest)</v>
      </c>
      <c r="N1432" t="str">
        <f>VLOOKUP(A1432,Response!$A:$M,8,)</f>
        <v>SRS luxury PG for ladies</v>
      </c>
      <c r="O1432" s="4">
        <f>VLOOKUP(A1432,Response!$A:$M,10,)</f>
        <v>3</v>
      </c>
      <c r="P1432" t="str">
        <f>VLOOKUP(A1432,Response!$A:$M,12,)</f>
        <v>No</v>
      </c>
      <c r="Q1432" t="str">
        <f>VLOOKUP(A1432,Response!$A:$M,11,)</f>
        <v>Egattur</v>
      </c>
      <c r="R1432" t="s">
        <v>19</v>
      </c>
      <c r="S1432" s="39" t="s">
        <v>37</v>
      </c>
    </row>
    <row r="1433" spans="1:19">
      <c r="A1433" s="3">
        <v>2512325</v>
      </c>
      <c r="B1433" t="str">
        <f>VLOOKUP(A1433,File!$A:$J,2,FALSE)</f>
        <v>Jameela Safrin</v>
      </c>
      <c r="C1433" s="29">
        <f>VLOOKUP(A1433,File!$A:$J,5,FALSE)</f>
        <v>46170</v>
      </c>
      <c r="D1433" s="29" t="str">
        <f>VLOOKUP(A1433,File!$A:$J,3,FALSE)</f>
        <v>Female</v>
      </c>
      <c r="E1433" s="29" t="str">
        <f>VLOOKUP(A1433,File!$A:$J,4,FALSE)</f>
        <v>FTE</v>
      </c>
      <c r="F1433" s="29" t="str">
        <f>VLOOKUP(A1433,File!$A:$J,6,FALSE)</f>
        <v>Chennai</v>
      </c>
      <c r="G1433" s="29" t="str">
        <f>VLOOKUP(A1433,File!$A:$J,7,FALSE)</f>
        <v>CIS26MCPT011</v>
      </c>
      <c r="H1433" s="29" t="str">
        <f>VLOOKUP(A1433,File!$A:$J,8,FALSE)</f>
        <v>Uma Venkatachalam</v>
      </c>
      <c r="I1433" s="31">
        <f>VLOOKUP(A1433,File!$A:$J,9,FALSE)</f>
        <v>46282</v>
      </c>
      <c r="J1433" s="31" t="str">
        <f>VLOOKUP(A1433,File!$A:$K,11,FALSE)</f>
        <v>Sep 2026</v>
      </c>
      <c r="K1433" s="31" t="str">
        <f>VLOOKUP(A1433,File!$A:$K,10,FALSE)</f>
        <v>In-Training</v>
      </c>
      <c r="L1433" s="31" t="s">
        <v>4</v>
      </c>
      <c r="M1433" t="str">
        <f>VLOOKUP(A1433,Response!$A:$M,7,)</f>
        <v>PG (Paying Guest)</v>
      </c>
      <c r="N1433" t="str">
        <f>VLOOKUP(A1433,Response!$A:$M,8,)</f>
        <v xml:space="preserve">SRS luxury pg for ladies </v>
      </c>
      <c r="O1433" s="4">
        <f>VLOOKUP(A1433,Response!$A:$M,10,)</f>
        <v>3</v>
      </c>
      <c r="P1433" t="str">
        <f>VLOOKUP(A1433,Response!$A:$M,12,)</f>
        <v>No</v>
      </c>
      <c r="Q1433" t="str">
        <f>VLOOKUP(A1433,Response!$A:$M,11,)</f>
        <v>Egattur</v>
      </c>
      <c r="R1433" t="s">
        <v>19</v>
      </c>
      <c r="S1433" s="39" t="s">
        <v>37</v>
      </c>
    </row>
    <row r="1434" spans="1:19">
      <c r="A1434" s="3">
        <v>2521763</v>
      </c>
      <c r="B1434" t="str">
        <f>VLOOKUP(A1434,File!$A:$J,2,FALSE)</f>
        <v>Nalumachu Vaishnavi</v>
      </c>
      <c r="C1434" s="29">
        <f>VLOOKUP(A1434,File!$A:$J,5,FALSE)</f>
        <v>46212</v>
      </c>
      <c r="D1434" s="29" t="str">
        <f>VLOOKUP(A1434,File!$A:$J,3,FALSE)</f>
        <v>Female</v>
      </c>
      <c r="E1434" s="29" t="str">
        <f>VLOOKUP(A1434,File!$A:$J,4,FALSE)</f>
        <v>FTE</v>
      </c>
      <c r="F1434" s="29" t="str">
        <f>VLOOKUP(A1434,File!$A:$J,6,FALSE)</f>
        <v>Chennai</v>
      </c>
      <c r="G1434" s="29" t="str">
        <f>VLOOKUP(A1434,File!$A:$J,7,FALSE)</f>
        <v>QEA26SD001</v>
      </c>
      <c r="H1434" s="29" t="str">
        <f>VLOOKUP(A1434,File!$A:$J,8,FALSE)</f>
        <v>Ajiesya D P</v>
      </c>
      <c r="I1434" s="31">
        <f>VLOOKUP(A1434,File!$A:$J,9,FALSE)</f>
        <v>46329</v>
      </c>
      <c r="J1434" s="31" t="str">
        <f>VLOOKUP(A1434,File!$A:$K,11,FALSE)</f>
        <v>Nov 2026</v>
      </c>
      <c r="K1434" s="31" t="str">
        <f>VLOOKUP(A1434,File!$A:$K,10,FALSE)</f>
        <v>In-Training</v>
      </c>
      <c r="L1434" s="31" t="s">
        <v>4</v>
      </c>
      <c r="M1434" t="str">
        <f>VLOOKUP(A1434,Response!$A:$M,7,)</f>
        <v>PG (Paying Guest)</v>
      </c>
      <c r="N1434" t="str">
        <f>VLOOKUP(A1434,Response!$A:$M,8,)</f>
        <v>SRS Luxury PG for ladies - Branch 3, Egattur</v>
      </c>
      <c r="O1434" s="4">
        <f>VLOOKUP(A1434,Response!$A:$M,10,)</f>
        <v>1</v>
      </c>
      <c r="P1434" t="str">
        <f>VLOOKUP(A1434,Response!$A:$M,12,)</f>
        <v>No</v>
      </c>
      <c r="Q1434" t="str">
        <f>VLOOKUP(A1434,Response!$A:$M,11,)</f>
        <v>Egattur</v>
      </c>
      <c r="R1434" t="s">
        <v>19</v>
      </c>
      <c r="S1434" s="39" t="s">
        <v>37</v>
      </c>
    </row>
    <row r="1435" spans="1:19">
      <c r="A1435" s="3">
        <v>2531423</v>
      </c>
      <c r="B1435" t="str">
        <f>VLOOKUP(A1435,File!$A:$J,2,FALSE)</f>
        <v>Huma Faruqi</v>
      </c>
      <c r="C1435" s="29">
        <f>VLOOKUP(A1435,File!$A:$J,5,FALSE)</f>
        <v>46252</v>
      </c>
      <c r="D1435" s="29" t="str">
        <f>VLOOKUP(A1435,File!$A:$J,3,FALSE)</f>
        <v>Female</v>
      </c>
      <c r="E1435" s="29" t="str">
        <f>VLOOKUP(A1435,File!$A:$J,4,FALSE)</f>
        <v>FTE</v>
      </c>
      <c r="F1435" s="29" t="str">
        <f>VLOOKUP(A1435,File!$A:$J,6,FALSE)</f>
        <v>Chennai</v>
      </c>
      <c r="G1435" s="29" t="str">
        <f>VLOOKUP(A1435,File!$A:$J,7,FALSE)</f>
        <v>EPS26SAP037</v>
      </c>
      <c r="H1435" s="29" t="str">
        <f>VLOOKUP(A1435,File!$A:$J,8,FALSE)</f>
        <v>Gayathri Ramachandran</v>
      </c>
      <c r="I1435" s="31">
        <f>VLOOKUP(A1435,File!$A:$J,9,FALSE)</f>
        <v>46330</v>
      </c>
      <c r="J1435" s="31" t="str">
        <f>VLOOKUP(A1435,File!$A:$K,11,FALSE)</f>
        <v>Nov 2026</v>
      </c>
      <c r="K1435" s="31" t="str">
        <f>VLOOKUP(A1435,File!$A:$K,10,FALSE)</f>
        <v>In-Training</v>
      </c>
      <c r="L1435" s="31" t="s">
        <v>4</v>
      </c>
      <c r="M1435" t="str">
        <f>VLOOKUP(A1435,Response!$A:$M,7,)</f>
        <v>PG (Paying Guest)</v>
      </c>
      <c r="N1435" t="str">
        <f>VLOOKUP(A1435,Response!$A:$M,8,)</f>
        <v>SRS Luxury PG for Ladies - Branch 3, opp. Marina Mall, Main, Egattur, Tamil Nadu 600130</v>
      </c>
      <c r="O1435" s="4">
        <f>VLOOKUP(A1435,Response!$A:$M,10,)</f>
        <v>2</v>
      </c>
      <c r="P1435" t="str">
        <f>VLOOKUP(A1435,Response!$A:$M,12,)</f>
        <v>Yes</v>
      </c>
      <c r="Q1435" t="str">
        <f>VLOOKUP(A1435,Response!$A:$M,11,)</f>
        <v>Sholinganallur</v>
      </c>
      <c r="R1435" t="s">
        <v>17</v>
      </c>
      <c r="S1435" s="39" t="s">
        <v>37</v>
      </c>
    </row>
    <row r="1436" spans="1:19">
      <c r="A1436" s="3">
        <v>2521754</v>
      </c>
      <c r="B1436" t="str">
        <f>VLOOKUP(A1436,File!$A:$J,2,FALSE)</f>
        <v>Fazeen Alimurtuza Patel</v>
      </c>
      <c r="C1436" s="29">
        <f>VLOOKUP(A1436,File!$A:$J,5,FALSE)</f>
        <v>46212</v>
      </c>
      <c r="D1436" s="29" t="str">
        <f>VLOOKUP(A1436,File!$A:$J,3,FALSE)</f>
        <v>Female</v>
      </c>
      <c r="E1436" s="29" t="str">
        <f>VLOOKUP(A1436,File!$A:$J,4,FALSE)</f>
        <v>FTE</v>
      </c>
      <c r="F1436" s="29" t="str">
        <f>VLOOKUP(A1436,File!$A:$J,6,FALSE)</f>
        <v>Chennai</v>
      </c>
      <c r="G1436" s="29" t="str">
        <f>VLOOKUP(A1436,File!$A:$J,7,FALSE)</f>
        <v>QEA26NFTPA002</v>
      </c>
      <c r="H1436" s="29" t="str">
        <f>VLOOKUP(A1436,File!$A:$J,8,FALSE)</f>
        <v>Lourdhu Selvin Raj X</v>
      </c>
      <c r="I1436" s="31">
        <f>VLOOKUP(A1436,File!$A:$J,9,FALSE)</f>
        <v>46337</v>
      </c>
      <c r="J1436" s="31" t="str">
        <f>VLOOKUP(A1436,File!$A:$K,11,FALSE)</f>
        <v>Nov 2026</v>
      </c>
      <c r="K1436" s="31" t="str">
        <f>VLOOKUP(A1436,File!$A:$K,10,FALSE)</f>
        <v>In-Training</v>
      </c>
      <c r="L1436" s="31" t="s">
        <v>4</v>
      </c>
      <c r="M1436" t="str">
        <f>VLOOKUP(A1436,Response!$A:$M,7,)</f>
        <v>PG (Paying Guest)</v>
      </c>
      <c r="N1436" t="str">
        <f>VLOOKUP(A1436,Response!$A:$M,8,)</f>
        <v>SRS Luxury PG for Ladies - Branch 6, Egattur</v>
      </c>
      <c r="O1436" s="4">
        <f>VLOOKUP(A1436,Response!$A:$M,10,)</f>
        <v>1</v>
      </c>
      <c r="P1436" t="str">
        <f>VLOOKUP(A1436,Response!$A:$M,12,)</f>
        <v>No</v>
      </c>
      <c r="Q1436" t="str">
        <f>VLOOKUP(A1436,Response!$A:$M,11,)</f>
        <v>Egattur</v>
      </c>
      <c r="R1436" t="s">
        <v>19</v>
      </c>
      <c r="S1436" s="39" t="s">
        <v>37</v>
      </c>
    </row>
    <row r="1437" spans="1:19">
      <c r="A1437" s="3">
        <v>2532940</v>
      </c>
      <c r="B1437" t="str">
        <f>VLOOKUP(A1437,File!$A:$J,2,FALSE)</f>
        <v>Gayathri M</v>
      </c>
      <c r="C1437" s="29">
        <f>VLOOKUP(A1437,File!$A:$J,5,FALSE)</f>
        <v>46259</v>
      </c>
      <c r="D1437" s="29" t="str">
        <f>VLOOKUP(A1437,File!$A:$J,3,FALSE)</f>
        <v>Female</v>
      </c>
      <c r="E1437" s="29" t="str">
        <f>VLOOKUP(A1437,File!$A:$J,4,FALSE)</f>
        <v>FTE</v>
      </c>
      <c r="F1437" s="29" t="str">
        <f>VLOOKUP(A1437,File!$A:$J,6,FALSE)</f>
        <v>Chennai</v>
      </c>
      <c r="G1437" s="29" t="str">
        <f>VLOOKUP(A1437,File!$A:$J,7,FALSE)</f>
        <v>CIS26MBG003</v>
      </c>
      <c r="H1437" s="29" t="str">
        <f>VLOOKUP(A1437,File!$A:$J,8,FALSE)</f>
        <v>Kishorekumar P</v>
      </c>
      <c r="I1437" s="31">
        <f>VLOOKUP(A1437,File!$A:$J,9,FALSE)</f>
        <v>46367</v>
      </c>
      <c r="J1437" s="31" t="str">
        <f>VLOOKUP(A1437,File!$A:$K,11,FALSE)</f>
        <v>Dec 2026</v>
      </c>
      <c r="K1437" s="31" t="str">
        <f>VLOOKUP(A1437,File!$A:$K,10,FALSE)</f>
        <v>In-Training</v>
      </c>
      <c r="L1437" s="31" t="s">
        <v>4</v>
      </c>
      <c r="M1437" t="str">
        <f>VLOOKUP(A1437,Response!$A:$M,7,)</f>
        <v>PG (Paying Guest)</v>
      </c>
      <c r="N1437" t="str">
        <f>VLOOKUP(A1437,Response!$A:$M,8,)</f>
        <v>SRS Luxury PG for Ladies - Branch 6, Egattur</v>
      </c>
      <c r="O1437" s="4">
        <f>VLOOKUP(A1437,Response!$A:$M,10,)</f>
        <v>3</v>
      </c>
      <c r="P1437" t="str">
        <f>VLOOKUP(A1437,Response!$A:$M,12,)</f>
        <v>No</v>
      </c>
      <c r="Q1437" t="str">
        <f>VLOOKUP(A1437,Response!$A:$M,11,)</f>
        <v>Navalur</v>
      </c>
      <c r="R1437" t="s">
        <v>19</v>
      </c>
      <c r="S1437" s="39" t="s">
        <v>37</v>
      </c>
    </row>
    <row r="1438" spans="1:19">
      <c r="A1438" s="3">
        <v>2531441</v>
      </c>
      <c r="B1438" t="str">
        <f>VLOOKUP(A1438,File!$A:$J,2,FALSE)</f>
        <v>Neha Hanmant Tadalapure</v>
      </c>
      <c r="C1438" s="29">
        <f>VLOOKUP(A1438,File!$A:$J,5,FALSE)</f>
        <v>46252</v>
      </c>
      <c r="D1438" s="29" t="str">
        <f>VLOOKUP(A1438,File!$A:$J,3,FALSE)</f>
        <v>Female</v>
      </c>
      <c r="E1438" s="29" t="str">
        <f>VLOOKUP(A1438,File!$A:$J,4,FALSE)</f>
        <v>FTE</v>
      </c>
      <c r="F1438" s="29" t="str">
        <f>VLOOKUP(A1438,File!$A:$J,6,FALSE)</f>
        <v>Chennai</v>
      </c>
      <c r="G1438" s="29" t="str">
        <f>VLOOKUP(A1438,File!$A:$J,7,FALSE)</f>
        <v>EPS26WD006</v>
      </c>
      <c r="H1438" s="29" t="str">
        <f>VLOOKUP(A1438,File!$A:$J,8,FALSE)</f>
        <v>Vishnupriya Dakshnamurthy</v>
      </c>
      <c r="I1438" s="31">
        <f>VLOOKUP(A1438,File!$A:$J,9,FALSE)</f>
        <v>46353</v>
      </c>
      <c r="J1438" s="31" t="str">
        <f>VLOOKUP(A1438,File!$A:$K,11,FALSE)</f>
        <v>Nov 2026</v>
      </c>
      <c r="K1438" s="31" t="str">
        <f>VLOOKUP(A1438,File!$A:$K,10,FALSE)</f>
        <v>In-Training</v>
      </c>
      <c r="L1438" s="31" t="s">
        <v>4</v>
      </c>
      <c r="M1438" t="str">
        <f>VLOOKUP(A1438,Response!$A:$M,7,)</f>
        <v>PG (Paying Guest)</v>
      </c>
      <c r="N1438" t="str">
        <f>VLOOKUP(A1438,Response!$A:$M,8,)</f>
        <v>SRS Luxury PG for ladies Branch III, Egattur</v>
      </c>
      <c r="O1438" s="4">
        <f>VLOOKUP(A1438,Response!$A:$M,10,)</f>
        <v>3</v>
      </c>
      <c r="P1438" t="str">
        <f>VLOOKUP(A1438,Response!$A:$M,12,)</f>
        <v>No</v>
      </c>
      <c r="Q1438" t="str">
        <f>VLOOKUP(A1438,Response!$A:$M,11,)</f>
        <v>Egattur</v>
      </c>
      <c r="R1438" t="s">
        <v>19</v>
      </c>
      <c r="S1438" s="39" t="s">
        <v>37</v>
      </c>
    </row>
    <row r="1439" spans="1:19">
      <c r="A1439" s="3">
        <v>2521247</v>
      </c>
      <c r="B1439" t="str">
        <f>VLOOKUP(A1439,File!$A:$J,2,FALSE)</f>
        <v>Pinninti Swetha</v>
      </c>
      <c r="C1439" s="29">
        <f>VLOOKUP(A1439,File!$A:$J,5,FALSE)</f>
        <v>46210</v>
      </c>
      <c r="D1439" s="29" t="str">
        <f>VLOOKUP(A1439,File!$A:$J,3,FALSE)</f>
        <v>Female</v>
      </c>
      <c r="E1439" s="29" t="str">
        <f>VLOOKUP(A1439,File!$A:$J,4,FALSE)</f>
        <v>FTE</v>
      </c>
      <c r="F1439" s="29" t="str">
        <f>VLOOKUP(A1439,File!$A:$J,6,FALSE)</f>
        <v>Chennai</v>
      </c>
      <c r="G1439" s="29" t="str">
        <f>VLOOKUP(A1439,File!$A:$J,7,FALSE)</f>
        <v>SNBG26SN002</v>
      </c>
      <c r="H1439" s="29" t="str">
        <f>VLOOKUP(A1439,File!$A:$J,8,FALSE)</f>
        <v>Lawrance M</v>
      </c>
      <c r="I1439" s="31">
        <f>VLOOKUP(A1439,File!$A:$J,9,FALSE)</f>
        <v>46303</v>
      </c>
      <c r="J1439" s="31" t="str">
        <f>VLOOKUP(A1439,File!$A:$K,11,FALSE)</f>
        <v>Oct 2026</v>
      </c>
      <c r="K1439" s="31" t="str">
        <f>VLOOKUP(A1439,File!$A:$K,10,FALSE)</f>
        <v>In-Training</v>
      </c>
      <c r="L1439" s="31" t="s">
        <v>4</v>
      </c>
      <c r="M1439" t="str">
        <f>VLOOKUP(A1439,Response!$A:$M,7,)</f>
        <v>PG (Paying Guest)</v>
      </c>
      <c r="N1439" t="str">
        <f>VLOOKUP(A1439,Response!$A:$M,8,)</f>
        <v>SRS Luxury PG For Ladies SIPCOT- SIRUSERI</v>
      </c>
      <c r="O1439" s="4">
        <f>VLOOKUP(A1439,Response!$A:$M,10,)</f>
        <v>3</v>
      </c>
      <c r="P1439" t="str">
        <f>VLOOKUP(A1439,Response!$A:$M,12,)</f>
        <v>Yes</v>
      </c>
      <c r="Q1439" t="str">
        <f>VLOOKUP(A1439,Response!$A:$M,11,)</f>
        <v>Egattur</v>
      </c>
      <c r="R1439" t="s">
        <v>19</v>
      </c>
      <c r="S1439" s="39" t="s">
        <v>37</v>
      </c>
    </row>
    <row r="1440" spans="1:19">
      <c r="A1440" s="3">
        <v>2521708</v>
      </c>
      <c r="B1440" t="str">
        <f>VLOOKUP(A1440,File!$A:$J,2,FALSE)</f>
        <v>Amrutha N</v>
      </c>
      <c r="C1440" s="29">
        <f>VLOOKUP(A1440,File!$A:$J,5,FALSE)</f>
        <v>46212</v>
      </c>
      <c r="D1440" s="29" t="str">
        <f>VLOOKUP(A1440,File!$A:$J,3,FALSE)</f>
        <v>Female</v>
      </c>
      <c r="E1440" s="29" t="str">
        <f>VLOOKUP(A1440,File!$A:$J,4,FALSE)</f>
        <v>FTE</v>
      </c>
      <c r="F1440" s="29" t="str">
        <f>VLOOKUP(A1440,File!$A:$J,6,FALSE)</f>
        <v>Chennai</v>
      </c>
      <c r="G1440" s="29" t="str">
        <f>VLOOKUP(A1440,File!$A:$J,7,FALSE)</f>
        <v>ADM26MF011</v>
      </c>
      <c r="H1440" s="29" t="str">
        <f>VLOOKUP(A1440,File!$A:$J,8,FALSE)</f>
        <v>Abinaya R</v>
      </c>
      <c r="I1440" s="31">
        <f>VLOOKUP(A1440,File!$A:$J,9,FALSE)</f>
        <v>46328</v>
      </c>
      <c r="J1440" s="31" t="str">
        <f>VLOOKUP(A1440,File!$A:$K,11,FALSE)</f>
        <v>Nov 2026</v>
      </c>
      <c r="K1440" s="31" t="str">
        <f>VLOOKUP(A1440,File!$A:$K,10,FALSE)</f>
        <v>In-Training</v>
      </c>
      <c r="L1440" s="31" t="s">
        <v>4</v>
      </c>
      <c r="M1440" t="str">
        <f>VLOOKUP(A1440,Response!$A:$M,7,)</f>
        <v>PG (Paying Guest)</v>
      </c>
      <c r="N1440" t="str">
        <f>VLOOKUP(A1440,Response!$A:$M,8,)</f>
        <v>SRS Luxury PG For Ladies SIPCOT- SIRUSERI</v>
      </c>
      <c r="O1440" s="4">
        <f>VLOOKUP(A1440,Response!$A:$M,10,)</f>
        <v>3</v>
      </c>
      <c r="P1440" t="str">
        <f>VLOOKUP(A1440,Response!$A:$M,12,)</f>
        <v>No</v>
      </c>
      <c r="Q1440" t="str">
        <f>VLOOKUP(A1440,Response!$A:$M,11,)</f>
        <v>Siruseri</v>
      </c>
      <c r="R1440" t="s">
        <v>19</v>
      </c>
      <c r="S1440" s="39" t="s">
        <v>37</v>
      </c>
    </row>
    <row r="1441" spans="1:19">
      <c r="A1441" s="3">
        <v>2521695</v>
      </c>
      <c r="B1441" t="str">
        <f>VLOOKUP(A1441,File!$A:$J,2,FALSE)</f>
        <v>Vedashree M J</v>
      </c>
      <c r="C1441" s="29">
        <f>VLOOKUP(A1441,File!$A:$J,5,FALSE)</f>
        <v>46212</v>
      </c>
      <c r="D1441" s="29" t="str">
        <f>VLOOKUP(A1441,File!$A:$J,3,FALSE)</f>
        <v>Female</v>
      </c>
      <c r="E1441" s="29" t="str">
        <f>VLOOKUP(A1441,File!$A:$J,4,FALSE)</f>
        <v>FTE</v>
      </c>
      <c r="F1441" s="29" t="str">
        <f>VLOOKUP(A1441,File!$A:$J,6,FALSE)</f>
        <v>Chennai</v>
      </c>
      <c r="G1441" s="29" t="str">
        <f>VLOOKUP(A1441,File!$A:$J,7,FALSE)</f>
        <v>ADM26MF011</v>
      </c>
      <c r="H1441" s="29" t="str">
        <f>VLOOKUP(A1441,File!$A:$J,8,FALSE)</f>
        <v>Abinaya R</v>
      </c>
      <c r="I1441" s="31">
        <f>VLOOKUP(A1441,File!$A:$J,9,FALSE)</f>
        <v>46328</v>
      </c>
      <c r="J1441" s="31" t="str">
        <f>VLOOKUP(A1441,File!$A:$K,11,FALSE)</f>
        <v>Nov 2026</v>
      </c>
      <c r="K1441" s="31" t="str">
        <f>VLOOKUP(A1441,File!$A:$K,10,FALSE)</f>
        <v>In-Training</v>
      </c>
      <c r="L1441" s="31" t="s">
        <v>4</v>
      </c>
      <c r="M1441" t="str">
        <f>VLOOKUP(A1441,Response!$A:$M,7,)</f>
        <v>PG (Paying Guest)</v>
      </c>
      <c r="N1441" t="str">
        <f>VLOOKUP(A1441,Response!$A:$M,8,)</f>
        <v>SRS Luxury PG For Ladies SIPCOT- SIRUSERI</v>
      </c>
      <c r="O1441" s="4">
        <f>VLOOKUP(A1441,Response!$A:$M,10,)</f>
        <v>4</v>
      </c>
      <c r="P1441" t="str">
        <f>VLOOKUP(A1441,Response!$A:$M,12,)</f>
        <v>No</v>
      </c>
      <c r="Q1441" t="str">
        <f>VLOOKUP(A1441,Response!$A:$M,11,)</f>
        <v>Siruseri</v>
      </c>
      <c r="R1441" t="s">
        <v>19</v>
      </c>
      <c r="S1441" s="39" t="s">
        <v>37</v>
      </c>
    </row>
    <row r="1442" spans="1:19">
      <c r="A1442" s="3">
        <v>2533165</v>
      </c>
      <c r="B1442" t="str">
        <f>VLOOKUP(A1442,File!$A:$J,2,FALSE)</f>
        <v>Kodam Sowjanya</v>
      </c>
      <c r="C1442" s="29">
        <f>VLOOKUP(A1442,File!$A:$J,5,FALSE)</f>
        <v>46259</v>
      </c>
      <c r="D1442" s="29" t="str">
        <f>VLOOKUP(A1442,File!$A:$J,3,FALSE)</f>
        <v>Female</v>
      </c>
      <c r="E1442" s="29" t="str">
        <f>VLOOKUP(A1442,File!$A:$J,4,FALSE)</f>
        <v>FTE</v>
      </c>
      <c r="F1442" s="29" t="str">
        <f>VLOOKUP(A1442,File!$A:$J,6,FALSE)</f>
        <v>Chennai</v>
      </c>
      <c r="G1442" s="29" t="str">
        <f>VLOOKUP(A1442,File!$A:$J,7,FALSE)</f>
        <v>CIS26MBG005</v>
      </c>
      <c r="H1442" s="29" t="str">
        <f>VLOOKUP(A1442,File!$A:$J,8,FALSE)</f>
        <v>Angel Maria Faustina Gomez</v>
      </c>
      <c r="I1442" s="31">
        <f>VLOOKUP(A1442,File!$A:$J,9,FALSE)</f>
        <v>46367</v>
      </c>
      <c r="J1442" s="31" t="str">
        <f>VLOOKUP(A1442,File!$A:$K,11,FALSE)</f>
        <v>Dec 2026</v>
      </c>
      <c r="K1442" s="31" t="str">
        <f>VLOOKUP(A1442,File!$A:$K,10,FALSE)</f>
        <v>In-Training</v>
      </c>
      <c r="L1442" s="31" t="s">
        <v>4</v>
      </c>
      <c r="M1442" t="str">
        <f>VLOOKUP(A1442,Response!$A:$M,7,)</f>
        <v>PG (Paying Guest)</v>
      </c>
      <c r="N1442" t="str">
        <f>VLOOKUP(A1442,Response!$A:$M,8,)</f>
        <v>SRS Luxury PG for ladies, Branch 3, Egattur</v>
      </c>
      <c r="O1442" s="4">
        <f>VLOOKUP(A1442,Response!$A:$M,10,)</f>
        <v>1</v>
      </c>
      <c r="P1442" t="str">
        <f>VLOOKUP(A1442,Response!$A:$M,12,)</f>
        <v>No</v>
      </c>
      <c r="Q1442" t="str">
        <f>VLOOKUP(A1442,Response!$A:$M,11,)</f>
        <v>Egattur</v>
      </c>
      <c r="R1442" t="s">
        <v>19</v>
      </c>
      <c r="S1442" s="39" t="s">
        <v>37</v>
      </c>
    </row>
    <row r="1443" spans="1:19">
      <c r="A1443" s="3">
        <v>2533111</v>
      </c>
      <c r="B1443" t="str">
        <f>VLOOKUP(A1443,File!$A:$J,2,FALSE)</f>
        <v>Shreya Naresh Panat</v>
      </c>
      <c r="C1443" s="29">
        <f>VLOOKUP(A1443,File!$A:$J,5,FALSE)</f>
        <v>46259</v>
      </c>
      <c r="D1443" s="29" t="str">
        <f>VLOOKUP(A1443,File!$A:$J,3,FALSE)</f>
        <v>Female</v>
      </c>
      <c r="E1443" s="29" t="str">
        <f>VLOOKUP(A1443,File!$A:$J,4,FALSE)</f>
        <v>FTE</v>
      </c>
      <c r="F1443" s="29" t="str">
        <f>VLOOKUP(A1443,File!$A:$J,6,FALSE)</f>
        <v>Chennai</v>
      </c>
      <c r="G1443" s="29" t="str">
        <f>VLOOKUP(A1443,File!$A:$J,7,FALSE)</f>
        <v>CIS26MBG007</v>
      </c>
      <c r="H1443" s="29" t="str">
        <f>VLOOKUP(A1443,File!$A:$J,8,FALSE)</f>
        <v>Lawrance M</v>
      </c>
      <c r="I1443" s="31">
        <f>VLOOKUP(A1443,File!$A:$J,9,FALSE)</f>
        <v>46367</v>
      </c>
      <c r="J1443" s="31" t="str">
        <f>VLOOKUP(A1443,File!$A:$K,11,FALSE)</f>
        <v>Dec 2026</v>
      </c>
      <c r="K1443" s="31" t="str">
        <f>VLOOKUP(A1443,File!$A:$K,10,FALSE)</f>
        <v>In-Training</v>
      </c>
      <c r="L1443" s="31" t="s">
        <v>4</v>
      </c>
      <c r="M1443" t="str">
        <f>VLOOKUP(A1443,Response!$A:$M,7,)</f>
        <v>PG (Paying Guest)</v>
      </c>
      <c r="N1443" t="str">
        <f>VLOOKUP(A1443,Response!$A:$M,8,)</f>
        <v>SRS Luxury PG For Ladies, Egattur</v>
      </c>
      <c r="O1443" s="4">
        <f>VLOOKUP(A1443,Response!$A:$M,10,)</f>
        <v>3</v>
      </c>
      <c r="P1443" t="str">
        <f>VLOOKUP(A1443,Response!$A:$M,12,)</f>
        <v>No</v>
      </c>
      <c r="Q1443" t="str">
        <f>VLOOKUP(A1443,Response!$A:$M,11,)</f>
        <v>Siruseri</v>
      </c>
      <c r="R1443" t="s">
        <v>19</v>
      </c>
      <c r="S1443" s="39" t="s">
        <v>37</v>
      </c>
    </row>
    <row r="1444" spans="1:19">
      <c r="A1444" s="3">
        <v>2524516</v>
      </c>
      <c r="B1444" t="str">
        <f>VLOOKUP(A1444,File!$A:$J,2,FALSE)</f>
        <v>Visakoti Komali</v>
      </c>
      <c r="C1444" s="29">
        <f>VLOOKUP(A1444,File!$A:$J,5,FALSE)</f>
        <v>46224</v>
      </c>
      <c r="D1444" s="29" t="str">
        <f>VLOOKUP(A1444,File!$A:$J,3,FALSE)</f>
        <v>Female</v>
      </c>
      <c r="E1444" s="29" t="str">
        <f>VLOOKUP(A1444,File!$A:$J,4,FALSE)</f>
        <v>FTE</v>
      </c>
      <c r="F1444" s="29" t="str">
        <f>VLOOKUP(A1444,File!$A:$J,6,FALSE)</f>
        <v>Chennai</v>
      </c>
      <c r="G1444" s="29" t="str">
        <f>VLOOKUP(A1444,File!$A:$J,7,FALSE)</f>
        <v>ADM26MF012</v>
      </c>
      <c r="H1444" s="29" t="str">
        <f>VLOOKUP(A1444,File!$A:$J,8,FALSE)</f>
        <v>Lourdhu Selvin Raj X</v>
      </c>
      <c r="I1444" s="31">
        <f>VLOOKUP(A1444,File!$A:$J,9,FALSE)</f>
        <v>46343</v>
      </c>
      <c r="J1444" s="31" t="str">
        <f>VLOOKUP(A1444,File!$A:$K,11,FALSE)</f>
        <v>Nov 2026</v>
      </c>
      <c r="K1444" s="31" t="str">
        <f>VLOOKUP(A1444,File!$A:$K,10,FALSE)</f>
        <v>In-Training</v>
      </c>
      <c r="L1444" s="31" t="s">
        <v>4</v>
      </c>
      <c r="M1444" t="str">
        <f>VLOOKUP(A1444,Response!$A:$M,7,)</f>
        <v>PG (Paying Guest)</v>
      </c>
      <c r="N1444" t="str">
        <f>VLOOKUP(A1444,Response!$A:$M,8,)</f>
        <v xml:space="preserve">SRS Luxury PG for Ladies, Egattur </v>
      </c>
      <c r="O1444" s="4">
        <f>VLOOKUP(A1444,Response!$A:$M,10,)</f>
        <v>1</v>
      </c>
      <c r="P1444" t="str">
        <f>VLOOKUP(A1444,Response!$A:$M,12,)</f>
        <v>No</v>
      </c>
      <c r="Q1444" t="str">
        <f>VLOOKUP(A1444,Response!$A:$M,11,)</f>
        <v>Siruseri</v>
      </c>
      <c r="R1444" t="s">
        <v>19</v>
      </c>
      <c r="S1444" s="39" t="s">
        <v>37</v>
      </c>
    </row>
    <row r="1445" spans="1:19">
      <c r="A1445" s="3">
        <v>2523393</v>
      </c>
      <c r="B1445" t="str">
        <f>VLOOKUP(A1445,File!$A:$J,2,FALSE)</f>
        <v>Irfana Athiba M</v>
      </c>
      <c r="C1445" s="29">
        <f>VLOOKUP(A1445,File!$A:$J,5,FALSE)</f>
        <v>46219</v>
      </c>
      <c r="D1445" s="29" t="str">
        <f>VLOOKUP(A1445,File!$A:$J,3,FALSE)</f>
        <v>Female</v>
      </c>
      <c r="E1445" s="29" t="str">
        <f>VLOOKUP(A1445,File!$A:$J,4,FALSE)</f>
        <v>FTE</v>
      </c>
      <c r="F1445" s="29" t="str">
        <f>VLOOKUP(A1445,File!$A:$J,6,FALSE)</f>
        <v>Chennai</v>
      </c>
      <c r="G1445" s="29" t="str">
        <f>VLOOKUP(A1445,File!$A:$J,7,FALSE)</f>
        <v>CS26CS010</v>
      </c>
      <c r="H1445" s="29" t="str">
        <f>VLOOKUP(A1445,File!$A:$J,8,FALSE)</f>
        <v>Laksiya Vijayendran</v>
      </c>
      <c r="I1445" s="31">
        <f>VLOOKUP(A1445,File!$A:$J,9,FALSE)</f>
        <v>46314</v>
      </c>
      <c r="J1445" s="31" t="str">
        <f>VLOOKUP(A1445,File!$A:$K,11,FALSE)</f>
        <v>Oct 2026</v>
      </c>
      <c r="K1445" s="31" t="str">
        <f>VLOOKUP(A1445,File!$A:$K,10,FALSE)</f>
        <v>In-Training</v>
      </c>
      <c r="L1445" s="31" t="s">
        <v>4</v>
      </c>
      <c r="M1445" t="str">
        <f>VLOOKUP(A1445,Response!$A:$M,7,)</f>
        <v>PG (Paying Guest)</v>
      </c>
      <c r="N1445" t="str">
        <f>VLOOKUP(A1445,Response!$A:$M,8,)</f>
        <v>SRS LUXURY PG FOR LADIES-BRANCH 6,EGATTUR</v>
      </c>
      <c r="O1445" s="4">
        <f>VLOOKUP(A1445,Response!$A:$M,10,)</f>
        <v>4</v>
      </c>
      <c r="P1445" t="str">
        <f>VLOOKUP(A1445,Response!$A:$M,12,)</f>
        <v>No</v>
      </c>
      <c r="Q1445" t="str">
        <f>VLOOKUP(A1445,Response!$A:$M,11,)</f>
        <v>Egattur</v>
      </c>
      <c r="R1445" t="s">
        <v>19</v>
      </c>
      <c r="S1445" s="39" t="s">
        <v>37</v>
      </c>
    </row>
    <row r="1446" spans="1:19">
      <c r="A1446" s="3">
        <v>2531392</v>
      </c>
      <c r="B1446" t="str">
        <f>VLOOKUP(A1446,File!$A:$J,2,FALSE)</f>
        <v>Harini Gunasekaran</v>
      </c>
      <c r="C1446" s="29">
        <f>VLOOKUP(A1446,File!$A:$J,5,FALSE)</f>
        <v>46252</v>
      </c>
      <c r="D1446" s="29" t="str">
        <f>VLOOKUP(A1446,File!$A:$J,3,FALSE)</f>
        <v>Female</v>
      </c>
      <c r="E1446" s="29" t="str">
        <f>VLOOKUP(A1446,File!$A:$J,4,FALSE)</f>
        <v>FTE</v>
      </c>
      <c r="F1446" s="29" t="str">
        <f>VLOOKUP(A1446,File!$A:$J,6,FALSE)</f>
        <v>Chennai</v>
      </c>
      <c r="G1446" s="29" t="str">
        <f>VLOOKUP(A1446,File!$A:$J,7,FALSE)</f>
        <v>EPS26SAP036</v>
      </c>
      <c r="H1446" s="29" t="str">
        <f>VLOOKUP(A1446,File!$A:$J,8,FALSE)</f>
        <v>Vishnupriya Dakshnamurthy</v>
      </c>
      <c r="I1446" s="31">
        <f>VLOOKUP(A1446,File!$A:$J,9,FALSE)</f>
        <v>46335</v>
      </c>
      <c r="J1446" s="31" t="str">
        <f>VLOOKUP(A1446,File!$A:$K,11,FALSE)</f>
        <v>Nov 2026</v>
      </c>
      <c r="K1446" s="31" t="str">
        <f>VLOOKUP(A1446,File!$A:$K,10,FALSE)</f>
        <v>In-Training</v>
      </c>
      <c r="L1446" s="31" t="s">
        <v>4</v>
      </c>
      <c r="M1446" t="str">
        <f>VLOOKUP(A1446,Response!$A:$M,7,)</f>
        <v>PG (Paying Guest)</v>
      </c>
      <c r="N1446" t="str">
        <f>VLOOKUP(A1446,Response!$A:$M,8,)</f>
        <v>SRS Luxury PG for Woman - Branch 1, Egattur</v>
      </c>
      <c r="O1446" s="4">
        <f>VLOOKUP(A1446,Response!$A:$M,10,)</f>
        <v>4</v>
      </c>
      <c r="P1446" t="str">
        <f>VLOOKUP(A1446,Response!$A:$M,12,)</f>
        <v>Yes</v>
      </c>
      <c r="Q1446" t="str">
        <f>VLOOKUP(A1446,Response!$A:$M,11,)</f>
        <v>Egattur</v>
      </c>
      <c r="R1446" t="s">
        <v>19</v>
      </c>
      <c r="S1446" s="39" t="s">
        <v>37</v>
      </c>
    </row>
    <row r="1447" spans="1:19">
      <c r="A1447" s="3">
        <v>2524658</v>
      </c>
      <c r="B1447" t="str">
        <f>VLOOKUP(A1447,File!$A:$J,2,FALSE)</f>
        <v>Syeda Sidra Quadri</v>
      </c>
      <c r="C1447" s="29">
        <f>VLOOKUP(A1447,File!$A:$J,5,FALSE)</f>
        <v>46224</v>
      </c>
      <c r="D1447" s="29" t="str">
        <f>VLOOKUP(A1447,File!$A:$J,3,FALSE)</f>
        <v>Female</v>
      </c>
      <c r="E1447" s="29" t="str">
        <f>VLOOKUP(A1447,File!$A:$J,4,FALSE)</f>
        <v>FTE</v>
      </c>
      <c r="F1447" s="29" t="str">
        <f>VLOOKUP(A1447,File!$A:$J,6,FALSE)</f>
        <v>Chennai</v>
      </c>
      <c r="G1447" s="29" t="str">
        <f>VLOOKUP(A1447,File!$A:$J,7,FALSE)</f>
        <v>IOA26RPA005</v>
      </c>
      <c r="H1447" s="29" t="str">
        <f>VLOOKUP(A1447,File!$A:$J,8,FALSE)</f>
        <v>Adarsh J Nair</v>
      </c>
      <c r="I1447" s="31">
        <f>VLOOKUP(A1447,File!$A:$J,9,FALSE)</f>
        <v>46309</v>
      </c>
      <c r="J1447" s="31" t="str">
        <f>VLOOKUP(A1447,File!$A:$K,11,FALSE)</f>
        <v>Oct 2026</v>
      </c>
      <c r="K1447" s="31" t="str">
        <f>VLOOKUP(A1447,File!$A:$K,10,FALSE)</f>
        <v>In-Training</v>
      </c>
      <c r="L1447" s="31" t="s">
        <v>4</v>
      </c>
      <c r="M1447" t="str">
        <f>VLOOKUP(A1447,Response!$A:$M,7,)</f>
        <v>PG (Paying Guest)</v>
      </c>
      <c r="N1447" t="str">
        <f>VLOOKUP(A1447,Response!$A:$M,8,)</f>
        <v>SRS Luxury PG For Woman Hostel - Branch 6, NAVALUR</v>
      </c>
      <c r="O1447" s="4">
        <f>VLOOKUP(A1447,Response!$A:$M,10,)</f>
        <v>2</v>
      </c>
      <c r="P1447" t="str">
        <f>VLOOKUP(A1447,Response!$A:$M,12,)</f>
        <v>No</v>
      </c>
      <c r="Q1447" t="str">
        <f>VLOOKUP(A1447,Response!$A:$M,11,)</f>
        <v>Navalur</v>
      </c>
      <c r="R1447" t="s">
        <v>19</v>
      </c>
      <c r="S1447" s="39" t="s">
        <v>37</v>
      </c>
    </row>
    <row r="1448" spans="1:19">
      <c r="A1448" s="3">
        <v>2524652</v>
      </c>
      <c r="B1448" t="str">
        <f>VLOOKUP(A1448,File!$A:$J,2,FALSE)</f>
        <v>Suneela R</v>
      </c>
      <c r="C1448" s="29">
        <f>VLOOKUP(A1448,File!$A:$J,5,FALSE)</f>
        <v>46224</v>
      </c>
      <c r="D1448" s="29" t="str">
        <f>VLOOKUP(A1448,File!$A:$J,3,FALSE)</f>
        <v>Female</v>
      </c>
      <c r="E1448" s="29" t="str">
        <f>VLOOKUP(A1448,File!$A:$J,4,FALSE)</f>
        <v>FTE</v>
      </c>
      <c r="F1448" s="29" t="str">
        <f>VLOOKUP(A1448,File!$A:$J,6,FALSE)</f>
        <v>Chennai</v>
      </c>
      <c r="G1448" s="29" t="str">
        <f>VLOOKUP(A1448,File!$A:$J,7,FALSE)</f>
        <v>IOA26RPA005</v>
      </c>
      <c r="H1448" s="29" t="str">
        <f>VLOOKUP(A1448,File!$A:$J,8,FALSE)</f>
        <v>Adarsh J Nair</v>
      </c>
      <c r="I1448" s="31">
        <f>VLOOKUP(A1448,File!$A:$J,9,FALSE)</f>
        <v>46309</v>
      </c>
      <c r="J1448" s="31" t="str">
        <f>VLOOKUP(A1448,File!$A:$K,11,FALSE)</f>
        <v>Oct 2026</v>
      </c>
      <c r="K1448" s="31" t="str">
        <f>VLOOKUP(A1448,File!$A:$K,10,FALSE)</f>
        <v>In-Training</v>
      </c>
      <c r="L1448" s="31" t="s">
        <v>4</v>
      </c>
      <c r="M1448" t="str">
        <f>VLOOKUP(A1448,Response!$A:$M,7,)</f>
        <v>PG (Paying Guest)</v>
      </c>
      <c r="N1448" t="str">
        <f>VLOOKUP(A1448,Response!$A:$M,8,)</f>
        <v>SRS Luxury PG For Woman Hostel - NAVALUR Branch 6</v>
      </c>
      <c r="O1448" s="4">
        <f>VLOOKUP(A1448,Response!$A:$M,10,)</f>
        <v>2</v>
      </c>
      <c r="P1448" t="str">
        <f>VLOOKUP(A1448,Response!$A:$M,12,)</f>
        <v>No</v>
      </c>
      <c r="Q1448" t="str">
        <f>VLOOKUP(A1448,Response!$A:$M,11,)</f>
        <v>Navalur</v>
      </c>
      <c r="R1448" t="s">
        <v>19</v>
      </c>
      <c r="S1448" s="39" t="s">
        <v>37</v>
      </c>
    </row>
    <row r="1449" spans="1:19">
      <c r="A1449" s="3">
        <v>2532983</v>
      </c>
      <c r="B1449" t="str">
        <f>VLOOKUP(A1449,File!$A:$J,2,FALSE)</f>
        <v>Venturi Satya Sri Devi</v>
      </c>
      <c r="C1449" s="29">
        <f>VLOOKUP(A1449,File!$A:$J,5,FALSE)</f>
        <v>46259</v>
      </c>
      <c r="D1449" s="29" t="str">
        <f>VLOOKUP(A1449,File!$A:$J,3,FALSE)</f>
        <v>Female</v>
      </c>
      <c r="E1449" s="29" t="str">
        <f>VLOOKUP(A1449,File!$A:$J,4,FALSE)</f>
        <v>FTE</v>
      </c>
      <c r="F1449" s="29" t="str">
        <f>VLOOKUP(A1449,File!$A:$J,6,FALSE)</f>
        <v>Chennai</v>
      </c>
      <c r="G1449" s="29" t="str">
        <f>VLOOKUP(A1449,File!$A:$J,7,FALSE)</f>
        <v>CIS26MBG006</v>
      </c>
      <c r="H1449" s="29" t="str">
        <f>VLOOKUP(A1449,File!$A:$J,8,FALSE)</f>
        <v>Angel Maria Faustina Gomez</v>
      </c>
      <c r="I1449" s="31">
        <f>VLOOKUP(A1449,File!$A:$J,9,FALSE)</f>
        <v>46367</v>
      </c>
      <c r="J1449" s="31" t="str">
        <f>VLOOKUP(A1449,File!$A:$K,11,FALSE)</f>
        <v>Dec 2026</v>
      </c>
      <c r="K1449" s="31" t="str">
        <f>VLOOKUP(A1449,File!$A:$K,10,FALSE)</f>
        <v>In-Training</v>
      </c>
      <c r="L1449" s="31" t="s">
        <v>4</v>
      </c>
      <c r="M1449" t="str">
        <f>VLOOKUP(A1449,Response!$A:$M,7,)</f>
        <v>PG (Paying Guest)</v>
      </c>
      <c r="N1449" t="str">
        <f>VLOOKUP(A1449,Response!$A:$M,8,)</f>
        <v>SRS Luxury PG For Woman, Branch 6, Navallur.</v>
      </c>
      <c r="O1449" s="4">
        <f>VLOOKUP(A1449,Response!$A:$M,10,)</f>
        <v>4</v>
      </c>
      <c r="P1449" t="str">
        <f>VLOOKUP(A1449,Response!$A:$M,12,)</f>
        <v>No</v>
      </c>
      <c r="Q1449" t="str">
        <f>VLOOKUP(A1449,Response!$A:$M,11,)</f>
        <v>Navalur</v>
      </c>
      <c r="R1449" t="s">
        <v>19</v>
      </c>
      <c r="S1449" s="39" t="s">
        <v>37</v>
      </c>
    </row>
    <row r="1450" spans="1:19">
      <c r="A1450" s="3">
        <v>2521650</v>
      </c>
      <c r="B1450" t="str">
        <f>VLOOKUP(A1450,File!$A:$J,2,FALSE)</f>
        <v>Pujitha Ramya Thotakura</v>
      </c>
      <c r="C1450" s="29">
        <f>VLOOKUP(A1450,File!$A:$J,5,FALSE)</f>
        <v>46212</v>
      </c>
      <c r="D1450" s="29" t="str">
        <f>VLOOKUP(A1450,File!$A:$J,3,FALSE)</f>
        <v>Female</v>
      </c>
      <c r="E1450" s="29" t="str">
        <f>VLOOKUP(A1450,File!$A:$J,4,FALSE)</f>
        <v>FTE</v>
      </c>
      <c r="F1450" s="29" t="str">
        <f>VLOOKUP(A1450,File!$A:$J,6,FALSE)</f>
        <v>Chennai</v>
      </c>
      <c r="G1450" s="29" t="str">
        <f>VLOOKUP(A1450,File!$A:$J,7,FALSE)</f>
        <v>QEA26QEPT023</v>
      </c>
      <c r="H1450" s="29" t="str">
        <f>VLOOKUP(A1450,File!$A:$J,8,FALSE)</f>
        <v>Sweta Thoppil</v>
      </c>
      <c r="I1450" s="31">
        <f>VLOOKUP(A1450,File!$A:$J,9,FALSE)</f>
        <v>46314</v>
      </c>
      <c r="J1450" s="31" t="str">
        <f>VLOOKUP(A1450,File!$A:$K,11,FALSE)</f>
        <v>Oct 2026</v>
      </c>
      <c r="K1450" s="31" t="str">
        <f>VLOOKUP(A1450,File!$A:$K,10,FALSE)</f>
        <v>In-Training</v>
      </c>
      <c r="L1450" s="31" t="s">
        <v>4</v>
      </c>
      <c r="M1450" t="str">
        <f>VLOOKUP(A1450,Response!$A:$M,7,)</f>
        <v>PG (Paying Guest)</v>
      </c>
      <c r="N1450" t="str">
        <f>VLOOKUP(A1450,Response!$A:$M,8,)</f>
        <v>SRS LUXURY PG FOR WOMAN</v>
      </c>
      <c r="O1450" s="4">
        <f>VLOOKUP(A1450,Response!$A:$M,10,)</f>
        <v>2</v>
      </c>
      <c r="P1450" t="str">
        <f>VLOOKUP(A1450,Response!$A:$M,12,)</f>
        <v>No</v>
      </c>
      <c r="Q1450" t="str">
        <f>VLOOKUP(A1450,Response!$A:$M,11,)</f>
        <v>Siruseri</v>
      </c>
      <c r="R1450" t="s">
        <v>19</v>
      </c>
      <c r="S1450" s="39" t="s">
        <v>37</v>
      </c>
    </row>
    <row r="1451" spans="1:19">
      <c r="A1451" s="3">
        <v>2532965</v>
      </c>
      <c r="B1451" t="str">
        <f>VLOOKUP(A1451,File!$A:$J,2,FALSE)</f>
        <v>Pravallika Kintada</v>
      </c>
      <c r="C1451" s="29">
        <f>VLOOKUP(A1451,File!$A:$J,5,FALSE)</f>
        <v>46259</v>
      </c>
      <c r="D1451" s="29" t="str">
        <f>VLOOKUP(A1451,File!$A:$J,3,FALSE)</f>
        <v>Female</v>
      </c>
      <c r="E1451" s="29" t="str">
        <f>VLOOKUP(A1451,File!$A:$J,4,FALSE)</f>
        <v>FTE</v>
      </c>
      <c r="F1451" s="29" t="str">
        <f>VLOOKUP(A1451,File!$A:$J,6,FALSE)</f>
        <v>Chennai</v>
      </c>
      <c r="G1451" s="29" t="str">
        <f>VLOOKUP(A1451,File!$A:$J,7,FALSE)</f>
        <v>IOT26CSJ002</v>
      </c>
      <c r="H1451" s="29" t="str">
        <f>VLOOKUP(A1451,File!$A:$J,8,FALSE)</f>
        <v>Pavithra Kandasamy</v>
      </c>
      <c r="I1451" s="31">
        <f>VLOOKUP(A1451,File!$A:$J,9,FALSE)</f>
        <v>46337</v>
      </c>
      <c r="J1451" s="31" t="str">
        <f>VLOOKUP(A1451,File!$A:$K,11,FALSE)</f>
        <v>Nov 2026</v>
      </c>
      <c r="K1451" s="31" t="str">
        <f>VLOOKUP(A1451,File!$A:$K,10,FALSE)</f>
        <v>In-Training</v>
      </c>
      <c r="L1451" s="31" t="s">
        <v>4</v>
      </c>
      <c r="M1451" t="str">
        <f>VLOOKUP(A1451,Response!$A:$M,7,)</f>
        <v>PG (Paying Guest)</v>
      </c>
      <c r="N1451" t="str">
        <f>VLOOKUP(A1451,Response!$A:$M,8,)</f>
        <v>SRS LUXURY PG FOR WOMEN</v>
      </c>
      <c r="O1451" s="4">
        <f>VLOOKUP(A1451,Response!$A:$M,10,)</f>
        <v>4</v>
      </c>
      <c r="P1451" t="str">
        <f>VLOOKUP(A1451,Response!$A:$M,12,)</f>
        <v>No</v>
      </c>
      <c r="Q1451" t="str">
        <f>VLOOKUP(A1451,Response!$A:$M,11,)</f>
        <v>Siruseri</v>
      </c>
      <c r="R1451" t="s">
        <v>19</v>
      </c>
      <c r="S1451" s="39" t="s">
        <v>37</v>
      </c>
    </row>
    <row r="1452" spans="1:19">
      <c r="A1452" s="3">
        <v>2520923</v>
      </c>
      <c r="B1452" t="str">
        <f>VLOOKUP(A1452,File!$A:$J,2,FALSE)</f>
        <v>Srivarshini G</v>
      </c>
      <c r="C1452" s="29">
        <f>VLOOKUP(A1452,File!$A:$J,5,FALSE)</f>
        <v>46210</v>
      </c>
      <c r="D1452" s="29" t="str">
        <f>VLOOKUP(A1452,File!$A:$J,3,FALSE)</f>
        <v>Female</v>
      </c>
      <c r="E1452" s="29" t="str">
        <f>VLOOKUP(A1452,File!$A:$J,4,FALSE)</f>
        <v>FTE</v>
      </c>
      <c r="F1452" s="29" t="str">
        <f>VLOOKUP(A1452,File!$A:$J,6,FALSE)</f>
        <v>Chennai</v>
      </c>
      <c r="G1452" s="29" t="str">
        <f>VLOOKUP(A1452,File!$A:$J,7,FALSE)</f>
        <v>CIS26MCPT013</v>
      </c>
      <c r="H1452" s="29" t="str">
        <f>VLOOKUP(A1452,File!$A:$J,8,FALSE)</f>
        <v>Lawrance M</v>
      </c>
      <c r="I1452" s="31">
        <f>VLOOKUP(A1452,File!$A:$J,9,FALSE)</f>
        <v>46324</v>
      </c>
      <c r="J1452" s="31" t="str">
        <f>VLOOKUP(A1452,File!$A:$K,11,FALSE)</f>
        <v>Oct 2026</v>
      </c>
      <c r="K1452" s="31" t="str">
        <f>VLOOKUP(A1452,File!$A:$K,10,FALSE)</f>
        <v>In-Training</v>
      </c>
      <c r="L1452" s="31" t="s">
        <v>4</v>
      </c>
      <c r="M1452" t="str">
        <f>VLOOKUP(A1452,Response!$A:$M,7,)</f>
        <v>PG (Paying Guest)</v>
      </c>
      <c r="N1452" t="str">
        <f>VLOOKUP(A1452,Response!$A:$M,8,)</f>
        <v xml:space="preserve">SRS Luxury PG for Women Branch 1 </v>
      </c>
      <c r="O1452" s="4">
        <f>VLOOKUP(A1452,Response!$A:$M,10,)</f>
        <v>3</v>
      </c>
      <c r="P1452" t="str">
        <f>VLOOKUP(A1452,Response!$A:$M,12,)</f>
        <v>Yes</v>
      </c>
      <c r="Q1452" t="str">
        <f>VLOOKUP(A1452,Response!$A:$M,11,)</f>
        <v>Siruseri</v>
      </c>
      <c r="R1452" t="s">
        <v>19</v>
      </c>
      <c r="S1452" s="39" t="s">
        <v>37</v>
      </c>
    </row>
    <row r="1453" spans="1:19">
      <c r="A1453" s="3">
        <v>2524501</v>
      </c>
      <c r="B1453" t="str">
        <f>VLOOKUP(A1453,File!$A:$J,2,FALSE)</f>
        <v>Bhumika B</v>
      </c>
      <c r="C1453" s="29">
        <f>VLOOKUP(A1453,File!$A:$J,5,FALSE)</f>
        <v>46224</v>
      </c>
      <c r="D1453" s="29" t="str">
        <f>VLOOKUP(A1453,File!$A:$J,3,FALSE)</f>
        <v>Female</v>
      </c>
      <c r="E1453" s="29" t="str">
        <f>VLOOKUP(A1453,File!$A:$J,4,FALSE)</f>
        <v>FTE</v>
      </c>
      <c r="F1453" s="29" t="str">
        <f>VLOOKUP(A1453,File!$A:$J,6,FALSE)</f>
        <v>Chennai</v>
      </c>
      <c r="G1453" s="29" t="str">
        <f>VLOOKUP(A1453,File!$A:$J,7,FALSE)</f>
        <v>ADM26MF012</v>
      </c>
      <c r="H1453" s="29" t="str">
        <f>VLOOKUP(A1453,File!$A:$J,8,FALSE)</f>
        <v>Lourdhu Selvin Raj X</v>
      </c>
      <c r="I1453" s="31">
        <f>VLOOKUP(A1453,File!$A:$J,9,FALSE)</f>
        <v>46343</v>
      </c>
      <c r="J1453" s="31" t="str">
        <f>VLOOKUP(A1453,File!$A:$K,11,FALSE)</f>
        <v>Nov 2026</v>
      </c>
      <c r="K1453" s="31" t="str">
        <f>VLOOKUP(A1453,File!$A:$K,10,FALSE)</f>
        <v>In-Training</v>
      </c>
      <c r="L1453" s="31" t="s">
        <v>4</v>
      </c>
      <c r="M1453" t="str">
        <f>VLOOKUP(A1453,Response!$A:$M,7,)</f>
        <v>PG (Paying Guest)</v>
      </c>
      <c r="N1453" t="str">
        <f>VLOOKUP(A1453,Response!$A:$M,8,)</f>
        <v>SRS LUXURY PG FOR WOMEN, BRANCH-1, EGATTUR</v>
      </c>
      <c r="O1453" s="4">
        <f>VLOOKUP(A1453,Response!$A:$M,10,)</f>
        <v>1</v>
      </c>
      <c r="P1453" t="str">
        <f>VLOOKUP(A1453,Response!$A:$M,12,)</f>
        <v>No</v>
      </c>
      <c r="Q1453" t="str">
        <f>VLOOKUP(A1453,Response!$A:$M,11,)</f>
        <v>Egattur</v>
      </c>
      <c r="R1453" t="s">
        <v>19</v>
      </c>
      <c r="S1453" s="39" t="s">
        <v>37</v>
      </c>
    </row>
    <row r="1454" spans="1:19">
      <c r="A1454" s="3">
        <v>2516836</v>
      </c>
      <c r="B1454" t="str">
        <f>VLOOKUP(A1454,File!$A:$J,2,FALSE)</f>
        <v>Shreya Sarvan Masanam</v>
      </c>
      <c r="C1454" s="29">
        <f>VLOOKUP(A1454,File!$A:$J,5,FALSE)</f>
        <v>46191</v>
      </c>
      <c r="D1454" s="29" t="str">
        <f>VLOOKUP(A1454,File!$A:$J,3,FALSE)</f>
        <v>Female</v>
      </c>
      <c r="E1454" s="29" t="str">
        <f>VLOOKUP(A1454,File!$A:$J,4,FALSE)</f>
        <v>FTE</v>
      </c>
      <c r="F1454" s="29" t="str">
        <f>VLOOKUP(A1454,File!$A:$J,6,FALSE)</f>
        <v>Chennai</v>
      </c>
      <c r="G1454" s="29" t="str">
        <f>VLOOKUP(A1454,File!$A:$J,7,FALSE)</f>
        <v>CIS26MW001</v>
      </c>
      <c r="H1454" s="29" t="str">
        <f>VLOOKUP(A1454,File!$A:$J,8,FALSE)</f>
        <v>Ashiya Begam S</v>
      </c>
      <c r="I1454" s="31">
        <f>VLOOKUP(A1454,File!$A:$J,9,FALSE)</f>
        <v>46276</v>
      </c>
      <c r="J1454" s="31" t="str">
        <f>VLOOKUP(A1454,File!$A:$K,11,FALSE)</f>
        <v>Sep 2026</v>
      </c>
      <c r="K1454" s="31" t="str">
        <f>VLOOKUP(A1454,File!$A:$K,10,FALSE)</f>
        <v>In-Training</v>
      </c>
      <c r="L1454" s="31" t="s">
        <v>4</v>
      </c>
      <c r="M1454" t="str">
        <f>VLOOKUP(A1454,Response!$A:$M,7,)</f>
        <v>PG (Paying Guest)</v>
      </c>
      <c r="N1454" t="str">
        <f>VLOOKUP(A1454,Response!$A:$M,8,)</f>
        <v>SRS luxury Pg ladies - Branch 1, Egattur</v>
      </c>
      <c r="O1454" s="4" t="str">
        <f>VLOOKUP(A1454,Response!$A:$M,10,)</f>
        <v>GF</v>
      </c>
      <c r="P1454" t="str">
        <f>VLOOKUP(A1454,Response!$A:$M,12,)</f>
        <v>No</v>
      </c>
      <c r="Q1454" t="str">
        <f>VLOOKUP(A1454,Response!$A:$M,11,)</f>
        <v>Siruseri</v>
      </c>
      <c r="R1454" t="s">
        <v>19</v>
      </c>
      <c r="S1454" s="39" t="s">
        <v>37</v>
      </c>
    </row>
    <row r="1455" spans="1:19">
      <c r="A1455" s="3">
        <v>2521719</v>
      </c>
      <c r="B1455" t="str">
        <f>VLOOKUP(A1455,File!$A:$J,2,FALSE)</f>
        <v>Harshitha Yarra</v>
      </c>
      <c r="C1455" s="29">
        <f>VLOOKUP(A1455,File!$A:$J,5,FALSE)</f>
        <v>46212</v>
      </c>
      <c r="D1455" s="29" t="str">
        <f>VLOOKUP(A1455,File!$A:$J,3,FALSE)</f>
        <v>Female</v>
      </c>
      <c r="E1455" s="29" t="str">
        <f>VLOOKUP(A1455,File!$A:$J,4,FALSE)</f>
        <v>FTE</v>
      </c>
      <c r="F1455" s="29" t="str">
        <f>VLOOKUP(A1455,File!$A:$J,6,FALSE)</f>
        <v>Chennai</v>
      </c>
      <c r="G1455" s="29" t="str">
        <f>VLOOKUP(A1455,File!$A:$J,7,FALSE)</f>
        <v>QEA26SD001</v>
      </c>
      <c r="H1455" s="29" t="str">
        <f>VLOOKUP(A1455,File!$A:$J,8,FALSE)</f>
        <v>Ajiesya D P</v>
      </c>
      <c r="I1455" s="31">
        <f>VLOOKUP(A1455,File!$A:$J,9,FALSE)</f>
        <v>46329</v>
      </c>
      <c r="J1455" s="31" t="str">
        <f>VLOOKUP(A1455,File!$A:$K,11,FALSE)</f>
        <v>Nov 2026</v>
      </c>
      <c r="K1455" s="31" t="str">
        <f>VLOOKUP(A1455,File!$A:$K,10,FALSE)</f>
        <v>In-Training</v>
      </c>
      <c r="L1455" s="31" t="s">
        <v>4</v>
      </c>
      <c r="M1455" t="str">
        <f>VLOOKUP(A1455,Response!$A:$M,7,)</f>
        <v>PG (Paying Guest)</v>
      </c>
      <c r="N1455" t="str">
        <f>VLOOKUP(A1455,Response!$A:$M,8,)</f>
        <v>SRS Luxury pg, branch 1, Egattur</v>
      </c>
      <c r="O1455" s="4">
        <f>VLOOKUP(A1455,Response!$A:$M,10,)</f>
        <v>5</v>
      </c>
      <c r="P1455" t="str">
        <f>VLOOKUP(A1455,Response!$A:$M,12,)</f>
        <v>Yes</v>
      </c>
      <c r="Q1455" t="str">
        <f>VLOOKUP(A1455,Response!$A:$M,11,)</f>
        <v>Egattur</v>
      </c>
      <c r="R1455" t="s">
        <v>19</v>
      </c>
      <c r="S1455" s="39" t="s">
        <v>37</v>
      </c>
    </row>
    <row r="1456" spans="1:19">
      <c r="A1456" s="3">
        <v>2524530</v>
      </c>
      <c r="B1456" t="str">
        <f>VLOOKUP(A1456,File!$A:$J,2,FALSE)</f>
        <v>Tanushree CM</v>
      </c>
      <c r="C1456" s="29">
        <f>VLOOKUP(A1456,File!$A:$J,5,FALSE)</f>
        <v>46224</v>
      </c>
      <c r="D1456" s="29" t="str">
        <f>VLOOKUP(A1456,File!$A:$J,3,FALSE)</f>
        <v>Female</v>
      </c>
      <c r="E1456" s="29" t="str">
        <f>VLOOKUP(A1456,File!$A:$J,4,FALSE)</f>
        <v>FTE</v>
      </c>
      <c r="F1456" s="29" t="str">
        <f>VLOOKUP(A1456,File!$A:$J,6,FALSE)</f>
        <v>Chennai</v>
      </c>
      <c r="G1456" s="29" t="str">
        <f>VLOOKUP(A1456,File!$A:$J,7,FALSE)</f>
        <v>IOA26RPA005</v>
      </c>
      <c r="H1456" s="29" t="str">
        <f>VLOOKUP(A1456,File!$A:$J,8,FALSE)</f>
        <v>Adarsh J Nair</v>
      </c>
      <c r="I1456" s="31">
        <f>VLOOKUP(A1456,File!$A:$J,9,FALSE)</f>
        <v>46309</v>
      </c>
      <c r="J1456" s="31" t="str">
        <f>VLOOKUP(A1456,File!$A:$K,11,FALSE)</f>
        <v>Oct 2026</v>
      </c>
      <c r="K1456" s="31" t="str">
        <f>VLOOKUP(A1456,File!$A:$K,10,FALSE)</f>
        <v>In-Training</v>
      </c>
      <c r="L1456" s="31" t="s">
        <v>4</v>
      </c>
      <c r="M1456" t="str">
        <f>VLOOKUP(A1456,Response!$A:$M,7,)</f>
        <v>PG (Paying Guest)</v>
      </c>
      <c r="N1456" t="str">
        <f>VLOOKUP(A1456,Response!$A:$M,8,)</f>
        <v>SRS luxury PG, Branch 6, Egattur</v>
      </c>
      <c r="O1456" s="4">
        <f>VLOOKUP(A1456,Response!$A:$M,10,)</f>
        <v>2</v>
      </c>
      <c r="P1456" t="str">
        <f>VLOOKUP(A1456,Response!$A:$M,12,)</f>
        <v>No</v>
      </c>
      <c r="Q1456" t="str">
        <f>VLOOKUP(A1456,Response!$A:$M,11,)</f>
        <v>Egattur</v>
      </c>
      <c r="R1456" t="s">
        <v>19</v>
      </c>
      <c r="S1456" s="39" t="s">
        <v>37</v>
      </c>
    </row>
    <row r="1457" spans="1:19">
      <c r="A1457" s="3">
        <v>2521265</v>
      </c>
      <c r="B1457" t="str">
        <f>VLOOKUP(A1457,File!$A:$J,2,FALSE)</f>
        <v>Koudigayala Rachana</v>
      </c>
      <c r="C1457" s="29">
        <f>VLOOKUP(A1457,File!$A:$J,5,FALSE)</f>
        <v>46210</v>
      </c>
      <c r="D1457" s="29" t="str">
        <f>VLOOKUP(A1457,File!$A:$J,3,FALSE)</f>
        <v>Female</v>
      </c>
      <c r="E1457" s="29" t="str">
        <f>VLOOKUP(A1457,File!$A:$J,4,FALSE)</f>
        <v>FTE</v>
      </c>
      <c r="F1457" s="29" t="str">
        <f>VLOOKUP(A1457,File!$A:$J,6,FALSE)</f>
        <v>Chennai</v>
      </c>
      <c r="G1457" s="29" t="str">
        <f>VLOOKUP(A1457,File!$A:$J,7,FALSE)</f>
        <v>CS26CS006</v>
      </c>
      <c r="H1457" s="29" t="str">
        <f>VLOOKUP(A1457,File!$A:$J,8,FALSE)</f>
        <v>Lawrance M</v>
      </c>
      <c r="I1457" s="31">
        <f>VLOOKUP(A1457,File!$A:$J,9,FALSE)</f>
        <v>46274</v>
      </c>
      <c r="J1457" s="31" t="str">
        <f>VLOOKUP(A1457,File!$A:$K,11,FALSE)</f>
        <v>Sep 2026</v>
      </c>
      <c r="K1457" s="31" t="str">
        <f>VLOOKUP(A1457,File!$A:$K,10,FALSE)</f>
        <v>In-Training-Remedial</v>
      </c>
      <c r="L1457" s="31" t="s">
        <v>4</v>
      </c>
      <c r="M1457" t="str">
        <f>VLOOKUP(A1457,Response!$A:$M,7,)</f>
        <v>PG (Paying Guest)</v>
      </c>
      <c r="N1457" t="str">
        <f>VLOOKUP(A1457,Response!$A:$M,8,)</f>
        <v>SRS Luxury stays for women-Branch 2, Egattur</v>
      </c>
      <c r="O1457" s="4">
        <f>VLOOKUP(A1457,Response!$A:$M,10,)</f>
        <v>4</v>
      </c>
      <c r="P1457" t="str">
        <f>VLOOKUP(A1457,Response!$A:$M,12,)</f>
        <v>No</v>
      </c>
      <c r="Q1457" t="str">
        <f>VLOOKUP(A1457,Response!$A:$M,11,)</f>
        <v>Siruseri</v>
      </c>
      <c r="R1457" t="s">
        <v>19</v>
      </c>
      <c r="S1457" s="39" t="s">
        <v>37</v>
      </c>
    </row>
    <row r="1458" spans="1:19">
      <c r="A1458" s="3">
        <v>2524541</v>
      </c>
      <c r="B1458" t="str">
        <f>VLOOKUP(A1458,File!$A:$J,2,FALSE)</f>
        <v>Sakshi Ramdas Salunkhe</v>
      </c>
      <c r="C1458" s="29">
        <f>VLOOKUP(A1458,File!$A:$J,5,FALSE)</f>
        <v>46224</v>
      </c>
      <c r="D1458" s="29" t="str">
        <f>VLOOKUP(A1458,File!$A:$J,3,FALSE)</f>
        <v>Female</v>
      </c>
      <c r="E1458" s="29" t="str">
        <f>VLOOKUP(A1458,File!$A:$J,4,FALSE)</f>
        <v>FTE</v>
      </c>
      <c r="F1458" s="29" t="str">
        <f>VLOOKUP(A1458,File!$A:$J,6,FALSE)</f>
        <v>Chennai</v>
      </c>
      <c r="G1458" s="29" t="str">
        <f>VLOOKUP(A1458,File!$A:$J,7,FALSE)</f>
        <v>QEA26QEPT024</v>
      </c>
      <c r="H1458" s="29" t="str">
        <f>VLOOKUP(A1458,File!$A:$J,8,FALSE)</f>
        <v>Ajiesya D P</v>
      </c>
      <c r="I1458" s="31">
        <f>VLOOKUP(A1458,File!$A:$J,9,FALSE)</f>
        <v>46330</v>
      </c>
      <c r="J1458" s="31" t="str">
        <f>VLOOKUP(A1458,File!$A:$K,11,FALSE)</f>
        <v>Nov 2026</v>
      </c>
      <c r="K1458" s="31" t="str">
        <f>VLOOKUP(A1458,File!$A:$K,10,FALSE)</f>
        <v>In-Training</v>
      </c>
      <c r="L1458" s="31" t="s">
        <v>4</v>
      </c>
      <c r="M1458" t="str">
        <f>VLOOKUP(A1458,Response!$A:$M,7,)</f>
        <v>PG (Paying Guest)</v>
      </c>
      <c r="N1458" t="str">
        <f>VLOOKUP(A1458,Response!$A:$M,8,)</f>
        <v>SRS Luxury Stays Womens PG, Branch 6, Navalur</v>
      </c>
      <c r="O1458" s="4">
        <f>VLOOKUP(A1458,Response!$A:$M,10,)</f>
        <v>2</v>
      </c>
      <c r="P1458" t="str">
        <f>VLOOKUP(A1458,Response!$A:$M,12,)</f>
        <v>No</v>
      </c>
      <c r="Q1458" t="str">
        <f>VLOOKUP(A1458,Response!$A:$M,11,)</f>
        <v>Navalur</v>
      </c>
      <c r="R1458" t="s">
        <v>19</v>
      </c>
      <c r="S1458" s="39" t="s">
        <v>37</v>
      </c>
    </row>
    <row r="1459" spans="1:19">
      <c r="A1459" s="3">
        <v>2523390</v>
      </c>
      <c r="B1459" t="str">
        <f>VLOOKUP(A1459,File!$A:$J,2,FALSE)</f>
        <v>Pragna A S</v>
      </c>
      <c r="C1459" s="29">
        <f>VLOOKUP(A1459,File!$A:$J,5,FALSE)</f>
        <v>46219</v>
      </c>
      <c r="D1459" s="29" t="str">
        <f>VLOOKUP(A1459,File!$A:$J,3,FALSE)</f>
        <v>Female</v>
      </c>
      <c r="E1459" s="29" t="str">
        <f>VLOOKUP(A1459,File!$A:$J,4,FALSE)</f>
        <v>FTE</v>
      </c>
      <c r="F1459" s="29" t="str">
        <f>VLOOKUP(A1459,File!$A:$J,6,FALSE)</f>
        <v>Chennai</v>
      </c>
      <c r="G1459" s="29" t="str">
        <f>VLOOKUP(A1459,File!$A:$J,7,FALSE)</f>
        <v>CS26CS010</v>
      </c>
      <c r="H1459" s="29" t="str">
        <f>VLOOKUP(A1459,File!$A:$J,8,FALSE)</f>
        <v>Laksiya Vijayendran</v>
      </c>
      <c r="I1459" s="31">
        <f>VLOOKUP(A1459,File!$A:$J,9,FALSE)</f>
        <v>46314</v>
      </c>
      <c r="J1459" s="31" t="str">
        <f>VLOOKUP(A1459,File!$A:$K,11,FALSE)</f>
        <v>Oct 2026</v>
      </c>
      <c r="K1459" s="31" t="str">
        <f>VLOOKUP(A1459,File!$A:$K,10,FALSE)</f>
        <v>In-Training</v>
      </c>
      <c r="L1459" s="31" t="s">
        <v>4</v>
      </c>
      <c r="M1459" t="str">
        <f>VLOOKUP(A1459,Response!$A:$M,7,)</f>
        <v>PG (Paying Guest)</v>
      </c>
      <c r="N1459" t="str">
        <f>VLOOKUP(A1459,Response!$A:$M,8,)</f>
        <v>SRS Luxury Women PG-Branch 5, Egattur</v>
      </c>
      <c r="O1459" s="4">
        <f>VLOOKUP(A1459,Response!$A:$M,10,)</f>
        <v>1</v>
      </c>
      <c r="P1459" t="str">
        <f>VLOOKUP(A1459,Response!$A:$M,12,)</f>
        <v>No</v>
      </c>
      <c r="Q1459" t="str">
        <f>VLOOKUP(A1459,Response!$A:$M,11,)</f>
        <v>Egattur</v>
      </c>
      <c r="R1459" t="s">
        <v>19</v>
      </c>
      <c r="S1459" s="39" t="s">
        <v>37</v>
      </c>
    </row>
    <row r="1460" spans="1:19">
      <c r="A1460" s="3">
        <v>2511270</v>
      </c>
      <c r="B1460" t="str">
        <f>VLOOKUP(A1460,File!$A:$J,2,FALSE)</f>
        <v>Pandiyarajan M</v>
      </c>
      <c r="C1460" s="29">
        <f>VLOOKUP(A1460,File!$A:$J,5,FALSE)</f>
        <v>46163</v>
      </c>
      <c r="D1460" s="29" t="str">
        <f>VLOOKUP(A1460,File!$A:$J,3,FALSE)</f>
        <v>Male</v>
      </c>
      <c r="E1460" s="29" t="str">
        <f>VLOOKUP(A1460,File!$A:$J,4,FALSE)</f>
        <v>FTE</v>
      </c>
      <c r="F1460" s="29" t="str">
        <f>VLOOKUP(A1460,File!$A:$J,6,FALSE)</f>
        <v>Chennai</v>
      </c>
      <c r="G1460" s="29" t="str">
        <f>VLOOKUP(A1460,File!$A:$J,7,FALSE)</f>
        <v>CIS26MCPT010</v>
      </c>
      <c r="H1460" s="29" t="str">
        <f>VLOOKUP(A1460,File!$A:$J,8,FALSE)</f>
        <v>Mohamed Harish</v>
      </c>
      <c r="I1460" s="31">
        <f>VLOOKUP(A1460,File!$A:$J,9,FALSE)</f>
        <v>46275</v>
      </c>
      <c r="J1460" s="31" t="str">
        <f>VLOOKUP(A1460,File!$A:$K,11,FALSE)</f>
        <v>Sep 2026</v>
      </c>
      <c r="K1460" s="31" t="str">
        <f>VLOOKUP(A1460,File!$A:$K,10,FALSE)</f>
        <v>In-Training</v>
      </c>
      <c r="L1460" s="31" t="s">
        <v>4</v>
      </c>
      <c r="M1460" t="str">
        <f>VLOOKUP(A1460,Response!$A:$M,7,)</f>
        <v>PG (Paying Guest)</v>
      </c>
      <c r="N1460" t="str">
        <f>VLOOKUP(A1460,Response!$A:$M,8,)</f>
        <v>SRS Mens PG - Sholinganallur</v>
      </c>
      <c r="O1460" s="4">
        <f>VLOOKUP(A1460,Response!$A:$M,10,)</f>
        <v>2</v>
      </c>
      <c r="P1460" t="str">
        <f>VLOOKUP(A1460,Response!$A:$M,12,)</f>
        <v>Yes</v>
      </c>
      <c r="Q1460" t="str">
        <f>VLOOKUP(A1460,Response!$A:$M,11,)</f>
        <v>Sholinganallur</v>
      </c>
      <c r="R1460" t="s">
        <v>17</v>
      </c>
      <c r="S1460" s="39" t="s">
        <v>37</v>
      </c>
    </row>
    <row r="1461" spans="1:19">
      <c r="A1461" s="3">
        <v>2521785</v>
      </c>
      <c r="B1461" t="str">
        <f>VLOOKUP(A1461,File!$A:$J,2,FALSE)</f>
        <v>Amanitha K S</v>
      </c>
      <c r="C1461" s="29">
        <f>VLOOKUP(A1461,File!$A:$J,5,FALSE)</f>
        <v>46212</v>
      </c>
      <c r="D1461" s="29" t="str">
        <f>VLOOKUP(A1461,File!$A:$J,3,FALSE)</f>
        <v>Female</v>
      </c>
      <c r="E1461" s="29" t="str">
        <f>VLOOKUP(A1461,File!$A:$J,4,FALSE)</f>
        <v>FTE</v>
      </c>
      <c r="F1461" s="29" t="str">
        <f>VLOOKUP(A1461,File!$A:$J,6,FALSE)</f>
        <v>Chennai</v>
      </c>
      <c r="G1461" s="29" t="str">
        <f>VLOOKUP(A1461,File!$A:$J,7,FALSE)</f>
        <v>QEA26QEPT023</v>
      </c>
      <c r="H1461" s="29" t="str">
        <f>VLOOKUP(A1461,File!$A:$J,8,FALSE)</f>
        <v>Sweta Thoppil</v>
      </c>
      <c r="I1461" s="31">
        <f>VLOOKUP(A1461,File!$A:$J,9,FALSE)</f>
        <v>46314</v>
      </c>
      <c r="J1461" s="31" t="str">
        <f>VLOOKUP(A1461,File!$A:$K,11,FALSE)</f>
        <v>Oct 2026</v>
      </c>
      <c r="K1461" s="31" t="str">
        <f>VLOOKUP(A1461,File!$A:$K,10,FALSE)</f>
        <v>In-Training</v>
      </c>
      <c r="L1461" s="31" t="s">
        <v>4</v>
      </c>
      <c r="M1461" t="str">
        <f>VLOOKUP(A1461,Response!$A:$M,7,)</f>
        <v>PG (Paying Guest)</v>
      </c>
      <c r="N1461" t="str">
        <f>VLOOKUP(A1461,Response!$A:$M,8,)</f>
        <v>SRS PG</v>
      </c>
      <c r="O1461" s="4">
        <f>VLOOKUP(A1461,Response!$A:$M,10,)</f>
        <v>4</v>
      </c>
      <c r="P1461" t="str">
        <f>VLOOKUP(A1461,Response!$A:$M,12,)</f>
        <v>No</v>
      </c>
      <c r="Q1461" t="str">
        <f>VLOOKUP(A1461,Response!$A:$M,11,)</f>
        <v>Siruseri</v>
      </c>
      <c r="R1461" t="s">
        <v>19</v>
      </c>
      <c r="S1461" s="39" t="s">
        <v>37</v>
      </c>
    </row>
    <row r="1462" spans="1:19">
      <c r="A1462" s="3">
        <v>2521066</v>
      </c>
      <c r="B1462" t="str">
        <f>VLOOKUP(A1462,File!$A:$J,2,FALSE)</f>
        <v>Ambati Bhavyasri</v>
      </c>
      <c r="C1462" s="29">
        <f>VLOOKUP(A1462,File!$A:$J,5,FALSE)</f>
        <v>46210</v>
      </c>
      <c r="D1462" s="29" t="str">
        <f>VLOOKUP(A1462,File!$A:$J,3,FALSE)</f>
        <v>Female</v>
      </c>
      <c r="E1462" s="29" t="str">
        <f>VLOOKUP(A1462,File!$A:$J,4,FALSE)</f>
        <v>FTE</v>
      </c>
      <c r="F1462" s="29" t="str">
        <f>VLOOKUP(A1462,File!$A:$J,6,FALSE)</f>
        <v>Chennai</v>
      </c>
      <c r="G1462" s="29" t="str">
        <f>VLOOKUP(A1462,File!$A:$J,7,FALSE)</f>
        <v>HPC26DN005</v>
      </c>
      <c r="H1462" s="29" t="str">
        <f>VLOOKUP(A1462,File!$A:$J,8,FALSE)</f>
        <v>Viveka Preethi</v>
      </c>
      <c r="I1462" s="31">
        <f>VLOOKUP(A1462,File!$A:$J,9,FALSE)</f>
        <v>46296</v>
      </c>
      <c r="J1462" s="31" t="str">
        <f>VLOOKUP(A1462,File!$A:$K,11,FALSE)</f>
        <v>Oct 2026</v>
      </c>
      <c r="K1462" s="31" t="str">
        <f>VLOOKUP(A1462,File!$A:$K,10,FALSE)</f>
        <v>In-Training</v>
      </c>
      <c r="L1462" s="31" t="s">
        <v>4</v>
      </c>
      <c r="M1462" t="str">
        <f>VLOOKUP(A1462,Response!$A:$M,7,)</f>
        <v>PG (Paying Guest)</v>
      </c>
      <c r="N1462" t="str">
        <f>VLOOKUP(A1462,Response!$A:$M,8,)</f>
        <v>SRS PG for Ladies Branch 3</v>
      </c>
      <c r="O1462" s="4">
        <f>VLOOKUP(A1462,Response!$A:$M,10,)</f>
        <v>1</v>
      </c>
      <c r="P1462" t="str">
        <f>VLOOKUP(A1462,Response!$A:$M,12,)</f>
        <v>No</v>
      </c>
      <c r="Q1462" t="str">
        <f>VLOOKUP(A1462,Response!$A:$M,11,)</f>
        <v>Egattur</v>
      </c>
      <c r="R1462" t="s">
        <v>19</v>
      </c>
      <c r="S1462" s="39" t="s">
        <v>37</v>
      </c>
    </row>
    <row r="1463" spans="1:19">
      <c r="A1463" s="3">
        <v>2521682</v>
      </c>
      <c r="B1463" t="str">
        <f>VLOOKUP(A1463,File!$A:$J,2,FALSE)</f>
        <v>Pooja Neelakanthagouda Patil</v>
      </c>
      <c r="C1463" s="29">
        <f>VLOOKUP(A1463,File!$A:$J,5,FALSE)</f>
        <v>46212</v>
      </c>
      <c r="D1463" s="29" t="str">
        <f>VLOOKUP(A1463,File!$A:$J,3,FALSE)</f>
        <v>Female</v>
      </c>
      <c r="E1463" s="29" t="str">
        <f>VLOOKUP(A1463,File!$A:$J,4,FALSE)</f>
        <v>FTE</v>
      </c>
      <c r="F1463" s="29" t="str">
        <f>VLOOKUP(A1463,File!$A:$J,6,FALSE)</f>
        <v>Chennai</v>
      </c>
      <c r="G1463" s="29" t="str">
        <f>VLOOKUP(A1463,File!$A:$J,7,FALSE)</f>
        <v>ADM26MF010</v>
      </c>
      <c r="H1463" s="29" t="str">
        <f>VLOOKUP(A1463,File!$A:$J,8,FALSE)</f>
        <v>Thomas Naveen. J</v>
      </c>
      <c r="I1463" s="31">
        <f>VLOOKUP(A1463,File!$A:$J,9,FALSE)</f>
        <v>46328</v>
      </c>
      <c r="J1463" s="31" t="str">
        <f>VLOOKUP(A1463,File!$A:$K,11,FALSE)</f>
        <v>Nov 2026</v>
      </c>
      <c r="K1463" s="31" t="str">
        <f>VLOOKUP(A1463,File!$A:$K,10,FALSE)</f>
        <v>In-Training</v>
      </c>
      <c r="L1463" s="31" t="s">
        <v>4</v>
      </c>
      <c r="M1463" t="str">
        <f>VLOOKUP(A1463,Response!$A:$M,7,)</f>
        <v>PG (Paying Guest)</v>
      </c>
      <c r="N1463" t="str">
        <f>VLOOKUP(A1463,Response!$A:$M,8,)</f>
        <v>SRS womens luxury PG branch-5,Egattur</v>
      </c>
      <c r="O1463" s="4">
        <f>VLOOKUP(A1463,Response!$A:$M,10,)</f>
        <v>1</v>
      </c>
      <c r="P1463" t="str">
        <f>VLOOKUP(A1463,Response!$A:$M,12,)</f>
        <v>No</v>
      </c>
      <c r="Q1463" t="str">
        <f>VLOOKUP(A1463,Response!$A:$M,11,)</f>
        <v>Siruseri</v>
      </c>
      <c r="R1463" t="s">
        <v>19</v>
      </c>
      <c r="S1463" s="39" t="s">
        <v>37</v>
      </c>
    </row>
    <row r="1464" spans="1:19">
      <c r="A1464" s="3">
        <v>2521636</v>
      </c>
      <c r="B1464" t="str">
        <f>VLOOKUP(A1464,File!$A:$J,2,FALSE)</f>
        <v>Mohammed Shabrin</v>
      </c>
      <c r="C1464" s="29">
        <f>VLOOKUP(A1464,File!$A:$J,5,FALSE)</f>
        <v>46212</v>
      </c>
      <c r="D1464" s="29" t="str">
        <f>VLOOKUP(A1464,File!$A:$J,3,FALSE)</f>
        <v>Female</v>
      </c>
      <c r="E1464" s="29" t="str">
        <f>VLOOKUP(A1464,File!$A:$J,4,FALSE)</f>
        <v>FTE</v>
      </c>
      <c r="F1464" s="29" t="str">
        <f>VLOOKUP(A1464,File!$A:$J,6,FALSE)</f>
        <v>Chennai</v>
      </c>
      <c r="G1464" s="29" t="str">
        <f>VLOOKUP(A1464,File!$A:$J,7,FALSE)</f>
        <v>ADM26MF010</v>
      </c>
      <c r="H1464" s="29" t="str">
        <f>VLOOKUP(A1464,File!$A:$J,8,FALSE)</f>
        <v>Thomas Naveen. J</v>
      </c>
      <c r="I1464" s="31">
        <f>VLOOKUP(A1464,File!$A:$J,9,FALSE)</f>
        <v>46328</v>
      </c>
      <c r="J1464" s="31" t="str">
        <f>VLOOKUP(A1464,File!$A:$K,11,FALSE)</f>
        <v>Nov 2026</v>
      </c>
      <c r="K1464" s="31" t="str">
        <f>VLOOKUP(A1464,File!$A:$K,10,FALSE)</f>
        <v>In-Training</v>
      </c>
      <c r="L1464" s="31" t="s">
        <v>4</v>
      </c>
      <c r="M1464" t="str">
        <f>VLOOKUP(A1464,Response!$A:$M,7,)</f>
        <v>PG (Paying Guest)</v>
      </c>
      <c r="N1464" t="str">
        <f>VLOOKUP(A1464,Response!$A:$M,8,)</f>
        <v>SRS WOMENS PG - BRANCH 1,EGATTUR</v>
      </c>
      <c r="O1464" s="4">
        <f>VLOOKUP(A1464,Response!$A:$M,10,)</f>
        <v>4</v>
      </c>
      <c r="P1464" t="str">
        <f>VLOOKUP(A1464,Response!$A:$M,12,)</f>
        <v>No</v>
      </c>
      <c r="Q1464" t="str">
        <f>VLOOKUP(A1464,Response!$A:$M,11,)</f>
        <v>Egattur</v>
      </c>
      <c r="R1464" t="s">
        <v>19</v>
      </c>
      <c r="S1464" s="39" t="s">
        <v>37</v>
      </c>
    </row>
    <row r="1465" spans="1:19">
      <c r="A1465" s="3">
        <v>2532914</v>
      </c>
      <c r="B1465" t="str">
        <f>VLOOKUP(A1465,File!$A:$J,2,FALSE)</f>
        <v>Jeenathul Aafrin Syed Ibramsha</v>
      </c>
      <c r="C1465" s="29">
        <f>VLOOKUP(A1465,File!$A:$J,5,FALSE)</f>
        <v>46259</v>
      </c>
      <c r="D1465" s="29" t="str">
        <f>VLOOKUP(A1465,File!$A:$J,3,FALSE)</f>
        <v>Female</v>
      </c>
      <c r="E1465" s="29" t="str">
        <f>VLOOKUP(A1465,File!$A:$J,4,FALSE)</f>
        <v>FTE</v>
      </c>
      <c r="F1465" s="29" t="str">
        <f>VLOOKUP(A1465,File!$A:$J,6,FALSE)</f>
        <v>Chennai</v>
      </c>
      <c r="G1465" s="29" t="str">
        <f>VLOOKUP(A1465,File!$A:$J,7,FALSE)</f>
        <v>CIS26MBG003</v>
      </c>
      <c r="H1465" s="29" t="str">
        <f>VLOOKUP(A1465,File!$A:$J,8,FALSE)</f>
        <v>Kishorekumar P</v>
      </c>
      <c r="I1465" s="31">
        <f>VLOOKUP(A1465,File!$A:$J,9,FALSE)</f>
        <v>46367</v>
      </c>
      <c r="J1465" s="31" t="str">
        <f>VLOOKUP(A1465,File!$A:$K,11,FALSE)</f>
        <v>Dec 2026</v>
      </c>
      <c r="K1465" s="31" t="str">
        <f>VLOOKUP(A1465,File!$A:$K,10,FALSE)</f>
        <v>In-Training</v>
      </c>
      <c r="L1465" s="31" t="s">
        <v>4</v>
      </c>
      <c r="M1465" t="str">
        <f>VLOOKUP(A1465,Response!$A:$M,7,)</f>
        <v>PG (Paying Guest)</v>
      </c>
      <c r="N1465" t="str">
        <f>VLOOKUP(A1465,Response!$A:$M,8,)</f>
        <v>SRS Womens PG hostel, Branch - 6</v>
      </c>
      <c r="O1465" s="4">
        <f>VLOOKUP(A1465,Response!$A:$M,10,)</f>
        <v>3</v>
      </c>
      <c r="P1465" t="str">
        <f>VLOOKUP(A1465,Response!$A:$M,12,)</f>
        <v>Yes</v>
      </c>
      <c r="Q1465" t="str">
        <f>VLOOKUP(A1465,Response!$A:$M,11,)</f>
        <v>Navalur</v>
      </c>
      <c r="R1465" t="s">
        <v>19</v>
      </c>
      <c r="S1465" s="39" t="s">
        <v>37</v>
      </c>
    </row>
    <row r="1466" spans="1:19">
      <c r="A1466" s="3">
        <v>2529517</v>
      </c>
      <c r="B1466" t="str">
        <f>VLOOKUP(A1466,File!$A:$J,2,FALSE)</f>
        <v>Pranav Sunil Sabale</v>
      </c>
      <c r="C1466" s="29">
        <f>VLOOKUP(A1466,File!$A:$J,5,FALSE)</f>
        <v>46245</v>
      </c>
      <c r="D1466" s="29" t="str">
        <f>VLOOKUP(A1466,File!$A:$J,3,FALSE)</f>
        <v>Male</v>
      </c>
      <c r="E1466" s="29" t="str">
        <f>VLOOKUP(A1466,File!$A:$J,4,FALSE)</f>
        <v>FTE</v>
      </c>
      <c r="F1466" s="29" t="str">
        <f>VLOOKUP(A1466,File!$A:$J,6,FALSE)</f>
        <v>Chennai</v>
      </c>
      <c r="G1466" s="29" t="str">
        <f>VLOOKUP(A1466,File!$A:$J,7,FALSE)</f>
        <v>CIS26MCPT023</v>
      </c>
      <c r="H1466" s="29" t="str">
        <f>VLOOKUP(A1466,File!$A:$J,8,FALSE)</f>
        <v>Kishorekumar P</v>
      </c>
      <c r="I1466" s="31">
        <f>VLOOKUP(A1466,File!$A:$J,9,FALSE)</f>
        <v>46359</v>
      </c>
      <c r="J1466" s="31" t="str">
        <f>VLOOKUP(A1466,File!$A:$K,11,FALSE)</f>
        <v>Dec 2026</v>
      </c>
      <c r="K1466" s="31" t="str">
        <f>VLOOKUP(A1466,File!$A:$K,10,FALSE)</f>
        <v>In-Training</v>
      </c>
      <c r="L1466" s="31" t="s">
        <v>4</v>
      </c>
      <c r="M1466" t="str">
        <f>VLOOKUP(A1466,Response!$A:$M,7,)</f>
        <v>PG (Paying Guest)</v>
      </c>
      <c r="N1466" t="str">
        <f>VLOOKUP(A1466,Response!$A:$M,8,)</f>
        <v>SS ( Siva Sai ) Gents PG</v>
      </c>
      <c r="O1466" s="4">
        <f>VLOOKUP(A1466,Response!$A:$M,10,)</f>
        <v>3</v>
      </c>
      <c r="P1466" t="str">
        <f>VLOOKUP(A1466,Response!$A:$M,12,)</f>
        <v>No</v>
      </c>
      <c r="Q1466" t="str">
        <f>VLOOKUP(A1466,Response!$A:$M,11,)</f>
        <v>Egattur</v>
      </c>
      <c r="R1466" t="s">
        <v>19</v>
      </c>
      <c r="S1466" s="39" t="s">
        <v>37</v>
      </c>
    </row>
    <row r="1467" spans="1:19">
      <c r="A1467" s="3">
        <v>2521678</v>
      </c>
      <c r="B1467" t="str">
        <f>VLOOKUP(A1467,File!$A:$J,2,FALSE)</f>
        <v>Abhijeet Shrihari Yenkar</v>
      </c>
      <c r="C1467" s="29">
        <f>VLOOKUP(A1467,File!$A:$J,5,FALSE)</f>
        <v>46212</v>
      </c>
      <c r="D1467" s="29" t="str">
        <f>VLOOKUP(A1467,File!$A:$J,3,FALSE)</f>
        <v>Male</v>
      </c>
      <c r="E1467" s="29" t="str">
        <f>VLOOKUP(A1467,File!$A:$J,4,FALSE)</f>
        <v>FTE</v>
      </c>
      <c r="F1467" s="29" t="str">
        <f>VLOOKUP(A1467,File!$A:$J,6,FALSE)</f>
        <v>Chennai</v>
      </c>
      <c r="G1467" s="29" t="str">
        <f>VLOOKUP(A1467,File!$A:$J,7,FALSE)</f>
        <v>AIA26DSAT004</v>
      </c>
      <c r="H1467" s="29" t="str">
        <f>VLOOKUP(A1467,File!$A:$J,8,FALSE)</f>
        <v>Pavithra Kandasamy</v>
      </c>
      <c r="I1467" s="31">
        <f>VLOOKUP(A1467,File!$A:$J,9,FALSE)</f>
        <v>46304</v>
      </c>
      <c r="J1467" s="31" t="str">
        <f>VLOOKUP(A1467,File!$A:$K,11,FALSE)</f>
        <v>Oct 2026</v>
      </c>
      <c r="K1467" s="31" t="str">
        <f>VLOOKUP(A1467,File!$A:$K,10,FALSE)</f>
        <v>In-Training</v>
      </c>
      <c r="L1467" s="31" t="s">
        <v>4</v>
      </c>
      <c r="M1467" t="str">
        <f>VLOOKUP(A1467,Response!$A:$M,7,)</f>
        <v>PG (Paying Guest)</v>
      </c>
      <c r="N1467" t="str">
        <f>VLOOKUP(A1467,Response!$A:$M,8,)</f>
        <v>SS ( siva sai ) Gents PG Sirsuri IT Park</v>
      </c>
      <c r="O1467" s="4">
        <f>VLOOKUP(A1467,Response!$A:$M,10,)</f>
        <v>4</v>
      </c>
      <c r="P1467" t="str">
        <f>VLOOKUP(A1467,Response!$A:$M,12,)</f>
        <v>No</v>
      </c>
      <c r="Q1467" t="str">
        <f>VLOOKUP(A1467,Response!$A:$M,11,)</f>
        <v>Siruseri</v>
      </c>
      <c r="R1467" t="s">
        <v>19</v>
      </c>
      <c r="S1467" s="39" t="s">
        <v>37</v>
      </c>
    </row>
    <row r="1468" spans="1:19">
      <c r="A1468" s="3">
        <v>2530224</v>
      </c>
      <c r="B1468" t="str">
        <f>VLOOKUP(A1468,File!$A:$J,2,FALSE)</f>
        <v>Rithwik V</v>
      </c>
      <c r="C1468" s="29">
        <f>VLOOKUP(A1468,File!$A:$J,5,FALSE)</f>
        <v>46247</v>
      </c>
      <c r="D1468" s="29" t="str">
        <f>VLOOKUP(A1468,File!$A:$J,3,FALSE)</f>
        <v>Male</v>
      </c>
      <c r="E1468" s="29" t="str">
        <f>VLOOKUP(A1468,File!$A:$J,4,FALSE)</f>
        <v>FTE</v>
      </c>
      <c r="F1468" s="29" t="str">
        <f>VLOOKUP(A1468,File!$A:$J,6,FALSE)</f>
        <v>Chennai</v>
      </c>
      <c r="G1468" s="29" t="str">
        <f>VLOOKUP(A1468,File!$A:$J,7,FALSE)</f>
        <v>EPS26OSP010</v>
      </c>
      <c r="H1468" s="29" t="str">
        <f>VLOOKUP(A1468,File!$A:$J,8,FALSE)</f>
        <v>Vishnupriya Dakshnamurthy</v>
      </c>
      <c r="I1468" s="31">
        <f>VLOOKUP(A1468,File!$A:$J,9,FALSE)</f>
        <v>46357</v>
      </c>
      <c r="J1468" s="31" t="str">
        <f>VLOOKUP(A1468,File!$A:$K,11,FALSE)</f>
        <v>Dec 2026</v>
      </c>
      <c r="K1468" s="31" t="str">
        <f>VLOOKUP(A1468,File!$A:$K,10,FALSE)</f>
        <v>In-Training</v>
      </c>
      <c r="L1468" s="31" t="s">
        <v>4</v>
      </c>
      <c r="M1468" t="str">
        <f>VLOOKUP(A1468,Response!$A:$M,7,)</f>
        <v>PG (Paying Guest)</v>
      </c>
      <c r="N1468" t="str">
        <f>VLOOKUP(A1468,Response!$A:$M,8,)</f>
        <v>SS (Siva Sai ) pg, Egattur</v>
      </c>
      <c r="O1468" s="4">
        <f>VLOOKUP(A1468,Response!$A:$M,10,)</f>
        <v>2</v>
      </c>
      <c r="P1468" t="str">
        <f>VLOOKUP(A1468,Response!$A:$M,12,)</f>
        <v>No</v>
      </c>
      <c r="Q1468" t="str">
        <f>VLOOKUP(A1468,Response!$A:$M,11,)</f>
        <v>Egattur</v>
      </c>
      <c r="R1468" t="s">
        <v>19</v>
      </c>
      <c r="S1468" s="39" t="s">
        <v>37</v>
      </c>
    </row>
    <row r="1469" spans="1:19">
      <c r="A1469" s="3">
        <v>2521042</v>
      </c>
      <c r="B1469" t="str">
        <f>VLOOKUP(A1469,File!$A:$J,2,FALSE)</f>
        <v>Kotipalli Siva Naga Pavan</v>
      </c>
      <c r="C1469" s="29">
        <f>VLOOKUP(A1469,File!$A:$J,5,FALSE)</f>
        <v>46210</v>
      </c>
      <c r="D1469" s="29" t="str">
        <f>VLOOKUP(A1469,File!$A:$J,3,FALSE)</f>
        <v>Male</v>
      </c>
      <c r="E1469" s="29" t="str">
        <f>VLOOKUP(A1469,File!$A:$J,4,FALSE)</f>
        <v>FTE</v>
      </c>
      <c r="F1469" s="29" t="str">
        <f>VLOOKUP(A1469,File!$A:$J,6,FALSE)</f>
        <v>Chennai</v>
      </c>
      <c r="G1469" s="29" t="str">
        <f>VLOOKUP(A1469,File!$A:$J,7,FALSE)</f>
        <v>SNBG26SN002</v>
      </c>
      <c r="H1469" s="29" t="str">
        <f>VLOOKUP(A1469,File!$A:$J,8,FALSE)</f>
        <v>Lawrance M</v>
      </c>
      <c r="I1469" s="31">
        <f>VLOOKUP(A1469,File!$A:$J,9,FALSE)</f>
        <v>46281</v>
      </c>
      <c r="J1469" s="31" t="str">
        <f>VLOOKUP(A1469,File!$A:$K,11,FALSE)</f>
        <v>Sep 2026</v>
      </c>
      <c r="K1469" s="31" t="str">
        <f>VLOOKUP(A1469,File!$A:$K,10,FALSE)</f>
        <v>In-Training</v>
      </c>
      <c r="L1469" s="31" t="s">
        <v>4</v>
      </c>
      <c r="M1469" t="str">
        <f>VLOOKUP(A1469,Response!$A:$M,7,)</f>
        <v>PG (Paying Guest)</v>
      </c>
      <c r="N1469" t="str">
        <f>VLOOKUP(A1469,Response!$A:$M,8,)</f>
        <v>SS (Siva Sai Mens) PG - Siruseri</v>
      </c>
      <c r="O1469" s="4" t="str">
        <f>VLOOKUP(A1469,Response!$A:$M,10,)</f>
        <v>GF</v>
      </c>
      <c r="P1469" t="str">
        <f>VLOOKUP(A1469,Response!$A:$M,12,)</f>
        <v>No</v>
      </c>
      <c r="Q1469" t="str">
        <f>VLOOKUP(A1469,Response!$A:$M,11,)</f>
        <v>Siruseri</v>
      </c>
      <c r="R1469" t="s">
        <v>19</v>
      </c>
      <c r="S1469" s="39" t="s">
        <v>37</v>
      </c>
    </row>
    <row r="1470" spans="1:19">
      <c r="A1470" s="3">
        <v>2512312</v>
      </c>
      <c r="B1470" t="str">
        <f>VLOOKUP(A1470,File!$A:$J,2,FALSE)</f>
        <v>Rohan Lohani</v>
      </c>
      <c r="C1470" s="29">
        <f>VLOOKUP(A1470,File!$A:$J,5,FALSE)</f>
        <v>46170</v>
      </c>
      <c r="D1470" s="29" t="str">
        <f>VLOOKUP(A1470,File!$A:$J,3,FALSE)</f>
        <v>Male</v>
      </c>
      <c r="E1470" s="29" t="str">
        <f>VLOOKUP(A1470,File!$A:$J,4,FALSE)</f>
        <v>FTE</v>
      </c>
      <c r="F1470" s="29" t="str">
        <f>VLOOKUP(A1470,File!$A:$J,6,FALSE)</f>
        <v>Chennai</v>
      </c>
      <c r="G1470" s="29" t="str">
        <f>VLOOKUP(A1470,File!$A:$J,7,FALSE)</f>
        <v>CIS26MCPT011</v>
      </c>
      <c r="H1470" s="29" t="str">
        <f>VLOOKUP(A1470,File!$A:$J,8,FALSE)</f>
        <v>Uma Venkatachalam</v>
      </c>
      <c r="I1470" s="31">
        <f>VLOOKUP(A1470,File!$A:$J,9,FALSE)</f>
        <v>46282</v>
      </c>
      <c r="J1470" s="31" t="str">
        <f>VLOOKUP(A1470,File!$A:$K,11,FALSE)</f>
        <v>Sep 2026</v>
      </c>
      <c r="K1470" s="31" t="str">
        <f>VLOOKUP(A1470,File!$A:$K,10,FALSE)</f>
        <v>In-Training</v>
      </c>
      <c r="L1470" s="31" t="s">
        <v>4</v>
      </c>
      <c r="M1470" t="str">
        <f>VLOOKUP(A1470,Response!$A:$M,7,)</f>
        <v>PG (Paying Guest)</v>
      </c>
      <c r="N1470" t="str">
        <f>VLOOKUP(A1470,Response!$A:$M,8,)</f>
        <v>SS (Siva Sai) Gents PG</v>
      </c>
      <c r="O1470" s="4">
        <f>VLOOKUP(A1470,Response!$A:$M,10,)</f>
        <v>1</v>
      </c>
      <c r="P1470" t="str">
        <f>VLOOKUP(A1470,Response!$A:$M,12,)</f>
        <v>No</v>
      </c>
      <c r="Q1470" t="str">
        <f>VLOOKUP(A1470,Response!$A:$M,11,)</f>
        <v>Siruseri</v>
      </c>
      <c r="R1470" t="s">
        <v>19</v>
      </c>
      <c r="S1470" s="39" t="s">
        <v>37</v>
      </c>
    </row>
    <row r="1471" spans="1:19">
      <c r="A1471" s="3">
        <v>2521679</v>
      </c>
      <c r="B1471" t="str">
        <f>VLOOKUP(A1471,File!$A:$J,2,FALSE)</f>
        <v>Santhosh B</v>
      </c>
      <c r="C1471" s="29">
        <f>VLOOKUP(A1471,File!$A:$J,5,FALSE)</f>
        <v>46212</v>
      </c>
      <c r="D1471" s="29" t="str">
        <f>VLOOKUP(A1471,File!$A:$J,3,FALSE)</f>
        <v>Male</v>
      </c>
      <c r="E1471" s="29" t="str">
        <f>VLOOKUP(A1471,File!$A:$J,4,FALSE)</f>
        <v>FTE</v>
      </c>
      <c r="F1471" s="29" t="str">
        <f>VLOOKUP(A1471,File!$A:$J,6,FALSE)</f>
        <v>Chennai</v>
      </c>
      <c r="G1471" s="29" t="str">
        <f>VLOOKUP(A1471,File!$A:$J,7,FALSE)</f>
        <v>ADM26DNAT003</v>
      </c>
      <c r="H1471" s="29" t="str">
        <f>VLOOKUP(A1471,File!$A:$J,8,FALSE)</f>
        <v>Athira P</v>
      </c>
      <c r="I1471" s="31">
        <f>VLOOKUP(A1471,File!$A:$J,9,FALSE)</f>
        <v>46318</v>
      </c>
      <c r="J1471" s="31" t="str">
        <f>VLOOKUP(A1471,File!$A:$K,11,FALSE)</f>
        <v>Oct 2026</v>
      </c>
      <c r="K1471" s="31" t="str">
        <f>VLOOKUP(A1471,File!$A:$K,10,FALSE)</f>
        <v>In-Training</v>
      </c>
      <c r="L1471" s="31" t="s">
        <v>4</v>
      </c>
      <c r="M1471" t="str">
        <f>VLOOKUP(A1471,Response!$A:$M,7,)</f>
        <v>PG (Paying Guest)</v>
      </c>
      <c r="N1471" t="str">
        <f>VLOOKUP(A1471,Response!$A:$M,8,)</f>
        <v>SS (Siva Sai) Gents PG</v>
      </c>
      <c r="O1471" s="4">
        <f>VLOOKUP(A1471,Response!$A:$M,10,)</f>
        <v>1</v>
      </c>
      <c r="P1471" t="str">
        <f>VLOOKUP(A1471,Response!$A:$M,12,)</f>
        <v>No</v>
      </c>
      <c r="Q1471" t="str">
        <f>VLOOKUP(A1471,Response!$A:$M,11,)</f>
        <v>Siruseri</v>
      </c>
      <c r="R1471" t="s">
        <v>19</v>
      </c>
      <c r="S1471" s="39" t="s">
        <v>37</v>
      </c>
    </row>
    <row r="1472" spans="1:19">
      <c r="A1472" s="3">
        <v>2531839</v>
      </c>
      <c r="B1472" t="str">
        <f>VLOOKUP(A1472,File!$A:$J,2,FALSE)</f>
        <v>Varshanth Gowda M L</v>
      </c>
      <c r="C1472" s="29">
        <f>VLOOKUP(A1472,File!$A:$J,5,FALSE)</f>
        <v>46254</v>
      </c>
      <c r="D1472" s="29" t="str">
        <f>VLOOKUP(A1472,File!$A:$J,3,FALSE)</f>
        <v>Male</v>
      </c>
      <c r="E1472" s="29" t="str">
        <f>VLOOKUP(A1472,File!$A:$J,4,FALSE)</f>
        <v>FTE</v>
      </c>
      <c r="F1472" s="29" t="str">
        <f>VLOOKUP(A1472,File!$A:$J,6,FALSE)</f>
        <v>Chennai</v>
      </c>
      <c r="G1472" s="29" t="str">
        <f>VLOOKUP(A1472,File!$A:$J,7,FALSE)</f>
        <v>CS26CS012</v>
      </c>
      <c r="H1472" s="29" t="str">
        <f>VLOOKUP(A1472,File!$A:$J,8,FALSE)</f>
        <v>Laksiya Vijayendran</v>
      </c>
      <c r="I1472" s="31">
        <f>VLOOKUP(A1472,File!$A:$J,9,FALSE)</f>
        <v>46343</v>
      </c>
      <c r="J1472" s="31" t="str">
        <f>VLOOKUP(A1472,File!$A:$K,11,FALSE)</f>
        <v>Nov 2026</v>
      </c>
      <c r="K1472" s="31" t="str">
        <f>VLOOKUP(A1472,File!$A:$K,10,FALSE)</f>
        <v>In-Training</v>
      </c>
      <c r="L1472" s="31" t="s">
        <v>4</v>
      </c>
      <c r="M1472" t="str">
        <f>VLOOKUP(A1472,Response!$A:$M,7,)</f>
        <v>PG (Paying Guest)</v>
      </c>
      <c r="N1472" t="str">
        <f>VLOOKUP(A1472,Response!$A:$M,8,)</f>
        <v>SS (Siva Sai) Gents PG</v>
      </c>
      <c r="O1472" s="4">
        <f>VLOOKUP(A1472,Response!$A:$M,10,)</f>
        <v>2</v>
      </c>
      <c r="P1472" t="str">
        <f>VLOOKUP(A1472,Response!$A:$M,12,)</f>
        <v>No</v>
      </c>
      <c r="Q1472" t="str">
        <f>VLOOKUP(A1472,Response!$A:$M,11,)</f>
        <v>Siruseri</v>
      </c>
      <c r="R1472" t="s">
        <v>19</v>
      </c>
      <c r="S1472" s="39" t="s">
        <v>37</v>
      </c>
    </row>
    <row r="1473" spans="1:19">
      <c r="A1473" s="3">
        <v>2529593</v>
      </c>
      <c r="B1473" t="str">
        <f>VLOOKUP(A1473,File!$A:$J,2,FALSE)</f>
        <v>Tharun V</v>
      </c>
      <c r="C1473" s="29">
        <f>VLOOKUP(A1473,File!$A:$J,5,FALSE)</f>
        <v>46245</v>
      </c>
      <c r="D1473" s="29" t="str">
        <f>VLOOKUP(A1473,File!$A:$J,3,FALSE)</f>
        <v>Male</v>
      </c>
      <c r="E1473" s="29" t="str">
        <f>VLOOKUP(A1473,File!$A:$J,4,FALSE)</f>
        <v>FTE</v>
      </c>
      <c r="F1473" s="29" t="str">
        <f>VLOOKUP(A1473,File!$A:$J,6,FALSE)</f>
        <v>Chennai</v>
      </c>
      <c r="G1473" s="29" t="str">
        <f>VLOOKUP(A1473,File!$A:$J,7,FALSE)</f>
        <v>CIS26MCPT025</v>
      </c>
      <c r="H1473" s="29" t="str">
        <f>VLOOKUP(A1473,File!$A:$J,8,FALSE)</f>
        <v>Vignesh S</v>
      </c>
      <c r="I1473" s="31">
        <f>VLOOKUP(A1473,File!$A:$J,9,FALSE)</f>
        <v>46359</v>
      </c>
      <c r="J1473" s="31" t="str">
        <f>VLOOKUP(A1473,File!$A:$K,11,FALSE)</f>
        <v>Dec 2026</v>
      </c>
      <c r="K1473" s="31" t="str">
        <f>VLOOKUP(A1473,File!$A:$K,10,FALSE)</f>
        <v>In-Training</v>
      </c>
      <c r="L1473" s="31" t="s">
        <v>4</v>
      </c>
      <c r="M1473" t="str">
        <f>VLOOKUP(A1473,Response!$A:$M,7,)</f>
        <v>PG (Paying Guest)</v>
      </c>
      <c r="N1473" t="str">
        <f>VLOOKUP(A1473,Response!$A:$M,8,)</f>
        <v>SS (Siva Sai) Gents PG</v>
      </c>
      <c r="O1473" s="4">
        <f>VLOOKUP(A1473,Response!$A:$M,10,)</f>
        <v>3</v>
      </c>
      <c r="P1473" t="str">
        <f>VLOOKUP(A1473,Response!$A:$M,12,)</f>
        <v>No</v>
      </c>
      <c r="Q1473" t="str">
        <f>VLOOKUP(A1473,Response!$A:$M,11,)</f>
        <v>Siruseri</v>
      </c>
      <c r="R1473" t="s">
        <v>19</v>
      </c>
      <c r="S1473" s="39" t="s">
        <v>37</v>
      </c>
    </row>
    <row r="1474" spans="1:19">
      <c r="A1474" s="3">
        <v>2522847</v>
      </c>
      <c r="B1474" t="str">
        <f>VLOOKUP(A1474,File!$A:$J,2,FALSE)</f>
        <v>SHAIK  Imran</v>
      </c>
      <c r="C1474" s="29">
        <f>VLOOKUP(A1474,File!$A:$J,5,FALSE)</f>
        <v>46217</v>
      </c>
      <c r="D1474" s="29" t="str">
        <f>VLOOKUP(A1474,File!$A:$J,3,FALSE)</f>
        <v>Male</v>
      </c>
      <c r="E1474" s="29" t="str">
        <f>VLOOKUP(A1474,File!$A:$J,4,FALSE)</f>
        <v>FTE</v>
      </c>
      <c r="F1474" s="29" t="str">
        <f>VLOOKUP(A1474,File!$A:$J,6,FALSE)</f>
        <v>Chennai</v>
      </c>
      <c r="G1474" s="29" t="str">
        <f>VLOOKUP(A1474,File!$A:$J,7,FALSE)</f>
        <v>QEA26ST001</v>
      </c>
      <c r="H1474" s="29" t="str">
        <f>VLOOKUP(A1474,File!$A:$J,8,FALSE)</f>
        <v>Angel Maria Faustina Gomez</v>
      </c>
      <c r="I1474" s="31">
        <f>VLOOKUP(A1474,File!$A:$J,9,FALSE)</f>
        <v>46310</v>
      </c>
      <c r="J1474" s="31" t="str">
        <f>VLOOKUP(A1474,File!$A:$K,11,FALSE)</f>
        <v>Oct 2026</v>
      </c>
      <c r="K1474" s="31" t="str">
        <f>VLOOKUP(A1474,File!$A:$K,10,FALSE)</f>
        <v>In-Training</v>
      </c>
      <c r="L1474" s="31" t="s">
        <v>4</v>
      </c>
      <c r="M1474" t="str">
        <f>VLOOKUP(A1474,Response!$A:$M,7,)</f>
        <v>PG (Paying Guest)</v>
      </c>
      <c r="N1474" t="str">
        <f>VLOOKUP(A1474,Response!$A:$M,8,)</f>
        <v>SS (Siva Sai) Gents PG</v>
      </c>
      <c r="O1474" s="4">
        <f>VLOOKUP(A1474,Response!$A:$M,10,)</f>
        <v>4</v>
      </c>
      <c r="P1474" t="str">
        <f>VLOOKUP(A1474,Response!$A:$M,12,)</f>
        <v>No</v>
      </c>
      <c r="Q1474" t="str">
        <f>VLOOKUP(A1474,Response!$A:$M,11,)</f>
        <v>Siruseri</v>
      </c>
      <c r="R1474" t="s">
        <v>19</v>
      </c>
      <c r="S1474" s="39" t="s">
        <v>37</v>
      </c>
    </row>
    <row r="1475" spans="1:19">
      <c r="A1475" s="3">
        <v>2521067</v>
      </c>
      <c r="B1475" t="str">
        <f>VLOOKUP(A1475,File!$A:$J,2,FALSE)</f>
        <v>Malladi Siva Rama Krishna</v>
      </c>
      <c r="C1475" s="29">
        <f>VLOOKUP(A1475,File!$A:$J,5,FALSE)</f>
        <v>46210</v>
      </c>
      <c r="D1475" s="29" t="str">
        <f>VLOOKUP(A1475,File!$A:$J,3,FALSE)</f>
        <v>Male</v>
      </c>
      <c r="E1475" s="29" t="str">
        <f>VLOOKUP(A1475,File!$A:$J,4,FALSE)</f>
        <v>FTE</v>
      </c>
      <c r="F1475" s="29" t="str">
        <f>VLOOKUP(A1475,File!$A:$J,6,FALSE)</f>
        <v>Chennai</v>
      </c>
      <c r="G1475" s="29" t="str">
        <f>VLOOKUP(A1475,File!$A:$J,7,FALSE)</f>
        <v>CIS26SN001</v>
      </c>
      <c r="H1475" s="29" t="str">
        <f>VLOOKUP(A1475,File!$A:$J,8,FALSE)</f>
        <v>Ashiya Begam S</v>
      </c>
      <c r="I1475" s="31">
        <f>VLOOKUP(A1475,File!$A:$J,9,FALSE)</f>
        <v>46281</v>
      </c>
      <c r="J1475" s="31" t="str">
        <f>VLOOKUP(A1475,File!$A:$K,11,FALSE)</f>
        <v>Sep 2026</v>
      </c>
      <c r="K1475" s="31" t="str">
        <f>VLOOKUP(A1475,File!$A:$K,10,FALSE)</f>
        <v>In-Training</v>
      </c>
      <c r="L1475" s="31" t="s">
        <v>4</v>
      </c>
      <c r="M1475" t="str">
        <f>VLOOKUP(A1475,Response!$A:$M,7,)</f>
        <v>PG (Paying Guest)</v>
      </c>
      <c r="N1475" t="str">
        <f>VLOOKUP(A1475,Response!$A:$M,8,)</f>
        <v>SS (Siva Sai) Gents PG</v>
      </c>
      <c r="O1475" s="4" t="str">
        <f>VLOOKUP(A1475,Response!$A:$M,10,)</f>
        <v>GF</v>
      </c>
      <c r="P1475" t="str">
        <f>VLOOKUP(A1475,Response!$A:$M,12,)</f>
        <v>No</v>
      </c>
      <c r="Q1475" t="str">
        <f>VLOOKUP(A1475,Response!$A:$M,11,)</f>
        <v>Egattur</v>
      </c>
      <c r="R1475" t="s">
        <v>19</v>
      </c>
      <c r="S1475" s="39" t="s">
        <v>37</v>
      </c>
    </row>
    <row r="1476" spans="1:19">
      <c r="A1476" s="3">
        <v>2516884</v>
      </c>
      <c r="B1476" t="str">
        <f>VLOOKUP(A1476,File!$A:$J,2,FALSE)</f>
        <v>Nagesh Shantappa Kumbar</v>
      </c>
      <c r="C1476" s="29">
        <f>VLOOKUP(A1476,File!$A:$J,5,FALSE)</f>
        <v>46191</v>
      </c>
      <c r="D1476" s="29" t="str">
        <f>VLOOKUP(A1476,File!$A:$J,3,FALSE)</f>
        <v>Male</v>
      </c>
      <c r="E1476" s="29" t="str">
        <f>VLOOKUP(A1476,File!$A:$J,4,FALSE)</f>
        <v>FTE</v>
      </c>
      <c r="F1476" s="29" t="str">
        <f>VLOOKUP(A1476,File!$A:$J,6,FALSE)</f>
        <v>Chennai</v>
      </c>
      <c r="G1476" s="29" t="str">
        <f>VLOOKUP(A1476,File!$A:$J,7,FALSE)</f>
        <v>CIS26MW001</v>
      </c>
      <c r="H1476" s="29" t="str">
        <f>VLOOKUP(A1476,File!$A:$J,8,FALSE)</f>
        <v>Ashiya Begam S</v>
      </c>
      <c r="I1476" s="31">
        <f>VLOOKUP(A1476,File!$A:$J,9,FALSE)</f>
        <v>46276</v>
      </c>
      <c r="J1476" s="31" t="str">
        <f>VLOOKUP(A1476,File!$A:$K,11,FALSE)</f>
        <v>Sep 2026</v>
      </c>
      <c r="K1476" s="31" t="str">
        <f>VLOOKUP(A1476,File!$A:$K,10,FALSE)</f>
        <v>In-Training</v>
      </c>
      <c r="L1476" s="31" t="s">
        <v>4</v>
      </c>
      <c r="M1476" t="str">
        <f>VLOOKUP(A1476,Response!$A:$M,7,)</f>
        <v>PG (Paying Guest)</v>
      </c>
      <c r="N1476" t="str">
        <f>VLOOKUP(A1476,Response!$A:$M,8,)</f>
        <v>SS (Siva Sai) Gents PG - SIPCOT, Siruseri</v>
      </c>
      <c r="O1476" s="4">
        <f>VLOOKUP(A1476,Response!$A:$M,10,)</f>
        <v>2</v>
      </c>
      <c r="P1476" t="str">
        <f>VLOOKUP(A1476,Response!$A:$M,12,)</f>
        <v>No</v>
      </c>
      <c r="Q1476" t="str">
        <f>VLOOKUP(A1476,Response!$A:$M,11,)</f>
        <v>Siruseri</v>
      </c>
      <c r="R1476" t="s">
        <v>19</v>
      </c>
      <c r="S1476" s="39" t="s">
        <v>37</v>
      </c>
    </row>
    <row r="1477" spans="1:19">
      <c r="A1477" s="3">
        <v>2531852</v>
      </c>
      <c r="B1477" t="str">
        <f>VLOOKUP(A1477,File!$A:$J,2,FALSE)</f>
        <v>Shreyas Shidgonda Patil</v>
      </c>
      <c r="C1477" s="29">
        <f>VLOOKUP(A1477,File!$A:$J,5,FALSE)</f>
        <v>46254</v>
      </c>
      <c r="D1477" s="29" t="str">
        <f>VLOOKUP(A1477,File!$A:$J,3,FALSE)</f>
        <v>Male</v>
      </c>
      <c r="E1477" s="29" t="str">
        <f>VLOOKUP(A1477,File!$A:$J,4,FALSE)</f>
        <v>FTE</v>
      </c>
      <c r="F1477" s="29" t="str">
        <f>VLOOKUP(A1477,File!$A:$J,6,FALSE)</f>
        <v>Chennai</v>
      </c>
      <c r="G1477" s="29" t="str">
        <f>VLOOKUP(A1477,File!$A:$J,7,FALSE)</f>
        <v>CS26CS011</v>
      </c>
      <c r="H1477" s="29" t="str">
        <f>VLOOKUP(A1477,File!$A:$J,8,FALSE)</f>
        <v>Kishorekumar P</v>
      </c>
      <c r="I1477" s="31">
        <f>VLOOKUP(A1477,File!$A:$J,9,FALSE)</f>
        <v>46343</v>
      </c>
      <c r="J1477" s="31" t="str">
        <f>VLOOKUP(A1477,File!$A:$K,11,FALSE)</f>
        <v>Nov 2026</v>
      </c>
      <c r="K1477" s="31" t="str">
        <f>VLOOKUP(A1477,File!$A:$K,10,FALSE)</f>
        <v>In-Training</v>
      </c>
      <c r="L1477" s="31" t="s">
        <v>4</v>
      </c>
      <c r="M1477" t="str">
        <f>VLOOKUP(A1477,Response!$A:$M,7,)</f>
        <v>PG (Paying Guest)</v>
      </c>
      <c r="N1477" t="str">
        <f>VLOOKUP(A1477,Response!$A:$M,8,)</f>
        <v xml:space="preserve">SS (Siva Sai) gents PG, Egattur, </v>
      </c>
      <c r="O1477" s="4">
        <f>VLOOKUP(A1477,Response!$A:$M,10,)</f>
        <v>4</v>
      </c>
      <c r="P1477" t="str">
        <f>VLOOKUP(A1477,Response!$A:$M,12,)</f>
        <v>No</v>
      </c>
      <c r="Q1477" t="str">
        <f>VLOOKUP(A1477,Response!$A:$M,11,)</f>
        <v>Egattur</v>
      </c>
      <c r="R1477" t="s">
        <v>19</v>
      </c>
      <c r="S1477" s="39" t="s">
        <v>37</v>
      </c>
    </row>
    <row r="1478" spans="1:19">
      <c r="A1478" s="3">
        <v>2531827</v>
      </c>
      <c r="B1478" t="str">
        <f>VLOOKUP(A1478,File!$A:$J,2,FALSE)</f>
        <v>Abhinav K G</v>
      </c>
      <c r="C1478" s="29">
        <f>VLOOKUP(A1478,File!$A:$J,5,FALSE)</f>
        <v>46254</v>
      </c>
      <c r="D1478" s="29" t="str">
        <f>VLOOKUP(A1478,File!$A:$J,3,FALSE)</f>
        <v>Male</v>
      </c>
      <c r="E1478" s="29" t="str">
        <f>VLOOKUP(A1478,File!$A:$J,4,FALSE)</f>
        <v>FTE</v>
      </c>
      <c r="F1478" s="29" t="str">
        <f>VLOOKUP(A1478,File!$A:$J,6,FALSE)</f>
        <v>Chennai</v>
      </c>
      <c r="G1478" s="29" t="str">
        <f>VLOOKUP(A1478,File!$A:$J,7,FALSE)</f>
        <v>CS26CS012</v>
      </c>
      <c r="H1478" s="29" t="str">
        <f>VLOOKUP(A1478,File!$A:$J,8,FALSE)</f>
        <v>Laksiya Vijayendran</v>
      </c>
      <c r="I1478" s="31">
        <f>VLOOKUP(A1478,File!$A:$J,9,FALSE)</f>
        <v>46343</v>
      </c>
      <c r="J1478" s="31" t="str">
        <f>VLOOKUP(A1478,File!$A:$K,11,FALSE)</f>
        <v>Nov 2026</v>
      </c>
      <c r="K1478" s="31" t="str">
        <f>VLOOKUP(A1478,File!$A:$K,10,FALSE)</f>
        <v>In-Training</v>
      </c>
      <c r="L1478" s="31" t="s">
        <v>4</v>
      </c>
      <c r="M1478" t="str">
        <f>VLOOKUP(A1478,Response!$A:$M,7,)</f>
        <v>PG (Paying Guest)</v>
      </c>
      <c r="N1478" t="str">
        <f>VLOOKUP(A1478,Response!$A:$M,8,)</f>
        <v>SS (Siva Sai) Gents PG, Siruseri</v>
      </c>
      <c r="O1478" s="4">
        <f>VLOOKUP(A1478,Response!$A:$M,10,)</f>
        <v>2</v>
      </c>
      <c r="P1478" t="str">
        <f>VLOOKUP(A1478,Response!$A:$M,12,)</f>
        <v>No</v>
      </c>
      <c r="Q1478" t="str">
        <f>VLOOKUP(A1478,Response!$A:$M,11,)</f>
        <v>Siruseri</v>
      </c>
      <c r="R1478" t="s">
        <v>19</v>
      </c>
      <c r="S1478" s="39" t="s">
        <v>37</v>
      </c>
    </row>
    <row r="1479" spans="1:19">
      <c r="A1479" s="3">
        <v>2529562</v>
      </c>
      <c r="B1479" t="str">
        <f>VLOOKUP(A1479,File!$A:$J,2,FALSE)</f>
        <v>Rohan Arun Bhavare</v>
      </c>
      <c r="C1479" s="29">
        <f>VLOOKUP(A1479,File!$A:$J,5,FALSE)</f>
        <v>46245</v>
      </c>
      <c r="D1479" s="29" t="str">
        <f>VLOOKUP(A1479,File!$A:$J,3,FALSE)</f>
        <v>Male</v>
      </c>
      <c r="E1479" s="29" t="str">
        <f>VLOOKUP(A1479,File!$A:$J,4,FALSE)</f>
        <v>FTE</v>
      </c>
      <c r="F1479" s="29" t="str">
        <f>VLOOKUP(A1479,File!$A:$J,6,FALSE)</f>
        <v>Chennai</v>
      </c>
      <c r="G1479" s="29" t="str">
        <f>VLOOKUP(A1479,File!$A:$J,7,FALSE)</f>
        <v>CIS26MCPT025</v>
      </c>
      <c r="H1479" s="29" t="str">
        <f>VLOOKUP(A1479,File!$A:$J,8,FALSE)</f>
        <v>Vignesh S</v>
      </c>
      <c r="I1479" s="31">
        <f>VLOOKUP(A1479,File!$A:$J,9,FALSE)</f>
        <v>46359</v>
      </c>
      <c r="J1479" s="31" t="str">
        <f>VLOOKUP(A1479,File!$A:$K,11,FALSE)</f>
        <v>Dec 2026</v>
      </c>
      <c r="K1479" s="31" t="str">
        <f>VLOOKUP(A1479,File!$A:$K,10,FALSE)</f>
        <v>In-Training</v>
      </c>
      <c r="L1479" s="31" t="s">
        <v>4</v>
      </c>
      <c r="M1479" t="str">
        <f>VLOOKUP(A1479,Response!$A:$M,7,)</f>
        <v>PG (Paying Guest)</v>
      </c>
      <c r="N1479" t="str">
        <f>VLOOKUP(A1479,Response!$A:$M,8,)</f>
        <v>SS (Siva Sai) Gents PG, Siruseri</v>
      </c>
      <c r="O1479" s="4">
        <f>VLOOKUP(A1479,Response!$A:$M,10,)</f>
        <v>4</v>
      </c>
      <c r="P1479" t="str">
        <f>VLOOKUP(A1479,Response!$A:$M,12,)</f>
        <v>No</v>
      </c>
      <c r="Q1479" t="str">
        <f>VLOOKUP(A1479,Response!$A:$M,11,)</f>
        <v>Siruseri</v>
      </c>
      <c r="R1479" t="s">
        <v>19</v>
      </c>
      <c r="S1479" s="39" t="s">
        <v>37</v>
      </c>
    </row>
    <row r="1480" spans="1:19">
      <c r="A1480" s="3">
        <v>2521821</v>
      </c>
      <c r="B1480" t="str">
        <f>VLOOKUP(A1480,File!$A:$J,2,FALSE)</f>
        <v>Jai Chand Nelakuditi</v>
      </c>
      <c r="C1480" s="29">
        <f>VLOOKUP(A1480,File!$A:$J,5,FALSE)</f>
        <v>46212</v>
      </c>
      <c r="D1480" s="29" t="str">
        <f>VLOOKUP(A1480,File!$A:$J,3,FALSE)</f>
        <v>Male</v>
      </c>
      <c r="E1480" s="29" t="str">
        <f>VLOOKUP(A1480,File!$A:$J,4,FALSE)</f>
        <v>FTE</v>
      </c>
      <c r="F1480" s="29" t="str">
        <f>VLOOKUP(A1480,File!$A:$J,6,FALSE)</f>
        <v>Chennai</v>
      </c>
      <c r="G1480" s="29" t="str">
        <f>VLOOKUP(A1480,File!$A:$J,7,FALSE)</f>
        <v>ADM26DNAT003</v>
      </c>
      <c r="H1480" s="29" t="str">
        <f>VLOOKUP(A1480,File!$A:$J,8,FALSE)</f>
        <v>Athira P</v>
      </c>
      <c r="I1480" s="31">
        <f>VLOOKUP(A1480,File!$A:$J,9,FALSE)</f>
        <v>46318</v>
      </c>
      <c r="J1480" s="31" t="str">
        <f>VLOOKUP(A1480,File!$A:$K,11,FALSE)</f>
        <v>Oct 2026</v>
      </c>
      <c r="K1480" s="31" t="str">
        <f>VLOOKUP(A1480,File!$A:$K,10,FALSE)</f>
        <v>In-Training</v>
      </c>
      <c r="L1480" s="31" t="s">
        <v>4</v>
      </c>
      <c r="M1480" t="str">
        <f>VLOOKUP(A1480,Response!$A:$M,7,)</f>
        <v>PG (Paying Guest)</v>
      </c>
      <c r="N1480" t="str">
        <f>VLOOKUP(A1480,Response!$A:$M,8,)</f>
        <v>SS (Siva sai) PG</v>
      </c>
      <c r="O1480" s="4">
        <f>VLOOKUP(A1480,Response!$A:$M,10,)</f>
        <v>4</v>
      </c>
      <c r="P1480" t="str">
        <f>VLOOKUP(A1480,Response!$A:$M,12,)</f>
        <v>No</v>
      </c>
      <c r="Q1480" t="str">
        <f>VLOOKUP(A1480,Response!$A:$M,11,)</f>
        <v>Siruseri</v>
      </c>
      <c r="R1480" t="s">
        <v>19</v>
      </c>
      <c r="S1480" s="39" t="s">
        <v>37</v>
      </c>
    </row>
    <row r="1481" spans="1:19">
      <c r="A1481" s="3">
        <v>2531415</v>
      </c>
      <c r="B1481" t="str">
        <f>VLOOKUP(A1481,File!$A:$J,2,FALSE)</f>
        <v>Prahana GV</v>
      </c>
      <c r="C1481" s="29">
        <f>VLOOKUP(A1481,File!$A:$J,5,FALSE)</f>
        <v>46252</v>
      </c>
      <c r="D1481" s="29" t="str">
        <f>VLOOKUP(A1481,File!$A:$J,3,FALSE)</f>
        <v>Female</v>
      </c>
      <c r="E1481" s="29" t="str">
        <f>VLOOKUP(A1481,File!$A:$J,4,FALSE)</f>
        <v>FTE</v>
      </c>
      <c r="F1481" s="29" t="str">
        <f>VLOOKUP(A1481,File!$A:$J,6,FALSE)</f>
        <v>Chennai</v>
      </c>
      <c r="G1481" s="29" t="str">
        <f>VLOOKUP(A1481,File!$A:$J,7,FALSE)</f>
        <v>EPS26SAP036</v>
      </c>
      <c r="H1481" s="29" t="str">
        <f>VLOOKUP(A1481,File!$A:$J,8,FALSE)</f>
        <v>Vishnupriya Dakshnamurthy</v>
      </c>
      <c r="I1481" s="31">
        <f>VLOOKUP(A1481,File!$A:$J,9,FALSE)</f>
        <v>46335</v>
      </c>
      <c r="J1481" s="31" t="str">
        <f>VLOOKUP(A1481,File!$A:$K,11,FALSE)</f>
        <v>Nov 2026</v>
      </c>
      <c r="K1481" s="31" t="str">
        <f>VLOOKUP(A1481,File!$A:$K,10,FALSE)</f>
        <v>In-Training</v>
      </c>
      <c r="L1481" s="31" t="s">
        <v>4</v>
      </c>
      <c r="M1481" t="str">
        <f>VLOOKUP(A1481,Response!$A:$M,7,)</f>
        <v>PG (Paying Guest)</v>
      </c>
      <c r="N1481" t="str">
        <f>VLOOKUP(A1481,Response!$A:$M,8,)</f>
        <v xml:space="preserve">SS Bharath stay </v>
      </c>
      <c r="O1481" s="4">
        <f>VLOOKUP(A1481,Response!$A:$M,10,)</f>
        <v>2</v>
      </c>
      <c r="P1481" t="str">
        <f>VLOOKUP(A1481,Response!$A:$M,12,)</f>
        <v>Yes</v>
      </c>
      <c r="Q1481" t="str">
        <f>VLOOKUP(A1481,Response!$A:$M,11,)</f>
        <v>Semmancheri</v>
      </c>
      <c r="R1481" t="s">
        <v>17</v>
      </c>
      <c r="S1481" s="39" t="s">
        <v>37</v>
      </c>
    </row>
    <row r="1482" spans="1:19">
      <c r="A1482" s="3">
        <v>2530211</v>
      </c>
      <c r="B1482" t="str">
        <f>VLOOKUP(A1482,File!$A:$J,2,FALSE)</f>
        <v>Thatavarthi Parikshit</v>
      </c>
      <c r="C1482" s="29">
        <f>VLOOKUP(A1482,File!$A:$J,5,FALSE)</f>
        <v>46247</v>
      </c>
      <c r="D1482" s="29" t="str">
        <f>VLOOKUP(A1482,File!$A:$J,3,FALSE)</f>
        <v>Male</v>
      </c>
      <c r="E1482" s="29" t="str">
        <f>VLOOKUP(A1482,File!$A:$J,4,FALSE)</f>
        <v>FTE</v>
      </c>
      <c r="F1482" s="29" t="str">
        <f>VLOOKUP(A1482,File!$A:$J,6,FALSE)</f>
        <v>Chennai</v>
      </c>
      <c r="G1482" s="29" t="str">
        <f>VLOOKUP(A1482,File!$A:$J,7,FALSE)</f>
        <v>EPS26OSP010</v>
      </c>
      <c r="H1482" s="29" t="str">
        <f>VLOOKUP(A1482,File!$A:$J,8,FALSE)</f>
        <v>Vishnupriya Dakshnamurthy</v>
      </c>
      <c r="I1482" s="31">
        <f>VLOOKUP(A1482,File!$A:$J,9,FALSE)</f>
        <v>46357</v>
      </c>
      <c r="J1482" s="31" t="str">
        <f>VLOOKUP(A1482,File!$A:$K,11,FALSE)</f>
        <v>Dec 2026</v>
      </c>
      <c r="K1482" s="31" t="str">
        <f>VLOOKUP(A1482,File!$A:$K,10,FALSE)</f>
        <v>In-Training</v>
      </c>
      <c r="L1482" s="31" t="s">
        <v>4</v>
      </c>
      <c r="M1482" t="str">
        <f>VLOOKUP(A1482,Response!$A:$M,7,)</f>
        <v>PG (Paying Guest)</v>
      </c>
      <c r="N1482" t="str">
        <f>VLOOKUP(A1482,Response!$A:$M,8,)</f>
        <v>SS Gents PG</v>
      </c>
      <c r="O1482" s="4">
        <f>VLOOKUP(A1482,Response!$A:$M,10,)</f>
        <v>2</v>
      </c>
      <c r="P1482" t="str">
        <f>VLOOKUP(A1482,Response!$A:$M,12,)</f>
        <v>No</v>
      </c>
      <c r="Q1482" t="str">
        <f>VLOOKUP(A1482,Response!$A:$M,11,)</f>
        <v>Siruseri</v>
      </c>
      <c r="R1482" t="s">
        <v>19</v>
      </c>
      <c r="S1482" s="39" t="s">
        <v>37</v>
      </c>
    </row>
    <row r="1483" spans="1:19">
      <c r="A1483" s="3">
        <v>2521829</v>
      </c>
      <c r="B1483" t="str">
        <f>VLOOKUP(A1483,File!$A:$J,2,FALSE)</f>
        <v>Prince Mishra</v>
      </c>
      <c r="C1483" s="29">
        <f>VLOOKUP(A1483,File!$A:$J,5,FALSE)</f>
        <v>46212</v>
      </c>
      <c r="D1483" s="29" t="str">
        <f>VLOOKUP(A1483,File!$A:$J,3,FALSE)</f>
        <v>Male</v>
      </c>
      <c r="E1483" s="29" t="str">
        <f>VLOOKUP(A1483,File!$A:$J,4,FALSE)</f>
        <v>FTE</v>
      </c>
      <c r="F1483" s="29" t="str">
        <f>VLOOKUP(A1483,File!$A:$J,6,FALSE)</f>
        <v>Chennai</v>
      </c>
      <c r="G1483" s="29" t="str">
        <f>VLOOKUP(A1483,File!$A:$J,7,FALSE)</f>
        <v>AIA26DSAT004</v>
      </c>
      <c r="H1483" s="29" t="str">
        <f>VLOOKUP(A1483,File!$A:$J,8,FALSE)</f>
        <v>Pavithra Kandasamy</v>
      </c>
      <c r="I1483" s="31">
        <f>VLOOKUP(A1483,File!$A:$J,9,FALSE)</f>
        <v>46304</v>
      </c>
      <c r="J1483" s="31" t="str">
        <f>VLOOKUP(A1483,File!$A:$K,11,FALSE)</f>
        <v>Oct 2026</v>
      </c>
      <c r="K1483" s="31" t="str">
        <f>VLOOKUP(A1483,File!$A:$K,10,FALSE)</f>
        <v>In-Training</v>
      </c>
      <c r="L1483" s="31" t="s">
        <v>4</v>
      </c>
      <c r="M1483" t="str">
        <f>VLOOKUP(A1483,Response!$A:$M,7,)</f>
        <v>PG (Paying Guest)</v>
      </c>
      <c r="N1483" t="str">
        <f>VLOOKUP(A1483,Response!$A:$M,8,)</f>
        <v>SS Gents PG</v>
      </c>
      <c r="O1483" s="4">
        <f>VLOOKUP(A1483,Response!$A:$M,10,)</f>
        <v>4</v>
      </c>
      <c r="P1483" t="str">
        <f>VLOOKUP(A1483,Response!$A:$M,12,)</f>
        <v>No</v>
      </c>
      <c r="Q1483" t="str">
        <f>VLOOKUP(A1483,Response!$A:$M,11,)</f>
        <v>Siruseri</v>
      </c>
      <c r="R1483" t="s">
        <v>19</v>
      </c>
      <c r="S1483" s="39" t="s">
        <v>37</v>
      </c>
    </row>
    <row r="1484" spans="1:19">
      <c r="A1484" s="3">
        <v>2529610</v>
      </c>
      <c r="B1484" t="str">
        <f>VLOOKUP(A1484,File!$A:$J,2,FALSE)</f>
        <v>Boyapati Bhanu Siva Prakash</v>
      </c>
      <c r="C1484" s="29">
        <f>VLOOKUP(A1484,File!$A:$J,5,FALSE)</f>
        <v>46245</v>
      </c>
      <c r="D1484" s="29" t="str">
        <f>VLOOKUP(A1484,File!$A:$J,3,FALSE)</f>
        <v>Male</v>
      </c>
      <c r="E1484" s="29" t="str">
        <f>VLOOKUP(A1484,File!$A:$J,4,FALSE)</f>
        <v>FTE</v>
      </c>
      <c r="F1484" s="29" t="str">
        <f>VLOOKUP(A1484,File!$A:$J,6,FALSE)</f>
        <v>Chennai</v>
      </c>
      <c r="G1484" s="29" t="str">
        <f>VLOOKUP(A1484,File!$A:$J,7,FALSE)</f>
        <v>CIS26MCPT024</v>
      </c>
      <c r="H1484" s="29" t="str">
        <f>VLOOKUP(A1484,File!$A:$J,8,FALSE)</f>
        <v>Ashiya Begam S</v>
      </c>
      <c r="I1484" s="31">
        <f>VLOOKUP(A1484,File!$A:$J,9,FALSE)</f>
        <v>46359</v>
      </c>
      <c r="J1484" s="31" t="str">
        <f>VLOOKUP(A1484,File!$A:$K,11,FALSE)</f>
        <v>Dec 2026</v>
      </c>
      <c r="K1484" s="31" t="str">
        <f>VLOOKUP(A1484,File!$A:$K,10,FALSE)</f>
        <v>In-Training</v>
      </c>
      <c r="L1484" s="31" t="s">
        <v>4</v>
      </c>
      <c r="M1484" t="str">
        <f>VLOOKUP(A1484,Response!$A:$M,7,)</f>
        <v>PG (Paying Guest)</v>
      </c>
      <c r="N1484" t="str">
        <f>VLOOKUP(A1484,Response!$A:$M,8,)</f>
        <v>SS gents pg, Sipcot, Siruseri, Chennai</v>
      </c>
      <c r="O1484" s="4">
        <f>VLOOKUP(A1484,Response!$A:$M,10,)</f>
        <v>1</v>
      </c>
      <c r="P1484" t="str">
        <f>VLOOKUP(A1484,Response!$A:$M,12,)</f>
        <v>No</v>
      </c>
      <c r="Q1484" t="str">
        <f>VLOOKUP(A1484,Response!$A:$M,11,)</f>
        <v>Siruseri</v>
      </c>
      <c r="R1484" t="s">
        <v>19</v>
      </c>
      <c r="S1484" s="39" t="s">
        <v>37</v>
      </c>
    </row>
    <row r="1485" spans="1:19">
      <c r="A1485" s="3">
        <v>2521732</v>
      </c>
      <c r="B1485" t="str">
        <f>VLOOKUP(A1485,File!$A:$J,2,FALSE)</f>
        <v>Shaik Fakruddin</v>
      </c>
      <c r="C1485" s="29">
        <f>VLOOKUP(A1485,File!$A:$J,5,FALSE)</f>
        <v>46212</v>
      </c>
      <c r="D1485" s="29" t="str">
        <f>VLOOKUP(A1485,File!$A:$J,3,FALSE)</f>
        <v>Male</v>
      </c>
      <c r="E1485" s="29" t="str">
        <f>VLOOKUP(A1485,File!$A:$J,4,FALSE)</f>
        <v>FTE</v>
      </c>
      <c r="F1485" s="29" t="str">
        <f>VLOOKUP(A1485,File!$A:$J,6,FALSE)</f>
        <v>Chennai</v>
      </c>
      <c r="G1485" s="29" t="str">
        <f>VLOOKUP(A1485,File!$A:$J,7,FALSE)</f>
        <v>QEA26SD001</v>
      </c>
      <c r="H1485" s="29" t="str">
        <f>VLOOKUP(A1485,File!$A:$J,8,FALSE)</f>
        <v>Ajiesya D P</v>
      </c>
      <c r="I1485" s="31">
        <f>VLOOKUP(A1485,File!$A:$J,9,FALSE)</f>
        <v>46329</v>
      </c>
      <c r="J1485" s="31" t="str">
        <f>VLOOKUP(A1485,File!$A:$K,11,FALSE)</f>
        <v>Nov 2026</v>
      </c>
      <c r="K1485" s="31" t="str">
        <f>VLOOKUP(A1485,File!$A:$K,10,FALSE)</f>
        <v>In-Training</v>
      </c>
      <c r="L1485" s="31" t="s">
        <v>4</v>
      </c>
      <c r="M1485" t="str">
        <f>VLOOKUP(A1485,Response!$A:$M,7,)</f>
        <v>PG (Paying Guest)</v>
      </c>
      <c r="N1485" t="str">
        <f>VLOOKUP(A1485,Response!$A:$M,8,)</f>
        <v>SS gents pg,egattur</v>
      </c>
      <c r="O1485" s="4">
        <f>VLOOKUP(A1485,Response!$A:$M,10,)</f>
        <v>3</v>
      </c>
      <c r="P1485" t="str">
        <f>VLOOKUP(A1485,Response!$A:$M,12,)</f>
        <v>No</v>
      </c>
      <c r="Q1485" t="str">
        <f>VLOOKUP(A1485,Response!$A:$M,11,)</f>
        <v>Siruseri</v>
      </c>
      <c r="R1485" t="s">
        <v>19</v>
      </c>
      <c r="S1485" s="39" t="s">
        <v>37</v>
      </c>
    </row>
    <row r="1486" spans="1:19">
      <c r="A1486" s="3">
        <v>2521712</v>
      </c>
      <c r="B1486" t="str">
        <f>VLOOKUP(A1486,File!$A:$J,2,FALSE)</f>
        <v>Swapnil Pandurang Ranawade</v>
      </c>
      <c r="C1486" s="29">
        <f>VLOOKUP(A1486,File!$A:$J,5,FALSE)</f>
        <v>46212</v>
      </c>
      <c r="D1486" s="29" t="str">
        <f>VLOOKUP(A1486,File!$A:$J,3,FALSE)</f>
        <v>Male</v>
      </c>
      <c r="E1486" s="29" t="str">
        <f>VLOOKUP(A1486,File!$A:$J,4,FALSE)</f>
        <v>FTE</v>
      </c>
      <c r="F1486" s="29" t="str">
        <f>VLOOKUP(A1486,File!$A:$J,6,FALSE)</f>
        <v>Chennai</v>
      </c>
      <c r="G1486" s="29" t="str">
        <f>VLOOKUP(A1486,File!$A:$J,7,FALSE)</f>
        <v>AIA26DSAT004</v>
      </c>
      <c r="H1486" s="29" t="str">
        <f>VLOOKUP(A1486,File!$A:$J,8,FALSE)</f>
        <v>Pavithra Kandasamy</v>
      </c>
      <c r="I1486" s="31">
        <f>VLOOKUP(A1486,File!$A:$J,9,FALSE)</f>
        <v>46304</v>
      </c>
      <c r="J1486" s="31" t="str">
        <f>VLOOKUP(A1486,File!$A:$K,11,FALSE)</f>
        <v>Oct 2026</v>
      </c>
      <c r="K1486" s="31" t="str">
        <f>VLOOKUP(A1486,File!$A:$K,10,FALSE)</f>
        <v>In-Training</v>
      </c>
      <c r="L1486" s="31" t="s">
        <v>4</v>
      </c>
      <c r="M1486" t="str">
        <f>VLOOKUP(A1486,Response!$A:$M,7,)</f>
        <v>PG (Paying Guest)</v>
      </c>
      <c r="N1486" t="str">
        <f>VLOOKUP(A1486,Response!$A:$M,8,)</f>
        <v>SS PG ,Egattur</v>
      </c>
      <c r="O1486" s="4">
        <f>VLOOKUP(A1486,Response!$A:$M,10,)</f>
        <v>4</v>
      </c>
      <c r="P1486" t="str">
        <f>VLOOKUP(A1486,Response!$A:$M,12,)</f>
        <v>No</v>
      </c>
      <c r="Q1486" t="str">
        <f>VLOOKUP(A1486,Response!$A:$M,11,)</f>
        <v>Siruseri</v>
      </c>
      <c r="R1486" t="s">
        <v>19</v>
      </c>
      <c r="S1486" s="39" t="s">
        <v>37</v>
      </c>
    </row>
    <row r="1487" spans="1:19">
      <c r="A1487" s="3">
        <v>2521684</v>
      </c>
      <c r="B1487" t="str">
        <f>VLOOKUP(A1487,File!$A:$J,2,FALSE)</f>
        <v>Pankaj Digambar Narwade</v>
      </c>
      <c r="C1487" s="29">
        <f>VLOOKUP(A1487,File!$A:$J,5,FALSE)</f>
        <v>46212</v>
      </c>
      <c r="D1487" s="29" t="str">
        <f>VLOOKUP(A1487,File!$A:$J,3,FALSE)</f>
        <v>Male</v>
      </c>
      <c r="E1487" s="29" t="str">
        <f>VLOOKUP(A1487,File!$A:$J,4,FALSE)</f>
        <v>FTE</v>
      </c>
      <c r="F1487" s="29" t="str">
        <f>VLOOKUP(A1487,File!$A:$J,6,FALSE)</f>
        <v>Chennai</v>
      </c>
      <c r="G1487" s="29" t="str">
        <f>VLOOKUP(A1487,File!$A:$J,7,FALSE)</f>
        <v>ADM26MF010</v>
      </c>
      <c r="H1487" s="29" t="str">
        <f>VLOOKUP(A1487,File!$A:$J,8,FALSE)</f>
        <v>Thomas Naveen. J</v>
      </c>
      <c r="I1487" s="31">
        <f>VLOOKUP(A1487,File!$A:$J,9,FALSE)</f>
        <v>46328</v>
      </c>
      <c r="J1487" s="31" t="str">
        <f>VLOOKUP(A1487,File!$A:$K,11,FALSE)</f>
        <v>Nov 2026</v>
      </c>
      <c r="K1487" s="31" t="str">
        <f>VLOOKUP(A1487,File!$A:$K,10,FALSE)</f>
        <v>In-Training</v>
      </c>
      <c r="L1487" s="31" t="s">
        <v>4</v>
      </c>
      <c r="M1487" t="str">
        <f>VLOOKUP(A1487,Response!$A:$M,7,)</f>
        <v>PG (Paying Guest)</v>
      </c>
      <c r="N1487" t="str">
        <f>VLOOKUP(A1487,Response!$A:$M,8,)</f>
        <v>SS PG Room No 404 , 7th Cross Street , Phase 3, OMRONE , Egattur , Chennai , Chengalpattu, Tamil Nadu, 603103</v>
      </c>
      <c r="O1487" s="4">
        <f>VLOOKUP(A1487,Response!$A:$M,10,)</f>
        <v>4</v>
      </c>
      <c r="P1487" t="str">
        <f>VLOOKUP(A1487,Response!$A:$M,12,)</f>
        <v>No</v>
      </c>
      <c r="Q1487" t="str">
        <f>VLOOKUP(A1487,Response!$A:$M,11,)</f>
        <v>Siruseri</v>
      </c>
      <c r="R1487" t="s">
        <v>19</v>
      </c>
      <c r="S1487" s="39" t="s">
        <v>37</v>
      </c>
    </row>
    <row r="1488" spans="1:19">
      <c r="A1488" s="3">
        <v>2529627</v>
      </c>
      <c r="B1488" t="str">
        <f>VLOOKUP(A1488,File!$A:$J,2,FALSE)</f>
        <v>Arun Kumar T</v>
      </c>
      <c r="C1488" s="29">
        <f>VLOOKUP(A1488,File!$A:$J,5,FALSE)</f>
        <v>46245</v>
      </c>
      <c r="D1488" s="29" t="str">
        <f>VLOOKUP(A1488,File!$A:$J,3,FALSE)</f>
        <v>Male</v>
      </c>
      <c r="E1488" s="29" t="str">
        <f>VLOOKUP(A1488,File!$A:$J,4,FALSE)</f>
        <v>FTE</v>
      </c>
      <c r="F1488" s="29" t="str">
        <f>VLOOKUP(A1488,File!$A:$J,6,FALSE)</f>
        <v>Chennai</v>
      </c>
      <c r="G1488" s="29" t="str">
        <f>VLOOKUP(A1488,File!$A:$J,7,FALSE)</f>
        <v>CIS26MCPT023</v>
      </c>
      <c r="H1488" s="29" t="str">
        <f>VLOOKUP(A1488,File!$A:$J,8,FALSE)</f>
        <v>Kishorekumar P</v>
      </c>
      <c r="I1488" s="31">
        <f>VLOOKUP(A1488,File!$A:$J,9,FALSE)</f>
        <v>46359</v>
      </c>
      <c r="J1488" s="31" t="str">
        <f>VLOOKUP(A1488,File!$A:$K,11,FALSE)</f>
        <v>Dec 2026</v>
      </c>
      <c r="K1488" s="31" t="str">
        <f>VLOOKUP(A1488,File!$A:$K,10,FALSE)</f>
        <v>In-Training</v>
      </c>
      <c r="L1488" s="31" t="s">
        <v>4</v>
      </c>
      <c r="M1488" t="str">
        <f>VLOOKUP(A1488,Response!$A:$M,7,)</f>
        <v>PG (Paying Guest)</v>
      </c>
      <c r="N1488" t="str">
        <f>VLOOKUP(A1488,Response!$A:$M,8,)</f>
        <v>SS Siva Sai Gents PG</v>
      </c>
      <c r="O1488" s="4">
        <f>VLOOKUP(A1488,Response!$A:$M,10,)</f>
        <v>2</v>
      </c>
      <c r="P1488" t="str">
        <f>VLOOKUP(A1488,Response!$A:$M,12,)</f>
        <v>Yes</v>
      </c>
      <c r="Q1488" t="str">
        <f>VLOOKUP(A1488,Response!$A:$M,11,)</f>
        <v>Siruseri</v>
      </c>
      <c r="R1488" t="s">
        <v>19</v>
      </c>
      <c r="S1488" s="39" t="s">
        <v>37</v>
      </c>
    </row>
    <row r="1489" spans="1:19">
      <c r="A1489" s="3">
        <v>2522817</v>
      </c>
      <c r="B1489" t="str">
        <f>VLOOKUP(A1489,File!$A:$J,2,FALSE)</f>
        <v>KOMMALAPATI SRI Chandra</v>
      </c>
      <c r="C1489" s="29">
        <f>VLOOKUP(A1489,File!$A:$J,5,FALSE)</f>
        <v>46217</v>
      </c>
      <c r="D1489" s="29" t="str">
        <f>VLOOKUP(A1489,File!$A:$J,3,FALSE)</f>
        <v>Male</v>
      </c>
      <c r="E1489" s="29" t="str">
        <f>VLOOKUP(A1489,File!$A:$J,4,FALSE)</f>
        <v>FTE</v>
      </c>
      <c r="F1489" s="29" t="str">
        <f>VLOOKUP(A1489,File!$A:$J,6,FALSE)</f>
        <v>Chennai</v>
      </c>
      <c r="G1489" s="29" t="str">
        <f>VLOOKUP(A1489,File!$A:$J,7,FALSE)</f>
        <v>QEA26ST001</v>
      </c>
      <c r="H1489" s="29" t="str">
        <f>VLOOKUP(A1489,File!$A:$J,8,FALSE)</f>
        <v>Angel Maria Faustina Gomez</v>
      </c>
      <c r="I1489" s="31">
        <f>VLOOKUP(A1489,File!$A:$J,9,FALSE)</f>
        <v>46310</v>
      </c>
      <c r="J1489" s="31" t="str">
        <f>VLOOKUP(A1489,File!$A:$K,11,FALSE)</f>
        <v>Oct 2026</v>
      </c>
      <c r="K1489" s="31" t="str">
        <f>VLOOKUP(A1489,File!$A:$K,10,FALSE)</f>
        <v>In-Training</v>
      </c>
      <c r="L1489" s="31" t="s">
        <v>4</v>
      </c>
      <c r="M1489" t="str">
        <f>VLOOKUP(A1489,Response!$A:$M,7,)</f>
        <v>PG (Paying Guest)</v>
      </c>
      <c r="N1489" t="str">
        <f>VLOOKUP(A1489,Response!$A:$M,8,)</f>
        <v>SS SIVA SAI GENTS PG</v>
      </c>
      <c r="O1489" s="4">
        <f>VLOOKUP(A1489,Response!$A:$M,10,)</f>
        <v>4</v>
      </c>
      <c r="P1489" t="str">
        <f>VLOOKUP(A1489,Response!$A:$M,12,)</f>
        <v>No</v>
      </c>
      <c r="Q1489" t="str">
        <f>VLOOKUP(A1489,Response!$A:$M,11,)</f>
        <v>Egattur</v>
      </c>
      <c r="R1489" t="s">
        <v>19</v>
      </c>
      <c r="S1489" s="39" t="s">
        <v>37</v>
      </c>
    </row>
    <row r="1490" spans="1:19">
      <c r="A1490" s="3">
        <v>2524640</v>
      </c>
      <c r="B1490" t="str">
        <f>VLOOKUP(A1490,File!$A:$J,2,FALSE)</f>
        <v>Tushar Mukund Salunke</v>
      </c>
      <c r="C1490" s="29">
        <f>VLOOKUP(A1490,File!$A:$J,5,FALSE)</f>
        <v>46224</v>
      </c>
      <c r="D1490" s="29" t="str">
        <f>VLOOKUP(A1490,File!$A:$J,3,FALSE)</f>
        <v>Male</v>
      </c>
      <c r="E1490" s="29" t="str">
        <f>VLOOKUP(A1490,File!$A:$J,4,FALSE)</f>
        <v>FTE</v>
      </c>
      <c r="F1490" s="29" t="str">
        <f>VLOOKUP(A1490,File!$A:$J,6,FALSE)</f>
        <v>Chennai</v>
      </c>
      <c r="G1490" s="29" t="str">
        <f>VLOOKUP(A1490,File!$A:$J,7,FALSE)</f>
        <v>QEA26QEPT024</v>
      </c>
      <c r="H1490" s="29" t="str">
        <f>VLOOKUP(A1490,File!$A:$J,8,FALSE)</f>
        <v>Ajiesya D P</v>
      </c>
      <c r="I1490" s="31">
        <f>VLOOKUP(A1490,File!$A:$J,9,FALSE)</f>
        <v>46325</v>
      </c>
      <c r="J1490" s="31" t="str">
        <f>VLOOKUP(A1490,File!$A:$K,11,FALSE)</f>
        <v>Oct 2026</v>
      </c>
      <c r="K1490" s="31" t="str">
        <f>VLOOKUP(A1490,File!$A:$K,10,FALSE)</f>
        <v>In-Training</v>
      </c>
      <c r="L1490" s="31" t="s">
        <v>4</v>
      </c>
      <c r="M1490" t="str">
        <f>VLOOKUP(A1490,Response!$A:$M,7,)</f>
        <v>PG (Paying Guest)</v>
      </c>
      <c r="N1490" t="str">
        <f>VLOOKUP(A1490,Response!$A:$M,8,)</f>
        <v>SS Siva Sai Gents Pg Siruseri Egator</v>
      </c>
      <c r="O1490" s="4">
        <f>VLOOKUP(A1490,Response!$A:$M,10,)</f>
        <v>2</v>
      </c>
      <c r="P1490" t="str">
        <f>VLOOKUP(A1490,Response!$A:$M,12,)</f>
        <v>No</v>
      </c>
      <c r="Q1490" t="str">
        <f>VLOOKUP(A1490,Response!$A:$M,11,)</f>
        <v>Siruseri</v>
      </c>
      <c r="R1490" t="s">
        <v>19</v>
      </c>
      <c r="S1490" s="39" t="s">
        <v>37</v>
      </c>
    </row>
    <row r="1491" spans="1:19">
      <c r="A1491" s="3">
        <v>2529640</v>
      </c>
      <c r="B1491" t="str">
        <f>VLOOKUP(A1491,File!$A:$J,2,FALSE)</f>
        <v>Mohammad Kais</v>
      </c>
      <c r="C1491" s="29">
        <f>VLOOKUP(A1491,File!$A:$J,5,FALSE)</f>
        <v>46245</v>
      </c>
      <c r="D1491" s="29" t="str">
        <f>VLOOKUP(A1491,File!$A:$J,3,FALSE)</f>
        <v>Male</v>
      </c>
      <c r="E1491" s="29" t="str">
        <f>VLOOKUP(A1491,File!$A:$J,4,FALSE)</f>
        <v>FTE</v>
      </c>
      <c r="F1491" s="29" t="str">
        <f>VLOOKUP(A1491,File!$A:$J,6,FALSE)</f>
        <v>Chennai</v>
      </c>
      <c r="G1491" s="29" t="str">
        <f>VLOOKUP(A1491,File!$A:$J,7,FALSE)</f>
        <v>CIS26MCPT021</v>
      </c>
      <c r="H1491" s="29" t="str">
        <f>VLOOKUP(A1491,File!$A:$J,8,FALSE)</f>
        <v>Uma Venkatachalam</v>
      </c>
      <c r="I1491" s="31">
        <f>VLOOKUP(A1491,File!$A:$J,9,FALSE)</f>
        <v>46364</v>
      </c>
      <c r="J1491" s="31" t="str">
        <f>VLOOKUP(A1491,File!$A:$K,11,FALSE)</f>
        <v>Dec 2026</v>
      </c>
      <c r="K1491" s="31" t="str">
        <f>VLOOKUP(A1491,File!$A:$K,10,FALSE)</f>
        <v>In-Training</v>
      </c>
      <c r="L1491" s="31" t="s">
        <v>4</v>
      </c>
      <c r="M1491" t="str">
        <f>VLOOKUP(A1491,Response!$A:$M,7,)</f>
        <v>PG (Paying Guest)</v>
      </c>
      <c r="N1491" t="str">
        <f>VLOOKUP(A1491,Response!$A:$M,8,)</f>
        <v>SS Siva Sai PG - sipcot</v>
      </c>
      <c r="O1491" s="4" t="str">
        <f>VLOOKUP(A1491,Response!$A:$M,10,)</f>
        <v>GF</v>
      </c>
      <c r="P1491" t="str">
        <f>VLOOKUP(A1491,Response!$A:$M,12,)</f>
        <v>No</v>
      </c>
      <c r="Q1491" t="str">
        <f>VLOOKUP(A1491,Response!$A:$M,11,)</f>
        <v>Siruseri</v>
      </c>
      <c r="R1491" t="s">
        <v>19</v>
      </c>
      <c r="S1491" s="39" t="s">
        <v>37</v>
      </c>
    </row>
    <row r="1492" spans="1:19">
      <c r="A1492" s="3">
        <v>2521276</v>
      </c>
      <c r="B1492" t="str">
        <f>VLOOKUP(A1492,File!$A:$J,2,FALSE)</f>
        <v>Veera Sai Sandeep</v>
      </c>
      <c r="C1492" s="29">
        <f>VLOOKUP(A1492,File!$A:$J,5,FALSE)</f>
        <v>46210</v>
      </c>
      <c r="D1492" s="29" t="str">
        <f>VLOOKUP(A1492,File!$A:$J,3,FALSE)</f>
        <v>Male</v>
      </c>
      <c r="E1492" s="29" t="str">
        <f>VLOOKUP(A1492,File!$A:$J,4,FALSE)</f>
        <v>FTE</v>
      </c>
      <c r="F1492" s="29" t="str">
        <f>VLOOKUP(A1492,File!$A:$J,6,FALSE)</f>
        <v>Chennai</v>
      </c>
      <c r="G1492" s="29" t="str">
        <f>VLOOKUP(A1492,File!$A:$J,7,FALSE)</f>
        <v>SNBG26SN002</v>
      </c>
      <c r="H1492" s="29" t="str">
        <f>VLOOKUP(A1492,File!$A:$J,8,FALSE)</f>
        <v>Lawrance M</v>
      </c>
      <c r="I1492" s="31">
        <f>VLOOKUP(A1492,File!$A:$J,9,FALSE)</f>
        <v>46281</v>
      </c>
      <c r="J1492" s="31" t="str">
        <f>VLOOKUP(A1492,File!$A:$K,11,FALSE)</f>
        <v>Sep 2026</v>
      </c>
      <c r="K1492" s="31" t="str">
        <f>VLOOKUP(A1492,File!$A:$K,10,FALSE)</f>
        <v>In-Training</v>
      </c>
      <c r="L1492" s="31" t="s">
        <v>4</v>
      </c>
      <c r="M1492" t="str">
        <f>VLOOKUP(A1492,Response!$A:$M,7,)</f>
        <v>PG (Paying Guest)</v>
      </c>
      <c r="N1492" t="str">
        <f>VLOOKUP(A1492,Response!$A:$M,8,)</f>
        <v>SS(Shiva Sai ) gents PG, siruseri</v>
      </c>
      <c r="O1492" s="4" t="str">
        <f>VLOOKUP(A1492,Response!$A:$M,10,)</f>
        <v>GF</v>
      </c>
      <c r="P1492" t="str">
        <f>VLOOKUP(A1492,Response!$A:$M,12,)</f>
        <v>No</v>
      </c>
      <c r="Q1492" t="str">
        <f>VLOOKUP(A1492,Response!$A:$M,11,)</f>
        <v>Siruseri</v>
      </c>
      <c r="R1492" t="s">
        <v>19</v>
      </c>
      <c r="S1492" s="39" t="s">
        <v>37</v>
      </c>
    </row>
    <row r="1493" spans="1:19">
      <c r="A1493" s="3">
        <v>2531277</v>
      </c>
      <c r="B1493" t="str">
        <f>VLOOKUP(A1493,File!$A:$J,2,FALSE)</f>
        <v>Saurav Shrikrishna Adhao</v>
      </c>
      <c r="C1493" s="29">
        <f>VLOOKUP(A1493,File!$A:$J,5,FALSE)</f>
        <v>46252</v>
      </c>
      <c r="D1493" s="29" t="str">
        <f>VLOOKUP(A1493,File!$A:$J,3,FALSE)</f>
        <v>Male</v>
      </c>
      <c r="E1493" s="29" t="str">
        <f>VLOOKUP(A1493,File!$A:$J,4,FALSE)</f>
        <v>FTE</v>
      </c>
      <c r="F1493" s="29" t="str">
        <f>VLOOKUP(A1493,File!$A:$J,6,FALSE)</f>
        <v>Chennai</v>
      </c>
      <c r="G1493" s="29" t="str">
        <f>VLOOKUP(A1493,File!$A:$J,7,FALSE)</f>
        <v>CIS26MCPT026</v>
      </c>
      <c r="H1493" s="29" t="str">
        <f>VLOOKUP(A1493,File!$A:$J,8,FALSE)</f>
        <v>Mohamed Harish</v>
      </c>
      <c r="I1493" s="31">
        <f>VLOOKUP(A1493,File!$A:$J,9,FALSE)</f>
        <v>46364</v>
      </c>
      <c r="J1493" s="31" t="str">
        <f>VLOOKUP(A1493,File!$A:$K,11,FALSE)</f>
        <v>Dec 2026</v>
      </c>
      <c r="K1493" s="31" t="str">
        <f>VLOOKUP(A1493,File!$A:$K,10,FALSE)</f>
        <v>In-Training</v>
      </c>
      <c r="L1493" s="31" t="s">
        <v>4</v>
      </c>
      <c r="M1493" t="str">
        <f>VLOOKUP(A1493,Response!$A:$M,7,)</f>
        <v>PG (Paying Guest)</v>
      </c>
      <c r="N1493" t="str">
        <f>VLOOKUP(A1493,Response!$A:$M,8,)</f>
        <v>SS(Shiva Sai) Gents PG</v>
      </c>
      <c r="O1493" s="4">
        <f>VLOOKUP(A1493,Response!$A:$M,10,)</f>
        <v>4</v>
      </c>
      <c r="P1493" t="str">
        <f>VLOOKUP(A1493,Response!$A:$M,12,)</f>
        <v>No</v>
      </c>
      <c r="Q1493" t="str">
        <f>VLOOKUP(A1493,Response!$A:$M,11,)</f>
        <v>Siruseri</v>
      </c>
      <c r="R1493" t="s">
        <v>19</v>
      </c>
      <c r="S1493" s="39" t="s">
        <v>37</v>
      </c>
    </row>
    <row r="1494" spans="1:19">
      <c r="A1494" s="3">
        <v>2519588</v>
      </c>
      <c r="B1494" t="str">
        <f>VLOOKUP(A1494,File!$A:$J,2,FALSE)</f>
        <v>Geerla Achyutha</v>
      </c>
      <c r="C1494" s="29">
        <f>VLOOKUP(A1494,File!$A:$J,5,FALSE)</f>
        <v>46205</v>
      </c>
      <c r="D1494" s="29" t="str">
        <f>VLOOKUP(A1494,File!$A:$J,3,FALSE)</f>
        <v>Male</v>
      </c>
      <c r="E1494" s="29" t="str">
        <f>VLOOKUP(A1494,File!$A:$J,4,FALSE)</f>
        <v>FTE</v>
      </c>
      <c r="F1494" s="29" t="str">
        <f>VLOOKUP(A1494,File!$A:$J,6,FALSE)</f>
        <v>Chennai</v>
      </c>
      <c r="G1494" s="29" t="str">
        <f>VLOOKUP(A1494,File!$A:$J,7,FALSE)</f>
        <v>CIS26UNIX003</v>
      </c>
      <c r="H1494" s="29" t="str">
        <f>VLOOKUP(A1494,File!$A:$J,8,FALSE)</f>
        <v>Haritha P</v>
      </c>
      <c r="I1494" s="31">
        <f>VLOOKUP(A1494,File!$A:$J,9,FALSE)</f>
        <v>46289</v>
      </c>
      <c r="J1494" s="31" t="str">
        <f>VLOOKUP(A1494,File!$A:$K,11,FALSE)</f>
        <v>Sep 2026</v>
      </c>
      <c r="K1494" s="31" t="str">
        <f>VLOOKUP(A1494,File!$A:$K,10,FALSE)</f>
        <v>In-Training</v>
      </c>
      <c r="L1494" s="31" t="s">
        <v>4</v>
      </c>
      <c r="M1494" t="str">
        <f>VLOOKUP(A1494,Response!$A:$M,7,)</f>
        <v>PG (Paying Guest)</v>
      </c>
      <c r="N1494" t="str">
        <f>VLOOKUP(A1494,Response!$A:$M,8,)</f>
        <v>SS(Shiva Sai) gents pg, Mamoothiamman,3rd st, Sipcot, Siruseri, Chennai, Tamilnadu, 603103</v>
      </c>
      <c r="O1494" s="4">
        <f>VLOOKUP(A1494,Response!$A:$M,10,)</f>
        <v>3</v>
      </c>
      <c r="P1494" t="str">
        <f>VLOOKUP(A1494,Response!$A:$M,12,)</f>
        <v>No</v>
      </c>
      <c r="Q1494" t="str">
        <f>VLOOKUP(A1494,Response!$A:$M,11,)</f>
        <v>Egattur</v>
      </c>
      <c r="R1494" t="s">
        <v>19</v>
      </c>
      <c r="S1494" s="39" t="s">
        <v>37</v>
      </c>
    </row>
    <row r="1495" spans="1:19">
      <c r="A1495" s="3">
        <v>2533062</v>
      </c>
      <c r="B1495" t="str">
        <f>VLOOKUP(A1495,File!$A:$J,2,FALSE)</f>
        <v>Bolla Pavan Kalyan</v>
      </c>
      <c r="C1495" s="29">
        <f>VLOOKUP(A1495,File!$A:$J,5,FALSE)</f>
        <v>46259</v>
      </c>
      <c r="D1495" s="29" t="str">
        <f>VLOOKUP(A1495,File!$A:$J,3,FALSE)</f>
        <v>Male</v>
      </c>
      <c r="E1495" s="29" t="str">
        <f>VLOOKUP(A1495,File!$A:$J,4,FALSE)</f>
        <v>FTE</v>
      </c>
      <c r="F1495" s="29" t="str">
        <f>VLOOKUP(A1495,File!$A:$J,6,FALSE)</f>
        <v>Chennai</v>
      </c>
      <c r="G1495" s="29" t="str">
        <f>VLOOKUP(A1495,File!$A:$J,7,FALSE)</f>
        <v>CIS26MBG003</v>
      </c>
      <c r="H1495" s="29" t="str">
        <f>VLOOKUP(A1495,File!$A:$J,8,FALSE)</f>
        <v>Kishorekumar P</v>
      </c>
      <c r="I1495" s="31">
        <f>VLOOKUP(A1495,File!$A:$J,9,FALSE)</f>
        <v>46367</v>
      </c>
      <c r="J1495" s="31" t="str">
        <f>VLOOKUP(A1495,File!$A:$K,11,FALSE)</f>
        <v>Dec 2026</v>
      </c>
      <c r="K1495" s="31" t="str">
        <f>VLOOKUP(A1495,File!$A:$K,10,FALSE)</f>
        <v>In-Training</v>
      </c>
      <c r="L1495" s="31" t="s">
        <v>4</v>
      </c>
      <c r="M1495" t="str">
        <f>VLOOKUP(A1495,Response!$A:$M,7,)</f>
        <v>PG (Paying Guest)</v>
      </c>
      <c r="N1495" t="str">
        <f>VLOOKUP(A1495,Response!$A:$M,8,)</f>
        <v>SS(Siva Sai) Gents pg</v>
      </c>
      <c r="O1495" s="4">
        <f>VLOOKUP(A1495,Response!$A:$M,10,)</f>
        <v>1</v>
      </c>
      <c r="P1495" t="str">
        <f>VLOOKUP(A1495,Response!$A:$M,12,)</f>
        <v>No</v>
      </c>
      <c r="Q1495" t="str">
        <f>VLOOKUP(A1495,Response!$A:$M,11,)</f>
        <v>Siruseri</v>
      </c>
      <c r="R1495" t="s">
        <v>19</v>
      </c>
      <c r="S1495" s="39" t="s">
        <v>37</v>
      </c>
    </row>
    <row r="1496" spans="1:19">
      <c r="A1496" s="3">
        <v>2530213</v>
      </c>
      <c r="B1496" t="str">
        <f>VLOOKUP(A1496,File!$A:$J,2,FALSE)</f>
        <v>Narla Nithin Kumar</v>
      </c>
      <c r="C1496" s="29">
        <f>VLOOKUP(A1496,File!$A:$J,5,FALSE)</f>
        <v>46247</v>
      </c>
      <c r="D1496" s="29" t="str">
        <f>VLOOKUP(A1496,File!$A:$J,3,FALSE)</f>
        <v>Male</v>
      </c>
      <c r="E1496" s="29" t="str">
        <f>VLOOKUP(A1496,File!$A:$J,4,FALSE)</f>
        <v>FTE</v>
      </c>
      <c r="F1496" s="29" t="str">
        <f>VLOOKUP(A1496,File!$A:$J,6,FALSE)</f>
        <v>Chennai</v>
      </c>
      <c r="G1496" s="29" t="str">
        <f>VLOOKUP(A1496,File!$A:$J,7,FALSE)</f>
        <v>EPS26OSP010</v>
      </c>
      <c r="H1496" s="29" t="str">
        <f>VLOOKUP(A1496,File!$A:$J,8,FALSE)</f>
        <v>Vishnupriya Dakshnamurthy</v>
      </c>
      <c r="I1496" s="31">
        <f>VLOOKUP(A1496,File!$A:$J,9,FALSE)</f>
        <v>46357</v>
      </c>
      <c r="J1496" s="31" t="str">
        <f>VLOOKUP(A1496,File!$A:$K,11,FALSE)</f>
        <v>Dec 2026</v>
      </c>
      <c r="K1496" s="31" t="str">
        <f>VLOOKUP(A1496,File!$A:$K,10,FALSE)</f>
        <v>In-Training</v>
      </c>
      <c r="L1496" s="31" t="s">
        <v>4</v>
      </c>
      <c r="M1496" t="str">
        <f>VLOOKUP(A1496,Response!$A:$M,7,)</f>
        <v>PG (Paying Guest)</v>
      </c>
      <c r="N1496" t="str">
        <f>VLOOKUP(A1496,Response!$A:$M,8,)</f>
        <v>SS(Siva Sai) Gents PG</v>
      </c>
      <c r="O1496" s="4">
        <f>VLOOKUP(A1496,Response!$A:$M,10,)</f>
        <v>2</v>
      </c>
      <c r="P1496" t="str">
        <f>VLOOKUP(A1496,Response!$A:$M,12,)</f>
        <v>No</v>
      </c>
      <c r="Q1496" t="str">
        <f>VLOOKUP(A1496,Response!$A:$M,11,)</f>
        <v>Siruseri</v>
      </c>
      <c r="R1496" t="s">
        <v>19</v>
      </c>
      <c r="S1496" s="39" t="s">
        <v>37</v>
      </c>
    </row>
    <row r="1497" spans="1:19">
      <c r="A1497" s="3">
        <v>2511285</v>
      </c>
      <c r="B1497" t="str">
        <f>VLOOKUP(A1497,File!$A:$J,2,FALSE)</f>
        <v>Indrajit Acharjya</v>
      </c>
      <c r="C1497" s="29">
        <f>VLOOKUP(A1497,File!$A:$J,5,FALSE)</f>
        <v>46163</v>
      </c>
      <c r="D1497" s="29" t="str">
        <f>VLOOKUP(A1497,File!$A:$J,3,FALSE)</f>
        <v>Male</v>
      </c>
      <c r="E1497" s="29" t="str">
        <f>VLOOKUP(A1497,File!$A:$J,4,FALSE)</f>
        <v>FTE</v>
      </c>
      <c r="F1497" s="29" t="str">
        <f>VLOOKUP(A1497,File!$A:$J,6,FALSE)</f>
        <v>Chennai</v>
      </c>
      <c r="G1497" s="29" t="str">
        <f>VLOOKUP(A1497,File!$A:$J,7,FALSE)</f>
        <v>CIS26MCPT010</v>
      </c>
      <c r="H1497" s="29" t="str">
        <f>VLOOKUP(A1497,File!$A:$J,8,FALSE)</f>
        <v>Mohamed Harish</v>
      </c>
      <c r="I1497" s="31">
        <f>VLOOKUP(A1497,File!$A:$J,9,FALSE)</f>
        <v>46280</v>
      </c>
      <c r="J1497" s="31" t="str">
        <f>VLOOKUP(A1497,File!$A:$K,11,FALSE)</f>
        <v>Sep 2026</v>
      </c>
      <c r="K1497" s="31" t="str">
        <f>VLOOKUP(A1497,File!$A:$K,10,FALSE)</f>
        <v>In-Training</v>
      </c>
      <c r="L1497" s="31" t="s">
        <v>4</v>
      </c>
      <c r="M1497" t="str">
        <f>VLOOKUP(A1497,Response!$A:$M,7,)</f>
        <v>PG (Paying Guest)</v>
      </c>
      <c r="N1497" t="str">
        <f>VLOOKUP(A1497,Response!$A:$M,8,)</f>
        <v>SS(Siva Sai) Gents PG</v>
      </c>
      <c r="O1497" s="4">
        <f>VLOOKUP(A1497,Response!$A:$M,10,)</f>
        <v>3</v>
      </c>
      <c r="P1497" t="str">
        <f>VLOOKUP(A1497,Response!$A:$M,12,)</f>
        <v>No</v>
      </c>
      <c r="Q1497" t="str">
        <f>VLOOKUP(A1497,Response!$A:$M,11,)</f>
        <v>Siruseri</v>
      </c>
      <c r="R1497" t="s">
        <v>19</v>
      </c>
      <c r="S1497" s="39" t="s">
        <v>37</v>
      </c>
    </row>
    <row r="1498" spans="1:19">
      <c r="A1498" s="3">
        <v>2523392</v>
      </c>
      <c r="B1498" t="str">
        <f>VLOOKUP(A1498,File!$A:$J,2,FALSE)</f>
        <v>Mohammad Abdul Khaliq</v>
      </c>
      <c r="C1498" s="29">
        <f>VLOOKUP(A1498,File!$A:$J,5,FALSE)</f>
        <v>46219</v>
      </c>
      <c r="D1498" s="29" t="str">
        <f>VLOOKUP(A1498,File!$A:$J,3,FALSE)</f>
        <v>Male</v>
      </c>
      <c r="E1498" s="29" t="str">
        <f>VLOOKUP(A1498,File!$A:$J,4,FALSE)</f>
        <v>FTE</v>
      </c>
      <c r="F1498" s="29" t="str">
        <f>VLOOKUP(A1498,File!$A:$J,6,FALSE)</f>
        <v>Chennai</v>
      </c>
      <c r="G1498" s="29" t="str">
        <f>VLOOKUP(A1498,File!$A:$J,7,FALSE)</f>
        <v>CS26CS009</v>
      </c>
      <c r="H1498" s="29" t="str">
        <f>VLOOKUP(A1498,File!$A:$J,8,FALSE)</f>
        <v>Laksiya Vijayendran</v>
      </c>
      <c r="I1498" s="31">
        <f>VLOOKUP(A1498,File!$A:$J,9,FALSE)</f>
        <v>46309</v>
      </c>
      <c r="J1498" s="31" t="str">
        <f>VLOOKUP(A1498,File!$A:$K,11,FALSE)</f>
        <v>Oct 2026</v>
      </c>
      <c r="K1498" s="31" t="str">
        <f>VLOOKUP(A1498,File!$A:$K,10,FALSE)</f>
        <v>In-Training</v>
      </c>
      <c r="L1498" s="31" t="s">
        <v>4</v>
      </c>
      <c r="M1498" t="str">
        <f>VLOOKUP(A1498,Response!$A:$M,7,)</f>
        <v>PG (Paying Guest)</v>
      </c>
      <c r="N1498" t="str">
        <f>VLOOKUP(A1498,Response!$A:$M,8,)</f>
        <v>SS(Siva Sai) Gents PG, City park, plot#95A, Mamoothiamman, 3rd St, Sipcot, Siruseri, Chennai, Tamil Nadu - 603130</v>
      </c>
      <c r="O1498" s="4">
        <f>VLOOKUP(A1498,Response!$A:$M,10,)</f>
        <v>4</v>
      </c>
      <c r="P1498" t="str">
        <f>VLOOKUP(A1498,Response!$A:$M,12,)</f>
        <v>No</v>
      </c>
      <c r="Q1498" t="str">
        <f>VLOOKUP(A1498,Response!$A:$M,11,)</f>
        <v>Siruseri</v>
      </c>
      <c r="R1498" t="s">
        <v>19</v>
      </c>
      <c r="S1498" s="39" t="s">
        <v>37</v>
      </c>
    </row>
    <row r="1499" spans="1:19">
      <c r="A1499" s="3">
        <v>2532935</v>
      </c>
      <c r="B1499" t="str">
        <f>VLOOKUP(A1499,File!$A:$J,2,FALSE)</f>
        <v>Gangapatruni Sri Venkata Avinash</v>
      </c>
      <c r="C1499" s="29">
        <f>VLOOKUP(A1499,File!$A:$J,5,FALSE)</f>
        <v>46259</v>
      </c>
      <c r="D1499" s="29" t="str">
        <f>VLOOKUP(A1499,File!$A:$J,3,FALSE)</f>
        <v>Male</v>
      </c>
      <c r="E1499" s="29" t="str">
        <f>VLOOKUP(A1499,File!$A:$J,4,FALSE)</f>
        <v>FTE</v>
      </c>
      <c r="F1499" s="29" t="str">
        <f>VLOOKUP(A1499,File!$A:$J,6,FALSE)</f>
        <v>Chennai</v>
      </c>
      <c r="G1499" s="29" t="str">
        <f>VLOOKUP(A1499,File!$A:$J,7,FALSE)</f>
        <v>CIS26SN002</v>
      </c>
      <c r="H1499" s="29" t="str">
        <f>VLOOKUP(A1499,File!$A:$J,8,FALSE)</f>
        <v>Ashiya Begam S</v>
      </c>
      <c r="I1499" s="31">
        <f>VLOOKUP(A1499,File!$A:$J,9,FALSE)</f>
        <v>46358</v>
      </c>
      <c r="J1499" s="31" t="str">
        <f>VLOOKUP(A1499,File!$A:$K,11,FALSE)</f>
        <v>Dec 2026</v>
      </c>
      <c r="K1499" s="31" t="str">
        <f>VLOOKUP(A1499,File!$A:$K,10,FALSE)</f>
        <v>In-Training</v>
      </c>
      <c r="L1499" s="31" t="s">
        <v>4</v>
      </c>
      <c r="M1499" t="str">
        <f>VLOOKUP(A1499,Response!$A:$M,7,)</f>
        <v>PG (Paying Guest)</v>
      </c>
      <c r="N1499" t="str">
        <f>VLOOKUP(A1499,Response!$A:$M,8,)</f>
        <v>SS(Siva Sai) PG for gents</v>
      </c>
      <c r="O1499" s="4">
        <f>VLOOKUP(A1499,Response!$A:$M,10,)</f>
        <v>2</v>
      </c>
      <c r="P1499" t="str">
        <f>VLOOKUP(A1499,Response!$A:$M,12,)</f>
        <v>No</v>
      </c>
      <c r="Q1499" t="str">
        <f>VLOOKUP(A1499,Response!$A:$M,11,)</f>
        <v>Siruseri</v>
      </c>
      <c r="R1499" t="s">
        <v>19</v>
      </c>
      <c r="S1499" s="39" t="s">
        <v>37</v>
      </c>
    </row>
    <row r="1500" spans="1:19">
      <c r="A1500" s="3">
        <v>2532966</v>
      </c>
      <c r="B1500" t="str">
        <f>VLOOKUP(A1500,File!$A:$J,2,FALSE)</f>
        <v>Praveen Kumar Viswanadhapalli</v>
      </c>
      <c r="C1500" s="29">
        <f>VLOOKUP(A1500,File!$A:$J,5,FALSE)</f>
        <v>46259</v>
      </c>
      <c r="D1500" s="29" t="str">
        <f>VLOOKUP(A1500,File!$A:$J,3,FALSE)</f>
        <v>Male</v>
      </c>
      <c r="E1500" s="29" t="str">
        <f>VLOOKUP(A1500,File!$A:$J,4,FALSE)</f>
        <v>FTE</v>
      </c>
      <c r="F1500" s="29" t="str">
        <f>VLOOKUP(A1500,File!$A:$J,6,FALSE)</f>
        <v>Chennai</v>
      </c>
      <c r="G1500" s="29" t="str">
        <f>VLOOKUP(A1500,File!$A:$J,7,FALSE)</f>
        <v>CIS26SN002</v>
      </c>
      <c r="H1500" s="29" t="str">
        <f>VLOOKUP(A1500,File!$A:$J,8,FALSE)</f>
        <v>Ashiya Begam S</v>
      </c>
      <c r="I1500" s="31">
        <f>VLOOKUP(A1500,File!$A:$J,9,FALSE)</f>
        <v>46358</v>
      </c>
      <c r="J1500" s="31" t="str">
        <f>VLOOKUP(A1500,File!$A:$K,11,FALSE)</f>
        <v>Dec 2026</v>
      </c>
      <c r="K1500" s="31" t="str">
        <f>VLOOKUP(A1500,File!$A:$K,10,FALSE)</f>
        <v>In-Training</v>
      </c>
      <c r="L1500" s="31" t="s">
        <v>4</v>
      </c>
      <c r="M1500" t="str">
        <f>VLOOKUP(A1500,Response!$A:$M,7,)</f>
        <v>PG (Paying Guest)</v>
      </c>
      <c r="N1500" t="str">
        <f>VLOOKUP(A1500,Response!$A:$M,8,)</f>
        <v>SS(Siva Sai) pg for gents</v>
      </c>
      <c r="O1500" s="4">
        <f>VLOOKUP(A1500,Response!$A:$M,10,)</f>
        <v>2</v>
      </c>
      <c r="P1500" t="str">
        <f>VLOOKUP(A1500,Response!$A:$M,12,)</f>
        <v>Yes</v>
      </c>
      <c r="Q1500" t="str">
        <f>VLOOKUP(A1500,Response!$A:$M,11,)</f>
        <v>Siruseri</v>
      </c>
      <c r="R1500" t="s">
        <v>19</v>
      </c>
      <c r="S1500" s="39" t="s">
        <v>37</v>
      </c>
    </row>
    <row r="1501" spans="1:19">
      <c r="A1501" s="3">
        <v>2530190</v>
      </c>
      <c r="B1501" t="str">
        <f>VLOOKUP(A1501,File!$A:$J,2,FALSE)</f>
        <v>Grandhi Abhiram Vinayak</v>
      </c>
      <c r="C1501" s="29">
        <f>VLOOKUP(A1501,File!$A:$J,5,FALSE)</f>
        <v>46247</v>
      </c>
      <c r="D1501" s="29" t="str">
        <f>VLOOKUP(A1501,File!$A:$J,3,FALSE)</f>
        <v>Male</v>
      </c>
      <c r="E1501" s="29" t="str">
        <f>VLOOKUP(A1501,File!$A:$J,4,FALSE)</f>
        <v>FTE</v>
      </c>
      <c r="F1501" s="29" t="str">
        <f>VLOOKUP(A1501,File!$A:$J,6,FALSE)</f>
        <v>Chennai</v>
      </c>
      <c r="G1501" s="29" t="str">
        <f>VLOOKUP(A1501,File!$A:$J,7,FALSE)</f>
        <v>EPS26OSP010</v>
      </c>
      <c r="H1501" s="29" t="str">
        <f>VLOOKUP(A1501,File!$A:$J,8,FALSE)</f>
        <v>Vishnupriya Dakshnamurthy</v>
      </c>
      <c r="I1501" s="31">
        <f>VLOOKUP(A1501,File!$A:$J,9,FALSE)</f>
        <v>46357</v>
      </c>
      <c r="J1501" s="31" t="str">
        <f>VLOOKUP(A1501,File!$A:$K,11,FALSE)</f>
        <v>Dec 2026</v>
      </c>
      <c r="K1501" s="31" t="str">
        <f>VLOOKUP(A1501,File!$A:$K,10,FALSE)</f>
        <v>In-Training</v>
      </c>
      <c r="L1501" s="31" t="s">
        <v>4</v>
      </c>
      <c r="M1501" t="str">
        <f>VLOOKUP(A1501,Response!$A:$M,7,)</f>
        <v>PG (Paying Guest)</v>
      </c>
      <c r="N1501" t="str">
        <f>VLOOKUP(A1501,Response!$A:$M,8,)</f>
        <v>SS(Siva sai)gents pg</v>
      </c>
      <c r="O1501" s="4">
        <f>VLOOKUP(A1501,Response!$A:$M,10,)</f>
        <v>2</v>
      </c>
      <c r="P1501" t="str">
        <f>VLOOKUP(A1501,Response!$A:$M,12,)</f>
        <v>No</v>
      </c>
      <c r="Q1501" t="str">
        <f>VLOOKUP(A1501,Response!$A:$M,11,)</f>
        <v>Siruseri</v>
      </c>
      <c r="R1501" t="s">
        <v>19</v>
      </c>
      <c r="S1501" s="39" t="s">
        <v>37</v>
      </c>
    </row>
    <row r="1502" spans="1:19">
      <c r="A1502" s="3">
        <v>2521073</v>
      </c>
      <c r="B1502" t="str">
        <f>VLOOKUP(A1502,File!$A:$J,2,FALSE)</f>
        <v>Repaka V D S Subha Pavan</v>
      </c>
      <c r="C1502" s="29">
        <f>VLOOKUP(A1502,File!$A:$J,5,FALSE)</f>
        <v>46210</v>
      </c>
      <c r="D1502" s="29" t="str">
        <f>VLOOKUP(A1502,File!$A:$J,3,FALSE)</f>
        <v>Male</v>
      </c>
      <c r="E1502" s="29" t="str">
        <f>VLOOKUP(A1502,File!$A:$J,4,FALSE)</f>
        <v>FTE</v>
      </c>
      <c r="F1502" s="29" t="str">
        <f>VLOOKUP(A1502,File!$A:$J,6,FALSE)</f>
        <v>Chennai</v>
      </c>
      <c r="G1502" s="29" t="str">
        <f>VLOOKUP(A1502,File!$A:$J,7,FALSE)</f>
        <v>SNBG26SN002</v>
      </c>
      <c r="H1502" s="29" t="str">
        <f>VLOOKUP(A1502,File!$A:$J,8,FALSE)</f>
        <v>Lawrance M</v>
      </c>
      <c r="I1502" s="31">
        <f>VLOOKUP(A1502,File!$A:$J,9,FALSE)</f>
        <v>46303</v>
      </c>
      <c r="J1502" s="31" t="str">
        <f>VLOOKUP(A1502,File!$A:$K,11,FALSE)</f>
        <v>Oct 2026</v>
      </c>
      <c r="K1502" s="31" t="str">
        <f>VLOOKUP(A1502,File!$A:$K,10,FALSE)</f>
        <v>In-Training</v>
      </c>
      <c r="L1502" s="31" t="s">
        <v>4</v>
      </c>
      <c r="M1502" t="str">
        <f>VLOOKUP(A1502,Response!$A:$M,7,)</f>
        <v>PG (Paying Guest)</v>
      </c>
      <c r="N1502" t="str">
        <f>VLOOKUP(A1502,Response!$A:$M,8,)</f>
        <v>SS[Siva Sai] Gents PG</v>
      </c>
      <c r="O1502" s="4" t="str">
        <f>VLOOKUP(A1502,Response!$A:$M,10,)</f>
        <v>GF</v>
      </c>
      <c r="P1502" t="str">
        <f>VLOOKUP(A1502,Response!$A:$M,12,)</f>
        <v>No</v>
      </c>
      <c r="Q1502" t="str">
        <f>VLOOKUP(A1502,Response!$A:$M,11,)</f>
        <v>Siruseri</v>
      </c>
      <c r="R1502" t="s">
        <v>19</v>
      </c>
      <c r="S1502" s="39" t="s">
        <v>37</v>
      </c>
    </row>
    <row r="1503" spans="1:19">
      <c r="A1503" s="3">
        <v>2511290</v>
      </c>
      <c r="B1503" t="str">
        <f>VLOOKUP(A1503,File!$A:$J,2,FALSE)</f>
        <v>Suraj Kumar Yadav</v>
      </c>
      <c r="C1503" s="29">
        <f>VLOOKUP(A1503,File!$A:$J,5,FALSE)</f>
        <v>46163</v>
      </c>
      <c r="D1503" s="29" t="str">
        <f>VLOOKUP(A1503,File!$A:$J,3,FALSE)</f>
        <v>Male</v>
      </c>
      <c r="E1503" s="29" t="str">
        <f>VLOOKUP(A1503,File!$A:$J,4,FALSE)</f>
        <v>FTE</v>
      </c>
      <c r="F1503" s="29" t="str">
        <f>VLOOKUP(A1503,File!$A:$J,6,FALSE)</f>
        <v>Chennai</v>
      </c>
      <c r="G1503" s="29" t="str">
        <f>VLOOKUP(A1503,File!$A:$J,7,FALSE)</f>
        <v>CIS26MCPT010</v>
      </c>
      <c r="H1503" s="29" t="str">
        <f>VLOOKUP(A1503,File!$A:$J,8,FALSE)</f>
        <v>Mohamed Harish</v>
      </c>
      <c r="I1503" s="31">
        <f>VLOOKUP(A1503,File!$A:$J,9,FALSE)</f>
        <v>46280</v>
      </c>
      <c r="J1503" s="31" t="str">
        <f>VLOOKUP(A1503,File!$A:$K,11,FALSE)</f>
        <v>Sep 2026</v>
      </c>
      <c r="K1503" s="31" t="str">
        <f>VLOOKUP(A1503,File!$A:$K,10,FALSE)</f>
        <v>In-Training</v>
      </c>
      <c r="L1503" s="31" t="s">
        <v>4</v>
      </c>
      <c r="M1503" t="str">
        <f>VLOOKUP(A1503,Response!$A:$M,7,)</f>
        <v>PG (Paying Guest)</v>
      </c>
      <c r="N1503" t="str">
        <f>VLOOKUP(A1503,Response!$A:$M,8,)</f>
        <v>Ssgents pg Egattur</v>
      </c>
      <c r="O1503" s="4">
        <f>VLOOKUP(A1503,Response!$A:$M,10,)</f>
        <v>3</v>
      </c>
      <c r="P1503" t="str">
        <f>VLOOKUP(A1503,Response!$A:$M,12,)</f>
        <v>No</v>
      </c>
      <c r="Q1503" t="str">
        <f>VLOOKUP(A1503,Response!$A:$M,11,)</f>
        <v>Egattur</v>
      </c>
      <c r="R1503" t="s">
        <v>19</v>
      </c>
      <c r="S1503" s="39" t="s">
        <v>37</v>
      </c>
    </row>
    <row r="1504" spans="1:19">
      <c r="A1504" s="3">
        <v>2529589</v>
      </c>
      <c r="B1504" t="str">
        <f>VLOOKUP(A1504,File!$A:$J,2,FALSE)</f>
        <v>Sangeeth James</v>
      </c>
      <c r="C1504" s="29">
        <f>VLOOKUP(A1504,File!$A:$J,5,FALSE)</f>
        <v>46245</v>
      </c>
      <c r="D1504" s="29" t="str">
        <f>VLOOKUP(A1504,File!$A:$J,3,FALSE)</f>
        <v>Male</v>
      </c>
      <c r="E1504" s="29" t="str">
        <f>VLOOKUP(A1504,File!$A:$J,4,FALSE)</f>
        <v>FTE</v>
      </c>
      <c r="F1504" s="29" t="str">
        <f>VLOOKUP(A1504,File!$A:$J,6,FALSE)</f>
        <v>Chennai</v>
      </c>
      <c r="G1504" s="29" t="str">
        <f>VLOOKUP(A1504,File!$A:$J,7,FALSE)</f>
        <v>CIS26MCPT026</v>
      </c>
      <c r="H1504" s="29" t="str">
        <f>VLOOKUP(A1504,File!$A:$J,8,FALSE)</f>
        <v>Mohamed Harish</v>
      </c>
      <c r="I1504" s="31">
        <f>VLOOKUP(A1504,File!$A:$J,9,FALSE)</f>
        <v>46364</v>
      </c>
      <c r="J1504" s="31" t="str">
        <f>VLOOKUP(A1504,File!$A:$K,11,FALSE)</f>
        <v>Dec 2026</v>
      </c>
      <c r="K1504" s="31" t="str">
        <f>VLOOKUP(A1504,File!$A:$K,10,FALSE)</f>
        <v>In-Training</v>
      </c>
      <c r="L1504" s="31" t="s">
        <v>4</v>
      </c>
      <c r="M1504" t="str">
        <f>VLOOKUP(A1504,Response!$A:$M,7,)</f>
        <v>PG (Paying Guest)</v>
      </c>
      <c r="N1504" t="str">
        <f>VLOOKUP(A1504,Response!$A:$M,8,)</f>
        <v>SSS Gents PG, Sholinganallur</v>
      </c>
      <c r="O1504" s="4">
        <f>VLOOKUP(A1504,Response!$A:$M,10,)</f>
        <v>1</v>
      </c>
      <c r="P1504" t="str">
        <f>VLOOKUP(A1504,Response!$A:$M,12,)</f>
        <v>Yes</v>
      </c>
      <c r="Q1504" t="str">
        <f>VLOOKUP(A1504,Response!$A:$M,11,)</f>
        <v>Sholinganallur</v>
      </c>
      <c r="R1504" t="s">
        <v>17</v>
      </c>
      <c r="S1504" s="39" t="s">
        <v>37</v>
      </c>
    </row>
    <row r="1505" spans="1:19">
      <c r="A1505" s="3">
        <v>2529495</v>
      </c>
      <c r="B1505" t="str">
        <f>VLOOKUP(A1505,File!$A:$J,2,FALSE)</f>
        <v>Supreeth A S</v>
      </c>
      <c r="C1505" s="29">
        <f>VLOOKUP(A1505,File!$A:$J,5,FALSE)</f>
        <v>46245</v>
      </c>
      <c r="D1505" s="29" t="str">
        <f>VLOOKUP(A1505,File!$A:$J,3,FALSE)</f>
        <v>Male</v>
      </c>
      <c r="E1505" s="29" t="str">
        <f>VLOOKUP(A1505,File!$A:$J,4,FALSE)</f>
        <v>FTE</v>
      </c>
      <c r="F1505" s="29" t="str">
        <f>VLOOKUP(A1505,File!$A:$J,6,FALSE)</f>
        <v>Chennai</v>
      </c>
      <c r="G1505" s="29" t="str">
        <f>VLOOKUP(A1505,File!$A:$J,7,FALSE)</f>
        <v>CIS26MCPT024</v>
      </c>
      <c r="H1505" s="29" t="str">
        <f>VLOOKUP(A1505,File!$A:$J,8,FALSE)</f>
        <v>Ashiya Begam S</v>
      </c>
      <c r="I1505" s="31">
        <f>VLOOKUP(A1505,File!$A:$J,9,FALSE)</f>
        <v>46359</v>
      </c>
      <c r="J1505" s="31" t="str">
        <f>VLOOKUP(A1505,File!$A:$K,11,FALSE)</f>
        <v>Dec 2026</v>
      </c>
      <c r="K1505" s="31" t="str">
        <f>VLOOKUP(A1505,File!$A:$K,10,FALSE)</f>
        <v>In-Training</v>
      </c>
      <c r="L1505" s="31" t="s">
        <v>4</v>
      </c>
      <c r="M1505" t="str">
        <f>VLOOKUP(A1505,Response!$A:$M,7,)</f>
        <v>PG (Paying Guest)</v>
      </c>
      <c r="N1505" t="str">
        <f>VLOOKUP(A1505,Response!$A:$M,8,)</f>
        <v>Stanza Co-living PG -conway House,Navalur</v>
      </c>
      <c r="O1505" s="4">
        <f>VLOOKUP(A1505,Response!$A:$M,10,)</f>
        <v>2</v>
      </c>
      <c r="P1505" t="str">
        <f>VLOOKUP(A1505,Response!$A:$M,12,)</f>
        <v>No</v>
      </c>
      <c r="Q1505" t="str">
        <f>VLOOKUP(A1505,Response!$A:$M,11,)</f>
        <v>Navalur</v>
      </c>
      <c r="R1505" t="s">
        <v>19</v>
      </c>
      <c r="S1505" s="39" t="s">
        <v>37</v>
      </c>
    </row>
    <row r="1506" spans="1:19">
      <c r="A1506" s="3">
        <v>2532904</v>
      </c>
      <c r="B1506" t="str">
        <f>VLOOKUP(A1506,File!$A:$J,2,FALSE)</f>
        <v>Kishore R J</v>
      </c>
      <c r="C1506" s="29">
        <f>VLOOKUP(A1506,File!$A:$J,5,FALSE)</f>
        <v>46259</v>
      </c>
      <c r="D1506" s="29" t="str">
        <f>VLOOKUP(A1506,File!$A:$J,3,FALSE)</f>
        <v>Male</v>
      </c>
      <c r="E1506" s="29" t="str">
        <f>VLOOKUP(A1506,File!$A:$J,4,FALSE)</f>
        <v>FTE</v>
      </c>
      <c r="F1506" s="29" t="str">
        <f>VLOOKUP(A1506,File!$A:$J,6,FALSE)</f>
        <v>Chennai</v>
      </c>
      <c r="G1506" s="29" t="str">
        <f>VLOOKUP(A1506,File!$A:$J,7,FALSE)</f>
        <v>CIS26MBG007</v>
      </c>
      <c r="H1506" s="29" t="str">
        <f>VLOOKUP(A1506,File!$A:$J,8,FALSE)</f>
        <v>Lawrance M</v>
      </c>
      <c r="I1506" s="31">
        <f>VLOOKUP(A1506,File!$A:$J,9,FALSE)</f>
        <v>46367</v>
      </c>
      <c r="J1506" s="31" t="str">
        <f>VLOOKUP(A1506,File!$A:$K,11,FALSE)</f>
        <v>Dec 2026</v>
      </c>
      <c r="K1506" s="31" t="str">
        <f>VLOOKUP(A1506,File!$A:$K,10,FALSE)</f>
        <v>In-Training</v>
      </c>
      <c r="L1506" s="31" t="s">
        <v>4</v>
      </c>
      <c r="M1506" t="str">
        <f>VLOOKUP(A1506,Response!$A:$M,7,)</f>
        <v>PG (Paying Guest)</v>
      </c>
      <c r="N1506" t="str">
        <f>VLOOKUP(A1506,Response!$A:$M,8,)</f>
        <v>Stanza living conway navalur</v>
      </c>
      <c r="O1506" s="4">
        <f>VLOOKUP(A1506,Response!$A:$M,10,)</f>
        <v>2</v>
      </c>
      <c r="P1506" t="str">
        <f>VLOOKUP(A1506,Response!$A:$M,12,)</f>
        <v>Yes</v>
      </c>
      <c r="Q1506" t="str">
        <f>VLOOKUP(A1506,Response!$A:$M,11,)</f>
        <v>Navalur</v>
      </c>
      <c r="R1506" t="s">
        <v>19</v>
      </c>
      <c r="S1506" s="39" t="s">
        <v>37</v>
      </c>
    </row>
    <row r="1507" spans="1:19">
      <c r="A1507" s="3">
        <v>2529793</v>
      </c>
      <c r="B1507" t="str">
        <f>VLOOKUP(A1507,File!$A:$J,2,FALSE)</f>
        <v>Riddhi Rajesh Harne</v>
      </c>
      <c r="C1507" s="29">
        <f>VLOOKUP(A1507,File!$A:$J,5,FALSE)</f>
        <v>46245</v>
      </c>
      <c r="D1507" s="29" t="str">
        <f>VLOOKUP(A1507,File!$A:$J,3,FALSE)</f>
        <v>Female</v>
      </c>
      <c r="E1507" s="29" t="str">
        <f>VLOOKUP(A1507,File!$A:$J,4,FALSE)</f>
        <v>FTE</v>
      </c>
      <c r="F1507" s="29" t="str">
        <f>VLOOKUP(A1507,File!$A:$J,6,FALSE)</f>
        <v>Chennai</v>
      </c>
      <c r="G1507" s="29" t="str">
        <f>VLOOKUP(A1507,File!$A:$J,7,FALSE)</f>
        <v>CIS26MCPT022</v>
      </c>
      <c r="H1507" s="29" t="str">
        <f>VLOOKUP(A1507,File!$A:$J,8,FALSE)</f>
        <v>Laksiya Vijayendran</v>
      </c>
      <c r="I1507" s="31">
        <f>VLOOKUP(A1507,File!$A:$J,9,FALSE)</f>
        <v>46359</v>
      </c>
      <c r="J1507" s="31" t="str">
        <f>VLOOKUP(A1507,File!$A:$K,11,FALSE)</f>
        <v>Dec 2026</v>
      </c>
      <c r="K1507" s="31" t="str">
        <f>VLOOKUP(A1507,File!$A:$K,10,FALSE)</f>
        <v>In-Training</v>
      </c>
      <c r="L1507" s="31" t="s">
        <v>4</v>
      </c>
      <c r="M1507" t="str">
        <f>VLOOKUP(A1507,Response!$A:$M,7,)</f>
        <v>PG (Paying Guest)</v>
      </c>
      <c r="N1507" t="str">
        <f>VLOOKUP(A1507,Response!$A:$M,8,)</f>
        <v>Stanza living,Navlur</v>
      </c>
      <c r="O1507" s="4">
        <f>VLOOKUP(A1507,Response!$A:$M,10,)</f>
        <v>2</v>
      </c>
      <c r="P1507" t="str">
        <f>VLOOKUP(A1507,Response!$A:$M,12,)</f>
        <v>No</v>
      </c>
      <c r="Q1507" t="str">
        <f>VLOOKUP(A1507,Response!$A:$M,11,)</f>
        <v>Navalur</v>
      </c>
      <c r="R1507" t="s">
        <v>19</v>
      </c>
      <c r="S1507" s="39" t="s">
        <v>37</v>
      </c>
    </row>
    <row r="1508" spans="1:19">
      <c r="A1508" s="3">
        <v>2512337</v>
      </c>
      <c r="B1508" t="str">
        <f>VLOOKUP(A1508,File!$A:$J,2,FALSE)</f>
        <v>Aditya Sah</v>
      </c>
      <c r="C1508" s="29">
        <f>VLOOKUP(A1508,File!$A:$J,5,FALSE)</f>
        <v>46170</v>
      </c>
      <c r="D1508" s="29" t="str">
        <f>VLOOKUP(A1508,File!$A:$J,3,FALSE)</f>
        <v>Male</v>
      </c>
      <c r="E1508" s="29" t="str">
        <f>VLOOKUP(A1508,File!$A:$J,4,FALSE)</f>
        <v>FTE</v>
      </c>
      <c r="F1508" s="29" t="str">
        <f>VLOOKUP(A1508,File!$A:$J,6,FALSE)</f>
        <v>Chennai</v>
      </c>
      <c r="G1508" s="29" t="str">
        <f>VLOOKUP(A1508,File!$A:$J,7,FALSE)</f>
        <v>CIS26MCPT012</v>
      </c>
      <c r="H1508" s="29" t="str">
        <f>VLOOKUP(A1508,File!$A:$J,8,FALSE)</f>
        <v>Uma Venkatachalam</v>
      </c>
      <c r="I1508" s="31">
        <f>VLOOKUP(A1508,File!$A:$J,9,FALSE)</f>
        <v>46282</v>
      </c>
      <c r="J1508" s="31" t="str">
        <f>VLOOKUP(A1508,File!$A:$K,11,FALSE)</f>
        <v>Sep 2026</v>
      </c>
      <c r="K1508" s="31" t="str">
        <f>VLOOKUP(A1508,File!$A:$K,10,FALSE)</f>
        <v>In-Training</v>
      </c>
      <c r="L1508" s="31" t="s">
        <v>4</v>
      </c>
      <c r="M1508" t="str">
        <f>VLOOKUP(A1508,Response!$A:$M,7,)</f>
        <v>PG (Paying Guest)</v>
      </c>
      <c r="N1508" t="str">
        <f>VLOOKUP(A1508,Response!$A:$M,8,)</f>
        <v>Stay @ease Siruseri sipcot</v>
      </c>
      <c r="O1508" s="4">
        <f>VLOOKUP(A1508,Response!$A:$M,10,)</f>
        <v>2</v>
      </c>
      <c r="P1508" t="str">
        <f>VLOOKUP(A1508,Response!$A:$M,12,)</f>
        <v>Yes</v>
      </c>
      <c r="Q1508" t="str">
        <f>VLOOKUP(A1508,Response!$A:$M,11,)</f>
        <v>Siruseri</v>
      </c>
      <c r="R1508" t="s">
        <v>19</v>
      </c>
      <c r="S1508" s="39" t="s">
        <v>37</v>
      </c>
    </row>
    <row r="1509" spans="1:19">
      <c r="A1509" s="3">
        <v>2533589</v>
      </c>
      <c r="B1509" t="str">
        <f>VLOOKUP(A1509,File!$A:$J,2,FALSE)</f>
        <v>Saragadam Greeshmanth</v>
      </c>
      <c r="C1509" s="29">
        <f>VLOOKUP(A1509,File!$A:$J,5,FALSE)</f>
        <v>46261</v>
      </c>
      <c r="D1509" s="29" t="str">
        <f>VLOOKUP(A1509,File!$A:$J,3,FALSE)</f>
        <v>Male</v>
      </c>
      <c r="E1509" s="29" t="str">
        <f>VLOOKUP(A1509,File!$A:$J,4,FALSE)</f>
        <v>FTE</v>
      </c>
      <c r="F1509" s="29" t="str">
        <f>VLOOKUP(A1509,File!$A:$J,6,FALSE)</f>
        <v>Chennai</v>
      </c>
      <c r="G1509" s="29" t="str">
        <f>VLOOKUP(A1509,File!$A:$J,7,FALSE)</f>
        <v>EPS26SAP038</v>
      </c>
      <c r="H1509" s="29" t="str">
        <f>VLOOKUP(A1509,File!$A:$J,8,FALSE)</f>
        <v>Ajith Ganesan</v>
      </c>
      <c r="I1509" s="31">
        <f>VLOOKUP(A1509,File!$A:$J,9,FALSE)</f>
        <v>46322</v>
      </c>
      <c r="J1509" s="31" t="str">
        <f>VLOOKUP(A1509,File!$A:$K,11,FALSE)</f>
        <v>Oct 2026</v>
      </c>
      <c r="K1509" s="31" t="str">
        <f>VLOOKUP(A1509,File!$A:$K,10,FALSE)</f>
        <v>In-Training</v>
      </c>
      <c r="L1509" s="31" t="s">
        <v>4</v>
      </c>
      <c r="M1509" t="str">
        <f>VLOOKUP(A1509,Response!$A:$M,7,)</f>
        <v>PG (Paying Guest)</v>
      </c>
      <c r="N1509" t="str">
        <f>VLOOKUP(A1509,Response!$A:$M,8,)</f>
        <v>stay@ease</v>
      </c>
      <c r="O1509" s="4">
        <f>VLOOKUP(A1509,Response!$A:$M,10,)</f>
        <v>2</v>
      </c>
      <c r="P1509" t="str">
        <f>VLOOKUP(A1509,Response!$A:$M,12,)</f>
        <v>No</v>
      </c>
      <c r="Q1509" t="str">
        <f>VLOOKUP(A1509,Response!$A:$M,11,)</f>
        <v>Siruseri</v>
      </c>
      <c r="R1509" t="s">
        <v>19</v>
      </c>
      <c r="S1509" s="39" t="s">
        <v>37</v>
      </c>
    </row>
    <row r="1510" spans="1:19">
      <c r="A1510" s="3">
        <v>2521649</v>
      </c>
      <c r="B1510" t="str">
        <f>VLOOKUP(A1510,File!$A:$J,2,FALSE)</f>
        <v>Nataraja Kn</v>
      </c>
      <c r="C1510" s="29">
        <f>VLOOKUP(A1510,File!$A:$J,5,FALSE)</f>
        <v>46212</v>
      </c>
      <c r="D1510" s="29" t="str">
        <f>VLOOKUP(A1510,File!$A:$J,3,FALSE)</f>
        <v>Male</v>
      </c>
      <c r="E1510" s="29" t="str">
        <f>VLOOKUP(A1510,File!$A:$J,4,FALSE)</f>
        <v>FTE</v>
      </c>
      <c r="F1510" s="29" t="str">
        <f>VLOOKUP(A1510,File!$A:$J,6,FALSE)</f>
        <v>Chennai</v>
      </c>
      <c r="G1510" s="29" t="str">
        <f>VLOOKUP(A1510,File!$A:$J,7,FALSE)</f>
        <v>QEA26QEPT023</v>
      </c>
      <c r="H1510" s="29" t="str">
        <f>VLOOKUP(A1510,File!$A:$J,8,FALSE)</f>
        <v>Sweta Thoppil</v>
      </c>
      <c r="I1510" s="31">
        <f>VLOOKUP(A1510,File!$A:$J,9,FALSE)</f>
        <v>46314</v>
      </c>
      <c r="J1510" s="31" t="str">
        <f>VLOOKUP(A1510,File!$A:$K,11,FALSE)</f>
        <v>Oct 2026</v>
      </c>
      <c r="K1510" s="31" t="str">
        <f>VLOOKUP(A1510,File!$A:$K,10,FALSE)</f>
        <v>In-Training</v>
      </c>
      <c r="L1510" s="31" t="s">
        <v>4</v>
      </c>
      <c r="M1510" t="str">
        <f>VLOOKUP(A1510,Response!$A:$M,7,)</f>
        <v>PG (Paying Guest)</v>
      </c>
      <c r="N1510" t="str">
        <f>VLOOKUP(A1510,Response!$A:$M,8,)</f>
        <v>Stay@Ease Corporate Living Solution</v>
      </c>
      <c r="O1510" s="4">
        <f>VLOOKUP(A1510,Response!$A:$M,10,)</f>
        <v>2</v>
      </c>
      <c r="P1510" t="str">
        <f>VLOOKUP(A1510,Response!$A:$M,12,)</f>
        <v>No</v>
      </c>
      <c r="Q1510" t="str">
        <f>VLOOKUP(A1510,Response!$A:$M,11,)</f>
        <v>Egattur</v>
      </c>
      <c r="R1510" t="s">
        <v>19</v>
      </c>
      <c r="S1510" s="39" t="s">
        <v>37</v>
      </c>
    </row>
    <row r="1511" spans="1:19">
      <c r="A1511" s="3">
        <v>2521815</v>
      </c>
      <c r="B1511" t="str">
        <f>VLOOKUP(A1511,File!$A:$J,2,FALSE)</f>
        <v>Sayooj C S</v>
      </c>
      <c r="C1511" s="29">
        <f>VLOOKUP(A1511,File!$A:$J,5,FALSE)</f>
        <v>46212</v>
      </c>
      <c r="D1511" s="29" t="str">
        <f>VLOOKUP(A1511,File!$A:$J,3,FALSE)</f>
        <v>Male</v>
      </c>
      <c r="E1511" s="29" t="str">
        <f>VLOOKUP(A1511,File!$A:$J,4,FALSE)</f>
        <v>FTE</v>
      </c>
      <c r="F1511" s="29" t="str">
        <f>VLOOKUP(A1511,File!$A:$J,6,FALSE)</f>
        <v>Chennai</v>
      </c>
      <c r="G1511" s="29" t="str">
        <f>VLOOKUP(A1511,File!$A:$J,7,FALSE)</f>
        <v>QEA26QEPT023</v>
      </c>
      <c r="H1511" s="29" t="str">
        <f>VLOOKUP(A1511,File!$A:$J,8,FALSE)</f>
        <v>Sweta Thoppil</v>
      </c>
      <c r="I1511" s="31">
        <f>VLOOKUP(A1511,File!$A:$J,9,FALSE)</f>
        <v>46314</v>
      </c>
      <c r="J1511" s="31" t="str">
        <f>VLOOKUP(A1511,File!$A:$K,11,FALSE)</f>
        <v>Oct 2026</v>
      </c>
      <c r="K1511" s="31" t="str">
        <f>VLOOKUP(A1511,File!$A:$K,10,FALSE)</f>
        <v>In-Training</v>
      </c>
      <c r="L1511" s="31" t="s">
        <v>4</v>
      </c>
      <c r="M1511" t="str">
        <f>VLOOKUP(A1511,Response!$A:$M,7,)</f>
        <v>PG (Paying Guest)</v>
      </c>
      <c r="N1511" t="str">
        <f>VLOOKUP(A1511,Response!$A:$M,8,)</f>
        <v>Stay@Ease Corporate Living Solution</v>
      </c>
      <c r="O1511" s="4">
        <f>VLOOKUP(A1511,Response!$A:$M,10,)</f>
        <v>2</v>
      </c>
      <c r="P1511" t="str">
        <f>VLOOKUP(A1511,Response!$A:$M,12,)</f>
        <v>Yes</v>
      </c>
      <c r="Q1511" t="str">
        <f>VLOOKUP(A1511,Response!$A:$M,11,)</f>
        <v>Egattur</v>
      </c>
      <c r="R1511" t="s">
        <v>19</v>
      </c>
      <c r="S1511" s="39" t="s">
        <v>37</v>
      </c>
    </row>
    <row r="1512" spans="1:19">
      <c r="A1512" s="3">
        <v>2522797</v>
      </c>
      <c r="B1512" t="str">
        <f>VLOOKUP(A1512,File!$A:$J,2,FALSE)</f>
        <v>S Adarsh</v>
      </c>
      <c r="C1512" s="29">
        <f>VLOOKUP(A1512,File!$A:$J,5,FALSE)</f>
        <v>46217</v>
      </c>
      <c r="D1512" s="29" t="str">
        <f>VLOOKUP(A1512,File!$A:$J,3,FALSE)</f>
        <v>Male</v>
      </c>
      <c r="E1512" s="29" t="str">
        <f>VLOOKUP(A1512,File!$A:$J,4,FALSE)</f>
        <v>FTE</v>
      </c>
      <c r="F1512" s="29" t="str">
        <f>VLOOKUP(A1512,File!$A:$J,6,FALSE)</f>
        <v>Chennai</v>
      </c>
      <c r="G1512" s="29" t="str">
        <f>VLOOKUP(A1512,File!$A:$J,7,FALSE)</f>
        <v>CIS26MCPT017</v>
      </c>
      <c r="H1512" s="29" t="str">
        <f>VLOOKUP(A1512,File!$A:$J,8,FALSE)</f>
        <v>Haritha P</v>
      </c>
      <c r="I1512" s="31">
        <f>VLOOKUP(A1512,File!$A:$J,9,FALSE)</f>
        <v>46335</v>
      </c>
      <c r="J1512" s="31" t="str">
        <f>VLOOKUP(A1512,File!$A:$K,11,FALSE)</f>
        <v>Nov 2026</v>
      </c>
      <c r="K1512" s="31" t="str">
        <f>VLOOKUP(A1512,File!$A:$K,10,FALSE)</f>
        <v>In-Training</v>
      </c>
      <c r="L1512" s="31" t="s">
        <v>4</v>
      </c>
      <c r="M1512" t="str">
        <f>VLOOKUP(A1512,Response!$A:$M,7,)</f>
        <v>PG (Paying Guest)</v>
      </c>
      <c r="N1512" t="str">
        <f>VLOOKUP(A1512,Response!$A:$M,8,)</f>
        <v>Stay@Ease Corporate Living Solution</v>
      </c>
      <c r="O1512" s="4">
        <f>VLOOKUP(A1512,Response!$A:$M,10,)</f>
        <v>2</v>
      </c>
      <c r="P1512" t="str">
        <f>VLOOKUP(A1512,Response!$A:$M,12,)</f>
        <v>Yes</v>
      </c>
      <c r="Q1512" t="str">
        <f>VLOOKUP(A1512,Response!$A:$M,11,)</f>
        <v>Sholinganallur</v>
      </c>
      <c r="R1512" t="s">
        <v>17</v>
      </c>
      <c r="S1512" s="39" t="s">
        <v>37</v>
      </c>
    </row>
    <row r="1513" spans="1:19">
      <c r="A1513" s="3">
        <v>2518815</v>
      </c>
      <c r="B1513" t="str">
        <f>VLOOKUP(A1513,File!$A:$J,2,FALSE)</f>
        <v>Manikandan S J</v>
      </c>
      <c r="C1513" s="29">
        <f>VLOOKUP(A1513,File!$A:$J,5,FALSE)</f>
        <v>46203</v>
      </c>
      <c r="D1513" s="29" t="str">
        <f>VLOOKUP(A1513,File!$A:$J,3,FALSE)</f>
        <v>Male</v>
      </c>
      <c r="E1513" s="29" t="str">
        <f>VLOOKUP(A1513,File!$A:$J,4,FALSE)</f>
        <v>FTE</v>
      </c>
      <c r="F1513" s="29" t="str">
        <f>VLOOKUP(A1513,File!$A:$J,6,FALSE)</f>
        <v>Chennai</v>
      </c>
      <c r="G1513" s="29" t="str">
        <f>VLOOKUP(A1513,File!$A:$J,7,FALSE)</f>
        <v>CIS26SB001</v>
      </c>
      <c r="H1513" s="29" t="str">
        <f>VLOOKUP(A1513,File!$A:$J,8,FALSE)</f>
        <v>Kishorekumar P</v>
      </c>
      <c r="I1513" s="31">
        <f>VLOOKUP(A1513,File!$A:$J,9,FALSE)</f>
        <v>46309</v>
      </c>
      <c r="J1513" s="31" t="str">
        <f>VLOOKUP(A1513,File!$A:$K,11,FALSE)</f>
        <v>Oct 2026</v>
      </c>
      <c r="K1513" s="31" t="str">
        <f>VLOOKUP(A1513,File!$A:$K,10,FALSE)</f>
        <v>In-Training</v>
      </c>
      <c r="L1513" s="31" t="s">
        <v>4</v>
      </c>
      <c r="M1513" t="str">
        <f>VLOOKUP(A1513,Response!$A:$M,7,)</f>
        <v>PG (Paying Guest)</v>
      </c>
      <c r="N1513" t="str">
        <f>VLOOKUP(A1513,Response!$A:$M,8,)</f>
        <v>Stay@Ease Corporate Living Solution - Mens PG Egattur</v>
      </c>
      <c r="O1513" s="4">
        <f>VLOOKUP(A1513,Response!$A:$M,10,)</f>
        <v>2</v>
      </c>
      <c r="P1513" t="str">
        <f>VLOOKUP(A1513,Response!$A:$M,12,)</f>
        <v>No</v>
      </c>
      <c r="Q1513" t="str">
        <f>VLOOKUP(A1513,Response!$A:$M,11,)</f>
        <v>Siruseri</v>
      </c>
      <c r="R1513" t="s">
        <v>19</v>
      </c>
      <c r="S1513" s="39" t="s">
        <v>37</v>
      </c>
    </row>
    <row r="1514" spans="1:19">
      <c r="A1514" s="3">
        <v>2533595</v>
      </c>
      <c r="B1514" t="str">
        <f>VLOOKUP(A1514,File!$A:$J,2,FALSE)</f>
        <v>Kollapaneni Pranadeep</v>
      </c>
      <c r="C1514" s="29">
        <f>VLOOKUP(A1514,File!$A:$J,5,FALSE)</f>
        <v>46261</v>
      </c>
      <c r="D1514" s="29" t="str">
        <f>VLOOKUP(A1514,File!$A:$J,3,FALSE)</f>
        <v>Male</v>
      </c>
      <c r="E1514" s="29" t="str">
        <f>VLOOKUP(A1514,File!$A:$J,4,FALSE)</f>
        <v>FTE</v>
      </c>
      <c r="F1514" s="29" t="str">
        <f>VLOOKUP(A1514,File!$A:$J,6,FALSE)</f>
        <v>Chennai</v>
      </c>
      <c r="G1514" s="29" t="str">
        <f>VLOOKUP(A1514,File!$A:$J,7,FALSE)</f>
        <v>ADM27DFSA001</v>
      </c>
      <c r="H1514" s="29" t="str">
        <f>VLOOKUP(A1514,File!$A:$J,8,FALSE)</f>
        <v>Thomas Naveen. J</v>
      </c>
      <c r="I1514" s="31">
        <f>VLOOKUP(A1514,File!$A:$J,9,FALSE)</f>
        <v>46386</v>
      </c>
      <c r="J1514" s="31" t="str">
        <f>VLOOKUP(A1514,File!$A:$K,11,FALSE)</f>
        <v>Dec 2026</v>
      </c>
      <c r="K1514" s="31" t="str">
        <f>VLOOKUP(A1514,File!$A:$K,10,FALSE)</f>
        <v>In-Training</v>
      </c>
      <c r="L1514" s="31" t="s">
        <v>4</v>
      </c>
      <c r="M1514" t="str">
        <f>VLOOKUP(A1514,Response!$A:$M,7,)</f>
        <v>PG (Paying Guest)</v>
      </c>
      <c r="N1514" t="str">
        <f>VLOOKUP(A1514,Response!$A:$M,8,)</f>
        <v>Stay@Ease Corporate Living Solution - Siruseri</v>
      </c>
      <c r="O1514" s="4">
        <f>VLOOKUP(A1514,Response!$A:$M,10,)</f>
        <v>2</v>
      </c>
      <c r="P1514" t="str">
        <f>VLOOKUP(A1514,Response!$A:$M,12,)</f>
        <v>No</v>
      </c>
      <c r="Q1514" t="str">
        <f>VLOOKUP(A1514,Response!$A:$M,11,)</f>
        <v>Siruseri</v>
      </c>
      <c r="R1514" t="s">
        <v>19</v>
      </c>
      <c r="S1514" s="39" t="s">
        <v>37</v>
      </c>
    </row>
    <row r="1515" spans="1:19">
      <c r="A1515" s="3">
        <v>2522800</v>
      </c>
      <c r="B1515" t="str">
        <f>VLOOKUP(A1515,File!$A:$J,2,FALSE)</f>
        <v>Avinash Tg</v>
      </c>
      <c r="C1515" s="29">
        <f>VLOOKUP(A1515,File!$A:$J,5,FALSE)</f>
        <v>46217</v>
      </c>
      <c r="D1515" s="29" t="str">
        <f>VLOOKUP(A1515,File!$A:$J,3,FALSE)</f>
        <v>Male</v>
      </c>
      <c r="E1515" s="29" t="str">
        <f>VLOOKUP(A1515,File!$A:$J,4,FALSE)</f>
        <v>FTE</v>
      </c>
      <c r="F1515" s="29" t="str">
        <f>VLOOKUP(A1515,File!$A:$J,6,FALSE)</f>
        <v>Chennai</v>
      </c>
      <c r="G1515" s="29" t="str">
        <f>VLOOKUP(A1515,File!$A:$J,7,FALSE)</f>
        <v>CIS26MCPT017</v>
      </c>
      <c r="H1515" s="29" t="str">
        <f>VLOOKUP(A1515,File!$A:$J,8,FALSE)</f>
        <v>Haritha P</v>
      </c>
      <c r="I1515" s="31">
        <f>VLOOKUP(A1515,File!$A:$J,9,FALSE)</f>
        <v>46335</v>
      </c>
      <c r="J1515" s="31" t="str">
        <f>VLOOKUP(A1515,File!$A:$K,11,FALSE)</f>
        <v>Nov 2026</v>
      </c>
      <c r="K1515" s="31" t="str">
        <f>VLOOKUP(A1515,File!$A:$K,10,FALSE)</f>
        <v>In-Training</v>
      </c>
      <c r="L1515" s="31" t="s">
        <v>4</v>
      </c>
      <c r="M1515" t="str">
        <f>VLOOKUP(A1515,Response!$A:$M,7,)</f>
        <v>PG (Paying Guest)</v>
      </c>
      <c r="N1515" t="str">
        <f>VLOOKUP(A1515,Response!$A:$M,8,)</f>
        <v>Stay@Ease Corporate Living Solution (Boys Hostel)</v>
      </c>
      <c r="O1515" s="4">
        <f>VLOOKUP(A1515,Response!$A:$M,10,)</f>
        <v>2</v>
      </c>
      <c r="P1515" t="str">
        <f>VLOOKUP(A1515,Response!$A:$M,12,)</f>
        <v>Yes</v>
      </c>
      <c r="Q1515" t="str">
        <f>VLOOKUP(A1515,Response!$A:$M,11,)</f>
        <v>Siruseri</v>
      </c>
      <c r="R1515" t="s">
        <v>19</v>
      </c>
      <c r="S1515" s="39" t="s">
        <v>37</v>
      </c>
    </row>
    <row r="1516" spans="1:19">
      <c r="A1516" s="3">
        <v>2521784</v>
      </c>
      <c r="B1516" t="str">
        <f>VLOOKUP(A1516,File!$A:$J,2,FALSE)</f>
        <v>Syed Mohammed Nayyar</v>
      </c>
      <c r="C1516" s="29">
        <f>VLOOKUP(A1516,File!$A:$J,5,FALSE)</f>
        <v>46212</v>
      </c>
      <c r="D1516" s="29" t="str">
        <f>VLOOKUP(A1516,File!$A:$J,3,FALSE)</f>
        <v>Male</v>
      </c>
      <c r="E1516" s="29" t="str">
        <f>VLOOKUP(A1516,File!$A:$J,4,FALSE)</f>
        <v>FTE</v>
      </c>
      <c r="F1516" s="29" t="str">
        <f>VLOOKUP(A1516,File!$A:$J,6,FALSE)</f>
        <v>Chennai</v>
      </c>
      <c r="G1516" s="29" t="str">
        <f>VLOOKUP(A1516,File!$A:$J,7,FALSE)</f>
        <v>QEA26QEPT023</v>
      </c>
      <c r="H1516" s="29" t="str">
        <f>VLOOKUP(A1516,File!$A:$J,8,FALSE)</f>
        <v>Sweta Thoppil</v>
      </c>
      <c r="I1516" s="31">
        <f>VLOOKUP(A1516,File!$A:$J,9,FALSE)</f>
        <v>46314</v>
      </c>
      <c r="J1516" s="31" t="str">
        <f>VLOOKUP(A1516,File!$A:$K,11,FALSE)</f>
        <v>Oct 2026</v>
      </c>
      <c r="K1516" s="31" t="str">
        <f>VLOOKUP(A1516,File!$A:$K,10,FALSE)</f>
        <v>In-Training</v>
      </c>
      <c r="L1516" s="31" t="s">
        <v>4</v>
      </c>
      <c r="M1516" t="str">
        <f>VLOOKUP(A1516,Response!$A:$M,7,)</f>
        <v>PG (Paying Guest)</v>
      </c>
      <c r="N1516" t="str">
        <f>VLOOKUP(A1516,Response!$A:$M,8,)</f>
        <v>Stay@Ease Corporate Living Solution Gents PG, Egattur</v>
      </c>
      <c r="O1516" s="4">
        <f>VLOOKUP(A1516,Response!$A:$M,10,)</f>
        <v>2</v>
      </c>
      <c r="P1516" t="str">
        <f>VLOOKUP(A1516,Response!$A:$M,12,)</f>
        <v>No</v>
      </c>
      <c r="Q1516" t="str">
        <f>VLOOKUP(A1516,Response!$A:$M,11,)</f>
        <v>Siruseri</v>
      </c>
      <c r="R1516" t="s">
        <v>19</v>
      </c>
      <c r="S1516" s="39" t="s">
        <v>37</v>
      </c>
    </row>
    <row r="1517" spans="1:19">
      <c r="A1517" s="3">
        <v>2524565</v>
      </c>
      <c r="B1517" t="str">
        <f>VLOOKUP(A1517,File!$A:$J,2,FALSE)</f>
        <v>Damarla Bala Yaswanth</v>
      </c>
      <c r="C1517" s="29">
        <f>VLOOKUP(A1517,File!$A:$J,5,FALSE)</f>
        <v>46224</v>
      </c>
      <c r="D1517" s="29" t="str">
        <f>VLOOKUP(A1517,File!$A:$J,3,FALSE)</f>
        <v>Male</v>
      </c>
      <c r="E1517" s="29" t="str">
        <f>VLOOKUP(A1517,File!$A:$J,4,FALSE)</f>
        <v>FTE</v>
      </c>
      <c r="F1517" s="29" t="str">
        <f>VLOOKUP(A1517,File!$A:$J,6,FALSE)</f>
        <v>Chennai</v>
      </c>
      <c r="G1517" s="29" t="str">
        <f>VLOOKUP(A1517,File!$A:$J,7,FALSE)</f>
        <v>ADM26DFSA007</v>
      </c>
      <c r="H1517" s="29" t="str">
        <f>VLOOKUP(A1517,File!$A:$J,8,FALSE)</f>
        <v>Sweta Thoppil</v>
      </c>
      <c r="I1517" s="31">
        <f>VLOOKUP(A1517,File!$A:$J,9,FALSE)</f>
        <v>46336</v>
      </c>
      <c r="J1517" s="31" t="str">
        <f>VLOOKUP(A1517,File!$A:$K,11,FALSE)</f>
        <v>Nov 2026</v>
      </c>
      <c r="K1517" s="31" t="str">
        <f>VLOOKUP(A1517,File!$A:$K,10,FALSE)</f>
        <v>In-Training</v>
      </c>
      <c r="L1517" s="31" t="s">
        <v>4</v>
      </c>
      <c r="M1517" t="str">
        <f>VLOOKUP(A1517,Response!$A:$M,7,)</f>
        <v>PG (Paying Guest)</v>
      </c>
      <c r="N1517" t="str">
        <f>VLOOKUP(A1517,Response!$A:$M,8,)</f>
        <v>Stay@Ease Corporate Living Solution Mens PG,SIPCOT IT Park, 114 Razia House, City Park Layout Siruseri, Sipcot, Kalipattur, Egattur, Tamil Nadu 603103</v>
      </c>
      <c r="O1517" s="4">
        <f>VLOOKUP(A1517,Response!$A:$M,10,)</f>
        <v>2</v>
      </c>
      <c r="P1517" t="str">
        <f>VLOOKUP(A1517,Response!$A:$M,12,)</f>
        <v>No</v>
      </c>
      <c r="Q1517" t="str">
        <f>VLOOKUP(A1517,Response!$A:$M,11,)</f>
        <v>Egattur</v>
      </c>
      <c r="R1517" t="s">
        <v>19</v>
      </c>
      <c r="S1517" s="39" t="s">
        <v>37</v>
      </c>
    </row>
    <row r="1518" spans="1:19">
      <c r="A1518" s="3">
        <v>2521790</v>
      </c>
      <c r="B1518" t="str">
        <f>VLOOKUP(A1518,File!$A:$J,2,FALSE)</f>
        <v>Naveen N</v>
      </c>
      <c r="C1518" s="29">
        <f>VLOOKUP(A1518,File!$A:$J,5,FALSE)</f>
        <v>46212</v>
      </c>
      <c r="D1518" s="29" t="str">
        <f>VLOOKUP(A1518,File!$A:$J,3,FALSE)</f>
        <v>Male</v>
      </c>
      <c r="E1518" s="29" t="str">
        <f>VLOOKUP(A1518,File!$A:$J,4,FALSE)</f>
        <v>FTE</v>
      </c>
      <c r="F1518" s="29" t="str">
        <f>VLOOKUP(A1518,File!$A:$J,6,FALSE)</f>
        <v>Chennai</v>
      </c>
      <c r="G1518" s="29" t="str">
        <f>VLOOKUP(A1518,File!$A:$J,7,FALSE)</f>
        <v>ADM26DNAT003</v>
      </c>
      <c r="H1518" s="29" t="str">
        <f>VLOOKUP(A1518,File!$A:$J,8,FALSE)</f>
        <v>Athira P</v>
      </c>
      <c r="I1518" s="31">
        <f>VLOOKUP(A1518,File!$A:$J,9,FALSE)</f>
        <v>46318</v>
      </c>
      <c r="J1518" s="31" t="str">
        <f>VLOOKUP(A1518,File!$A:$K,11,FALSE)</f>
        <v>Oct 2026</v>
      </c>
      <c r="K1518" s="31" t="str">
        <f>VLOOKUP(A1518,File!$A:$K,10,FALSE)</f>
        <v>In-Training</v>
      </c>
      <c r="L1518" s="31" t="s">
        <v>4</v>
      </c>
      <c r="M1518" t="str">
        <f>VLOOKUP(A1518,Response!$A:$M,7,)</f>
        <v>PG (Paying Guest)</v>
      </c>
      <c r="N1518" t="str">
        <f>VLOOKUP(A1518,Response!$A:$M,8,)</f>
        <v xml:space="preserve">Stay@Ease Corporate Living Solutions </v>
      </c>
      <c r="O1518" s="4">
        <f>VLOOKUP(A1518,Response!$A:$M,10,)</f>
        <v>2</v>
      </c>
      <c r="P1518" t="str">
        <f>VLOOKUP(A1518,Response!$A:$M,12,)</f>
        <v>No</v>
      </c>
      <c r="Q1518" t="str">
        <f>VLOOKUP(A1518,Response!$A:$M,11,)</f>
        <v>Siruseri</v>
      </c>
      <c r="R1518" t="s">
        <v>19</v>
      </c>
      <c r="S1518" s="39" t="s">
        <v>37</v>
      </c>
    </row>
    <row r="1519" spans="1:19">
      <c r="A1519" s="3">
        <v>2525092</v>
      </c>
      <c r="B1519" t="str">
        <f>VLOOKUP(A1519,File!$A:$J,2,FALSE)</f>
        <v>OM Arun Mali</v>
      </c>
      <c r="C1519" s="29">
        <f>VLOOKUP(A1519,File!$A:$J,5,FALSE)</f>
        <v>46226</v>
      </c>
      <c r="D1519" s="29" t="str">
        <f>VLOOKUP(A1519,File!$A:$J,3,FALSE)</f>
        <v>Male</v>
      </c>
      <c r="E1519" s="29" t="str">
        <f>VLOOKUP(A1519,File!$A:$J,4,FALSE)</f>
        <v>FTE</v>
      </c>
      <c r="F1519" s="29" t="str">
        <f>VLOOKUP(A1519,File!$A:$J,6,FALSE)</f>
        <v>Chennai</v>
      </c>
      <c r="G1519" s="29" t="str">
        <f>VLOOKUP(A1519,File!$A:$J,7,FALSE)</f>
        <v>EPS26WD005</v>
      </c>
      <c r="H1519" s="29" t="str">
        <f>VLOOKUP(A1519,File!$A:$J,8,FALSE)</f>
        <v>Vishnupriya Dakshnamurthy</v>
      </c>
      <c r="I1519" s="31">
        <f>VLOOKUP(A1519,File!$A:$J,9,FALSE)</f>
        <v>46332</v>
      </c>
      <c r="J1519" s="31" t="str">
        <f>VLOOKUP(A1519,File!$A:$K,11,FALSE)</f>
        <v>Nov 2026</v>
      </c>
      <c r="K1519" s="31" t="str">
        <f>VLOOKUP(A1519,File!$A:$K,10,FALSE)</f>
        <v>In-Training</v>
      </c>
      <c r="L1519" s="31" t="s">
        <v>4</v>
      </c>
      <c r="M1519" t="str">
        <f>VLOOKUP(A1519,Response!$A:$M,7,)</f>
        <v>PG (Paying Guest)</v>
      </c>
      <c r="N1519" t="str">
        <f>VLOOKUP(A1519,Response!$A:$M,8,)</f>
        <v>Stay@Ease corporate living solutions , Egattur</v>
      </c>
      <c r="O1519" s="4">
        <f>VLOOKUP(A1519,Response!$A:$M,10,)</f>
        <v>2</v>
      </c>
      <c r="P1519" t="str">
        <f>VLOOKUP(A1519,Response!$A:$M,12,)</f>
        <v>No</v>
      </c>
      <c r="Q1519" t="str">
        <f>VLOOKUP(A1519,Response!$A:$M,11,)</f>
        <v>Siruseri</v>
      </c>
      <c r="R1519" t="s">
        <v>19</v>
      </c>
      <c r="S1519" s="39" t="s">
        <v>37</v>
      </c>
    </row>
    <row r="1520" spans="1:19">
      <c r="A1520" s="3">
        <v>2518817</v>
      </c>
      <c r="B1520" t="str">
        <f>VLOOKUP(A1520,File!$A:$J,2,FALSE)</f>
        <v>Hemanth Sundhar P S</v>
      </c>
      <c r="C1520" s="29">
        <f>VLOOKUP(A1520,File!$A:$J,5,FALSE)</f>
        <v>46203</v>
      </c>
      <c r="D1520" s="29" t="str">
        <f>VLOOKUP(A1520,File!$A:$J,3,FALSE)</f>
        <v>Male</v>
      </c>
      <c r="E1520" s="29" t="str">
        <f>VLOOKUP(A1520,File!$A:$J,4,FALSE)</f>
        <v>FTE</v>
      </c>
      <c r="F1520" s="29" t="str">
        <f>VLOOKUP(A1520,File!$A:$J,6,FALSE)</f>
        <v>Chennai</v>
      </c>
      <c r="G1520" s="29" t="str">
        <f>VLOOKUP(A1520,File!$A:$J,7,FALSE)</f>
        <v>CIS26SB001</v>
      </c>
      <c r="H1520" s="29" t="str">
        <f>VLOOKUP(A1520,File!$A:$J,8,FALSE)</f>
        <v>Kishorekumar P</v>
      </c>
      <c r="I1520" s="31">
        <f>VLOOKUP(A1520,File!$A:$J,9,FALSE)</f>
        <v>46309</v>
      </c>
      <c r="J1520" s="31" t="str">
        <f>VLOOKUP(A1520,File!$A:$K,11,FALSE)</f>
        <v>Oct 2026</v>
      </c>
      <c r="K1520" s="31" t="str">
        <f>VLOOKUP(A1520,File!$A:$K,10,FALSE)</f>
        <v>In-Training</v>
      </c>
      <c r="L1520" s="31" t="s">
        <v>4</v>
      </c>
      <c r="M1520" t="str">
        <f>VLOOKUP(A1520,Response!$A:$M,7,)</f>
        <v>PG (Paying Guest)</v>
      </c>
      <c r="N1520" t="str">
        <f>VLOOKUP(A1520,Response!$A:$M,8,)</f>
        <v>Stay@Ease Mens PG</v>
      </c>
      <c r="O1520" s="4">
        <f>VLOOKUP(A1520,Response!$A:$M,10,)</f>
        <v>2</v>
      </c>
      <c r="P1520" t="str">
        <f>VLOOKUP(A1520,Response!$A:$M,12,)</f>
        <v>Yes</v>
      </c>
      <c r="Q1520" t="str">
        <f>VLOOKUP(A1520,Response!$A:$M,11,)</f>
        <v>Siruseri</v>
      </c>
      <c r="R1520" t="s">
        <v>19</v>
      </c>
      <c r="S1520" s="39" t="s">
        <v>37</v>
      </c>
    </row>
    <row r="1521" spans="1:19">
      <c r="A1521" s="3">
        <v>2533049</v>
      </c>
      <c r="B1521" t="str">
        <f>VLOOKUP(A1521,File!$A:$J,2,FALSE)</f>
        <v>Dannani Bhavani Prasanth</v>
      </c>
      <c r="C1521" s="29">
        <f>VLOOKUP(A1521,File!$A:$J,5,FALSE)</f>
        <v>46259</v>
      </c>
      <c r="D1521" s="29" t="str">
        <f>VLOOKUP(A1521,File!$A:$J,3,FALSE)</f>
        <v>Male</v>
      </c>
      <c r="E1521" s="29" t="str">
        <f>VLOOKUP(A1521,File!$A:$J,4,FALSE)</f>
        <v>FTE</v>
      </c>
      <c r="F1521" s="29" t="str">
        <f>VLOOKUP(A1521,File!$A:$J,6,FALSE)</f>
        <v>Chennai</v>
      </c>
      <c r="G1521" s="29" t="str">
        <f>VLOOKUP(A1521,File!$A:$J,7,FALSE)</f>
        <v>ADM27DFSA001</v>
      </c>
      <c r="H1521" s="29" t="str">
        <f>VLOOKUP(A1521,File!$A:$J,8,FALSE)</f>
        <v>Thomas Naveen. J</v>
      </c>
      <c r="I1521" s="31">
        <f>VLOOKUP(A1521,File!$A:$J,9,FALSE)</f>
        <v>46386</v>
      </c>
      <c r="J1521" s="31" t="str">
        <f>VLOOKUP(A1521,File!$A:$K,11,FALSE)</f>
        <v>Dec 2026</v>
      </c>
      <c r="K1521" s="31" t="str">
        <f>VLOOKUP(A1521,File!$A:$K,10,FALSE)</f>
        <v>In-Training</v>
      </c>
      <c r="L1521" s="31" t="s">
        <v>4</v>
      </c>
      <c r="M1521" t="str">
        <f>VLOOKUP(A1521,Response!$A:$M,7,)</f>
        <v>PG (Paying Guest)</v>
      </c>
      <c r="N1521" t="str">
        <f>VLOOKUP(A1521,Response!$A:$M,8,)</f>
        <v>STAY@EASE MENS PG , SIRUSERI SIPCOT , EGATUR</v>
      </c>
      <c r="O1521" s="4">
        <f>VLOOKUP(A1521,Response!$A:$M,10,)</f>
        <v>2</v>
      </c>
      <c r="P1521" t="str">
        <f>VLOOKUP(A1521,Response!$A:$M,12,)</f>
        <v>No</v>
      </c>
      <c r="Q1521" t="str">
        <f>VLOOKUP(A1521,Response!$A:$M,11,)</f>
        <v>Siruseri</v>
      </c>
      <c r="R1521" t="s">
        <v>19</v>
      </c>
      <c r="S1521" s="39" t="s">
        <v>37</v>
      </c>
    </row>
    <row r="1522" spans="1:19">
      <c r="A1522" s="3">
        <v>2521292</v>
      </c>
      <c r="B1522" t="str">
        <f>VLOOKUP(A1522,File!$A:$J,2,FALSE)</f>
        <v>Valireddi Priyanka</v>
      </c>
      <c r="C1522" s="29">
        <f>VLOOKUP(A1522,File!$A:$J,5,FALSE)</f>
        <v>46210</v>
      </c>
      <c r="D1522" s="29" t="str">
        <f>VLOOKUP(A1522,File!$A:$J,3,FALSE)</f>
        <v>Female</v>
      </c>
      <c r="E1522" s="29" t="str">
        <f>VLOOKUP(A1522,File!$A:$J,4,FALSE)</f>
        <v>FTE</v>
      </c>
      <c r="F1522" s="29" t="str">
        <f>VLOOKUP(A1522,File!$A:$J,6,FALSE)</f>
        <v>Chennai</v>
      </c>
      <c r="G1522" s="29" t="str">
        <f>VLOOKUP(A1522,File!$A:$J,7,FALSE)</f>
        <v>SNBG26SN002</v>
      </c>
      <c r="H1522" s="29" t="str">
        <f>VLOOKUP(A1522,File!$A:$J,8,FALSE)</f>
        <v>Lawrance M</v>
      </c>
      <c r="I1522" s="31">
        <f>VLOOKUP(A1522,File!$A:$J,9,FALSE)</f>
        <v>46303</v>
      </c>
      <c r="J1522" s="31" t="str">
        <f>VLOOKUP(A1522,File!$A:$K,11,FALSE)</f>
        <v>Oct 2026</v>
      </c>
      <c r="K1522" s="31" t="str">
        <f>VLOOKUP(A1522,File!$A:$K,10,FALSE)</f>
        <v>In-Training</v>
      </c>
      <c r="L1522" s="31" t="s">
        <v>4</v>
      </c>
      <c r="M1522" t="str">
        <f>VLOOKUP(A1522,Response!$A:$M,7,)</f>
        <v>PG (Paying Guest)</v>
      </c>
      <c r="N1522" t="str">
        <f>VLOOKUP(A1522,Response!$A:$M,8,)</f>
        <v>SVB LUXURY Ladies PG - Navalur</v>
      </c>
      <c r="O1522" s="4">
        <f>VLOOKUP(A1522,Response!$A:$M,10,)</f>
        <v>2</v>
      </c>
      <c r="P1522" t="str">
        <f>VLOOKUP(A1522,Response!$A:$M,12,)</f>
        <v>No</v>
      </c>
      <c r="Q1522" t="str">
        <f>VLOOKUP(A1522,Response!$A:$M,11,)</f>
        <v>Navalur</v>
      </c>
      <c r="R1522" t="s">
        <v>19</v>
      </c>
      <c r="S1522" s="39" t="s">
        <v>37</v>
      </c>
    </row>
    <row r="1523" spans="1:19">
      <c r="A1523" s="3">
        <v>2521143</v>
      </c>
      <c r="B1523" t="str">
        <f>VLOOKUP(A1523,File!$A:$J,2,FALSE)</f>
        <v>Nagireddy Navya</v>
      </c>
      <c r="C1523" s="29">
        <f>VLOOKUP(A1523,File!$A:$J,5,FALSE)</f>
        <v>46210</v>
      </c>
      <c r="D1523" s="29" t="str">
        <f>VLOOKUP(A1523,File!$A:$J,3,FALSE)</f>
        <v>Female</v>
      </c>
      <c r="E1523" s="29" t="str">
        <f>VLOOKUP(A1523,File!$A:$J,4,FALSE)</f>
        <v>FTE</v>
      </c>
      <c r="F1523" s="29" t="str">
        <f>VLOOKUP(A1523,File!$A:$J,6,FALSE)</f>
        <v>Chennai</v>
      </c>
      <c r="G1523" s="29" t="str">
        <f>VLOOKUP(A1523,File!$A:$J,7,FALSE)</f>
        <v>SNBG26SN002</v>
      </c>
      <c r="H1523" s="29" t="str">
        <f>VLOOKUP(A1523,File!$A:$J,8,FALSE)</f>
        <v>Lawrance M</v>
      </c>
      <c r="I1523" s="31">
        <f>VLOOKUP(A1523,File!$A:$J,9,FALSE)</f>
        <v>46303</v>
      </c>
      <c r="J1523" s="31" t="str">
        <f>VLOOKUP(A1523,File!$A:$K,11,FALSE)</f>
        <v>Oct 2026</v>
      </c>
      <c r="K1523" s="31" t="str">
        <f>VLOOKUP(A1523,File!$A:$K,10,FALSE)</f>
        <v>In-Training</v>
      </c>
      <c r="L1523" s="31" t="s">
        <v>4</v>
      </c>
      <c r="M1523" t="str">
        <f>VLOOKUP(A1523,Response!$A:$M,7,)</f>
        <v>PG (Paying Guest)</v>
      </c>
      <c r="N1523" t="str">
        <f>VLOOKUP(A1523,Response!$A:$M,8,)</f>
        <v>SVB Luxury Ladies PG, Navalur</v>
      </c>
      <c r="O1523" s="4">
        <f>VLOOKUP(A1523,Response!$A:$M,10,)</f>
        <v>2</v>
      </c>
      <c r="P1523" t="str">
        <f>VLOOKUP(A1523,Response!$A:$M,12,)</f>
        <v>No</v>
      </c>
      <c r="Q1523" t="str">
        <f>VLOOKUP(A1523,Response!$A:$M,11,)</f>
        <v>Navalur</v>
      </c>
      <c r="R1523" t="s">
        <v>19</v>
      </c>
      <c r="S1523" s="39" t="s">
        <v>37</v>
      </c>
    </row>
    <row r="1524" spans="1:19">
      <c r="A1524" s="3">
        <v>2531394</v>
      </c>
      <c r="B1524" t="str">
        <f>VLOOKUP(A1524,File!$A:$J,2,FALSE)</f>
        <v>Ajithkumar G</v>
      </c>
      <c r="C1524" s="29">
        <f>VLOOKUP(A1524,File!$A:$J,5,FALSE)</f>
        <v>46252</v>
      </c>
      <c r="D1524" s="29" t="str">
        <f>VLOOKUP(A1524,File!$A:$J,3,FALSE)</f>
        <v>Male</v>
      </c>
      <c r="E1524" s="29" t="str">
        <f>VLOOKUP(A1524,File!$A:$J,4,FALSE)</f>
        <v>FTE</v>
      </c>
      <c r="F1524" s="29" t="str">
        <f>VLOOKUP(A1524,File!$A:$J,6,FALSE)</f>
        <v>Chennai</v>
      </c>
      <c r="G1524" s="29" t="str">
        <f>VLOOKUP(A1524,File!$A:$J,7,FALSE)</f>
        <v>CIS26AT007</v>
      </c>
      <c r="H1524" s="29" t="str">
        <f>VLOOKUP(A1524,File!$A:$J,8,FALSE)</f>
        <v>Uma Venkatachalam</v>
      </c>
      <c r="I1524" s="31">
        <f>VLOOKUP(A1524,File!$A:$J,9,FALSE)</f>
        <v>46365</v>
      </c>
      <c r="J1524" s="31" t="str">
        <f>VLOOKUP(A1524,File!$A:$K,11,FALSE)</f>
        <v>Dec 2026</v>
      </c>
      <c r="K1524" s="31" t="str">
        <f>VLOOKUP(A1524,File!$A:$K,10,FALSE)</f>
        <v>In-Training</v>
      </c>
      <c r="L1524" s="31" t="s">
        <v>4</v>
      </c>
      <c r="M1524" t="str">
        <f>VLOOKUP(A1524,Response!$A:$M,7,)</f>
        <v>PG (Paying Guest)</v>
      </c>
      <c r="N1524" t="str">
        <f>VLOOKUP(A1524,Response!$A:$M,8,)</f>
        <v>SVD Gents Hostel,</v>
      </c>
      <c r="O1524" s="4">
        <f>VLOOKUP(A1524,Response!$A:$M,10,)</f>
        <v>1</v>
      </c>
      <c r="P1524" t="str">
        <f>VLOOKUP(A1524,Response!$A:$M,12,)</f>
        <v>No</v>
      </c>
      <c r="Q1524" t="str">
        <f>VLOOKUP(A1524,Response!$A:$M,11,)</f>
        <v>Siruseri</v>
      </c>
      <c r="R1524" t="s">
        <v>19</v>
      </c>
      <c r="S1524" s="39" t="s">
        <v>37</v>
      </c>
    </row>
    <row r="1525" spans="1:19">
      <c r="A1525" s="3">
        <v>2520921</v>
      </c>
      <c r="B1525" t="str">
        <f>VLOOKUP(A1525,File!$A:$J,2,FALSE)</f>
        <v>Siddesh M Lambi</v>
      </c>
      <c r="C1525" s="29">
        <f>VLOOKUP(A1525,File!$A:$J,5,FALSE)</f>
        <v>46210</v>
      </c>
      <c r="D1525" s="29" t="str">
        <f>VLOOKUP(A1525,File!$A:$J,3,FALSE)</f>
        <v>Male</v>
      </c>
      <c r="E1525" s="29" t="str">
        <f>VLOOKUP(A1525,File!$A:$J,4,FALSE)</f>
        <v>FTE</v>
      </c>
      <c r="F1525" s="29" t="str">
        <f>VLOOKUP(A1525,File!$A:$J,6,FALSE)</f>
        <v>Chennai</v>
      </c>
      <c r="G1525" s="29" t="str">
        <f>VLOOKUP(A1525,File!$A:$J,7,FALSE)</f>
        <v>CIS26UNIX004</v>
      </c>
      <c r="H1525" s="29" t="str">
        <f>VLOOKUP(A1525,File!$A:$J,8,FALSE)</f>
        <v>Haritha P</v>
      </c>
      <c r="I1525" s="31">
        <f>VLOOKUP(A1525,File!$A:$J,9,FALSE)</f>
        <v>46289</v>
      </c>
      <c r="J1525" s="31" t="str">
        <f>VLOOKUP(A1525,File!$A:$K,11,FALSE)</f>
        <v>Sep 2026</v>
      </c>
      <c r="K1525" s="31" t="str">
        <f>VLOOKUP(A1525,File!$A:$K,10,FALSE)</f>
        <v>In-Training</v>
      </c>
      <c r="L1525" s="31" t="s">
        <v>4</v>
      </c>
      <c r="M1525" t="str">
        <f>VLOOKUP(A1525,Response!$A:$M,7,)</f>
        <v>PG (Paying Guest)</v>
      </c>
      <c r="N1525" t="str">
        <f>VLOOKUP(A1525,Response!$A:$M,8,)</f>
        <v>SVD Gents PG</v>
      </c>
      <c r="O1525" s="4">
        <f>VLOOKUP(A1525,Response!$A:$M,10,)</f>
        <v>1</v>
      </c>
      <c r="P1525" t="str">
        <f>VLOOKUP(A1525,Response!$A:$M,12,)</f>
        <v>No</v>
      </c>
      <c r="Q1525" t="str">
        <f>VLOOKUP(A1525,Response!$A:$M,11,)</f>
        <v>Siruseri</v>
      </c>
      <c r="R1525" t="s">
        <v>19</v>
      </c>
      <c r="S1525" s="39" t="s">
        <v>37</v>
      </c>
    </row>
    <row r="1526" spans="1:19">
      <c r="A1526" s="3">
        <v>2529524</v>
      </c>
      <c r="B1526" t="str">
        <f>VLOOKUP(A1526,File!$A:$J,2,FALSE)</f>
        <v>Tushar Marigondanahalli Mallikarjuna</v>
      </c>
      <c r="C1526" s="29">
        <f>VLOOKUP(A1526,File!$A:$J,5,FALSE)</f>
        <v>46245</v>
      </c>
      <c r="D1526" s="29" t="str">
        <f>VLOOKUP(A1526,File!$A:$J,3,FALSE)</f>
        <v>Male</v>
      </c>
      <c r="E1526" s="29" t="str">
        <f>VLOOKUP(A1526,File!$A:$J,4,FALSE)</f>
        <v>FTE</v>
      </c>
      <c r="F1526" s="29" t="str">
        <f>VLOOKUP(A1526,File!$A:$J,6,FALSE)</f>
        <v>Chennai</v>
      </c>
      <c r="G1526" s="29" t="str">
        <f>VLOOKUP(A1526,File!$A:$J,7,FALSE)</f>
        <v>CIS26MCPT023</v>
      </c>
      <c r="H1526" s="29" t="str">
        <f>VLOOKUP(A1526,File!$A:$J,8,FALSE)</f>
        <v>Kishorekumar P</v>
      </c>
      <c r="I1526" s="31">
        <f>VLOOKUP(A1526,File!$A:$J,9,FALSE)</f>
        <v>46359</v>
      </c>
      <c r="J1526" s="31" t="str">
        <f>VLOOKUP(A1526,File!$A:$K,11,FALSE)</f>
        <v>Dec 2026</v>
      </c>
      <c r="K1526" s="31" t="str">
        <f>VLOOKUP(A1526,File!$A:$K,10,FALSE)</f>
        <v>In-Training</v>
      </c>
      <c r="L1526" s="31" t="s">
        <v>4</v>
      </c>
      <c r="M1526" t="str">
        <f>VLOOKUP(A1526,Response!$A:$M,7,)</f>
        <v>PG (Paying Guest)</v>
      </c>
      <c r="N1526" t="str">
        <f>VLOOKUP(A1526,Response!$A:$M,8,)</f>
        <v>SVD Gents PG</v>
      </c>
      <c r="O1526" s="4">
        <f>VLOOKUP(A1526,Response!$A:$M,10,)</f>
        <v>1</v>
      </c>
      <c r="P1526" t="str">
        <f>VLOOKUP(A1526,Response!$A:$M,12,)</f>
        <v>No</v>
      </c>
      <c r="Q1526" t="str">
        <f>VLOOKUP(A1526,Response!$A:$M,11,)</f>
        <v>Siruseri</v>
      </c>
      <c r="R1526" t="s">
        <v>19</v>
      </c>
      <c r="S1526" s="39" t="s">
        <v>37</v>
      </c>
    </row>
    <row r="1527" spans="1:19">
      <c r="A1527" s="3">
        <v>2529600</v>
      </c>
      <c r="B1527" t="str">
        <f>VLOOKUP(A1527,File!$A:$J,2,FALSE)</f>
        <v>Ranjith CM</v>
      </c>
      <c r="C1527" s="29">
        <f>VLOOKUP(A1527,File!$A:$J,5,FALSE)</f>
        <v>46245</v>
      </c>
      <c r="D1527" s="29" t="str">
        <f>VLOOKUP(A1527,File!$A:$J,3,FALSE)</f>
        <v>Male</v>
      </c>
      <c r="E1527" s="29" t="str">
        <f>VLOOKUP(A1527,File!$A:$J,4,FALSE)</f>
        <v>FTE</v>
      </c>
      <c r="F1527" s="29" t="str">
        <f>VLOOKUP(A1527,File!$A:$J,6,FALSE)</f>
        <v>Chennai</v>
      </c>
      <c r="G1527" s="29" t="str">
        <f>VLOOKUP(A1527,File!$A:$J,7,FALSE)</f>
        <v>CIS26MCPT023</v>
      </c>
      <c r="H1527" s="29" t="str">
        <f>VLOOKUP(A1527,File!$A:$J,8,FALSE)</f>
        <v>Kishorekumar P</v>
      </c>
      <c r="I1527" s="31">
        <f>VLOOKUP(A1527,File!$A:$J,9,FALSE)</f>
        <v>46359</v>
      </c>
      <c r="J1527" s="31" t="str">
        <f>VLOOKUP(A1527,File!$A:$K,11,FALSE)</f>
        <v>Dec 2026</v>
      </c>
      <c r="K1527" s="31" t="str">
        <f>VLOOKUP(A1527,File!$A:$K,10,FALSE)</f>
        <v>In-Training</v>
      </c>
      <c r="L1527" s="31" t="s">
        <v>4</v>
      </c>
      <c r="M1527" t="str">
        <f>VLOOKUP(A1527,Response!$A:$M,7,)</f>
        <v>PG (Paying Guest)</v>
      </c>
      <c r="N1527" t="str">
        <f>VLOOKUP(A1527,Response!$A:$M,8,)</f>
        <v>SVD Gents Pg</v>
      </c>
      <c r="O1527" s="4">
        <f>VLOOKUP(A1527,Response!$A:$M,10,)</f>
        <v>1</v>
      </c>
      <c r="P1527" t="str">
        <f>VLOOKUP(A1527,Response!$A:$M,12,)</f>
        <v>No</v>
      </c>
      <c r="Q1527" t="str">
        <f>VLOOKUP(A1527,Response!$A:$M,11,)</f>
        <v>Siruseri</v>
      </c>
      <c r="R1527" t="s">
        <v>19</v>
      </c>
      <c r="S1527" s="39" t="s">
        <v>37</v>
      </c>
    </row>
    <row r="1528" spans="1:19">
      <c r="A1528" s="3">
        <v>2529614</v>
      </c>
      <c r="B1528" t="str">
        <f>VLOOKUP(A1528,File!$A:$J,2,FALSE)</f>
        <v>Sadanand Kumbar</v>
      </c>
      <c r="C1528" s="29">
        <f>VLOOKUP(A1528,File!$A:$J,5,FALSE)</f>
        <v>46245</v>
      </c>
      <c r="D1528" s="29" t="str">
        <f>VLOOKUP(A1528,File!$A:$J,3,FALSE)</f>
        <v>Male</v>
      </c>
      <c r="E1528" s="29" t="str">
        <f>VLOOKUP(A1528,File!$A:$J,4,FALSE)</f>
        <v>FTE</v>
      </c>
      <c r="F1528" s="29" t="str">
        <f>VLOOKUP(A1528,File!$A:$J,6,FALSE)</f>
        <v>Chennai</v>
      </c>
      <c r="G1528" s="29" t="str">
        <f>VLOOKUP(A1528,File!$A:$J,7,FALSE)</f>
        <v>CIS26MCPT021</v>
      </c>
      <c r="H1528" s="29" t="str">
        <f>VLOOKUP(A1528,File!$A:$J,8,FALSE)</f>
        <v>Uma Venkatachalam</v>
      </c>
      <c r="I1528" s="31">
        <f>VLOOKUP(A1528,File!$A:$J,9,FALSE)</f>
        <v>46364</v>
      </c>
      <c r="J1528" s="31" t="str">
        <f>VLOOKUP(A1528,File!$A:$K,11,FALSE)</f>
        <v>Dec 2026</v>
      </c>
      <c r="K1528" s="31" t="str">
        <f>VLOOKUP(A1528,File!$A:$K,10,FALSE)</f>
        <v>In-Training</v>
      </c>
      <c r="L1528" s="31" t="s">
        <v>4</v>
      </c>
      <c r="M1528" t="str">
        <f>VLOOKUP(A1528,Response!$A:$M,7,)</f>
        <v>PG (Paying Guest)</v>
      </c>
      <c r="N1528" t="str">
        <f>VLOOKUP(A1528,Response!$A:$M,8,)</f>
        <v>SVD gents pg</v>
      </c>
      <c r="O1528" s="4">
        <f>VLOOKUP(A1528,Response!$A:$M,10,)</f>
        <v>1</v>
      </c>
      <c r="P1528" t="str">
        <f>VLOOKUP(A1528,Response!$A:$M,12,)</f>
        <v>No</v>
      </c>
      <c r="Q1528" t="str">
        <f>VLOOKUP(A1528,Response!$A:$M,11,)</f>
        <v>Siruseri</v>
      </c>
      <c r="R1528" t="s">
        <v>19</v>
      </c>
      <c r="S1528" s="39" t="s">
        <v>37</v>
      </c>
    </row>
    <row r="1529" spans="1:19">
      <c r="A1529" s="3">
        <v>2525009</v>
      </c>
      <c r="B1529" t="str">
        <f>VLOOKUP(A1529,File!$A:$J,2,FALSE)</f>
        <v>Abhishek Kumar</v>
      </c>
      <c r="C1529" s="29">
        <f>VLOOKUP(A1529,File!$A:$J,5,FALSE)</f>
        <v>46226</v>
      </c>
      <c r="D1529" s="29" t="str">
        <f>VLOOKUP(A1529,File!$A:$J,3,FALSE)</f>
        <v>Male</v>
      </c>
      <c r="E1529" s="29" t="str">
        <f>VLOOKUP(A1529,File!$A:$J,4,FALSE)</f>
        <v>FTE</v>
      </c>
      <c r="F1529" s="29" t="str">
        <f>VLOOKUP(A1529,File!$A:$J,6,FALSE)</f>
        <v>Chennai</v>
      </c>
      <c r="G1529" s="29" t="str">
        <f>VLOOKUP(A1529,File!$A:$J,7,FALSE)</f>
        <v>ADM26ISMO010</v>
      </c>
      <c r="H1529" s="29" t="str">
        <f>VLOOKUP(A1529,File!$A:$J,8,FALSE)</f>
        <v>Thomas Naveen. J</v>
      </c>
      <c r="I1529" s="31">
        <f>VLOOKUP(A1529,File!$A:$J,9,FALSE)</f>
        <v>46301</v>
      </c>
      <c r="J1529" s="31" t="str">
        <f>VLOOKUP(A1529,File!$A:$K,11,FALSE)</f>
        <v>Oct 2026</v>
      </c>
      <c r="K1529" s="31" t="str">
        <f>VLOOKUP(A1529,File!$A:$K,10,FALSE)</f>
        <v>In-Training</v>
      </c>
      <c r="L1529" s="31" t="s">
        <v>4</v>
      </c>
      <c r="M1529" t="str">
        <f>VLOOKUP(A1529,Response!$A:$M,7,)</f>
        <v>PG (Paying Guest)</v>
      </c>
      <c r="N1529" t="str">
        <f>VLOOKUP(A1529,Response!$A:$M,8,)</f>
        <v>SVD Gents PG</v>
      </c>
      <c r="O1529" s="4">
        <f>VLOOKUP(A1529,Response!$A:$M,10,)</f>
        <v>2</v>
      </c>
      <c r="P1529" t="str">
        <f>VLOOKUP(A1529,Response!$A:$M,12,)</f>
        <v>No</v>
      </c>
      <c r="Q1529" t="str">
        <f>VLOOKUP(A1529,Response!$A:$M,11,)</f>
        <v>Siruseri</v>
      </c>
      <c r="R1529" t="s">
        <v>19</v>
      </c>
      <c r="S1529" s="39" t="s">
        <v>37</v>
      </c>
    </row>
    <row r="1530" spans="1:19">
      <c r="A1530" s="3">
        <v>2525102</v>
      </c>
      <c r="B1530" t="str">
        <f>VLOOKUP(A1530,File!$A:$J,2,FALSE)</f>
        <v>Vikas Gowda S</v>
      </c>
      <c r="C1530" s="29">
        <f>VLOOKUP(A1530,File!$A:$J,5,FALSE)</f>
        <v>46226</v>
      </c>
      <c r="D1530" s="29" t="str">
        <f>VLOOKUP(A1530,File!$A:$J,3,FALSE)</f>
        <v>Male</v>
      </c>
      <c r="E1530" s="29" t="str">
        <f>VLOOKUP(A1530,File!$A:$J,4,FALSE)</f>
        <v>FTE</v>
      </c>
      <c r="F1530" s="29" t="str">
        <f>VLOOKUP(A1530,File!$A:$J,6,FALSE)</f>
        <v>Chennai</v>
      </c>
      <c r="G1530" s="29" t="str">
        <f>VLOOKUP(A1530,File!$A:$J,7,FALSE)</f>
        <v>EPS26WD005</v>
      </c>
      <c r="H1530" s="29" t="str">
        <f>VLOOKUP(A1530,File!$A:$J,8,FALSE)</f>
        <v>Vishnupriya Dakshnamurthy</v>
      </c>
      <c r="I1530" s="31">
        <f>VLOOKUP(A1530,File!$A:$J,9,FALSE)</f>
        <v>46332</v>
      </c>
      <c r="J1530" s="31" t="str">
        <f>VLOOKUP(A1530,File!$A:$K,11,FALSE)</f>
        <v>Nov 2026</v>
      </c>
      <c r="K1530" s="31" t="str">
        <f>VLOOKUP(A1530,File!$A:$K,10,FALSE)</f>
        <v>In-Training</v>
      </c>
      <c r="L1530" s="31" t="s">
        <v>4</v>
      </c>
      <c r="M1530" t="str">
        <f>VLOOKUP(A1530,Response!$A:$M,7,)</f>
        <v>PG (Paying Guest)</v>
      </c>
      <c r="N1530" t="str">
        <f>VLOOKUP(A1530,Response!$A:$M,8,)</f>
        <v>SVD GENTS PG</v>
      </c>
      <c r="O1530" s="4">
        <f>VLOOKUP(A1530,Response!$A:$M,10,)</f>
        <v>2</v>
      </c>
      <c r="P1530" t="str">
        <f>VLOOKUP(A1530,Response!$A:$M,12,)</f>
        <v>No</v>
      </c>
      <c r="Q1530" t="str">
        <f>VLOOKUP(A1530,Response!$A:$M,11,)</f>
        <v>Egattur</v>
      </c>
      <c r="R1530" t="s">
        <v>19</v>
      </c>
      <c r="S1530" s="39" t="s">
        <v>37</v>
      </c>
    </row>
    <row r="1531" spans="1:19">
      <c r="A1531" s="3">
        <v>2531983</v>
      </c>
      <c r="B1531" t="str">
        <f>VLOOKUP(A1531,File!$A:$J,2,FALSE)</f>
        <v>Srijan Sasmal</v>
      </c>
      <c r="C1531" s="29">
        <f>VLOOKUP(A1531,File!$A:$J,5,FALSE)</f>
        <v>46254</v>
      </c>
      <c r="D1531" s="29" t="str">
        <f>VLOOKUP(A1531,File!$A:$J,3,FALSE)</f>
        <v>Male</v>
      </c>
      <c r="E1531" s="29" t="str">
        <f>VLOOKUP(A1531,File!$A:$J,4,FALSE)</f>
        <v>FTE</v>
      </c>
      <c r="F1531" s="29" t="str">
        <f>VLOOKUP(A1531,File!$A:$J,6,FALSE)</f>
        <v>Chennai</v>
      </c>
      <c r="G1531" s="29" t="str">
        <f>VLOOKUP(A1531,File!$A:$J,7,FALSE)</f>
        <v>CS26CS012</v>
      </c>
      <c r="H1531" s="29" t="str">
        <f>VLOOKUP(A1531,File!$A:$J,8,FALSE)</f>
        <v>Laksiya Vijayendran</v>
      </c>
      <c r="I1531" s="31">
        <f>VLOOKUP(A1531,File!$A:$J,9,FALSE)</f>
        <v>46343</v>
      </c>
      <c r="J1531" s="31" t="str">
        <f>VLOOKUP(A1531,File!$A:$K,11,FALSE)</f>
        <v>Nov 2026</v>
      </c>
      <c r="K1531" s="31" t="str">
        <f>VLOOKUP(A1531,File!$A:$K,10,FALSE)</f>
        <v>In-Training</v>
      </c>
      <c r="L1531" s="31" t="s">
        <v>4</v>
      </c>
      <c r="M1531" t="str">
        <f>VLOOKUP(A1531,Response!$A:$M,7,)</f>
        <v>PG (Paying Guest)</v>
      </c>
      <c r="N1531" t="str">
        <f>VLOOKUP(A1531,Response!$A:$M,8,)</f>
        <v>SVD Gents PG</v>
      </c>
      <c r="O1531" s="4">
        <f>VLOOKUP(A1531,Response!$A:$M,10,)</f>
        <v>3</v>
      </c>
      <c r="P1531" t="str">
        <f>VLOOKUP(A1531,Response!$A:$M,12,)</f>
        <v>No</v>
      </c>
      <c r="Q1531" t="str">
        <f>VLOOKUP(A1531,Response!$A:$M,11,)</f>
        <v>Siruseri</v>
      </c>
      <c r="R1531" t="s">
        <v>19</v>
      </c>
      <c r="S1531" s="39" t="s">
        <v>37</v>
      </c>
    </row>
    <row r="1532" spans="1:19">
      <c r="A1532" s="3">
        <v>2533181</v>
      </c>
      <c r="B1532" t="str">
        <f>VLOOKUP(A1532,File!$A:$J,2,FALSE)</f>
        <v>Nidamanuri Sohith Kumar</v>
      </c>
      <c r="C1532" s="29">
        <f>VLOOKUP(A1532,File!$A:$J,5,FALSE)</f>
        <v>46259</v>
      </c>
      <c r="D1532" s="29" t="str">
        <f>VLOOKUP(A1532,File!$A:$J,3,FALSE)</f>
        <v>Male</v>
      </c>
      <c r="E1532" s="29" t="str">
        <f>VLOOKUP(A1532,File!$A:$J,4,FALSE)</f>
        <v>FTE</v>
      </c>
      <c r="F1532" s="29" t="str">
        <f>VLOOKUP(A1532,File!$A:$J,6,FALSE)</f>
        <v>Chennai</v>
      </c>
      <c r="G1532" s="29" t="str">
        <f>VLOOKUP(A1532,File!$A:$J,7,FALSE)</f>
        <v>IOT26CSJ002</v>
      </c>
      <c r="H1532" s="29" t="str">
        <f>VLOOKUP(A1532,File!$A:$J,8,FALSE)</f>
        <v>Pavithra Kandasamy</v>
      </c>
      <c r="I1532" s="31">
        <f>VLOOKUP(A1532,File!$A:$J,9,FALSE)</f>
        <v>46337</v>
      </c>
      <c r="J1532" s="31" t="str">
        <f>VLOOKUP(A1532,File!$A:$K,11,FALSE)</f>
        <v>Nov 2026</v>
      </c>
      <c r="K1532" s="31" t="str">
        <f>VLOOKUP(A1532,File!$A:$K,10,FALSE)</f>
        <v>In-Training</v>
      </c>
      <c r="L1532" s="31" t="s">
        <v>4</v>
      </c>
      <c r="M1532" t="str">
        <f>VLOOKUP(A1532,Response!$A:$M,7,)</f>
        <v>PG (Paying Guest)</v>
      </c>
      <c r="N1532" t="str">
        <f>VLOOKUP(A1532,Response!$A:$M,8,)</f>
        <v>SVD GENTS PG</v>
      </c>
      <c r="O1532" s="4">
        <f>VLOOKUP(A1532,Response!$A:$M,10,)</f>
        <v>4</v>
      </c>
      <c r="P1532" t="str">
        <f>VLOOKUP(A1532,Response!$A:$M,12,)</f>
        <v>No</v>
      </c>
      <c r="Q1532" t="str">
        <f>VLOOKUP(A1532,Response!$A:$M,11,)</f>
        <v>Siruseri</v>
      </c>
      <c r="R1532" t="s">
        <v>19</v>
      </c>
      <c r="S1532" s="39" t="s">
        <v>37</v>
      </c>
    </row>
    <row r="1533" spans="1:19">
      <c r="A1533" s="3">
        <v>2533180</v>
      </c>
      <c r="B1533" t="str">
        <f>VLOOKUP(A1533,File!$A:$J,2,FALSE)</f>
        <v>Dameswara Rao Kosireddy</v>
      </c>
      <c r="C1533" s="29">
        <f>VLOOKUP(A1533,File!$A:$J,5,FALSE)</f>
        <v>46259</v>
      </c>
      <c r="D1533" s="29" t="str">
        <f>VLOOKUP(A1533,File!$A:$J,3,FALSE)</f>
        <v>Male</v>
      </c>
      <c r="E1533" s="29" t="str">
        <f>VLOOKUP(A1533,File!$A:$J,4,FALSE)</f>
        <v>FTE</v>
      </c>
      <c r="F1533" s="29" t="str">
        <f>VLOOKUP(A1533,File!$A:$J,6,FALSE)</f>
        <v>Chennai</v>
      </c>
      <c r="G1533" s="29" t="str">
        <f>VLOOKUP(A1533,File!$A:$J,7,FALSE)</f>
        <v>ADM27DFSA001</v>
      </c>
      <c r="H1533" s="29" t="str">
        <f>VLOOKUP(A1533,File!$A:$J,8,FALSE)</f>
        <v>Thomas Naveen. J</v>
      </c>
      <c r="I1533" s="31">
        <f>VLOOKUP(A1533,File!$A:$J,9,FALSE)</f>
        <v>46386</v>
      </c>
      <c r="J1533" s="31" t="str">
        <f>VLOOKUP(A1533,File!$A:$K,11,FALSE)</f>
        <v>Dec 2026</v>
      </c>
      <c r="K1533" s="31" t="str">
        <f>VLOOKUP(A1533,File!$A:$K,10,FALSE)</f>
        <v>In-Training</v>
      </c>
      <c r="L1533" s="31" t="s">
        <v>4</v>
      </c>
      <c r="M1533" t="str">
        <f>VLOOKUP(A1533,Response!$A:$M,7,)</f>
        <v>PG (Paying Guest)</v>
      </c>
      <c r="N1533" t="str">
        <f>VLOOKUP(A1533,Response!$A:$M,8,)</f>
        <v>SVD GENTS PG</v>
      </c>
      <c r="O1533" s="4">
        <f>VLOOKUP(A1533,Response!$A:$M,10,)</f>
        <v>4</v>
      </c>
      <c r="P1533" t="str">
        <f>VLOOKUP(A1533,Response!$A:$M,12,)</f>
        <v>No</v>
      </c>
      <c r="Q1533" t="str">
        <f>VLOOKUP(A1533,Response!$A:$M,11,)</f>
        <v>Siruseri</v>
      </c>
      <c r="R1533" t="s">
        <v>19</v>
      </c>
      <c r="S1533" s="39" t="s">
        <v>37</v>
      </c>
    </row>
    <row r="1534" spans="1:19">
      <c r="A1534" s="3">
        <v>2519657</v>
      </c>
      <c r="B1534" t="str">
        <f>VLOOKUP(A1534,File!$A:$J,2,FALSE)</f>
        <v>Sai Charan Devana</v>
      </c>
      <c r="C1534" s="29">
        <f>VLOOKUP(A1534,File!$A:$J,5,FALSE)</f>
        <v>46205</v>
      </c>
      <c r="D1534" s="29" t="str">
        <f>VLOOKUP(A1534,File!$A:$J,3,FALSE)</f>
        <v>Male</v>
      </c>
      <c r="E1534" s="29" t="str">
        <f>VLOOKUP(A1534,File!$A:$J,4,FALSE)</f>
        <v>FTE</v>
      </c>
      <c r="F1534" s="29" t="str">
        <f>VLOOKUP(A1534,File!$A:$J,6,FALSE)</f>
        <v>Chennai</v>
      </c>
      <c r="G1534" s="29" t="str">
        <f>VLOOKUP(A1534,File!$A:$J,7,FALSE)</f>
        <v>CIS26UNIX003</v>
      </c>
      <c r="H1534" s="29" t="str">
        <f>VLOOKUP(A1534,File!$A:$J,8,FALSE)</f>
        <v>Haritha P</v>
      </c>
      <c r="I1534" s="31">
        <f>VLOOKUP(A1534,File!$A:$J,9,FALSE)</f>
        <v>46289</v>
      </c>
      <c r="J1534" s="31" t="str">
        <f>VLOOKUP(A1534,File!$A:$K,11,FALSE)</f>
        <v>Sep 2026</v>
      </c>
      <c r="K1534" s="31" t="str">
        <f>VLOOKUP(A1534,File!$A:$K,10,FALSE)</f>
        <v>In-Training</v>
      </c>
      <c r="L1534" s="31" t="s">
        <v>4</v>
      </c>
      <c r="M1534" t="str">
        <f>VLOOKUP(A1534,Response!$A:$M,7,)</f>
        <v>PG (Paying Guest)</v>
      </c>
      <c r="N1534" t="str">
        <f>VLOOKUP(A1534,Response!$A:$M,8,)</f>
        <v>SVD GENTS PG , city park layout, near SIPCOT IT Park, sipcot, Egattur, Siruseri, Tamil Nadu 603103</v>
      </c>
      <c r="O1534" s="4">
        <f>VLOOKUP(A1534,Response!$A:$M,10,)</f>
        <v>3</v>
      </c>
      <c r="P1534" t="str">
        <f>VLOOKUP(A1534,Response!$A:$M,12,)</f>
        <v>No</v>
      </c>
      <c r="Q1534" t="str">
        <f>VLOOKUP(A1534,Response!$A:$M,11,)</f>
        <v>Siruseri</v>
      </c>
      <c r="R1534" t="s">
        <v>19</v>
      </c>
      <c r="S1534" s="39" t="s">
        <v>37</v>
      </c>
    </row>
    <row r="1535" spans="1:19">
      <c r="A1535" s="3">
        <v>2533178</v>
      </c>
      <c r="B1535" t="str">
        <f>VLOOKUP(A1535,File!$A:$J,2,FALSE)</f>
        <v>Sai Viswanadh Vanapalli</v>
      </c>
      <c r="C1535" s="29">
        <f>VLOOKUP(A1535,File!$A:$J,5,FALSE)</f>
        <v>46259</v>
      </c>
      <c r="D1535" s="29" t="str">
        <f>VLOOKUP(A1535,File!$A:$J,3,FALSE)</f>
        <v>Male</v>
      </c>
      <c r="E1535" s="29" t="str">
        <f>VLOOKUP(A1535,File!$A:$J,4,FALSE)</f>
        <v>FTE</v>
      </c>
      <c r="F1535" s="29" t="str">
        <f>VLOOKUP(A1535,File!$A:$J,6,FALSE)</f>
        <v>Chennai</v>
      </c>
      <c r="G1535" s="29" t="str">
        <f>VLOOKUP(A1535,File!$A:$J,7,FALSE)</f>
        <v>CIS26AT008</v>
      </c>
      <c r="H1535" s="29" t="str">
        <f>VLOOKUP(A1535,File!$A:$J,8,FALSE)</f>
        <v>Uma Venkatachalam</v>
      </c>
      <c r="I1535" s="31">
        <f>VLOOKUP(A1535,File!$A:$J,9,FALSE)</f>
        <v>46365</v>
      </c>
      <c r="J1535" s="31" t="str">
        <f>VLOOKUP(A1535,File!$A:$K,11,FALSE)</f>
        <v>Dec 2026</v>
      </c>
      <c r="K1535" s="31" t="str">
        <f>VLOOKUP(A1535,File!$A:$K,10,FALSE)</f>
        <v>In-Training</v>
      </c>
      <c r="L1535" s="31" t="s">
        <v>4</v>
      </c>
      <c r="M1535" t="str">
        <f>VLOOKUP(A1535,Response!$A:$M,7,)</f>
        <v>PG (Paying Guest)</v>
      </c>
      <c r="N1535" t="str">
        <f>VLOOKUP(A1535,Response!$A:$M,8,)</f>
        <v xml:space="preserve">SVD GENTS PG, city park layout, near SIPCOT IT Park, sipcot, Egattur, Siruseri, Tamil Nadu 603103  </v>
      </c>
      <c r="O1535" s="4">
        <f>VLOOKUP(A1535,Response!$A:$M,10,)</f>
        <v>4</v>
      </c>
      <c r="P1535" t="str">
        <f>VLOOKUP(A1535,Response!$A:$M,12,)</f>
        <v>No</v>
      </c>
      <c r="Q1535" t="str">
        <f>VLOOKUP(A1535,Response!$A:$M,11,)</f>
        <v>Siruseri</v>
      </c>
      <c r="R1535" t="s">
        <v>19</v>
      </c>
      <c r="S1535" s="39" t="s">
        <v>37</v>
      </c>
    </row>
    <row r="1536" spans="1:19">
      <c r="A1536" s="3">
        <v>2516789</v>
      </c>
      <c r="B1536" t="str">
        <f>VLOOKUP(A1536,File!$A:$J,2,FALSE)</f>
        <v>Dakala Reddy Harsha Yadhav</v>
      </c>
      <c r="C1536" s="29">
        <f>VLOOKUP(A1536,File!$A:$J,5,FALSE)</f>
        <v>46191</v>
      </c>
      <c r="D1536" s="29" t="str">
        <f>VLOOKUP(A1536,File!$A:$J,3,FALSE)</f>
        <v>Male</v>
      </c>
      <c r="E1536" s="29" t="str">
        <f>VLOOKUP(A1536,File!$A:$J,4,FALSE)</f>
        <v>FTE</v>
      </c>
      <c r="F1536" s="29" t="str">
        <f>VLOOKUP(A1536,File!$A:$J,6,FALSE)</f>
        <v>Chennai</v>
      </c>
      <c r="G1536" s="29" t="str">
        <f>VLOOKUP(A1536,File!$A:$J,7,FALSE)</f>
        <v>CIS26MW001</v>
      </c>
      <c r="H1536" s="29" t="str">
        <f>VLOOKUP(A1536,File!$A:$J,8,FALSE)</f>
        <v>Ashiya Begam S</v>
      </c>
      <c r="I1536" s="31">
        <f>VLOOKUP(A1536,File!$A:$J,9,FALSE)</f>
        <v>46276</v>
      </c>
      <c r="J1536" s="31" t="str">
        <f>VLOOKUP(A1536,File!$A:$K,11,FALSE)</f>
        <v>Sep 2026</v>
      </c>
      <c r="K1536" s="31" t="str">
        <f>VLOOKUP(A1536,File!$A:$K,10,FALSE)</f>
        <v>In-Training</v>
      </c>
      <c r="L1536" s="31" t="s">
        <v>4</v>
      </c>
      <c r="M1536" t="str">
        <f>VLOOKUP(A1536,Response!$A:$M,7,)</f>
        <v>PG (Paying Guest)</v>
      </c>
      <c r="N1536" t="str">
        <f>VLOOKUP(A1536,Response!$A:$M,8,)</f>
        <v>SVD Gents PG, Egattur</v>
      </c>
      <c r="O1536" s="4">
        <f>VLOOKUP(A1536,Response!$A:$M,10,)</f>
        <v>3</v>
      </c>
      <c r="P1536" t="str">
        <f>VLOOKUP(A1536,Response!$A:$M,12,)</f>
        <v>No</v>
      </c>
      <c r="Q1536" t="str">
        <f>VLOOKUP(A1536,Response!$A:$M,11,)</f>
        <v>Egattur</v>
      </c>
      <c r="R1536" t="s">
        <v>19</v>
      </c>
      <c r="S1536" s="39" t="s">
        <v>37</v>
      </c>
    </row>
    <row r="1537" spans="1:19">
      <c r="A1537" s="3">
        <v>2531322</v>
      </c>
      <c r="B1537" t="str">
        <f>VLOOKUP(A1537,File!$A:$J,2,FALSE)</f>
        <v>Kollati Suryanarayana Murthy</v>
      </c>
      <c r="C1537" s="29">
        <f>VLOOKUP(A1537,File!$A:$J,5,FALSE)</f>
        <v>46252</v>
      </c>
      <c r="D1537" s="29" t="str">
        <f>VLOOKUP(A1537,File!$A:$J,3,FALSE)</f>
        <v>Male</v>
      </c>
      <c r="E1537" s="29" t="str">
        <f>VLOOKUP(A1537,File!$A:$J,4,FALSE)</f>
        <v>FTE</v>
      </c>
      <c r="F1537" s="29" t="str">
        <f>VLOOKUP(A1537,File!$A:$J,6,FALSE)</f>
        <v>Chennai</v>
      </c>
      <c r="G1537" s="29" t="str">
        <f>VLOOKUP(A1537,File!$A:$J,7,FALSE)</f>
        <v>CIS26DWP030</v>
      </c>
      <c r="H1537" s="29" t="str">
        <f>VLOOKUP(A1537,File!$A:$J,8,FALSE)</f>
        <v>Prokriti Biswas</v>
      </c>
      <c r="I1537" s="31">
        <f>VLOOKUP(A1537,File!$A:$J,9,FALSE)</f>
        <v>46324</v>
      </c>
      <c r="J1537" s="31" t="str">
        <f>VLOOKUP(A1537,File!$A:$K,11,FALSE)</f>
        <v>Oct 2026</v>
      </c>
      <c r="K1537" s="31" t="str">
        <f>VLOOKUP(A1537,File!$A:$K,10,FALSE)</f>
        <v>In-Training</v>
      </c>
      <c r="L1537" s="31" t="s">
        <v>4</v>
      </c>
      <c r="M1537" t="str">
        <f>VLOOKUP(A1537,Response!$A:$M,7,)</f>
        <v>PG (Paying Guest)</v>
      </c>
      <c r="N1537" t="str">
        <f>VLOOKUP(A1537,Response!$A:$M,8,)</f>
        <v>SVD gents PG, Egattur</v>
      </c>
      <c r="O1537" s="4">
        <f>VLOOKUP(A1537,Response!$A:$M,10,)</f>
        <v>1</v>
      </c>
      <c r="P1537" t="str">
        <f>VLOOKUP(A1537,Response!$A:$M,12,)</f>
        <v>No</v>
      </c>
      <c r="Q1537" t="str">
        <f>VLOOKUP(A1537,Response!$A:$M,11,)</f>
        <v>Siruseri</v>
      </c>
      <c r="R1537" t="s">
        <v>19</v>
      </c>
      <c r="S1537" s="39" t="s">
        <v>37</v>
      </c>
    </row>
    <row r="1538" spans="1:19">
      <c r="A1538" s="3">
        <v>2524589</v>
      </c>
      <c r="B1538" t="str">
        <f>VLOOKUP(A1538,File!$A:$J,2,FALSE)</f>
        <v>Sijal Satyamev</v>
      </c>
      <c r="C1538" s="29">
        <f>VLOOKUP(A1538,File!$A:$J,5,FALSE)</f>
        <v>46224</v>
      </c>
      <c r="D1538" s="29" t="str">
        <f>VLOOKUP(A1538,File!$A:$J,3,FALSE)</f>
        <v>Male</v>
      </c>
      <c r="E1538" s="29" t="str">
        <f>VLOOKUP(A1538,File!$A:$J,4,FALSE)</f>
        <v>FTE</v>
      </c>
      <c r="F1538" s="29" t="str">
        <f>VLOOKUP(A1538,File!$A:$J,6,FALSE)</f>
        <v>Chennai</v>
      </c>
      <c r="G1538" s="29" t="str">
        <f>VLOOKUP(A1538,File!$A:$J,7,FALSE)</f>
        <v>ADM26DFSA007</v>
      </c>
      <c r="H1538" s="29" t="str">
        <f>VLOOKUP(A1538,File!$A:$J,8,FALSE)</f>
        <v>Sweta Thoppil</v>
      </c>
      <c r="I1538" s="31">
        <f>VLOOKUP(A1538,File!$A:$J,9,FALSE)</f>
        <v>46336</v>
      </c>
      <c r="J1538" s="31" t="str">
        <f>VLOOKUP(A1538,File!$A:$K,11,FALSE)</f>
        <v>Nov 2026</v>
      </c>
      <c r="K1538" s="31" t="str">
        <f>VLOOKUP(A1538,File!$A:$K,10,FALSE)</f>
        <v>In-Training</v>
      </c>
      <c r="L1538" s="31" t="s">
        <v>4</v>
      </c>
      <c r="M1538" t="str">
        <f>VLOOKUP(A1538,Response!$A:$M,7,)</f>
        <v>PG (Paying Guest)</v>
      </c>
      <c r="N1538" t="str">
        <f>VLOOKUP(A1538,Response!$A:$M,8,)</f>
        <v>SVD gents PG, SIPCOT IT Park, Egattur</v>
      </c>
      <c r="O1538" s="4">
        <f>VLOOKUP(A1538,Response!$A:$M,10,)</f>
        <v>2</v>
      </c>
      <c r="P1538" t="str">
        <f>VLOOKUP(A1538,Response!$A:$M,12,)</f>
        <v>No</v>
      </c>
      <c r="Q1538" t="str">
        <f>VLOOKUP(A1538,Response!$A:$M,11,)</f>
        <v>Siruseri</v>
      </c>
      <c r="R1538" t="s">
        <v>19</v>
      </c>
      <c r="S1538" s="39" t="s">
        <v>37</v>
      </c>
    </row>
    <row r="1539" spans="1:19">
      <c r="A1539" s="3">
        <v>2531970</v>
      </c>
      <c r="B1539" t="str">
        <f>VLOOKUP(A1539,File!$A:$J,2,FALSE)</f>
        <v>MD Tabrez Shamim</v>
      </c>
      <c r="C1539" s="29">
        <f>VLOOKUP(A1539,File!$A:$J,5,FALSE)</f>
        <v>46254</v>
      </c>
      <c r="D1539" s="29" t="str">
        <f>VLOOKUP(A1539,File!$A:$J,3,FALSE)</f>
        <v>Male</v>
      </c>
      <c r="E1539" s="29" t="str">
        <f>VLOOKUP(A1539,File!$A:$J,4,FALSE)</f>
        <v>FTE</v>
      </c>
      <c r="F1539" s="29" t="str">
        <f>VLOOKUP(A1539,File!$A:$J,6,FALSE)</f>
        <v>Chennai</v>
      </c>
      <c r="G1539" s="29" t="str">
        <f>VLOOKUP(A1539,File!$A:$J,7,FALSE)</f>
        <v>CS26CS011</v>
      </c>
      <c r="H1539" s="29" t="str">
        <f>VLOOKUP(A1539,File!$A:$J,8,FALSE)</f>
        <v>Kishorekumar P</v>
      </c>
      <c r="I1539" s="31">
        <f>VLOOKUP(A1539,File!$A:$J,9,FALSE)</f>
        <v>46343</v>
      </c>
      <c r="J1539" s="31" t="str">
        <f>VLOOKUP(A1539,File!$A:$K,11,FALSE)</f>
        <v>Nov 2026</v>
      </c>
      <c r="K1539" s="31" t="str">
        <f>VLOOKUP(A1539,File!$A:$K,10,FALSE)</f>
        <v>In-Training</v>
      </c>
      <c r="L1539" s="31" t="s">
        <v>4</v>
      </c>
      <c r="M1539" t="str">
        <f>VLOOKUP(A1539,Response!$A:$M,7,)</f>
        <v>PG (Paying Guest)</v>
      </c>
      <c r="N1539" t="str">
        <f>VLOOKUP(A1539,Response!$A:$M,8,)</f>
        <v>SVD Gents PG, Sipcot, Siruseri</v>
      </c>
      <c r="O1539" s="4">
        <f>VLOOKUP(A1539,Response!$A:$M,10,)</f>
        <v>3</v>
      </c>
      <c r="P1539" t="str">
        <f>VLOOKUP(A1539,Response!$A:$M,12,)</f>
        <v>No</v>
      </c>
      <c r="Q1539" t="str">
        <f>VLOOKUP(A1539,Response!$A:$M,11,)</f>
        <v>Siruseri</v>
      </c>
      <c r="R1539" t="s">
        <v>19</v>
      </c>
      <c r="S1539" s="39" t="s">
        <v>37</v>
      </c>
    </row>
    <row r="1540" spans="1:19">
      <c r="A1540" s="3">
        <v>2512350</v>
      </c>
      <c r="B1540" t="str">
        <f>VLOOKUP(A1540,File!$A:$J,2,FALSE)</f>
        <v>Rakesh N V</v>
      </c>
      <c r="C1540" s="29">
        <f>VLOOKUP(A1540,File!$A:$J,5,FALSE)</f>
        <v>46170</v>
      </c>
      <c r="D1540" s="29" t="str">
        <f>VLOOKUP(A1540,File!$A:$J,3,FALSE)</f>
        <v>Male</v>
      </c>
      <c r="E1540" s="29" t="str">
        <f>VLOOKUP(A1540,File!$A:$J,4,FALSE)</f>
        <v>FTE</v>
      </c>
      <c r="F1540" s="29" t="str">
        <f>VLOOKUP(A1540,File!$A:$J,6,FALSE)</f>
        <v>Chennai</v>
      </c>
      <c r="G1540" s="29" t="str">
        <f>VLOOKUP(A1540,File!$A:$J,7,FALSE)</f>
        <v>CIS26MCPT012</v>
      </c>
      <c r="H1540" s="29" t="str">
        <f>VLOOKUP(A1540,File!$A:$J,8,FALSE)</f>
        <v>Uma Venkatachalam</v>
      </c>
      <c r="I1540" s="31">
        <f>VLOOKUP(A1540,File!$A:$J,9,FALSE)</f>
        <v>46282</v>
      </c>
      <c r="J1540" s="31" t="str">
        <f>VLOOKUP(A1540,File!$A:$K,11,FALSE)</f>
        <v>Sep 2026</v>
      </c>
      <c r="K1540" s="31" t="str">
        <f>VLOOKUP(A1540,File!$A:$K,10,FALSE)</f>
        <v>In-Training</v>
      </c>
      <c r="L1540" s="31" t="s">
        <v>4</v>
      </c>
      <c r="M1540" t="str">
        <f>VLOOKUP(A1540,Response!$A:$M,7,)</f>
        <v>PG (Paying Guest)</v>
      </c>
      <c r="N1540" t="str">
        <f>VLOOKUP(A1540,Response!$A:$M,8,)</f>
        <v>SVD Mens PG</v>
      </c>
      <c r="O1540" s="4">
        <f>VLOOKUP(A1540,Response!$A:$M,10,)</f>
        <v>1</v>
      </c>
      <c r="P1540" t="str">
        <f>VLOOKUP(A1540,Response!$A:$M,12,)</f>
        <v>No</v>
      </c>
      <c r="Q1540" t="str">
        <f>VLOOKUP(A1540,Response!$A:$M,11,)</f>
        <v>Siruseri</v>
      </c>
      <c r="R1540" t="s">
        <v>19</v>
      </c>
      <c r="S1540" s="39" t="s">
        <v>37</v>
      </c>
    </row>
    <row r="1541" spans="1:19">
      <c r="A1541" s="3">
        <v>2531996</v>
      </c>
      <c r="B1541" t="str">
        <f>VLOOKUP(A1541,File!$A:$J,2,FALSE)</f>
        <v>Mrityunjay Aditya</v>
      </c>
      <c r="C1541" s="29">
        <f>VLOOKUP(A1541,File!$A:$J,5,FALSE)</f>
        <v>46254</v>
      </c>
      <c r="D1541" s="29" t="str">
        <f>VLOOKUP(A1541,File!$A:$J,3,FALSE)</f>
        <v>Male</v>
      </c>
      <c r="E1541" s="29" t="str">
        <f>VLOOKUP(A1541,File!$A:$J,4,FALSE)</f>
        <v>FTE</v>
      </c>
      <c r="F1541" s="29" t="str">
        <f>VLOOKUP(A1541,File!$A:$J,6,FALSE)</f>
        <v>Chennai</v>
      </c>
      <c r="G1541" s="29" t="str">
        <f>VLOOKUP(A1541,File!$A:$J,7,FALSE)</f>
        <v>CS26CS011</v>
      </c>
      <c r="H1541" s="29" t="str">
        <f>VLOOKUP(A1541,File!$A:$J,8,FALSE)</f>
        <v>Kishorekumar P</v>
      </c>
      <c r="I1541" s="31">
        <f>VLOOKUP(A1541,File!$A:$J,9,FALSE)</f>
        <v>46343</v>
      </c>
      <c r="J1541" s="31" t="str">
        <f>VLOOKUP(A1541,File!$A:$K,11,FALSE)</f>
        <v>Nov 2026</v>
      </c>
      <c r="K1541" s="31" t="str">
        <f>VLOOKUP(A1541,File!$A:$K,10,FALSE)</f>
        <v>In-Training</v>
      </c>
      <c r="L1541" s="31" t="s">
        <v>4</v>
      </c>
      <c r="M1541" t="str">
        <f>VLOOKUP(A1541,Response!$A:$M,7,)</f>
        <v>PG (Paying Guest)</v>
      </c>
      <c r="N1541" t="str">
        <f>VLOOKUP(A1541,Response!$A:$M,8,)</f>
        <v>SVD Mens PG</v>
      </c>
      <c r="O1541" s="4">
        <f>VLOOKUP(A1541,Response!$A:$M,10,)</f>
        <v>3</v>
      </c>
      <c r="P1541" t="str">
        <f>VLOOKUP(A1541,Response!$A:$M,12,)</f>
        <v>No</v>
      </c>
      <c r="Q1541" t="str">
        <f>VLOOKUP(A1541,Response!$A:$M,11,)</f>
        <v>Siruseri</v>
      </c>
      <c r="R1541" t="s">
        <v>19</v>
      </c>
      <c r="S1541" s="39" t="s">
        <v>37</v>
      </c>
    </row>
    <row r="1542" spans="1:19">
      <c r="A1542" s="3">
        <v>2530136</v>
      </c>
      <c r="B1542" t="str">
        <f>VLOOKUP(A1542,File!$A:$J,2,FALSE)</f>
        <v>Harshwardhan Rajendra Pachpute</v>
      </c>
      <c r="C1542" s="29">
        <f>VLOOKUP(A1542,File!$A:$J,5,FALSE)</f>
        <v>46247</v>
      </c>
      <c r="D1542" s="29" t="str">
        <f>VLOOKUP(A1542,File!$A:$J,3,FALSE)</f>
        <v>Male</v>
      </c>
      <c r="E1542" s="29" t="str">
        <f>VLOOKUP(A1542,File!$A:$J,4,FALSE)</f>
        <v>FTE</v>
      </c>
      <c r="F1542" s="29" t="str">
        <f>VLOOKUP(A1542,File!$A:$J,6,FALSE)</f>
        <v>Chennai</v>
      </c>
      <c r="G1542" s="29" t="str">
        <f>VLOOKUP(A1542,File!$A:$J,7,FALSE)</f>
        <v>EPS26SAP034</v>
      </c>
      <c r="H1542" s="29" t="str">
        <f>VLOOKUP(A1542,File!$A:$J,8,FALSE)</f>
        <v>Gayathri Ramachandran</v>
      </c>
      <c r="I1542" s="31">
        <f>VLOOKUP(A1542,File!$A:$J,9,FALSE)</f>
        <v>46331</v>
      </c>
      <c r="J1542" s="31" t="str">
        <f>VLOOKUP(A1542,File!$A:$K,11,FALSE)</f>
        <v>Nov 2026</v>
      </c>
      <c r="K1542" s="31" t="str">
        <f>VLOOKUP(A1542,File!$A:$K,10,FALSE)</f>
        <v>In-Training</v>
      </c>
      <c r="L1542" s="31" t="s">
        <v>4</v>
      </c>
      <c r="M1542" t="str">
        <f>VLOOKUP(A1542,Response!$A:$M,7,)</f>
        <v>PG (Paying Guest)</v>
      </c>
      <c r="N1542" t="str">
        <f>VLOOKUP(A1542,Response!$A:$M,8,)</f>
        <v>SVD PG, SIPCOT</v>
      </c>
      <c r="O1542" s="4">
        <f>VLOOKUP(A1542,Response!$A:$M,10,)</f>
        <v>3</v>
      </c>
      <c r="P1542" t="str">
        <f>VLOOKUP(A1542,Response!$A:$M,12,)</f>
        <v>No</v>
      </c>
      <c r="Q1542" t="str">
        <f>VLOOKUP(A1542,Response!$A:$M,11,)</f>
        <v>Egattur</v>
      </c>
      <c r="R1542" t="s">
        <v>19</v>
      </c>
      <c r="S1542" s="39" t="s">
        <v>37</v>
      </c>
    </row>
    <row r="1543" spans="1:19">
      <c r="A1543" s="3">
        <v>2524515</v>
      </c>
      <c r="B1543" t="str">
        <f>VLOOKUP(A1543,File!$A:$J,2,FALSE)</f>
        <v>Karthick Varadharaj</v>
      </c>
      <c r="C1543" s="29">
        <f>VLOOKUP(A1543,File!$A:$J,5,FALSE)</f>
        <v>46224</v>
      </c>
      <c r="D1543" s="29" t="str">
        <f>VLOOKUP(A1543,File!$A:$J,3,FALSE)</f>
        <v>Male</v>
      </c>
      <c r="E1543" s="29" t="str">
        <f>VLOOKUP(A1543,File!$A:$J,4,FALSE)</f>
        <v>FTE</v>
      </c>
      <c r="F1543" s="29" t="str">
        <f>VLOOKUP(A1543,File!$A:$J,6,FALSE)</f>
        <v>Chennai</v>
      </c>
      <c r="G1543" s="29" t="str">
        <f>VLOOKUP(A1543,File!$A:$J,7,FALSE)</f>
        <v>IOA26RPA005</v>
      </c>
      <c r="H1543" s="29" t="str">
        <f>VLOOKUP(A1543,File!$A:$J,8,FALSE)</f>
        <v>Adarsh J Nair</v>
      </c>
      <c r="I1543" s="31">
        <f>VLOOKUP(A1543,File!$A:$J,9,FALSE)</f>
        <v>46309</v>
      </c>
      <c r="J1543" s="31" t="str">
        <f>VLOOKUP(A1543,File!$A:$K,11,FALSE)</f>
        <v>Oct 2026</v>
      </c>
      <c r="K1543" s="31" t="str">
        <f>VLOOKUP(A1543,File!$A:$K,10,FALSE)</f>
        <v>In-Training</v>
      </c>
      <c r="L1543" s="31" t="s">
        <v>4</v>
      </c>
      <c r="M1543" t="str">
        <f>VLOOKUP(A1543,Response!$A:$M,7,)</f>
        <v>PG (Paying Guest)</v>
      </c>
      <c r="N1543" t="str">
        <f>VLOOKUP(A1543,Response!$A:$M,8,)</f>
        <v>SVR Gents Hostel, Egattur</v>
      </c>
      <c r="O1543" s="4">
        <f>VLOOKUP(A1543,Response!$A:$M,10,)</f>
        <v>1</v>
      </c>
      <c r="P1543" t="str">
        <f>VLOOKUP(A1543,Response!$A:$M,12,)</f>
        <v>No</v>
      </c>
      <c r="Q1543" t="str">
        <f>VLOOKUP(A1543,Response!$A:$M,11,)</f>
        <v>Egattur</v>
      </c>
      <c r="R1543" t="s">
        <v>19</v>
      </c>
      <c r="S1543" s="39" t="s">
        <v>37</v>
      </c>
    </row>
    <row r="1544" spans="1:19">
      <c r="A1544" s="3">
        <v>2529612</v>
      </c>
      <c r="B1544" t="str">
        <f>VLOOKUP(A1544,File!$A:$J,2,FALSE)</f>
        <v>Tuhin Saha</v>
      </c>
      <c r="C1544" s="29">
        <f>VLOOKUP(A1544,File!$A:$J,5,FALSE)</f>
        <v>46245</v>
      </c>
      <c r="D1544" s="29" t="str">
        <f>VLOOKUP(A1544,File!$A:$J,3,FALSE)</f>
        <v>Male</v>
      </c>
      <c r="E1544" s="29" t="str">
        <f>VLOOKUP(A1544,File!$A:$J,4,FALSE)</f>
        <v>FTE</v>
      </c>
      <c r="F1544" s="29" t="str">
        <f>VLOOKUP(A1544,File!$A:$J,6,FALSE)</f>
        <v>Chennai</v>
      </c>
      <c r="G1544" s="29" t="str">
        <f>VLOOKUP(A1544,File!$A:$J,7,FALSE)</f>
        <v>CIS26MCPT024</v>
      </c>
      <c r="H1544" s="29" t="str">
        <f>VLOOKUP(A1544,File!$A:$J,8,FALSE)</f>
        <v>Ashiya Begam S</v>
      </c>
      <c r="I1544" s="31">
        <f>VLOOKUP(A1544,File!$A:$J,9,FALSE)</f>
        <v>46359</v>
      </c>
      <c r="J1544" s="31" t="str">
        <f>VLOOKUP(A1544,File!$A:$K,11,FALSE)</f>
        <v>Dec 2026</v>
      </c>
      <c r="K1544" s="31" t="str">
        <f>VLOOKUP(A1544,File!$A:$K,10,FALSE)</f>
        <v>In-Training</v>
      </c>
      <c r="L1544" s="31" t="s">
        <v>4</v>
      </c>
      <c r="M1544" t="str">
        <f>VLOOKUP(A1544,Response!$A:$M,7,)</f>
        <v>PG (Paying Guest)</v>
      </c>
      <c r="N1544" t="str">
        <f>VLOOKUP(A1544,Response!$A:$M,8,)</f>
        <v>SVR Gents Hostel/PG - Egattur</v>
      </c>
      <c r="O1544" s="4" t="str">
        <f>VLOOKUP(A1544,Response!$A:$M,10,)</f>
        <v>GF</v>
      </c>
      <c r="P1544" t="str">
        <f>VLOOKUP(A1544,Response!$A:$M,12,)</f>
        <v>No</v>
      </c>
      <c r="Q1544" t="str">
        <f>VLOOKUP(A1544,Response!$A:$M,11,)</f>
        <v>Siruseri</v>
      </c>
      <c r="R1544" t="s">
        <v>19</v>
      </c>
      <c r="S1544" s="39" t="s">
        <v>37</v>
      </c>
    </row>
    <row r="1545" spans="1:19">
      <c r="A1545" s="3">
        <v>2533142</v>
      </c>
      <c r="B1545" t="str">
        <f>VLOOKUP(A1545,File!$A:$J,2,FALSE)</f>
        <v>Sam Smith Lordson R</v>
      </c>
      <c r="C1545" s="29">
        <f>VLOOKUP(A1545,File!$A:$J,5,FALSE)</f>
        <v>46259</v>
      </c>
      <c r="D1545" s="29" t="str">
        <f>VLOOKUP(A1545,File!$A:$J,3,FALSE)</f>
        <v>Male</v>
      </c>
      <c r="E1545" s="29" t="str">
        <f>VLOOKUP(A1545,File!$A:$J,4,FALSE)</f>
        <v>FTE</v>
      </c>
      <c r="F1545" s="29" t="str">
        <f>VLOOKUP(A1545,File!$A:$J,6,FALSE)</f>
        <v>Chennai</v>
      </c>
      <c r="G1545" s="29" t="str">
        <f>VLOOKUP(A1545,File!$A:$J,7,FALSE)</f>
        <v>CIS26MBG003</v>
      </c>
      <c r="H1545" s="29" t="str">
        <f>VLOOKUP(A1545,File!$A:$J,8,FALSE)</f>
        <v>Kishorekumar P</v>
      </c>
      <c r="I1545" s="31">
        <f>VLOOKUP(A1545,File!$A:$J,9,FALSE)</f>
        <v>46367</v>
      </c>
      <c r="J1545" s="31" t="str">
        <f>VLOOKUP(A1545,File!$A:$K,11,FALSE)</f>
        <v>Dec 2026</v>
      </c>
      <c r="K1545" s="31" t="str">
        <f>VLOOKUP(A1545,File!$A:$K,10,FALSE)</f>
        <v>In-Training</v>
      </c>
      <c r="L1545" s="31" t="s">
        <v>4</v>
      </c>
      <c r="M1545" t="str">
        <f>VLOOKUP(A1545,Response!$A:$M,7,)</f>
        <v>PG (Paying Guest)</v>
      </c>
      <c r="N1545" t="str">
        <f>VLOOKUP(A1545,Response!$A:$M,8,)</f>
        <v>SVRR Deluxe Gents PG</v>
      </c>
      <c r="O1545" s="4">
        <f>VLOOKUP(A1545,Response!$A:$M,10,)</f>
        <v>2</v>
      </c>
      <c r="P1545" t="str">
        <f>VLOOKUP(A1545,Response!$A:$M,12,)</f>
        <v>No</v>
      </c>
      <c r="Q1545" t="str">
        <f>VLOOKUP(A1545,Response!$A:$M,11,)</f>
        <v>Navalur</v>
      </c>
      <c r="R1545" t="s">
        <v>19</v>
      </c>
      <c r="S1545" s="39" t="s">
        <v>37</v>
      </c>
    </row>
    <row r="1546" spans="1:19">
      <c r="A1546" s="3">
        <v>2524546</v>
      </c>
      <c r="B1546" t="str">
        <f>VLOOKUP(A1546,File!$A:$J,2,FALSE)</f>
        <v>Gunala Lakshmi Narayana Reddy</v>
      </c>
      <c r="C1546" s="29">
        <f>VLOOKUP(A1546,File!$A:$J,5,FALSE)</f>
        <v>46224</v>
      </c>
      <c r="D1546" s="29" t="str">
        <f>VLOOKUP(A1546,File!$A:$J,3,FALSE)</f>
        <v>Male</v>
      </c>
      <c r="E1546" s="29" t="str">
        <f>VLOOKUP(A1546,File!$A:$J,4,FALSE)</f>
        <v>FTE</v>
      </c>
      <c r="F1546" s="29" t="str">
        <f>VLOOKUP(A1546,File!$A:$J,6,FALSE)</f>
        <v>Chennai</v>
      </c>
      <c r="G1546" s="29" t="str">
        <f>VLOOKUP(A1546,File!$A:$J,7,FALSE)</f>
        <v>ADM26DFSA007</v>
      </c>
      <c r="H1546" s="29" t="str">
        <f>VLOOKUP(A1546,File!$A:$J,8,FALSE)</f>
        <v>Sweta Thoppil</v>
      </c>
      <c r="I1546" s="31">
        <f>VLOOKUP(A1546,File!$A:$J,9,FALSE)</f>
        <v>46336</v>
      </c>
      <c r="J1546" s="31" t="str">
        <f>VLOOKUP(A1546,File!$A:$K,11,FALSE)</f>
        <v>Nov 2026</v>
      </c>
      <c r="K1546" s="31" t="str">
        <f>VLOOKUP(A1546,File!$A:$K,10,FALSE)</f>
        <v>In-Training</v>
      </c>
      <c r="L1546" s="31" t="s">
        <v>4</v>
      </c>
      <c r="M1546" t="str">
        <f>VLOOKUP(A1546,Response!$A:$M,7,)</f>
        <v>PG (Paying Guest)</v>
      </c>
      <c r="N1546" t="str">
        <f>VLOOKUP(A1546,Response!$A:$M,8,)</f>
        <v>SVS Gents Pg - Navalur</v>
      </c>
      <c r="O1546" s="4">
        <f>VLOOKUP(A1546,Response!$A:$M,10,)</f>
        <v>3</v>
      </c>
      <c r="P1546" t="str">
        <f>VLOOKUP(A1546,Response!$A:$M,12,)</f>
        <v>No</v>
      </c>
      <c r="Q1546" t="str">
        <f>VLOOKUP(A1546,Response!$A:$M,11,)</f>
        <v>Navalur</v>
      </c>
      <c r="R1546" t="s">
        <v>19</v>
      </c>
      <c r="S1546" s="39" t="s">
        <v>37</v>
      </c>
    </row>
    <row r="1547" spans="1:19">
      <c r="A1547" s="3">
        <v>2518825</v>
      </c>
      <c r="B1547" t="str">
        <f>VLOOKUP(A1547,File!$A:$J,2,FALSE)</f>
        <v>Karthik P S</v>
      </c>
      <c r="C1547" s="29">
        <f>VLOOKUP(A1547,File!$A:$J,5,FALSE)</f>
        <v>46203</v>
      </c>
      <c r="D1547" s="29" t="str">
        <f>VLOOKUP(A1547,File!$A:$J,3,FALSE)</f>
        <v>Male</v>
      </c>
      <c r="E1547" s="29" t="str">
        <f>VLOOKUP(A1547,File!$A:$J,4,FALSE)</f>
        <v>FTE</v>
      </c>
      <c r="F1547" s="29" t="str">
        <f>VLOOKUP(A1547,File!$A:$J,6,FALSE)</f>
        <v>Chennai</v>
      </c>
      <c r="G1547" s="29" t="str">
        <f>VLOOKUP(A1547,File!$A:$J,7,FALSE)</f>
        <v>CIS26SB001</v>
      </c>
      <c r="H1547" s="29" t="str">
        <f>VLOOKUP(A1547,File!$A:$J,8,FALSE)</f>
        <v>Kishorekumar P</v>
      </c>
      <c r="I1547" s="31">
        <f>VLOOKUP(A1547,File!$A:$J,9,FALSE)</f>
        <v>46309</v>
      </c>
      <c r="J1547" s="31" t="str">
        <f>VLOOKUP(A1547,File!$A:$K,11,FALSE)</f>
        <v>Oct 2026</v>
      </c>
      <c r="K1547" s="31" t="str">
        <f>VLOOKUP(A1547,File!$A:$K,10,FALSE)</f>
        <v>In-Training</v>
      </c>
      <c r="L1547" s="31" t="s">
        <v>4</v>
      </c>
      <c r="M1547" t="str">
        <f>VLOOKUP(A1547,Response!$A:$M,7,)</f>
        <v>PG (Paying Guest)</v>
      </c>
      <c r="N1547" t="str">
        <f>VLOOKUP(A1547,Response!$A:$M,8,)</f>
        <v>Swad PG for Boys, Karapakkam</v>
      </c>
      <c r="O1547" s="4">
        <f>VLOOKUP(A1547,Response!$A:$M,10,)</f>
        <v>2</v>
      </c>
      <c r="P1547" t="str">
        <f>VLOOKUP(A1547,Response!$A:$M,12,)</f>
        <v>No</v>
      </c>
      <c r="Q1547" t="str">
        <f>VLOOKUP(A1547,Response!$A:$M,11,)</f>
        <v>Karapakkam</v>
      </c>
      <c r="R1547" t="s">
        <v>17</v>
      </c>
      <c r="S1547" s="39" t="s">
        <v>37</v>
      </c>
    </row>
    <row r="1548" spans="1:19">
      <c r="A1548" s="3">
        <v>2529528</v>
      </c>
      <c r="B1548" t="str">
        <f>VLOOKUP(A1548,File!$A:$J,2,FALSE)</f>
        <v>Sharan Balamurugan</v>
      </c>
      <c r="C1548" s="29">
        <f>VLOOKUP(A1548,File!$A:$J,5,FALSE)</f>
        <v>46245</v>
      </c>
      <c r="D1548" s="29" t="str">
        <f>VLOOKUP(A1548,File!$A:$J,3,FALSE)</f>
        <v>Male</v>
      </c>
      <c r="E1548" s="29" t="str">
        <f>VLOOKUP(A1548,File!$A:$J,4,FALSE)</f>
        <v>FTE</v>
      </c>
      <c r="F1548" s="29" t="str">
        <f>VLOOKUP(A1548,File!$A:$J,6,FALSE)</f>
        <v>Chennai</v>
      </c>
      <c r="G1548" s="29" t="str">
        <f>VLOOKUP(A1548,File!$A:$J,7,FALSE)</f>
        <v>CIS26MCPT024</v>
      </c>
      <c r="H1548" s="29" t="str">
        <f>VLOOKUP(A1548,File!$A:$J,8,FALSE)</f>
        <v>Ashiya Begam S</v>
      </c>
      <c r="I1548" s="31">
        <f>VLOOKUP(A1548,File!$A:$J,9,FALSE)</f>
        <v>46359</v>
      </c>
      <c r="J1548" s="31" t="str">
        <f>VLOOKUP(A1548,File!$A:$K,11,FALSE)</f>
        <v>Dec 2026</v>
      </c>
      <c r="K1548" s="31" t="str">
        <f>VLOOKUP(A1548,File!$A:$K,10,FALSE)</f>
        <v>In-Training</v>
      </c>
      <c r="L1548" s="31" t="s">
        <v>4</v>
      </c>
      <c r="M1548" t="str">
        <f>VLOOKUP(A1548,Response!$A:$M,7,)</f>
        <v>PG (Paying Guest)</v>
      </c>
      <c r="N1548" t="str">
        <f>VLOOKUP(A1548,Response!$A:$M,8,)</f>
        <v>The chennais nest elite mens Pg</v>
      </c>
      <c r="O1548" s="4">
        <f>VLOOKUP(A1548,Response!$A:$M,10,)</f>
        <v>1</v>
      </c>
      <c r="P1548" t="str">
        <f>VLOOKUP(A1548,Response!$A:$M,12,)</f>
        <v>No</v>
      </c>
      <c r="Q1548" t="str">
        <f>VLOOKUP(A1548,Response!$A:$M,11,)</f>
        <v>Siruseri</v>
      </c>
      <c r="R1548" t="s">
        <v>19</v>
      </c>
      <c r="S1548" s="39" t="s">
        <v>37</v>
      </c>
    </row>
    <row r="1549" spans="1:19">
      <c r="A1549" s="3">
        <v>2529642</v>
      </c>
      <c r="B1549" t="str">
        <f>VLOOKUP(A1549,File!$A:$J,2,FALSE)</f>
        <v>Sudharsanan V</v>
      </c>
      <c r="C1549" s="29">
        <f>VLOOKUP(A1549,File!$A:$J,5,FALSE)</f>
        <v>46245</v>
      </c>
      <c r="D1549" s="29" t="str">
        <f>VLOOKUP(A1549,File!$A:$J,3,FALSE)</f>
        <v>Male</v>
      </c>
      <c r="E1549" s="29" t="str">
        <f>VLOOKUP(A1549,File!$A:$J,4,FALSE)</f>
        <v>FTE</v>
      </c>
      <c r="F1549" s="29" t="str">
        <f>VLOOKUP(A1549,File!$A:$J,6,FALSE)</f>
        <v>Chennai</v>
      </c>
      <c r="G1549" s="29" t="str">
        <f>VLOOKUP(A1549,File!$A:$J,7,FALSE)</f>
        <v>CIS26MCPT023</v>
      </c>
      <c r="H1549" s="29" t="str">
        <f>VLOOKUP(A1549,File!$A:$J,8,FALSE)</f>
        <v>Kishorekumar P</v>
      </c>
      <c r="I1549" s="31">
        <f>VLOOKUP(A1549,File!$A:$J,9,FALSE)</f>
        <v>46359</v>
      </c>
      <c r="J1549" s="31" t="str">
        <f>VLOOKUP(A1549,File!$A:$K,11,FALSE)</f>
        <v>Dec 2026</v>
      </c>
      <c r="K1549" s="31" t="str">
        <f>VLOOKUP(A1549,File!$A:$K,10,FALSE)</f>
        <v>In-Training</v>
      </c>
      <c r="L1549" s="31" t="s">
        <v>4</v>
      </c>
      <c r="M1549" t="str">
        <f>VLOOKUP(A1549,Response!$A:$M,7,)</f>
        <v>PG (Paying Guest)</v>
      </c>
      <c r="N1549" t="str">
        <f>VLOOKUP(A1549,Response!$A:$M,8,)</f>
        <v>The Chennais Nest Elite Mens Pg</v>
      </c>
      <c r="O1549" s="4">
        <f>VLOOKUP(A1549,Response!$A:$M,10,)</f>
        <v>1</v>
      </c>
      <c r="P1549" t="str">
        <f>VLOOKUP(A1549,Response!$A:$M,12,)</f>
        <v>Yes</v>
      </c>
      <c r="Q1549" t="str">
        <f>VLOOKUP(A1549,Response!$A:$M,11,)</f>
        <v>Egattur</v>
      </c>
      <c r="R1549" t="s">
        <v>19</v>
      </c>
      <c r="S1549" s="39" t="s">
        <v>37</v>
      </c>
    </row>
    <row r="1550" spans="1:19">
      <c r="A1550" s="3">
        <v>2518823</v>
      </c>
      <c r="B1550" t="str">
        <f>VLOOKUP(A1550,File!$A:$J,2,FALSE)</f>
        <v>Priyanka Lnu</v>
      </c>
      <c r="C1550" s="29">
        <f>VLOOKUP(A1550,File!$A:$J,5,FALSE)</f>
        <v>46203</v>
      </c>
      <c r="D1550" s="29" t="str">
        <f>VLOOKUP(A1550,File!$A:$J,3,FALSE)</f>
        <v>Female</v>
      </c>
      <c r="E1550" s="29" t="str">
        <f>VLOOKUP(A1550,File!$A:$J,4,FALSE)</f>
        <v>FTE</v>
      </c>
      <c r="F1550" s="29" t="str">
        <f>VLOOKUP(A1550,File!$A:$J,6,FALSE)</f>
        <v>Chennai</v>
      </c>
      <c r="G1550" s="29" t="str">
        <f>VLOOKUP(A1550,File!$A:$J,7,FALSE)</f>
        <v>CIS26SB001</v>
      </c>
      <c r="H1550" s="29" t="str">
        <f>VLOOKUP(A1550,File!$A:$J,8,FALSE)</f>
        <v>Kishorekumar P</v>
      </c>
      <c r="I1550" s="31">
        <f>VLOOKUP(A1550,File!$A:$J,9,FALSE)</f>
        <v>46309</v>
      </c>
      <c r="J1550" s="31" t="str">
        <f>VLOOKUP(A1550,File!$A:$K,11,FALSE)</f>
        <v>Oct 2026</v>
      </c>
      <c r="K1550" s="31" t="str">
        <f>VLOOKUP(A1550,File!$A:$K,10,FALSE)</f>
        <v>In-Training</v>
      </c>
      <c r="L1550" s="31" t="s">
        <v>4</v>
      </c>
      <c r="M1550" t="str">
        <f>VLOOKUP(A1550,Response!$A:$M,7,)</f>
        <v>PG (Paying Guest)</v>
      </c>
      <c r="N1550" t="str">
        <f>VLOOKUP(A1550,Response!$A:$M,8,)</f>
        <v>The New Manikandan Ladies Pg Branch 4, Kazhipattur</v>
      </c>
      <c r="O1550" s="4">
        <f>VLOOKUP(A1550,Response!$A:$M,10,)</f>
        <v>1</v>
      </c>
      <c r="P1550" t="str">
        <f>VLOOKUP(A1550,Response!$A:$M,12,)</f>
        <v>No</v>
      </c>
      <c r="Q1550" t="str">
        <f>VLOOKUP(A1550,Response!$A:$M,11,)</f>
        <v>Siruseri</v>
      </c>
      <c r="R1550" t="s">
        <v>19</v>
      </c>
      <c r="S1550" s="39" t="s">
        <v>37</v>
      </c>
    </row>
    <row r="1551" spans="1:19">
      <c r="A1551" s="3">
        <v>2533037</v>
      </c>
      <c r="B1551" t="str">
        <f>VLOOKUP(A1551,File!$A:$J,2,FALSE)</f>
        <v>Balla Hemanth Srinivas</v>
      </c>
      <c r="C1551" s="29">
        <f>VLOOKUP(A1551,File!$A:$J,5,FALSE)</f>
        <v>46259</v>
      </c>
      <c r="D1551" s="29" t="str">
        <f>VLOOKUP(A1551,File!$A:$J,3,FALSE)</f>
        <v>Male</v>
      </c>
      <c r="E1551" s="29" t="str">
        <f>VLOOKUP(A1551,File!$A:$J,4,FALSE)</f>
        <v>FTE</v>
      </c>
      <c r="F1551" s="29" t="str">
        <f>VLOOKUP(A1551,File!$A:$J,6,FALSE)</f>
        <v>Chennai</v>
      </c>
      <c r="G1551" s="29" t="str">
        <f>VLOOKUP(A1551,File!$A:$J,7,FALSE)</f>
        <v>CIS26SN002</v>
      </c>
      <c r="H1551" s="29" t="str">
        <f>VLOOKUP(A1551,File!$A:$J,8,FALSE)</f>
        <v>Ashiya Begam S</v>
      </c>
      <c r="I1551" s="31">
        <f>VLOOKUP(A1551,File!$A:$J,9,FALSE)</f>
        <v>46358</v>
      </c>
      <c r="J1551" s="31" t="str">
        <f>VLOOKUP(A1551,File!$A:$K,11,FALSE)</f>
        <v>Dec 2026</v>
      </c>
      <c r="K1551" s="31" t="str">
        <f>VLOOKUP(A1551,File!$A:$K,10,FALSE)</f>
        <v>In-Training</v>
      </c>
      <c r="L1551" s="31" t="s">
        <v>4</v>
      </c>
      <c r="M1551" t="str">
        <f>VLOOKUP(A1551,Response!$A:$M,7,)</f>
        <v>PG (Paying Guest)</v>
      </c>
      <c r="N1551" t="str">
        <f>VLOOKUP(A1551,Response!$A:$M,8,)</f>
        <v>The Shivam Living Grandeur, Egattur</v>
      </c>
      <c r="O1551" s="4">
        <f>VLOOKUP(A1551,Response!$A:$M,10,)</f>
        <v>1</v>
      </c>
      <c r="P1551" t="str">
        <f>VLOOKUP(A1551,Response!$A:$M,12,)</f>
        <v>No</v>
      </c>
      <c r="Q1551" t="str">
        <f>VLOOKUP(A1551,Response!$A:$M,11,)</f>
        <v>Egattur</v>
      </c>
      <c r="R1551" t="s">
        <v>19</v>
      </c>
      <c r="S1551" s="39" t="s">
        <v>37</v>
      </c>
    </row>
    <row r="1552" spans="1:19">
      <c r="A1552" s="3">
        <v>2526621</v>
      </c>
      <c r="B1552" t="str">
        <f>VLOOKUP(A1552,File!$A:$J,2,FALSE)</f>
        <v>Sahil Ashok Thorat</v>
      </c>
      <c r="C1552" s="29">
        <f>VLOOKUP(A1552,File!$A:$J,5,FALSE)</f>
        <v>46233</v>
      </c>
      <c r="D1552" s="29" t="str">
        <f>VLOOKUP(A1552,File!$A:$J,3,FALSE)</f>
        <v>Male</v>
      </c>
      <c r="E1552" s="29" t="str">
        <f>VLOOKUP(A1552,File!$A:$J,4,FALSE)</f>
        <v>FTE</v>
      </c>
      <c r="F1552" s="29" t="str">
        <f>VLOOKUP(A1552,File!$A:$J,6,FALSE)</f>
        <v>Chennai</v>
      </c>
      <c r="G1552" s="29" t="str">
        <f>VLOOKUP(A1552,File!$A:$J,7,FALSE)</f>
        <v>QEA26JP001</v>
      </c>
      <c r="H1552" s="29" t="str">
        <f>VLOOKUP(A1552,File!$A:$J,8,FALSE)</f>
        <v>Ajiesya D P</v>
      </c>
      <c r="I1552" s="31" t="str">
        <f>VLOOKUP(A1552,File!$A:$J,9,FALSE)</f>
        <v/>
      </c>
      <c r="J1552" s="44" t="s">
        <v>33</v>
      </c>
      <c r="K1552" s="31" t="str">
        <f>VLOOKUP(A1552,File!$A:$K,10,FALSE)</f>
        <v>Training - ON Hold</v>
      </c>
      <c r="L1552" s="31" t="s">
        <v>4</v>
      </c>
      <c r="M1552" t="str">
        <f>VLOOKUP(A1552,Response!$A:$M,7,)</f>
        <v>PG (Paying Guest)</v>
      </c>
      <c r="N1552" t="str">
        <f>VLOOKUP(A1552,Response!$A:$M,8,)</f>
        <v>The Shivam living PG</v>
      </c>
      <c r="O1552" s="4">
        <f>VLOOKUP(A1552,Response!$A:$M,10,)</f>
        <v>2</v>
      </c>
      <c r="P1552" t="str">
        <f>VLOOKUP(A1552,Response!$A:$M,12,)</f>
        <v>No</v>
      </c>
      <c r="Q1552" t="str">
        <f>VLOOKUP(A1552,Response!$A:$M,11,)</f>
        <v>Egattur</v>
      </c>
      <c r="R1552" t="s">
        <v>19</v>
      </c>
      <c r="S1552" s="39" t="s">
        <v>37</v>
      </c>
    </row>
    <row r="1553" spans="1:19">
      <c r="A1553" s="3">
        <v>2529587</v>
      </c>
      <c r="B1553" t="str">
        <f>VLOOKUP(A1553,File!$A:$J,2,FALSE)</f>
        <v>Jeet Saha</v>
      </c>
      <c r="C1553" s="29">
        <f>VLOOKUP(A1553,File!$A:$J,5,FALSE)</f>
        <v>46245</v>
      </c>
      <c r="D1553" s="29" t="str">
        <f>VLOOKUP(A1553,File!$A:$J,3,FALSE)</f>
        <v>Male</v>
      </c>
      <c r="E1553" s="29" t="str">
        <f>VLOOKUP(A1553,File!$A:$J,4,FALSE)</f>
        <v>FTE</v>
      </c>
      <c r="F1553" s="29" t="str">
        <f>VLOOKUP(A1553,File!$A:$J,6,FALSE)</f>
        <v>Chennai</v>
      </c>
      <c r="G1553" s="29" t="str">
        <f>VLOOKUP(A1553,File!$A:$J,7,FALSE)</f>
        <v>CIS26MCPT026</v>
      </c>
      <c r="H1553" s="29" t="str">
        <f>VLOOKUP(A1553,File!$A:$J,8,FALSE)</f>
        <v>Mohamed Harish</v>
      </c>
      <c r="I1553" s="31">
        <f>VLOOKUP(A1553,File!$A:$J,9,FALSE)</f>
        <v>46364</v>
      </c>
      <c r="J1553" s="31" t="str">
        <f>VLOOKUP(A1553,File!$A:$K,11,FALSE)</f>
        <v>Dec 2026</v>
      </c>
      <c r="K1553" s="31" t="str">
        <f>VLOOKUP(A1553,File!$A:$K,10,FALSE)</f>
        <v>In-Training</v>
      </c>
      <c r="L1553" s="31" t="s">
        <v>4</v>
      </c>
      <c r="M1553" t="str">
        <f>VLOOKUP(A1553,Response!$A:$M,7,)</f>
        <v>PG (Paying Guest)</v>
      </c>
      <c r="N1553" t="str">
        <f>VLOOKUP(A1553,Response!$A:$M,8,)</f>
        <v>The Shivam Living PG for MENs</v>
      </c>
      <c r="O1553" s="4" t="str">
        <f>VLOOKUP(A1553,Response!$A:$M,10,)</f>
        <v>GF</v>
      </c>
      <c r="P1553" t="str">
        <f>VLOOKUP(A1553,Response!$A:$M,12,)</f>
        <v>No</v>
      </c>
      <c r="Q1553" t="str">
        <f>VLOOKUP(A1553,Response!$A:$M,11,)</f>
        <v>Egattur</v>
      </c>
      <c r="R1553" t="s">
        <v>19</v>
      </c>
      <c r="S1553" s="39" t="s">
        <v>37</v>
      </c>
    </row>
    <row r="1554" spans="1:19">
      <c r="A1554" s="3">
        <v>2522821</v>
      </c>
      <c r="B1554" t="str">
        <f>VLOOKUP(A1554,File!$A:$J,2,FALSE)</f>
        <v>S  Kavin</v>
      </c>
      <c r="C1554" s="29">
        <f>VLOOKUP(A1554,File!$A:$J,5,FALSE)</f>
        <v>46217</v>
      </c>
      <c r="D1554" s="29" t="str">
        <f>VLOOKUP(A1554,File!$A:$J,3,FALSE)</f>
        <v>Male</v>
      </c>
      <c r="E1554" s="29" t="str">
        <f>VLOOKUP(A1554,File!$A:$J,4,FALSE)</f>
        <v>FTE</v>
      </c>
      <c r="F1554" s="29" t="str">
        <f>VLOOKUP(A1554,File!$A:$J,6,FALSE)</f>
        <v>Chennai</v>
      </c>
      <c r="G1554" s="29" t="str">
        <f>VLOOKUP(A1554,File!$A:$J,7,FALSE)</f>
        <v>QEA26ST001</v>
      </c>
      <c r="H1554" s="29" t="str">
        <f>VLOOKUP(A1554,File!$A:$J,8,FALSE)</f>
        <v>Angel Maria Faustina Gomez</v>
      </c>
      <c r="I1554" s="31">
        <f>VLOOKUP(A1554,File!$A:$J,9,FALSE)</f>
        <v>46310</v>
      </c>
      <c r="J1554" s="31" t="str">
        <f>VLOOKUP(A1554,File!$A:$K,11,FALSE)</f>
        <v>Oct 2026</v>
      </c>
      <c r="K1554" s="31" t="str">
        <f>VLOOKUP(A1554,File!$A:$K,10,FALSE)</f>
        <v>In-Training</v>
      </c>
      <c r="L1554" s="31" t="s">
        <v>4</v>
      </c>
      <c r="M1554" t="str">
        <f>VLOOKUP(A1554,Response!$A:$M,7,)</f>
        <v>PG (Paying Guest)</v>
      </c>
      <c r="N1554" t="str">
        <f>VLOOKUP(A1554,Response!$A:$M,8,)</f>
        <v>Thirumala mens pg,  Navalur</v>
      </c>
      <c r="O1554" s="4" t="str">
        <f>VLOOKUP(A1554,Response!$A:$M,10,)</f>
        <v>GF</v>
      </c>
      <c r="P1554" t="str">
        <f>VLOOKUP(A1554,Response!$A:$M,12,)</f>
        <v>No</v>
      </c>
      <c r="Q1554" t="str">
        <f>VLOOKUP(A1554,Response!$A:$M,11,)</f>
        <v>Navalur</v>
      </c>
      <c r="R1554" t="s">
        <v>19</v>
      </c>
      <c r="S1554" s="39" t="s">
        <v>37</v>
      </c>
    </row>
    <row r="1555" spans="1:19">
      <c r="A1555" s="3">
        <v>2524524</v>
      </c>
      <c r="B1555" t="str">
        <f>VLOOKUP(A1555,File!$A:$J,2,FALSE)</f>
        <v>Utkarsh Nandkumar Koshti</v>
      </c>
      <c r="C1555" s="29">
        <f>VLOOKUP(A1555,File!$A:$J,5,FALSE)</f>
        <v>46224</v>
      </c>
      <c r="D1555" s="29" t="str">
        <f>VLOOKUP(A1555,File!$A:$J,3,FALSE)</f>
        <v>Male</v>
      </c>
      <c r="E1555" s="29" t="str">
        <f>VLOOKUP(A1555,File!$A:$J,4,FALSE)</f>
        <v>FTE</v>
      </c>
      <c r="F1555" s="29" t="str">
        <f>VLOOKUP(A1555,File!$A:$J,6,FALSE)</f>
        <v>Chennai</v>
      </c>
      <c r="G1555" s="29" t="str">
        <f>VLOOKUP(A1555,File!$A:$J,7,FALSE)</f>
        <v>QEA26QEPT024</v>
      </c>
      <c r="H1555" s="29" t="str">
        <f>VLOOKUP(A1555,File!$A:$J,8,FALSE)</f>
        <v>Ajiesya D P</v>
      </c>
      <c r="I1555" s="31">
        <f>VLOOKUP(A1555,File!$A:$J,9,FALSE)</f>
        <v>46330</v>
      </c>
      <c r="J1555" s="31" t="str">
        <f>VLOOKUP(A1555,File!$A:$K,11,FALSE)</f>
        <v>Nov 2026</v>
      </c>
      <c r="K1555" s="31" t="str">
        <f>VLOOKUP(A1555,File!$A:$K,10,FALSE)</f>
        <v>In-Training</v>
      </c>
      <c r="L1555" s="31" t="s">
        <v>4</v>
      </c>
      <c r="M1555" t="str">
        <f>VLOOKUP(A1555,Response!$A:$M,7,)</f>
        <v>PG (Paying Guest)</v>
      </c>
      <c r="N1555" t="str">
        <f>VLOOKUP(A1555,Response!$A:$M,8,)</f>
        <v>Three point residency, Sai sarvana gents pg, Parking-1, HIRANANDANI BRIDGEWOOD, Egattur, Tamil Nadu 600130, India</v>
      </c>
      <c r="O1555" s="4">
        <f>VLOOKUP(A1555,Response!$A:$M,10,)</f>
        <v>1</v>
      </c>
      <c r="P1555" t="str">
        <f>VLOOKUP(A1555,Response!$A:$M,12,)</f>
        <v>Yes</v>
      </c>
      <c r="Q1555" t="str">
        <f>VLOOKUP(A1555,Response!$A:$M,11,)</f>
        <v>Egattur</v>
      </c>
      <c r="R1555" t="s">
        <v>19</v>
      </c>
      <c r="S1555" s="39" t="s">
        <v>37</v>
      </c>
    </row>
    <row r="1556" spans="1:19">
      <c r="A1556" s="3">
        <v>2519677</v>
      </c>
      <c r="B1556" t="str">
        <f>VLOOKUP(A1556,File!$A:$J,2,FALSE)</f>
        <v>Pratheepraj Premkumar</v>
      </c>
      <c r="C1556" s="29">
        <f>VLOOKUP(A1556,File!$A:$J,5,FALSE)</f>
        <v>46205</v>
      </c>
      <c r="D1556" s="29" t="str">
        <f>VLOOKUP(A1556,File!$A:$J,3,FALSE)</f>
        <v>Male</v>
      </c>
      <c r="E1556" s="29" t="str">
        <f>VLOOKUP(A1556,File!$A:$J,4,FALSE)</f>
        <v>FTE</v>
      </c>
      <c r="F1556" s="29" t="str">
        <f>VLOOKUP(A1556,File!$A:$J,6,FALSE)</f>
        <v>Chennai</v>
      </c>
      <c r="G1556" s="29" t="str">
        <f>VLOOKUP(A1556,File!$A:$J,7,FALSE)</f>
        <v>CIS26MCPT013</v>
      </c>
      <c r="H1556" s="29" t="str">
        <f>VLOOKUP(A1556,File!$A:$J,8,FALSE)</f>
        <v>Lawrance M</v>
      </c>
      <c r="I1556" s="31">
        <f>VLOOKUP(A1556,File!$A:$J,9,FALSE)</f>
        <v>46324</v>
      </c>
      <c r="J1556" s="31" t="str">
        <f>VLOOKUP(A1556,File!$A:$K,11,FALSE)</f>
        <v>Oct 2026</v>
      </c>
      <c r="K1556" s="31" t="str">
        <f>VLOOKUP(A1556,File!$A:$K,10,FALSE)</f>
        <v>In-Training</v>
      </c>
      <c r="L1556" s="31" t="s">
        <v>4</v>
      </c>
      <c r="M1556" t="str">
        <f>VLOOKUP(A1556,Response!$A:$M,7,)</f>
        <v>PG (Paying Guest)</v>
      </c>
      <c r="N1556" t="str">
        <f>VLOOKUP(A1556,Response!$A:$M,8,)</f>
        <v>Tru liv sofia pg siruseri</v>
      </c>
      <c r="O1556" s="4">
        <f>VLOOKUP(A1556,Response!$A:$M,10,)</f>
        <v>3</v>
      </c>
      <c r="P1556" t="str">
        <f>VLOOKUP(A1556,Response!$A:$M,12,)</f>
        <v>No</v>
      </c>
      <c r="Q1556" t="str">
        <f>VLOOKUP(A1556,Response!$A:$M,11,)</f>
        <v>Siruseri</v>
      </c>
      <c r="R1556" t="s">
        <v>19</v>
      </c>
      <c r="S1556" s="39" t="s">
        <v>37</v>
      </c>
    </row>
    <row r="1557" spans="1:19">
      <c r="A1557" s="3">
        <v>2521750</v>
      </c>
      <c r="B1557" t="str">
        <f>VLOOKUP(A1557,File!$A:$J,2,FALSE)</f>
        <v>Jasfer Anton S</v>
      </c>
      <c r="C1557" s="29">
        <f>VLOOKUP(A1557,File!$A:$J,5,FALSE)</f>
        <v>46212</v>
      </c>
      <c r="D1557" s="29" t="str">
        <f>VLOOKUP(A1557,File!$A:$J,3,FALSE)</f>
        <v>Male</v>
      </c>
      <c r="E1557" s="29" t="str">
        <f>VLOOKUP(A1557,File!$A:$J,4,FALSE)</f>
        <v>FTE</v>
      </c>
      <c r="F1557" s="29" t="str">
        <f>VLOOKUP(A1557,File!$A:$J,6,FALSE)</f>
        <v>Chennai</v>
      </c>
      <c r="G1557" s="29" t="str">
        <f>VLOOKUP(A1557,File!$A:$J,7,FALSE)</f>
        <v>QEA26NFTPA001</v>
      </c>
      <c r="H1557" s="29" t="str">
        <f>VLOOKUP(A1557,File!$A:$J,8,FALSE)</f>
        <v>Lourdhu Selvin Raj X</v>
      </c>
      <c r="I1557" s="31">
        <f>VLOOKUP(A1557,File!$A:$J,9,FALSE)</f>
        <v>46337</v>
      </c>
      <c r="J1557" s="31" t="str">
        <f>VLOOKUP(A1557,File!$A:$K,11,FALSE)</f>
        <v>Nov 2026</v>
      </c>
      <c r="K1557" s="31" t="str">
        <f>VLOOKUP(A1557,File!$A:$K,10,FALSE)</f>
        <v>In-Training</v>
      </c>
      <c r="L1557" s="31" t="s">
        <v>4</v>
      </c>
      <c r="M1557" t="str">
        <f>VLOOKUP(A1557,Response!$A:$M,7,)</f>
        <v>PG (Paying Guest)</v>
      </c>
      <c r="N1557" t="str">
        <f>VLOOKUP(A1557,Response!$A:$M,8,)</f>
        <v>Truliv Hercules</v>
      </c>
      <c r="O1557" s="4">
        <f>VLOOKUP(A1557,Response!$A:$M,10,)</f>
        <v>10</v>
      </c>
      <c r="P1557" t="str">
        <f>VLOOKUP(A1557,Response!$A:$M,12,)</f>
        <v>No</v>
      </c>
      <c r="Q1557" t="str">
        <f>VLOOKUP(A1557,Response!$A:$M,11,)</f>
        <v>Navalur</v>
      </c>
      <c r="R1557" t="s">
        <v>19</v>
      </c>
      <c r="S1557" s="39" t="s">
        <v>37</v>
      </c>
    </row>
    <row r="1558" spans="1:19">
      <c r="A1558" s="3">
        <v>2511236</v>
      </c>
      <c r="B1558" t="str">
        <f>VLOOKUP(A1558,File!$A:$J,2,FALSE)</f>
        <v>Mayank Siwach</v>
      </c>
      <c r="C1558" s="29">
        <f>VLOOKUP(A1558,File!$A:$J,5,FALSE)</f>
        <v>46163</v>
      </c>
      <c r="D1558" s="29" t="str">
        <f>VLOOKUP(A1558,File!$A:$J,3,FALSE)</f>
        <v>Male</v>
      </c>
      <c r="E1558" s="29" t="str">
        <f>VLOOKUP(A1558,File!$A:$J,4,FALSE)</f>
        <v>FTE</v>
      </c>
      <c r="F1558" s="29" t="str">
        <f>VLOOKUP(A1558,File!$A:$J,6,FALSE)</f>
        <v>Chennai</v>
      </c>
      <c r="G1558" s="29" t="str">
        <f>VLOOKUP(A1558,File!$A:$J,7,FALSE)</f>
        <v>CIS26MCPT010</v>
      </c>
      <c r="H1558" s="29" t="str">
        <f>VLOOKUP(A1558,File!$A:$J,8,FALSE)</f>
        <v>Mohamed Harish</v>
      </c>
      <c r="I1558" s="31">
        <f>VLOOKUP(A1558,File!$A:$J,9,FALSE)</f>
        <v>46275</v>
      </c>
      <c r="J1558" s="31" t="str">
        <f>VLOOKUP(A1558,File!$A:$K,11,FALSE)</f>
        <v>Sep 2026</v>
      </c>
      <c r="K1558" s="31" t="str">
        <f>VLOOKUP(A1558,File!$A:$K,10,FALSE)</f>
        <v>In-Training</v>
      </c>
      <c r="L1558" s="31" t="s">
        <v>4</v>
      </c>
      <c r="M1558" t="str">
        <f>VLOOKUP(A1558,Response!$A:$M,7,)</f>
        <v>PG (Paying Guest)</v>
      </c>
      <c r="N1558" t="str">
        <f>VLOOKUP(A1558,Response!$A:$M,8,)</f>
        <v>Truliv Hercules - Co-living &amp; PG in Navalur</v>
      </c>
      <c r="O1558" s="4">
        <f>VLOOKUP(A1558,Response!$A:$M,10,)</f>
        <v>11</v>
      </c>
      <c r="P1558" t="str">
        <f>VLOOKUP(A1558,Response!$A:$M,12,)</f>
        <v>No</v>
      </c>
      <c r="Q1558" t="str">
        <f>VLOOKUP(A1558,Response!$A:$M,11,)</f>
        <v>Navalur</v>
      </c>
      <c r="R1558" t="s">
        <v>19</v>
      </c>
      <c r="S1558" s="39" t="s">
        <v>37</v>
      </c>
    </row>
    <row r="1559" spans="1:19">
      <c r="A1559" s="3">
        <v>2521839</v>
      </c>
      <c r="B1559" t="str">
        <f>VLOOKUP(A1559,File!$A:$J,2,FALSE)</f>
        <v>Manish Kumar Shukla</v>
      </c>
      <c r="C1559" s="29">
        <f>VLOOKUP(A1559,File!$A:$J,5,FALSE)</f>
        <v>46212</v>
      </c>
      <c r="D1559" s="29" t="str">
        <f>VLOOKUP(A1559,File!$A:$J,3,FALSE)</f>
        <v>Male</v>
      </c>
      <c r="E1559" s="29" t="str">
        <f>VLOOKUP(A1559,File!$A:$J,4,FALSE)</f>
        <v>FTE</v>
      </c>
      <c r="F1559" s="29" t="str">
        <f>VLOOKUP(A1559,File!$A:$J,6,FALSE)</f>
        <v>Chennai</v>
      </c>
      <c r="G1559" s="29" t="str">
        <f>VLOOKUP(A1559,File!$A:$J,7,FALSE)</f>
        <v>QEA26SD001</v>
      </c>
      <c r="H1559" s="29" t="str">
        <f>VLOOKUP(A1559,File!$A:$J,8,FALSE)</f>
        <v>Ajiesya D P</v>
      </c>
      <c r="I1559" s="31">
        <f>VLOOKUP(A1559,File!$A:$J,9,FALSE)</f>
        <v>46329</v>
      </c>
      <c r="J1559" s="31" t="str">
        <f>VLOOKUP(A1559,File!$A:$K,11,FALSE)</f>
        <v>Nov 2026</v>
      </c>
      <c r="K1559" s="31" t="str">
        <f>VLOOKUP(A1559,File!$A:$K,10,FALSE)</f>
        <v>In-Training</v>
      </c>
      <c r="L1559" s="31" t="s">
        <v>4</v>
      </c>
      <c r="M1559" t="str">
        <f>VLOOKUP(A1559,Response!$A:$M,7,)</f>
        <v>PG (Paying Guest)</v>
      </c>
      <c r="N1559" t="str">
        <f>VLOOKUP(A1559,Response!$A:$M,8,)</f>
        <v>Truliv Sofia</v>
      </c>
      <c r="O1559" s="4">
        <f>VLOOKUP(A1559,Response!$A:$M,10,)</f>
        <v>3</v>
      </c>
      <c r="P1559" t="str">
        <f>VLOOKUP(A1559,Response!$A:$M,12,)</f>
        <v>Yes</v>
      </c>
      <c r="Q1559" t="str">
        <f>VLOOKUP(A1559,Response!$A:$M,11,)</f>
        <v>Siruseri</v>
      </c>
      <c r="R1559" t="s">
        <v>19</v>
      </c>
      <c r="S1559" s="39" t="s">
        <v>37</v>
      </c>
    </row>
    <row r="1560" spans="1:19">
      <c r="A1560" s="3">
        <v>2530181</v>
      </c>
      <c r="B1560" t="str">
        <f>VLOOKUP(A1560,File!$A:$J,2,FALSE)</f>
        <v>Paul John Thaliyath</v>
      </c>
      <c r="C1560" s="29">
        <f>VLOOKUP(A1560,File!$A:$J,5,FALSE)</f>
        <v>46247</v>
      </c>
      <c r="D1560" s="29" t="str">
        <f>VLOOKUP(A1560,File!$A:$J,3,FALSE)</f>
        <v>Male</v>
      </c>
      <c r="E1560" s="29" t="str">
        <f>VLOOKUP(A1560,File!$A:$J,4,FALSE)</f>
        <v>FTE</v>
      </c>
      <c r="F1560" s="29" t="str">
        <f>VLOOKUP(A1560,File!$A:$J,6,FALSE)</f>
        <v>Chennai</v>
      </c>
      <c r="G1560" s="29" t="str">
        <f>VLOOKUP(A1560,File!$A:$J,7,FALSE)</f>
        <v>EPS26OSPPRO001</v>
      </c>
      <c r="H1560" s="29" t="str">
        <f>VLOOKUP(A1560,File!$A:$J,8,FALSE)</f>
        <v>Gayathri Ramachandran</v>
      </c>
      <c r="I1560" s="31">
        <f>VLOOKUP(A1560,File!$A:$J,9,FALSE)</f>
        <v>46363</v>
      </c>
      <c r="J1560" s="31" t="str">
        <f>VLOOKUP(A1560,File!$A:$K,11,FALSE)</f>
        <v>Dec 2026</v>
      </c>
      <c r="K1560" s="31" t="str">
        <f>VLOOKUP(A1560,File!$A:$K,10,FALSE)</f>
        <v>In-Training</v>
      </c>
      <c r="L1560" s="31" t="s">
        <v>4</v>
      </c>
      <c r="M1560" t="str">
        <f>VLOOKUP(A1560,Response!$A:$M,7,)</f>
        <v>PG (Paying Guest)</v>
      </c>
      <c r="N1560" t="str">
        <f>VLOOKUP(A1560,Response!$A:$M,8,)</f>
        <v>Truliv Sofia</v>
      </c>
      <c r="O1560" s="4">
        <f>VLOOKUP(A1560,Response!$A:$M,10,)</f>
        <v>3</v>
      </c>
      <c r="P1560" t="str">
        <f>VLOOKUP(A1560,Response!$A:$M,12,)</f>
        <v>Yes</v>
      </c>
      <c r="Q1560" t="str">
        <f>VLOOKUP(A1560,Response!$A:$M,11,)</f>
        <v>Siruseri</v>
      </c>
      <c r="R1560" t="s">
        <v>19</v>
      </c>
      <c r="S1560" s="39" t="s">
        <v>37</v>
      </c>
    </row>
    <row r="1561" spans="1:19">
      <c r="A1561" s="3">
        <v>2533592</v>
      </c>
      <c r="B1561" t="str">
        <f>VLOOKUP(A1561,File!$A:$J,2,FALSE)</f>
        <v>Berbin M S</v>
      </c>
      <c r="C1561" s="29">
        <f>VLOOKUP(A1561,File!$A:$J,5,FALSE)</f>
        <v>46261</v>
      </c>
      <c r="D1561" s="29" t="str">
        <f>VLOOKUP(A1561,File!$A:$J,3,FALSE)</f>
        <v>Male</v>
      </c>
      <c r="E1561" s="29" t="str">
        <f>VLOOKUP(A1561,File!$A:$J,4,FALSE)</f>
        <v>FTE</v>
      </c>
      <c r="F1561" s="29" t="str">
        <f>VLOOKUP(A1561,File!$A:$J,6,FALSE)</f>
        <v>Chennai</v>
      </c>
      <c r="G1561" s="29" t="str">
        <f>VLOOKUP(A1561,File!$A:$J,7,FALSE)</f>
        <v>EPS26SAP038</v>
      </c>
      <c r="H1561" s="29" t="str">
        <f>VLOOKUP(A1561,File!$A:$J,8,FALSE)</f>
        <v>Ajith Ganesan</v>
      </c>
      <c r="I1561" s="31">
        <f>VLOOKUP(A1561,File!$A:$J,9,FALSE)</f>
        <v>46322</v>
      </c>
      <c r="J1561" s="31" t="str">
        <f>VLOOKUP(A1561,File!$A:$K,11,FALSE)</f>
        <v>Oct 2026</v>
      </c>
      <c r="K1561" s="31" t="str">
        <f>VLOOKUP(A1561,File!$A:$K,10,FALSE)</f>
        <v>In-Training</v>
      </c>
      <c r="L1561" s="31" t="s">
        <v>4</v>
      </c>
      <c r="M1561" t="str">
        <f>VLOOKUP(A1561,Response!$A:$M,7,)</f>
        <v>PG (Paying Guest)</v>
      </c>
      <c r="N1561" t="str">
        <f>VLOOKUP(A1561,Response!$A:$M,8,)</f>
        <v>Truliv Sofia</v>
      </c>
      <c r="O1561" s="4">
        <f>VLOOKUP(A1561,Response!$A:$M,10,)</f>
        <v>3</v>
      </c>
      <c r="P1561" t="str">
        <f>VLOOKUP(A1561,Response!$A:$M,12,)</f>
        <v>Yes</v>
      </c>
      <c r="Q1561" t="str">
        <f>VLOOKUP(A1561,Response!$A:$M,11,)</f>
        <v>Siruseri</v>
      </c>
      <c r="R1561" t="s">
        <v>19</v>
      </c>
      <c r="S1561" s="39" t="s">
        <v>37</v>
      </c>
    </row>
    <row r="1562" spans="1:19">
      <c r="A1562" s="3">
        <v>2526126</v>
      </c>
      <c r="B1562" t="str">
        <f>VLOOKUP(A1562,File!$A:$J,2,FALSE)</f>
        <v>Sumit Dubey</v>
      </c>
      <c r="C1562" s="29">
        <f>VLOOKUP(A1562,File!$A:$J,5,FALSE)</f>
        <v>46231</v>
      </c>
      <c r="D1562" s="29" t="str">
        <f>VLOOKUP(A1562,File!$A:$J,3,FALSE)</f>
        <v>Male</v>
      </c>
      <c r="E1562" s="29" t="str">
        <f>VLOOKUP(A1562,File!$A:$J,4,FALSE)</f>
        <v>FTE</v>
      </c>
      <c r="F1562" s="29" t="str">
        <f>VLOOKUP(A1562,File!$A:$J,6,FALSE)</f>
        <v>Chennai</v>
      </c>
      <c r="G1562" s="29" t="str">
        <f>VLOOKUP(A1562,File!$A:$J,7,FALSE)</f>
        <v>EPS26WD005</v>
      </c>
      <c r="H1562" s="29" t="str">
        <f>VLOOKUP(A1562,File!$A:$J,8,FALSE)</f>
        <v>Vishnupriya Dakshnamurthy</v>
      </c>
      <c r="I1562" s="31">
        <f>VLOOKUP(A1562,File!$A:$J,9,FALSE)</f>
        <v>46332</v>
      </c>
      <c r="J1562" s="31" t="str">
        <f>VLOOKUP(A1562,File!$A:$K,11,FALSE)</f>
        <v>Nov 2026</v>
      </c>
      <c r="K1562" s="31" t="str">
        <f>VLOOKUP(A1562,File!$A:$K,10,FALSE)</f>
        <v>In-Training</v>
      </c>
      <c r="L1562" s="31" t="s">
        <v>4</v>
      </c>
      <c r="M1562" t="str">
        <f>VLOOKUP(A1562,Response!$A:$M,7,)</f>
        <v>PG (Paying Guest)</v>
      </c>
      <c r="N1562" t="str">
        <f>VLOOKUP(A1562,Response!$A:$M,8,)</f>
        <v>Truliv Sofia</v>
      </c>
      <c r="O1562" s="4">
        <f>VLOOKUP(A1562,Response!$A:$M,10,)</f>
        <v>3</v>
      </c>
      <c r="P1562" t="str">
        <f>VLOOKUP(A1562,Response!$A:$M,12,)</f>
        <v>No</v>
      </c>
      <c r="Q1562" t="str">
        <f>VLOOKUP(A1562,Response!$A:$M,11,)</f>
        <v>Siruseri</v>
      </c>
      <c r="R1562" t="s">
        <v>19</v>
      </c>
      <c r="S1562" s="39" t="s">
        <v>37</v>
      </c>
    </row>
    <row r="1563" spans="1:19">
      <c r="A1563" s="3">
        <v>2526143</v>
      </c>
      <c r="B1563" t="str">
        <f>VLOOKUP(A1563,File!$A:$J,2,FALSE)</f>
        <v>Himanshu Singh Sengar</v>
      </c>
      <c r="C1563" s="29">
        <f>VLOOKUP(A1563,File!$A:$J,5,FALSE)</f>
        <v>46231</v>
      </c>
      <c r="D1563" s="29" t="str">
        <f>VLOOKUP(A1563,File!$A:$J,3,FALSE)</f>
        <v>Male</v>
      </c>
      <c r="E1563" s="29" t="str">
        <f>VLOOKUP(A1563,File!$A:$J,4,FALSE)</f>
        <v>FTE</v>
      </c>
      <c r="F1563" s="29" t="str">
        <f>VLOOKUP(A1563,File!$A:$J,6,FALSE)</f>
        <v>Chennai</v>
      </c>
      <c r="G1563" s="29" t="str">
        <f>VLOOKUP(A1563,File!$A:$J,7,FALSE)</f>
        <v>EPS26WD006</v>
      </c>
      <c r="H1563" s="29" t="str">
        <f>VLOOKUP(A1563,File!$A:$J,8,FALSE)</f>
        <v>Vishnupriya Dakshnamurthy</v>
      </c>
      <c r="I1563" s="31">
        <f>VLOOKUP(A1563,File!$A:$J,9,FALSE)</f>
        <v>46353</v>
      </c>
      <c r="J1563" s="31" t="str">
        <f>VLOOKUP(A1563,File!$A:$K,11,FALSE)</f>
        <v>Nov 2026</v>
      </c>
      <c r="K1563" s="31" t="str">
        <f>VLOOKUP(A1563,File!$A:$K,10,FALSE)</f>
        <v>In-Training</v>
      </c>
      <c r="L1563" s="31" t="s">
        <v>4</v>
      </c>
      <c r="M1563" t="str">
        <f>VLOOKUP(A1563,Response!$A:$M,7,)</f>
        <v>PG (Paying Guest)</v>
      </c>
      <c r="N1563" t="str">
        <f>VLOOKUP(A1563,Response!$A:$M,8,)</f>
        <v>Truliv Sofia - Co-living &amp; PG in Siruseri</v>
      </c>
      <c r="O1563" s="4">
        <f>VLOOKUP(A1563,Response!$A:$M,10,)</f>
        <v>2</v>
      </c>
      <c r="P1563" t="str">
        <f>VLOOKUP(A1563,Response!$A:$M,12,)</f>
        <v>Yes</v>
      </c>
      <c r="Q1563" t="str">
        <f>VLOOKUP(A1563,Response!$A:$M,11,)</f>
        <v>Siruseri</v>
      </c>
      <c r="R1563" t="s">
        <v>19</v>
      </c>
      <c r="S1563" s="39" t="s">
        <v>37</v>
      </c>
    </row>
    <row r="1564" spans="1:19">
      <c r="A1564" s="3">
        <v>2529653</v>
      </c>
      <c r="B1564" t="str">
        <f>VLOOKUP(A1564,File!$A:$J,2,FALSE)</f>
        <v>Khushi Agrawal</v>
      </c>
      <c r="C1564" s="29">
        <f>VLOOKUP(A1564,File!$A:$J,5,FALSE)</f>
        <v>46245</v>
      </c>
      <c r="D1564" s="29" t="str">
        <f>VLOOKUP(A1564,File!$A:$J,3,FALSE)</f>
        <v>Female</v>
      </c>
      <c r="E1564" s="29" t="str">
        <f>VLOOKUP(A1564,File!$A:$J,4,FALSE)</f>
        <v>FTE</v>
      </c>
      <c r="F1564" s="29" t="str">
        <f>VLOOKUP(A1564,File!$A:$J,6,FALSE)</f>
        <v>Chennai</v>
      </c>
      <c r="G1564" s="29" t="str">
        <f>VLOOKUP(A1564,File!$A:$J,7,FALSE)</f>
        <v>EPS26SAP031</v>
      </c>
      <c r="H1564" s="29" t="str">
        <f>VLOOKUP(A1564,File!$A:$J,8,FALSE)</f>
        <v>Akashraj R</v>
      </c>
      <c r="I1564" s="31">
        <f>VLOOKUP(A1564,File!$A:$J,9,FALSE)</f>
        <v>46330</v>
      </c>
      <c r="J1564" s="31" t="str">
        <f>VLOOKUP(A1564,File!$A:$K,11,FALSE)</f>
        <v>Nov 2026</v>
      </c>
      <c r="K1564" s="31" t="str">
        <f>VLOOKUP(A1564,File!$A:$K,10,FALSE)</f>
        <v>In-Training</v>
      </c>
      <c r="L1564" s="31" t="s">
        <v>4</v>
      </c>
      <c r="M1564" t="str">
        <f>VLOOKUP(A1564,Response!$A:$M,7,)</f>
        <v>PG (Paying Guest)</v>
      </c>
      <c r="N1564" t="str">
        <f>VLOOKUP(A1564,Response!$A:$M,8,)</f>
        <v>Truliv Sofia - PG in Seruseri</v>
      </c>
      <c r="O1564" s="4">
        <f>VLOOKUP(A1564,Response!$A:$M,10,)</f>
        <v>1</v>
      </c>
      <c r="P1564" t="str">
        <f>VLOOKUP(A1564,Response!$A:$M,12,)</f>
        <v>No</v>
      </c>
      <c r="Q1564" t="str">
        <f>VLOOKUP(A1564,Response!$A:$M,11,)</f>
        <v>Siruseri</v>
      </c>
      <c r="R1564" t="s">
        <v>19</v>
      </c>
      <c r="S1564" s="39" t="s">
        <v>37</v>
      </c>
    </row>
    <row r="1565" spans="1:19">
      <c r="A1565" s="3">
        <v>2531399</v>
      </c>
      <c r="B1565" t="str">
        <f>VLOOKUP(A1565,File!$A:$J,2,FALSE)</f>
        <v>Vinod Kumar Bishnoi</v>
      </c>
      <c r="C1565" s="29">
        <f>VLOOKUP(A1565,File!$A:$J,5,FALSE)</f>
        <v>46252</v>
      </c>
      <c r="D1565" s="29" t="str">
        <f>VLOOKUP(A1565,File!$A:$J,3,FALSE)</f>
        <v>Male</v>
      </c>
      <c r="E1565" s="29" t="str">
        <f>VLOOKUP(A1565,File!$A:$J,4,FALSE)</f>
        <v>FTE</v>
      </c>
      <c r="F1565" s="29" t="str">
        <f>VLOOKUP(A1565,File!$A:$J,6,FALSE)</f>
        <v>Chennai</v>
      </c>
      <c r="G1565" s="29" t="str">
        <f>VLOOKUP(A1565,File!$A:$J,7,FALSE)</f>
        <v>EPS26SAP036</v>
      </c>
      <c r="H1565" s="29" t="str">
        <f>VLOOKUP(A1565,File!$A:$J,8,FALSE)</f>
        <v>Vishnupriya Dakshnamurthy</v>
      </c>
      <c r="I1565" s="31">
        <f>VLOOKUP(A1565,File!$A:$J,9,FALSE)</f>
        <v>46335</v>
      </c>
      <c r="J1565" s="31" t="str">
        <f>VLOOKUP(A1565,File!$A:$K,11,FALSE)</f>
        <v>Nov 2026</v>
      </c>
      <c r="K1565" s="31" t="str">
        <f>VLOOKUP(A1565,File!$A:$K,10,FALSE)</f>
        <v>In-Training</v>
      </c>
      <c r="L1565" s="31" t="s">
        <v>4</v>
      </c>
      <c r="M1565" t="str">
        <f>VLOOKUP(A1565,Response!$A:$M,7,)</f>
        <v>PG (Paying Guest)</v>
      </c>
      <c r="N1565" t="str">
        <f>VLOOKUP(A1565,Response!$A:$M,8,)</f>
        <v>Truliv Sofia Co-living &amp; pg</v>
      </c>
      <c r="O1565" s="4">
        <f>VLOOKUP(A1565,Response!$A:$M,10,)</f>
        <v>2</v>
      </c>
      <c r="P1565" t="str">
        <f>VLOOKUP(A1565,Response!$A:$M,12,)</f>
        <v>No</v>
      </c>
      <c r="Q1565" t="str">
        <f>VLOOKUP(A1565,Response!$A:$M,11,)</f>
        <v>Siruseri</v>
      </c>
      <c r="R1565" t="s">
        <v>19</v>
      </c>
      <c r="S1565" s="39" t="s">
        <v>37</v>
      </c>
    </row>
    <row r="1566" spans="1:19">
      <c r="A1566" s="3">
        <v>2521838</v>
      </c>
      <c r="B1566" t="str">
        <f>VLOOKUP(A1566,File!$A:$J,2,FALSE)</f>
        <v>Ayush Gupta</v>
      </c>
      <c r="C1566" s="29">
        <f>VLOOKUP(A1566,File!$A:$J,5,FALSE)</f>
        <v>46212</v>
      </c>
      <c r="D1566" s="29" t="str">
        <f>VLOOKUP(A1566,File!$A:$J,3,FALSE)</f>
        <v>Male</v>
      </c>
      <c r="E1566" s="29" t="str">
        <f>VLOOKUP(A1566,File!$A:$J,4,FALSE)</f>
        <v>FTE</v>
      </c>
      <c r="F1566" s="29" t="str">
        <f>VLOOKUP(A1566,File!$A:$J,6,FALSE)</f>
        <v>Chennai</v>
      </c>
      <c r="G1566" s="29" t="str">
        <f>VLOOKUP(A1566,File!$A:$J,7,FALSE)</f>
        <v>QEA26SD001</v>
      </c>
      <c r="H1566" s="29" t="str">
        <f>VLOOKUP(A1566,File!$A:$J,8,FALSE)</f>
        <v>Ajiesya D P</v>
      </c>
      <c r="I1566" s="31">
        <f>VLOOKUP(A1566,File!$A:$J,9,FALSE)</f>
        <v>46329</v>
      </c>
      <c r="J1566" s="31" t="str">
        <f>VLOOKUP(A1566,File!$A:$K,11,FALSE)</f>
        <v>Nov 2026</v>
      </c>
      <c r="K1566" s="31" t="str">
        <f>VLOOKUP(A1566,File!$A:$K,10,FALSE)</f>
        <v>In-Training</v>
      </c>
      <c r="L1566" s="31" t="s">
        <v>4</v>
      </c>
      <c r="M1566" t="str">
        <f>VLOOKUP(A1566,Response!$A:$M,7,)</f>
        <v>PG (Paying Guest)</v>
      </c>
      <c r="N1566" t="str">
        <f>VLOOKUP(A1566,Response!$A:$M,8,)</f>
        <v>Truliv Sofia Coliving and PG</v>
      </c>
      <c r="O1566" s="4">
        <f>VLOOKUP(A1566,Response!$A:$M,10,)</f>
        <v>3</v>
      </c>
      <c r="P1566" t="str">
        <f>VLOOKUP(A1566,Response!$A:$M,12,)</f>
        <v>No</v>
      </c>
      <c r="Q1566" t="str">
        <f>VLOOKUP(A1566,Response!$A:$M,11,)</f>
        <v>Siruseri</v>
      </c>
      <c r="R1566" t="s">
        <v>19</v>
      </c>
      <c r="S1566" s="39" t="s">
        <v>37</v>
      </c>
    </row>
    <row r="1567" spans="1:19">
      <c r="A1567" s="3">
        <v>2530194</v>
      </c>
      <c r="B1567" t="str">
        <f>VLOOKUP(A1567,File!$A:$J,2,FALSE)</f>
        <v>Shreesh Prateek Pathak</v>
      </c>
      <c r="C1567" s="29">
        <f>VLOOKUP(A1567,File!$A:$J,5,FALSE)</f>
        <v>46247</v>
      </c>
      <c r="D1567" s="29" t="str">
        <f>VLOOKUP(A1567,File!$A:$J,3,FALSE)</f>
        <v>Male</v>
      </c>
      <c r="E1567" s="29" t="str">
        <f>VLOOKUP(A1567,File!$A:$J,4,FALSE)</f>
        <v>FTE</v>
      </c>
      <c r="F1567" s="29" t="str">
        <f>VLOOKUP(A1567,File!$A:$J,6,FALSE)</f>
        <v>Chennai</v>
      </c>
      <c r="G1567" s="29" t="str">
        <f>VLOOKUP(A1567,File!$A:$J,7,FALSE)</f>
        <v>EPS26OSP010</v>
      </c>
      <c r="H1567" s="29" t="str">
        <f>VLOOKUP(A1567,File!$A:$J,8,FALSE)</f>
        <v>Vishnupriya Dakshnamurthy</v>
      </c>
      <c r="I1567" s="31">
        <f>VLOOKUP(A1567,File!$A:$J,9,FALSE)</f>
        <v>46357</v>
      </c>
      <c r="J1567" s="31" t="str">
        <f>VLOOKUP(A1567,File!$A:$K,11,FALSE)</f>
        <v>Dec 2026</v>
      </c>
      <c r="K1567" s="31" t="str">
        <f>VLOOKUP(A1567,File!$A:$K,10,FALSE)</f>
        <v>In-Training</v>
      </c>
      <c r="L1567" s="31" t="s">
        <v>4</v>
      </c>
      <c r="M1567" t="str">
        <f>VLOOKUP(A1567,Response!$A:$M,7,)</f>
        <v>PG (Paying Guest)</v>
      </c>
      <c r="N1567" t="str">
        <f>VLOOKUP(A1567,Response!$A:$M,8,)</f>
        <v>Truliv Sofia PG Siruseri</v>
      </c>
      <c r="O1567" s="4">
        <f>VLOOKUP(A1567,Response!$A:$M,10,)</f>
        <v>2</v>
      </c>
      <c r="P1567" t="str">
        <f>VLOOKUP(A1567,Response!$A:$M,12,)</f>
        <v>No</v>
      </c>
      <c r="Q1567" t="str">
        <f>VLOOKUP(A1567,Response!$A:$M,11,)</f>
        <v>Siruseri</v>
      </c>
      <c r="R1567" t="s">
        <v>19</v>
      </c>
      <c r="S1567" s="39" t="s">
        <v>37</v>
      </c>
    </row>
    <row r="1568" spans="1:19">
      <c r="A1568" s="3">
        <v>2530218</v>
      </c>
      <c r="B1568" t="str">
        <f>VLOOKUP(A1568,File!$A:$J,2,FALSE)</f>
        <v>Suraj Panayanchira Sunilkumar</v>
      </c>
      <c r="C1568" s="29">
        <f>VLOOKUP(A1568,File!$A:$J,5,FALSE)</f>
        <v>46247</v>
      </c>
      <c r="D1568" s="29" t="str">
        <f>VLOOKUP(A1568,File!$A:$J,3,FALSE)</f>
        <v>Male</v>
      </c>
      <c r="E1568" s="29" t="str">
        <f>VLOOKUP(A1568,File!$A:$J,4,FALSE)</f>
        <v>FTE</v>
      </c>
      <c r="F1568" s="29" t="str">
        <f>VLOOKUP(A1568,File!$A:$J,6,FALSE)</f>
        <v>Chennai</v>
      </c>
      <c r="G1568" s="29" t="str">
        <f>VLOOKUP(A1568,File!$A:$J,7,FALSE)</f>
        <v>EPS26OSPPRO001</v>
      </c>
      <c r="H1568" s="29" t="str">
        <f>VLOOKUP(A1568,File!$A:$J,8,FALSE)</f>
        <v>Gayathri Ramachandran</v>
      </c>
      <c r="I1568" s="31">
        <f>VLOOKUP(A1568,File!$A:$J,9,FALSE)</f>
        <v>46363</v>
      </c>
      <c r="J1568" s="31" t="str">
        <f>VLOOKUP(A1568,File!$A:$K,11,FALSE)</f>
        <v>Dec 2026</v>
      </c>
      <c r="K1568" s="31" t="str">
        <f>VLOOKUP(A1568,File!$A:$K,10,FALSE)</f>
        <v>In-Training</v>
      </c>
      <c r="L1568" s="31" t="s">
        <v>4</v>
      </c>
      <c r="M1568" t="str">
        <f>VLOOKUP(A1568,Response!$A:$M,7,)</f>
        <v>PG (Paying Guest)</v>
      </c>
      <c r="N1568" t="str">
        <f>VLOOKUP(A1568,Response!$A:$M,8,)</f>
        <v xml:space="preserve">Truliv Sofia, Kazhipattur, Siruseri, Chennai, Tamil Nadu </v>
      </c>
      <c r="O1568" s="4">
        <f>VLOOKUP(A1568,Response!$A:$M,10,)</f>
        <v>3</v>
      </c>
      <c r="P1568" t="str">
        <f>VLOOKUP(A1568,Response!$A:$M,12,)</f>
        <v>No</v>
      </c>
      <c r="Q1568" t="str">
        <f>VLOOKUP(A1568,Response!$A:$M,11,)</f>
        <v>Siruseri</v>
      </c>
      <c r="R1568" t="s">
        <v>19</v>
      </c>
      <c r="S1568" s="39" t="s">
        <v>37</v>
      </c>
    </row>
    <row r="1569" spans="1:19">
      <c r="A1569" s="3">
        <v>2530191</v>
      </c>
      <c r="B1569" t="str">
        <f>VLOOKUP(A1569,File!$A:$J,2,FALSE)</f>
        <v>Rasagya Sharma</v>
      </c>
      <c r="C1569" s="29">
        <f>VLOOKUP(A1569,File!$A:$J,5,FALSE)</f>
        <v>46247</v>
      </c>
      <c r="D1569" s="29" t="str">
        <f>VLOOKUP(A1569,File!$A:$J,3,FALSE)</f>
        <v>Male</v>
      </c>
      <c r="E1569" s="29" t="str">
        <f>VLOOKUP(A1569,File!$A:$J,4,FALSE)</f>
        <v>FTE</v>
      </c>
      <c r="F1569" s="29" t="str">
        <f>VLOOKUP(A1569,File!$A:$J,6,FALSE)</f>
        <v>Chennai</v>
      </c>
      <c r="G1569" s="29" t="str">
        <f>VLOOKUP(A1569,File!$A:$J,7,FALSE)</f>
        <v>EPS26OSPPRO001</v>
      </c>
      <c r="H1569" s="29" t="str">
        <f>VLOOKUP(A1569,File!$A:$J,8,FALSE)</f>
        <v>Gayathri Ramachandran</v>
      </c>
      <c r="I1569" s="31">
        <f>VLOOKUP(A1569,File!$A:$J,9,FALSE)</f>
        <v>46363</v>
      </c>
      <c r="J1569" s="31" t="str">
        <f>VLOOKUP(A1569,File!$A:$K,11,FALSE)</f>
        <v>Dec 2026</v>
      </c>
      <c r="K1569" s="31" t="str">
        <f>VLOOKUP(A1569,File!$A:$K,10,FALSE)</f>
        <v>In-Training</v>
      </c>
      <c r="L1569" s="31" t="s">
        <v>4</v>
      </c>
      <c r="M1569" t="str">
        <f>VLOOKUP(A1569,Response!$A:$M,7,)</f>
        <v>PG (Paying Guest)</v>
      </c>
      <c r="N1569" t="str">
        <f>VLOOKUP(A1569,Response!$A:$M,8,)</f>
        <v>Truliv Sofia, plot-276 10th street, Srinivasan Nagar, Siruseri</v>
      </c>
      <c r="O1569" s="4">
        <f>VLOOKUP(A1569,Response!$A:$M,10,)</f>
        <v>3</v>
      </c>
      <c r="P1569" t="str">
        <f>VLOOKUP(A1569,Response!$A:$M,12,)</f>
        <v>No</v>
      </c>
      <c r="Q1569" t="str">
        <f>VLOOKUP(A1569,Response!$A:$M,11,)</f>
        <v>Siruseri</v>
      </c>
      <c r="R1569" t="s">
        <v>19</v>
      </c>
      <c r="S1569" s="39" t="s">
        <v>37</v>
      </c>
    </row>
    <row r="1570" spans="1:19">
      <c r="A1570" s="3">
        <v>2520973</v>
      </c>
      <c r="B1570" t="str">
        <f>VLOOKUP(A1570,File!$A:$J,2,FALSE)</f>
        <v>K S Subramanya Char</v>
      </c>
      <c r="C1570" s="29">
        <f>VLOOKUP(A1570,File!$A:$J,5,FALSE)</f>
        <v>46210</v>
      </c>
      <c r="D1570" s="29" t="str">
        <f>VLOOKUP(A1570,File!$A:$J,3,FALSE)</f>
        <v>Male</v>
      </c>
      <c r="E1570" s="29" t="str">
        <f>VLOOKUP(A1570,File!$A:$J,4,FALSE)</f>
        <v>FTE</v>
      </c>
      <c r="F1570" s="29" t="str">
        <f>VLOOKUP(A1570,File!$A:$J,6,FALSE)</f>
        <v>Chennai</v>
      </c>
      <c r="G1570" s="29" t="str">
        <f>VLOOKUP(A1570,File!$A:$J,7,FALSE)</f>
        <v>CS26CS008</v>
      </c>
      <c r="H1570" s="29" t="str">
        <f>VLOOKUP(A1570,File!$A:$J,8,FALSE)</f>
        <v>Kishorekumar P</v>
      </c>
      <c r="I1570" s="31">
        <f>VLOOKUP(A1570,File!$A:$J,9,FALSE)</f>
        <v>46323</v>
      </c>
      <c r="J1570" s="31" t="str">
        <f>VLOOKUP(A1570,File!$A:$K,11,FALSE)</f>
        <v>Oct 2026</v>
      </c>
      <c r="K1570" s="31" t="str">
        <f>VLOOKUP(A1570,File!$A:$K,10,FALSE)</f>
        <v>In-Training</v>
      </c>
      <c r="L1570" s="31" t="s">
        <v>4</v>
      </c>
      <c r="M1570" t="str">
        <f>VLOOKUP(A1570,Response!$A:$M,7,)</f>
        <v>PG (Paying Guest)</v>
      </c>
      <c r="N1570" t="str">
        <f>VLOOKUP(A1570,Response!$A:$M,8,)</f>
        <v>Truliv Sofia, Siruseri</v>
      </c>
      <c r="O1570" s="4">
        <f>VLOOKUP(A1570,Response!$A:$M,10,)</f>
        <v>4</v>
      </c>
      <c r="P1570" t="str">
        <f>VLOOKUP(A1570,Response!$A:$M,12,)</f>
        <v>No</v>
      </c>
      <c r="Q1570" t="str">
        <f>VLOOKUP(A1570,Response!$A:$M,11,)</f>
        <v>Siruseri</v>
      </c>
      <c r="R1570" t="s">
        <v>19</v>
      </c>
      <c r="S1570" s="39" t="s">
        <v>37</v>
      </c>
    </row>
    <row r="1571" spans="1:19">
      <c r="A1571" s="3">
        <v>2519612</v>
      </c>
      <c r="B1571" t="str">
        <f>VLOOKUP(A1571,File!$A:$J,2,FALSE)</f>
        <v>Sidharth K</v>
      </c>
      <c r="C1571" s="29">
        <f>VLOOKUP(A1571,File!$A:$J,5,FALSE)</f>
        <v>46205</v>
      </c>
      <c r="D1571" s="29" t="str">
        <f>VLOOKUP(A1571,File!$A:$J,3,FALSE)</f>
        <v>Male</v>
      </c>
      <c r="E1571" s="29" t="str">
        <f>VLOOKUP(A1571,File!$A:$J,4,FALSE)</f>
        <v>FTE</v>
      </c>
      <c r="F1571" s="29" t="str">
        <f>VLOOKUP(A1571,File!$A:$J,6,FALSE)</f>
        <v>Chennai</v>
      </c>
      <c r="G1571" s="29" t="str">
        <f>VLOOKUP(A1571,File!$A:$J,7,FALSE)</f>
        <v>CIS26UNIX003</v>
      </c>
      <c r="H1571" s="29" t="str">
        <f>VLOOKUP(A1571,File!$A:$J,8,FALSE)</f>
        <v>Haritha P</v>
      </c>
      <c r="I1571" s="31">
        <f>VLOOKUP(A1571,File!$A:$J,9,FALSE)</f>
        <v>46289</v>
      </c>
      <c r="J1571" s="31" t="str">
        <f>VLOOKUP(A1571,File!$A:$K,11,FALSE)</f>
        <v>Sep 2026</v>
      </c>
      <c r="K1571" s="31" t="str">
        <f>VLOOKUP(A1571,File!$A:$K,10,FALSE)</f>
        <v>In-Training</v>
      </c>
      <c r="L1571" s="31" t="s">
        <v>4</v>
      </c>
      <c r="M1571" t="str">
        <f>VLOOKUP(A1571,Response!$A:$M,7,)</f>
        <v>PG (Paying Guest)</v>
      </c>
      <c r="N1571" t="str">
        <f>VLOOKUP(A1571,Response!$A:$M,8,)</f>
        <v>Truliv Sofia, Srinivasa Nagar</v>
      </c>
      <c r="O1571" s="4">
        <f>VLOOKUP(A1571,Response!$A:$M,10,)</f>
        <v>3</v>
      </c>
      <c r="P1571" t="str">
        <f>VLOOKUP(A1571,Response!$A:$M,12,)</f>
        <v>No</v>
      </c>
      <c r="Q1571" t="str">
        <f>VLOOKUP(A1571,Response!$A:$M,11,)</f>
        <v>Siruseri</v>
      </c>
      <c r="R1571" t="s">
        <v>19</v>
      </c>
      <c r="S1571" s="39" t="s">
        <v>37</v>
      </c>
    </row>
    <row r="1572" spans="1:19">
      <c r="A1572" s="3">
        <v>2529573</v>
      </c>
      <c r="B1572" t="str">
        <f>VLOOKUP(A1572,File!$A:$J,2,FALSE)</f>
        <v>Pratiksha Anil Shinde</v>
      </c>
      <c r="C1572" s="29">
        <f>VLOOKUP(A1572,File!$A:$J,5,FALSE)</f>
        <v>46245</v>
      </c>
      <c r="D1572" s="29" t="str">
        <f>VLOOKUP(A1572,File!$A:$J,3,FALSE)</f>
        <v>Female</v>
      </c>
      <c r="E1572" s="29" t="str">
        <f>VLOOKUP(A1572,File!$A:$J,4,FALSE)</f>
        <v>FTE</v>
      </c>
      <c r="F1572" s="29" t="str">
        <f>VLOOKUP(A1572,File!$A:$J,6,FALSE)</f>
        <v>Chennai</v>
      </c>
      <c r="G1572" s="29" t="str">
        <f>VLOOKUP(A1572,File!$A:$J,7,FALSE)</f>
        <v>CIS26MCPT022</v>
      </c>
      <c r="H1572" s="29" t="str">
        <f>VLOOKUP(A1572,File!$A:$J,8,FALSE)</f>
        <v>Laksiya Vijayendran</v>
      </c>
      <c r="I1572" s="31">
        <f>VLOOKUP(A1572,File!$A:$J,9,FALSE)</f>
        <v>46359</v>
      </c>
      <c r="J1572" s="31" t="str">
        <f>VLOOKUP(A1572,File!$A:$K,11,FALSE)</f>
        <v>Dec 2026</v>
      </c>
      <c r="K1572" s="31" t="str">
        <f>VLOOKUP(A1572,File!$A:$K,10,FALSE)</f>
        <v>In-Training</v>
      </c>
      <c r="L1572" s="31" t="s">
        <v>4</v>
      </c>
      <c r="M1572" t="str">
        <f>VLOOKUP(A1572,Response!$A:$M,7,)</f>
        <v>PG (Paying Guest)</v>
      </c>
      <c r="N1572" t="str">
        <f>VLOOKUP(A1572,Response!$A:$M,8,)</f>
        <v xml:space="preserve">Trulive hercules navalur </v>
      </c>
      <c r="O1572" s="4">
        <f>VLOOKUP(A1572,Response!$A:$M,10,)</f>
        <v>6</v>
      </c>
      <c r="P1572" t="str">
        <f>VLOOKUP(A1572,Response!$A:$M,12,)</f>
        <v>Yes</v>
      </c>
      <c r="Q1572" t="str">
        <f>VLOOKUP(A1572,Response!$A:$M,11,)</f>
        <v>Navalur</v>
      </c>
      <c r="R1572" t="s">
        <v>19</v>
      </c>
      <c r="S1572" s="39" t="s">
        <v>37</v>
      </c>
    </row>
    <row r="1573" spans="1:19">
      <c r="A1573" s="3">
        <v>2531400</v>
      </c>
      <c r="B1573" t="str">
        <f>VLOOKUP(A1573,File!$A:$J,2,FALSE)</f>
        <v>Manisha Bishnoi</v>
      </c>
      <c r="C1573" s="29">
        <f>VLOOKUP(A1573,File!$A:$J,5,FALSE)</f>
        <v>46252</v>
      </c>
      <c r="D1573" s="29" t="str">
        <f>VLOOKUP(A1573,File!$A:$J,3,FALSE)</f>
        <v>Female</v>
      </c>
      <c r="E1573" s="29" t="str">
        <f>VLOOKUP(A1573,File!$A:$J,4,FALSE)</f>
        <v>FTE</v>
      </c>
      <c r="F1573" s="29" t="str">
        <f>VLOOKUP(A1573,File!$A:$J,6,FALSE)</f>
        <v>Chennai</v>
      </c>
      <c r="G1573" s="29" t="str">
        <f>VLOOKUP(A1573,File!$A:$J,7,FALSE)</f>
        <v>EPS26SAP036</v>
      </c>
      <c r="H1573" s="29" t="str">
        <f>VLOOKUP(A1573,File!$A:$J,8,FALSE)</f>
        <v>Vishnupriya Dakshnamurthy</v>
      </c>
      <c r="I1573" s="31">
        <f>VLOOKUP(A1573,File!$A:$J,9,FALSE)</f>
        <v>46335</v>
      </c>
      <c r="J1573" s="31" t="str">
        <f>VLOOKUP(A1573,File!$A:$K,11,FALSE)</f>
        <v>Nov 2026</v>
      </c>
      <c r="K1573" s="31" t="str">
        <f>VLOOKUP(A1573,File!$A:$K,10,FALSE)</f>
        <v>In-Training</v>
      </c>
      <c r="L1573" s="31" t="s">
        <v>4</v>
      </c>
      <c r="M1573" t="str">
        <f>VLOOKUP(A1573,Response!$A:$M,7,)</f>
        <v>PG (Paying Guest)</v>
      </c>
      <c r="N1573" t="str">
        <f>VLOOKUP(A1573,Response!$A:$M,8,)</f>
        <v>truliv-sofia-co-living</v>
      </c>
      <c r="O1573" s="4">
        <f>VLOOKUP(A1573,Response!$A:$M,10,)</f>
        <v>1</v>
      </c>
      <c r="P1573" t="str">
        <f>VLOOKUP(A1573,Response!$A:$M,12,)</f>
        <v>No</v>
      </c>
      <c r="Q1573" t="str">
        <f>VLOOKUP(A1573,Response!$A:$M,11,)</f>
        <v>Uthandi</v>
      </c>
      <c r="R1573" t="s">
        <v>17</v>
      </c>
      <c r="S1573" s="39" t="s">
        <v>37</v>
      </c>
    </row>
    <row r="1574" spans="1:19">
      <c r="A1574" s="3">
        <v>2526133</v>
      </c>
      <c r="B1574" t="str">
        <f>VLOOKUP(A1574,File!$A:$J,2,FALSE)</f>
        <v>Rajnish Kumar</v>
      </c>
      <c r="C1574" s="29">
        <f>VLOOKUP(A1574,File!$A:$J,5,FALSE)</f>
        <v>46231</v>
      </c>
      <c r="D1574" s="29" t="str">
        <f>VLOOKUP(A1574,File!$A:$J,3,FALSE)</f>
        <v>Male</v>
      </c>
      <c r="E1574" s="29" t="str">
        <f>VLOOKUP(A1574,File!$A:$J,4,FALSE)</f>
        <v>FTE</v>
      </c>
      <c r="F1574" s="29" t="str">
        <f>VLOOKUP(A1574,File!$A:$J,6,FALSE)</f>
        <v>Chennai</v>
      </c>
      <c r="G1574" s="29" t="str">
        <f>VLOOKUP(A1574,File!$A:$J,7,FALSE)</f>
        <v>EPS26WD005</v>
      </c>
      <c r="H1574" s="29" t="str">
        <f>VLOOKUP(A1574,File!$A:$J,8,FALSE)</f>
        <v>Vishnupriya Dakshnamurthy</v>
      </c>
      <c r="I1574" s="31">
        <f>VLOOKUP(A1574,File!$A:$J,9,FALSE)</f>
        <v>46332</v>
      </c>
      <c r="J1574" s="31" t="str">
        <f>VLOOKUP(A1574,File!$A:$K,11,FALSE)</f>
        <v>Nov 2026</v>
      </c>
      <c r="K1574" s="31" t="str">
        <f>VLOOKUP(A1574,File!$A:$K,10,FALSE)</f>
        <v>In-Training</v>
      </c>
      <c r="L1574" s="31" t="s">
        <v>4</v>
      </c>
      <c r="M1574" t="str">
        <f>VLOOKUP(A1574,Response!$A:$M,7,)</f>
        <v>PG (Paying Guest)</v>
      </c>
      <c r="N1574" t="str">
        <f>VLOOKUP(A1574,Response!$A:$M,8,)</f>
        <v>Trulliv sofia PG , Siruseri IT park 10th cross street</v>
      </c>
      <c r="O1574" s="4">
        <f>VLOOKUP(A1574,Response!$A:$M,10,)</f>
        <v>2</v>
      </c>
      <c r="P1574" t="str">
        <f>VLOOKUP(A1574,Response!$A:$M,12,)</f>
        <v>No</v>
      </c>
      <c r="Q1574" t="str">
        <f>VLOOKUP(A1574,Response!$A:$M,11,)</f>
        <v>Siruseri</v>
      </c>
      <c r="R1574" t="s">
        <v>19</v>
      </c>
      <c r="S1574" s="39" t="s">
        <v>37</v>
      </c>
    </row>
    <row r="1575" spans="1:19">
      <c r="A1575" s="3">
        <v>2512369</v>
      </c>
      <c r="B1575" t="str">
        <f>VLOOKUP(A1575,File!$A:$J,2,FALSE)</f>
        <v>Pragati Gupta</v>
      </c>
      <c r="C1575" s="29">
        <f>VLOOKUP(A1575,File!$A:$J,5,FALSE)</f>
        <v>46170</v>
      </c>
      <c r="D1575" s="29" t="str">
        <f>VLOOKUP(A1575,File!$A:$J,3,FALSE)</f>
        <v>Female</v>
      </c>
      <c r="E1575" s="29" t="str">
        <f>VLOOKUP(A1575,File!$A:$J,4,FALSE)</f>
        <v>FTE</v>
      </c>
      <c r="F1575" s="29" t="str">
        <f>VLOOKUP(A1575,File!$A:$J,6,FALSE)</f>
        <v>Chennai</v>
      </c>
      <c r="G1575" s="29" t="str">
        <f>VLOOKUP(A1575,File!$A:$J,7,FALSE)</f>
        <v>CIS26MCPT012</v>
      </c>
      <c r="H1575" s="29" t="str">
        <f>VLOOKUP(A1575,File!$A:$J,8,FALSE)</f>
        <v>Uma Venkatachalam</v>
      </c>
      <c r="I1575" s="31">
        <f>VLOOKUP(A1575,File!$A:$J,9,FALSE)</f>
        <v>46282</v>
      </c>
      <c r="J1575" s="31" t="str">
        <f>VLOOKUP(A1575,File!$A:$K,11,FALSE)</f>
        <v>Sep 2026</v>
      </c>
      <c r="K1575" s="31" t="str">
        <f>VLOOKUP(A1575,File!$A:$K,10,FALSE)</f>
        <v>In-Training</v>
      </c>
      <c r="L1575" s="31" t="s">
        <v>4</v>
      </c>
      <c r="M1575" t="str">
        <f>VLOOKUP(A1575,Response!$A:$M,7,)</f>
        <v>PG (Paying Guest)</v>
      </c>
      <c r="N1575" t="str">
        <f>VLOOKUP(A1575,Response!$A:$M,8,)</f>
        <v>TVH  Ouranya Bay Padur</v>
      </c>
      <c r="O1575" s="4">
        <f>VLOOKUP(A1575,Response!$A:$M,10,)</f>
        <v>23</v>
      </c>
      <c r="P1575" t="str">
        <f>VLOOKUP(A1575,Response!$A:$M,12,)</f>
        <v>No</v>
      </c>
      <c r="Q1575" t="str">
        <f>VLOOKUP(A1575,Response!$A:$M,11,)</f>
        <v>Padur</v>
      </c>
      <c r="R1575" t="s">
        <v>15</v>
      </c>
      <c r="S1575" s="40" t="s">
        <v>36</v>
      </c>
    </row>
    <row r="1576" spans="1:19">
      <c r="A1576" s="3">
        <v>2531359</v>
      </c>
      <c r="B1576" t="str">
        <f>VLOOKUP(A1576,File!$A:$J,2,FALSE)</f>
        <v>Pallavi S</v>
      </c>
      <c r="C1576" s="29">
        <f>VLOOKUP(A1576,File!$A:$J,5,FALSE)</f>
        <v>46252</v>
      </c>
      <c r="D1576" s="29" t="str">
        <f>VLOOKUP(A1576,File!$A:$J,3,FALSE)</f>
        <v>Female</v>
      </c>
      <c r="E1576" s="29" t="str">
        <f>VLOOKUP(A1576,File!$A:$J,4,FALSE)</f>
        <v>FTE</v>
      </c>
      <c r="F1576" s="29" t="str">
        <f>VLOOKUP(A1576,File!$A:$J,6,FALSE)</f>
        <v>Chennai</v>
      </c>
      <c r="G1576" s="29" t="str">
        <f>VLOOKUP(A1576,File!$A:$J,7,FALSE)</f>
        <v>EPS26SAP036</v>
      </c>
      <c r="H1576" s="29" t="str">
        <f>VLOOKUP(A1576,File!$A:$J,8,FALSE)</f>
        <v>Vishnupriya Dakshnamurthy</v>
      </c>
      <c r="I1576" s="31">
        <f>VLOOKUP(A1576,File!$A:$J,9,FALSE)</f>
        <v>46335</v>
      </c>
      <c r="J1576" s="31" t="str">
        <f>VLOOKUP(A1576,File!$A:$K,11,FALSE)</f>
        <v>Nov 2026</v>
      </c>
      <c r="K1576" s="31" t="str">
        <f>VLOOKUP(A1576,File!$A:$K,10,FALSE)</f>
        <v>In-Training</v>
      </c>
      <c r="L1576" s="31" t="s">
        <v>5</v>
      </c>
      <c r="M1576" t="str">
        <f>VLOOKUP(A1576,Response!$A:$M,7,)</f>
        <v>Rented House/Apartment</v>
      </c>
      <c r="N1576" t="str">
        <f>VLOOKUP(A1576,Response!$A:$M,8,)</f>
        <v>TVH OURANYA BAY</v>
      </c>
      <c r="O1576" s="4">
        <f>VLOOKUP(A1576,Response!$A:$M,10,)</f>
        <v>8</v>
      </c>
      <c r="P1576" t="str">
        <f>VLOOKUP(A1576,Response!$A:$M,12,)</f>
        <v>No</v>
      </c>
      <c r="Q1576" t="str">
        <f>VLOOKUP(A1576,Response!$A:$M,11,)</f>
        <v>Padur</v>
      </c>
      <c r="R1576" t="s">
        <v>15</v>
      </c>
      <c r="S1576" t="s">
        <v>38</v>
      </c>
    </row>
    <row r="1577" spans="1:19">
      <c r="A1577" s="3">
        <v>2516768</v>
      </c>
      <c r="B1577" t="str">
        <f>VLOOKUP(A1577,File!$A:$J,2,FALSE)</f>
        <v>Aryan Maheshwari</v>
      </c>
      <c r="C1577" s="29">
        <f>VLOOKUP(A1577,File!$A:$J,5,FALSE)</f>
        <v>46191</v>
      </c>
      <c r="D1577" s="29" t="str">
        <f>VLOOKUP(A1577,File!$A:$J,3,FALSE)</f>
        <v>Male</v>
      </c>
      <c r="E1577" s="29" t="str">
        <f>VLOOKUP(A1577,File!$A:$J,4,FALSE)</f>
        <v>FTE</v>
      </c>
      <c r="F1577" s="29" t="str">
        <f>VLOOKUP(A1577,File!$A:$J,6,FALSE)</f>
        <v>Chennai</v>
      </c>
      <c r="G1577" s="29" t="str">
        <f>VLOOKUP(A1577,File!$A:$J,7,FALSE)</f>
        <v>CIS26MW001</v>
      </c>
      <c r="H1577" s="29" t="str">
        <f>VLOOKUP(A1577,File!$A:$J,8,FALSE)</f>
        <v>Ashiya Begam S</v>
      </c>
      <c r="I1577" s="31">
        <f>VLOOKUP(A1577,File!$A:$J,9,FALSE)</f>
        <v>46276</v>
      </c>
      <c r="J1577" s="31" t="str">
        <f>VLOOKUP(A1577,File!$A:$K,11,FALSE)</f>
        <v>Sep 2026</v>
      </c>
      <c r="K1577" s="31" t="str">
        <f>VLOOKUP(A1577,File!$A:$K,10,FALSE)</f>
        <v>In-Training</v>
      </c>
      <c r="L1577" s="31" t="s">
        <v>4</v>
      </c>
      <c r="M1577" t="str">
        <f>VLOOKUP(A1577,Response!$A:$M,7,)</f>
        <v>PG (Paying Guest)</v>
      </c>
      <c r="N1577" t="str">
        <f>VLOOKUP(A1577,Response!$A:$M,8,)</f>
        <v>TVH Ouranya Bay, Padur</v>
      </c>
      <c r="O1577" s="4">
        <f>VLOOKUP(A1577,Response!$A:$M,10,)</f>
        <v>19</v>
      </c>
      <c r="P1577" t="str">
        <f>VLOOKUP(A1577,Response!$A:$M,12,)</f>
        <v>No</v>
      </c>
      <c r="Q1577" t="str">
        <f>VLOOKUP(A1577,Response!$A:$M,11,)</f>
        <v>Padur</v>
      </c>
      <c r="R1577" t="s">
        <v>15</v>
      </c>
      <c r="S1577" s="40" t="s">
        <v>36</v>
      </c>
    </row>
    <row r="1578" spans="1:19">
      <c r="A1578" s="3">
        <v>2529641</v>
      </c>
      <c r="B1578" t="str">
        <f>VLOOKUP(A1578,File!$A:$J,2,FALSE)</f>
        <v>Dipanwita Paul</v>
      </c>
      <c r="C1578" s="29">
        <f>VLOOKUP(A1578,File!$A:$J,5,FALSE)</f>
        <v>46245</v>
      </c>
      <c r="D1578" s="29" t="str">
        <f>VLOOKUP(A1578,File!$A:$J,3,FALSE)</f>
        <v>Female</v>
      </c>
      <c r="E1578" s="29" t="str">
        <f>VLOOKUP(A1578,File!$A:$J,4,FALSE)</f>
        <v>FTE</v>
      </c>
      <c r="F1578" s="29" t="str">
        <f>VLOOKUP(A1578,File!$A:$J,6,FALSE)</f>
        <v>Chennai</v>
      </c>
      <c r="G1578" s="29" t="str">
        <f>VLOOKUP(A1578,File!$A:$J,7,FALSE)</f>
        <v>CIS26MCPT024</v>
      </c>
      <c r="H1578" s="29" t="str">
        <f>VLOOKUP(A1578,File!$A:$J,8,FALSE)</f>
        <v>Ashiya Begam S</v>
      </c>
      <c r="I1578" s="31">
        <f>VLOOKUP(A1578,File!$A:$J,9,FALSE)</f>
        <v>46359</v>
      </c>
      <c r="J1578" s="31" t="str">
        <f>VLOOKUP(A1578,File!$A:$K,11,FALSE)</f>
        <v>Dec 2026</v>
      </c>
      <c r="K1578" s="31" t="str">
        <f>VLOOKUP(A1578,File!$A:$K,10,FALSE)</f>
        <v>In-Training</v>
      </c>
      <c r="L1578" s="31" t="s">
        <v>4</v>
      </c>
      <c r="M1578" t="str">
        <f>VLOOKUP(A1578,Response!$A:$M,7,)</f>
        <v>PG (Paying Guest)</v>
      </c>
      <c r="N1578" t="str">
        <f>VLOOKUP(A1578,Response!$A:$M,8,)</f>
        <v>TVH Ouranya Bay, Padur</v>
      </c>
      <c r="O1578" s="4">
        <f>VLOOKUP(A1578,Response!$A:$M,10,)</f>
        <v>21</v>
      </c>
      <c r="P1578" t="str">
        <f>VLOOKUP(A1578,Response!$A:$M,12,)</f>
        <v>No</v>
      </c>
      <c r="Q1578" t="str">
        <f>VLOOKUP(A1578,Response!$A:$M,11,)</f>
        <v>Padur</v>
      </c>
      <c r="R1578" t="s">
        <v>15</v>
      </c>
      <c r="S1578" s="40" t="s">
        <v>36</v>
      </c>
    </row>
    <row r="1579" spans="1:19">
      <c r="A1579" s="3">
        <v>2516798</v>
      </c>
      <c r="B1579" t="str">
        <f>VLOOKUP(A1579,File!$A:$J,2,FALSE)</f>
        <v>Mani Shankar Swaraj</v>
      </c>
      <c r="C1579" s="29">
        <f>VLOOKUP(A1579,File!$A:$J,5,FALSE)</f>
        <v>46191</v>
      </c>
      <c r="D1579" s="29" t="str">
        <f>VLOOKUP(A1579,File!$A:$J,3,FALSE)</f>
        <v>Male</v>
      </c>
      <c r="E1579" s="29" t="str">
        <f>VLOOKUP(A1579,File!$A:$J,4,FALSE)</f>
        <v>FTE</v>
      </c>
      <c r="F1579" s="29" t="str">
        <f>VLOOKUP(A1579,File!$A:$J,6,FALSE)</f>
        <v>Chennai</v>
      </c>
      <c r="G1579" s="29" t="str">
        <f>VLOOKUP(A1579,File!$A:$J,7,FALSE)</f>
        <v>CIS26NET003</v>
      </c>
      <c r="H1579" s="29" t="str">
        <f>VLOOKUP(A1579,File!$A:$J,8,FALSE)</f>
        <v>Uma Venkatachalam</v>
      </c>
      <c r="I1579" s="31">
        <f>VLOOKUP(A1579,File!$A:$J,9,FALSE)</f>
        <v>46269</v>
      </c>
      <c r="J1579" s="31" t="str">
        <f>VLOOKUP(A1579,File!$A:$K,11,FALSE)</f>
        <v>Sep 2026</v>
      </c>
      <c r="K1579" s="31" t="str">
        <f>VLOOKUP(A1579,File!$A:$K,10,FALSE)</f>
        <v>In-Training-Remedial</v>
      </c>
      <c r="L1579" s="31" t="s">
        <v>5</v>
      </c>
      <c r="M1579" t="str">
        <f>VLOOKUP(A1579,Response!$A:$M,7,)</f>
        <v>Rented House/Apartment</v>
      </c>
      <c r="N1579" t="str">
        <f>VLOOKUP(A1579,Response!$A:$M,8,)</f>
        <v xml:space="preserve">TVH Ouranyabay </v>
      </c>
      <c r="O1579" s="4">
        <f>VLOOKUP(A1579,Response!$A:$M,10,)</f>
        <v>2</v>
      </c>
      <c r="P1579" t="str">
        <f>VLOOKUP(A1579,Response!$A:$M,12,)</f>
        <v>No</v>
      </c>
      <c r="Q1579" t="str">
        <f>VLOOKUP(A1579,Response!$A:$M,11,)</f>
        <v>Siruseri</v>
      </c>
      <c r="R1579" t="s">
        <v>19</v>
      </c>
      <c r="S1579" t="s">
        <v>38</v>
      </c>
    </row>
    <row r="1580" spans="1:19">
      <c r="A1580" s="3">
        <v>2521738</v>
      </c>
      <c r="B1580" t="str">
        <f>VLOOKUP(A1580,File!$A:$J,2,FALSE)</f>
        <v>Aryan LNU</v>
      </c>
      <c r="C1580" s="29">
        <f>VLOOKUP(A1580,File!$A:$J,5,FALSE)</f>
        <v>46212</v>
      </c>
      <c r="D1580" s="29" t="str">
        <f>VLOOKUP(A1580,File!$A:$J,3,FALSE)</f>
        <v>Male</v>
      </c>
      <c r="E1580" s="29" t="str">
        <f>VLOOKUP(A1580,File!$A:$J,4,FALSE)</f>
        <v>FTE</v>
      </c>
      <c r="F1580" s="29" t="str">
        <f>VLOOKUP(A1580,File!$A:$J,6,FALSE)</f>
        <v>Chennai</v>
      </c>
      <c r="G1580" s="29" t="str">
        <f>VLOOKUP(A1580,File!$A:$J,7,FALSE)</f>
        <v>QEA26SD001</v>
      </c>
      <c r="H1580" s="29" t="str">
        <f>VLOOKUP(A1580,File!$A:$J,8,FALSE)</f>
        <v>Ajiesya D P</v>
      </c>
      <c r="I1580" s="31">
        <f>VLOOKUP(A1580,File!$A:$J,9,FALSE)</f>
        <v>46329</v>
      </c>
      <c r="J1580" s="31" t="str">
        <f>VLOOKUP(A1580,File!$A:$K,11,FALSE)</f>
        <v>Nov 2026</v>
      </c>
      <c r="K1580" s="31" t="str">
        <f>VLOOKUP(A1580,File!$A:$K,10,FALSE)</f>
        <v>In-Training</v>
      </c>
      <c r="L1580" s="31" t="s">
        <v>5</v>
      </c>
      <c r="M1580" t="str">
        <f>VLOOKUP(A1580,Response!$A:$M,7,)</f>
        <v>Rented House/Apartment</v>
      </c>
      <c r="N1580" t="str">
        <f>VLOOKUP(A1580,Response!$A:$M,8,)</f>
        <v>TVH Taus</v>
      </c>
      <c r="O1580" s="4">
        <f>VLOOKUP(A1580,Response!$A:$M,10,)</f>
        <v>7</v>
      </c>
      <c r="P1580" t="str">
        <f>VLOOKUP(A1580,Response!$A:$M,12,)</f>
        <v>Yes</v>
      </c>
      <c r="Q1580" t="str">
        <f>VLOOKUP(A1580,Response!$A:$M,11,)</f>
        <v>Egattur</v>
      </c>
      <c r="R1580" t="s">
        <v>19</v>
      </c>
      <c r="S1580" t="s">
        <v>38</v>
      </c>
    </row>
    <row r="1581" spans="1:19">
      <c r="A1581" s="3">
        <v>2521741</v>
      </c>
      <c r="B1581" t="str">
        <f>VLOOKUP(A1581,File!$A:$J,2,FALSE)</f>
        <v>Chavi Maru</v>
      </c>
      <c r="C1581" s="29">
        <f>VLOOKUP(A1581,File!$A:$J,5,FALSE)</f>
        <v>46212</v>
      </c>
      <c r="D1581" s="29" t="str">
        <f>VLOOKUP(A1581,File!$A:$J,3,FALSE)</f>
        <v>Female</v>
      </c>
      <c r="E1581" s="29" t="str">
        <f>VLOOKUP(A1581,File!$A:$J,4,FALSE)</f>
        <v>FTE</v>
      </c>
      <c r="F1581" s="29" t="str">
        <f>VLOOKUP(A1581,File!$A:$J,6,FALSE)</f>
        <v>Chennai</v>
      </c>
      <c r="G1581" s="29" t="str">
        <f>VLOOKUP(A1581,File!$A:$J,7,FALSE)</f>
        <v>QEA26SD001</v>
      </c>
      <c r="H1581" s="29" t="str">
        <f>VLOOKUP(A1581,File!$A:$J,8,FALSE)</f>
        <v>Ajiesya D P</v>
      </c>
      <c r="I1581" s="31">
        <f>VLOOKUP(A1581,File!$A:$J,9,FALSE)</f>
        <v>46329</v>
      </c>
      <c r="J1581" s="31" t="str">
        <f>VLOOKUP(A1581,File!$A:$K,11,FALSE)</f>
        <v>Nov 2026</v>
      </c>
      <c r="K1581" s="31" t="str">
        <f>VLOOKUP(A1581,File!$A:$K,10,FALSE)</f>
        <v>In-Training</v>
      </c>
      <c r="L1581" s="31" t="s">
        <v>4</v>
      </c>
      <c r="M1581" t="str">
        <f>VLOOKUP(A1581,Response!$A:$M,7,)</f>
        <v>PG (Paying Guest)</v>
      </c>
      <c r="N1581" t="str">
        <f>VLOOKUP(A1581,Response!$A:$M,8,)</f>
        <v>TVH Taus</v>
      </c>
      <c r="O1581" s="4">
        <f>VLOOKUP(A1581,Response!$A:$M,10,)</f>
        <v>7</v>
      </c>
      <c r="P1581" t="str">
        <f>VLOOKUP(A1581,Response!$A:$M,12,)</f>
        <v>Yes</v>
      </c>
      <c r="Q1581" t="str">
        <f>VLOOKUP(A1581,Response!$A:$M,11,)</f>
        <v>Egattur</v>
      </c>
      <c r="R1581" t="s">
        <v>19</v>
      </c>
      <c r="S1581" s="39" t="s">
        <v>37</v>
      </c>
    </row>
    <row r="1582" spans="1:19">
      <c r="A1582" s="3">
        <v>2521743</v>
      </c>
      <c r="B1582" t="str">
        <f>VLOOKUP(A1582,File!$A:$J,2,FALSE)</f>
        <v>Avinash Anand</v>
      </c>
      <c r="C1582" s="29">
        <f>VLOOKUP(A1582,File!$A:$J,5,FALSE)</f>
        <v>46212</v>
      </c>
      <c r="D1582" s="29" t="str">
        <f>VLOOKUP(A1582,File!$A:$J,3,FALSE)</f>
        <v>Male</v>
      </c>
      <c r="E1582" s="29" t="str">
        <f>VLOOKUP(A1582,File!$A:$J,4,FALSE)</f>
        <v>FTE</v>
      </c>
      <c r="F1582" s="29" t="str">
        <f>VLOOKUP(A1582,File!$A:$J,6,FALSE)</f>
        <v>Chennai</v>
      </c>
      <c r="G1582" s="29" t="str">
        <f>VLOOKUP(A1582,File!$A:$J,7,FALSE)</f>
        <v>QEA26SD001</v>
      </c>
      <c r="H1582" s="29" t="str">
        <f>VLOOKUP(A1582,File!$A:$J,8,FALSE)</f>
        <v>Ajiesya D P</v>
      </c>
      <c r="I1582" s="31">
        <f>VLOOKUP(A1582,File!$A:$J,9,FALSE)</f>
        <v>46329</v>
      </c>
      <c r="J1582" s="31" t="str">
        <f>VLOOKUP(A1582,File!$A:$K,11,FALSE)</f>
        <v>Nov 2026</v>
      </c>
      <c r="K1582" s="31" t="str">
        <f>VLOOKUP(A1582,File!$A:$K,10,FALSE)</f>
        <v>In-Training</v>
      </c>
      <c r="L1582" s="31" t="s">
        <v>5</v>
      </c>
      <c r="M1582" t="str">
        <f>VLOOKUP(A1582,Response!$A:$M,7,)</f>
        <v>Rented House/Apartment</v>
      </c>
      <c r="N1582" t="str">
        <f>VLOOKUP(A1582,Response!$A:$M,8,)</f>
        <v>TVH Taus, Egattur</v>
      </c>
      <c r="O1582" s="4">
        <f>VLOOKUP(A1582,Response!$A:$M,10,)</f>
        <v>7</v>
      </c>
      <c r="P1582" t="str">
        <f>VLOOKUP(A1582,Response!$A:$M,12,)</f>
        <v>No</v>
      </c>
      <c r="Q1582" t="str">
        <f>VLOOKUP(A1582,Response!$A:$M,11,)</f>
        <v>Egattur</v>
      </c>
      <c r="R1582" t="s">
        <v>19</v>
      </c>
      <c r="S1582" t="s">
        <v>38</v>
      </c>
    </row>
    <row r="1583" spans="1:19">
      <c r="A1583" s="3">
        <v>2521746</v>
      </c>
      <c r="B1583" t="str">
        <f>VLOOKUP(A1583,File!$A:$J,2,FALSE)</f>
        <v>Abhay Gupta</v>
      </c>
      <c r="C1583" s="29">
        <f>VLOOKUP(A1583,File!$A:$J,5,FALSE)</f>
        <v>46212</v>
      </c>
      <c r="D1583" s="29" t="str">
        <f>VLOOKUP(A1583,File!$A:$J,3,FALSE)</f>
        <v>Male</v>
      </c>
      <c r="E1583" s="29" t="str">
        <f>VLOOKUP(A1583,File!$A:$J,4,FALSE)</f>
        <v>FTE</v>
      </c>
      <c r="F1583" s="29" t="str">
        <f>VLOOKUP(A1583,File!$A:$J,6,FALSE)</f>
        <v>Chennai</v>
      </c>
      <c r="G1583" s="29" t="str">
        <f>VLOOKUP(A1583,File!$A:$J,7,FALSE)</f>
        <v>QEA26SD001</v>
      </c>
      <c r="H1583" s="29" t="str">
        <f>VLOOKUP(A1583,File!$A:$J,8,FALSE)</f>
        <v>Ajiesya D P</v>
      </c>
      <c r="I1583" s="31">
        <f>VLOOKUP(A1583,File!$A:$J,9,FALSE)</f>
        <v>46329</v>
      </c>
      <c r="J1583" s="31" t="str">
        <f>VLOOKUP(A1583,File!$A:$K,11,FALSE)</f>
        <v>Nov 2026</v>
      </c>
      <c r="K1583" s="31" t="str">
        <f>VLOOKUP(A1583,File!$A:$K,10,FALSE)</f>
        <v>In-Training</v>
      </c>
      <c r="L1583" s="31" t="s">
        <v>5</v>
      </c>
      <c r="M1583" t="str">
        <f>VLOOKUP(A1583,Response!$A:$M,7,)</f>
        <v>Rented House/Apartment</v>
      </c>
      <c r="N1583" t="str">
        <f>VLOOKUP(A1583,Response!$A:$M,8,)</f>
        <v>TVH Taus, Egattur</v>
      </c>
      <c r="O1583" s="4">
        <f>VLOOKUP(A1583,Response!$A:$M,10,)</f>
        <v>7</v>
      </c>
      <c r="P1583" t="str">
        <f>VLOOKUP(A1583,Response!$A:$M,12,)</f>
        <v>No</v>
      </c>
      <c r="Q1583" t="str">
        <f>VLOOKUP(A1583,Response!$A:$M,11,)</f>
        <v>Egattur</v>
      </c>
      <c r="R1583" t="s">
        <v>19</v>
      </c>
      <c r="S1583" t="s">
        <v>38</v>
      </c>
    </row>
    <row r="1584" spans="1:19">
      <c r="A1584" s="3">
        <v>2532953</v>
      </c>
      <c r="B1584" t="str">
        <f>VLOOKUP(A1584,File!$A:$J,2,FALSE)</f>
        <v>Padmapriya R</v>
      </c>
      <c r="C1584" s="29">
        <f>VLOOKUP(A1584,File!$A:$J,5,FALSE)</f>
        <v>46259</v>
      </c>
      <c r="D1584" s="29" t="str">
        <f>VLOOKUP(A1584,File!$A:$J,3,FALSE)</f>
        <v>Female</v>
      </c>
      <c r="E1584" s="29" t="str">
        <f>VLOOKUP(A1584,File!$A:$J,4,FALSE)</f>
        <v>FTE</v>
      </c>
      <c r="F1584" s="29" t="str">
        <f>VLOOKUP(A1584,File!$A:$J,6,FALSE)</f>
        <v>Chennai</v>
      </c>
      <c r="G1584" s="29" t="str">
        <f>VLOOKUP(A1584,File!$A:$J,7,FALSE)</f>
        <v>CIS26MBG007</v>
      </c>
      <c r="H1584" s="29" t="str">
        <f>VLOOKUP(A1584,File!$A:$J,8,FALSE)</f>
        <v>Lawrance M</v>
      </c>
      <c r="I1584" s="31">
        <f>VLOOKUP(A1584,File!$A:$J,9,FALSE)</f>
        <v>46367</v>
      </c>
      <c r="J1584" s="31" t="str">
        <f>VLOOKUP(A1584,File!$A:$K,11,FALSE)</f>
        <v>Dec 2026</v>
      </c>
      <c r="K1584" s="31" t="str">
        <f>VLOOKUP(A1584,File!$A:$K,10,FALSE)</f>
        <v>In-Training</v>
      </c>
      <c r="L1584" s="31" t="s">
        <v>5</v>
      </c>
      <c r="M1584" t="str">
        <f>VLOOKUP(A1584,Response!$A:$M,7,)</f>
        <v>Rented House/Apartment</v>
      </c>
      <c r="N1584" t="str">
        <f>VLOOKUP(A1584,Response!$A:$M,8,)</f>
        <v>TVH Taus, Navalur</v>
      </c>
      <c r="O1584" s="4">
        <f>VLOOKUP(A1584,Response!$A:$M,10,)</f>
        <v>7</v>
      </c>
      <c r="P1584" t="str">
        <f>VLOOKUP(A1584,Response!$A:$M,12,)</f>
        <v>No</v>
      </c>
      <c r="Q1584" t="str">
        <f>VLOOKUP(A1584,Response!$A:$M,11,)</f>
        <v>Navalur</v>
      </c>
      <c r="R1584" t="s">
        <v>19</v>
      </c>
      <c r="S1584" t="s">
        <v>38</v>
      </c>
    </row>
    <row r="1585" spans="1:19">
      <c r="A1585" s="3">
        <v>2521730</v>
      </c>
      <c r="B1585" t="str">
        <f>VLOOKUP(A1585,File!$A:$J,2,FALSE)</f>
        <v>Allu Yeswanth Kumar</v>
      </c>
      <c r="C1585" s="29">
        <f>VLOOKUP(A1585,File!$A:$J,5,FALSE)</f>
        <v>46212</v>
      </c>
      <c r="D1585" s="29" t="str">
        <f>VLOOKUP(A1585,File!$A:$J,3,FALSE)</f>
        <v>Male</v>
      </c>
      <c r="E1585" s="29" t="str">
        <f>VLOOKUP(A1585,File!$A:$J,4,FALSE)</f>
        <v>FTE</v>
      </c>
      <c r="F1585" s="29" t="str">
        <f>VLOOKUP(A1585,File!$A:$J,6,FALSE)</f>
        <v>Chennai</v>
      </c>
      <c r="G1585" s="29" t="str">
        <f>VLOOKUP(A1585,File!$A:$J,7,FALSE)</f>
        <v>QEA26SD001</v>
      </c>
      <c r="H1585" s="29" t="str">
        <f>VLOOKUP(A1585,File!$A:$J,8,FALSE)</f>
        <v>Ajiesya D P</v>
      </c>
      <c r="I1585" s="31">
        <f>VLOOKUP(A1585,File!$A:$J,9,FALSE)</f>
        <v>46329</v>
      </c>
      <c r="J1585" s="31" t="str">
        <f>VLOOKUP(A1585,File!$A:$K,11,FALSE)</f>
        <v>Nov 2026</v>
      </c>
      <c r="K1585" s="31" t="str">
        <f>VLOOKUP(A1585,File!$A:$K,10,FALSE)</f>
        <v>In-Training</v>
      </c>
      <c r="L1585" s="31" t="s">
        <v>5</v>
      </c>
      <c r="M1585" t="str">
        <f>VLOOKUP(A1585,Response!$A:$M,7,)</f>
        <v>Rented House/Apartment</v>
      </c>
      <c r="N1585" t="str">
        <f>VLOOKUP(A1585,Response!$A:$M,8,)</f>
        <v>Tvh Taus,Flatno-7701,WING 1,Block 7,Egattur</v>
      </c>
      <c r="O1585" s="4">
        <f>VLOOKUP(A1585,Response!$A:$M,10,)</f>
        <v>7</v>
      </c>
      <c r="P1585" t="str">
        <f>VLOOKUP(A1585,Response!$A:$M,12,)</f>
        <v>Yes</v>
      </c>
      <c r="Q1585" t="str">
        <f>VLOOKUP(A1585,Response!$A:$M,11,)</f>
        <v>Egattur</v>
      </c>
      <c r="R1585" t="s">
        <v>19</v>
      </c>
      <c r="S1585" t="s">
        <v>38</v>
      </c>
    </row>
    <row r="1586" spans="1:19">
      <c r="A1586" s="3">
        <v>2529778</v>
      </c>
      <c r="B1586" t="str">
        <f>VLOOKUP(A1586,File!$A:$J,2,FALSE)</f>
        <v>Gokul S</v>
      </c>
      <c r="C1586" s="29">
        <f>VLOOKUP(A1586,File!$A:$J,5,FALSE)</f>
        <v>46245</v>
      </c>
      <c r="D1586" s="29" t="str">
        <f>VLOOKUP(A1586,File!$A:$J,3,FALSE)</f>
        <v>Male</v>
      </c>
      <c r="E1586" s="29" t="str">
        <f>VLOOKUP(A1586,File!$A:$J,4,FALSE)</f>
        <v>FTE</v>
      </c>
      <c r="F1586" s="29" t="str">
        <f>VLOOKUP(A1586,File!$A:$J,6,FALSE)</f>
        <v>Chennai</v>
      </c>
      <c r="G1586" s="29" t="str">
        <f>VLOOKUP(A1586,File!$A:$J,7,FALSE)</f>
        <v>CIS26MCPT023</v>
      </c>
      <c r="H1586" s="29" t="str">
        <f>VLOOKUP(A1586,File!$A:$J,8,FALSE)</f>
        <v>Kishorekumar P</v>
      </c>
      <c r="I1586" s="31">
        <f>VLOOKUP(A1586,File!$A:$J,9,FALSE)</f>
        <v>46359</v>
      </c>
      <c r="J1586" s="31" t="str">
        <f>VLOOKUP(A1586,File!$A:$K,11,FALSE)</f>
        <v>Dec 2026</v>
      </c>
      <c r="K1586" s="31" t="str">
        <f>VLOOKUP(A1586,File!$A:$K,10,FALSE)</f>
        <v>In-Training</v>
      </c>
      <c r="L1586" s="31" t="s">
        <v>5</v>
      </c>
      <c r="M1586" t="str">
        <f>VLOOKUP(A1586,Response!$A:$M,7,)</f>
        <v>Relatives Residence</v>
      </c>
      <c r="N1586" t="str">
        <f>VLOOKUP(A1586,Response!$A:$M,8,)</f>
        <v>Udaya phase 1</v>
      </c>
      <c r="O1586" s="4">
        <f>VLOOKUP(A1586,Response!$A:$M,10,)</f>
        <v>2</v>
      </c>
      <c r="P1586" t="str">
        <f>VLOOKUP(A1586,Response!$A:$M,12,)</f>
        <v>Yes</v>
      </c>
      <c r="Q1586" t="str">
        <f>VLOOKUP(A1586,Response!$A:$M,11,)</f>
        <v>Medavakkam</v>
      </c>
      <c r="S1586" t="s">
        <v>38</v>
      </c>
    </row>
    <row r="1587" spans="1:19">
      <c r="A1587" s="3">
        <v>2532899</v>
      </c>
      <c r="B1587" t="str">
        <f>VLOOKUP(A1587,File!$A:$J,2,FALSE)</f>
        <v>Bellamkonda Srilatha</v>
      </c>
      <c r="C1587" s="29">
        <f>VLOOKUP(A1587,File!$A:$J,5,FALSE)</f>
        <v>46259</v>
      </c>
      <c r="D1587" s="29" t="str">
        <f>VLOOKUP(A1587,File!$A:$J,3,FALSE)</f>
        <v>Female</v>
      </c>
      <c r="E1587" s="29" t="str">
        <f>VLOOKUP(A1587,File!$A:$J,4,FALSE)</f>
        <v>FTE</v>
      </c>
      <c r="F1587" s="29" t="str">
        <f>VLOOKUP(A1587,File!$A:$J,6,FALSE)</f>
        <v>Chennai</v>
      </c>
      <c r="G1587" s="29" t="str">
        <f>VLOOKUP(A1587,File!$A:$J,7,FALSE)</f>
        <v>CIS26MBG007</v>
      </c>
      <c r="H1587" s="29" t="str">
        <f>VLOOKUP(A1587,File!$A:$J,8,FALSE)</f>
        <v>Lawrance M</v>
      </c>
      <c r="I1587" s="31">
        <f>VLOOKUP(A1587,File!$A:$J,9,FALSE)</f>
        <v>46367</v>
      </c>
      <c r="J1587" s="31" t="str">
        <f>VLOOKUP(A1587,File!$A:$K,11,FALSE)</f>
        <v>Dec 2026</v>
      </c>
      <c r="K1587" s="31" t="str">
        <f>VLOOKUP(A1587,File!$A:$K,10,FALSE)</f>
        <v>In-Training</v>
      </c>
      <c r="L1587" s="31" t="s">
        <v>4</v>
      </c>
      <c r="M1587" t="str">
        <f>VLOOKUP(A1587,Response!$A:$M,7,)</f>
        <v>PG (Paying Guest)</v>
      </c>
      <c r="N1587" t="str">
        <f>VLOOKUP(A1587,Response!$A:$M,8,)</f>
        <v>Uniq Ladies pg</v>
      </c>
      <c r="O1587" s="4">
        <f>VLOOKUP(A1587,Response!$A:$M,10,)</f>
        <v>4</v>
      </c>
      <c r="P1587" t="str">
        <f>VLOOKUP(A1587,Response!$A:$M,12,)</f>
        <v>No</v>
      </c>
      <c r="Q1587" t="str">
        <f>VLOOKUP(A1587,Response!$A:$M,11,)</f>
        <v>Siruseri</v>
      </c>
      <c r="R1587" t="s">
        <v>19</v>
      </c>
      <c r="S1587" s="39" t="s">
        <v>37</v>
      </c>
    </row>
    <row r="1588" spans="1:19">
      <c r="A1588" s="3">
        <v>2511232</v>
      </c>
      <c r="B1588" t="str">
        <f>VLOOKUP(A1588,File!$A:$J,2,FALSE)</f>
        <v>Chetan Shivayogi Puranikmath</v>
      </c>
      <c r="C1588" s="29">
        <f>VLOOKUP(A1588,File!$A:$J,5,FALSE)</f>
        <v>46163</v>
      </c>
      <c r="D1588" s="29" t="str">
        <f>VLOOKUP(A1588,File!$A:$J,3,FALSE)</f>
        <v>Male</v>
      </c>
      <c r="E1588" s="29" t="str">
        <f>VLOOKUP(A1588,File!$A:$J,4,FALSE)</f>
        <v>FTE</v>
      </c>
      <c r="F1588" s="29" t="str">
        <f>VLOOKUP(A1588,File!$A:$J,6,FALSE)</f>
        <v>Chennai</v>
      </c>
      <c r="G1588" s="29" t="str">
        <f>VLOOKUP(A1588,File!$A:$J,7,FALSE)</f>
        <v>CIS26MCPT010</v>
      </c>
      <c r="H1588" s="29" t="str">
        <f>VLOOKUP(A1588,File!$A:$J,8,FALSE)</f>
        <v>Mohamed Harish</v>
      </c>
      <c r="I1588" s="31">
        <f>VLOOKUP(A1588,File!$A:$J,9,FALSE)</f>
        <v>46275</v>
      </c>
      <c r="J1588" s="31" t="str">
        <f>VLOOKUP(A1588,File!$A:$K,11,FALSE)</f>
        <v>Sep 2026</v>
      </c>
      <c r="K1588" s="31" t="str">
        <f>VLOOKUP(A1588,File!$A:$K,10,FALSE)</f>
        <v>In-Training</v>
      </c>
      <c r="L1588" s="31" t="s">
        <v>4</v>
      </c>
      <c r="M1588" t="str">
        <f>VLOOKUP(A1588,Response!$A:$M,7,)</f>
        <v>PG (Paying Guest)</v>
      </c>
      <c r="N1588" t="str">
        <f>VLOOKUP(A1588,Response!$A:$M,8,)</f>
        <v>Uniq Mens PG Navalur</v>
      </c>
      <c r="O1588" s="4">
        <f>VLOOKUP(A1588,Response!$A:$M,10,)</f>
        <v>2</v>
      </c>
      <c r="P1588" t="str">
        <f>VLOOKUP(A1588,Response!$A:$M,12,)</f>
        <v>No</v>
      </c>
      <c r="Q1588" t="str">
        <f>VLOOKUP(A1588,Response!$A:$M,11,)</f>
        <v>Navalur</v>
      </c>
      <c r="R1588" t="s">
        <v>19</v>
      </c>
      <c r="S1588" s="39" t="s">
        <v>37</v>
      </c>
    </row>
    <row r="1589" spans="1:19">
      <c r="A1589" s="3">
        <v>2511254</v>
      </c>
      <c r="B1589" t="str">
        <f>VLOOKUP(A1589,File!$A:$J,2,FALSE)</f>
        <v>Aditya Kshirasagar</v>
      </c>
      <c r="C1589" s="29">
        <f>VLOOKUP(A1589,File!$A:$J,5,FALSE)</f>
        <v>46163</v>
      </c>
      <c r="D1589" s="29" t="str">
        <f>VLOOKUP(A1589,File!$A:$J,3,FALSE)</f>
        <v>Male</v>
      </c>
      <c r="E1589" s="29" t="str">
        <f>VLOOKUP(A1589,File!$A:$J,4,FALSE)</f>
        <v>FTE</v>
      </c>
      <c r="F1589" s="29" t="str">
        <f>VLOOKUP(A1589,File!$A:$J,6,FALSE)</f>
        <v>Chennai</v>
      </c>
      <c r="G1589" s="29" t="str">
        <f>VLOOKUP(A1589,File!$A:$J,7,FALSE)</f>
        <v>CIS26MCPT010</v>
      </c>
      <c r="H1589" s="29" t="str">
        <f>VLOOKUP(A1589,File!$A:$J,8,FALSE)</f>
        <v>Mohamed Harish</v>
      </c>
      <c r="I1589" s="31">
        <f>VLOOKUP(A1589,File!$A:$J,9,FALSE)</f>
        <v>46275</v>
      </c>
      <c r="J1589" s="31" t="str">
        <f>VLOOKUP(A1589,File!$A:$K,11,FALSE)</f>
        <v>Sep 2026</v>
      </c>
      <c r="K1589" s="31" t="str">
        <f>VLOOKUP(A1589,File!$A:$K,10,FALSE)</f>
        <v>In-Training</v>
      </c>
      <c r="L1589" s="31" t="s">
        <v>4</v>
      </c>
      <c r="M1589" t="str">
        <f>VLOOKUP(A1589,Response!$A:$M,7,)</f>
        <v>PG (Paying Guest)</v>
      </c>
      <c r="N1589" t="str">
        <f>VLOOKUP(A1589,Response!$A:$M,8,)</f>
        <v>UniQ Mens PG, Navalur.</v>
      </c>
      <c r="O1589" s="4">
        <f>VLOOKUP(A1589,Response!$A:$M,10,)</f>
        <v>2</v>
      </c>
      <c r="P1589" t="str">
        <f>VLOOKUP(A1589,Response!$A:$M,12,)</f>
        <v>Yes</v>
      </c>
      <c r="Q1589" t="str">
        <f>VLOOKUP(A1589,Response!$A:$M,11,)</f>
        <v>Navalur</v>
      </c>
      <c r="R1589" t="s">
        <v>19</v>
      </c>
      <c r="S1589" s="39" t="s">
        <v>37</v>
      </c>
    </row>
    <row r="1590" spans="1:19">
      <c r="A1590" s="3">
        <v>2532903</v>
      </c>
      <c r="B1590" t="str">
        <f>VLOOKUP(A1590,File!$A:$J,2,FALSE)</f>
        <v>Kolumula Akanksha Reddy</v>
      </c>
      <c r="C1590" s="29">
        <f>VLOOKUP(A1590,File!$A:$J,5,FALSE)</f>
        <v>46259</v>
      </c>
      <c r="D1590" s="29" t="str">
        <f>VLOOKUP(A1590,File!$A:$J,3,FALSE)</f>
        <v>Female</v>
      </c>
      <c r="E1590" s="29" t="str">
        <f>VLOOKUP(A1590,File!$A:$J,4,FALSE)</f>
        <v>FTE</v>
      </c>
      <c r="F1590" s="29" t="str">
        <f>VLOOKUP(A1590,File!$A:$J,6,FALSE)</f>
        <v>Chennai</v>
      </c>
      <c r="G1590" s="29" t="str">
        <f>VLOOKUP(A1590,File!$A:$J,7,FALSE)</f>
        <v>CIS26MBG007</v>
      </c>
      <c r="H1590" s="29" t="str">
        <f>VLOOKUP(A1590,File!$A:$J,8,FALSE)</f>
        <v>Lawrance M</v>
      </c>
      <c r="I1590" s="31">
        <f>VLOOKUP(A1590,File!$A:$J,9,FALSE)</f>
        <v>46367</v>
      </c>
      <c r="J1590" s="31" t="str">
        <f>VLOOKUP(A1590,File!$A:$K,11,FALSE)</f>
        <v>Dec 2026</v>
      </c>
      <c r="K1590" s="31" t="str">
        <f>VLOOKUP(A1590,File!$A:$K,10,FALSE)</f>
        <v>In-Training</v>
      </c>
      <c r="L1590" s="31" t="s">
        <v>4</v>
      </c>
      <c r="M1590" t="str">
        <f>VLOOKUP(A1590,Response!$A:$M,7,)</f>
        <v>PG (Paying Guest)</v>
      </c>
      <c r="N1590" t="str">
        <f>VLOOKUP(A1590,Response!$A:$M,8,)</f>
        <v>Unique pg womens, Egattur, gangiyamman kovil street, Buddhar St, Chennai, 600130, TN, IN</v>
      </c>
      <c r="O1590" s="4">
        <f>VLOOKUP(A1590,Response!$A:$M,10,)</f>
        <v>4</v>
      </c>
      <c r="P1590" t="str">
        <f>VLOOKUP(A1590,Response!$A:$M,12,)</f>
        <v>No</v>
      </c>
      <c r="Q1590" t="str">
        <f>VLOOKUP(A1590,Response!$A:$M,11,)</f>
        <v>Siruseri</v>
      </c>
      <c r="R1590" t="s">
        <v>19</v>
      </c>
      <c r="S1590" s="39" t="s">
        <v>37</v>
      </c>
    </row>
    <row r="1591" spans="1:19">
      <c r="A1591" s="3">
        <v>2507395</v>
      </c>
      <c r="B1591" t="str">
        <f>VLOOKUP(A1591,File!$A:$J,2,FALSE)</f>
        <v>Yugesvaran M</v>
      </c>
      <c r="C1591" s="29">
        <f>VLOOKUP(A1591,File!$A:$J,5,FALSE)</f>
        <v>46142</v>
      </c>
      <c r="D1591" s="29" t="str">
        <f>VLOOKUP(A1591,File!$A:$J,3,FALSE)</f>
        <v>Male</v>
      </c>
      <c r="E1591" s="29" t="str">
        <f>VLOOKUP(A1591,File!$A:$J,4,FALSE)</f>
        <v>FTE</v>
      </c>
      <c r="F1591" s="29" t="str">
        <f>VLOOKUP(A1591,File!$A:$J,6,FALSE)</f>
        <v>Chennai</v>
      </c>
      <c r="G1591" s="29" t="str">
        <f>VLOOKUP(A1591,File!$A:$J,7,FALSE)</f>
        <v>ISG26JSAAT002</v>
      </c>
      <c r="H1591" s="29" t="str">
        <f>VLOOKUP(A1591,File!$A:$J,8,FALSE)</f>
        <v>Ashiya Begam S</v>
      </c>
      <c r="I1591" s="31">
        <f>VLOOKUP(A1591,File!$A:$J,9,FALSE)</f>
        <v>46272</v>
      </c>
      <c r="J1591" s="31" t="str">
        <f>VLOOKUP(A1591,File!$A:$K,11,FALSE)</f>
        <v>Sep 2026</v>
      </c>
      <c r="K1591" s="31" t="str">
        <f>VLOOKUP(A1591,File!$A:$K,10,FALSE)</f>
        <v>In-Training-Remedial</v>
      </c>
      <c r="L1591" s="31" t="s">
        <v>5</v>
      </c>
      <c r="M1591" t="str">
        <f>VLOOKUP(A1591,Response!$A:$M,7,)</f>
        <v>Rented House/Apartment</v>
      </c>
      <c r="N1591" t="str">
        <f>VLOOKUP(A1591,Response!$A:$M,8,)</f>
        <v>Urbanise Revolution One, E Block, Padur</v>
      </c>
      <c r="O1591" s="4">
        <f>VLOOKUP(A1591,Response!$A:$M,10,)</f>
        <v>5</v>
      </c>
      <c r="P1591" t="str">
        <f>VLOOKUP(A1591,Response!$A:$M,12,)</f>
        <v>Yes</v>
      </c>
      <c r="Q1591" t="str">
        <f>VLOOKUP(A1591,Response!$A:$M,11,)</f>
        <v>Padur</v>
      </c>
      <c r="R1591" t="s">
        <v>15</v>
      </c>
      <c r="S1591" t="s">
        <v>38</v>
      </c>
    </row>
    <row r="1592" spans="1:19">
      <c r="A1592" s="3">
        <v>2529570</v>
      </c>
      <c r="B1592" t="str">
        <f>VLOOKUP(A1592,File!$A:$J,2,FALSE)</f>
        <v>Sampa Sen</v>
      </c>
      <c r="C1592" s="29">
        <f>VLOOKUP(A1592,File!$A:$J,5,FALSE)</f>
        <v>46245</v>
      </c>
      <c r="D1592" s="29" t="str">
        <f>VLOOKUP(A1592,File!$A:$J,3,FALSE)</f>
        <v>Female</v>
      </c>
      <c r="E1592" s="29" t="str">
        <f>VLOOKUP(A1592,File!$A:$J,4,FALSE)</f>
        <v>FTE</v>
      </c>
      <c r="F1592" s="29" t="str">
        <f>VLOOKUP(A1592,File!$A:$J,6,FALSE)</f>
        <v>Chennai</v>
      </c>
      <c r="G1592" s="29" t="str">
        <f>VLOOKUP(A1592,File!$A:$J,7,FALSE)</f>
        <v>CIS26MCPT023</v>
      </c>
      <c r="H1592" s="29" t="str">
        <f>VLOOKUP(A1592,File!$A:$J,8,FALSE)</f>
        <v>Kishorekumar P</v>
      </c>
      <c r="I1592" s="31">
        <f>VLOOKUP(A1592,File!$A:$J,9,FALSE)</f>
        <v>46359</v>
      </c>
      <c r="J1592" s="31" t="str">
        <f>VLOOKUP(A1592,File!$A:$K,11,FALSE)</f>
        <v>Dec 2026</v>
      </c>
      <c r="K1592" s="31" t="str">
        <f>VLOOKUP(A1592,File!$A:$K,10,FALSE)</f>
        <v>In-Training</v>
      </c>
      <c r="L1592" s="31" t="s">
        <v>5</v>
      </c>
      <c r="M1592" t="str">
        <f>VLOOKUP(A1592,Response!$A:$M,7,)</f>
        <v>Rented House/Apartment</v>
      </c>
      <c r="N1592" t="str">
        <f>VLOOKUP(A1592,Response!$A:$M,8,)</f>
        <v>V.P.G Avenue Extn., Mettukuppam</v>
      </c>
      <c r="O1592" s="4">
        <f>VLOOKUP(A1592,Response!$A:$M,10,)</f>
        <v>1</v>
      </c>
      <c r="P1592" t="str">
        <f>VLOOKUP(A1592,Response!$A:$M,12,)</f>
        <v>Yes</v>
      </c>
      <c r="Q1592" t="str">
        <f>VLOOKUP(A1592,Response!$A:$M,11,)</f>
        <v>Mettukuppam</v>
      </c>
      <c r="R1592" t="s">
        <v>67</v>
      </c>
      <c r="S1592" t="s">
        <v>38</v>
      </c>
    </row>
    <row r="1593" spans="1:19">
      <c r="A1593" s="3">
        <v>2533033</v>
      </c>
      <c r="B1593" t="str">
        <f>VLOOKUP(A1593,File!$A:$J,2,FALSE)</f>
        <v>Thangudu Swetha</v>
      </c>
      <c r="C1593" s="29">
        <f>VLOOKUP(A1593,File!$A:$J,5,FALSE)</f>
        <v>46259</v>
      </c>
      <c r="D1593" s="29" t="str">
        <f>VLOOKUP(A1593,File!$A:$J,3,FALSE)</f>
        <v>Female</v>
      </c>
      <c r="E1593" s="29" t="str">
        <f>VLOOKUP(A1593,File!$A:$J,4,FALSE)</f>
        <v>FTE</v>
      </c>
      <c r="F1593" s="29" t="str">
        <f>VLOOKUP(A1593,File!$A:$J,6,FALSE)</f>
        <v>Chennai</v>
      </c>
      <c r="G1593" s="29" t="str">
        <f>VLOOKUP(A1593,File!$A:$J,7,FALSE)</f>
        <v>ADM27DFSA001</v>
      </c>
      <c r="H1593" s="29" t="str">
        <f>VLOOKUP(A1593,File!$A:$J,8,FALSE)</f>
        <v>Thomas Naveen. J</v>
      </c>
      <c r="I1593" s="31">
        <f>VLOOKUP(A1593,File!$A:$J,9,FALSE)</f>
        <v>46386</v>
      </c>
      <c r="J1593" s="31" t="str">
        <f>VLOOKUP(A1593,File!$A:$K,11,FALSE)</f>
        <v>Dec 2026</v>
      </c>
      <c r="K1593" s="31" t="str">
        <f>VLOOKUP(A1593,File!$A:$K,10,FALSE)</f>
        <v>In-Training</v>
      </c>
      <c r="L1593" s="31" t="s">
        <v>4</v>
      </c>
      <c r="M1593" t="str">
        <f>VLOOKUP(A1593,Response!$A:$M,7,)</f>
        <v>PG (Paying Guest)</v>
      </c>
      <c r="N1593" t="str">
        <f>VLOOKUP(A1593,Response!$A:$M,8,)</f>
        <v>Vaishnavi elite og</v>
      </c>
      <c r="O1593" s="4">
        <f>VLOOKUP(A1593,Response!$A:$M,10,)</f>
        <v>3</v>
      </c>
      <c r="P1593" t="str">
        <f>VLOOKUP(A1593,Response!$A:$M,12,)</f>
        <v>No</v>
      </c>
      <c r="Q1593" t="str">
        <f>VLOOKUP(A1593,Response!$A:$M,11,)</f>
        <v>Siruseri</v>
      </c>
      <c r="R1593" t="s">
        <v>19</v>
      </c>
      <c r="S1593" s="39" t="s">
        <v>37</v>
      </c>
    </row>
    <row r="1594" spans="1:19">
      <c r="A1594" s="3">
        <v>2532912</v>
      </c>
      <c r="B1594" t="str">
        <f>VLOOKUP(A1594,File!$A:$J,2,FALSE)</f>
        <v>Sripada V P S D Gayathri</v>
      </c>
      <c r="C1594" s="29">
        <f>VLOOKUP(A1594,File!$A:$J,5,FALSE)</f>
        <v>46259</v>
      </c>
      <c r="D1594" s="29" t="str">
        <f>VLOOKUP(A1594,File!$A:$J,3,FALSE)</f>
        <v>Female</v>
      </c>
      <c r="E1594" s="29" t="str">
        <f>VLOOKUP(A1594,File!$A:$J,4,FALSE)</f>
        <v>FTE</v>
      </c>
      <c r="F1594" s="29" t="str">
        <f>VLOOKUP(A1594,File!$A:$J,6,FALSE)</f>
        <v>Chennai</v>
      </c>
      <c r="G1594" s="29" t="str">
        <f>VLOOKUP(A1594,File!$A:$J,7,FALSE)</f>
        <v>CIS26SN002</v>
      </c>
      <c r="H1594" s="29" t="str">
        <f>VLOOKUP(A1594,File!$A:$J,8,FALSE)</f>
        <v>Ashiya Begam S</v>
      </c>
      <c r="I1594" s="31">
        <f>VLOOKUP(A1594,File!$A:$J,9,FALSE)</f>
        <v>46358</v>
      </c>
      <c r="J1594" s="31" t="str">
        <f>VLOOKUP(A1594,File!$A:$K,11,FALSE)</f>
        <v>Dec 2026</v>
      </c>
      <c r="K1594" s="31" t="str">
        <f>VLOOKUP(A1594,File!$A:$K,10,FALSE)</f>
        <v>In-Training</v>
      </c>
      <c r="L1594" s="31" t="s">
        <v>4</v>
      </c>
      <c r="M1594" t="str">
        <f>VLOOKUP(A1594,Response!$A:$M,7,)</f>
        <v>PG (Paying Guest)</v>
      </c>
      <c r="N1594" t="str">
        <f>VLOOKUP(A1594,Response!$A:$M,8,)</f>
        <v>VAISHNAVI ELITE OG , 206,EGATTUR, CHENNAI,TAMILNADU</v>
      </c>
      <c r="O1594" s="4" t="str">
        <f>VLOOKUP(A1594,Response!$A:$M,10,)</f>
        <v>GF</v>
      </c>
      <c r="P1594" t="str">
        <f>VLOOKUP(A1594,Response!$A:$M,12,)</f>
        <v>No</v>
      </c>
      <c r="Q1594" t="str">
        <f>VLOOKUP(A1594,Response!$A:$M,11,)</f>
        <v>Egattur</v>
      </c>
      <c r="R1594" t="s">
        <v>19</v>
      </c>
      <c r="S1594" s="39" t="s">
        <v>37</v>
      </c>
    </row>
    <row r="1595" spans="1:19">
      <c r="A1595" s="3">
        <v>2532910</v>
      </c>
      <c r="B1595" t="str">
        <f>VLOOKUP(A1595,File!$A:$J,2,FALSE)</f>
        <v>Kethavarapu Likhitha</v>
      </c>
      <c r="C1595" s="29">
        <f>VLOOKUP(A1595,File!$A:$J,5,FALSE)</f>
        <v>46259</v>
      </c>
      <c r="D1595" s="29" t="str">
        <f>VLOOKUP(A1595,File!$A:$J,3,FALSE)</f>
        <v>Female</v>
      </c>
      <c r="E1595" s="29" t="str">
        <f>VLOOKUP(A1595,File!$A:$J,4,FALSE)</f>
        <v>FTE</v>
      </c>
      <c r="F1595" s="29" t="str">
        <f>VLOOKUP(A1595,File!$A:$J,6,FALSE)</f>
        <v>Chennai</v>
      </c>
      <c r="G1595" s="29" t="str">
        <f>VLOOKUP(A1595,File!$A:$J,7,FALSE)</f>
        <v>CIS26SN002</v>
      </c>
      <c r="H1595" s="29" t="str">
        <f>VLOOKUP(A1595,File!$A:$J,8,FALSE)</f>
        <v>Ashiya Begam S</v>
      </c>
      <c r="I1595" s="31">
        <f>VLOOKUP(A1595,File!$A:$J,9,FALSE)</f>
        <v>46358</v>
      </c>
      <c r="J1595" s="31" t="str">
        <f>VLOOKUP(A1595,File!$A:$K,11,FALSE)</f>
        <v>Dec 2026</v>
      </c>
      <c r="K1595" s="31" t="str">
        <f>VLOOKUP(A1595,File!$A:$K,10,FALSE)</f>
        <v>In-Training</v>
      </c>
      <c r="L1595" s="31" t="s">
        <v>4</v>
      </c>
      <c r="M1595" t="str">
        <f>VLOOKUP(A1595,Response!$A:$M,7,)</f>
        <v>PG (Paying Guest)</v>
      </c>
      <c r="N1595" t="str">
        <f>VLOOKUP(A1595,Response!$A:$M,8,)</f>
        <v>Vaishnavi elite og , egattur</v>
      </c>
      <c r="O1595" s="4">
        <f>VLOOKUP(A1595,Response!$A:$M,10,)</f>
        <v>1</v>
      </c>
      <c r="P1595" t="str">
        <f>VLOOKUP(A1595,Response!$A:$M,12,)</f>
        <v>No</v>
      </c>
      <c r="Q1595" t="str">
        <f>VLOOKUP(A1595,Response!$A:$M,11,)</f>
        <v>Egattur</v>
      </c>
      <c r="R1595" t="s">
        <v>19</v>
      </c>
      <c r="S1595" s="39" t="s">
        <v>37</v>
      </c>
    </row>
    <row r="1596" spans="1:19">
      <c r="A1596" s="3">
        <v>2533072</v>
      </c>
      <c r="B1596" t="str">
        <f>VLOOKUP(A1596,File!$A:$J,2,FALSE)</f>
        <v>Sayyapureddy Gnana Prasanna</v>
      </c>
      <c r="C1596" s="29">
        <f>VLOOKUP(A1596,File!$A:$J,5,FALSE)</f>
        <v>46259</v>
      </c>
      <c r="D1596" s="29" t="str">
        <f>VLOOKUP(A1596,File!$A:$J,3,FALSE)</f>
        <v>Female</v>
      </c>
      <c r="E1596" s="29" t="str">
        <f>VLOOKUP(A1596,File!$A:$J,4,FALSE)</f>
        <v>FTE</v>
      </c>
      <c r="F1596" s="29" t="str">
        <f>VLOOKUP(A1596,File!$A:$J,6,FALSE)</f>
        <v>Chennai</v>
      </c>
      <c r="G1596" s="29" t="str">
        <f>VLOOKUP(A1596,File!$A:$J,7,FALSE)</f>
        <v>CIS26SN002</v>
      </c>
      <c r="H1596" s="29" t="str">
        <f>VLOOKUP(A1596,File!$A:$J,8,FALSE)</f>
        <v>Ashiya Begam S</v>
      </c>
      <c r="I1596" s="31">
        <f>VLOOKUP(A1596,File!$A:$J,9,FALSE)</f>
        <v>46358</v>
      </c>
      <c r="J1596" s="31" t="str">
        <f>VLOOKUP(A1596,File!$A:$K,11,FALSE)</f>
        <v>Dec 2026</v>
      </c>
      <c r="K1596" s="31" t="str">
        <f>VLOOKUP(A1596,File!$A:$K,10,FALSE)</f>
        <v>In-Training</v>
      </c>
      <c r="L1596" s="31" t="s">
        <v>4</v>
      </c>
      <c r="M1596" t="str">
        <f>VLOOKUP(A1596,Response!$A:$M,7,)</f>
        <v>PG (Paying Guest)</v>
      </c>
      <c r="N1596" t="str">
        <f>VLOOKUP(A1596,Response!$A:$M,8,)</f>
        <v>Vaishnavi Elite og, 206, Egattur, Chennai, Tamil Nadu</v>
      </c>
      <c r="O1596" s="4">
        <f>VLOOKUP(A1596,Response!$A:$M,10,)</f>
        <v>4</v>
      </c>
      <c r="P1596" t="str">
        <f>VLOOKUP(A1596,Response!$A:$M,12,)</f>
        <v>No</v>
      </c>
      <c r="Q1596" t="str">
        <f>VLOOKUP(A1596,Response!$A:$M,11,)</f>
        <v>Egattur</v>
      </c>
      <c r="R1596" t="s">
        <v>19</v>
      </c>
      <c r="S1596" s="39" t="s">
        <v>37</v>
      </c>
    </row>
    <row r="1597" spans="1:19">
      <c r="A1597" s="3">
        <v>2531987</v>
      </c>
      <c r="B1597" t="str">
        <f>VLOOKUP(A1597,File!$A:$J,2,FALSE)</f>
        <v>Swetha Chinnabathini</v>
      </c>
      <c r="C1597" s="29">
        <f>VLOOKUP(A1597,File!$A:$J,5,FALSE)</f>
        <v>46254</v>
      </c>
      <c r="D1597" s="29" t="str">
        <f>VLOOKUP(A1597,File!$A:$J,3,FALSE)</f>
        <v>Female</v>
      </c>
      <c r="E1597" s="29" t="str">
        <f>VLOOKUP(A1597,File!$A:$J,4,FALSE)</f>
        <v>FTE</v>
      </c>
      <c r="F1597" s="29" t="str">
        <f>VLOOKUP(A1597,File!$A:$J,6,FALSE)</f>
        <v>Chennai</v>
      </c>
      <c r="G1597" s="29" t="str">
        <f>VLOOKUP(A1597,File!$A:$J,7,FALSE)</f>
        <v>EPS26OSP011</v>
      </c>
      <c r="H1597" s="29" t="str">
        <f>VLOOKUP(A1597,File!$A:$J,8,FALSE)</f>
        <v>Gayathri Ramachandran</v>
      </c>
      <c r="I1597" s="31" t="str">
        <f>VLOOKUP(A1597,File!$A:$J,9,FALSE)</f>
        <v/>
      </c>
      <c r="J1597" s="44" t="s">
        <v>33</v>
      </c>
      <c r="K1597" s="31" t="str">
        <f>VLOOKUP(A1597,File!$A:$K,10,FALSE)</f>
        <v>Training - ON Hold</v>
      </c>
      <c r="L1597" s="31" t="s">
        <v>4</v>
      </c>
      <c r="M1597" t="str">
        <f>VLOOKUP(A1597,Response!$A:$M,7,)</f>
        <v>PG (Paying Guest)</v>
      </c>
      <c r="N1597" t="str">
        <f>VLOOKUP(A1597,Response!$A:$M,8,)</f>
        <v>Vaishnavi Elite og-Egattur</v>
      </c>
      <c r="O1597" s="4">
        <f>VLOOKUP(A1597,Response!$A:$M,10,)</f>
        <v>3</v>
      </c>
      <c r="P1597" t="str">
        <f>VLOOKUP(A1597,Response!$A:$M,12,)</f>
        <v>No</v>
      </c>
      <c r="Q1597" t="str">
        <f>VLOOKUP(A1597,Response!$A:$M,11,)</f>
        <v>Sholinganallur</v>
      </c>
      <c r="R1597" t="s">
        <v>17</v>
      </c>
      <c r="S1597" s="39" t="s">
        <v>37</v>
      </c>
    </row>
    <row r="1598" spans="1:19">
      <c r="A1598" s="3">
        <v>2533571</v>
      </c>
      <c r="B1598" t="str">
        <f>VLOOKUP(A1598,File!$A:$J,2,FALSE)</f>
        <v>Akreethi Kumari</v>
      </c>
      <c r="C1598" s="29">
        <f>VLOOKUP(A1598,File!$A:$J,5,FALSE)</f>
        <v>46261</v>
      </c>
      <c r="D1598" s="29" t="str">
        <f>VLOOKUP(A1598,File!$A:$J,3,FALSE)</f>
        <v>Female</v>
      </c>
      <c r="E1598" s="29" t="str">
        <f>VLOOKUP(A1598,File!$A:$J,4,FALSE)</f>
        <v>FTE</v>
      </c>
      <c r="F1598" s="29" t="str">
        <f>VLOOKUP(A1598,File!$A:$J,6,FALSE)</f>
        <v>Chennai</v>
      </c>
      <c r="G1598" s="29" t="str">
        <f>VLOOKUP(A1598,File!$A:$J,7,FALSE)</f>
        <v>EPS26OSP011</v>
      </c>
      <c r="H1598" s="29" t="str">
        <f>VLOOKUP(A1598,File!$A:$J,8,FALSE)</f>
        <v>Gayathri Ramachandran</v>
      </c>
      <c r="I1598" s="31" t="str">
        <f>VLOOKUP(A1598,File!$A:$J,9,FALSE)</f>
        <v/>
      </c>
      <c r="J1598" s="44" t="s">
        <v>33</v>
      </c>
      <c r="K1598" s="31" t="str">
        <f>VLOOKUP(A1598,File!$A:$K,10,FALSE)</f>
        <v>Training - ON Hold</v>
      </c>
      <c r="L1598" s="31" t="s">
        <v>4</v>
      </c>
      <c r="M1598" t="str">
        <f>VLOOKUP(A1598,Response!$A:$M,7,)</f>
        <v>PG (Paying Guest)</v>
      </c>
      <c r="N1598" t="str">
        <f>VLOOKUP(A1598,Response!$A:$M,8,)</f>
        <v>Vaishnavi elite pg</v>
      </c>
      <c r="O1598" s="4">
        <f>VLOOKUP(A1598,Response!$A:$M,10,)</f>
        <v>1</v>
      </c>
      <c r="P1598" t="str">
        <f>VLOOKUP(A1598,Response!$A:$M,12,)</f>
        <v>No</v>
      </c>
      <c r="Q1598" t="str">
        <f>VLOOKUP(A1598,Response!$A:$M,11,)</f>
        <v>Sholinganallur</v>
      </c>
      <c r="R1598" t="s">
        <v>17</v>
      </c>
      <c r="S1598" s="39" t="s">
        <v>37</v>
      </c>
    </row>
    <row r="1599" spans="1:19">
      <c r="A1599" s="3">
        <v>2521722</v>
      </c>
      <c r="B1599" t="str">
        <f>VLOOKUP(A1599,File!$A:$J,2,FALSE)</f>
        <v>Yarragonda Sai Lasya Reddy</v>
      </c>
      <c r="C1599" s="29">
        <f>VLOOKUP(A1599,File!$A:$J,5,FALSE)</f>
        <v>46212</v>
      </c>
      <c r="D1599" s="29" t="str">
        <f>VLOOKUP(A1599,File!$A:$J,3,FALSE)</f>
        <v>Female</v>
      </c>
      <c r="E1599" s="29" t="str">
        <f>VLOOKUP(A1599,File!$A:$J,4,FALSE)</f>
        <v>FTE</v>
      </c>
      <c r="F1599" s="29" t="str">
        <f>VLOOKUP(A1599,File!$A:$J,6,FALSE)</f>
        <v>Chennai</v>
      </c>
      <c r="G1599" s="29" t="str">
        <f>VLOOKUP(A1599,File!$A:$J,7,FALSE)</f>
        <v>QEA26DS001</v>
      </c>
      <c r="H1599" s="29" t="str">
        <f>VLOOKUP(A1599,File!$A:$J,8,FALSE)</f>
        <v>Lourdhu Selvin Raj X</v>
      </c>
      <c r="I1599" s="31">
        <f>VLOOKUP(A1599,File!$A:$J,9,FALSE)</f>
        <v>46325</v>
      </c>
      <c r="J1599" s="31" t="str">
        <f>VLOOKUP(A1599,File!$A:$K,11,FALSE)</f>
        <v>Oct 2026</v>
      </c>
      <c r="K1599" s="31" t="str">
        <f>VLOOKUP(A1599,File!$A:$K,10,FALSE)</f>
        <v>In-Training</v>
      </c>
      <c r="L1599" s="31" t="s">
        <v>4</v>
      </c>
      <c r="M1599" t="str">
        <f>VLOOKUP(A1599,Response!$A:$M,7,)</f>
        <v>PG (Paying Guest)</v>
      </c>
      <c r="N1599" t="str">
        <f>VLOOKUP(A1599,Response!$A:$M,8,)</f>
        <v>Vaishnavi Elite PG</v>
      </c>
      <c r="O1599" s="4">
        <f>VLOOKUP(A1599,Response!$A:$M,10,)</f>
        <v>4</v>
      </c>
      <c r="P1599" t="str">
        <f>VLOOKUP(A1599,Response!$A:$M,12,)</f>
        <v>No</v>
      </c>
      <c r="Q1599" t="str">
        <f>VLOOKUP(A1599,Response!$A:$M,11,)</f>
        <v>Egattur</v>
      </c>
      <c r="R1599" t="s">
        <v>19</v>
      </c>
      <c r="S1599" s="39" t="s">
        <v>37</v>
      </c>
    </row>
    <row r="1600" spans="1:19">
      <c r="A1600" s="3">
        <v>2532918</v>
      </c>
      <c r="B1600" t="str">
        <f>VLOOKUP(A1600,File!$A:$J,2,FALSE)</f>
        <v>Kurapati Thejaswini</v>
      </c>
      <c r="C1600" s="29">
        <f>VLOOKUP(A1600,File!$A:$J,5,FALSE)</f>
        <v>46259</v>
      </c>
      <c r="D1600" s="29" t="str">
        <f>VLOOKUP(A1600,File!$A:$J,3,FALSE)</f>
        <v>Female</v>
      </c>
      <c r="E1600" s="29" t="str">
        <f>VLOOKUP(A1600,File!$A:$J,4,FALSE)</f>
        <v>FTE</v>
      </c>
      <c r="F1600" s="29" t="str">
        <f>VLOOKUP(A1600,File!$A:$J,6,FALSE)</f>
        <v>Chennai</v>
      </c>
      <c r="G1600" s="29" t="str">
        <f>VLOOKUP(A1600,File!$A:$J,7,FALSE)</f>
        <v>CIS26MBG004</v>
      </c>
      <c r="H1600" s="29" t="str">
        <f>VLOOKUP(A1600,File!$A:$J,8,FALSE)</f>
        <v>Kishorekumar P</v>
      </c>
      <c r="I1600" s="31">
        <f>VLOOKUP(A1600,File!$A:$J,9,FALSE)</f>
        <v>46367</v>
      </c>
      <c r="J1600" s="31" t="str">
        <f>VLOOKUP(A1600,File!$A:$K,11,FALSE)</f>
        <v>Dec 2026</v>
      </c>
      <c r="K1600" s="31" t="str">
        <f>VLOOKUP(A1600,File!$A:$K,10,FALSE)</f>
        <v>In-Training</v>
      </c>
      <c r="L1600" s="31" t="s">
        <v>4</v>
      </c>
      <c r="M1600" t="str">
        <f>VLOOKUP(A1600,Response!$A:$M,7,)</f>
        <v>PG (Paying Guest)</v>
      </c>
      <c r="N1600" t="str">
        <f>VLOOKUP(A1600,Response!$A:$M,8,)</f>
        <v xml:space="preserve">Vaishnavi elite pg </v>
      </c>
      <c r="O1600" s="4">
        <f>VLOOKUP(A1600,Response!$A:$M,10,)</f>
        <v>1</v>
      </c>
      <c r="P1600" t="str">
        <f>VLOOKUP(A1600,Response!$A:$M,12,)</f>
        <v>No</v>
      </c>
      <c r="Q1600" t="str">
        <f>VLOOKUP(A1600,Response!$A:$M,11,)</f>
        <v>Egattur</v>
      </c>
      <c r="R1600" t="s">
        <v>19</v>
      </c>
      <c r="S1600" s="39" t="s">
        <v>37</v>
      </c>
    </row>
    <row r="1601" spans="1:19">
      <c r="A1601" s="3">
        <v>2521617</v>
      </c>
      <c r="B1601" t="str">
        <f>VLOOKUP(A1601,File!$A:$J,2,FALSE)</f>
        <v>Riya Kumari</v>
      </c>
      <c r="C1601" s="29">
        <f>VLOOKUP(A1601,File!$A:$J,5,FALSE)</f>
        <v>46212</v>
      </c>
      <c r="D1601" s="29" t="str">
        <f>VLOOKUP(A1601,File!$A:$J,3,FALSE)</f>
        <v>Female</v>
      </c>
      <c r="E1601" s="29" t="str">
        <f>VLOOKUP(A1601,File!$A:$J,4,FALSE)</f>
        <v>FTE</v>
      </c>
      <c r="F1601" s="29" t="str">
        <f>VLOOKUP(A1601,File!$A:$J,6,FALSE)</f>
        <v>Chennai</v>
      </c>
      <c r="G1601" s="29" t="str">
        <f>VLOOKUP(A1601,File!$A:$J,7,FALSE)</f>
        <v>ADM26MF011</v>
      </c>
      <c r="H1601" s="29" t="str">
        <f>VLOOKUP(A1601,File!$A:$J,8,FALSE)</f>
        <v>Abinaya R</v>
      </c>
      <c r="I1601" s="31">
        <f>VLOOKUP(A1601,File!$A:$J,9,FALSE)</f>
        <v>46328</v>
      </c>
      <c r="J1601" s="31" t="str">
        <f>VLOOKUP(A1601,File!$A:$K,11,FALSE)</f>
        <v>Nov 2026</v>
      </c>
      <c r="K1601" s="31" t="str">
        <f>VLOOKUP(A1601,File!$A:$K,10,FALSE)</f>
        <v>In-Training</v>
      </c>
      <c r="L1601" s="31" t="s">
        <v>4</v>
      </c>
      <c r="M1601" t="str">
        <f>VLOOKUP(A1601,Response!$A:$M,7,)</f>
        <v>PG (Paying Guest)</v>
      </c>
      <c r="N1601" t="str">
        <f>VLOOKUP(A1601,Response!$A:$M,8,)</f>
        <v xml:space="preserve">Vaishnavi Elite Pg </v>
      </c>
      <c r="O1601" s="4">
        <f>VLOOKUP(A1601,Response!$A:$M,10,)</f>
        <v>2</v>
      </c>
      <c r="P1601" t="str">
        <f>VLOOKUP(A1601,Response!$A:$M,12,)</f>
        <v>No</v>
      </c>
      <c r="Q1601" t="str">
        <f>VLOOKUP(A1601,Response!$A:$M,11,)</f>
        <v>Egattur</v>
      </c>
      <c r="R1601" t="s">
        <v>19</v>
      </c>
      <c r="S1601" s="39" t="s">
        <v>37</v>
      </c>
    </row>
    <row r="1602" spans="1:19">
      <c r="A1602" s="3">
        <v>2533045</v>
      </c>
      <c r="B1602" t="str">
        <f>VLOOKUP(A1602,File!$A:$J,2,FALSE)</f>
        <v>Sahithi Mandadapu</v>
      </c>
      <c r="C1602" s="29">
        <f>VLOOKUP(A1602,File!$A:$J,5,FALSE)</f>
        <v>46259</v>
      </c>
      <c r="D1602" s="29" t="str">
        <f>VLOOKUP(A1602,File!$A:$J,3,FALSE)</f>
        <v>Female</v>
      </c>
      <c r="E1602" s="29" t="str">
        <f>VLOOKUP(A1602,File!$A:$J,4,FALSE)</f>
        <v>FTE</v>
      </c>
      <c r="F1602" s="29" t="str">
        <f>VLOOKUP(A1602,File!$A:$J,6,FALSE)</f>
        <v>Chennai</v>
      </c>
      <c r="G1602" s="29" t="str">
        <f>VLOOKUP(A1602,File!$A:$J,7,FALSE)</f>
        <v>CIS26AT007</v>
      </c>
      <c r="H1602" s="29" t="str">
        <f>VLOOKUP(A1602,File!$A:$J,8,FALSE)</f>
        <v>Uma Venkatachalam</v>
      </c>
      <c r="I1602" s="31">
        <f>VLOOKUP(A1602,File!$A:$J,9,FALSE)</f>
        <v>46365</v>
      </c>
      <c r="J1602" s="31" t="str">
        <f>VLOOKUP(A1602,File!$A:$K,11,FALSE)</f>
        <v>Dec 2026</v>
      </c>
      <c r="K1602" s="31" t="str">
        <f>VLOOKUP(A1602,File!$A:$K,10,FALSE)</f>
        <v>In-Training</v>
      </c>
      <c r="L1602" s="31" t="s">
        <v>4</v>
      </c>
      <c r="M1602" t="str">
        <f>VLOOKUP(A1602,Response!$A:$M,7,)</f>
        <v>PG (Paying Guest)</v>
      </c>
      <c r="N1602" t="str">
        <f>VLOOKUP(A1602,Response!$A:$M,8,)</f>
        <v xml:space="preserve">Vaishnavi elite pg </v>
      </c>
      <c r="O1602" s="4" t="str">
        <f>VLOOKUP(A1602,Response!$A:$M,10,)</f>
        <v>GF</v>
      </c>
      <c r="P1602" t="str">
        <f>VLOOKUP(A1602,Response!$A:$M,12,)</f>
        <v>No</v>
      </c>
      <c r="Q1602" t="str">
        <f>VLOOKUP(A1602,Response!$A:$M,11,)</f>
        <v>Siruseri</v>
      </c>
      <c r="R1602" t="s">
        <v>19</v>
      </c>
      <c r="S1602" s="39" t="s">
        <v>37</v>
      </c>
    </row>
    <row r="1603" spans="1:19">
      <c r="A1603" s="3">
        <v>2521127</v>
      </c>
      <c r="B1603" t="str">
        <f>VLOOKUP(A1603,File!$A:$J,2,FALSE)</f>
        <v>Reddipilli Yamini Devi</v>
      </c>
      <c r="C1603" s="29">
        <f>VLOOKUP(A1603,File!$A:$J,5,FALSE)</f>
        <v>46210</v>
      </c>
      <c r="D1603" s="29" t="str">
        <f>VLOOKUP(A1603,File!$A:$J,3,FALSE)</f>
        <v>Female</v>
      </c>
      <c r="E1603" s="29" t="str">
        <f>VLOOKUP(A1603,File!$A:$J,4,FALSE)</f>
        <v>FTE</v>
      </c>
      <c r="F1603" s="29" t="str">
        <f>VLOOKUP(A1603,File!$A:$J,6,FALSE)</f>
        <v>Chennai</v>
      </c>
      <c r="G1603" s="29" t="str">
        <f>VLOOKUP(A1603,File!$A:$J,7,FALSE)</f>
        <v>SNBG26SN003</v>
      </c>
      <c r="H1603" s="29" t="str">
        <f>VLOOKUP(A1603,File!$A:$J,8,FALSE)</f>
        <v>Lawrance M</v>
      </c>
      <c r="I1603" s="31">
        <f>VLOOKUP(A1603,File!$A:$J,9,FALSE)</f>
        <v>46303</v>
      </c>
      <c r="J1603" s="31" t="str">
        <f>VLOOKUP(A1603,File!$A:$K,11,FALSE)</f>
        <v>Oct 2026</v>
      </c>
      <c r="K1603" s="31" t="str">
        <f>VLOOKUP(A1603,File!$A:$K,10,FALSE)</f>
        <v>In-Training</v>
      </c>
      <c r="L1603" s="31" t="s">
        <v>4</v>
      </c>
      <c r="M1603" t="str">
        <f>VLOOKUP(A1603,Response!$A:$M,7,)</f>
        <v>PG (Paying Guest)</v>
      </c>
      <c r="N1603" t="str">
        <f>VLOOKUP(A1603,Response!$A:$M,8,)</f>
        <v>Vaishnavi Elite PG for Ladies</v>
      </c>
      <c r="O1603" s="4">
        <f>VLOOKUP(A1603,Response!$A:$M,10,)</f>
        <v>2</v>
      </c>
      <c r="P1603" t="str">
        <f>VLOOKUP(A1603,Response!$A:$M,12,)</f>
        <v>No</v>
      </c>
      <c r="Q1603" t="str">
        <f>VLOOKUP(A1603,Response!$A:$M,11,)</f>
        <v>Siruseri</v>
      </c>
      <c r="R1603" t="s">
        <v>19</v>
      </c>
      <c r="S1603" s="39" t="s">
        <v>37</v>
      </c>
    </row>
    <row r="1604" spans="1:19">
      <c r="A1604" s="3">
        <v>2531424</v>
      </c>
      <c r="B1604" t="str">
        <f>VLOOKUP(A1604,File!$A:$J,2,FALSE)</f>
        <v>Arya S Nair</v>
      </c>
      <c r="C1604" s="29">
        <f>VLOOKUP(A1604,File!$A:$J,5,FALSE)</f>
        <v>46252</v>
      </c>
      <c r="D1604" s="29" t="str">
        <f>VLOOKUP(A1604,File!$A:$J,3,FALSE)</f>
        <v>Female</v>
      </c>
      <c r="E1604" s="29" t="str">
        <f>VLOOKUP(A1604,File!$A:$J,4,FALSE)</f>
        <v>FTE</v>
      </c>
      <c r="F1604" s="29" t="str">
        <f>VLOOKUP(A1604,File!$A:$J,6,FALSE)</f>
        <v>Chennai</v>
      </c>
      <c r="G1604" s="29" t="str">
        <f>VLOOKUP(A1604,File!$A:$J,7,FALSE)</f>
        <v>EPS26SAP036</v>
      </c>
      <c r="H1604" s="29" t="str">
        <f>VLOOKUP(A1604,File!$A:$J,8,FALSE)</f>
        <v>Vishnupriya Dakshnamurthy</v>
      </c>
      <c r="I1604" s="31">
        <f>VLOOKUP(A1604,File!$A:$J,9,FALSE)</f>
        <v>46335</v>
      </c>
      <c r="J1604" s="31" t="str">
        <f>VLOOKUP(A1604,File!$A:$K,11,FALSE)</f>
        <v>Nov 2026</v>
      </c>
      <c r="K1604" s="31" t="str">
        <f>VLOOKUP(A1604,File!$A:$K,10,FALSE)</f>
        <v>In-Training</v>
      </c>
      <c r="L1604" s="31" t="s">
        <v>4</v>
      </c>
      <c r="M1604" t="str">
        <f>VLOOKUP(A1604,Response!$A:$M,7,)</f>
        <v>PG (Paying Guest)</v>
      </c>
      <c r="N1604" t="str">
        <f>VLOOKUP(A1604,Response!$A:$M,8,)</f>
        <v>Vaishnavi Elite Pg for Ladies, Egattur</v>
      </c>
      <c r="O1604" s="4">
        <f>VLOOKUP(A1604,Response!$A:$M,10,)</f>
        <v>4</v>
      </c>
      <c r="P1604" t="str">
        <f>VLOOKUP(A1604,Response!$A:$M,12,)</f>
        <v>No</v>
      </c>
      <c r="Q1604" t="str">
        <f>VLOOKUP(A1604,Response!$A:$M,11,)</f>
        <v>Siruseri</v>
      </c>
      <c r="R1604" t="s">
        <v>19</v>
      </c>
      <c r="S1604" s="39" t="s">
        <v>37</v>
      </c>
    </row>
    <row r="1605" spans="1:19">
      <c r="A1605" s="3">
        <v>2521274</v>
      </c>
      <c r="B1605" t="str">
        <f>VLOOKUP(A1605,File!$A:$J,2,FALSE)</f>
        <v>Seelam Bhanu Prasanna</v>
      </c>
      <c r="C1605" s="29">
        <f>VLOOKUP(A1605,File!$A:$J,5,FALSE)</f>
        <v>46210</v>
      </c>
      <c r="D1605" s="29" t="str">
        <f>VLOOKUP(A1605,File!$A:$J,3,FALSE)</f>
        <v>Female</v>
      </c>
      <c r="E1605" s="29" t="str">
        <f>VLOOKUP(A1605,File!$A:$J,4,FALSE)</f>
        <v>FTE</v>
      </c>
      <c r="F1605" s="29" t="str">
        <f>VLOOKUP(A1605,File!$A:$J,6,FALSE)</f>
        <v>Chennai</v>
      </c>
      <c r="G1605" s="29" t="str">
        <f>VLOOKUP(A1605,File!$A:$J,7,FALSE)</f>
        <v>SNBG26SN004</v>
      </c>
      <c r="H1605" s="29" t="str">
        <f>VLOOKUP(A1605,File!$A:$J,8,FALSE)</f>
        <v>Kishorekumar P</v>
      </c>
      <c r="I1605" s="31">
        <f>VLOOKUP(A1605,File!$A:$J,9,FALSE)</f>
        <v>46303</v>
      </c>
      <c r="J1605" s="31" t="str">
        <f>VLOOKUP(A1605,File!$A:$K,11,FALSE)</f>
        <v>Oct 2026</v>
      </c>
      <c r="K1605" s="31" t="str">
        <f>VLOOKUP(A1605,File!$A:$K,10,FALSE)</f>
        <v>In-Training</v>
      </c>
      <c r="L1605" s="31" t="s">
        <v>4</v>
      </c>
      <c r="M1605" t="str">
        <f>VLOOKUP(A1605,Response!$A:$M,7,)</f>
        <v>PG (Paying Guest)</v>
      </c>
      <c r="N1605" t="str">
        <f>VLOOKUP(A1605,Response!$A:$M,8,)</f>
        <v xml:space="preserve">Vaishnavi Elite PG for Ladies, Egattur  </v>
      </c>
      <c r="O1605" s="4">
        <f>VLOOKUP(A1605,Response!$A:$M,10,)</f>
        <v>2</v>
      </c>
      <c r="P1605" t="str">
        <f>VLOOKUP(A1605,Response!$A:$M,12,)</f>
        <v>No</v>
      </c>
      <c r="Q1605" t="str">
        <f>VLOOKUP(A1605,Response!$A:$M,11,)</f>
        <v>Egattur</v>
      </c>
      <c r="R1605" t="s">
        <v>19</v>
      </c>
      <c r="S1605" s="39" t="s">
        <v>37</v>
      </c>
    </row>
    <row r="1606" spans="1:19">
      <c r="A1606" s="3">
        <v>2531354</v>
      </c>
      <c r="B1606" t="str">
        <f>VLOOKUP(A1606,File!$A:$J,2,FALSE)</f>
        <v>Marneni Maria Shruthi</v>
      </c>
      <c r="C1606" s="29">
        <f>VLOOKUP(A1606,File!$A:$J,5,FALSE)</f>
        <v>46252</v>
      </c>
      <c r="D1606" s="29" t="str">
        <f>VLOOKUP(A1606,File!$A:$J,3,FALSE)</f>
        <v>Female</v>
      </c>
      <c r="E1606" s="29" t="str">
        <f>VLOOKUP(A1606,File!$A:$J,4,FALSE)</f>
        <v>FTE</v>
      </c>
      <c r="F1606" s="29" t="str">
        <f>VLOOKUP(A1606,File!$A:$J,6,FALSE)</f>
        <v>Chennai</v>
      </c>
      <c r="G1606" s="29" t="str">
        <f>VLOOKUP(A1606,File!$A:$J,7,FALSE)</f>
        <v>EPS26SAP037</v>
      </c>
      <c r="H1606" s="29" t="str">
        <f>VLOOKUP(A1606,File!$A:$J,8,FALSE)</f>
        <v>Gayathri Ramachandran</v>
      </c>
      <c r="I1606" s="31">
        <f>VLOOKUP(A1606,File!$A:$J,9,FALSE)</f>
        <v>46330</v>
      </c>
      <c r="J1606" s="31" t="str">
        <f>VLOOKUP(A1606,File!$A:$K,11,FALSE)</f>
        <v>Nov 2026</v>
      </c>
      <c r="K1606" s="31" t="str">
        <f>VLOOKUP(A1606,File!$A:$K,10,FALSE)</f>
        <v>In-Training</v>
      </c>
      <c r="L1606" s="31" t="s">
        <v>4</v>
      </c>
      <c r="M1606" t="str">
        <f>VLOOKUP(A1606,Response!$A:$M,7,)</f>
        <v>PG (Paying Guest)</v>
      </c>
      <c r="N1606" t="str">
        <f>VLOOKUP(A1606,Response!$A:$M,8,)</f>
        <v>Vaishnavi Elite pg, Egattur</v>
      </c>
      <c r="O1606" s="4">
        <f>VLOOKUP(A1606,Response!$A:$M,10,)</f>
        <v>1</v>
      </c>
      <c r="P1606" t="str">
        <f>VLOOKUP(A1606,Response!$A:$M,12,)</f>
        <v>Yes</v>
      </c>
      <c r="Q1606" t="str">
        <f>VLOOKUP(A1606,Response!$A:$M,11,)</f>
        <v>Siruseri</v>
      </c>
      <c r="R1606" t="s">
        <v>19</v>
      </c>
      <c r="S1606" s="39" t="s">
        <v>37</v>
      </c>
    </row>
    <row r="1607" spans="1:19">
      <c r="A1607" s="3">
        <v>2531358</v>
      </c>
      <c r="B1607" t="str">
        <f>VLOOKUP(A1607,File!$A:$J,2,FALSE)</f>
        <v>Muthumula Vaishnavi Reddy</v>
      </c>
      <c r="C1607" s="29">
        <f>VLOOKUP(A1607,File!$A:$J,5,FALSE)</f>
        <v>46252</v>
      </c>
      <c r="D1607" s="29" t="str">
        <f>VLOOKUP(A1607,File!$A:$J,3,FALSE)</f>
        <v>Female</v>
      </c>
      <c r="E1607" s="29" t="str">
        <f>VLOOKUP(A1607,File!$A:$J,4,FALSE)</f>
        <v>FTE</v>
      </c>
      <c r="F1607" s="29" t="str">
        <f>VLOOKUP(A1607,File!$A:$J,6,FALSE)</f>
        <v>Chennai</v>
      </c>
      <c r="G1607" s="29" t="str">
        <f>VLOOKUP(A1607,File!$A:$J,7,FALSE)</f>
        <v>EPS26SAP037</v>
      </c>
      <c r="H1607" s="29" t="str">
        <f>VLOOKUP(A1607,File!$A:$J,8,FALSE)</f>
        <v>Gayathri Ramachandran</v>
      </c>
      <c r="I1607" s="31">
        <f>VLOOKUP(A1607,File!$A:$J,9,FALSE)</f>
        <v>46330</v>
      </c>
      <c r="J1607" s="31" t="str">
        <f>VLOOKUP(A1607,File!$A:$K,11,FALSE)</f>
        <v>Nov 2026</v>
      </c>
      <c r="K1607" s="31" t="str">
        <f>VLOOKUP(A1607,File!$A:$K,10,FALSE)</f>
        <v>In-Training</v>
      </c>
      <c r="L1607" s="31" t="s">
        <v>4</v>
      </c>
      <c r="M1607" t="str">
        <f>VLOOKUP(A1607,Response!$A:$M,7,)</f>
        <v>PG (Paying Guest)</v>
      </c>
      <c r="N1607" t="str">
        <f>VLOOKUP(A1607,Response!$A:$M,8,)</f>
        <v>VAISHNAVI ELITE PG, EGATTUR</v>
      </c>
      <c r="O1607" s="4">
        <f>VLOOKUP(A1607,Response!$A:$M,10,)</f>
        <v>1</v>
      </c>
      <c r="P1607" t="str">
        <f>VLOOKUP(A1607,Response!$A:$M,12,)</f>
        <v>No</v>
      </c>
      <c r="Q1607" t="str">
        <f>VLOOKUP(A1607,Response!$A:$M,11,)</f>
        <v>Siruseri</v>
      </c>
      <c r="R1607" t="s">
        <v>19</v>
      </c>
      <c r="S1607" s="39" t="s">
        <v>37</v>
      </c>
    </row>
    <row r="1608" spans="1:19">
      <c r="A1608" s="3">
        <v>2521645</v>
      </c>
      <c r="B1608" t="str">
        <f>VLOOKUP(A1608,File!$A:$J,2,FALSE)</f>
        <v>Deepika Rao</v>
      </c>
      <c r="C1608" s="29">
        <f>VLOOKUP(A1608,File!$A:$J,5,FALSE)</f>
        <v>46212</v>
      </c>
      <c r="D1608" s="29" t="str">
        <f>VLOOKUP(A1608,File!$A:$J,3,FALSE)</f>
        <v>Female</v>
      </c>
      <c r="E1608" s="29" t="str">
        <f>VLOOKUP(A1608,File!$A:$J,4,FALSE)</f>
        <v>FTE</v>
      </c>
      <c r="F1608" s="29" t="str">
        <f>VLOOKUP(A1608,File!$A:$J,6,FALSE)</f>
        <v>Chennai</v>
      </c>
      <c r="G1608" s="29" t="str">
        <f>VLOOKUP(A1608,File!$A:$J,7,FALSE)</f>
        <v>ADM26MF011</v>
      </c>
      <c r="H1608" s="29" t="str">
        <f>VLOOKUP(A1608,File!$A:$J,8,FALSE)</f>
        <v>Abinaya R</v>
      </c>
      <c r="I1608" s="31">
        <f>VLOOKUP(A1608,File!$A:$J,9,FALSE)</f>
        <v>46328</v>
      </c>
      <c r="J1608" s="31" t="str">
        <f>VLOOKUP(A1608,File!$A:$K,11,FALSE)</f>
        <v>Nov 2026</v>
      </c>
      <c r="K1608" s="31" t="str">
        <f>VLOOKUP(A1608,File!$A:$K,10,FALSE)</f>
        <v>In-Training</v>
      </c>
      <c r="L1608" s="31" t="s">
        <v>4</v>
      </c>
      <c r="M1608" t="str">
        <f>VLOOKUP(A1608,Response!$A:$M,7,)</f>
        <v>PG (Paying Guest)</v>
      </c>
      <c r="N1608" t="str">
        <f>VLOOKUP(A1608,Response!$A:$M,8,)</f>
        <v>Vaishnavi Elite Pg, Egattur</v>
      </c>
      <c r="O1608" s="4">
        <f>VLOOKUP(A1608,Response!$A:$M,10,)</f>
        <v>2</v>
      </c>
      <c r="P1608" t="str">
        <f>VLOOKUP(A1608,Response!$A:$M,12,)</f>
        <v>No</v>
      </c>
      <c r="Q1608" t="str">
        <f>VLOOKUP(A1608,Response!$A:$M,11,)</f>
        <v>Egattur</v>
      </c>
      <c r="R1608" t="s">
        <v>19</v>
      </c>
      <c r="S1608" s="39" t="s">
        <v>37</v>
      </c>
    </row>
    <row r="1609" spans="1:19">
      <c r="A1609" s="3">
        <v>2533000</v>
      </c>
      <c r="B1609" t="str">
        <f>VLOOKUP(A1609,File!$A:$J,2,FALSE)</f>
        <v>Aripalli Varsha</v>
      </c>
      <c r="C1609" s="29">
        <f>VLOOKUP(A1609,File!$A:$J,5,FALSE)</f>
        <v>46259</v>
      </c>
      <c r="D1609" s="29" t="str">
        <f>VLOOKUP(A1609,File!$A:$J,3,FALSE)</f>
        <v>Female</v>
      </c>
      <c r="E1609" s="29" t="str">
        <f>VLOOKUP(A1609,File!$A:$J,4,FALSE)</f>
        <v>FTE</v>
      </c>
      <c r="F1609" s="29" t="str">
        <f>VLOOKUP(A1609,File!$A:$J,6,FALSE)</f>
        <v>Chennai</v>
      </c>
      <c r="G1609" s="29" t="str">
        <f>VLOOKUP(A1609,File!$A:$J,7,FALSE)</f>
        <v>CIS26SN002</v>
      </c>
      <c r="H1609" s="29" t="str">
        <f>VLOOKUP(A1609,File!$A:$J,8,FALSE)</f>
        <v>Ashiya Begam S</v>
      </c>
      <c r="I1609" s="31">
        <f>VLOOKUP(A1609,File!$A:$J,9,FALSE)</f>
        <v>46358</v>
      </c>
      <c r="J1609" s="31" t="str">
        <f>VLOOKUP(A1609,File!$A:$K,11,FALSE)</f>
        <v>Dec 2026</v>
      </c>
      <c r="K1609" s="31" t="str">
        <f>VLOOKUP(A1609,File!$A:$K,10,FALSE)</f>
        <v>In-Training</v>
      </c>
      <c r="L1609" s="31" t="s">
        <v>4</v>
      </c>
      <c r="M1609" t="str">
        <f>VLOOKUP(A1609,Response!$A:$M,7,)</f>
        <v>PG (Paying Guest)</v>
      </c>
      <c r="N1609" t="str">
        <f>VLOOKUP(A1609,Response!$A:$M,8,)</f>
        <v>Vaishnavi elite PG, Egattur</v>
      </c>
      <c r="O1609" s="4">
        <f>VLOOKUP(A1609,Response!$A:$M,10,)</f>
        <v>4</v>
      </c>
      <c r="P1609" t="str">
        <f>VLOOKUP(A1609,Response!$A:$M,12,)</f>
        <v>No</v>
      </c>
      <c r="Q1609" t="str">
        <f>VLOOKUP(A1609,Response!$A:$M,11,)</f>
        <v>Egattur</v>
      </c>
      <c r="R1609" t="s">
        <v>19</v>
      </c>
      <c r="S1609" s="39" t="s">
        <v>37</v>
      </c>
    </row>
    <row r="1610" spans="1:19">
      <c r="A1610" s="3">
        <v>2531405</v>
      </c>
      <c r="B1610" t="str">
        <f>VLOOKUP(A1610,File!$A:$J,2,FALSE)</f>
        <v>Olivia Crystal Palatla</v>
      </c>
      <c r="C1610" s="29">
        <f>VLOOKUP(A1610,File!$A:$J,5,FALSE)</f>
        <v>46252</v>
      </c>
      <c r="D1610" s="29" t="str">
        <f>VLOOKUP(A1610,File!$A:$J,3,FALSE)</f>
        <v>Female</v>
      </c>
      <c r="E1610" s="29" t="str">
        <f>VLOOKUP(A1610,File!$A:$J,4,FALSE)</f>
        <v>FTE</v>
      </c>
      <c r="F1610" s="29" t="str">
        <f>VLOOKUP(A1610,File!$A:$J,6,FALSE)</f>
        <v>Chennai</v>
      </c>
      <c r="G1610" s="29" t="str">
        <f>VLOOKUP(A1610,File!$A:$J,7,FALSE)</f>
        <v>EPS26SAP036</v>
      </c>
      <c r="H1610" s="29" t="str">
        <f>VLOOKUP(A1610,File!$A:$J,8,FALSE)</f>
        <v>Vishnupriya Dakshnamurthy</v>
      </c>
      <c r="I1610" s="31">
        <f>VLOOKUP(A1610,File!$A:$J,9,FALSE)</f>
        <v>46335</v>
      </c>
      <c r="J1610" s="31" t="str">
        <f>VLOOKUP(A1610,File!$A:$K,11,FALSE)</f>
        <v>Nov 2026</v>
      </c>
      <c r="K1610" s="31" t="str">
        <f>VLOOKUP(A1610,File!$A:$K,10,FALSE)</f>
        <v>In-Training</v>
      </c>
      <c r="L1610" s="31" t="s">
        <v>4</v>
      </c>
      <c r="M1610" t="str">
        <f>VLOOKUP(A1610,Response!$A:$M,7,)</f>
        <v>PG (Paying Guest)</v>
      </c>
      <c r="N1610" t="str">
        <f>VLOOKUP(A1610,Response!$A:$M,8,)</f>
        <v>Vaishnavi Elite PG-Egattur</v>
      </c>
      <c r="O1610" s="4">
        <f>VLOOKUP(A1610,Response!$A:$M,10,)</f>
        <v>3</v>
      </c>
      <c r="P1610" t="str">
        <f>VLOOKUP(A1610,Response!$A:$M,12,)</f>
        <v>No</v>
      </c>
      <c r="Q1610" t="str">
        <f>VLOOKUP(A1610,Response!$A:$M,11,)</f>
        <v>Egattur</v>
      </c>
      <c r="R1610" t="s">
        <v>19</v>
      </c>
      <c r="S1610" s="39" t="s">
        <v>37</v>
      </c>
    </row>
    <row r="1611" spans="1:19">
      <c r="A1611" s="3">
        <v>2519717</v>
      </c>
      <c r="B1611" t="str">
        <f>VLOOKUP(A1611,File!$A:$J,2,FALSE)</f>
        <v>Kusumitha Ks</v>
      </c>
      <c r="C1611" s="29">
        <f>VLOOKUP(A1611,File!$A:$J,5,FALSE)</f>
        <v>46205</v>
      </c>
      <c r="D1611" s="29" t="str">
        <f>VLOOKUP(A1611,File!$A:$J,3,FALSE)</f>
        <v>Female</v>
      </c>
      <c r="E1611" s="29" t="str">
        <f>VLOOKUP(A1611,File!$A:$J,4,FALSE)</f>
        <v>FTE</v>
      </c>
      <c r="F1611" s="29" t="str">
        <f>VLOOKUP(A1611,File!$A:$J,6,FALSE)</f>
        <v>Chennai</v>
      </c>
      <c r="G1611" s="29" t="str">
        <f>VLOOKUP(A1611,File!$A:$J,7,FALSE)</f>
        <v>CIS26UNIX004</v>
      </c>
      <c r="H1611" s="29" t="str">
        <f>VLOOKUP(A1611,File!$A:$J,8,FALSE)</f>
        <v>Haritha P</v>
      </c>
      <c r="I1611" s="31">
        <f>VLOOKUP(A1611,File!$A:$J,9,FALSE)</f>
        <v>46289</v>
      </c>
      <c r="J1611" s="31" t="str">
        <f>VLOOKUP(A1611,File!$A:$K,11,FALSE)</f>
        <v>Sep 2026</v>
      </c>
      <c r="K1611" s="31" t="str">
        <f>VLOOKUP(A1611,File!$A:$K,10,FALSE)</f>
        <v>In-Training</v>
      </c>
      <c r="L1611" s="31" t="s">
        <v>4</v>
      </c>
      <c r="M1611" t="str">
        <f>VLOOKUP(A1611,Response!$A:$M,7,)</f>
        <v>PG (Paying Guest)</v>
      </c>
      <c r="N1611" t="str">
        <f>VLOOKUP(A1611,Response!$A:$M,8,)</f>
        <v>Vaishnavi ladies pg</v>
      </c>
      <c r="O1611" s="4">
        <f>VLOOKUP(A1611,Response!$A:$M,10,)</f>
        <v>2</v>
      </c>
      <c r="P1611" t="str">
        <f>VLOOKUP(A1611,Response!$A:$M,12,)</f>
        <v>No</v>
      </c>
      <c r="Q1611" t="str">
        <f>VLOOKUP(A1611,Response!$A:$M,11,)</f>
        <v>Egattur</v>
      </c>
      <c r="R1611" t="s">
        <v>19</v>
      </c>
      <c r="S1611" s="39" t="s">
        <v>37</v>
      </c>
    </row>
    <row r="1612" spans="1:19">
      <c r="A1612" s="3">
        <v>2524985</v>
      </c>
      <c r="B1612" t="str">
        <f>VLOOKUP(A1612,File!$A:$J,2,FALSE)</f>
        <v>Gudimella Hema Sri Valli</v>
      </c>
      <c r="C1612" s="29">
        <f>VLOOKUP(A1612,File!$A:$J,5,FALSE)</f>
        <v>46226</v>
      </c>
      <c r="D1612" s="29" t="str">
        <f>VLOOKUP(A1612,File!$A:$J,3,FALSE)</f>
        <v>Female</v>
      </c>
      <c r="E1612" s="29" t="str">
        <f>VLOOKUP(A1612,File!$A:$J,4,FALSE)</f>
        <v>FTE</v>
      </c>
      <c r="F1612" s="29" t="str">
        <f>VLOOKUP(A1612,File!$A:$J,6,FALSE)</f>
        <v>Chennai</v>
      </c>
      <c r="G1612" s="29" t="str">
        <f>VLOOKUP(A1612,File!$A:$J,7,FALSE)</f>
        <v>CIS26DWP023</v>
      </c>
      <c r="H1612" s="29" t="str">
        <f>VLOOKUP(A1612,File!$A:$J,8,FALSE)</f>
        <v>Geebiga B</v>
      </c>
      <c r="I1612" s="31">
        <f>VLOOKUP(A1612,File!$A:$J,9,FALSE)</f>
        <v>46282</v>
      </c>
      <c r="J1612" s="31" t="str">
        <f>VLOOKUP(A1612,File!$A:$K,11,FALSE)</f>
        <v>Sep 2026</v>
      </c>
      <c r="K1612" s="31" t="str">
        <f>VLOOKUP(A1612,File!$A:$K,10,FALSE)</f>
        <v>In-Training</v>
      </c>
      <c r="L1612" s="31" t="s">
        <v>4</v>
      </c>
      <c r="M1612" t="str">
        <f>VLOOKUP(A1612,Response!$A:$M,7,)</f>
        <v>PG (Paying Guest)</v>
      </c>
      <c r="N1612" t="str">
        <f>VLOOKUP(A1612,Response!$A:$M,8,)</f>
        <v>Vaishnavi ladies pg</v>
      </c>
      <c r="O1612" s="4">
        <f>VLOOKUP(A1612,Response!$A:$M,10,)</f>
        <v>2</v>
      </c>
      <c r="P1612" t="str">
        <f>VLOOKUP(A1612,Response!$A:$M,12,)</f>
        <v>No</v>
      </c>
      <c r="Q1612" t="str">
        <f>VLOOKUP(A1612,Response!$A:$M,11,)</f>
        <v>Siruseri</v>
      </c>
      <c r="R1612" t="s">
        <v>19</v>
      </c>
      <c r="S1612" s="39" t="s">
        <v>37</v>
      </c>
    </row>
    <row r="1613" spans="1:19">
      <c r="A1613" s="3">
        <v>2531967</v>
      </c>
      <c r="B1613" t="str">
        <f>VLOOKUP(A1613,File!$A:$J,2,FALSE)</f>
        <v>Swarnadeepika S</v>
      </c>
      <c r="C1613" s="29">
        <f>VLOOKUP(A1613,File!$A:$J,5,FALSE)</f>
        <v>46254</v>
      </c>
      <c r="D1613" s="29" t="str">
        <f>VLOOKUP(A1613,File!$A:$J,3,FALSE)</f>
        <v>Female</v>
      </c>
      <c r="E1613" s="29" t="str">
        <f>VLOOKUP(A1613,File!$A:$J,4,FALSE)</f>
        <v>FTE</v>
      </c>
      <c r="F1613" s="29" t="str">
        <f>VLOOKUP(A1613,File!$A:$J,6,FALSE)</f>
        <v>Chennai</v>
      </c>
      <c r="G1613" s="29" t="str">
        <f>VLOOKUP(A1613,File!$A:$J,7,FALSE)</f>
        <v>EPS26OSP011</v>
      </c>
      <c r="H1613" s="29" t="str">
        <f>VLOOKUP(A1613,File!$A:$J,8,FALSE)</f>
        <v>Gayathri Ramachandran</v>
      </c>
      <c r="I1613" s="31" t="str">
        <f>VLOOKUP(A1613,File!$A:$J,9,FALSE)</f>
        <v/>
      </c>
      <c r="J1613" s="44" t="s">
        <v>33</v>
      </c>
      <c r="K1613" s="31" t="str">
        <f>VLOOKUP(A1613,File!$A:$K,10,FALSE)</f>
        <v>Training - ON Hold</v>
      </c>
      <c r="L1613" s="31" t="s">
        <v>4</v>
      </c>
      <c r="M1613" t="str">
        <f>VLOOKUP(A1613,Response!$A:$M,7,)</f>
        <v>PG (Paying Guest)</v>
      </c>
      <c r="N1613" t="str">
        <f>VLOOKUP(A1613,Response!$A:$M,8,)</f>
        <v>Vaishnavi Ladies PG</v>
      </c>
      <c r="O1613" s="4">
        <f>VLOOKUP(A1613,Response!$A:$M,10,)</f>
        <v>4</v>
      </c>
      <c r="P1613" t="str">
        <f>VLOOKUP(A1613,Response!$A:$M,12,)</f>
        <v>Yes</v>
      </c>
      <c r="Q1613" t="str">
        <f>VLOOKUP(A1613,Response!$A:$M,11,)</f>
        <v>Siruseri</v>
      </c>
      <c r="R1613" t="s">
        <v>19</v>
      </c>
      <c r="S1613" s="39" t="s">
        <v>37</v>
      </c>
    </row>
    <row r="1614" spans="1:19">
      <c r="A1614" s="3">
        <v>2516771</v>
      </c>
      <c r="B1614" t="str">
        <f>VLOOKUP(A1614,File!$A:$J,2,FALSE)</f>
        <v>Bollu Divya Sree</v>
      </c>
      <c r="C1614" s="29">
        <f>VLOOKUP(A1614,File!$A:$J,5,FALSE)</f>
        <v>46191</v>
      </c>
      <c r="D1614" s="29" t="str">
        <f>VLOOKUP(A1614,File!$A:$J,3,FALSE)</f>
        <v>Female</v>
      </c>
      <c r="E1614" s="29" t="str">
        <f>VLOOKUP(A1614,File!$A:$J,4,FALSE)</f>
        <v>FTE</v>
      </c>
      <c r="F1614" s="29" t="str">
        <f>VLOOKUP(A1614,File!$A:$J,6,FALSE)</f>
        <v>Chennai</v>
      </c>
      <c r="G1614" s="29" t="str">
        <f>VLOOKUP(A1614,File!$A:$J,7,FALSE)</f>
        <v>CIS26MW001</v>
      </c>
      <c r="H1614" s="29" t="str">
        <f>VLOOKUP(A1614,File!$A:$J,8,FALSE)</f>
        <v>Ashiya Begam S</v>
      </c>
      <c r="I1614" s="31">
        <f>VLOOKUP(A1614,File!$A:$J,9,FALSE)</f>
        <v>46276</v>
      </c>
      <c r="J1614" s="31" t="str">
        <f>VLOOKUP(A1614,File!$A:$K,11,FALSE)</f>
        <v>Sep 2026</v>
      </c>
      <c r="K1614" s="31" t="str">
        <f>VLOOKUP(A1614,File!$A:$K,10,FALSE)</f>
        <v>In-Training</v>
      </c>
      <c r="L1614" s="31" t="s">
        <v>4</v>
      </c>
      <c r="M1614" t="str">
        <f>VLOOKUP(A1614,Response!$A:$M,7,)</f>
        <v>PG (Paying Guest)</v>
      </c>
      <c r="N1614" t="str">
        <f>VLOOKUP(A1614,Response!$A:$M,8,)</f>
        <v>Vaishnavi Ladies PG  - Dr. Ambedkar Street- Egattur</v>
      </c>
      <c r="O1614" s="4">
        <f>VLOOKUP(A1614,Response!$A:$M,10,)</f>
        <v>4</v>
      </c>
      <c r="P1614" t="str">
        <f>VLOOKUP(A1614,Response!$A:$M,12,)</f>
        <v>No</v>
      </c>
      <c r="Q1614" t="str">
        <f>VLOOKUP(A1614,Response!$A:$M,11,)</f>
        <v>Siruseri</v>
      </c>
      <c r="R1614" t="s">
        <v>19</v>
      </c>
      <c r="S1614" s="39" t="s">
        <v>37</v>
      </c>
    </row>
    <row r="1615" spans="1:19">
      <c r="A1615" s="3">
        <v>2520927</v>
      </c>
      <c r="B1615" t="str">
        <f>VLOOKUP(A1615,File!$A:$J,2,FALSE)</f>
        <v>Deekshitha N S</v>
      </c>
      <c r="C1615" s="29">
        <f>VLOOKUP(A1615,File!$A:$J,5,FALSE)</f>
        <v>46210</v>
      </c>
      <c r="D1615" s="29" t="str">
        <f>VLOOKUP(A1615,File!$A:$J,3,FALSE)</f>
        <v>Female</v>
      </c>
      <c r="E1615" s="29" t="str">
        <f>VLOOKUP(A1615,File!$A:$J,4,FALSE)</f>
        <v>FTE</v>
      </c>
      <c r="F1615" s="29" t="str">
        <f>VLOOKUP(A1615,File!$A:$J,6,FALSE)</f>
        <v>Chennai</v>
      </c>
      <c r="G1615" s="29" t="str">
        <f>VLOOKUP(A1615,File!$A:$J,7,FALSE)</f>
        <v>CIS26MCPT013</v>
      </c>
      <c r="H1615" s="29" t="str">
        <f>VLOOKUP(A1615,File!$A:$J,8,FALSE)</f>
        <v>Lawrance M</v>
      </c>
      <c r="I1615" s="31">
        <f>VLOOKUP(A1615,File!$A:$J,9,FALSE)</f>
        <v>46324</v>
      </c>
      <c r="J1615" s="31" t="str">
        <f>VLOOKUP(A1615,File!$A:$K,11,FALSE)</f>
        <v>Oct 2026</v>
      </c>
      <c r="K1615" s="31" t="str">
        <f>VLOOKUP(A1615,File!$A:$K,10,FALSE)</f>
        <v>In-Training</v>
      </c>
      <c r="L1615" s="31" t="s">
        <v>4</v>
      </c>
      <c r="M1615" t="str">
        <f>VLOOKUP(A1615,Response!$A:$M,7,)</f>
        <v>PG (Paying Guest)</v>
      </c>
      <c r="N1615" t="str">
        <f>VLOOKUP(A1615,Response!$A:$M,8,)</f>
        <v>Vaishnavi Ladies PG - Branch 1, Egattur</v>
      </c>
      <c r="O1615" s="4">
        <f>VLOOKUP(A1615,Response!$A:$M,10,)</f>
        <v>4</v>
      </c>
      <c r="P1615" t="str">
        <f>VLOOKUP(A1615,Response!$A:$M,12,)</f>
        <v>No</v>
      </c>
      <c r="Q1615" t="str">
        <f>VLOOKUP(A1615,Response!$A:$M,11,)</f>
        <v>Egattur</v>
      </c>
      <c r="R1615" t="s">
        <v>19</v>
      </c>
      <c r="S1615" s="39" t="s">
        <v>37</v>
      </c>
    </row>
    <row r="1616" spans="1:19">
      <c r="A1616" s="3">
        <v>2533140</v>
      </c>
      <c r="B1616" t="str">
        <f>VLOOKUP(A1616,File!$A:$J,2,FALSE)</f>
        <v>Anusha Shekhar</v>
      </c>
      <c r="C1616" s="29">
        <f>VLOOKUP(A1616,File!$A:$J,5,FALSE)</f>
        <v>46259</v>
      </c>
      <c r="D1616" s="29" t="str">
        <f>VLOOKUP(A1616,File!$A:$J,3,FALSE)</f>
        <v>Female</v>
      </c>
      <c r="E1616" s="29" t="str">
        <f>VLOOKUP(A1616,File!$A:$J,4,FALSE)</f>
        <v>FTE</v>
      </c>
      <c r="F1616" s="29" t="str">
        <f>VLOOKUP(A1616,File!$A:$J,6,FALSE)</f>
        <v>Chennai</v>
      </c>
      <c r="G1616" s="29" t="str">
        <f>VLOOKUP(A1616,File!$A:$J,7,FALSE)</f>
        <v>CIS26MBG003</v>
      </c>
      <c r="H1616" s="29" t="str">
        <f>VLOOKUP(A1616,File!$A:$J,8,FALSE)</f>
        <v>Kishorekumar P</v>
      </c>
      <c r="I1616" s="31">
        <f>VLOOKUP(A1616,File!$A:$J,9,FALSE)</f>
        <v>46367</v>
      </c>
      <c r="J1616" s="31" t="str">
        <f>VLOOKUP(A1616,File!$A:$K,11,FALSE)</f>
        <v>Dec 2026</v>
      </c>
      <c r="K1616" s="31" t="str">
        <f>VLOOKUP(A1616,File!$A:$K,10,FALSE)</f>
        <v>In-Training</v>
      </c>
      <c r="L1616" s="31" t="s">
        <v>4</v>
      </c>
      <c r="M1616" t="str">
        <f>VLOOKUP(A1616,Response!$A:$M,7,)</f>
        <v>PG (Paying Guest)</v>
      </c>
      <c r="N1616" t="str">
        <f>VLOOKUP(A1616,Response!$A:$M,8,)</f>
        <v>vaishnavi ladies pg , sipcot, egattur</v>
      </c>
      <c r="O1616" s="4">
        <f>VLOOKUP(A1616,Response!$A:$M,10,)</f>
        <v>1</v>
      </c>
      <c r="P1616" t="str">
        <f>VLOOKUP(A1616,Response!$A:$M,12,)</f>
        <v>No</v>
      </c>
      <c r="Q1616" t="str">
        <f>VLOOKUP(A1616,Response!$A:$M,11,)</f>
        <v>Egattur</v>
      </c>
      <c r="R1616" t="s">
        <v>19</v>
      </c>
      <c r="S1616" s="39" t="s">
        <v>37</v>
      </c>
    </row>
    <row r="1617" spans="1:19">
      <c r="A1617" s="3">
        <v>2529617</v>
      </c>
      <c r="B1617" t="str">
        <f>VLOOKUP(A1617,File!$A:$J,2,FALSE)</f>
        <v>Sakala Sireesha</v>
      </c>
      <c r="C1617" s="29">
        <f>VLOOKUP(A1617,File!$A:$J,5,FALSE)</f>
        <v>46245</v>
      </c>
      <c r="D1617" s="29" t="str">
        <f>VLOOKUP(A1617,File!$A:$J,3,FALSE)</f>
        <v>Female</v>
      </c>
      <c r="E1617" s="29" t="str">
        <f>VLOOKUP(A1617,File!$A:$J,4,FALSE)</f>
        <v>FTE</v>
      </c>
      <c r="F1617" s="29" t="str">
        <f>VLOOKUP(A1617,File!$A:$J,6,FALSE)</f>
        <v>Chennai</v>
      </c>
      <c r="G1617" s="29" t="str">
        <f>VLOOKUP(A1617,File!$A:$J,7,FALSE)</f>
        <v>CIS26MCPT021</v>
      </c>
      <c r="H1617" s="29" t="str">
        <f>VLOOKUP(A1617,File!$A:$J,8,FALSE)</f>
        <v>Uma Venkatachalam</v>
      </c>
      <c r="I1617" s="31">
        <f>VLOOKUP(A1617,File!$A:$J,9,FALSE)</f>
        <v>46364</v>
      </c>
      <c r="J1617" s="31" t="str">
        <f>VLOOKUP(A1617,File!$A:$K,11,FALSE)</f>
        <v>Dec 2026</v>
      </c>
      <c r="K1617" s="31" t="str">
        <f>VLOOKUP(A1617,File!$A:$K,10,FALSE)</f>
        <v>In-Training</v>
      </c>
      <c r="L1617" s="31" t="s">
        <v>4</v>
      </c>
      <c r="M1617" t="str">
        <f>VLOOKUP(A1617,Response!$A:$M,7,)</f>
        <v>PG (Paying Guest)</v>
      </c>
      <c r="N1617" t="str">
        <f>VLOOKUP(A1617,Response!$A:$M,8,)</f>
        <v>Vaishnavi ladies pg, Egattur</v>
      </c>
      <c r="O1617" s="4">
        <f>VLOOKUP(A1617,Response!$A:$M,10,)</f>
        <v>1</v>
      </c>
      <c r="P1617" t="str">
        <f>VLOOKUP(A1617,Response!$A:$M,12,)</f>
        <v>No</v>
      </c>
      <c r="Q1617" t="str">
        <f>VLOOKUP(A1617,Response!$A:$M,11,)</f>
        <v>Siruseri</v>
      </c>
      <c r="R1617" t="s">
        <v>19</v>
      </c>
      <c r="S1617" s="39" t="s">
        <v>37</v>
      </c>
    </row>
    <row r="1618" spans="1:19">
      <c r="A1618" s="3">
        <v>2519704</v>
      </c>
      <c r="B1618" t="str">
        <f>VLOOKUP(A1618,File!$A:$J,2,FALSE)</f>
        <v>Bogireddy Vindhya</v>
      </c>
      <c r="C1618" s="29">
        <f>VLOOKUP(A1618,File!$A:$J,5,FALSE)</f>
        <v>46205</v>
      </c>
      <c r="D1618" s="29" t="str">
        <f>VLOOKUP(A1618,File!$A:$J,3,FALSE)</f>
        <v>Female</v>
      </c>
      <c r="E1618" s="29" t="str">
        <f>VLOOKUP(A1618,File!$A:$J,4,FALSE)</f>
        <v>FTE</v>
      </c>
      <c r="F1618" s="29" t="str">
        <f>VLOOKUP(A1618,File!$A:$J,6,FALSE)</f>
        <v>Chennai</v>
      </c>
      <c r="G1618" s="29" t="str">
        <f>VLOOKUP(A1618,File!$A:$J,7,FALSE)</f>
        <v>CIS26UNIX003</v>
      </c>
      <c r="H1618" s="29" t="str">
        <f>VLOOKUP(A1618,File!$A:$J,8,FALSE)</f>
        <v>Haritha P</v>
      </c>
      <c r="I1618" s="31">
        <f>VLOOKUP(A1618,File!$A:$J,9,FALSE)</f>
        <v>46289</v>
      </c>
      <c r="J1618" s="31" t="str">
        <f>VLOOKUP(A1618,File!$A:$K,11,FALSE)</f>
        <v>Sep 2026</v>
      </c>
      <c r="K1618" s="31" t="str">
        <f>VLOOKUP(A1618,File!$A:$K,10,FALSE)</f>
        <v>In-Training</v>
      </c>
      <c r="L1618" s="31" t="s">
        <v>4</v>
      </c>
      <c r="M1618" t="str">
        <f>VLOOKUP(A1618,Response!$A:$M,7,)</f>
        <v>PG (Paying Guest)</v>
      </c>
      <c r="N1618" t="str">
        <f>VLOOKUP(A1618,Response!$A:$M,8,)</f>
        <v>Vaishnavi ladies pg - Egattur</v>
      </c>
      <c r="O1618" s="4">
        <f>VLOOKUP(A1618,Response!$A:$M,10,)</f>
        <v>3</v>
      </c>
      <c r="P1618" t="str">
        <f>VLOOKUP(A1618,Response!$A:$M,12,)</f>
        <v>No</v>
      </c>
      <c r="Q1618" t="str">
        <f>VLOOKUP(A1618,Response!$A:$M,11,)</f>
        <v>Egattur</v>
      </c>
      <c r="R1618" t="s">
        <v>19</v>
      </c>
      <c r="S1618" s="39" t="s">
        <v>37</v>
      </c>
    </row>
    <row r="1619" spans="1:19">
      <c r="A1619" s="3">
        <v>2520926</v>
      </c>
      <c r="B1619" t="str">
        <f>VLOOKUP(A1619,File!$A:$J,2,FALSE)</f>
        <v>Indushree K C</v>
      </c>
      <c r="C1619" s="29">
        <f>VLOOKUP(A1619,File!$A:$J,5,FALSE)</f>
        <v>46210</v>
      </c>
      <c r="D1619" s="29" t="str">
        <f>VLOOKUP(A1619,File!$A:$J,3,FALSE)</f>
        <v>Female</v>
      </c>
      <c r="E1619" s="29" t="str">
        <f>VLOOKUP(A1619,File!$A:$J,4,FALSE)</f>
        <v>FTE</v>
      </c>
      <c r="F1619" s="29" t="str">
        <f>VLOOKUP(A1619,File!$A:$J,6,FALSE)</f>
        <v>Chennai</v>
      </c>
      <c r="G1619" s="29" t="str">
        <f>VLOOKUP(A1619,File!$A:$J,7,FALSE)</f>
        <v>CIS26MCPT013</v>
      </c>
      <c r="H1619" s="29" t="str">
        <f>VLOOKUP(A1619,File!$A:$J,8,FALSE)</f>
        <v>Lawrance M</v>
      </c>
      <c r="I1619" s="31">
        <f>VLOOKUP(A1619,File!$A:$J,9,FALSE)</f>
        <v>46324</v>
      </c>
      <c r="J1619" s="31" t="str">
        <f>VLOOKUP(A1619,File!$A:$K,11,FALSE)</f>
        <v>Oct 2026</v>
      </c>
      <c r="K1619" s="31" t="str">
        <f>VLOOKUP(A1619,File!$A:$K,10,FALSE)</f>
        <v>In-Training</v>
      </c>
      <c r="L1619" s="31" t="s">
        <v>4</v>
      </c>
      <c r="M1619" t="str">
        <f>VLOOKUP(A1619,Response!$A:$M,7,)</f>
        <v>PG (Paying Guest)</v>
      </c>
      <c r="N1619" t="str">
        <f>VLOOKUP(A1619,Response!$A:$M,8,)</f>
        <v>Vaishnavi Ladies PG, No.4/211, Dr. Ambethkar Street, Near Navalur, Sipcot Egattur, Egattur, Chennai-603103, Tamil Nadu</v>
      </c>
      <c r="O1619" s="4">
        <f>VLOOKUP(A1619,Response!$A:$M,10,)</f>
        <v>1</v>
      </c>
      <c r="P1619" t="str">
        <f>VLOOKUP(A1619,Response!$A:$M,12,)</f>
        <v>No</v>
      </c>
      <c r="Q1619" t="str">
        <f>VLOOKUP(A1619,Response!$A:$M,11,)</f>
        <v>Siruseri</v>
      </c>
      <c r="R1619" t="s">
        <v>19</v>
      </c>
      <c r="S1619" s="39" t="s">
        <v>37</v>
      </c>
    </row>
    <row r="1620" spans="1:19">
      <c r="A1620" s="3">
        <v>2520971</v>
      </c>
      <c r="B1620" t="str">
        <f>VLOOKUP(A1620,File!$A:$J,2,FALSE)</f>
        <v>Markeeri Teja</v>
      </c>
      <c r="C1620" s="29">
        <f>VLOOKUP(A1620,File!$A:$J,5,FALSE)</f>
        <v>46210</v>
      </c>
      <c r="D1620" s="29" t="str">
        <f>VLOOKUP(A1620,File!$A:$J,3,FALSE)</f>
        <v>Female</v>
      </c>
      <c r="E1620" s="29" t="str">
        <f>VLOOKUP(A1620,File!$A:$J,4,FALSE)</f>
        <v>FTE</v>
      </c>
      <c r="F1620" s="29" t="str">
        <f>VLOOKUP(A1620,File!$A:$J,6,FALSE)</f>
        <v>Chennai</v>
      </c>
      <c r="G1620" s="29" t="str">
        <f>VLOOKUP(A1620,File!$A:$J,7,FALSE)</f>
        <v>HPC26DN005</v>
      </c>
      <c r="H1620" s="29" t="str">
        <f>VLOOKUP(A1620,File!$A:$J,8,FALSE)</f>
        <v>Viveka Preethi</v>
      </c>
      <c r="I1620" s="31">
        <f>VLOOKUP(A1620,File!$A:$J,9,FALSE)</f>
        <v>46296</v>
      </c>
      <c r="J1620" s="31" t="str">
        <f>VLOOKUP(A1620,File!$A:$K,11,FALSE)</f>
        <v>Oct 2026</v>
      </c>
      <c r="K1620" s="31" t="str">
        <f>VLOOKUP(A1620,File!$A:$K,10,FALSE)</f>
        <v>In-Training</v>
      </c>
      <c r="L1620" s="31" t="s">
        <v>4</v>
      </c>
      <c r="M1620" t="str">
        <f>VLOOKUP(A1620,Response!$A:$M,7,)</f>
        <v>PG (Paying Guest)</v>
      </c>
      <c r="N1620" t="str">
        <f>VLOOKUP(A1620,Response!$A:$M,8,)</f>
        <v>Vaishnavi ladies pg,Egattur</v>
      </c>
      <c r="O1620" s="4">
        <f>VLOOKUP(A1620,Response!$A:$M,10,)</f>
        <v>3</v>
      </c>
      <c r="P1620" t="str">
        <f>VLOOKUP(A1620,Response!$A:$M,12,)</f>
        <v>No</v>
      </c>
      <c r="Q1620" t="str">
        <f>VLOOKUP(A1620,Response!$A:$M,11,)</f>
        <v>Siruseri</v>
      </c>
      <c r="R1620" t="s">
        <v>19</v>
      </c>
      <c r="S1620" s="39" t="s">
        <v>37</v>
      </c>
    </row>
    <row r="1621" spans="1:19">
      <c r="A1621" s="3">
        <v>2531343</v>
      </c>
      <c r="B1621" t="str">
        <f>VLOOKUP(A1621,File!$A:$J,2,FALSE)</f>
        <v>Toom Abinayasri</v>
      </c>
      <c r="C1621" s="29">
        <f>VLOOKUP(A1621,File!$A:$J,5,FALSE)</f>
        <v>46252</v>
      </c>
      <c r="D1621" s="29" t="str">
        <f>VLOOKUP(A1621,File!$A:$J,3,FALSE)</f>
        <v>Female</v>
      </c>
      <c r="E1621" s="29" t="str">
        <f>VLOOKUP(A1621,File!$A:$J,4,FALSE)</f>
        <v>FTE</v>
      </c>
      <c r="F1621" s="29" t="str">
        <f>VLOOKUP(A1621,File!$A:$J,6,FALSE)</f>
        <v>Chennai</v>
      </c>
      <c r="G1621" s="29" t="str">
        <f>VLOOKUP(A1621,File!$A:$J,7,FALSE)</f>
        <v>EPS26SAP036</v>
      </c>
      <c r="H1621" s="29" t="str">
        <f>VLOOKUP(A1621,File!$A:$J,8,FALSE)</f>
        <v>Vishnupriya Dakshnamurthy</v>
      </c>
      <c r="I1621" s="31">
        <f>VLOOKUP(A1621,File!$A:$J,9,FALSE)</f>
        <v>46335</v>
      </c>
      <c r="J1621" s="31" t="str">
        <f>VLOOKUP(A1621,File!$A:$K,11,FALSE)</f>
        <v>Nov 2026</v>
      </c>
      <c r="K1621" s="31" t="str">
        <f>VLOOKUP(A1621,File!$A:$K,10,FALSE)</f>
        <v>In-Training</v>
      </c>
      <c r="L1621" s="31" t="s">
        <v>4</v>
      </c>
      <c r="M1621" t="str">
        <f>VLOOKUP(A1621,Response!$A:$M,7,)</f>
        <v>PG (Paying Guest)</v>
      </c>
      <c r="N1621" t="str">
        <f>VLOOKUP(A1621,Response!$A:$M,8,)</f>
        <v>vaishnavi pg</v>
      </c>
      <c r="O1621" s="4">
        <f>VLOOKUP(A1621,Response!$A:$M,10,)</f>
        <v>3</v>
      </c>
      <c r="P1621" t="str">
        <f>VLOOKUP(A1621,Response!$A:$M,12,)</f>
        <v>No</v>
      </c>
      <c r="Q1621" t="str">
        <f>VLOOKUP(A1621,Response!$A:$M,11,)</f>
        <v>Siruseri</v>
      </c>
      <c r="R1621" t="s">
        <v>19</v>
      </c>
      <c r="S1621" s="39" t="s">
        <v>37</v>
      </c>
    </row>
    <row r="1622" spans="1:19">
      <c r="A1622" s="3">
        <v>2533071</v>
      </c>
      <c r="B1622" t="str">
        <f>VLOOKUP(A1622,File!$A:$J,2,FALSE)</f>
        <v>Badri Vasavi Sri Vidya Jyoshini</v>
      </c>
      <c r="C1622" s="29">
        <f>VLOOKUP(A1622,File!$A:$J,5,FALSE)</f>
        <v>46259</v>
      </c>
      <c r="D1622" s="29" t="str">
        <f>VLOOKUP(A1622,File!$A:$J,3,FALSE)</f>
        <v>Female</v>
      </c>
      <c r="E1622" s="29" t="str">
        <f>VLOOKUP(A1622,File!$A:$J,4,FALSE)</f>
        <v>FTE</v>
      </c>
      <c r="F1622" s="29" t="str">
        <f>VLOOKUP(A1622,File!$A:$J,6,FALSE)</f>
        <v>Chennai</v>
      </c>
      <c r="G1622" s="29" t="str">
        <f>VLOOKUP(A1622,File!$A:$J,7,FALSE)</f>
        <v>CIS26SN002</v>
      </c>
      <c r="H1622" s="29" t="str">
        <f>VLOOKUP(A1622,File!$A:$J,8,FALSE)</f>
        <v>Ashiya Begam S</v>
      </c>
      <c r="I1622" s="31">
        <f>VLOOKUP(A1622,File!$A:$J,9,FALSE)</f>
        <v>46358</v>
      </c>
      <c r="J1622" s="31" t="str">
        <f>VLOOKUP(A1622,File!$A:$K,11,FALSE)</f>
        <v>Dec 2026</v>
      </c>
      <c r="K1622" s="31" t="str">
        <f>VLOOKUP(A1622,File!$A:$K,10,FALSE)</f>
        <v>In-Training</v>
      </c>
      <c r="L1622" s="31" t="s">
        <v>4</v>
      </c>
      <c r="M1622" t="str">
        <f>VLOOKUP(A1622,Response!$A:$M,7,)</f>
        <v>PG (Paying Guest)</v>
      </c>
      <c r="N1622" t="str">
        <f>VLOOKUP(A1622,Response!$A:$M,8,)</f>
        <v>Vaishnavi PG - Egattur</v>
      </c>
      <c r="O1622" s="4">
        <f>VLOOKUP(A1622,Response!$A:$M,10,)</f>
        <v>4</v>
      </c>
      <c r="P1622" t="str">
        <f>VLOOKUP(A1622,Response!$A:$M,12,)</f>
        <v>No</v>
      </c>
      <c r="Q1622" t="str">
        <f>VLOOKUP(A1622,Response!$A:$M,11,)</f>
        <v>Egattur</v>
      </c>
      <c r="R1622" t="s">
        <v>19</v>
      </c>
      <c r="S1622" s="39" t="s">
        <v>37</v>
      </c>
    </row>
    <row r="1623" spans="1:19">
      <c r="A1623" s="3">
        <v>2525061</v>
      </c>
      <c r="B1623" t="str">
        <f>VLOOKUP(A1623,File!$A:$J,2,FALSE)</f>
        <v>Vuppala Sai Supriya</v>
      </c>
      <c r="C1623" s="29">
        <f>VLOOKUP(A1623,File!$A:$J,5,FALSE)</f>
        <v>46226</v>
      </c>
      <c r="D1623" s="29" t="str">
        <f>VLOOKUP(A1623,File!$A:$J,3,FALSE)</f>
        <v>Female</v>
      </c>
      <c r="E1623" s="29" t="str">
        <f>VLOOKUP(A1623,File!$A:$J,4,FALSE)</f>
        <v>FTE</v>
      </c>
      <c r="F1623" s="29" t="str">
        <f>VLOOKUP(A1623,File!$A:$J,6,FALSE)</f>
        <v>Chennai</v>
      </c>
      <c r="G1623" s="29" t="str">
        <f>VLOOKUP(A1623,File!$A:$J,7,FALSE)</f>
        <v>ADM26ISMO010</v>
      </c>
      <c r="H1623" s="29" t="str">
        <f>VLOOKUP(A1623,File!$A:$J,8,FALSE)</f>
        <v>Thomas Naveen. J</v>
      </c>
      <c r="I1623" s="31">
        <f>VLOOKUP(A1623,File!$A:$J,9,FALSE)</f>
        <v>46301</v>
      </c>
      <c r="J1623" s="31" t="str">
        <f>VLOOKUP(A1623,File!$A:$K,11,FALSE)</f>
        <v>Oct 2026</v>
      </c>
      <c r="K1623" s="31" t="str">
        <f>VLOOKUP(A1623,File!$A:$K,10,FALSE)</f>
        <v>In-Training</v>
      </c>
      <c r="L1623" s="31" t="s">
        <v>4</v>
      </c>
      <c r="M1623" t="str">
        <f>VLOOKUP(A1623,Response!$A:$M,7,)</f>
        <v>PG (Paying Guest)</v>
      </c>
      <c r="N1623" t="str">
        <f>VLOOKUP(A1623,Response!$A:$M,8,)</f>
        <v>Vaishnavi PG , Egattur</v>
      </c>
      <c r="O1623" s="4">
        <f>VLOOKUP(A1623,Response!$A:$M,10,)</f>
        <v>4</v>
      </c>
      <c r="P1623" t="str">
        <f>VLOOKUP(A1623,Response!$A:$M,12,)</f>
        <v>No</v>
      </c>
      <c r="Q1623" t="str">
        <f>VLOOKUP(A1623,Response!$A:$M,11,)</f>
        <v>Siruseri</v>
      </c>
      <c r="R1623" t="s">
        <v>19</v>
      </c>
      <c r="S1623" s="39" t="s">
        <v>37</v>
      </c>
    </row>
    <row r="1624" spans="1:19">
      <c r="A1624" s="3">
        <v>2521279</v>
      </c>
      <c r="B1624" t="str">
        <f>VLOOKUP(A1624,File!$A:$J,2,FALSE)</f>
        <v>P Umme Suliem Lubaba</v>
      </c>
      <c r="C1624" s="29">
        <f>VLOOKUP(A1624,File!$A:$J,5,FALSE)</f>
        <v>46210</v>
      </c>
      <c r="D1624" s="29" t="str">
        <f>VLOOKUP(A1624,File!$A:$J,3,FALSE)</f>
        <v>Female</v>
      </c>
      <c r="E1624" s="29" t="str">
        <f>VLOOKUP(A1624,File!$A:$J,4,FALSE)</f>
        <v>FTE</v>
      </c>
      <c r="F1624" s="29" t="str">
        <f>VLOOKUP(A1624,File!$A:$J,6,FALSE)</f>
        <v>Chennai</v>
      </c>
      <c r="G1624" s="29" t="str">
        <f>VLOOKUP(A1624,File!$A:$J,7,FALSE)</f>
        <v>CIS26SN001</v>
      </c>
      <c r="H1624" s="29" t="str">
        <f>VLOOKUP(A1624,File!$A:$J,8,FALSE)</f>
        <v>Ashiya Begam S</v>
      </c>
      <c r="I1624" s="31">
        <f>VLOOKUP(A1624,File!$A:$J,9,FALSE)</f>
        <v>46281</v>
      </c>
      <c r="J1624" s="31" t="str">
        <f>VLOOKUP(A1624,File!$A:$K,11,FALSE)</f>
        <v>Sep 2026</v>
      </c>
      <c r="K1624" s="31" t="str">
        <f>VLOOKUP(A1624,File!$A:$K,10,FALSE)</f>
        <v>In-Training</v>
      </c>
      <c r="L1624" s="31" t="s">
        <v>4</v>
      </c>
      <c r="M1624" t="str">
        <f>VLOOKUP(A1624,Response!$A:$M,7,)</f>
        <v>PG (Paying Guest)</v>
      </c>
      <c r="N1624" t="str">
        <f>VLOOKUP(A1624,Response!$A:$M,8,)</f>
        <v>Vaishnavi PG For Ladies</v>
      </c>
      <c r="O1624" s="4">
        <f>VLOOKUP(A1624,Response!$A:$M,10,)</f>
        <v>2</v>
      </c>
      <c r="P1624" t="str">
        <f>VLOOKUP(A1624,Response!$A:$M,12,)</f>
        <v>No</v>
      </c>
      <c r="Q1624" t="str">
        <f>VLOOKUP(A1624,Response!$A:$M,11,)</f>
        <v>Egattur</v>
      </c>
      <c r="R1624" t="s">
        <v>19</v>
      </c>
      <c r="S1624" s="39" t="s">
        <v>37</v>
      </c>
    </row>
    <row r="1625" spans="1:19">
      <c r="A1625" s="3">
        <v>2531968</v>
      </c>
      <c r="B1625" t="str">
        <f>VLOOKUP(A1625,File!$A:$J,2,FALSE)</f>
        <v>Cherie Josephine A</v>
      </c>
      <c r="C1625" s="29">
        <f>VLOOKUP(A1625,File!$A:$J,5,FALSE)</f>
        <v>46254</v>
      </c>
      <c r="D1625" s="29" t="str">
        <f>VLOOKUP(A1625,File!$A:$J,3,FALSE)</f>
        <v>Female</v>
      </c>
      <c r="E1625" s="29" t="str">
        <f>VLOOKUP(A1625,File!$A:$J,4,FALSE)</f>
        <v>FTE</v>
      </c>
      <c r="F1625" s="29" t="str">
        <f>VLOOKUP(A1625,File!$A:$J,6,FALSE)</f>
        <v>Chennai</v>
      </c>
      <c r="G1625" s="29" t="str">
        <f>VLOOKUP(A1625,File!$A:$J,7,FALSE)</f>
        <v>EPS26OSP011</v>
      </c>
      <c r="H1625" s="29" t="str">
        <f>VLOOKUP(A1625,File!$A:$J,8,FALSE)</f>
        <v>Gayathri Ramachandran</v>
      </c>
      <c r="I1625" s="31" t="str">
        <f>VLOOKUP(A1625,File!$A:$J,9,FALSE)</f>
        <v/>
      </c>
      <c r="J1625" s="44" t="s">
        <v>33</v>
      </c>
      <c r="K1625" s="31" t="str">
        <f>VLOOKUP(A1625,File!$A:$K,10,FALSE)</f>
        <v>Training - ON Hold</v>
      </c>
      <c r="L1625" s="31" t="s">
        <v>4</v>
      </c>
      <c r="M1625" t="str">
        <f>VLOOKUP(A1625,Response!$A:$M,7,)</f>
        <v>PG (Paying Guest)</v>
      </c>
      <c r="N1625" t="str">
        <f>VLOOKUP(A1625,Response!$A:$M,8,)</f>
        <v>Vaishnavi Pg for ladies</v>
      </c>
      <c r="O1625" s="4">
        <f>VLOOKUP(A1625,Response!$A:$M,10,)</f>
        <v>4</v>
      </c>
      <c r="P1625" t="str">
        <f>VLOOKUP(A1625,Response!$A:$M,12,)</f>
        <v>Yes</v>
      </c>
      <c r="Q1625" t="str">
        <f>VLOOKUP(A1625,Response!$A:$M,11,)</f>
        <v>Siruseri</v>
      </c>
      <c r="R1625" t="s">
        <v>19</v>
      </c>
      <c r="S1625" s="39" t="s">
        <v>37</v>
      </c>
    </row>
    <row r="1626" spans="1:19">
      <c r="A1626" s="3">
        <v>2525035</v>
      </c>
      <c r="B1626" t="str">
        <f>VLOOKUP(A1626,File!$A:$J,2,FALSE)</f>
        <v>Laya Thota</v>
      </c>
      <c r="C1626" s="29">
        <f>VLOOKUP(A1626,File!$A:$J,5,FALSE)</f>
        <v>46226</v>
      </c>
      <c r="D1626" s="29" t="str">
        <f>VLOOKUP(A1626,File!$A:$J,3,FALSE)</f>
        <v>Female</v>
      </c>
      <c r="E1626" s="29" t="str">
        <f>VLOOKUP(A1626,File!$A:$J,4,FALSE)</f>
        <v>FTE</v>
      </c>
      <c r="F1626" s="29" t="str">
        <f>VLOOKUP(A1626,File!$A:$J,6,FALSE)</f>
        <v>Chennai</v>
      </c>
      <c r="G1626" s="29" t="str">
        <f>VLOOKUP(A1626,File!$A:$J,7,FALSE)</f>
        <v>ADM26ISMO010</v>
      </c>
      <c r="H1626" s="29" t="str">
        <f>VLOOKUP(A1626,File!$A:$J,8,FALSE)</f>
        <v>Thomas Naveen. J</v>
      </c>
      <c r="I1626" s="31">
        <f>VLOOKUP(A1626,File!$A:$J,9,FALSE)</f>
        <v>46301</v>
      </c>
      <c r="J1626" s="31" t="str">
        <f>VLOOKUP(A1626,File!$A:$K,11,FALSE)</f>
        <v>Oct 2026</v>
      </c>
      <c r="K1626" s="31" t="str">
        <f>VLOOKUP(A1626,File!$A:$K,10,FALSE)</f>
        <v>In-Training</v>
      </c>
      <c r="L1626" s="31" t="s">
        <v>4</v>
      </c>
      <c r="M1626" t="str">
        <f>VLOOKUP(A1626,Response!$A:$M,7,)</f>
        <v>PG (Paying Guest)</v>
      </c>
      <c r="N1626" t="str">
        <f>VLOOKUP(A1626,Response!$A:$M,8,)</f>
        <v>Vaishnavi PG for Ladies</v>
      </c>
      <c r="O1626" s="4">
        <f>VLOOKUP(A1626,Response!$A:$M,10,)</f>
        <v>4</v>
      </c>
      <c r="P1626" t="str">
        <f>VLOOKUP(A1626,Response!$A:$M,12,)</f>
        <v>Yes</v>
      </c>
      <c r="Q1626" t="str">
        <f>VLOOKUP(A1626,Response!$A:$M,11,)</f>
        <v>Siruseri</v>
      </c>
      <c r="R1626" t="s">
        <v>19</v>
      </c>
      <c r="S1626" s="39" t="s">
        <v>37</v>
      </c>
    </row>
    <row r="1627" spans="1:19">
      <c r="A1627" s="3">
        <v>2531378</v>
      </c>
      <c r="B1627" t="str">
        <f>VLOOKUP(A1627,File!$A:$J,2,FALSE)</f>
        <v>Bhagyashree S Biradar</v>
      </c>
      <c r="C1627" s="29">
        <f>VLOOKUP(A1627,File!$A:$J,5,FALSE)</f>
        <v>46252</v>
      </c>
      <c r="D1627" s="29" t="str">
        <f>VLOOKUP(A1627,File!$A:$J,3,FALSE)</f>
        <v>Female</v>
      </c>
      <c r="E1627" s="29" t="str">
        <f>VLOOKUP(A1627,File!$A:$J,4,FALSE)</f>
        <v>FTE</v>
      </c>
      <c r="F1627" s="29" t="str">
        <f>VLOOKUP(A1627,File!$A:$J,6,FALSE)</f>
        <v>Chennai</v>
      </c>
      <c r="G1627" s="29" t="str">
        <f>VLOOKUP(A1627,File!$A:$J,7,FALSE)</f>
        <v>EPS26SAP036</v>
      </c>
      <c r="H1627" s="29" t="str">
        <f>VLOOKUP(A1627,File!$A:$J,8,FALSE)</f>
        <v>Vishnupriya Dakshnamurthy</v>
      </c>
      <c r="I1627" s="31">
        <f>VLOOKUP(A1627,File!$A:$J,9,FALSE)</f>
        <v>46335</v>
      </c>
      <c r="J1627" s="31" t="str">
        <f>VLOOKUP(A1627,File!$A:$K,11,FALSE)</f>
        <v>Nov 2026</v>
      </c>
      <c r="K1627" s="31" t="str">
        <f>VLOOKUP(A1627,File!$A:$K,10,FALSE)</f>
        <v>In-Training</v>
      </c>
      <c r="L1627" s="31" t="s">
        <v>4</v>
      </c>
      <c r="M1627" t="str">
        <f>VLOOKUP(A1627,Response!$A:$M,7,)</f>
        <v>PG (Paying Guest)</v>
      </c>
      <c r="N1627" t="str">
        <f>VLOOKUP(A1627,Response!$A:$M,8,)</f>
        <v xml:space="preserve">Vaishnavi PG for ladies </v>
      </c>
      <c r="O1627" s="4">
        <f>VLOOKUP(A1627,Response!$A:$M,10,)</f>
        <v>1</v>
      </c>
      <c r="P1627" t="str">
        <f>VLOOKUP(A1627,Response!$A:$M,12,)</f>
        <v>No</v>
      </c>
      <c r="Q1627" t="str">
        <f>VLOOKUP(A1627,Response!$A:$M,11,)</f>
        <v>Egattur</v>
      </c>
      <c r="R1627" t="s">
        <v>19</v>
      </c>
      <c r="S1627" s="39" t="s">
        <v>37</v>
      </c>
    </row>
    <row r="1628" spans="1:19">
      <c r="A1628" s="3">
        <v>2532971</v>
      </c>
      <c r="B1628" t="str">
        <f>VLOOKUP(A1628,File!$A:$J,2,FALSE)</f>
        <v>Ponduri Sai Praneetha</v>
      </c>
      <c r="C1628" s="29">
        <f>VLOOKUP(A1628,File!$A:$J,5,FALSE)</f>
        <v>46259</v>
      </c>
      <c r="D1628" s="29" t="str">
        <f>VLOOKUP(A1628,File!$A:$J,3,FALSE)</f>
        <v>Female</v>
      </c>
      <c r="E1628" s="29" t="str">
        <f>VLOOKUP(A1628,File!$A:$J,4,FALSE)</f>
        <v>FTE</v>
      </c>
      <c r="F1628" s="29" t="str">
        <f>VLOOKUP(A1628,File!$A:$J,6,FALSE)</f>
        <v>Chennai</v>
      </c>
      <c r="G1628" s="29" t="str">
        <f>VLOOKUP(A1628,File!$A:$J,7,FALSE)</f>
        <v>CIS26MBG004</v>
      </c>
      <c r="H1628" s="29" t="str">
        <f>VLOOKUP(A1628,File!$A:$J,8,FALSE)</f>
        <v>Kishorekumar P</v>
      </c>
      <c r="I1628" s="31">
        <f>VLOOKUP(A1628,File!$A:$J,9,FALSE)</f>
        <v>46367</v>
      </c>
      <c r="J1628" s="31" t="str">
        <f>VLOOKUP(A1628,File!$A:$K,11,FALSE)</f>
        <v>Dec 2026</v>
      </c>
      <c r="K1628" s="31" t="str">
        <f>VLOOKUP(A1628,File!$A:$K,10,FALSE)</f>
        <v>In-Training</v>
      </c>
      <c r="L1628" s="31" t="s">
        <v>4</v>
      </c>
      <c r="M1628" t="str">
        <f>VLOOKUP(A1628,Response!$A:$M,7,)</f>
        <v>PG (Paying Guest)</v>
      </c>
      <c r="N1628" t="str">
        <f>VLOOKUP(A1628,Response!$A:$M,8,)</f>
        <v>Vaishnavi PG For Ladies- Branch 2, Egattur</v>
      </c>
      <c r="O1628" s="4">
        <f>VLOOKUP(A1628,Response!$A:$M,10,)</f>
        <v>3</v>
      </c>
      <c r="P1628" t="str">
        <f>VLOOKUP(A1628,Response!$A:$M,12,)</f>
        <v>No</v>
      </c>
      <c r="Q1628" t="str">
        <f>VLOOKUP(A1628,Response!$A:$M,11,)</f>
        <v>Egattur</v>
      </c>
      <c r="R1628" t="s">
        <v>19</v>
      </c>
      <c r="S1628" s="39" t="s">
        <v>37</v>
      </c>
    </row>
    <row r="1629" spans="1:19">
      <c r="A1629" s="3">
        <v>2525030</v>
      </c>
      <c r="B1629" t="str">
        <f>VLOOKUP(A1629,File!$A:$J,2,FALSE)</f>
        <v>Bokam Sri Snehankitha</v>
      </c>
      <c r="C1629" s="29">
        <f>VLOOKUP(A1629,File!$A:$J,5,FALSE)</f>
        <v>46226</v>
      </c>
      <c r="D1629" s="29" t="str">
        <f>VLOOKUP(A1629,File!$A:$J,3,FALSE)</f>
        <v>Female</v>
      </c>
      <c r="E1629" s="29" t="str">
        <f>VLOOKUP(A1629,File!$A:$J,4,FALSE)</f>
        <v>FTE</v>
      </c>
      <c r="F1629" s="29" t="str">
        <f>VLOOKUP(A1629,File!$A:$J,6,FALSE)</f>
        <v>Chennai</v>
      </c>
      <c r="G1629" s="29" t="str">
        <f>VLOOKUP(A1629,File!$A:$J,7,FALSE)</f>
        <v>ADM26ISMO010</v>
      </c>
      <c r="H1629" s="29" t="str">
        <f>VLOOKUP(A1629,File!$A:$J,8,FALSE)</f>
        <v>Thomas Naveen. J</v>
      </c>
      <c r="I1629" s="31">
        <f>VLOOKUP(A1629,File!$A:$J,9,FALSE)</f>
        <v>46301</v>
      </c>
      <c r="J1629" s="31" t="str">
        <f>VLOOKUP(A1629,File!$A:$K,11,FALSE)</f>
        <v>Oct 2026</v>
      </c>
      <c r="K1629" s="31" t="str">
        <f>VLOOKUP(A1629,File!$A:$K,10,FALSE)</f>
        <v>In-Training</v>
      </c>
      <c r="L1629" s="31" t="s">
        <v>4</v>
      </c>
      <c r="M1629" t="str">
        <f>VLOOKUP(A1629,Response!$A:$M,7,)</f>
        <v>PG (Paying Guest)</v>
      </c>
      <c r="N1629" t="str">
        <f>VLOOKUP(A1629,Response!$A:$M,8,)</f>
        <v>Vaishnavi PG for Ladies in OMR</v>
      </c>
      <c r="O1629" s="4">
        <f>VLOOKUP(A1629,Response!$A:$M,10,)</f>
        <v>2</v>
      </c>
      <c r="P1629" t="str">
        <f>VLOOKUP(A1629,Response!$A:$M,12,)</f>
        <v>No</v>
      </c>
      <c r="Q1629" t="str">
        <f>VLOOKUP(A1629,Response!$A:$M,11,)</f>
        <v>Siruseri</v>
      </c>
      <c r="R1629" t="s">
        <v>19</v>
      </c>
      <c r="S1629" s="39" t="s">
        <v>37</v>
      </c>
    </row>
    <row r="1630" spans="1:19">
      <c r="A1630" s="3">
        <v>2521032</v>
      </c>
      <c r="B1630" t="str">
        <f>VLOOKUP(A1630,File!$A:$J,2,FALSE)</f>
        <v>Sree Varsha Maddineni</v>
      </c>
      <c r="C1630" s="29">
        <f>VLOOKUP(A1630,File!$A:$J,5,FALSE)</f>
        <v>46210</v>
      </c>
      <c r="D1630" s="29" t="str">
        <f>VLOOKUP(A1630,File!$A:$J,3,FALSE)</f>
        <v>Female</v>
      </c>
      <c r="E1630" s="29" t="str">
        <f>VLOOKUP(A1630,File!$A:$J,4,FALSE)</f>
        <v>FTE</v>
      </c>
      <c r="F1630" s="29" t="str">
        <f>VLOOKUP(A1630,File!$A:$J,6,FALSE)</f>
        <v>Chennai</v>
      </c>
      <c r="G1630" s="29" t="str">
        <f>VLOOKUP(A1630,File!$A:$J,7,FALSE)</f>
        <v>CIS26SN001</v>
      </c>
      <c r="H1630" s="29" t="str">
        <f>VLOOKUP(A1630,File!$A:$J,8,FALSE)</f>
        <v>Ashiya Begam S</v>
      </c>
      <c r="I1630" s="31">
        <f>VLOOKUP(A1630,File!$A:$J,9,FALSE)</f>
        <v>46281</v>
      </c>
      <c r="J1630" s="31" t="str">
        <f>VLOOKUP(A1630,File!$A:$K,11,FALSE)</f>
        <v>Sep 2026</v>
      </c>
      <c r="K1630" s="31" t="str">
        <f>VLOOKUP(A1630,File!$A:$K,10,FALSE)</f>
        <v>In-Training</v>
      </c>
      <c r="L1630" s="31" t="s">
        <v>4</v>
      </c>
      <c r="M1630" t="str">
        <f>VLOOKUP(A1630,Response!$A:$M,7,)</f>
        <v>PG (Paying Guest)</v>
      </c>
      <c r="N1630" t="str">
        <f>VLOOKUP(A1630,Response!$A:$M,8,)</f>
        <v>Vaishnavi PG for Ladies in OMR</v>
      </c>
      <c r="O1630" s="4">
        <f>VLOOKUP(A1630,Response!$A:$M,10,)</f>
        <v>4</v>
      </c>
      <c r="P1630" t="str">
        <f>VLOOKUP(A1630,Response!$A:$M,12,)</f>
        <v>No</v>
      </c>
      <c r="Q1630" t="str">
        <f>VLOOKUP(A1630,Response!$A:$M,11,)</f>
        <v>Siruseri</v>
      </c>
      <c r="R1630" t="s">
        <v>19</v>
      </c>
      <c r="S1630" s="39" t="s">
        <v>37</v>
      </c>
    </row>
    <row r="1631" spans="1:19">
      <c r="A1631" s="3">
        <v>2521057</v>
      </c>
      <c r="B1631" t="str">
        <f>VLOOKUP(A1631,File!$A:$J,2,FALSE)</f>
        <v>Gopu Sravani</v>
      </c>
      <c r="C1631" s="29">
        <f>VLOOKUP(A1631,File!$A:$J,5,FALSE)</f>
        <v>46210</v>
      </c>
      <c r="D1631" s="29" t="str">
        <f>VLOOKUP(A1631,File!$A:$J,3,FALSE)</f>
        <v>Female</v>
      </c>
      <c r="E1631" s="29" t="str">
        <f>VLOOKUP(A1631,File!$A:$J,4,FALSE)</f>
        <v>FTE</v>
      </c>
      <c r="F1631" s="29" t="str">
        <f>VLOOKUP(A1631,File!$A:$J,6,FALSE)</f>
        <v>Chennai</v>
      </c>
      <c r="G1631" s="29" t="str">
        <f>VLOOKUP(A1631,File!$A:$J,7,FALSE)</f>
        <v>CIS26SN001</v>
      </c>
      <c r="H1631" s="29" t="str">
        <f>VLOOKUP(A1631,File!$A:$J,8,FALSE)</f>
        <v>Ashiya Begam S</v>
      </c>
      <c r="I1631" s="31">
        <f>VLOOKUP(A1631,File!$A:$J,9,FALSE)</f>
        <v>46281</v>
      </c>
      <c r="J1631" s="31" t="str">
        <f>VLOOKUP(A1631,File!$A:$K,11,FALSE)</f>
        <v>Sep 2026</v>
      </c>
      <c r="K1631" s="31" t="str">
        <f>VLOOKUP(A1631,File!$A:$K,10,FALSE)</f>
        <v>In-Training</v>
      </c>
      <c r="L1631" s="31" t="s">
        <v>4</v>
      </c>
      <c r="M1631" t="str">
        <f>VLOOKUP(A1631,Response!$A:$M,7,)</f>
        <v>PG (Paying Guest)</v>
      </c>
      <c r="N1631" t="str">
        <f>VLOOKUP(A1631,Response!$A:$M,8,)</f>
        <v>Vaishnavi PG for Ladies in OMR</v>
      </c>
      <c r="O1631" s="4">
        <f>VLOOKUP(A1631,Response!$A:$M,10,)</f>
        <v>4</v>
      </c>
      <c r="P1631" t="str">
        <f>VLOOKUP(A1631,Response!$A:$M,12,)</f>
        <v>No</v>
      </c>
      <c r="Q1631" t="str">
        <f>VLOOKUP(A1631,Response!$A:$M,11,)</f>
        <v>Siruseri</v>
      </c>
      <c r="R1631" t="s">
        <v>19</v>
      </c>
      <c r="S1631" s="39" t="s">
        <v>37</v>
      </c>
    </row>
    <row r="1632" spans="1:19">
      <c r="A1632" s="3">
        <v>2524479</v>
      </c>
      <c r="B1632" t="str">
        <f>VLOOKUP(A1632,File!$A:$J,2,FALSE)</f>
        <v>Pothanaboina Akhila Tejasri</v>
      </c>
      <c r="C1632" s="29">
        <f>VLOOKUP(A1632,File!$A:$J,5,FALSE)</f>
        <v>46224</v>
      </c>
      <c r="D1632" s="29" t="str">
        <f>VLOOKUP(A1632,File!$A:$J,3,FALSE)</f>
        <v>Female</v>
      </c>
      <c r="E1632" s="29" t="str">
        <f>VLOOKUP(A1632,File!$A:$J,4,FALSE)</f>
        <v>FTE</v>
      </c>
      <c r="F1632" s="29" t="str">
        <f>VLOOKUP(A1632,File!$A:$J,6,FALSE)</f>
        <v>Chennai</v>
      </c>
      <c r="G1632" s="29" t="str">
        <f>VLOOKUP(A1632,File!$A:$J,7,FALSE)</f>
        <v>ADM26MF012</v>
      </c>
      <c r="H1632" s="29" t="str">
        <f>VLOOKUP(A1632,File!$A:$J,8,FALSE)</f>
        <v>Lourdhu Selvin Raj X</v>
      </c>
      <c r="I1632" s="31">
        <f>VLOOKUP(A1632,File!$A:$J,9,FALSE)</f>
        <v>46343</v>
      </c>
      <c r="J1632" s="31" t="str">
        <f>VLOOKUP(A1632,File!$A:$K,11,FALSE)</f>
        <v>Nov 2026</v>
      </c>
      <c r="K1632" s="31" t="str">
        <f>VLOOKUP(A1632,File!$A:$K,10,FALSE)</f>
        <v>In-Training</v>
      </c>
      <c r="L1632" s="31" t="s">
        <v>4</v>
      </c>
      <c r="M1632" t="str">
        <f>VLOOKUP(A1632,Response!$A:$M,7,)</f>
        <v>PG (Paying Guest)</v>
      </c>
      <c r="N1632" t="str">
        <f>VLOOKUP(A1632,Response!$A:$M,8,)</f>
        <v>Vaishnavi PG for Ladies in OMR, Egattur</v>
      </c>
      <c r="O1632" s="4">
        <f>VLOOKUP(A1632,Response!$A:$M,10,)</f>
        <v>1</v>
      </c>
      <c r="P1632" t="str">
        <f>VLOOKUP(A1632,Response!$A:$M,12,)</f>
        <v>No</v>
      </c>
      <c r="Q1632" t="str">
        <f>VLOOKUP(A1632,Response!$A:$M,11,)</f>
        <v>Egattur</v>
      </c>
      <c r="R1632" t="s">
        <v>19</v>
      </c>
      <c r="S1632" s="39" t="s">
        <v>37</v>
      </c>
    </row>
    <row r="1633" spans="1:19">
      <c r="A1633" s="3">
        <v>2532978</v>
      </c>
      <c r="B1633" t="str">
        <f>VLOOKUP(A1633,File!$A:$J,2,FALSE)</f>
        <v>Koyyana Sri Raja Rajeswari</v>
      </c>
      <c r="C1633" s="29">
        <f>VLOOKUP(A1633,File!$A:$J,5,FALSE)</f>
        <v>46259</v>
      </c>
      <c r="D1633" s="29" t="str">
        <f>VLOOKUP(A1633,File!$A:$J,3,FALSE)</f>
        <v>Female</v>
      </c>
      <c r="E1633" s="29" t="str">
        <f>VLOOKUP(A1633,File!$A:$J,4,FALSE)</f>
        <v>FTE</v>
      </c>
      <c r="F1633" s="29" t="str">
        <f>VLOOKUP(A1633,File!$A:$J,6,FALSE)</f>
        <v>Chennai</v>
      </c>
      <c r="G1633" s="29" t="str">
        <f>VLOOKUP(A1633,File!$A:$J,7,FALSE)</f>
        <v>CIS26MBG005</v>
      </c>
      <c r="H1633" s="29" t="str">
        <f>VLOOKUP(A1633,File!$A:$J,8,FALSE)</f>
        <v>Angel Maria Faustina Gomez</v>
      </c>
      <c r="I1633" s="31">
        <f>VLOOKUP(A1633,File!$A:$J,9,FALSE)</f>
        <v>46367</v>
      </c>
      <c r="J1633" s="31" t="str">
        <f>VLOOKUP(A1633,File!$A:$K,11,FALSE)</f>
        <v>Dec 2026</v>
      </c>
      <c r="K1633" s="31" t="str">
        <f>VLOOKUP(A1633,File!$A:$K,10,FALSE)</f>
        <v>In-Training</v>
      </c>
      <c r="L1633" s="31" t="s">
        <v>4</v>
      </c>
      <c r="M1633" t="str">
        <f>VLOOKUP(A1633,Response!$A:$M,7,)</f>
        <v>PG (Paying Guest)</v>
      </c>
      <c r="N1633" t="str">
        <f>VLOOKUP(A1633,Response!$A:$M,8,)</f>
        <v>Vaishnavi PG for ladies, 4/211 DR Ambedkar St, Sipcot, Egattur, Tamil Nadu</v>
      </c>
      <c r="O1633" s="4">
        <f>VLOOKUP(A1633,Response!$A:$M,10,)</f>
        <v>1</v>
      </c>
      <c r="P1633" t="str">
        <f>VLOOKUP(A1633,Response!$A:$M,12,)</f>
        <v>Yes</v>
      </c>
      <c r="Q1633" t="str">
        <f>VLOOKUP(A1633,Response!$A:$M,11,)</f>
        <v>Siruseri</v>
      </c>
      <c r="R1633" t="s">
        <v>19</v>
      </c>
      <c r="S1633" s="39" t="s">
        <v>37</v>
      </c>
    </row>
    <row r="1634" spans="1:19">
      <c r="A1634" s="3">
        <v>2521102</v>
      </c>
      <c r="B1634" t="str">
        <f>VLOOKUP(A1634,File!$A:$J,2,FALSE)</f>
        <v>Chaitanya Surya Sai Deepthi Ummidi</v>
      </c>
      <c r="C1634" s="29">
        <f>VLOOKUP(A1634,File!$A:$J,5,FALSE)</f>
        <v>46210</v>
      </c>
      <c r="D1634" s="29" t="str">
        <f>VLOOKUP(A1634,File!$A:$J,3,FALSE)</f>
        <v>Female</v>
      </c>
      <c r="E1634" s="29" t="str">
        <f>VLOOKUP(A1634,File!$A:$J,4,FALSE)</f>
        <v>FTE</v>
      </c>
      <c r="F1634" s="29" t="str">
        <f>VLOOKUP(A1634,File!$A:$J,6,FALSE)</f>
        <v>Chennai</v>
      </c>
      <c r="G1634" s="29" t="str">
        <f>VLOOKUP(A1634,File!$A:$J,7,FALSE)</f>
        <v>SNBG26SN002</v>
      </c>
      <c r="H1634" s="29" t="str">
        <f>VLOOKUP(A1634,File!$A:$J,8,FALSE)</f>
        <v>Lawrance M</v>
      </c>
      <c r="I1634" s="31">
        <f>VLOOKUP(A1634,File!$A:$J,9,FALSE)</f>
        <v>46303</v>
      </c>
      <c r="J1634" s="31" t="str">
        <f>VLOOKUP(A1634,File!$A:$K,11,FALSE)</f>
        <v>Oct 2026</v>
      </c>
      <c r="K1634" s="31" t="str">
        <f>VLOOKUP(A1634,File!$A:$K,10,FALSE)</f>
        <v>In-Training</v>
      </c>
      <c r="L1634" s="31" t="s">
        <v>4</v>
      </c>
      <c r="M1634" t="str">
        <f>VLOOKUP(A1634,Response!$A:$M,7,)</f>
        <v>PG (Paying Guest)</v>
      </c>
      <c r="N1634" t="str">
        <f>VLOOKUP(A1634,Response!$A:$M,8,)</f>
        <v>Vaishnavi PG For Ladies, Egattur</v>
      </c>
      <c r="O1634" s="4">
        <f>VLOOKUP(A1634,Response!$A:$M,10,)</f>
        <v>3</v>
      </c>
      <c r="P1634" t="str">
        <f>VLOOKUP(A1634,Response!$A:$M,12,)</f>
        <v>Yes</v>
      </c>
      <c r="Q1634" t="str">
        <f>VLOOKUP(A1634,Response!$A:$M,11,)</f>
        <v>Egattur</v>
      </c>
      <c r="R1634" t="s">
        <v>19</v>
      </c>
      <c r="S1634" s="39" t="s">
        <v>37</v>
      </c>
    </row>
    <row r="1635" spans="1:19">
      <c r="A1635" s="3">
        <v>2524538</v>
      </c>
      <c r="B1635" t="str">
        <f>VLOOKUP(A1635,File!$A:$J,2,FALSE)</f>
        <v>Dasareddy Gari Siva Dharani</v>
      </c>
      <c r="C1635" s="29">
        <f>VLOOKUP(A1635,File!$A:$J,5,FALSE)</f>
        <v>46224</v>
      </c>
      <c r="D1635" s="29" t="str">
        <f>VLOOKUP(A1635,File!$A:$J,3,FALSE)</f>
        <v>Female</v>
      </c>
      <c r="E1635" s="29" t="str">
        <f>VLOOKUP(A1635,File!$A:$J,4,FALSE)</f>
        <v>FTE</v>
      </c>
      <c r="F1635" s="29" t="str">
        <f>VLOOKUP(A1635,File!$A:$J,6,FALSE)</f>
        <v>Chennai</v>
      </c>
      <c r="G1635" s="29" t="str">
        <f>VLOOKUP(A1635,File!$A:$J,7,FALSE)</f>
        <v>IOA26RPA005</v>
      </c>
      <c r="H1635" s="29" t="str">
        <f>VLOOKUP(A1635,File!$A:$J,8,FALSE)</f>
        <v>Adarsh J Nair</v>
      </c>
      <c r="I1635" s="31">
        <f>VLOOKUP(A1635,File!$A:$J,9,FALSE)</f>
        <v>46309</v>
      </c>
      <c r="J1635" s="31" t="str">
        <f>VLOOKUP(A1635,File!$A:$K,11,FALSE)</f>
        <v>Oct 2026</v>
      </c>
      <c r="K1635" s="31" t="str">
        <f>VLOOKUP(A1635,File!$A:$K,10,FALSE)</f>
        <v>In-Training</v>
      </c>
      <c r="L1635" s="31" t="s">
        <v>4</v>
      </c>
      <c r="M1635" t="str">
        <f>VLOOKUP(A1635,Response!$A:$M,7,)</f>
        <v>PG (Paying Guest)</v>
      </c>
      <c r="N1635" t="str">
        <f>VLOOKUP(A1635,Response!$A:$M,8,)</f>
        <v>Vaishnavi Pg for Ladies, Egattur</v>
      </c>
      <c r="O1635" s="4">
        <f>VLOOKUP(A1635,Response!$A:$M,10,)</f>
        <v>3</v>
      </c>
      <c r="P1635" t="str">
        <f>VLOOKUP(A1635,Response!$A:$M,12,)</f>
        <v>No</v>
      </c>
      <c r="Q1635" t="str">
        <f>VLOOKUP(A1635,Response!$A:$M,11,)</f>
        <v>Egattur</v>
      </c>
      <c r="R1635" t="s">
        <v>19</v>
      </c>
      <c r="S1635" s="39" t="s">
        <v>37</v>
      </c>
    </row>
    <row r="1636" spans="1:19">
      <c r="A1636" s="3">
        <v>2531374</v>
      </c>
      <c r="B1636" t="str">
        <f>VLOOKUP(A1636,File!$A:$J,2,FALSE)</f>
        <v>Bandaru Dhruthi</v>
      </c>
      <c r="C1636" s="29">
        <f>VLOOKUP(A1636,File!$A:$J,5,FALSE)</f>
        <v>46252</v>
      </c>
      <c r="D1636" s="29" t="str">
        <f>VLOOKUP(A1636,File!$A:$J,3,FALSE)</f>
        <v>Female</v>
      </c>
      <c r="E1636" s="29" t="str">
        <f>VLOOKUP(A1636,File!$A:$J,4,FALSE)</f>
        <v>FTE</v>
      </c>
      <c r="F1636" s="29" t="str">
        <f>VLOOKUP(A1636,File!$A:$J,6,FALSE)</f>
        <v>Chennai</v>
      </c>
      <c r="G1636" s="29" t="str">
        <f>VLOOKUP(A1636,File!$A:$J,7,FALSE)</f>
        <v>EPS26SAP036</v>
      </c>
      <c r="H1636" s="29" t="str">
        <f>VLOOKUP(A1636,File!$A:$J,8,FALSE)</f>
        <v>Vishnupriya Dakshnamurthy</v>
      </c>
      <c r="I1636" s="31">
        <f>VLOOKUP(A1636,File!$A:$J,9,FALSE)</f>
        <v>46335</v>
      </c>
      <c r="J1636" s="31" t="str">
        <f>VLOOKUP(A1636,File!$A:$K,11,FALSE)</f>
        <v>Nov 2026</v>
      </c>
      <c r="K1636" s="31" t="str">
        <f>VLOOKUP(A1636,File!$A:$K,10,FALSE)</f>
        <v>In-Training</v>
      </c>
      <c r="L1636" s="31" t="s">
        <v>4</v>
      </c>
      <c r="M1636" t="str">
        <f>VLOOKUP(A1636,Response!$A:$M,7,)</f>
        <v>PG (Paying Guest)</v>
      </c>
      <c r="N1636" t="str">
        <f>VLOOKUP(A1636,Response!$A:$M,8,)</f>
        <v xml:space="preserve">Vaishnavi PG for Ladies,206, 4/211DR DR Ambedkar Street, Sipcot, Egattur </v>
      </c>
      <c r="O1636" s="4">
        <f>VLOOKUP(A1636,Response!$A:$M,10,)</f>
        <v>1</v>
      </c>
      <c r="P1636" t="str">
        <f>VLOOKUP(A1636,Response!$A:$M,12,)</f>
        <v>No</v>
      </c>
      <c r="Q1636" t="str">
        <f>VLOOKUP(A1636,Response!$A:$M,11,)</f>
        <v>Egattur</v>
      </c>
      <c r="R1636" t="s">
        <v>19</v>
      </c>
      <c r="S1636" s="39" t="s">
        <v>37</v>
      </c>
    </row>
    <row r="1637" spans="1:19">
      <c r="A1637" s="3">
        <v>2521108</v>
      </c>
      <c r="B1637" t="str">
        <f>VLOOKUP(A1637,File!$A:$J,2,FALSE)</f>
        <v>Vudatha Pavani Sri Lakshmi Savithri</v>
      </c>
      <c r="C1637" s="29">
        <f>VLOOKUP(A1637,File!$A:$J,5,FALSE)</f>
        <v>46210</v>
      </c>
      <c r="D1637" s="29" t="str">
        <f>VLOOKUP(A1637,File!$A:$J,3,FALSE)</f>
        <v>Female</v>
      </c>
      <c r="E1637" s="29" t="str">
        <f>VLOOKUP(A1637,File!$A:$J,4,FALSE)</f>
        <v>FTE</v>
      </c>
      <c r="F1637" s="29" t="str">
        <f>VLOOKUP(A1637,File!$A:$J,6,FALSE)</f>
        <v>Chennai</v>
      </c>
      <c r="G1637" s="29" t="str">
        <f>VLOOKUP(A1637,File!$A:$J,7,FALSE)</f>
        <v>SNBG26SN002</v>
      </c>
      <c r="H1637" s="29" t="str">
        <f>VLOOKUP(A1637,File!$A:$J,8,FALSE)</f>
        <v>Lawrance M</v>
      </c>
      <c r="I1637" s="31">
        <f>VLOOKUP(A1637,File!$A:$J,9,FALSE)</f>
        <v>46281</v>
      </c>
      <c r="J1637" s="31" t="str">
        <f>VLOOKUP(A1637,File!$A:$K,11,FALSE)</f>
        <v>Sep 2026</v>
      </c>
      <c r="K1637" s="31" t="str">
        <f>VLOOKUP(A1637,File!$A:$K,10,FALSE)</f>
        <v>In-Training</v>
      </c>
      <c r="L1637" s="31" t="s">
        <v>4</v>
      </c>
      <c r="M1637" t="str">
        <f>VLOOKUP(A1637,Response!$A:$M,7,)</f>
        <v>PG (Paying Guest)</v>
      </c>
      <c r="N1637" t="str">
        <f>VLOOKUP(A1637,Response!$A:$M,8,)</f>
        <v>Vaishnavi PG for Ladies,Egattur</v>
      </c>
      <c r="O1637" s="4">
        <f>VLOOKUP(A1637,Response!$A:$M,10,)</f>
        <v>3</v>
      </c>
      <c r="P1637" t="str">
        <f>VLOOKUP(A1637,Response!$A:$M,12,)</f>
        <v>No</v>
      </c>
      <c r="Q1637" t="str">
        <f>VLOOKUP(A1637,Response!$A:$M,11,)</f>
        <v>Egattur</v>
      </c>
      <c r="R1637" t="s">
        <v>19</v>
      </c>
      <c r="S1637" s="39" t="s">
        <v>37</v>
      </c>
    </row>
    <row r="1638" spans="1:19">
      <c r="A1638" s="3">
        <v>2511310</v>
      </c>
      <c r="B1638" t="str">
        <f>VLOOKUP(A1638,File!$A:$J,2,FALSE)</f>
        <v>Elubandi Bindu Saisri Priya</v>
      </c>
      <c r="C1638" s="29">
        <f>VLOOKUP(A1638,File!$A:$J,5,FALSE)</f>
        <v>46163</v>
      </c>
      <c r="D1638" s="29" t="str">
        <f>VLOOKUP(A1638,File!$A:$J,3,FALSE)</f>
        <v>Female</v>
      </c>
      <c r="E1638" s="29" t="str">
        <f>VLOOKUP(A1638,File!$A:$J,4,FALSE)</f>
        <v>FTE</v>
      </c>
      <c r="F1638" s="29" t="str">
        <f>VLOOKUP(A1638,File!$A:$J,6,FALSE)</f>
        <v>Chennai</v>
      </c>
      <c r="G1638" s="29" t="str">
        <f>VLOOKUP(A1638,File!$A:$J,7,FALSE)</f>
        <v>CIS26MCPT010</v>
      </c>
      <c r="H1638" s="29" t="str">
        <f>VLOOKUP(A1638,File!$A:$J,8,FALSE)</f>
        <v>Mohamed Harish</v>
      </c>
      <c r="I1638" s="31">
        <f>VLOOKUP(A1638,File!$A:$J,9,FALSE)</f>
        <v>46280</v>
      </c>
      <c r="J1638" s="31" t="str">
        <f>VLOOKUP(A1638,File!$A:$K,11,FALSE)</f>
        <v>Sep 2026</v>
      </c>
      <c r="K1638" s="31" t="str">
        <f>VLOOKUP(A1638,File!$A:$K,10,FALSE)</f>
        <v>In-Training</v>
      </c>
      <c r="L1638" s="31" t="s">
        <v>4</v>
      </c>
      <c r="M1638" t="str">
        <f>VLOOKUP(A1638,Response!$A:$M,7,)</f>
        <v>PG (Paying Guest)</v>
      </c>
      <c r="N1638" t="str">
        <f>VLOOKUP(A1638,Response!$A:$M,8,)</f>
        <v>Vaishnavi PG,Egattur</v>
      </c>
      <c r="O1638" s="4">
        <f>VLOOKUP(A1638,Response!$A:$M,10,)</f>
        <v>1</v>
      </c>
      <c r="P1638" t="str">
        <f>VLOOKUP(A1638,Response!$A:$M,12,)</f>
        <v>No</v>
      </c>
      <c r="Q1638" t="str">
        <f>VLOOKUP(A1638,Response!$A:$M,11,)</f>
        <v>Siruseri</v>
      </c>
      <c r="R1638" t="s">
        <v>19</v>
      </c>
      <c r="S1638" s="39" t="s">
        <v>37</v>
      </c>
    </row>
    <row r="1639" spans="1:19">
      <c r="A1639" s="3">
        <v>2512330</v>
      </c>
      <c r="B1639" t="str">
        <f>VLOOKUP(A1639,File!$A:$J,2,FALSE)</f>
        <v>Nagadamudi Bangaru Lakshmi Lahari</v>
      </c>
      <c r="C1639" s="29">
        <f>VLOOKUP(A1639,File!$A:$J,5,FALSE)</f>
        <v>46170</v>
      </c>
      <c r="D1639" s="29" t="str">
        <f>VLOOKUP(A1639,File!$A:$J,3,FALSE)</f>
        <v>Female</v>
      </c>
      <c r="E1639" s="29" t="str">
        <f>VLOOKUP(A1639,File!$A:$J,4,FALSE)</f>
        <v>FTE</v>
      </c>
      <c r="F1639" s="29" t="str">
        <f>VLOOKUP(A1639,File!$A:$J,6,FALSE)</f>
        <v>Chennai</v>
      </c>
      <c r="G1639" s="29" t="str">
        <f>VLOOKUP(A1639,File!$A:$J,7,FALSE)</f>
        <v>CIS26MCPT011</v>
      </c>
      <c r="H1639" s="29" t="str">
        <f>VLOOKUP(A1639,File!$A:$J,8,FALSE)</f>
        <v>Uma Venkatachalam</v>
      </c>
      <c r="I1639" s="31">
        <f>VLOOKUP(A1639,File!$A:$J,9,FALSE)</f>
        <v>46282</v>
      </c>
      <c r="J1639" s="31" t="str">
        <f>VLOOKUP(A1639,File!$A:$K,11,FALSE)</f>
        <v>Sep 2026</v>
      </c>
      <c r="K1639" s="31" t="str">
        <f>VLOOKUP(A1639,File!$A:$K,10,FALSE)</f>
        <v>In-Training</v>
      </c>
      <c r="L1639" s="31" t="s">
        <v>4</v>
      </c>
      <c r="M1639" t="str">
        <f>VLOOKUP(A1639,Response!$A:$M,7,)</f>
        <v>PG (Paying Guest)</v>
      </c>
      <c r="N1639" t="str">
        <f>VLOOKUP(A1639,Response!$A:$M,8,)</f>
        <v>Vaishnavi Womens Pg</v>
      </c>
      <c r="O1639" s="4">
        <f>VLOOKUP(A1639,Response!$A:$M,10,)</f>
        <v>3</v>
      </c>
      <c r="P1639" t="str">
        <f>VLOOKUP(A1639,Response!$A:$M,12,)</f>
        <v>No</v>
      </c>
      <c r="Q1639" t="str">
        <f>VLOOKUP(A1639,Response!$A:$M,11,)</f>
        <v>Egattur</v>
      </c>
      <c r="R1639" t="s">
        <v>19</v>
      </c>
      <c r="S1639" s="39" t="s">
        <v>37</v>
      </c>
    </row>
    <row r="1640" spans="1:19">
      <c r="A1640" s="3">
        <v>2529567</v>
      </c>
      <c r="B1640" t="str">
        <f>VLOOKUP(A1640,File!$A:$J,2,FALSE)</f>
        <v>Sri Lakshmi Ravalika Dunaboina</v>
      </c>
      <c r="C1640" s="29">
        <f>VLOOKUP(A1640,File!$A:$J,5,FALSE)</f>
        <v>46245</v>
      </c>
      <c r="D1640" s="29" t="str">
        <f>VLOOKUP(A1640,File!$A:$J,3,FALSE)</f>
        <v>Female</v>
      </c>
      <c r="E1640" s="29" t="str">
        <f>VLOOKUP(A1640,File!$A:$J,4,FALSE)</f>
        <v>FTE</v>
      </c>
      <c r="F1640" s="29" t="str">
        <f>VLOOKUP(A1640,File!$A:$J,6,FALSE)</f>
        <v>Chennai</v>
      </c>
      <c r="G1640" s="29" t="str">
        <f>VLOOKUP(A1640,File!$A:$J,7,FALSE)</f>
        <v>CIS26MCPT021</v>
      </c>
      <c r="H1640" s="29" t="str">
        <f>VLOOKUP(A1640,File!$A:$J,8,FALSE)</f>
        <v>Uma Venkatachalam</v>
      </c>
      <c r="I1640" s="31">
        <f>VLOOKUP(A1640,File!$A:$J,9,FALSE)</f>
        <v>46364</v>
      </c>
      <c r="J1640" s="31" t="str">
        <f>VLOOKUP(A1640,File!$A:$K,11,FALSE)</f>
        <v>Dec 2026</v>
      </c>
      <c r="K1640" s="31" t="str">
        <f>VLOOKUP(A1640,File!$A:$K,10,FALSE)</f>
        <v>In-Training</v>
      </c>
      <c r="L1640" s="31" t="s">
        <v>4</v>
      </c>
      <c r="M1640" t="str">
        <f>VLOOKUP(A1640,Response!$A:$M,7,)</f>
        <v>PG (Paying Guest)</v>
      </c>
      <c r="N1640" t="str">
        <f>VLOOKUP(A1640,Response!$A:$M,8,)</f>
        <v>Vaishnavi womens pg Egatur</v>
      </c>
      <c r="O1640" s="4">
        <f>VLOOKUP(A1640,Response!$A:$M,10,)</f>
        <v>1</v>
      </c>
      <c r="P1640" t="str">
        <f>VLOOKUP(A1640,Response!$A:$M,12,)</f>
        <v>No</v>
      </c>
      <c r="Q1640" t="str">
        <f>VLOOKUP(A1640,Response!$A:$M,11,)</f>
        <v>Siruseri</v>
      </c>
      <c r="R1640" t="s">
        <v>19</v>
      </c>
      <c r="S1640" s="39" t="s">
        <v>37</v>
      </c>
    </row>
    <row r="1641" spans="1:19">
      <c r="A1641" s="3">
        <v>2521654</v>
      </c>
      <c r="B1641" t="str">
        <f>VLOOKUP(A1641,File!$A:$J,2,FALSE)</f>
        <v>Kavya Yeddu</v>
      </c>
      <c r="C1641" s="29">
        <f>VLOOKUP(A1641,File!$A:$J,5,FALSE)</f>
        <v>46212</v>
      </c>
      <c r="D1641" s="29" t="str">
        <f>VLOOKUP(A1641,File!$A:$J,3,FALSE)</f>
        <v>Female</v>
      </c>
      <c r="E1641" s="29" t="str">
        <f>VLOOKUP(A1641,File!$A:$J,4,FALSE)</f>
        <v>FTE</v>
      </c>
      <c r="F1641" s="29" t="str">
        <f>VLOOKUP(A1641,File!$A:$J,6,FALSE)</f>
        <v>Chennai</v>
      </c>
      <c r="G1641" s="29" t="str">
        <f>VLOOKUP(A1641,File!$A:$J,7,FALSE)</f>
        <v>ADM26MF011</v>
      </c>
      <c r="H1641" s="29" t="str">
        <f>VLOOKUP(A1641,File!$A:$J,8,FALSE)</f>
        <v>Abinaya R</v>
      </c>
      <c r="I1641" s="31">
        <f>VLOOKUP(A1641,File!$A:$J,9,FALSE)</f>
        <v>46328</v>
      </c>
      <c r="J1641" s="31" t="str">
        <f>VLOOKUP(A1641,File!$A:$K,11,FALSE)</f>
        <v>Nov 2026</v>
      </c>
      <c r="K1641" s="31" t="str">
        <f>VLOOKUP(A1641,File!$A:$K,10,FALSE)</f>
        <v>In-Training</v>
      </c>
      <c r="L1641" s="31" t="s">
        <v>4</v>
      </c>
      <c r="M1641" t="str">
        <f>VLOOKUP(A1641,Response!$A:$M,7,)</f>
        <v>PG (Paying Guest)</v>
      </c>
      <c r="N1641" t="str">
        <f>VLOOKUP(A1641,Response!$A:$M,8,)</f>
        <v>Vengamabha Ladies Hostel, Egattur.</v>
      </c>
      <c r="O1641" s="4">
        <f>VLOOKUP(A1641,Response!$A:$M,10,)</f>
        <v>4</v>
      </c>
      <c r="P1641" t="str">
        <f>VLOOKUP(A1641,Response!$A:$M,12,)</f>
        <v>No</v>
      </c>
      <c r="Q1641" t="str">
        <f>VLOOKUP(A1641,Response!$A:$M,11,)</f>
        <v>Egattur</v>
      </c>
      <c r="R1641" t="s">
        <v>19</v>
      </c>
      <c r="S1641" s="39" t="s">
        <v>37</v>
      </c>
    </row>
    <row r="1642" spans="1:19">
      <c r="A1642" s="3">
        <v>2530209</v>
      </c>
      <c r="B1642" t="str">
        <f>VLOOKUP(A1642,File!$A:$J,2,FALSE)</f>
        <v>Beeram Lakshmi Samatha Reddy</v>
      </c>
      <c r="C1642" s="29">
        <f>VLOOKUP(A1642,File!$A:$J,5,FALSE)</f>
        <v>46247</v>
      </c>
      <c r="D1642" s="29" t="str">
        <f>VLOOKUP(A1642,File!$A:$J,3,FALSE)</f>
        <v>Female</v>
      </c>
      <c r="E1642" s="29" t="str">
        <f>VLOOKUP(A1642,File!$A:$J,4,FALSE)</f>
        <v>FTE</v>
      </c>
      <c r="F1642" s="29" t="str">
        <f>VLOOKUP(A1642,File!$A:$J,6,FALSE)</f>
        <v>Chennai</v>
      </c>
      <c r="G1642" s="29" t="str">
        <f>VLOOKUP(A1642,File!$A:$J,7,FALSE)</f>
        <v>EPS26OSP010</v>
      </c>
      <c r="H1642" s="29" t="str">
        <f>VLOOKUP(A1642,File!$A:$J,8,FALSE)</f>
        <v>Vishnupriya Dakshnamurthy</v>
      </c>
      <c r="I1642" s="31">
        <f>VLOOKUP(A1642,File!$A:$J,9,FALSE)</f>
        <v>46357</v>
      </c>
      <c r="J1642" s="31" t="str">
        <f>VLOOKUP(A1642,File!$A:$K,11,FALSE)</f>
        <v>Dec 2026</v>
      </c>
      <c r="K1642" s="31" t="str">
        <f>VLOOKUP(A1642,File!$A:$K,10,FALSE)</f>
        <v>In-Training</v>
      </c>
      <c r="L1642" s="31" t="s">
        <v>4</v>
      </c>
      <c r="M1642" t="str">
        <f>VLOOKUP(A1642,Response!$A:$M,7,)</f>
        <v>PG (Paying Guest)</v>
      </c>
      <c r="N1642" t="str">
        <f>VLOOKUP(A1642,Response!$A:$M,8,)</f>
        <v>VENGAMAMBA LADIES HOSTEL</v>
      </c>
      <c r="O1642" s="4">
        <f>VLOOKUP(A1642,Response!$A:$M,10,)</f>
        <v>4</v>
      </c>
      <c r="P1642" t="str">
        <f>VLOOKUP(A1642,Response!$A:$M,12,)</f>
        <v>No</v>
      </c>
      <c r="Q1642" t="str">
        <f>VLOOKUP(A1642,Response!$A:$M,11,)</f>
        <v>Egattur</v>
      </c>
      <c r="R1642" t="s">
        <v>19</v>
      </c>
      <c r="S1642" s="39" t="s">
        <v>37</v>
      </c>
    </row>
    <row r="1643" spans="1:19">
      <c r="A1643" s="3">
        <v>2522865</v>
      </c>
      <c r="B1643" t="str">
        <f>VLOOKUP(A1643,File!$A:$J,2,FALSE)</f>
        <v>Amal A</v>
      </c>
      <c r="C1643" s="29">
        <f>VLOOKUP(A1643,File!$A:$J,5,FALSE)</f>
        <v>46217</v>
      </c>
      <c r="D1643" s="29" t="str">
        <f>VLOOKUP(A1643,File!$A:$J,3,FALSE)</f>
        <v>Male</v>
      </c>
      <c r="E1643" s="29" t="str">
        <f>VLOOKUP(A1643,File!$A:$J,4,FALSE)</f>
        <v>FTE</v>
      </c>
      <c r="F1643" s="29" t="str">
        <f>VLOOKUP(A1643,File!$A:$J,6,FALSE)</f>
        <v>Chennai</v>
      </c>
      <c r="G1643" s="29" t="str">
        <f>VLOOKUP(A1643,File!$A:$J,7,FALSE)</f>
        <v>CIS26MCPT017</v>
      </c>
      <c r="H1643" s="29" t="str">
        <f>VLOOKUP(A1643,File!$A:$J,8,FALSE)</f>
        <v>Haritha P</v>
      </c>
      <c r="I1643" s="31">
        <f>VLOOKUP(A1643,File!$A:$J,9,FALSE)</f>
        <v>46335</v>
      </c>
      <c r="J1643" s="31" t="str">
        <f>VLOOKUP(A1643,File!$A:$K,11,FALSE)</f>
        <v>Nov 2026</v>
      </c>
      <c r="K1643" s="31" t="str">
        <f>VLOOKUP(A1643,File!$A:$K,10,FALSE)</f>
        <v>In-Training</v>
      </c>
      <c r="L1643" s="31" t="s">
        <v>4</v>
      </c>
      <c r="M1643" t="str">
        <f>VLOOKUP(A1643,Response!$A:$M,7,)</f>
        <v>PG (Paying Guest)</v>
      </c>
      <c r="N1643" t="str">
        <f>VLOOKUP(A1643,Response!$A:$M,8,)</f>
        <v>Venkata Ramana Mens Hostel Near Church No 59 Street Vijay Ganapathi Nagar Navalur</v>
      </c>
      <c r="O1643" s="4" t="str">
        <f>VLOOKUP(A1643,Response!$A:$M,10,)</f>
        <v>GF</v>
      </c>
      <c r="P1643" t="str">
        <f>VLOOKUP(A1643,Response!$A:$M,12,)</f>
        <v>Yes</v>
      </c>
      <c r="Q1643" t="str">
        <f>VLOOKUP(A1643,Response!$A:$M,11,)</f>
        <v>Navalur</v>
      </c>
      <c r="R1643" t="s">
        <v>19</v>
      </c>
      <c r="S1643" s="39" t="s">
        <v>37</v>
      </c>
    </row>
    <row r="1644" spans="1:19">
      <c r="A1644" s="3">
        <v>2512364</v>
      </c>
      <c r="B1644" t="str">
        <f>VLOOKUP(A1644,File!$A:$J,2,FALSE)</f>
        <v>Vighnesh Kulal</v>
      </c>
      <c r="C1644" s="29">
        <f>VLOOKUP(A1644,File!$A:$J,5,FALSE)</f>
        <v>46170</v>
      </c>
      <c r="D1644" s="29" t="str">
        <f>VLOOKUP(A1644,File!$A:$J,3,FALSE)</f>
        <v>Male</v>
      </c>
      <c r="E1644" s="29" t="str">
        <f>VLOOKUP(A1644,File!$A:$J,4,FALSE)</f>
        <v>FTE</v>
      </c>
      <c r="F1644" s="29" t="str">
        <f>VLOOKUP(A1644,File!$A:$J,6,FALSE)</f>
        <v>Chennai</v>
      </c>
      <c r="G1644" s="29" t="str">
        <f>VLOOKUP(A1644,File!$A:$J,7,FALSE)</f>
        <v>CIS26MCPT012</v>
      </c>
      <c r="H1644" s="29" t="str">
        <f>VLOOKUP(A1644,File!$A:$J,8,FALSE)</f>
        <v>Uma Venkatachalam</v>
      </c>
      <c r="I1644" s="31">
        <f>VLOOKUP(A1644,File!$A:$J,9,FALSE)</f>
        <v>46282</v>
      </c>
      <c r="J1644" s="31" t="str">
        <f>VLOOKUP(A1644,File!$A:$K,11,FALSE)</f>
        <v>Sep 2026</v>
      </c>
      <c r="K1644" s="31" t="str">
        <f>VLOOKUP(A1644,File!$A:$K,10,FALSE)</f>
        <v>In-Training</v>
      </c>
      <c r="L1644" s="31" t="s">
        <v>4</v>
      </c>
      <c r="M1644" t="str">
        <f>VLOOKUP(A1644,Response!$A:$M,7,)</f>
        <v>PG (Paying Guest)</v>
      </c>
      <c r="N1644" t="str">
        <f>VLOOKUP(A1644,Response!$A:$M,8,)</f>
        <v>Venkata ramana mens hostels Branch-3</v>
      </c>
      <c r="O1644" s="4">
        <f>VLOOKUP(A1644,Response!$A:$M,10,)</f>
        <v>1</v>
      </c>
      <c r="P1644" t="str">
        <f>VLOOKUP(A1644,Response!$A:$M,12,)</f>
        <v>No</v>
      </c>
      <c r="Q1644" t="str">
        <f>VLOOKUP(A1644,Response!$A:$M,11,)</f>
        <v>Siruseri</v>
      </c>
      <c r="R1644" t="s">
        <v>19</v>
      </c>
      <c r="S1644" s="39" t="s">
        <v>37</v>
      </c>
    </row>
    <row r="1645" spans="1:19">
      <c r="A1645" s="3">
        <v>2512320</v>
      </c>
      <c r="B1645" t="str">
        <f>VLOOKUP(A1645,File!$A:$J,2,FALSE)</f>
        <v>Sajadh I</v>
      </c>
      <c r="C1645" s="29">
        <f>VLOOKUP(A1645,File!$A:$J,5,FALSE)</f>
        <v>46170</v>
      </c>
      <c r="D1645" s="29" t="str">
        <f>VLOOKUP(A1645,File!$A:$J,3,FALSE)</f>
        <v>Male</v>
      </c>
      <c r="E1645" s="29" t="str">
        <f>VLOOKUP(A1645,File!$A:$J,4,FALSE)</f>
        <v>FTE</v>
      </c>
      <c r="F1645" s="29" t="str">
        <f>VLOOKUP(A1645,File!$A:$J,6,FALSE)</f>
        <v>Chennai</v>
      </c>
      <c r="G1645" s="29" t="str">
        <f>VLOOKUP(A1645,File!$A:$J,7,FALSE)</f>
        <v>CIS26MCPT012</v>
      </c>
      <c r="H1645" s="29" t="str">
        <f>VLOOKUP(A1645,File!$A:$J,8,FALSE)</f>
        <v>Uma Venkatachalam</v>
      </c>
      <c r="I1645" s="31">
        <f>VLOOKUP(A1645,File!$A:$J,9,FALSE)</f>
        <v>46282</v>
      </c>
      <c r="J1645" s="31" t="str">
        <f>VLOOKUP(A1645,File!$A:$K,11,FALSE)</f>
        <v>Sep 2026</v>
      </c>
      <c r="K1645" s="31" t="str">
        <f>VLOOKUP(A1645,File!$A:$K,10,FALSE)</f>
        <v>In-Training</v>
      </c>
      <c r="L1645" s="31" t="s">
        <v>4</v>
      </c>
      <c r="M1645" t="str">
        <f>VLOOKUP(A1645,Response!$A:$M,7,)</f>
        <v>PG (Paying Guest)</v>
      </c>
      <c r="N1645" t="str">
        <f>VLOOKUP(A1645,Response!$A:$M,8,)</f>
        <v>Venkata Ramana Mens PG Branch - 3</v>
      </c>
      <c r="O1645" s="4">
        <f>VLOOKUP(A1645,Response!$A:$M,10,)</f>
        <v>1</v>
      </c>
      <c r="P1645" t="str">
        <f>VLOOKUP(A1645,Response!$A:$M,12,)</f>
        <v>No</v>
      </c>
      <c r="Q1645" t="str">
        <f>VLOOKUP(A1645,Response!$A:$M,11,)</f>
        <v>Egattur</v>
      </c>
      <c r="R1645" t="s">
        <v>19</v>
      </c>
      <c r="S1645" s="39" t="s">
        <v>37</v>
      </c>
    </row>
    <row r="1646" spans="1:19">
      <c r="A1646" s="3">
        <v>2511248</v>
      </c>
      <c r="B1646" t="str">
        <f>VLOOKUP(A1646,File!$A:$J,2,FALSE)</f>
        <v>Boini Pramod Kumar</v>
      </c>
      <c r="C1646" s="29">
        <f>VLOOKUP(A1646,File!$A:$J,5,FALSE)</f>
        <v>46163</v>
      </c>
      <c r="D1646" s="29" t="str">
        <f>VLOOKUP(A1646,File!$A:$J,3,FALSE)</f>
        <v>Male</v>
      </c>
      <c r="E1646" s="29" t="str">
        <f>VLOOKUP(A1646,File!$A:$J,4,FALSE)</f>
        <v>FTE</v>
      </c>
      <c r="F1646" s="29" t="str">
        <f>VLOOKUP(A1646,File!$A:$J,6,FALSE)</f>
        <v>Chennai</v>
      </c>
      <c r="G1646" s="29" t="str">
        <f>VLOOKUP(A1646,File!$A:$J,7,FALSE)</f>
        <v>CIS26MCPT010</v>
      </c>
      <c r="H1646" s="29" t="str">
        <f>VLOOKUP(A1646,File!$A:$J,8,FALSE)</f>
        <v>Mohamed Harish</v>
      </c>
      <c r="I1646" s="31">
        <f>VLOOKUP(A1646,File!$A:$J,9,FALSE)</f>
        <v>46275</v>
      </c>
      <c r="J1646" s="31" t="str">
        <f>VLOOKUP(A1646,File!$A:$K,11,FALSE)</f>
        <v>Sep 2026</v>
      </c>
      <c r="K1646" s="31" t="str">
        <f>VLOOKUP(A1646,File!$A:$K,10,FALSE)</f>
        <v>In-Training</v>
      </c>
      <c r="L1646" s="31" t="s">
        <v>4</v>
      </c>
      <c r="M1646" t="str">
        <f>VLOOKUP(A1646,Response!$A:$M,7,)</f>
        <v>PG (Paying Guest)</v>
      </c>
      <c r="N1646" t="str">
        <f>VLOOKUP(A1646,Response!$A:$M,8,)</f>
        <v>Venkata Ramana PG, Egattur</v>
      </c>
      <c r="O1646" s="4">
        <f>VLOOKUP(A1646,Response!$A:$M,10,)</f>
        <v>2</v>
      </c>
      <c r="P1646" t="str">
        <f>VLOOKUP(A1646,Response!$A:$M,12,)</f>
        <v>No</v>
      </c>
      <c r="Q1646" t="str">
        <f>VLOOKUP(A1646,Response!$A:$M,11,)</f>
        <v>Siruseri</v>
      </c>
      <c r="R1646" t="s">
        <v>19</v>
      </c>
      <c r="S1646" s="39" t="s">
        <v>37</v>
      </c>
    </row>
    <row r="1647" spans="1:19">
      <c r="A1647" s="3">
        <v>2511246</v>
      </c>
      <c r="B1647" t="str">
        <f>VLOOKUP(A1647,File!$A:$J,2,FALSE)</f>
        <v>Siddharth R Acharya</v>
      </c>
      <c r="C1647" s="29">
        <f>VLOOKUP(A1647,File!$A:$J,5,FALSE)</f>
        <v>46163</v>
      </c>
      <c r="D1647" s="29" t="str">
        <f>VLOOKUP(A1647,File!$A:$J,3,FALSE)</f>
        <v>Male</v>
      </c>
      <c r="E1647" s="29" t="str">
        <f>VLOOKUP(A1647,File!$A:$J,4,FALSE)</f>
        <v>FTE</v>
      </c>
      <c r="F1647" s="29" t="str">
        <f>VLOOKUP(A1647,File!$A:$J,6,FALSE)</f>
        <v>Chennai</v>
      </c>
      <c r="G1647" s="29" t="str">
        <f>VLOOKUP(A1647,File!$A:$J,7,FALSE)</f>
        <v>CIS26MCPT010</v>
      </c>
      <c r="H1647" s="29" t="str">
        <f>VLOOKUP(A1647,File!$A:$J,8,FALSE)</f>
        <v>Mohamed Harish</v>
      </c>
      <c r="I1647" s="31">
        <f>VLOOKUP(A1647,File!$A:$J,9,FALSE)</f>
        <v>46275</v>
      </c>
      <c r="J1647" s="31" t="str">
        <f>VLOOKUP(A1647,File!$A:$K,11,FALSE)</f>
        <v>Sep 2026</v>
      </c>
      <c r="K1647" s="31" t="str">
        <f>VLOOKUP(A1647,File!$A:$K,10,FALSE)</f>
        <v>In-Training</v>
      </c>
      <c r="L1647" s="31" t="s">
        <v>4</v>
      </c>
      <c r="M1647" t="str">
        <f>VLOOKUP(A1647,Response!$A:$M,7,)</f>
        <v>Hostel</v>
      </c>
      <c r="N1647" t="str">
        <f>VLOOKUP(A1647,Response!$A:$M,8,)</f>
        <v>Venkataram Mens Hostel Branch 3 ,Egattur ,Siruseri, Tamil Nadu - 603103</v>
      </c>
      <c r="O1647" s="4">
        <f>VLOOKUP(A1647,Response!$A:$M,10,)</f>
        <v>3</v>
      </c>
      <c r="P1647" t="str">
        <f>VLOOKUP(A1647,Response!$A:$M,12,)</f>
        <v>No</v>
      </c>
      <c r="Q1647" t="str">
        <f>VLOOKUP(A1647,Response!$A:$M,11,)</f>
        <v>Egattur</v>
      </c>
      <c r="R1647" t="s">
        <v>19</v>
      </c>
      <c r="S1647" s="39" t="s">
        <v>37</v>
      </c>
    </row>
    <row r="1648" spans="1:19">
      <c r="A1648" s="3">
        <v>2529588</v>
      </c>
      <c r="B1648" t="str">
        <f>VLOOKUP(A1648,File!$A:$J,2,FALSE)</f>
        <v>R D L S Sravanthi</v>
      </c>
      <c r="C1648" s="29">
        <f>VLOOKUP(A1648,File!$A:$J,5,FALSE)</f>
        <v>46245</v>
      </c>
      <c r="D1648" s="29" t="str">
        <f>VLOOKUP(A1648,File!$A:$J,3,FALSE)</f>
        <v>Female</v>
      </c>
      <c r="E1648" s="29" t="str">
        <f>VLOOKUP(A1648,File!$A:$J,4,FALSE)</f>
        <v>FTE</v>
      </c>
      <c r="F1648" s="29" t="str">
        <f>VLOOKUP(A1648,File!$A:$J,6,FALSE)</f>
        <v>Chennai</v>
      </c>
      <c r="G1648" s="29" t="str">
        <f>VLOOKUP(A1648,File!$A:$J,7,FALSE)</f>
        <v>CIS26MCPT021</v>
      </c>
      <c r="H1648" s="29" t="str">
        <f>VLOOKUP(A1648,File!$A:$J,8,FALSE)</f>
        <v>Uma Venkatachalam</v>
      </c>
      <c r="I1648" s="31">
        <f>VLOOKUP(A1648,File!$A:$J,9,FALSE)</f>
        <v>46364</v>
      </c>
      <c r="J1648" s="31" t="str">
        <f>VLOOKUP(A1648,File!$A:$K,11,FALSE)</f>
        <v>Dec 2026</v>
      </c>
      <c r="K1648" s="31" t="str">
        <f>VLOOKUP(A1648,File!$A:$K,10,FALSE)</f>
        <v>In-Training</v>
      </c>
      <c r="L1648" s="31" t="s">
        <v>4</v>
      </c>
      <c r="M1648" t="str">
        <f>VLOOKUP(A1648,Response!$A:$M,7,)</f>
        <v>PG (Paying Guest)</v>
      </c>
      <c r="N1648" t="str">
        <f>VLOOKUP(A1648,Response!$A:$M,8,)</f>
        <v xml:space="preserve">Vikram luxury Ladies PG </v>
      </c>
      <c r="O1648" s="4">
        <f>VLOOKUP(A1648,Response!$A:$M,10,)</f>
        <v>1</v>
      </c>
      <c r="P1648" t="str">
        <f>VLOOKUP(A1648,Response!$A:$M,12,)</f>
        <v>No</v>
      </c>
      <c r="Q1648" t="str">
        <f>VLOOKUP(A1648,Response!$A:$M,11,)</f>
        <v>Egattur</v>
      </c>
      <c r="R1648" t="s">
        <v>19</v>
      </c>
      <c r="S1648" s="39" t="s">
        <v>37</v>
      </c>
    </row>
    <row r="1649" spans="1:19">
      <c r="A1649" s="3">
        <v>2511311</v>
      </c>
      <c r="B1649" t="str">
        <f>VLOOKUP(A1649,File!$A:$J,2,FALSE)</f>
        <v>Sai Machetti</v>
      </c>
      <c r="C1649" s="29">
        <f>VLOOKUP(A1649,File!$A:$J,5,FALSE)</f>
        <v>46163</v>
      </c>
      <c r="D1649" s="29" t="str">
        <f>VLOOKUP(A1649,File!$A:$J,3,FALSE)</f>
        <v>Male</v>
      </c>
      <c r="E1649" s="29" t="str">
        <f>VLOOKUP(A1649,File!$A:$J,4,FALSE)</f>
        <v>FTE</v>
      </c>
      <c r="F1649" s="29" t="str">
        <f>VLOOKUP(A1649,File!$A:$J,6,FALSE)</f>
        <v>Chennai</v>
      </c>
      <c r="G1649" s="29" t="str">
        <f>VLOOKUP(A1649,File!$A:$J,7,FALSE)</f>
        <v>CIS26MCPT010</v>
      </c>
      <c r="H1649" s="29" t="str">
        <f>VLOOKUP(A1649,File!$A:$J,8,FALSE)</f>
        <v>Mohamed Harish</v>
      </c>
      <c r="I1649" s="31">
        <f>VLOOKUP(A1649,File!$A:$J,9,FALSE)</f>
        <v>46280</v>
      </c>
      <c r="J1649" s="31" t="str">
        <f>VLOOKUP(A1649,File!$A:$K,11,FALSE)</f>
        <v>Sep 2026</v>
      </c>
      <c r="K1649" s="31" t="str">
        <f>VLOOKUP(A1649,File!$A:$K,10,FALSE)</f>
        <v>In-Training</v>
      </c>
      <c r="L1649" s="31" t="s">
        <v>4</v>
      </c>
      <c r="M1649" t="str">
        <f>VLOOKUP(A1649,Response!$A:$M,7,)</f>
        <v>PG (Paying Guest)</v>
      </c>
      <c r="N1649" t="str">
        <f>VLOOKUP(A1649,Response!$A:$M,8,)</f>
        <v xml:space="preserve">Vishas PG - sipocot entrance </v>
      </c>
      <c r="O1649" s="4">
        <f>VLOOKUP(A1649,Response!$A:$M,10,)</f>
        <v>1</v>
      </c>
      <c r="P1649" t="str">
        <f>VLOOKUP(A1649,Response!$A:$M,12,)</f>
        <v>No</v>
      </c>
      <c r="Q1649" t="str">
        <f>VLOOKUP(A1649,Response!$A:$M,11,)</f>
        <v>Siruseri</v>
      </c>
      <c r="R1649" t="s">
        <v>19</v>
      </c>
      <c r="S1649" s="39" t="s">
        <v>37</v>
      </c>
    </row>
    <row r="1650" spans="1:19">
      <c r="A1650" s="3">
        <v>2521634</v>
      </c>
      <c r="B1650" t="str">
        <f>VLOOKUP(A1650,File!$A:$J,2,FALSE)</f>
        <v>Praveen Kumar</v>
      </c>
      <c r="C1650" s="29">
        <f>VLOOKUP(A1650,File!$A:$J,5,FALSE)</f>
        <v>46212</v>
      </c>
      <c r="D1650" s="29" t="str">
        <f>VLOOKUP(A1650,File!$A:$J,3,FALSE)</f>
        <v>Male</v>
      </c>
      <c r="E1650" s="29" t="str">
        <f>VLOOKUP(A1650,File!$A:$J,4,FALSE)</f>
        <v>FTE</v>
      </c>
      <c r="F1650" s="29" t="str">
        <f>VLOOKUP(A1650,File!$A:$J,6,FALSE)</f>
        <v>Chennai</v>
      </c>
      <c r="G1650" s="29" t="str">
        <f>VLOOKUP(A1650,File!$A:$J,7,FALSE)</f>
        <v>ADM26MF011</v>
      </c>
      <c r="H1650" s="29" t="str">
        <f>VLOOKUP(A1650,File!$A:$J,8,FALSE)</f>
        <v>Abinaya R</v>
      </c>
      <c r="I1650" s="31">
        <f>VLOOKUP(A1650,File!$A:$J,9,FALSE)</f>
        <v>46328</v>
      </c>
      <c r="J1650" s="31" t="str">
        <f>VLOOKUP(A1650,File!$A:$K,11,FALSE)</f>
        <v>Nov 2026</v>
      </c>
      <c r="K1650" s="31" t="str">
        <f>VLOOKUP(A1650,File!$A:$K,10,FALSE)</f>
        <v>In-Training</v>
      </c>
      <c r="L1650" s="31" t="s">
        <v>4</v>
      </c>
      <c r="M1650" t="str">
        <f>VLOOKUP(A1650,Response!$A:$M,7,)</f>
        <v>PG (Paying Guest)</v>
      </c>
      <c r="N1650" t="str">
        <f>VLOOKUP(A1650,Response!$A:$M,8,)</f>
        <v>Vishnu living rooms, villas and pg accommodation, Sky garden villas</v>
      </c>
      <c r="O1650" s="4">
        <f>VLOOKUP(A1650,Response!$A:$M,10,)</f>
        <v>1</v>
      </c>
      <c r="P1650" t="str">
        <f>VLOOKUP(A1650,Response!$A:$M,12,)</f>
        <v>No</v>
      </c>
      <c r="Q1650" t="str">
        <f>VLOOKUP(A1650,Response!$A:$M,11,)</f>
        <v>Siruseri</v>
      </c>
      <c r="R1650" t="s">
        <v>19</v>
      </c>
      <c r="S1650" s="39" t="s">
        <v>37</v>
      </c>
    </row>
    <row r="1651" spans="1:19">
      <c r="A1651" s="3">
        <v>2521626</v>
      </c>
      <c r="B1651" t="str">
        <f>VLOOKUP(A1651,File!$A:$J,2,FALSE)</f>
        <v>Ms Supreeth</v>
      </c>
      <c r="C1651" s="29">
        <f>VLOOKUP(A1651,File!$A:$J,5,FALSE)</f>
        <v>46212</v>
      </c>
      <c r="D1651" s="29" t="str">
        <f>VLOOKUP(A1651,File!$A:$J,3,FALSE)</f>
        <v>Male</v>
      </c>
      <c r="E1651" s="29" t="str">
        <f>VLOOKUP(A1651,File!$A:$J,4,FALSE)</f>
        <v>FTE</v>
      </c>
      <c r="F1651" s="29" t="str">
        <f>VLOOKUP(A1651,File!$A:$J,6,FALSE)</f>
        <v>Chennai</v>
      </c>
      <c r="G1651" s="29" t="str">
        <f>VLOOKUP(A1651,File!$A:$J,7,FALSE)</f>
        <v>ADM26MF011</v>
      </c>
      <c r="H1651" s="29" t="str">
        <f>VLOOKUP(A1651,File!$A:$J,8,FALSE)</f>
        <v>Abinaya R</v>
      </c>
      <c r="I1651" s="31">
        <f>VLOOKUP(A1651,File!$A:$J,9,FALSE)</f>
        <v>46328</v>
      </c>
      <c r="J1651" s="31" t="str">
        <f>VLOOKUP(A1651,File!$A:$K,11,FALSE)</f>
        <v>Nov 2026</v>
      </c>
      <c r="K1651" s="31" t="str">
        <f>VLOOKUP(A1651,File!$A:$K,10,FALSE)</f>
        <v>In-Training</v>
      </c>
      <c r="L1651" s="31" t="s">
        <v>4</v>
      </c>
      <c r="M1651" t="str">
        <f>VLOOKUP(A1651,Response!$A:$M,7,)</f>
        <v>PG (Paying Guest)</v>
      </c>
      <c r="N1651" t="str">
        <f>VLOOKUP(A1651,Response!$A:$M,8,)</f>
        <v xml:space="preserve">Vishnu living rooms, villas and pg accommodation, Sky garden villas, </v>
      </c>
      <c r="O1651" s="4">
        <f>VLOOKUP(A1651,Response!$A:$M,10,)</f>
        <v>1</v>
      </c>
      <c r="P1651" t="str">
        <f>VLOOKUP(A1651,Response!$A:$M,12,)</f>
        <v>No</v>
      </c>
      <c r="Q1651" t="str">
        <f>VLOOKUP(A1651,Response!$A:$M,11,)</f>
        <v>Siruseri</v>
      </c>
      <c r="R1651" t="s">
        <v>19</v>
      </c>
      <c r="S1651" s="39" t="s">
        <v>37</v>
      </c>
    </row>
    <row r="1652" spans="1:19">
      <c r="A1652" s="3">
        <v>2524966</v>
      </c>
      <c r="B1652" t="str">
        <f>VLOOKUP(A1652,File!$A:$J,2,FALSE)</f>
        <v>Mallikriyan H Kalashekhar</v>
      </c>
      <c r="C1652" s="29">
        <f>VLOOKUP(A1652,File!$A:$J,5,FALSE)</f>
        <v>46226</v>
      </c>
      <c r="D1652" s="29" t="str">
        <f>VLOOKUP(A1652,File!$A:$J,3,FALSE)</f>
        <v>Male</v>
      </c>
      <c r="E1652" s="29" t="str">
        <f>VLOOKUP(A1652,File!$A:$J,4,FALSE)</f>
        <v>FTE</v>
      </c>
      <c r="F1652" s="29" t="str">
        <f>VLOOKUP(A1652,File!$A:$J,6,FALSE)</f>
        <v>Chennai</v>
      </c>
      <c r="G1652" s="29" t="str">
        <f>VLOOKUP(A1652,File!$A:$J,7,FALSE)</f>
        <v>ADM26ISMO010</v>
      </c>
      <c r="H1652" s="29" t="str">
        <f>VLOOKUP(A1652,File!$A:$J,8,FALSE)</f>
        <v>Thomas Naveen. J</v>
      </c>
      <c r="I1652" s="31">
        <f>VLOOKUP(A1652,File!$A:$J,9,FALSE)</f>
        <v>46301</v>
      </c>
      <c r="J1652" s="31" t="str">
        <f>VLOOKUP(A1652,File!$A:$K,11,FALSE)</f>
        <v>Oct 2026</v>
      </c>
      <c r="K1652" s="31" t="str">
        <f>VLOOKUP(A1652,File!$A:$K,10,FALSE)</f>
        <v>In-Training</v>
      </c>
      <c r="L1652" s="31" t="s">
        <v>4</v>
      </c>
      <c r="M1652" t="str">
        <f>VLOOKUP(A1652,Response!$A:$M,7,)</f>
        <v>PG (Paying Guest)</v>
      </c>
      <c r="N1652" t="str">
        <f>VLOOKUP(A1652,Response!$A:$M,8,)</f>
        <v>Vishnu PG</v>
      </c>
      <c r="O1652" s="4">
        <f>VLOOKUP(A1652,Response!$A:$M,10,)</f>
        <v>1</v>
      </c>
      <c r="P1652" t="str">
        <f>VLOOKUP(A1652,Response!$A:$M,12,)</f>
        <v>No</v>
      </c>
      <c r="Q1652" t="str">
        <f>VLOOKUP(A1652,Response!$A:$M,11,)</f>
        <v>Egattur</v>
      </c>
      <c r="R1652" t="s">
        <v>19</v>
      </c>
      <c r="S1652" s="39" t="s">
        <v>37</v>
      </c>
    </row>
    <row r="1653" spans="1:19">
      <c r="A1653" s="3">
        <v>2529760</v>
      </c>
      <c r="B1653" t="str">
        <f>VLOOKUP(A1653,File!$A:$J,2,FALSE)</f>
        <v>Lakshya Rawat</v>
      </c>
      <c r="C1653" s="29">
        <f>VLOOKUP(A1653,File!$A:$J,5,FALSE)</f>
        <v>46245</v>
      </c>
      <c r="D1653" s="29" t="str">
        <f>VLOOKUP(A1653,File!$A:$J,3,FALSE)</f>
        <v>Male</v>
      </c>
      <c r="E1653" s="29" t="str">
        <f>VLOOKUP(A1653,File!$A:$J,4,FALSE)</f>
        <v>FTE</v>
      </c>
      <c r="F1653" s="29" t="str">
        <f>VLOOKUP(A1653,File!$A:$J,6,FALSE)</f>
        <v>Chennai</v>
      </c>
      <c r="G1653" s="29" t="str">
        <f>VLOOKUP(A1653,File!$A:$J,7,FALSE)</f>
        <v>CIS26MCPT021</v>
      </c>
      <c r="H1653" s="29" t="str">
        <f>VLOOKUP(A1653,File!$A:$J,8,FALSE)</f>
        <v>Uma Venkatachalam</v>
      </c>
      <c r="I1653" s="31">
        <f>VLOOKUP(A1653,File!$A:$J,9,FALSE)</f>
        <v>46364</v>
      </c>
      <c r="J1653" s="31" t="str">
        <f>VLOOKUP(A1653,File!$A:$K,11,FALSE)</f>
        <v>Dec 2026</v>
      </c>
      <c r="K1653" s="31" t="str">
        <f>VLOOKUP(A1653,File!$A:$K,10,FALSE)</f>
        <v>In-Training</v>
      </c>
      <c r="L1653" s="31" t="s">
        <v>4</v>
      </c>
      <c r="M1653" t="str">
        <f>VLOOKUP(A1653,Response!$A:$M,7,)</f>
        <v>PG (Paying Guest)</v>
      </c>
      <c r="N1653" t="str">
        <f>VLOOKUP(A1653,Response!$A:$M,8,)</f>
        <v xml:space="preserve">Vishnu pg </v>
      </c>
      <c r="O1653" s="4" t="str">
        <f>VLOOKUP(A1653,Response!$A:$M,10,)</f>
        <v>GF</v>
      </c>
      <c r="P1653" t="str">
        <f>VLOOKUP(A1653,Response!$A:$M,12,)</f>
        <v>No</v>
      </c>
      <c r="Q1653" t="str">
        <f>VLOOKUP(A1653,Response!$A:$M,11,)</f>
        <v>Padur</v>
      </c>
      <c r="R1653" t="s">
        <v>15</v>
      </c>
      <c r="S1653" s="40" t="s">
        <v>36</v>
      </c>
    </row>
    <row r="1654" spans="1:19">
      <c r="A1654" s="3">
        <v>2529594</v>
      </c>
      <c r="B1654" t="str">
        <f>VLOOKUP(A1654,File!$A:$J,2,FALSE)</f>
        <v>Priyanshu Bisht</v>
      </c>
      <c r="C1654" s="29">
        <f>VLOOKUP(A1654,File!$A:$J,5,FALSE)</f>
        <v>46245</v>
      </c>
      <c r="D1654" s="29" t="str">
        <f>VLOOKUP(A1654,File!$A:$J,3,FALSE)</f>
        <v>Male</v>
      </c>
      <c r="E1654" s="29" t="str">
        <f>VLOOKUP(A1654,File!$A:$J,4,FALSE)</f>
        <v>FTE</v>
      </c>
      <c r="F1654" s="29" t="str">
        <f>VLOOKUP(A1654,File!$A:$J,6,FALSE)</f>
        <v>Chennai</v>
      </c>
      <c r="G1654" s="29" t="str">
        <f>VLOOKUP(A1654,File!$A:$J,7,FALSE)</f>
        <v>CIS26MCPT021</v>
      </c>
      <c r="H1654" s="29" t="str">
        <f>VLOOKUP(A1654,File!$A:$J,8,FALSE)</f>
        <v>Uma Venkatachalam</v>
      </c>
      <c r="I1654" s="31">
        <f>VLOOKUP(A1654,File!$A:$J,9,FALSE)</f>
        <v>46364</v>
      </c>
      <c r="J1654" s="31" t="str">
        <f>VLOOKUP(A1654,File!$A:$K,11,FALSE)</f>
        <v>Dec 2026</v>
      </c>
      <c r="K1654" s="31" t="str">
        <f>VLOOKUP(A1654,File!$A:$K,10,FALSE)</f>
        <v>In-Training</v>
      </c>
      <c r="L1654" s="31" t="s">
        <v>5</v>
      </c>
      <c r="M1654" t="str">
        <f>VLOOKUP(A1654,Response!$A:$M,7,)</f>
        <v>Rented House/Apartment</v>
      </c>
      <c r="N1654" t="str">
        <f>VLOOKUP(A1654,Response!$A:$M,8,)</f>
        <v>Vishnu PG and Villas</v>
      </c>
      <c r="O1654" s="4" t="str">
        <f>VLOOKUP(A1654,Response!$A:$M,10,)</f>
        <v>GF</v>
      </c>
      <c r="P1654" t="str">
        <f>VLOOKUP(A1654,Response!$A:$M,12,)</f>
        <v>No</v>
      </c>
      <c r="Q1654" t="str">
        <f>VLOOKUP(A1654,Response!$A:$M,11,)</f>
        <v>Padur</v>
      </c>
      <c r="R1654" t="s">
        <v>15</v>
      </c>
      <c r="S1654" t="s">
        <v>38</v>
      </c>
    </row>
    <row r="1655" spans="1:19">
      <c r="A1655" s="3">
        <v>2520976</v>
      </c>
      <c r="B1655" t="str">
        <f>VLOOKUP(A1655,File!$A:$J,2,FALSE)</f>
        <v>Shivaraj Y</v>
      </c>
      <c r="C1655" s="29">
        <f>VLOOKUP(A1655,File!$A:$J,5,FALSE)</f>
        <v>46210</v>
      </c>
      <c r="D1655" s="29" t="str">
        <f>VLOOKUP(A1655,File!$A:$J,3,FALSE)</f>
        <v>Male</v>
      </c>
      <c r="E1655" s="29" t="str">
        <f>VLOOKUP(A1655,File!$A:$J,4,FALSE)</f>
        <v>FTE</v>
      </c>
      <c r="F1655" s="29" t="str">
        <f>VLOOKUP(A1655,File!$A:$J,6,FALSE)</f>
        <v>Chennai</v>
      </c>
      <c r="G1655" s="29" t="str">
        <f>VLOOKUP(A1655,File!$A:$J,7,FALSE)</f>
        <v>PG26JFR003</v>
      </c>
      <c r="H1655" s="29" t="str">
        <f>VLOOKUP(A1655,File!$A:$J,8,FALSE)</f>
        <v>Vijay K</v>
      </c>
      <c r="I1655" s="31">
        <f>VLOOKUP(A1655,File!$A:$J,9,FALSE)</f>
        <v>46322</v>
      </c>
      <c r="J1655" s="31" t="str">
        <f>VLOOKUP(A1655,File!$A:$K,11,FALSE)</f>
        <v>Oct 2026</v>
      </c>
      <c r="K1655" s="31" t="str">
        <f>VLOOKUP(A1655,File!$A:$K,10,FALSE)</f>
        <v>In-Training</v>
      </c>
      <c r="L1655" s="31" t="s">
        <v>4</v>
      </c>
      <c r="M1655" t="str">
        <f>VLOOKUP(A1655,Response!$A:$M,7,)</f>
        <v>PG (Paying Guest)</v>
      </c>
      <c r="N1655" t="str">
        <f>VLOOKUP(A1655,Response!$A:$M,8,)</f>
        <v>Vishnu PG for Mens</v>
      </c>
      <c r="O1655" s="4">
        <f>VLOOKUP(A1655,Response!$A:$M,10,)</f>
        <v>1</v>
      </c>
      <c r="P1655" t="str">
        <f>VLOOKUP(A1655,Response!$A:$M,12,)</f>
        <v>No</v>
      </c>
      <c r="Q1655" t="str">
        <f>VLOOKUP(A1655,Response!$A:$M,11,)</f>
        <v>Egattur</v>
      </c>
      <c r="R1655" t="s">
        <v>19</v>
      </c>
      <c r="S1655" s="39" t="s">
        <v>37</v>
      </c>
    </row>
    <row r="1656" spans="1:19">
      <c r="A1656" s="3">
        <v>2531960</v>
      </c>
      <c r="B1656" t="str">
        <f>VLOOKUP(A1656,File!$A:$J,2,FALSE)</f>
        <v>Vaibhav Gorana</v>
      </c>
      <c r="C1656" s="29">
        <f>VLOOKUP(A1656,File!$A:$J,5,FALSE)</f>
        <v>46254</v>
      </c>
      <c r="D1656" s="29" t="str">
        <f>VLOOKUP(A1656,File!$A:$J,3,FALSE)</f>
        <v>Male</v>
      </c>
      <c r="E1656" s="29" t="str">
        <f>VLOOKUP(A1656,File!$A:$J,4,FALSE)</f>
        <v>FTE</v>
      </c>
      <c r="F1656" s="29" t="str">
        <f>VLOOKUP(A1656,File!$A:$J,6,FALSE)</f>
        <v>Chennai</v>
      </c>
      <c r="G1656" s="29" t="str">
        <f>VLOOKUP(A1656,File!$A:$J,7,FALSE)</f>
        <v>CS26CS011</v>
      </c>
      <c r="H1656" s="29" t="str">
        <f>VLOOKUP(A1656,File!$A:$J,8,FALSE)</f>
        <v>Kishorekumar P</v>
      </c>
      <c r="I1656" s="31">
        <f>VLOOKUP(A1656,File!$A:$J,9,FALSE)</f>
        <v>46343</v>
      </c>
      <c r="J1656" s="31" t="str">
        <f>VLOOKUP(A1656,File!$A:$K,11,FALSE)</f>
        <v>Nov 2026</v>
      </c>
      <c r="K1656" s="31" t="str">
        <f>VLOOKUP(A1656,File!$A:$K,10,FALSE)</f>
        <v>In-Training</v>
      </c>
      <c r="L1656" s="31" t="s">
        <v>4</v>
      </c>
      <c r="M1656" t="str">
        <f>VLOOKUP(A1656,Response!$A:$M,7,)</f>
        <v>PG (Paying Guest)</v>
      </c>
      <c r="N1656" t="str">
        <f>VLOOKUP(A1656,Response!$A:$M,8,)</f>
        <v>vishvas hostel, mamoothianmman street, egattur uthandi ,siruseri,tamil nadu, 603103</v>
      </c>
      <c r="O1656" s="4">
        <f>VLOOKUP(A1656,Response!$A:$M,10,)</f>
        <v>1</v>
      </c>
      <c r="P1656" t="str">
        <f>VLOOKUP(A1656,Response!$A:$M,12,)</f>
        <v>No</v>
      </c>
      <c r="Q1656" t="str">
        <f>VLOOKUP(A1656,Response!$A:$M,11,)</f>
        <v>Siruseri</v>
      </c>
      <c r="R1656" t="s">
        <v>19</v>
      </c>
      <c r="S1656" s="39" t="s">
        <v>37</v>
      </c>
    </row>
    <row r="1657" spans="1:19">
      <c r="A1657" s="3">
        <v>2529669</v>
      </c>
      <c r="B1657" t="str">
        <f>VLOOKUP(A1657,File!$A:$J,2,FALSE)</f>
        <v>Gatla Kavya</v>
      </c>
      <c r="C1657" s="29">
        <f>VLOOKUP(A1657,File!$A:$J,5,FALSE)</f>
        <v>46245</v>
      </c>
      <c r="D1657" s="29" t="str">
        <f>VLOOKUP(A1657,File!$A:$J,3,FALSE)</f>
        <v>Female</v>
      </c>
      <c r="E1657" s="29" t="str">
        <f>VLOOKUP(A1657,File!$A:$J,4,FALSE)</f>
        <v>FTE</v>
      </c>
      <c r="F1657" s="29" t="str">
        <f>VLOOKUP(A1657,File!$A:$J,6,FALSE)</f>
        <v>Chennai</v>
      </c>
      <c r="G1657" s="29" t="str">
        <f>VLOOKUP(A1657,File!$A:$J,7,FALSE)</f>
        <v>CIS26AZ001</v>
      </c>
      <c r="H1657" s="29" t="str">
        <f>VLOOKUP(A1657,File!$A:$J,8,FALSE)</f>
        <v>Ashiya Begam S</v>
      </c>
      <c r="I1657" s="31">
        <f>VLOOKUP(A1657,File!$A:$J,9,FALSE)</f>
        <v>46335</v>
      </c>
      <c r="J1657" s="31" t="str">
        <f>VLOOKUP(A1657,File!$A:$K,11,FALSE)</f>
        <v>Nov 2026</v>
      </c>
      <c r="K1657" s="31" t="str">
        <f>VLOOKUP(A1657,File!$A:$K,10,FALSE)</f>
        <v>In-Training</v>
      </c>
      <c r="L1657" s="31" t="s">
        <v>4</v>
      </c>
      <c r="M1657" t="str">
        <f>VLOOKUP(A1657,Response!$A:$M,7,)</f>
        <v>Hostel</v>
      </c>
      <c r="N1657" t="str">
        <f>VLOOKUP(A1657,Response!$A:$M,8,)</f>
        <v>Vishvas Ladies Hostel</v>
      </c>
      <c r="O1657" s="4">
        <f>VLOOKUP(A1657,Response!$A:$M,10,)</f>
        <v>2</v>
      </c>
      <c r="P1657" t="str">
        <f>VLOOKUP(A1657,Response!$A:$M,12,)</f>
        <v>No</v>
      </c>
      <c r="Q1657" t="str">
        <f>VLOOKUP(A1657,Response!$A:$M,11,)</f>
        <v>Siruseri</v>
      </c>
      <c r="R1657" t="s">
        <v>19</v>
      </c>
      <c r="S1657" s="39" t="s">
        <v>37</v>
      </c>
    </row>
    <row r="1658" spans="1:19">
      <c r="A1658" s="3">
        <v>2533067</v>
      </c>
      <c r="B1658" t="str">
        <f>VLOOKUP(A1658,File!$A:$J,2,FALSE)</f>
        <v>Sri Sai Priya S</v>
      </c>
      <c r="C1658" s="29">
        <f>VLOOKUP(A1658,File!$A:$J,5,FALSE)</f>
        <v>46259</v>
      </c>
      <c r="D1658" s="29" t="str">
        <f>VLOOKUP(A1658,File!$A:$J,3,FALSE)</f>
        <v>Female</v>
      </c>
      <c r="E1658" s="29" t="str">
        <f>VLOOKUP(A1658,File!$A:$J,4,FALSE)</f>
        <v>FTE</v>
      </c>
      <c r="F1658" s="29" t="str">
        <f>VLOOKUP(A1658,File!$A:$J,6,FALSE)</f>
        <v>Chennai</v>
      </c>
      <c r="G1658" s="29" t="str">
        <f>VLOOKUP(A1658,File!$A:$J,7,FALSE)</f>
        <v>CIS26MBG007</v>
      </c>
      <c r="H1658" s="29" t="str">
        <f>VLOOKUP(A1658,File!$A:$J,8,FALSE)</f>
        <v>Lawrance M</v>
      </c>
      <c r="I1658" s="31">
        <f>VLOOKUP(A1658,File!$A:$J,9,FALSE)</f>
        <v>46367</v>
      </c>
      <c r="J1658" s="31" t="str">
        <f>VLOOKUP(A1658,File!$A:$K,11,FALSE)</f>
        <v>Dec 2026</v>
      </c>
      <c r="K1658" s="31" t="str">
        <f>VLOOKUP(A1658,File!$A:$K,10,FALSE)</f>
        <v>In-Training</v>
      </c>
      <c r="L1658" s="31" t="s">
        <v>4</v>
      </c>
      <c r="M1658" t="str">
        <f>VLOOKUP(A1658,Response!$A:$M,7,)</f>
        <v>PG (Paying Guest)</v>
      </c>
      <c r="N1658" t="str">
        <f>VLOOKUP(A1658,Response!$A:$M,8,)</f>
        <v>Vishvas ladies pg</v>
      </c>
      <c r="O1658" s="4">
        <f>VLOOKUP(A1658,Response!$A:$M,10,)</f>
        <v>2</v>
      </c>
      <c r="P1658" t="str">
        <f>VLOOKUP(A1658,Response!$A:$M,12,)</f>
        <v>Yes</v>
      </c>
      <c r="Q1658" t="str">
        <f>VLOOKUP(A1658,Response!$A:$M,11,)</f>
        <v>Siruseri</v>
      </c>
      <c r="R1658" t="s">
        <v>19</v>
      </c>
      <c r="S1658" s="39" t="s">
        <v>37</v>
      </c>
    </row>
    <row r="1659" spans="1:19">
      <c r="A1659" s="3">
        <v>2521633</v>
      </c>
      <c r="B1659" t="str">
        <f>VLOOKUP(A1659,File!$A:$J,2,FALSE)</f>
        <v>Nuthangi Naga Poojitha</v>
      </c>
      <c r="C1659" s="29">
        <f>VLOOKUP(A1659,File!$A:$J,5,FALSE)</f>
        <v>46212</v>
      </c>
      <c r="D1659" s="29" t="str">
        <f>VLOOKUP(A1659,File!$A:$J,3,FALSE)</f>
        <v>Female</v>
      </c>
      <c r="E1659" s="29" t="str">
        <f>VLOOKUP(A1659,File!$A:$J,4,FALSE)</f>
        <v>FTE</v>
      </c>
      <c r="F1659" s="29" t="str">
        <f>VLOOKUP(A1659,File!$A:$J,6,FALSE)</f>
        <v>Chennai</v>
      </c>
      <c r="G1659" s="29" t="str">
        <f>VLOOKUP(A1659,File!$A:$J,7,FALSE)</f>
        <v>QEA26QEPT023</v>
      </c>
      <c r="H1659" s="29" t="str">
        <f>VLOOKUP(A1659,File!$A:$J,8,FALSE)</f>
        <v>Sweta Thoppil</v>
      </c>
      <c r="I1659" s="31">
        <f>VLOOKUP(A1659,File!$A:$J,9,FALSE)</f>
        <v>46314</v>
      </c>
      <c r="J1659" s="31" t="str">
        <f>VLOOKUP(A1659,File!$A:$K,11,FALSE)</f>
        <v>Oct 2026</v>
      </c>
      <c r="K1659" s="31" t="str">
        <f>VLOOKUP(A1659,File!$A:$K,10,FALSE)</f>
        <v>In-Training</v>
      </c>
      <c r="L1659" s="31" t="s">
        <v>4</v>
      </c>
      <c r="M1659" t="str">
        <f>VLOOKUP(A1659,Response!$A:$M,7,)</f>
        <v>PG (Paying Guest)</v>
      </c>
      <c r="N1659" t="str">
        <f>VLOOKUP(A1659,Response!$A:$M,8,)</f>
        <v>Vishvas Ladies PG for Women, Siruseri</v>
      </c>
      <c r="O1659" s="4">
        <f>VLOOKUP(A1659,Response!$A:$M,10,)</f>
        <v>3</v>
      </c>
      <c r="P1659" t="str">
        <f>VLOOKUP(A1659,Response!$A:$M,12,)</f>
        <v>No</v>
      </c>
      <c r="Q1659" t="str">
        <f>VLOOKUP(A1659,Response!$A:$M,11,)</f>
        <v>Siruseri</v>
      </c>
      <c r="R1659" t="s">
        <v>19</v>
      </c>
      <c r="S1659" s="39" t="s">
        <v>37</v>
      </c>
    </row>
    <row r="1660" spans="1:19">
      <c r="A1660" s="3">
        <v>2521760</v>
      </c>
      <c r="B1660" t="str">
        <f>VLOOKUP(A1660,File!$A:$J,2,FALSE)</f>
        <v>Lasya Priya Marella</v>
      </c>
      <c r="C1660" s="29">
        <f>VLOOKUP(A1660,File!$A:$J,5,FALSE)</f>
        <v>46212</v>
      </c>
      <c r="D1660" s="29" t="str">
        <f>VLOOKUP(A1660,File!$A:$J,3,FALSE)</f>
        <v>Female</v>
      </c>
      <c r="E1660" s="29" t="str">
        <f>VLOOKUP(A1660,File!$A:$J,4,FALSE)</f>
        <v>FTE</v>
      </c>
      <c r="F1660" s="29" t="str">
        <f>VLOOKUP(A1660,File!$A:$J,6,FALSE)</f>
        <v>Chennai</v>
      </c>
      <c r="G1660" s="29" t="str">
        <f>VLOOKUP(A1660,File!$A:$J,7,FALSE)</f>
        <v>QEA26DS001</v>
      </c>
      <c r="H1660" s="29" t="str">
        <f>VLOOKUP(A1660,File!$A:$J,8,FALSE)</f>
        <v>Lourdhu Selvin Raj X</v>
      </c>
      <c r="I1660" s="31">
        <f>VLOOKUP(A1660,File!$A:$J,9,FALSE)</f>
        <v>46325</v>
      </c>
      <c r="J1660" s="31" t="str">
        <f>VLOOKUP(A1660,File!$A:$K,11,FALSE)</f>
        <v>Oct 2026</v>
      </c>
      <c r="K1660" s="31" t="str">
        <f>VLOOKUP(A1660,File!$A:$K,10,FALSE)</f>
        <v>In-Training</v>
      </c>
      <c r="L1660" s="31" t="s">
        <v>4</v>
      </c>
      <c r="M1660" t="str">
        <f>VLOOKUP(A1660,Response!$A:$M,7,)</f>
        <v>PG (Paying Guest)</v>
      </c>
      <c r="N1660" t="str">
        <f>VLOOKUP(A1660,Response!$A:$M,8,)</f>
        <v>Vishvas Ladies PG, Egattur</v>
      </c>
      <c r="O1660" s="4">
        <f>VLOOKUP(A1660,Response!$A:$M,10,)</f>
        <v>3</v>
      </c>
      <c r="P1660" t="str">
        <f>VLOOKUP(A1660,Response!$A:$M,12,)</f>
        <v>Yes</v>
      </c>
      <c r="Q1660" t="str">
        <f>VLOOKUP(A1660,Response!$A:$M,11,)</f>
        <v>Siruseri</v>
      </c>
      <c r="R1660" t="s">
        <v>19</v>
      </c>
      <c r="S1660" s="39" t="s">
        <v>37</v>
      </c>
    </row>
    <row r="1661" spans="1:19">
      <c r="A1661" s="3">
        <v>2533153</v>
      </c>
      <c r="B1661" t="str">
        <f>VLOOKUP(A1661,File!$A:$J,2,FALSE)</f>
        <v>Saniya Shah</v>
      </c>
      <c r="C1661" s="29">
        <f>VLOOKUP(A1661,File!$A:$J,5,FALSE)</f>
        <v>46259</v>
      </c>
      <c r="D1661" s="29" t="str">
        <f>VLOOKUP(A1661,File!$A:$J,3,FALSE)</f>
        <v>Female</v>
      </c>
      <c r="E1661" s="29" t="str">
        <f>VLOOKUP(A1661,File!$A:$J,4,FALSE)</f>
        <v>FTE</v>
      </c>
      <c r="F1661" s="29" t="str">
        <f>VLOOKUP(A1661,File!$A:$J,6,FALSE)</f>
        <v>Chennai</v>
      </c>
      <c r="G1661" s="29" t="str">
        <f>VLOOKUP(A1661,File!$A:$J,7,FALSE)</f>
        <v>CIS26MBG003</v>
      </c>
      <c r="H1661" s="29" t="str">
        <f>VLOOKUP(A1661,File!$A:$J,8,FALSE)</f>
        <v>Kishorekumar P</v>
      </c>
      <c r="I1661" s="31">
        <f>VLOOKUP(A1661,File!$A:$J,9,FALSE)</f>
        <v>46367</v>
      </c>
      <c r="J1661" s="31" t="str">
        <f>VLOOKUP(A1661,File!$A:$K,11,FALSE)</f>
        <v>Dec 2026</v>
      </c>
      <c r="K1661" s="31" t="str">
        <f>VLOOKUP(A1661,File!$A:$K,10,FALSE)</f>
        <v>In-Training</v>
      </c>
      <c r="L1661" s="31" t="s">
        <v>4</v>
      </c>
      <c r="M1661" t="str">
        <f>VLOOKUP(A1661,Response!$A:$M,7,)</f>
        <v>PG (Paying Guest)</v>
      </c>
      <c r="N1661" t="str">
        <f>VLOOKUP(A1661,Response!$A:$M,8,)</f>
        <v>Vishvas Ladies Pg, siruseri</v>
      </c>
      <c r="O1661" s="4">
        <f>VLOOKUP(A1661,Response!$A:$M,10,)</f>
        <v>2</v>
      </c>
      <c r="P1661" t="str">
        <f>VLOOKUP(A1661,Response!$A:$M,12,)</f>
        <v>Yes</v>
      </c>
      <c r="Q1661" t="str">
        <f>VLOOKUP(A1661,Response!$A:$M,11,)</f>
        <v>Siruseri</v>
      </c>
      <c r="R1661" t="s">
        <v>19</v>
      </c>
      <c r="S1661" s="39" t="s">
        <v>37</v>
      </c>
    </row>
    <row r="1662" spans="1:19">
      <c r="A1662" s="3">
        <v>2526602</v>
      </c>
      <c r="B1662" t="str">
        <f>VLOOKUP(A1662,File!$A:$J,2,FALSE)</f>
        <v>Lagad Sampada Santosh</v>
      </c>
      <c r="C1662" s="29">
        <f>VLOOKUP(A1662,File!$A:$J,5,FALSE)</f>
        <v>46233</v>
      </c>
      <c r="D1662" s="29" t="str">
        <f>VLOOKUP(A1662,File!$A:$J,3,FALSE)</f>
        <v>Female</v>
      </c>
      <c r="E1662" s="29" t="str">
        <f>VLOOKUP(A1662,File!$A:$J,4,FALSE)</f>
        <v>FTE</v>
      </c>
      <c r="F1662" s="29" t="str">
        <f>VLOOKUP(A1662,File!$A:$J,6,FALSE)</f>
        <v>Chennai</v>
      </c>
      <c r="G1662" s="29" t="str">
        <f>VLOOKUP(A1662,File!$A:$J,7,FALSE)</f>
        <v>QEA26JP002</v>
      </c>
      <c r="H1662" s="29" t="str">
        <f>VLOOKUP(A1662,File!$A:$J,8,FALSE)</f>
        <v>Ajiesya D P</v>
      </c>
      <c r="I1662" s="31" t="str">
        <f>VLOOKUP(A1662,File!$A:$J,9,FALSE)</f>
        <v/>
      </c>
      <c r="J1662" s="44" t="s">
        <v>33</v>
      </c>
      <c r="K1662" s="31" t="str">
        <f>VLOOKUP(A1662,File!$A:$K,10,FALSE)</f>
        <v>Training - ON Hold</v>
      </c>
      <c r="L1662" s="31" t="s">
        <v>4</v>
      </c>
      <c r="M1662" t="str">
        <f>VLOOKUP(A1662,Response!$A:$M,7,)</f>
        <v>PG (Paying Guest)</v>
      </c>
      <c r="N1662" t="str">
        <f>VLOOKUP(A1662,Response!$A:$M,8,)</f>
        <v>Vishvas Ladies PG, Siruseri</v>
      </c>
      <c r="O1662" s="4">
        <f>VLOOKUP(A1662,Response!$A:$M,10,)</f>
        <v>3</v>
      </c>
      <c r="P1662" t="str">
        <f>VLOOKUP(A1662,Response!$A:$M,12,)</f>
        <v>No</v>
      </c>
      <c r="Q1662" t="str">
        <f>VLOOKUP(A1662,Response!$A:$M,11,)</f>
        <v>Siruseri</v>
      </c>
      <c r="R1662" t="s">
        <v>19</v>
      </c>
      <c r="S1662" s="39" t="s">
        <v>37</v>
      </c>
    </row>
    <row r="1663" spans="1:19">
      <c r="A1663" s="3">
        <v>2531283</v>
      </c>
      <c r="B1663" t="str">
        <f>VLOOKUP(A1663,File!$A:$J,2,FALSE)</f>
        <v>Mariyambi B</v>
      </c>
      <c r="C1663" s="29">
        <f>VLOOKUP(A1663,File!$A:$J,5,FALSE)</f>
        <v>46252</v>
      </c>
      <c r="D1663" s="29" t="str">
        <f>VLOOKUP(A1663,File!$A:$J,3,FALSE)</f>
        <v>Female</v>
      </c>
      <c r="E1663" s="29" t="str">
        <f>VLOOKUP(A1663,File!$A:$J,4,FALSE)</f>
        <v>FTE</v>
      </c>
      <c r="F1663" s="29" t="str">
        <f>VLOOKUP(A1663,File!$A:$J,6,FALSE)</f>
        <v>Chennai</v>
      </c>
      <c r="G1663" s="29" t="str">
        <f>VLOOKUP(A1663,File!$A:$J,7,FALSE)</f>
        <v>EPS26SAP033</v>
      </c>
      <c r="H1663" s="29" t="str">
        <f>VLOOKUP(A1663,File!$A:$J,8,FALSE)</f>
        <v>Ajith Ganesan</v>
      </c>
      <c r="I1663" s="31">
        <f>VLOOKUP(A1663,File!$A:$J,9,FALSE)</f>
        <v>46330</v>
      </c>
      <c r="J1663" s="31" t="str">
        <f>VLOOKUP(A1663,File!$A:$K,11,FALSE)</f>
        <v>Nov 2026</v>
      </c>
      <c r="K1663" s="31" t="str">
        <f>VLOOKUP(A1663,File!$A:$K,10,FALSE)</f>
        <v>In-Training</v>
      </c>
      <c r="L1663" s="31" t="s">
        <v>4</v>
      </c>
      <c r="M1663" t="str">
        <f>VLOOKUP(A1663,Response!$A:$M,7,)</f>
        <v>PG (Paying Guest)</v>
      </c>
      <c r="N1663" t="str">
        <f>VLOOKUP(A1663,Response!$A:$M,8,)</f>
        <v>Vishvas ladies pg, egattur</v>
      </c>
      <c r="O1663" s="4">
        <f>VLOOKUP(A1663,Response!$A:$M,10,)</f>
        <v>2</v>
      </c>
      <c r="P1663" t="str">
        <f>VLOOKUP(A1663,Response!$A:$M,12,)</f>
        <v>No</v>
      </c>
      <c r="Q1663" t="str">
        <f>VLOOKUP(A1663,Response!$A:$M,11,)</f>
        <v>Siruseri</v>
      </c>
      <c r="R1663" t="s">
        <v>19</v>
      </c>
      <c r="S1663" s="39" t="s">
        <v>37</v>
      </c>
    </row>
    <row r="1664" spans="1:19">
      <c r="A1664" s="3">
        <v>2521177</v>
      </c>
      <c r="B1664" t="str">
        <f>VLOOKUP(A1664,File!$A:$J,2,FALSE)</f>
        <v>Rushikesh Sudhakar Rajmane</v>
      </c>
      <c r="C1664" s="29">
        <f>VLOOKUP(A1664,File!$A:$J,5,FALSE)</f>
        <v>46210</v>
      </c>
      <c r="D1664" s="29" t="str">
        <f>VLOOKUP(A1664,File!$A:$J,3,FALSE)</f>
        <v>Male</v>
      </c>
      <c r="E1664" s="29" t="str">
        <f>VLOOKUP(A1664,File!$A:$J,4,FALSE)</f>
        <v>FTE</v>
      </c>
      <c r="F1664" s="29" t="str">
        <f>VLOOKUP(A1664,File!$A:$J,6,FALSE)</f>
        <v>Chennai</v>
      </c>
      <c r="G1664" s="29" t="str">
        <f>VLOOKUP(A1664,File!$A:$J,7,FALSE)</f>
        <v>CIS26UNIX004</v>
      </c>
      <c r="H1664" s="29" t="str">
        <f>VLOOKUP(A1664,File!$A:$J,8,FALSE)</f>
        <v>Haritha P</v>
      </c>
      <c r="I1664" s="31">
        <f>VLOOKUP(A1664,File!$A:$J,9,FALSE)</f>
        <v>46289</v>
      </c>
      <c r="J1664" s="31" t="str">
        <f>VLOOKUP(A1664,File!$A:$K,11,FALSE)</f>
        <v>Sep 2026</v>
      </c>
      <c r="K1664" s="31" t="str">
        <f>VLOOKUP(A1664,File!$A:$K,10,FALSE)</f>
        <v>In-Training</v>
      </c>
      <c r="L1664" s="31" t="s">
        <v>4</v>
      </c>
      <c r="M1664" t="str">
        <f>VLOOKUP(A1664,Response!$A:$M,7,)</f>
        <v>PG (Paying Guest)</v>
      </c>
      <c r="N1664" t="str">
        <f>VLOOKUP(A1664,Response!$A:$M,8,)</f>
        <v>Vishvas Men PG,Egatture</v>
      </c>
      <c r="O1664" s="4" t="str">
        <f>VLOOKUP(A1664,Response!$A:$M,10,)</f>
        <v>GF</v>
      </c>
      <c r="P1664" t="str">
        <f>VLOOKUP(A1664,Response!$A:$M,12,)</f>
        <v>No</v>
      </c>
      <c r="Q1664" t="str">
        <f>VLOOKUP(A1664,Response!$A:$M,11,)</f>
        <v>Egattur</v>
      </c>
      <c r="R1664" t="s">
        <v>19</v>
      </c>
      <c r="S1664" s="39" t="s">
        <v>37</v>
      </c>
    </row>
    <row r="1665" spans="1:19">
      <c r="A1665" s="3">
        <v>2512346</v>
      </c>
      <c r="B1665" t="str">
        <f>VLOOKUP(A1665,File!$A:$J,2,FALSE)</f>
        <v>Nisath MK</v>
      </c>
      <c r="C1665" s="29">
        <f>VLOOKUP(A1665,File!$A:$J,5,FALSE)</f>
        <v>46170</v>
      </c>
      <c r="D1665" s="29" t="str">
        <f>VLOOKUP(A1665,File!$A:$J,3,FALSE)</f>
        <v>Male</v>
      </c>
      <c r="E1665" s="29" t="str">
        <f>VLOOKUP(A1665,File!$A:$J,4,FALSE)</f>
        <v>FTE</v>
      </c>
      <c r="F1665" s="29" t="str">
        <f>VLOOKUP(A1665,File!$A:$J,6,FALSE)</f>
        <v>Chennai</v>
      </c>
      <c r="G1665" s="29" t="str">
        <f>VLOOKUP(A1665,File!$A:$J,7,FALSE)</f>
        <v>CIS26MCPT011</v>
      </c>
      <c r="H1665" s="29" t="str">
        <f>VLOOKUP(A1665,File!$A:$J,8,FALSE)</f>
        <v>Uma Venkatachalam</v>
      </c>
      <c r="I1665" s="31">
        <f>VLOOKUP(A1665,File!$A:$J,9,FALSE)</f>
        <v>46282</v>
      </c>
      <c r="J1665" s="31" t="str">
        <f>VLOOKUP(A1665,File!$A:$K,11,FALSE)</f>
        <v>Sep 2026</v>
      </c>
      <c r="K1665" s="31" t="str">
        <f>VLOOKUP(A1665,File!$A:$K,10,FALSE)</f>
        <v>In-Training</v>
      </c>
      <c r="L1665" s="31" t="s">
        <v>4</v>
      </c>
      <c r="M1665" t="str">
        <f>VLOOKUP(A1665,Response!$A:$M,7,)</f>
        <v>PG (Paying Guest)</v>
      </c>
      <c r="N1665" t="str">
        <f>VLOOKUP(A1665,Response!$A:$M,8,)</f>
        <v>Vishvas Mens pg</v>
      </c>
      <c r="O1665" s="4">
        <f>VLOOKUP(A1665,Response!$A:$M,10,)</f>
        <v>2</v>
      </c>
      <c r="P1665" t="str">
        <f>VLOOKUP(A1665,Response!$A:$M,12,)</f>
        <v>No</v>
      </c>
      <c r="Q1665" t="str">
        <f>VLOOKUP(A1665,Response!$A:$M,11,)</f>
        <v>Siruseri</v>
      </c>
      <c r="R1665" t="s">
        <v>19</v>
      </c>
      <c r="S1665" s="39" t="s">
        <v>37</v>
      </c>
    </row>
    <row r="1666" spans="1:19">
      <c r="A1666" s="3">
        <v>2512292</v>
      </c>
      <c r="B1666" t="str">
        <f>VLOOKUP(A1666,File!$A:$J,2,FALSE)</f>
        <v>Rushikesh Chetan Dange</v>
      </c>
      <c r="C1666" s="29">
        <f>VLOOKUP(A1666,File!$A:$J,5,FALSE)</f>
        <v>46170</v>
      </c>
      <c r="D1666" s="29" t="str">
        <f>VLOOKUP(A1666,File!$A:$J,3,FALSE)</f>
        <v>Male</v>
      </c>
      <c r="E1666" s="29" t="str">
        <f>VLOOKUP(A1666,File!$A:$J,4,FALSE)</f>
        <v>FTE</v>
      </c>
      <c r="F1666" s="29" t="str">
        <f>VLOOKUP(A1666,File!$A:$J,6,FALSE)</f>
        <v>Chennai</v>
      </c>
      <c r="G1666" s="29" t="str">
        <f>VLOOKUP(A1666,File!$A:$J,7,FALSE)</f>
        <v>CIS26MCPT011</v>
      </c>
      <c r="H1666" s="29" t="str">
        <f>VLOOKUP(A1666,File!$A:$J,8,FALSE)</f>
        <v>Uma Venkatachalam</v>
      </c>
      <c r="I1666" s="31">
        <f>VLOOKUP(A1666,File!$A:$J,9,FALSE)</f>
        <v>46282</v>
      </c>
      <c r="J1666" s="31" t="str">
        <f>VLOOKUP(A1666,File!$A:$K,11,FALSE)</f>
        <v>Sep 2026</v>
      </c>
      <c r="K1666" s="31" t="str">
        <f>VLOOKUP(A1666,File!$A:$K,10,FALSE)</f>
        <v>In-Training</v>
      </c>
      <c r="L1666" s="31" t="s">
        <v>4</v>
      </c>
      <c r="M1666" t="str">
        <f>VLOOKUP(A1666,Response!$A:$M,7,)</f>
        <v>PG (Paying Guest)</v>
      </c>
      <c r="N1666" t="str">
        <f>VLOOKUP(A1666,Response!$A:$M,8,)</f>
        <v>Vishvas mens pg</v>
      </c>
      <c r="O1666" s="4">
        <f>VLOOKUP(A1666,Response!$A:$M,10,)</f>
        <v>3</v>
      </c>
      <c r="P1666" t="str">
        <f>VLOOKUP(A1666,Response!$A:$M,12,)</f>
        <v>No</v>
      </c>
      <c r="Q1666" t="str">
        <f>VLOOKUP(A1666,Response!$A:$M,11,)</f>
        <v>Siruseri</v>
      </c>
      <c r="R1666" t="s">
        <v>19</v>
      </c>
      <c r="S1666" s="39" t="s">
        <v>37</v>
      </c>
    </row>
    <row r="1667" spans="1:19">
      <c r="A1667" s="3">
        <v>2511234</v>
      </c>
      <c r="B1667" t="str">
        <f>VLOOKUP(A1667,File!$A:$J,2,FALSE)</f>
        <v>Sameerullah Shaik</v>
      </c>
      <c r="C1667" s="29">
        <f>VLOOKUP(A1667,File!$A:$J,5,FALSE)</f>
        <v>46163</v>
      </c>
      <c r="D1667" s="29" t="str">
        <f>VLOOKUP(A1667,File!$A:$J,3,FALSE)</f>
        <v>Male</v>
      </c>
      <c r="E1667" s="29" t="str">
        <f>VLOOKUP(A1667,File!$A:$J,4,FALSE)</f>
        <v>FTE</v>
      </c>
      <c r="F1667" s="29" t="str">
        <f>VLOOKUP(A1667,File!$A:$J,6,FALSE)</f>
        <v>Chennai</v>
      </c>
      <c r="G1667" s="29" t="str">
        <f>VLOOKUP(A1667,File!$A:$J,7,FALSE)</f>
        <v>CIS26MCPT010</v>
      </c>
      <c r="H1667" s="29" t="str">
        <f>VLOOKUP(A1667,File!$A:$J,8,FALSE)</f>
        <v>Mohamed Harish</v>
      </c>
      <c r="I1667" s="31">
        <f>VLOOKUP(A1667,File!$A:$J,9,FALSE)</f>
        <v>46275</v>
      </c>
      <c r="J1667" s="31" t="str">
        <f>VLOOKUP(A1667,File!$A:$K,11,FALSE)</f>
        <v>Sep 2026</v>
      </c>
      <c r="K1667" s="31" t="str">
        <f>VLOOKUP(A1667,File!$A:$K,10,FALSE)</f>
        <v>In-Training</v>
      </c>
      <c r="L1667" s="31" t="s">
        <v>4</v>
      </c>
      <c r="M1667" t="str">
        <f>VLOOKUP(A1667,Response!$A:$M,7,)</f>
        <v>PG (Paying Guest)</v>
      </c>
      <c r="N1667" t="str">
        <f>VLOOKUP(A1667,Response!$A:$M,8,)</f>
        <v>Vishvas PG - egattur</v>
      </c>
      <c r="O1667" s="4">
        <f>VLOOKUP(A1667,Response!$A:$M,10,)</f>
        <v>1</v>
      </c>
      <c r="P1667" t="str">
        <f>VLOOKUP(A1667,Response!$A:$M,12,)</f>
        <v>No</v>
      </c>
      <c r="Q1667" t="str">
        <f>VLOOKUP(A1667,Response!$A:$M,11,)</f>
        <v>Egattur</v>
      </c>
      <c r="R1667" t="s">
        <v>19</v>
      </c>
      <c r="S1667" s="39" t="s">
        <v>37</v>
      </c>
    </row>
    <row r="1668" spans="1:19">
      <c r="A1668" s="3">
        <v>2521103</v>
      </c>
      <c r="B1668" t="str">
        <f>VLOOKUP(A1668,File!$A:$J,2,FALSE)</f>
        <v>Naveenkumar M</v>
      </c>
      <c r="C1668" s="29">
        <f>VLOOKUP(A1668,File!$A:$J,5,FALSE)</f>
        <v>46210</v>
      </c>
      <c r="D1668" s="29" t="str">
        <f>VLOOKUP(A1668,File!$A:$J,3,FALSE)</f>
        <v>Male</v>
      </c>
      <c r="E1668" s="29" t="str">
        <f>VLOOKUP(A1668,File!$A:$J,4,FALSE)</f>
        <v>FTE</v>
      </c>
      <c r="F1668" s="29" t="str">
        <f>VLOOKUP(A1668,File!$A:$J,6,FALSE)</f>
        <v>Chennai</v>
      </c>
      <c r="G1668" s="29" t="str">
        <f>VLOOKUP(A1668,File!$A:$J,7,FALSE)</f>
        <v>CS26CS007</v>
      </c>
      <c r="H1668" s="29" t="str">
        <f>VLOOKUP(A1668,File!$A:$J,8,FALSE)</f>
        <v>Lawrance M</v>
      </c>
      <c r="I1668" s="31">
        <f>VLOOKUP(A1668,File!$A:$J,9,FALSE)</f>
        <v>46272</v>
      </c>
      <c r="J1668" s="31" t="str">
        <f>VLOOKUP(A1668,File!$A:$K,11,FALSE)</f>
        <v>Sep 2026</v>
      </c>
      <c r="K1668" s="31" t="str">
        <f>VLOOKUP(A1668,File!$A:$K,10,FALSE)</f>
        <v>In-Training</v>
      </c>
      <c r="L1668" s="31" t="s">
        <v>4</v>
      </c>
      <c r="M1668" t="str">
        <f>VLOOKUP(A1668,Response!$A:$M,7,)</f>
        <v>PG (Paying Guest)</v>
      </c>
      <c r="N1668" t="str">
        <f>VLOOKUP(A1668,Response!$A:$M,8,)</f>
        <v>Vishvas pg &amp; general appartments</v>
      </c>
      <c r="O1668" s="4">
        <f>VLOOKUP(A1668,Response!$A:$M,10,)</f>
        <v>4</v>
      </c>
      <c r="P1668" t="str">
        <f>VLOOKUP(A1668,Response!$A:$M,12,)</f>
        <v>No</v>
      </c>
      <c r="Q1668" t="str">
        <f>VLOOKUP(A1668,Response!$A:$M,11,)</f>
        <v>Egattur</v>
      </c>
      <c r="R1668" t="s">
        <v>19</v>
      </c>
      <c r="S1668" s="39" t="s">
        <v>37</v>
      </c>
    </row>
    <row r="1669" spans="1:19">
      <c r="A1669" s="3">
        <v>2529520</v>
      </c>
      <c r="B1669" t="str">
        <f>VLOOKUP(A1669,File!$A:$J,2,FALSE)</f>
        <v>Suyash Shailesh Tiwari</v>
      </c>
      <c r="C1669" s="29">
        <f>VLOOKUP(A1669,File!$A:$J,5,FALSE)</f>
        <v>46245</v>
      </c>
      <c r="D1669" s="29" t="str">
        <f>VLOOKUP(A1669,File!$A:$J,3,FALSE)</f>
        <v>Male</v>
      </c>
      <c r="E1669" s="29" t="str">
        <f>VLOOKUP(A1669,File!$A:$J,4,FALSE)</f>
        <v>FTE</v>
      </c>
      <c r="F1669" s="29" t="str">
        <f>VLOOKUP(A1669,File!$A:$J,6,FALSE)</f>
        <v>Chennai</v>
      </c>
      <c r="G1669" s="29" t="str">
        <f>VLOOKUP(A1669,File!$A:$J,7,FALSE)</f>
        <v>CIS26MCPT023</v>
      </c>
      <c r="H1669" s="29" t="str">
        <f>VLOOKUP(A1669,File!$A:$J,8,FALSE)</f>
        <v>Kishorekumar P</v>
      </c>
      <c r="I1669" s="31">
        <f>VLOOKUP(A1669,File!$A:$J,9,FALSE)</f>
        <v>46359</v>
      </c>
      <c r="J1669" s="31" t="str">
        <f>VLOOKUP(A1669,File!$A:$K,11,FALSE)</f>
        <v>Dec 2026</v>
      </c>
      <c r="K1669" s="31" t="str">
        <f>VLOOKUP(A1669,File!$A:$K,10,FALSE)</f>
        <v>In-Training</v>
      </c>
      <c r="L1669" s="31" t="s">
        <v>4</v>
      </c>
      <c r="M1669" t="str">
        <f>VLOOKUP(A1669,Response!$A:$M,7,)</f>
        <v>PG (Paying Guest)</v>
      </c>
      <c r="N1669" t="str">
        <f>VLOOKUP(A1669,Response!$A:$M,8,)</f>
        <v>Vishvas pg &amp; general appartments</v>
      </c>
      <c r="O1669" s="4">
        <f>VLOOKUP(A1669,Response!$A:$M,10,)</f>
        <v>4</v>
      </c>
      <c r="P1669" t="str">
        <f>VLOOKUP(A1669,Response!$A:$M,12,)</f>
        <v>No</v>
      </c>
      <c r="Q1669" t="str">
        <f>VLOOKUP(A1669,Response!$A:$M,11,)</f>
        <v>Siruseri</v>
      </c>
      <c r="R1669" t="s">
        <v>19</v>
      </c>
      <c r="S1669" s="39" t="s">
        <v>37</v>
      </c>
    </row>
    <row r="1670" spans="1:19">
      <c r="A1670" s="3">
        <v>2524475</v>
      </c>
      <c r="B1670" t="str">
        <f>VLOOKUP(A1670,File!$A:$J,2,FALSE)</f>
        <v>Santosh Basappa Tanvashi</v>
      </c>
      <c r="C1670" s="29">
        <f>VLOOKUP(A1670,File!$A:$J,5,FALSE)</f>
        <v>46224</v>
      </c>
      <c r="D1670" s="29" t="str">
        <f>VLOOKUP(A1670,File!$A:$J,3,FALSE)</f>
        <v>Male</v>
      </c>
      <c r="E1670" s="29" t="str">
        <f>VLOOKUP(A1670,File!$A:$J,4,FALSE)</f>
        <v>FTE</v>
      </c>
      <c r="F1670" s="29" t="str">
        <f>VLOOKUP(A1670,File!$A:$J,6,FALSE)</f>
        <v>Chennai</v>
      </c>
      <c r="G1670" s="29" t="str">
        <f>VLOOKUP(A1670,File!$A:$J,7,FALSE)</f>
        <v>ADM26MF012</v>
      </c>
      <c r="H1670" s="29" t="str">
        <f>VLOOKUP(A1670,File!$A:$J,8,FALSE)</f>
        <v>Lourdhu Selvin Raj X</v>
      </c>
      <c r="I1670" s="31">
        <f>VLOOKUP(A1670,File!$A:$J,9,FALSE)</f>
        <v>46343</v>
      </c>
      <c r="J1670" s="31" t="str">
        <f>VLOOKUP(A1670,File!$A:$K,11,FALSE)</f>
        <v>Nov 2026</v>
      </c>
      <c r="K1670" s="31" t="str">
        <f>VLOOKUP(A1670,File!$A:$K,10,FALSE)</f>
        <v>In-Training</v>
      </c>
      <c r="L1670" s="31" t="s">
        <v>4</v>
      </c>
      <c r="M1670" t="str">
        <f>VLOOKUP(A1670,Response!$A:$M,7,)</f>
        <v>PG (Paying Guest)</v>
      </c>
      <c r="N1670" t="str">
        <f>VLOOKUP(A1670,Response!$A:$M,8,)</f>
        <v>Vishvas PG &amp; General appartments- Egatttur</v>
      </c>
      <c r="O1670" s="4">
        <f>VLOOKUP(A1670,Response!$A:$M,10,)</f>
        <v>2</v>
      </c>
      <c r="P1670" t="str">
        <f>VLOOKUP(A1670,Response!$A:$M,12,)</f>
        <v>No</v>
      </c>
      <c r="Q1670" t="str">
        <f>VLOOKUP(A1670,Response!$A:$M,11,)</f>
        <v>Egattur</v>
      </c>
      <c r="R1670" t="s">
        <v>19</v>
      </c>
      <c r="S1670" s="39" t="s">
        <v>37</v>
      </c>
    </row>
    <row r="1671" spans="1:19">
      <c r="A1671" s="3">
        <v>2529519</v>
      </c>
      <c r="B1671" t="str">
        <f>VLOOKUP(A1671,File!$A:$J,2,FALSE)</f>
        <v>Elayaraj C</v>
      </c>
      <c r="C1671" s="29">
        <f>VLOOKUP(A1671,File!$A:$J,5,FALSE)</f>
        <v>46245</v>
      </c>
      <c r="D1671" s="29" t="str">
        <f>VLOOKUP(A1671,File!$A:$J,3,FALSE)</f>
        <v>Male</v>
      </c>
      <c r="E1671" s="29" t="str">
        <f>VLOOKUP(A1671,File!$A:$J,4,FALSE)</f>
        <v>FTE</v>
      </c>
      <c r="F1671" s="29" t="str">
        <f>VLOOKUP(A1671,File!$A:$J,6,FALSE)</f>
        <v>Chennai</v>
      </c>
      <c r="G1671" s="29" t="str">
        <f>VLOOKUP(A1671,File!$A:$J,7,FALSE)</f>
        <v>CIS26MCPT024</v>
      </c>
      <c r="H1671" s="29" t="str">
        <f>VLOOKUP(A1671,File!$A:$J,8,FALSE)</f>
        <v>Ashiya Begam S</v>
      </c>
      <c r="I1671" s="31">
        <f>VLOOKUP(A1671,File!$A:$J,9,FALSE)</f>
        <v>46359</v>
      </c>
      <c r="J1671" s="31" t="str">
        <f>VLOOKUP(A1671,File!$A:$K,11,FALSE)</f>
        <v>Dec 2026</v>
      </c>
      <c r="K1671" s="31" t="str">
        <f>VLOOKUP(A1671,File!$A:$K,10,FALSE)</f>
        <v>In-Training</v>
      </c>
      <c r="L1671" s="31" t="s">
        <v>4</v>
      </c>
      <c r="M1671" t="str">
        <f>VLOOKUP(A1671,Response!$A:$M,7,)</f>
        <v>PG (Paying Guest)</v>
      </c>
      <c r="N1671" t="str">
        <f>VLOOKUP(A1671,Response!$A:$M,8,)</f>
        <v>Vishvas pg &amp; general appartments SIPCOT IT Park, city park layout, Third Cross Road, Egattur, Tamil Nadu 603103</v>
      </c>
      <c r="O1671" s="4">
        <f>VLOOKUP(A1671,Response!$A:$M,10,)</f>
        <v>1</v>
      </c>
      <c r="P1671" t="str">
        <f>VLOOKUP(A1671,Response!$A:$M,12,)</f>
        <v>No</v>
      </c>
      <c r="Q1671" t="str">
        <f>VLOOKUP(A1671,Response!$A:$M,11,)</f>
        <v>Siruseri</v>
      </c>
      <c r="R1671" t="s">
        <v>19</v>
      </c>
      <c r="S1671" s="39" t="s">
        <v>37</v>
      </c>
    </row>
    <row r="1672" spans="1:19">
      <c r="A1672" s="3">
        <v>2529527</v>
      </c>
      <c r="B1672" t="str">
        <f>VLOOKUP(A1672,File!$A:$J,2,FALSE)</f>
        <v>Rohan Bapusaheb Pabale</v>
      </c>
      <c r="C1672" s="29">
        <f>VLOOKUP(A1672,File!$A:$J,5,FALSE)</f>
        <v>46245</v>
      </c>
      <c r="D1672" s="29" t="str">
        <f>VLOOKUP(A1672,File!$A:$J,3,FALSE)</f>
        <v>Male</v>
      </c>
      <c r="E1672" s="29" t="str">
        <f>VLOOKUP(A1672,File!$A:$J,4,FALSE)</f>
        <v>FTE</v>
      </c>
      <c r="F1672" s="29" t="str">
        <f>VLOOKUP(A1672,File!$A:$J,6,FALSE)</f>
        <v>Chennai</v>
      </c>
      <c r="G1672" s="29" t="str">
        <f>VLOOKUP(A1672,File!$A:$J,7,FALSE)</f>
        <v>CIS26MCPT025</v>
      </c>
      <c r="H1672" s="29" t="str">
        <f>VLOOKUP(A1672,File!$A:$J,8,FALSE)</f>
        <v>Vignesh S</v>
      </c>
      <c r="I1672" s="31">
        <f>VLOOKUP(A1672,File!$A:$J,9,FALSE)</f>
        <v>46359</v>
      </c>
      <c r="J1672" s="31" t="str">
        <f>VLOOKUP(A1672,File!$A:$K,11,FALSE)</f>
        <v>Dec 2026</v>
      </c>
      <c r="K1672" s="31" t="str">
        <f>VLOOKUP(A1672,File!$A:$K,10,FALSE)</f>
        <v>In-Training</v>
      </c>
      <c r="L1672" s="31" t="s">
        <v>4</v>
      </c>
      <c r="M1672" t="str">
        <f>VLOOKUP(A1672,Response!$A:$M,7,)</f>
        <v>PG (Paying Guest)</v>
      </c>
      <c r="N1672" t="str">
        <f>VLOOKUP(A1672,Response!$A:$M,8,)</f>
        <v>Vishvas pg &amp; general appartments, SIPCOT IT Park.</v>
      </c>
      <c r="O1672" s="4">
        <f>VLOOKUP(A1672,Response!$A:$M,10,)</f>
        <v>3</v>
      </c>
      <c r="P1672" t="str">
        <f>VLOOKUP(A1672,Response!$A:$M,12,)</f>
        <v>No</v>
      </c>
      <c r="Q1672" t="str">
        <f>VLOOKUP(A1672,Response!$A:$M,11,)</f>
        <v>Egattur</v>
      </c>
      <c r="R1672" t="s">
        <v>19</v>
      </c>
      <c r="S1672" s="39" t="s">
        <v>37</v>
      </c>
    </row>
    <row r="1673" spans="1:19">
      <c r="A1673" s="3">
        <v>2521835</v>
      </c>
      <c r="B1673" t="str">
        <f>VLOOKUP(A1673,File!$A:$J,2,FALSE)</f>
        <v>Harshivpranav R S</v>
      </c>
      <c r="C1673" s="29">
        <f>VLOOKUP(A1673,File!$A:$J,5,FALSE)</f>
        <v>46212</v>
      </c>
      <c r="D1673" s="29" t="str">
        <f>VLOOKUP(A1673,File!$A:$J,3,FALSE)</f>
        <v>Male</v>
      </c>
      <c r="E1673" s="29" t="str">
        <f>VLOOKUP(A1673,File!$A:$J,4,FALSE)</f>
        <v>FTE</v>
      </c>
      <c r="F1673" s="29" t="str">
        <f>VLOOKUP(A1673,File!$A:$J,6,FALSE)</f>
        <v>Chennai</v>
      </c>
      <c r="G1673" s="29" t="str">
        <f>VLOOKUP(A1673,File!$A:$J,7,FALSE)</f>
        <v>QEA26NFTPA001</v>
      </c>
      <c r="H1673" s="29" t="str">
        <f>VLOOKUP(A1673,File!$A:$J,8,FALSE)</f>
        <v>Lourdhu Selvin Raj X</v>
      </c>
      <c r="I1673" s="31">
        <f>VLOOKUP(A1673,File!$A:$J,9,FALSE)</f>
        <v>46337</v>
      </c>
      <c r="J1673" s="31" t="str">
        <f>VLOOKUP(A1673,File!$A:$K,11,FALSE)</f>
        <v>Nov 2026</v>
      </c>
      <c r="K1673" s="31" t="str">
        <f>VLOOKUP(A1673,File!$A:$K,10,FALSE)</f>
        <v>In-Training</v>
      </c>
      <c r="L1673" s="31" t="s">
        <v>4</v>
      </c>
      <c r="M1673" t="str">
        <f>VLOOKUP(A1673,Response!$A:$M,7,)</f>
        <v>PG (Paying Guest)</v>
      </c>
      <c r="N1673" t="str">
        <f>VLOOKUP(A1673,Response!$A:$M,8,)</f>
        <v>Vishvas Pg and General Apartments , SIPCOT</v>
      </c>
      <c r="O1673" s="4">
        <f>VLOOKUP(A1673,Response!$A:$M,10,)</f>
        <v>4</v>
      </c>
      <c r="P1673" t="str">
        <f>VLOOKUP(A1673,Response!$A:$M,12,)</f>
        <v>No</v>
      </c>
      <c r="Q1673" t="str">
        <f>VLOOKUP(A1673,Response!$A:$M,11,)</f>
        <v>Siruseri</v>
      </c>
      <c r="R1673" t="s">
        <v>19</v>
      </c>
      <c r="S1673" s="39" t="s">
        <v>37</v>
      </c>
    </row>
    <row r="1674" spans="1:19">
      <c r="A1674" s="3">
        <v>2531817</v>
      </c>
      <c r="B1674" t="str">
        <f>VLOOKUP(A1674,File!$A:$J,2,FALSE)</f>
        <v>Devika Sobana Raj Valsala Kumary</v>
      </c>
      <c r="C1674" s="29">
        <f>VLOOKUP(A1674,File!$A:$J,5,FALSE)</f>
        <v>46254</v>
      </c>
      <c r="D1674" s="29" t="str">
        <f>VLOOKUP(A1674,File!$A:$J,3,FALSE)</f>
        <v>Female</v>
      </c>
      <c r="E1674" s="29" t="str">
        <f>VLOOKUP(A1674,File!$A:$J,4,FALSE)</f>
        <v>FTE</v>
      </c>
      <c r="F1674" s="29" t="str">
        <f>VLOOKUP(A1674,File!$A:$J,6,FALSE)</f>
        <v>Chennai</v>
      </c>
      <c r="G1674" s="29" t="str">
        <f>VLOOKUP(A1674,File!$A:$J,7,FALSE)</f>
        <v>EPS26OSP011</v>
      </c>
      <c r="H1674" s="29" t="str">
        <f>VLOOKUP(A1674,File!$A:$J,8,FALSE)</f>
        <v>Gayathri Ramachandran</v>
      </c>
      <c r="I1674" s="31" t="str">
        <f>VLOOKUP(A1674,File!$A:$J,9,FALSE)</f>
        <v/>
      </c>
      <c r="J1674" s="44" t="s">
        <v>33</v>
      </c>
      <c r="K1674" s="31" t="str">
        <f>VLOOKUP(A1674,File!$A:$K,10,FALSE)</f>
        <v>Training - ON Hold</v>
      </c>
      <c r="L1674" s="31" t="s">
        <v>4</v>
      </c>
      <c r="M1674" t="str">
        <f>VLOOKUP(A1674,Response!$A:$M,7,)</f>
        <v>PG (Paying Guest)</v>
      </c>
      <c r="N1674" t="str">
        <f>VLOOKUP(A1674,Response!$A:$M,8,)</f>
        <v>Vishvas PG(Ladies)</v>
      </c>
      <c r="O1674" s="4">
        <f>VLOOKUP(A1674,Response!$A:$M,10,)</f>
        <v>3</v>
      </c>
      <c r="P1674" t="str">
        <f>VLOOKUP(A1674,Response!$A:$M,12,)</f>
        <v>Yes</v>
      </c>
      <c r="Q1674" t="str">
        <f>VLOOKUP(A1674,Response!$A:$M,11,)</f>
        <v>Siruseri</v>
      </c>
      <c r="R1674" t="s">
        <v>19</v>
      </c>
      <c r="S1674" s="39" t="s">
        <v>37</v>
      </c>
    </row>
    <row r="1675" spans="1:19">
      <c r="A1675" s="3">
        <v>2530202</v>
      </c>
      <c r="B1675" t="str">
        <f>VLOOKUP(A1675,File!$A:$J,2,FALSE)</f>
        <v>Tharun B</v>
      </c>
      <c r="C1675" s="29">
        <f>VLOOKUP(A1675,File!$A:$J,5,FALSE)</f>
        <v>46247</v>
      </c>
      <c r="D1675" s="29" t="str">
        <f>VLOOKUP(A1675,File!$A:$J,3,FALSE)</f>
        <v>Male</v>
      </c>
      <c r="E1675" s="29" t="str">
        <f>VLOOKUP(A1675,File!$A:$J,4,FALSE)</f>
        <v>FTE</v>
      </c>
      <c r="F1675" s="29" t="str">
        <f>VLOOKUP(A1675,File!$A:$J,6,FALSE)</f>
        <v>Chennai</v>
      </c>
      <c r="G1675" s="29" t="str">
        <f>VLOOKUP(A1675,File!$A:$J,7,FALSE)</f>
        <v>EPS26OSP010</v>
      </c>
      <c r="H1675" s="29" t="str">
        <f>VLOOKUP(A1675,File!$A:$J,8,FALSE)</f>
        <v>Vishnupriya Dakshnamurthy</v>
      </c>
      <c r="I1675" s="31">
        <f>VLOOKUP(A1675,File!$A:$J,9,FALSE)</f>
        <v>46357</v>
      </c>
      <c r="J1675" s="31" t="str">
        <f>VLOOKUP(A1675,File!$A:$K,11,FALSE)</f>
        <v>Dec 2026</v>
      </c>
      <c r="K1675" s="31" t="str">
        <f>VLOOKUP(A1675,File!$A:$K,10,FALSE)</f>
        <v>In-Training</v>
      </c>
      <c r="L1675" s="31" t="s">
        <v>4</v>
      </c>
      <c r="M1675" t="str">
        <f>VLOOKUP(A1675,Response!$A:$M,7,)</f>
        <v>PG (Paying Guest)</v>
      </c>
      <c r="N1675" t="str">
        <f>VLOOKUP(A1675,Response!$A:$M,8,)</f>
        <v>vishvas pg, egattur</v>
      </c>
      <c r="O1675" s="4">
        <f>VLOOKUP(A1675,Response!$A:$M,10,)</f>
        <v>1</v>
      </c>
      <c r="P1675" t="str">
        <f>VLOOKUP(A1675,Response!$A:$M,12,)</f>
        <v>Yes</v>
      </c>
      <c r="Q1675" t="str">
        <f>VLOOKUP(A1675,Response!$A:$M,11,)</f>
        <v>Egattur</v>
      </c>
      <c r="R1675" t="s">
        <v>19</v>
      </c>
      <c r="S1675" s="39" t="s">
        <v>37</v>
      </c>
    </row>
    <row r="1676" spans="1:19">
      <c r="A1676" s="3">
        <v>2521806</v>
      </c>
      <c r="B1676" t="str">
        <f>VLOOKUP(A1676,File!$A:$J,2,FALSE)</f>
        <v>Kamal Kishore S</v>
      </c>
      <c r="C1676" s="29">
        <f>VLOOKUP(A1676,File!$A:$J,5,FALSE)</f>
        <v>46212</v>
      </c>
      <c r="D1676" s="29" t="str">
        <f>VLOOKUP(A1676,File!$A:$J,3,FALSE)</f>
        <v>Male</v>
      </c>
      <c r="E1676" s="29" t="str">
        <f>VLOOKUP(A1676,File!$A:$J,4,FALSE)</f>
        <v>FTE</v>
      </c>
      <c r="F1676" s="29" t="str">
        <f>VLOOKUP(A1676,File!$A:$J,6,FALSE)</f>
        <v>Chennai</v>
      </c>
      <c r="G1676" s="29" t="str">
        <f>VLOOKUP(A1676,File!$A:$J,7,FALSE)</f>
        <v>ADM26DNAT003</v>
      </c>
      <c r="H1676" s="29" t="str">
        <f>VLOOKUP(A1676,File!$A:$J,8,FALSE)</f>
        <v>Athira P</v>
      </c>
      <c r="I1676" s="31">
        <f>VLOOKUP(A1676,File!$A:$J,9,FALSE)</f>
        <v>46318</v>
      </c>
      <c r="J1676" s="31" t="str">
        <f>VLOOKUP(A1676,File!$A:$K,11,FALSE)</f>
        <v>Oct 2026</v>
      </c>
      <c r="K1676" s="31" t="str">
        <f>VLOOKUP(A1676,File!$A:$K,10,FALSE)</f>
        <v>In-Training</v>
      </c>
      <c r="L1676" s="31" t="s">
        <v>4</v>
      </c>
      <c r="M1676" t="str">
        <f>VLOOKUP(A1676,Response!$A:$M,7,)</f>
        <v>PG (Paying Guest)</v>
      </c>
      <c r="N1676" t="str">
        <f>VLOOKUP(A1676,Response!$A:$M,8,)</f>
        <v>Vishvas Professional PG</v>
      </c>
      <c r="O1676" s="4">
        <f>VLOOKUP(A1676,Response!$A:$M,10,)</f>
        <v>2</v>
      </c>
      <c r="P1676" t="str">
        <f>VLOOKUP(A1676,Response!$A:$M,12,)</f>
        <v>No</v>
      </c>
      <c r="Q1676" t="str">
        <f>VLOOKUP(A1676,Response!$A:$M,11,)</f>
        <v>Siruseri</v>
      </c>
      <c r="R1676" t="s">
        <v>19</v>
      </c>
      <c r="S1676" s="39" t="s">
        <v>37</v>
      </c>
    </row>
    <row r="1677" spans="1:19">
      <c r="A1677" s="3">
        <v>2512338</v>
      </c>
      <c r="B1677" t="str">
        <f>VLOOKUP(A1677,File!$A:$J,2,FALSE)</f>
        <v>Apsar H</v>
      </c>
      <c r="C1677" s="29">
        <f>VLOOKUP(A1677,File!$A:$J,5,FALSE)</f>
        <v>46170</v>
      </c>
      <c r="D1677" s="29" t="str">
        <f>VLOOKUP(A1677,File!$A:$J,3,FALSE)</f>
        <v>Male</v>
      </c>
      <c r="E1677" s="29" t="str">
        <f>VLOOKUP(A1677,File!$A:$J,4,FALSE)</f>
        <v>FTE</v>
      </c>
      <c r="F1677" s="29" t="str">
        <f>VLOOKUP(A1677,File!$A:$J,6,FALSE)</f>
        <v>Chennai</v>
      </c>
      <c r="G1677" s="29" t="str">
        <f>VLOOKUP(A1677,File!$A:$J,7,FALSE)</f>
        <v>CIS26MCPT011</v>
      </c>
      <c r="H1677" s="29" t="str">
        <f>VLOOKUP(A1677,File!$A:$J,8,FALSE)</f>
        <v>Uma Venkatachalam</v>
      </c>
      <c r="I1677" s="31">
        <f>VLOOKUP(A1677,File!$A:$J,9,FALSE)</f>
        <v>46282</v>
      </c>
      <c r="J1677" s="31" t="str">
        <f>VLOOKUP(A1677,File!$A:$K,11,FALSE)</f>
        <v>Sep 2026</v>
      </c>
      <c r="K1677" s="31" t="str">
        <f>VLOOKUP(A1677,File!$A:$K,10,FALSE)</f>
        <v>In-Training</v>
      </c>
      <c r="L1677" s="31" t="s">
        <v>4</v>
      </c>
      <c r="M1677" t="str">
        <f>VLOOKUP(A1677,Response!$A:$M,7,)</f>
        <v>PG (Paying Guest)</v>
      </c>
      <c r="N1677" t="str">
        <f>VLOOKUP(A1677,Response!$A:$M,8,)</f>
        <v>Vishvas professional stay mens PG</v>
      </c>
      <c r="O1677" s="4">
        <f>VLOOKUP(A1677,Response!$A:$M,10,)</f>
        <v>2</v>
      </c>
      <c r="P1677" t="str">
        <f>VLOOKUP(A1677,Response!$A:$M,12,)</f>
        <v>Yes</v>
      </c>
      <c r="Q1677" t="str">
        <f>VLOOKUP(A1677,Response!$A:$M,11,)</f>
        <v>Siruseri</v>
      </c>
      <c r="R1677" t="s">
        <v>19</v>
      </c>
      <c r="S1677" s="39" t="s">
        <v>37</v>
      </c>
    </row>
    <row r="1678" spans="1:19">
      <c r="A1678" s="3">
        <v>2512353</v>
      </c>
      <c r="B1678" t="str">
        <f>VLOOKUP(A1678,File!$A:$J,2,FALSE)</f>
        <v>Rohanhinderjith G</v>
      </c>
      <c r="C1678" s="29">
        <f>VLOOKUP(A1678,File!$A:$J,5,FALSE)</f>
        <v>46170</v>
      </c>
      <c r="D1678" s="29" t="str">
        <f>VLOOKUP(A1678,File!$A:$J,3,FALSE)</f>
        <v>Male</v>
      </c>
      <c r="E1678" s="29" t="str">
        <f>VLOOKUP(A1678,File!$A:$J,4,FALSE)</f>
        <v>FTE</v>
      </c>
      <c r="F1678" s="29" t="str">
        <f>VLOOKUP(A1678,File!$A:$J,6,FALSE)</f>
        <v>Chennai</v>
      </c>
      <c r="G1678" s="29" t="str">
        <f>VLOOKUP(A1678,File!$A:$J,7,FALSE)</f>
        <v>CIS26MCPT012</v>
      </c>
      <c r="H1678" s="29" t="str">
        <f>VLOOKUP(A1678,File!$A:$J,8,FALSE)</f>
        <v>Uma Venkatachalam</v>
      </c>
      <c r="I1678" s="31">
        <f>VLOOKUP(A1678,File!$A:$J,9,FALSE)</f>
        <v>46282</v>
      </c>
      <c r="J1678" s="31" t="str">
        <f>VLOOKUP(A1678,File!$A:$K,11,FALSE)</f>
        <v>Sep 2026</v>
      </c>
      <c r="K1678" s="31" t="str">
        <f>VLOOKUP(A1678,File!$A:$K,10,FALSE)</f>
        <v>In-Training</v>
      </c>
      <c r="L1678" s="31" t="s">
        <v>4</v>
      </c>
      <c r="M1678" t="str">
        <f>VLOOKUP(A1678,Response!$A:$M,7,)</f>
        <v>PG (Paying Guest)</v>
      </c>
      <c r="N1678" t="str">
        <f>VLOOKUP(A1678,Response!$A:$M,8,)</f>
        <v>vishvas professional stays</v>
      </c>
      <c r="O1678" s="4">
        <f>VLOOKUP(A1678,Response!$A:$M,10,)</f>
        <v>2</v>
      </c>
      <c r="P1678" t="str">
        <f>VLOOKUP(A1678,Response!$A:$M,12,)</f>
        <v>No</v>
      </c>
      <c r="Q1678" t="str">
        <f>VLOOKUP(A1678,Response!$A:$M,11,)</f>
        <v>Siruseri</v>
      </c>
      <c r="R1678" t="s">
        <v>19</v>
      </c>
      <c r="S1678" s="39" t="s">
        <v>37</v>
      </c>
    </row>
    <row r="1679" spans="1:19">
      <c r="A1679" s="3">
        <v>2521098</v>
      </c>
      <c r="B1679" t="str">
        <f>VLOOKUP(A1679,File!$A:$J,2,FALSE)</f>
        <v>Vishwangar R</v>
      </c>
      <c r="C1679" s="29">
        <f>VLOOKUP(A1679,File!$A:$J,5,FALSE)</f>
        <v>46210</v>
      </c>
      <c r="D1679" s="29" t="str">
        <f>VLOOKUP(A1679,File!$A:$J,3,FALSE)</f>
        <v>Male</v>
      </c>
      <c r="E1679" s="29" t="str">
        <f>VLOOKUP(A1679,File!$A:$J,4,FALSE)</f>
        <v>FTE</v>
      </c>
      <c r="F1679" s="29" t="str">
        <f>VLOOKUP(A1679,File!$A:$J,6,FALSE)</f>
        <v>Chennai</v>
      </c>
      <c r="G1679" s="29" t="str">
        <f>VLOOKUP(A1679,File!$A:$J,7,FALSE)</f>
        <v>CIS26SN001</v>
      </c>
      <c r="H1679" s="29" t="str">
        <f>VLOOKUP(A1679,File!$A:$J,8,FALSE)</f>
        <v>Ashiya Begam S</v>
      </c>
      <c r="I1679" s="31">
        <f>VLOOKUP(A1679,File!$A:$J,9,FALSE)</f>
        <v>46281</v>
      </c>
      <c r="J1679" s="31" t="str">
        <f>VLOOKUP(A1679,File!$A:$K,11,FALSE)</f>
        <v>Sep 2026</v>
      </c>
      <c r="K1679" s="31" t="str">
        <f>VLOOKUP(A1679,File!$A:$K,10,FALSE)</f>
        <v>In-Training</v>
      </c>
      <c r="L1679" s="31" t="s">
        <v>4</v>
      </c>
      <c r="M1679" t="str">
        <f>VLOOKUP(A1679,Response!$A:$M,7,)</f>
        <v>PG (Paying Guest)</v>
      </c>
      <c r="N1679" t="str">
        <f>VLOOKUP(A1679,Response!$A:$M,8,)</f>
        <v>Vishvas Professional Stays</v>
      </c>
      <c r="O1679" s="4">
        <f>VLOOKUP(A1679,Response!$A:$M,10,)</f>
        <v>4</v>
      </c>
      <c r="P1679" t="str">
        <f>VLOOKUP(A1679,Response!$A:$M,12,)</f>
        <v>No</v>
      </c>
      <c r="Q1679" t="str">
        <f>VLOOKUP(A1679,Response!$A:$M,11,)</f>
        <v>Egattur</v>
      </c>
      <c r="R1679" t="s">
        <v>19</v>
      </c>
      <c r="S1679" s="39" t="s">
        <v>37</v>
      </c>
    </row>
    <row r="1680" spans="1:19">
      <c r="A1680" s="3">
        <v>2530134</v>
      </c>
      <c r="B1680" t="str">
        <f>VLOOKUP(A1680,File!$A:$J,2,FALSE)</f>
        <v>Arbaj Noushad Jamadar</v>
      </c>
      <c r="C1680" s="29">
        <f>VLOOKUP(A1680,File!$A:$J,5,FALSE)</f>
        <v>46247</v>
      </c>
      <c r="D1680" s="29" t="str">
        <f>VLOOKUP(A1680,File!$A:$J,3,FALSE)</f>
        <v>Male</v>
      </c>
      <c r="E1680" s="29" t="str">
        <f>VLOOKUP(A1680,File!$A:$J,4,FALSE)</f>
        <v>FTE</v>
      </c>
      <c r="F1680" s="29" t="str">
        <f>VLOOKUP(A1680,File!$A:$J,6,FALSE)</f>
        <v>Chennai</v>
      </c>
      <c r="G1680" s="29" t="str">
        <f>VLOOKUP(A1680,File!$A:$J,7,FALSE)</f>
        <v>EPS26SAP034</v>
      </c>
      <c r="H1680" s="29" t="str">
        <f>VLOOKUP(A1680,File!$A:$J,8,FALSE)</f>
        <v>Gayathri Ramachandran</v>
      </c>
      <c r="I1680" s="31">
        <f>VLOOKUP(A1680,File!$A:$J,9,FALSE)</f>
        <v>46331</v>
      </c>
      <c r="J1680" s="31" t="str">
        <f>VLOOKUP(A1680,File!$A:$K,11,FALSE)</f>
        <v>Nov 2026</v>
      </c>
      <c r="K1680" s="31" t="str">
        <f>VLOOKUP(A1680,File!$A:$K,10,FALSE)</f>
        <v>In-Training</v>
      </c>
      <c r="L1680" s="31" t="s">
        <v>4</v>
      </c>
      <c r="M1680" t="str">
        <f>VLOOKUP(A1680,Response!$A:$M,7,)</f>
        <v>PG (Paying Guest)</v>
      </c>
      <c r="N1680" t="str">
        <f>VLOOKUP(A1680,Response!$A:$M,8,)</f>
        <v>Vishvas professional stays - Muthaiya Apartment (MF)</v>
      </c>
      <c r="O1680" s="4">
        <f>VLOOKUP(A1680,Response!$A:$M,10,)</f>
        <v>1</v>
      </c>
      <c r="P1680" t="str">
        <f>VLOOKUP(A1680,Response!$A:$M,12,)</f>
        <v>No</v>
      </c>
      <c r="Q1680" t="str">
        <f>VLOOKUP(A1680,Response!$A:$M,11,)</f>
        <v>Egattur</v>
      </c>
      <c r="R1680" t="s">
        <v>19</v>
      </c>
      <c r="S1680" s="39" t="s">
        <v>37</v>
      </c>
    </row>
    <row r="1681" spans="1:19">
      <c r="A1681" s="3">
        <v>2521632</v>
      </c>
      <c r="B1681" t="str">
        <f>VLOOKUP(A1681,File!$A:$J,2,FALSE)</f>
        <v>Kunal Gupta</v>
      </c>
      <c r="C1681" s="29">
        <f>VLOOKUP(A1681,File!$A:$J,5,FALSE)</f>
        <v>46212</v>
      </c>
      <c r="D1681" s="29" t="str">
        <f>VLOOKUP(A1681,File!$A:$J,3,FALSE)</f>
        <v>Male</v>
      </c>
      <c r="E1681" s="29" t="str">
        <f>VLOOKUP(A1681,File!$A:$J,4,FALSE)</f>
        <v>FTE</v>
      </c>
      <c r="F1681" s="29" t="str">
        <f>VLOOKUP(A1681,File!$A:$J,6,FALSE)</f>
        <v>Chennai</v>
      </c>
      <c r="G1681" s="29" t="str">
        <f>VLOOKUP(A1681,File!$A:$J,7,FALSE)</f>
        <v>ADM26MF011</v>
      </c>
      <c r="H1681" s="29" t="str">
        <f>VLOOKUP(A1681,File!$A:$J,8,FALSE)</f>
        <v>Abinaya R</v>
      </c>
      <c r="I1681" s="31">
        <f>VLOOKUP(A1681,File!$A:$J,9,FALSE)</f>
        <v>46328</v>
      </c>
      <c r="J1681" s="31" t="str">
        <f>VLOOKUP(A1681,File!$A:$K,11,FALSE)</f>
        <v>Nov 2026</v>
      </c>
      <c r="K1681" s="31" t="str">
        <f>VLOOKUP(A1681,File!$A:$K,10,FALSE)</f>
        <v>In-Training</v>
      </c>
      <c r="L1681" s="31" t="s">
        <v>4</v>
      </c>
      <c r="M1681" t="str">
        <f>VLOOKUP(A1681,Response!$A:$M,7,)</f>
        <v>PG (Paying Guest)</v>
      </c>
      <c r="N1681" t="str">
        <f>VLOOKUP(A1681,Response!$A:$M,8,)</f>
        <v>Vishvas Professional Stays Mens PG</v>
      </c>
      <c r="O1681" s="4">
        <f>VLOOKUP(A1681,Response!$A:$M,10,)</f>
        <v>1</v>
      </c>
      <c r="P1681" t="str">
        <f>VLOOKUP(A1681,Response!$A:$M,12,)</f>
        <v>No</v>
      </c>
      <c r="Q1681" t="str">
        <f>VLOOKUP(A1681,Response!$A:$M,11,)</f>
        <v>Egattur</v>
      </c>
      <c r="R1681" t="s">
        <v>19</v>
      </c>
      <c r="S1681" s="39" t="s">
        <v>37</v>
      </c>
    </row>
    <row r="1682" spans="1:19">
      <c r="A1682" s="3">
        <v>2512345</v>
      </c>
      <c r="B1682" t="str">
        <f>VLOOKUP(A1682,File!$A:$J,2,FALSE)</f>
        <v>Abilash C</v>
      </c>
      <c r="C1682" s="29">
        <f>VLOOKUP(A1682,File!$A:$J,5,FALSE)</f>
        <v>46170</v>
      </c>
      <c r="D1682" s="29" t="str">
        <f>VLOOKUP(A1682,File!$A:$J,3,FALSE)</f>
        <v>Male</v>
      </c>
      <c r="E1682" s="29" t="str">
        <f>VLOOKUP(A1682,File!$A:$J,4,FALSE)</f>
        <v>FTE</v>
      </c>
      <c r="F1682" s="29" t="str">
        <f>VLOOKUP(A1682,File!$A:$J,6,FALSE)</f>
        <v>Chennai</v>
      </c>
      <c r="G1682" s="29" t="str">
        <f>VLOOKUP(A1682,File!$A:$J,7,FALSE)</f>
        <v>CIS26MCPT012</v>
      </c>
      <c r="H1682" s="29" t="str">
        <f>VLOOKUP(A1682,File!$A:$J,8,FALSE)</f>
        <v>Uma Venkatachalam</v>
      </c>
      <c r="I1682" s="31">
        <f>VLOOKUP(A1682,File!$A:$J,9,FALSE)</f>
        <v>46282</v>
      </c>
      <c r="J1682" s="31" t="str">
        <f>VLOOKUP(A1682,File!$A:$K,11,FALSE)</f>
        <v>Sep 2026</v>
      </c>
      <c r="K1682" s="31" t="str">
        <f>VLOOKUP(A1682,File!$A:$K,10,FALSE)</f>
        <v>In-Training</v>
      </c>
      <c r="L1682" s="31" t="s">
        <v>4</v>
      </c>
      <c r="M1682" t="str">
        <f>VLOOKUP(A1682,Response!$A:$M,7,)</f>
        <v>PG (Paying Guest)</v>
      </c>
      <c r="N1682" t="str">
        <f>VLOOKUP(A1682,Response!$A:$M,8,)</f>
        <v>Vishvas Professional Stays Mens PG</v>
      </c>
      <c r="O1682" s="4">
        <f>VLOOKUP(A1682,Response!$A:$M,10,)</f>
        <v>2</v>
      </c>
      <c r="P1682" t="str">
        <f>VLOOKUP(A1682,Response!$A:$M,12,)</f>
        <v>No</v>
      </c>
      <c r="Q1682" t="str">
        <f>VLOOKUP(A1682,Response!$A:$M,11,)</f>
        <v>Siruseri</v>
      </c>
      <c r="R1682" t="s">
        <v>19</v>
      </c>
      <c r="S1682" s="39" t="s">
        <v>37</v>
      </c>
    </row>
    <row r="1683" spans="1:19">
      <c r="A1683" s="3">
        <v>2512309</v>
      </c>
      <c r="B1683" t="str">
        <f>VLOOKUP(A1683,File!$A:$J,2,FALSE)</f>
        <v>Pandiripalli Chandra Sekhar Aditya</v>
      </c>
      <c r="C1683" s="29">
        <f>VLOOKUP(A1683,File!$A:$J,5,FALSE)</f>
        <v>46170</v>
      </c>
      <c r="D1683" s="29" t="str">
        <f>VLOOKUP(A1683,File!$A:$J,3,FALSE)</f>
        <v>Male</v>
      </c>
      <c r="E1683" s="29" t="str">
        <f>VLOOKUP(A1683,File!$A:$J,4,FALSE)</f>
        <v>FTE</v>
      </c>
      <c r="F1683" s="29" t="str">
        <f>VLOOKUP(A1683,File!$A:$J,6,FALSE)</f>
        <v>Chennai</v>
      </c>
      <c r="G1683" s="29" t="str">
        <f>VLOOKUP(A1683,File!$A:$J,7,FALSE)</f>
        <v>CIS26MCPT011</v>
      </c>
      <c r="H1683" s="29" t="str">
        <f>VLOOKUP(A1683,File!$A:$J,8,FALSE)</f>
        <v>Uma Venkatachalam</v>
      </c>
      <c r="I1683" s="31">
        <f>VLOOKUP(A1683,File!$A:$J,9,FALSE)</f>
        <v>46282</v>
      </c>
      <c r="J1683" s="31" t="str">
        <f>VLOOKUP(A1683,File!$A:$K,11,FALSE)</f>
        <v>Sep 2026</v>
      </c>
      <c r="K1683" s="31" t="str">
        <f>VLOOKUP(A1683,File!$A:$K,10,FALSE)</f>
        <v>In-Training</v>
      </c>
      <c r="L1683" s="31" t="s">
        <v>4</v>
      </c>
      <c r="M1683" t="str">
        <f>VLOOKUP(A1683,Response!$A:$M,7,)</f>
        <v>PG (Paying Guest)</v>
      </c>
      <c r="N1683" t="str">
        <f>VLOOKUP(A1683,Response!$A:$M,8,)</f>
        <v>Vishvas Professional Stays Mens PG Siruseri SIPCOT</v>
      </c>
      <c r="O1683" s="4">
        <f>VLOOKUP(A1683,Response!$A:$M,10,)</f>
        <v>2</v>
      </c>
      <c r="P1683" t="str">
        <f>VLOOKUP(A1683,Response!$A:$M,12,)</f>
        <v>No</v>
      </c>
      <c r="Q1683" t="str">
        <f>VLOOKUP(A1683,Response!$A:$M,11,)</f>
        <v>Egattur</v>
      </c>
      <c r="R1683" t="s">
        <v>19</v>
      </c>
      <c r="S1683" s="39" t="s">
        <v>37</v>
      </c>
    </row>
    <row r="1684" spans="1:19">
      <c r="A1684" s="3">
        <v>2529493</v>
      </c>
      <c r="B1684" t="str">
        <f>VLOOKUP(A1684,File!$A:$J,2,FALSE)</f>
        <v>Vaibhav Santosh Babar</v>
      </c>
      <c r="C1684" s="29">
        <f>VLOOKUP(A1684,File!$A:$J,5,FALSE)</f>
        <v>46245</v>
      </c>
      <c r="D1684" s="29" t="str">
        <f>VLOOKUP(A1684,File!$A:$J,3,FALSE)</f>
        <v>Male</v>
      </c>
      <c r="E1684" s="29" t="str">
        <f>VLOOKUP(A1684,File!$A:$J,4,FALSE)</f>
        <v>FTE</v>
      </c>
      <c r="F1684" s="29" t="str">
        <f>VLOOKUP(A1684,File!$A:$J,6,FALSE)</f>
        <v>Chennai</v>
      </c>
      <c r="G1684" s="29" t="str">
        <f>VLOOKUP(A1684,File!$A:$J,7,FALSE)</f>
        <v>CIS26MCPT025</v>
      </c>
      <c r="H1684" s="29" t="str">
        <f>VLOOKUP(A1684,File!$A:$J,8,FALSE)</f>
        <v>Vignesh S</v>
      </c>
      <c r="I1684" s="31">
        <f>VLOOKUP(A1684,File!$A:$J,9,FALSE)</f>
        <v>46359</v>
      </c>
      <c r="J1684" s="31" t="str">
        <f>VLOOKUP(A1684,File!$A:$K,11,FALSE)</f>
        <v>Dec 2026</v>
      </c>
      <c r="K1684" s="31" t="str">
        <f>VLOOKUP(A1684,File!$A:$K,10,FALSE)</f>
        <v>In-Training</v>
      </c>
      <c r="L1684" s="31" t="s">
        <v>4</v>
      </c>
      <c r="M1684" t="str">
        <f>VLOOKUP(A1684,Response!$A:$M,7,)</f>
        <v>PG (Paying Guest)</v>
      </c>
      <c r="N1684" t="str">
        <f>VLOOKUP(A1684,Response!$A:$M,8,)</f>
        <v>Vishvas Professional Stays Mens PG Siruseri SIPCOT</v>
      </c>
      <c r="O1684" s="4">
        <f>VLOOKUP(A1684,Response!$A:$M,10,)</f>
        <v>3</v>
      </c>
      <c r="P1684" t="str">
        <f>VLOOKUP(A1684,Response!$A:$M,12,)</f>
        <v>No</v>
      </c>
      <c r="Q1684" t="str">
        <f>VLOOKUP(A1684,Response!$A:$M,11,)</f>
        <v>Egattur</v>
      </c>
      <c r="R1684" t="s">
        <v>19</v>
      </c>
      <c r="S1684" s="39" t="s">
        <v>37</v>
      </c>
    </row>
    <row r="1685" spans="1:19">
      <c r="A1685" s="3">
        <v>2512290</v>
      </c>
      <c r="B1685" t="str">
        <f>VLOOKUP(A1685,File!$A:$J,2,FALSE)</f>
        <v>Karan Baliram Aghav</v>
      </c>
      <c r="C1685" s="29">
        <f>VLOOKUP(A1685,File!$A:$J,5,FALSE)</f>
        <v>46170</v>
      </c>
      <c r="D1685" s="29" t="str">
        <f>VLOOKUP(A1685,File!$A:$J,3,FALSE)</f>
        <v>Male</v>
      </c>
      <c r="E1685" s="29" t="str">
        <f>VLOOKUP(A1685,File!$A:$J,4,FALSE)</f>
        <v>FTE</v>
      </c>
      <c r="F1685" s="29" t="str">
        <f>VLOOKUP(A1685,File!$A:$J,6,FALSE)</f>
        <v>Chennai</v>
      </c>
      <c r="G1685" s="29" t="str">
        <f>VLOOKUP(A1685,File!$A:$J,7,FALSE)</f>
        <v>CIS26MCPT012</v>
      </c>
      <c r="H1685" s="29" t="str">
        <f>VLOOKUP(A1685,File!$A:$J,8,FALSE)</f>
        <v>Uma Venkatachalam</v>
      </c>
      <c r="I1685" s="31">
        <f>VLOOKUP(A1685,File!$A:$J,9,FALSE)</f>
        <v>46282</v>
      </c>
      <c r="J1685" s="31" t="str">
        <f>VLOOKUP(A1685,File!$A:$K,11,FALSE)</f>
        <v>Sep 2026</v>
      </c>
      <c r="K1685" s="31" t="str">
        <f>VLOOKUP(A1685,File!$A:$K,10,FALSE)</f>
        <v>In-Training</v>
      </c>
      <c r="L1685" s="31" t="s">
        <v>4</v>
      </c>
      <c r="M1685" t="str">
        <f>VLOOKUP(A1685,Response!$A:$M,7,)</f>
        <v>PG (Paying Guest)</v>
      </c>
      <c r="N1685" t="str">
        <f>VLOOKUP(A1685,Response!$A:$M,8,)</f>
        <v>vishvas pg</v>
      </c>
      <c r="O1685" s="4">
        <f>VLOOKUP(A1685,Response!$A:$M,10,)</f>
        <v>3</v>
      </c>
      <c r="P1685" t="str">
        <f>VLOOKUP(A1685,Response!$A:$M,12,)</f>
        <v>No</v>
      </c>
      <c r="Q1685" t="str">
        <f>VLOOKUP(A1685,Response!$A:$M,11,)</f>
        <v>Siruseri</v>
      </c>
      <c r="R1685" t="s">
        <v>19</v>
      </c>
      <c r="S1685" s="39" t="s">
        <v>37</v>
      </c>
    </row>
    <row r="1686" spans="1:19">
      <c r="A1686" s="3">
        <v>2521837</v>
      </c>
      <c r="B1686" t="str">
        <f>VLOOKUP(A1686,File!$A:$J,2,FALSE)</f>
        <v>Arnesh R</v>
      </c>
      <c r="C1686" s="29">
        <f>VLOOKUP(A1686,File!$A:$J,5,FALSE)</f>
        <v>46212</v>
      </c>
      <c r="D1686" s="29" t="str">
        <f>VLOOKUP(A1686,File!$A:$J,3,FALSE)</f>
        <v>Male</v>
      </c>
      <c r="E1686" s="29" t="str">
        <f>VLOOKUP(A1686,File!$A:$J,4,FALSE)</f>
        <v>FTE</v>
      </c>
      <c r="F1686" s="29" t="str">
        <f>VLOOKUP(A1686,File!$A:$J,6,FALSE)</f>
        <v>Chennai</v>
      </c>
      <c r="G1686" s="29" t="str">
        <f>VLOOKUP(A1686,File!$A:$J,7,FALSE)</f>
        <v>QEA26NFTPA001</v>
      </c>
      <c r="H1686" s="29" t="str">
        <f>VLOOKUP(A1686,File!$A:$J,8,FALSE)</f>
        <v>Lourdhu Selvin Raj X</v>
      </c>
      <c r="I1686" s="31">
        <f>VLOOKUP(A1686,File!$A:$J,9,FALSE)</f>
        <v>46337</v>
      </c>
      <c r="J1686" s="31" t="str">
        <f>VLOOKUP(A1686,File!$A:$K,11,FALSE)</f>
        <v>Nov 2026</v>
      </c>
      <c r="K1686" s="31" t="str">
        <f>VLOOKUP(A1686,File!$A:$K,10,FALSE)</f>
        <v>In-Training</v>
      </c>
      <c r="L1686" s="31" t="s">
        <v>4</v>
      </c>
      <c r="M1686" t="str">
        <f>VLOOKUP(A1686,Response!$A:$M,7,)</f>
        <v>PG (Paying Guest)</v>
      </c>
      <c r="N1686" t="str">
        <f>VLOOKUP(A1686,Response!$A:$M,8,)</f>
        <v>Vishvas Professional Stays-Seruseri</v>
      </c>
      <c r="O1686" s="4">
        <f>VLOOKUP(A1686,Response!$A:$M,10,)</f>
        <v>4</v>
      </c>
      <c r="P1686" t="str">
        <f>VLOOKUP(A1686,Response!$A:$M,12,)</f>
        <v>No</v>
      </c>
      <c r="Q1686" t="str">
        <f>VLOOKUP(A1686,Response!$A:$M,11,)</f>
        <v>Siruseri</v>
      </c>
      <c r="R1686" t="s">
        <v>19</v>
      </c>
      <c r="S1686" s="39" t="s">
        <v>37</v>
      </c>
    </row>
    <row r="1687" spans="1:19">
      <c r="A1687" s="3">
        <v>2529645</v>
      </c>
      <c r="B1687" t="str">
        <f>VLOOKUP(A1687,File!$A:$J,2,FALSE)</f>
        <v>Aditya Sharad Pawar</v>
      </c>
      <c r="C1687" s="29">
        <f>VLOOKUP(A1687,File!$A:$J,5,FALSE)</f>
        <v>46245</v>
      </c>
      <c r="D1687" s="29" t="str">
        <f>VLOOKUP(A1687,File!$A:$J,3,FALSE)</f>
        <v>Male</v>
      </c>
      <c r="E1687" s="29" t="str">
        <f>VLOOKUP(A1687,File!$A:$J,4,FALSE)</f>
        <v>FTE</v>
      </c>
      <c r="F1687" s="29" t="str">
        <f>VLOOKUP(A1687,File!$A:$J,6,FALSE)</f>
        <v>Chennai</v>
      </c>
      <c r="G1687" s="29" t="str">
        <f>VLOOKUP(A1687,File!$A:$J,7,FALSE)</f>
        <v>CIS26MCPT026</v>
      </c>
      <c r="H1687" s="29" t="str">
        <f>VLOOKUP(A1687,File!$A:$J,8,FALSE)</f>
        <v>Mohamed Harish</v>
      </c>
      <c r="I1687" s="31">
        <f>VLOOKUP(A1687,File!$A:$J,9,FALSE)</f>
        <v>46364</v>
      </c>
      <c r="J1687" s="31" t="str">
        <f>VLOOKUP(A1687,File!$A:$K,11,FALSE)</f>
        <v>Dec 2026</v>
      </c>
      <c r="K1687" s="31" t="str">
        <f>VLOOKUP(A1687,File!$A:$K,10,FALSE)</f>
        <v>In-Training</v>
      </c>
      <c r="L1687" s="31" t="s">
        <v>4</v>
      </c>
      <c r="M1687" t="str">
        <f>VLOOKUP(A1687,Response!$A:$M,7,)</f>
        <v>PG (Paying Guest)</v>
      </c>
      <c r="N1687" t="str">
        <f>VLOOKUP(A1687,Response!$A:$M,8,)</f>
        <v>Vishwas Mens PG, SIPCOT, Siruseri</v>
      </c>
      <c r="O1687" s="4">
        <f>VLOOKUP(A1687,Response!$A:$M,10,)</f>
        <v>3</v>
      </c>
      <c r="P1687" t="str">
        <f>VLOOKUP(A1687,Response!$A:$M,12,)</f>
        <v>No</v>
      </c>
      <c r="Q1687" t="str">
        <f>VLOOKUP(A1687,Response!$A:$M,11,)</f>
        <v>Siruseri</v>
      </c>
      <c r="R1687" t="s">
        <v>19</v>
      </c>
      <c r="S1687" s="39" t="s">
        <v>37</v>
      </c>
    </row>
    <row r="1688" spans="1:19">
      <c r="A1688" s="3">
        <v>2521111</v>
      </c>
      <c r="B1688" t="str">
        <f>VLOOKUP(A1688,File!$A:$J,2,FALSE)</f>
        <v>B Hariesh</v>
      </c>
      <c r="C1688" s="29">
        <f>VLOOKUP(A1688,File!$A:$J,5,FALSE)</f>
        <v>46210</v>
      </c>
      <c r="D1688" s="29" t="str">
        <f>VLOOKUP(A1688,File!$A:$J,3,FALSE)</f>
        <v>Male</v>
      </c>
      <c r="E1688" s="29" t="str">
        <f>VLOOKUP(A1688,File!$A:$J,4,FALSE)</f>
        <v>FTE</v>
      </c>
      <c r="F1688" s="29" t="str">
        <f>VLOOKUP(A1688,File!$A:$J,6,FALSE)</f>
        <v>Chennai</v>
      </c>
      <c r="G1688" s="29" t="str">
        <f>VLOOKUP(A1688,File!$A:$J,7,FALSE)</f>
        <v>SNBG26SN004</v>
      </c>
      <c r="H1688" s="29" t="str">
        <f>VLOOKUP(A1688,File!$A:$J,8,FALSE)</f>
        <v>Kishorekumar P</v>
      </c>
      <c r="I1688" s="31">
        <f>VLOOKUP(A1688,File!$A:$J,9,FALSE)</f>
        <v>46303</v>
      </c>
      <c r="J1688" s="31" t="str">
        <f>VLOOKUP(A1688,File!$A:$K,11,FALSE)</f>
        <v>Oct 2026</v>
      </c>
      <c r="K1688" s="31" t="str">
        <f>VLOOKUP(A1688,File!$A:$K,10,FALSE)</f>
        <v>In-Training</v>
      </c>
      <c r="L1688" s="31" t="s">
        <v>4</v>
      </c>
      <c r="M1688" t="str">
        <f>VLOOKUP(A1688,Response!$A:$M,7,)</f>
        <v>PG (Paying Guest)</v>
      </c>
      <c r="N1688" t="str">
        <f>VLOOKUP(A1688,Response!$A:$M,8,)</f>
        <v xml:space="preserve">Vishwas Menss Pg </v>
      </c>
      <c r="O1688" s="4">
        <f>VLOOKUP(A1688,Response!$A:$M,10,)</f>
        <v>4</v>
      </c>
      <c r="P1688" t="str">
        <f>VLOOKUP(A1688,Response!$A:$M,12,)</f>
        <v>No</v>
      </c>
      <c r="Q1688" t="str">
        <f>VLOOKUP(A1688,Response!$A:$M,11,)</f>
        <v>Egattur</v>
      </c>
      <c r="R1688" t="s">
        <v>19</v>
      </c>
      <c r="S1688" s="39" t="s">
        <v>37</v>
      </c>
    </row>
    <row r="1689" spans="1:19">
      <c r="A1689" s="3">
        <v>2521685</v>
      </c>
      <c r="B1689" t="str">
        <f>VLOOKUP(A1689,File!$A:$J,2,FALSE)</f>
        <v>Hariprasath S</v>
      </c>
      <c r="C1689" s="29">
        <f>VLOOKUP(A1689,File!$A:$J,5,FALSE)</f>
        <v>46212</v>
      </c>
      <c r="D1689" s="29" t="str">
        <f>VLOOKUP(A1689,File!$A:$J,3,FALSE)</f>
        <v>Male</v>
      </c>
      <c r="E1689" s="29" t="str">
        <f>VLOOKUP(A1689,File!$A:$J,4,FALSE)</f>
        <v>FTE</v>
      </c>
      <c r="F1689" s="29" t="str">
        <f>VLOOKUP(A1689,File!$A:$J,6,FALSE)</f>
        <v>Chennai</v>
      </c>
      <c r="G1689" s="29" t="str">
        <f>VLOOKUP(A1689,File!$A:$J,7,FALSE)</f>
        <v>ADM26MF010</v>
      </c>
      <c r="H1689" s="29" t="str">
        <f>VLOOKUP(A1689,File!$A:$J,8,FALSE)</f>
        <v>Thomas Naveen. J</v>
      </c>
      <c r="I1689" s="31">
        <f>VLOOKUP(A1689,File!$A:$J,9,FALSE)</f>
        <v>46328</v>
      </c>
      <c r="J1689" s="31" t="str">
        <f>VLOOKUP(A1689,File!$A:$K,11,FALSE)</f>
        <v>Nov 2026</v>
      </c>
      <c r="K1689" s="31" t="str">
        <f>VLOOKUP(A1689,File!$A:$K,10,FALSE)</f>
        <v>In-Training</v>
      </c>
      <c r="L1689" s="31" t="s">
        <v>4</v>
      </c>
      <c r="M1689" t="str">
        <f>VLOOKUP(A1689,Response!$A:$M,7,)</f>
        <v>PG (Paying Guest)</v>
      </c>
      <c r="N1689" t="str">
        <f>VLOOKUP(A1689,Response!$A:$M,8,)</f>
        <v>VISHWAS PG</v>
      </c>
      <c r="O1689" s="4">
        <f>VLOOKUP(A1689,Response!$A:$M,10,)</f>
        <v>2</v>
      </c>
      <c r="P1689" t="str">
        <f>VLOOKUP(A1689,Response!$A:$M,12,)</f>
        <v>Yes</v>
      </c>
      <c r="Q1689" t="str">
        <f>VLOOKUP(A1689,Response!$A:$M,11,)</f>
        <v>Egattur</v>
      </c>
      <c r="R1689" t="s">
        <v>19</v>
      </c>
      <c r="S1689" s="39" t="s">
        <v>37</v>
      </c>
    </row>
    <row r="1690" spans="1:19">
      <c r="A1690" s="3">
        <v>2529494</v>
      </c>
      <c r="B1690" t="str">
        <f>VLOOKUP(A1690,File!$A:$J,2,FALSE)</f>
        <v>Nikhil Sanjay Jadhav</v>
      </c>
      <c r="C1690" s="29">
        <f>VLOOKUP(A1690,File!$A:$J,5,FALSE)</f>
        <v>46245</v>
      </c>
      <c r="D1690" s="29" t="str">
        <f>VLOOKUP(A1690,File!$A:$J,3,FALSE)</f>
        <v>Male</v>
      </c>
      <c r="E1690" s="29" t="str">
        <f>VLOOKUP(A1690,File!$A:$J,4,FALSE)</f>
        <v>FTE</v>
      </c>
      <c r="F1690" s="29" t="str">
        <f>VLOOKUP(A1690,File!$A:$J,6,FALSE)</f>
        <v>Chennai</v>
      </c>
      <c r="G1690" s="29" t="str">
        <f>VLOOKUP(A1690,File!$A:$J,7,FALSE)</f>
        <v>CIS26MCPT021</v>
      </c>
      <c r="H1690" s="29" t="str">
        <f>VLOOKUP(A1690,File!$A:$J,8,FALSE)</f>
        <v>Uma Venkatachalam</v>
      </c>
      <c r="I1690" s="31">
        <f>VLOOKUP(A1690,File!$A:$J,9,FALSE)</f>
        <v>46364</v>
      </c>
      <c r="J1690" s="31" t="str">
        <f>VLOOKUP(A1690,File!$A:$K,11,FALSE)</f>
        <v>Dec 2026</v>
      </c>
      <c r="K1690" s="31" t="str">
        <f>VLOOKUP(A1690,File!$A:$K,10,FALSE)</f>
        <v>In-Training</v>
      </c>
      <c r="L1690" s="31" t="s">
        <v>4</v>
      </c>
      <c r="M1690" t="str">
        <f>VLOOKUP(A1690,Response!$A:$M,7,)</f>
        <v>PG (Paying Guest)</v>
      </c>
      <c r="N1690" t="str">
        <f>VLOOKUP(A1690,Response!$A:$M,8,)</f>
        <v>Vishwas PG</v>
      </c>
      <c r="O1690" s="4" t="str">
        <f>VLOOKUP(A1690,Response!$A:$M,10,)</f>
        <v>GF</v>
      </c>
      <c r="P1690" t="str">
        <f>VLOOKUP(A1690,Response!$A:$M,12,)</f>
        <v>No</v>
      </c>
      <c r="Q1690" t="str">
        <f>VLOOKUP(A1690,Response!$A:$M,11,)</f>
        <v>Siruseri</v>
      </c>
      <c r="R1690" t="s">
        <v>19</v>
      </c>
      <c r="S1690" s="39" t="s">
        <v>37</v>
      </c>
    </row>
    <row r="1691" spans="1:19">
      <c r="A1691" s="3">
        <v>2521726</v>
      </c>
      <c r="B1691" t="str">
        <f>VLOOKUP(A1691,File!$A:$J,2,FALSE)</f>
        <v>Kamesh M</v>
      </c>
      <c r="C1691" s="29">
        <f>VLOOKUP(A1691,File!$A:$J,5,FALSE)</f>
        <v>46212</v>
      </c>
      <c r="D1691" s="29" t="str">
        <f>VLOOKUP(A1691,File!$A:$J,3,FALSE)</f>
        <v>Male</v>
      </c>
      <c r="E1691" s="29" t="str">
        <f>VLOOKUP(A1691,File!$A:$J,4,FALSE)</f>
        <v>FTE</v>
      </c>
      <c r="F1691" s="29" t="str">
        <f>VLOOKUP(A1691,File!$A:$J,6,FALSE)</f>
        <v>Chennai</v>
      </c>
      <c r="G1691" s="29" t="str">
        <f>VLOOKUP(A1691,File!$A:$J,7,FALSE)</f>
        <v>QEA26NFTPA002</v>
      </c>
      <c r="H1691" s="29" t="str">
        <f>VLOOKUP(A1691,File!$A:$J,8,FALSE)</f>
        <v>Lourdhu Selvin Raj X</v>
      </c>
      <c r="I1691" s="31">
        <f>VLOOKUP(A1691,File!$A:$J,9,FALSE)</f>
        <v>46337</v>
      </c>
      <c r="J1691" s="31" t="str">
        <f>VLOOKUP(A1691,File!$A:$K,11,FALSE)</f>
        <v>Nov 2026</v>
      </c>
      <c r="K1691" s="31" t="str">
        <f>VLOOKUP(A1691,File!$A:$K,10,FALSE)</f>
        <v>In-Training</v>
      </c>
      <c r="L1691" s="31" t="s">
        <v>4</v>
      </c>
      <c r="M1691" t="str">
        <f>VLOOKUP(A1691,Response!$A:$M,7,)</f>
        <v>PG (Paying Guest)</v>
      </c>
      <c r="N1691" t="str">
        <f>VLOOKUP(A1691,Response!$A:$M,8,)</f>
        <v>Vishwas Pg and General Apartments, SIPCOT</v>
      </c>
      <c r="O1691" s="4">
        <f>VLOOKUP(A1691,Response!$A:$M,10,)</f>
        <v>3</v>
      </c>
      <c r="P1691" t="str">
        <f>VLOOKUP(A1691,Response!$A:$M,12,)</f>
        <v>Yes</v>
      </c>
      <c r="Q1691" t="str">
        <f>VLOOKUP(A1691,Response!$A:$M,11,)</f>
        <v>Egattur</v>
      </c>
      <c r="R1691" t="s">
        <v>19</v>
      </c>
      <c r="S1691" s="39" t="s">
        <v>37</v>
      </c>
    </row>
    <row r="1692" spans="1:19">
      <c r="A1692" s="3">
        <v>2519647</v>
      </c>
      <c r="B1692" t="str">
        <f>VLOOKUP(A1692,File!$A:$J,2,FALSE)</f>
        <v>Vishal Malleshappa Inchal</v>
      </c>
      <c r="C1692" s="29">
        <f>VLOOKUP(A1692,File!$A:$J,5,FALSE)</f>
        <v>46205</v>
      </c>
      <c r="D1692" s="29" t="str">
        <f>VLOOKUP(A1692,File!$A:$J,3,FALSE)</f>
        <v>Male</v>
      </c>
      <c r="E1692" s="29" t="str">
        <f>VLOOKUP(A1692,File!$A:$J,4,FALSE)</f>
        <v>FTE</v>
      </c>
      <c r="F1692" s="29" t="str">
        <f>VLOOKUP(A1692,File!$A:$J,6,FALSE)</f>
        <v>Chennai</v>
      </c>
      <c r="G1692" s="29" t="str">
        <f>VLOOKUP(A1692,File!$A:$J,7,FALSE)</f>
        <v>CIS26MCPT013</v>
      </c>
      <c r="H1692" s="29" t="str">
        <f>VLOOKUP(A1692,File!$A:$J,8,FALSE)</f>
        <v>Lawrance M</v>
      </c>
      <c r="I1692" s="31">
        <f>VLOOKUP(A1692,File!$A:$J,9,FALSE)</f>
        <v>46324</v>
      </c>
      <c r="J1692" s="31" t="str">
        <f>VLOOKUP(A1692,File!$A:$K,11,FALSE)</f>
        <v>Oct 2026</v>
      </c>
      <c r="K1692" s="31" t="str">
        <f>VLOOKUP(A1692,File!$A:$K,10,FALSE)</f>
        <v>In-Training</v>
      </c>
      <c r="L1692" s="31" t="s">
        <v>4</v>
      </c>
      <c r="M1692" t="str">
        <f>VLOOKUP(A1692,Response!$A:$M,7,)</f>
        <v>PG (Paying Guest)</v>
      </c>
      <c r="N1692" t="str">
        <f>VLOOKUP(A1692,Response!$A:$M,8,)</f>
        <v>Vishwas Pg Sipcot  IT park</v>
      </c>
      <c r="O1692" s="4">
        <f>VLOOKUP(A1692,Response!$A:$M,10,)</f>
        <v>1</v>
      </c>
      <c r="P1692" t="str">
        <f>VLOOKUP(A1692,Response!$A:$M,12,)</f>
        <v>No</v>
      </c>
      <c r="Q1692" t="str">
        <f>VLOOKUP(A1692,Response!$A:$M,11,)</f>
        <v>Siruseri</v>
      </c>
      <c r="R1692" t="s">
        <v>19</v>
      </c>
      <c r="S1692" s="39" t="s">
        <v>37</v>
      </c>
    </row>
    <row r="1693" spans="1:19">
      <c r="A1693" s="3">
        <v>2531844</v>
      </c>
      <c r="B1693" t="str">
        <f>VLOOKUP(A1693,File!$A:$J,2,FALSE)</f>
        <v>Shahid Shakil Mulani</v>
      </c>
      <c r="C1693" s="29">
        <f>VLOOKUP(A1693,File!$A:$J,5,FALSE)</f>
        <v>46254</v>
      </c>
      <c r="D1693" s="29" t="str">
        <f>VLOOKUP(A1693,File!$A:$J,3,FALSE)</f>
        <v>Male</v>
      </c>
      <c r="E1693" s="29" t="str">
        <f>VLOOKUP(A1693,File!$A:$J,4,FALSE)</f>
        <v>FTE</v>
      </c>
      <c r="F1693" s="29" t="str">
        <f>VLOOKUP(A1693,File!$A:$J,6,FALSE)</f>
        <v>Chennai</v>
      </c>
      <c r="G1693" s="29" t="str">
        <f>VLOOKUP(A1693,File!$A:$J,7,FALSE)</f>
        <v>CS26CS011</v>
      </c>
      <c r="H1693" s="29" t="str">
        <f>VLOOKUP(A1693,File!$A:$J,8,FALSE)</f>
        <v>Kishorekumar P</v>
      </c>
      <c r="I1693" s="31">
        <f>VLOOKUP(A1693,File!$A:$J,9,FALSE)</f>
        <v>46343</v>
      </c>
      <c r="J1693" s="31" t="str">
        <f>VLOOKUP(A1693,File!$A:$K,11,FALSE)</f>
        <v>Nov 2026</v>
      </c>
      <c r="K1693" s="31" t="str">
        <f>VLOOKUP(A1693,File!$A:$K,10,FALSE)</f>
        <v>In-Training</v>
      </c>
      <c r="L1693" s="31" t="s">
        <v>4</v>
      </c>
      <c r="M1693" t="str">
        <f>VLOOKUP(A1693,Response!$A:$M,7,)</f>
        <v>PG (Paying Guest)</v>
      </c>
      <c r="N1693" t="str">
        <f>VLOOKUP(A1693,Response!$A:$M,8,)</f>
        <v>vishwas professional stay pg egatoor,</v>
      </c>
      <c r="O1693" s="4">
        <f>VLOOKUP(A1693,Response!$A:$M,10,)</f>
        <v>2</v>
      </c>
      <c r="P1693" t="str">
        <f>VLOOKUP(A1693,Response!$A:$M,12,)</f>
        <v>No</v>
      </c>
      <c r="Q1693" t="str">
        <f>VLOOKUP(A1693,Response!$A:$M,11,)</f>
        <v>Siruseri</v>
      </c>
      <c r="R1693" t="s">
        <v>19</v>
      </c>
      <c r="S1693" s="39" t="s">
        <v>37</v>
      </c>
    </row>
    <row r="1694" spans="1:19">
      <c r="A1694" s="3">
        <v>2529602</v>
      </c>
      <c r="B1694" t="str">
        <f>VLOOKUP(A1694,File!$A:$J,2,FALSE)</f>
        <v>B Bharani Kumaran</v>
      </c>
      <c r="C1694" s="29">
        <f>VLOOKUP(A1694,File!$A:$J,5,FALSE)</f>
        <v>46245</v>
      </c>
      <c r="D1694" s="29" t="str">
        <f>VLOOKUP(A1694,File!$A:$J,3,FALSE)</f>
        <v>Male</v>
      </c>
      <c r="E1694" s="29" t="str">
        <f>VLOOKUP(A1694,File!$A:$J,4,FALSE)</f>
        <v>FTE</v>
      </c>
      <c r="F1694" s="29" t="str">
        <f>VLOOKUP(A1694,File!$A:$J,6,FALSE)</f>
        <v>Chennai</v>
      </c>
      <c r="G1694" s="29" t="str">
        <f>VLOOKUP(A1694,File!$A:$J,7,FALSE)</f>
        <v>CIS26MCPT025</v>
      </c>
      <c r="H1694" s="29" t="str">
        <f>VLOOKUP(A1694,File!$A:$J,8,FALSE)</f>
        <v>Vignesh S</v>
      </c>
      <c r="I1694" s="31">
        <f>VLOOKUP(A1694,File!$A:$J,9,FALSE)</f>
        <v>46359</v>
      </c>
      <c r="J1694" s="31" t="str">
        <f>VLOOKUP(A1694,File!$A:$K,11,FALSE)</f>
        <v>Dec 2026</v>
      </c>
      <c r="K1694" s="31" t="str">
        <f>VLOOKUP(A1694,File!$A:$K,10,FALSE)</f>
        <v>In-Training</v>
      </c>
      <c r="L1694" s="31" t="s">
        <v>4</v>
      </c>
      <c r="M1694" t="str">
        <f>VLOOKUP(A1694,Response!$A:$M,7,)</f>
        <v>PG (Paying Guest)</v>
      </c>
      <c r="N1694" t="str">
        <f>VLOOKUP(A1694,Response!$A:$M,8,)</f>
        <v>Visvashs Mens PG Egatoor, near SIPCOT IT Park, Siruseri</v>
      </c>
      <c r="O1694" s="4">
        <f>VLOOKUP(A1694,Response!$A:$M,10,)</f>
        <v>1</v>
      </c>
      <c r="P1694" t="str">
        <f>VLOOKUP(A1694,Response!$A:$M,12,)</f>
        <v>No</v>
      </c>
      <c r="Q1694" t="str">
        <f>VLOOKUP(A1694,Response!$A:$M,11,)</f>
        <v>Egattur</v>
      </c>
      <c r="R1694" t="s">
        <v>19</v>
      </c>
      <c r="S1694" s="39" t="s">
        <v>37</v>
      </c>
    </row>
    <row r="1695" spans="1:19">
      <c r="A1695" s="3">
        <v>2524989</v>
      </c>
      <c r="B1695" t="str">
        <f>VLOOKUP(A1695,File!$A:$J,2,FALSE)</f>
        <v>Pravallika Varikuti</v>
      </c>
      <c r="C1695" s="29">
        <f>VLOOKUP(A1695,File!$A:$J,5,FALSE)</f>
        <v>46226</v>
      </c>
      <c r="D1695" s="29" t="str">
        <f>VLOOKUP(A1695,File!$A:$J,3,FALSE)</f>
        <v>Female</v>
      </c>
      <c r="E1695" s="29" t="str">
        <f>VLOOKUP(A1695,File!$A:$J,4,FALSE)</f>
        <v>FTE</v>
      </c>
      <c r="F1695" s="29" t="str">
        <f>VLOOKUP(A1695,File!$A:$J,6,FALSE)</f>
        <v>Chennai</v>
      </c>
      <c r="G1695" s="29" t="str">
        <f>VLOOKUP(A1695,File!$A:$J,7,FALSE)</f>
        <v>ADM26ISMO010</v>
      </c>
      <c r="H1695" s="29" t="str">
        <f>VLOOKUP(A1695,File!$A:$J,8,FALSE)</f>
        <v>Thomas Naveen. J</v>
      </c>
      <c r="I1695" s="31">
        <f>VLOOKUP(A1695,File!$A:$J,9,FALSE)</f>
        <v>46301</v>
      </c>
      <c r="J1695" s="31" t="str">
        <f>VLOOKUP(A1695,File!$A:$K,11,FALSE)</f>
        <v>Oct 2026</v>
      </c>
      <c r="K1695" s="31" t="str">
        <f>VLOOKUP(A1695,File!$A:$K,10,FALSE)</f>
        <v>In-Training</v>
      </c>
      <c r="L1695" s="31" t="s">
        <v>4</v>
      </c>
      <c r="M1695" t="str">
        <f>VLOOKUP(A1695,Response!$A:$M,7,)</f>
        <v>PG (Paying Guest)</v>
      </c>
      <c r="N1695" t="str">
        <f>VLOOKUP(A1695,Response!$A:$M,8,)</f>
        <v>vyshnavi pg for ladies in OMR, doctor ambedkar street, sipcot, egattur, chengalpattu ,Tamilnadu</v>
      </c>
      <c r="O1695" s="4" t="str">
        <f>VLOOKUP(A1695,Response!$A:$M,10,)</f>
        <v>GF</v>
      </c>
      <c r="P1695" t="str">
        <f>VLOOKUP(A1695,Response!$A:$M,12,)</f>
        <v>No</v>
      </c>
      <c r="Q1695" t="str">
        <f>VLOOKUP(A1695,Response!$A:$M,11,)</f>
        <v>Siruseri</v>
      </c>
      <c r="R1695" t="s">
        <v>19</v>
      </c>
      <c r="S1695" s="39" t="s">
        <v>37</v>
      </c>
    </row>
    <row r="1696" spans="1:19">
      <c r="A1696" s="3">
        <v>2520968</v>
      </c>
      <c r="B1696" t="str">
        <f>VLOOKUP(A1696,File!$A:$J,2,FALSE)</f>
        <v>Prathamesh Ramesh Nagargoje</v>
      </c>
      <c r="C1696" s="29">
        <f>VLOOKUP(A1696,File!$A:$J,5,FALSE)</f>
        <v>46210</v>
      </c>
      <c r="D1696" s="29" t="str">
        <f>VLOOKUP(A1696,File!$A:$J,3,FALSE)</f>
        <v>Male</v>
      </c>
      <c r="E1696" s="29" t="str">
        <f>VLOOKUP(A1696,File!$A:$J,4,FALSE)</f>
        <v>FTE</v>
      </c>
      <c r="F1696" s="29" t="str">
        <f>VLOOKUP(A1696,File!$A:$J,6,FALSE)</f>
        <v>Chennai</v>
      </c>
      <c r="G1696" s="29" t="str">
        <f>VLOOKUP(A1696,File!$A:$J,7,FALSE)</f>
        <v>CS26CS007</v>
      </c>
      <c r="H1696" s="29" t="str">
        <f>VLOOKUP(A1696,File!$A:$J,8,FALSE)</f>
        <v>Lawrance M</v>
      </c>
      <c r="I1696" s="31">
        <f>VLOOKUP(A1696,File!$A:$J,9,FALSE)</f>
        <v>46272</v>
      </c>
      <c r="J1696" s="31" t="str">
        <f>VLOOKUP(A1696,File!$A:$K,11,FALSE)</f>
        <v>Sep 2026</v>
      </c>
      <c r="K1696" s="31" t="str">
        <f>VLOOKUP(A1696,File!$A:$K,10,FALSE)</f>
        <v>In-Training</v>
      </c>
      <c r="L1696" s="31" t="s">
        <v>4</v>
      </c>
      <c r="M1696" t="str">
        <f>VLOOKUP(A1696,Response!$A:$M,7,)</f>
        <v>PG (Paying Guest)</v>
      </c>
      <c r="N1696" t="str">
        <f>VLOOKUP(A1696,Response!$A:$M,8,)</f>
        <v>XION 16 - Premium mens PG - Branch 1</v>
      </c>
      <c r="O1696" s="4">
        <f>VLOOKUP(A1696,Response!$A:$M,10,)</f>
        <v>2</v>
      </c>
      <c r="P1696" t="str">
        <f>VLOOKUP(A1696,Response!$A:$M,12,)</f>
        <v>No</v>
      </c>
      <c r="Q1696" t="str">
        <f>VLOOKUP(A1696,Response!$A:$M,11,)</f>
        <v>Siruseri</v>
      </c>
      <c r="R1696" t="s">
        <v>19</v>
      </c>
      <c r="S1696" s="39" t="s">
        <v>37</v>
      </c>
    </row>
    <row r="1697" spans="1:19">
      <c r="A1697" s="3">
        <v>2529546</v>
      </c>
      <c r="B1697" t="str">
        <f>VLOOKUP(A1697,File!$A:$J,2,FALSE)</f>
        <v>Rajdeep Tarafdar</v>
      </c>
      <c r="C1697" s="29">
        <f>VLOOKUP(A1697,File!$A:$J,5,FALSE)</f>
        <v>46245</v>
      </c>
      <c r="D1697" s="29" t="str">
        <f>VLOOKUP(A1697,File!$A:$J,3,FALSE)</f>
        <v>Male</v>
      </c>
      <c r="E1697" s="29" t="str">
        <f>VLOOKUP(A1697,File!$A:$J,4,FALSE)</f>
        <v>FTE</v>
      </c>
      <c r="F1697" s="29" t="str">
        <f>VLOOKUP(A1697,File!$A:$J,6,FALSE)</f>
        <v>Chennai</v>
      </c>
      <c r="G1697" s="29" t="str">
        <f>VLOOKUP(A1697,File!$A:$J,7,FALSE)</f>
        <v>CIS26MCPT022</v>
      </c>
      <c r="H1697" s="29" t="str">
        <f>VLOOKUP(A1697,File!$A:$J,8,FALSE)</f>
        <v>Laksiya Vijayendran</v>
      </c>
      <c r="I1697" s="31">
        <f>VLOOKUP(A1697,File!$A:$J,9,FALSE)</f>
        <v>46359</v>
      </c>
      <c r="J1697" s="31" t="str">
        <f>VLOOKUP(A1697,File!$A:$K,11,FALSE)</f>
        <v>Dec 2026</v>
      </c>
      <c r="K1697" s="31" t="str">
        <f>VLOOKUP(A1697,File!$A:$K,10,FALSE)</f>
        <v>In-Training</v>
      </c>
      <c r="L1697" s="31" t="s">
        <v>4</v>
      </c>
      <c r="M1697" t="str">
        <f>VLOOKUP(A1697,Response!$A:$M,7,)</f>
        <v>PG (Paying Guest)</v>
      </c>
      <c r="N1697" t="str">
        <f>VLOOKUP(A1697,Response!$A:$M,8,)</f>
        <v>Xion 16 Gents PG</v>
      </c>
      <c r="O1697" s="4">
        <f>VLOOKUP(A1697,Response!$A:$M,10,)</f>
        <v>1</v>
      </c>
      <c r="P1697" t="str">
        <f>VLOOKUP(A1697,Response!$A:$M,12,)</f>
        <v>No</v>
      </c>
      <c r="Q1697" t="str">
        <f>VLOOKUP(A1697,Response!$A:$M,11,)</f>
        <v>Egattur</v>
      </c>
      <c r="R1697" t="s">
        <v>19</v>
      </c>
      <c r="S1697" s="39" t="s">
        <v>37</v>
      </c>
    </row>
    <row r="1698" spans="1:19">
      <c r="A1698" s="3">
        <v>2531397</v>
      </c>
      <c r="B1698" t="str">
        <f>VLOOKUP(A1698,File!$A:$J,2,FALSE)</f>
        <v>Dhanush M</v>
      </c>
      <c r="C1698" s="29">
        <f>VLOOKUP(A1698,File!$A:$J,5,FALSE)</f>
        <v>46252</v>
      </c>
      <c r="D1698" s="29" t="str">
        <f>VLOOKUP(A1698,File!$A:$J,3,FALSE)</f>
        <v>Male</v>
      </c>
      <c r="E1698" s="29" t="str">
        <f>VLOOKUP(A1698,File!$A:$J,4,FALSE)</f>
        <v>FTE</v>
      </c>
      <c r="F1698" s="29" t="str">
        <f>VLOOKUP(A1698,File!$A:$J,6,FALSE)</f>
        <v>Chennai</v>
      </c>
      <c r="G1698" s="29" t="str">
        <f>VLOOKUP(A1698,File!$A:$J,7,FALSE)</f>
        <v>EPS26SAP036</v>
      </c>
      <c r="H1698" s="29" t="str">
        <f>VLOOKUP(A1698,File!$A:$J,8,FALSE)</f>
        <v>Vishnupriya Dakshnamurthy</v>
      </c>
      <c r="I1698" s="31">
        <f>VLOOKUP(A1698,File!$A:$J,9,FALSE)</f>
        <v>46335</v>
      </c>
      <c r="J1698" s="31" t="str">
        <f>VLOOKUP(A1698,File!$A:$K,11,FALSE)</f>
        <v>Nov 2026</v>
      </c>
      <c r="K1698" s="31" t="str">
        <f>VLOOKUP(A1698,File!$A:$K,10,FALSE)</f>
        <v>In-Training</v>
      </c>
      <c r="L1698" s="31" t="s">
        <v>4</v>
      </c>
      <c r="M1698" t="str">
        <f>VLOOKUP(A1698,Response!$A:$M,7,)</f>
        <v>PG (Paying Guest)</v>
      </c>
      <c r="N1698" t="str">
        <f>VLOOKUP(A1698,Response!$A:$M,8,)</f>
        <v>Xion 16 Mens PG</v>
      </c>
      <c r="O1698" s="4">
        <f>VLOOKUP(A1698,Response!$A:$M,10,)</f>
        <v>1</v>
      </c>
      <c r="P1698" t="str">
        <f>VLOOKUP(A1698,Response!$A:$M,12,)</f>
        <v>No</v>
      </c>
      <c r="Q1698" t="str">
        <f>VLOOKUP(A1698,Response!$A:$M,11,)</f>
        <v>Siruseri</v>
      </c>
      <c r="R1698" t="s">
        <v>19</v>
      </c>
      <c r="S1698" s="39" t="s">
        <v>37</v>
      </c>
    </row>
    <row r="1699" spans="1:19">
      <c r="A1699" s="3">
        <v>2532957</v>
      </c>
      <c r="B1699" t="str">
        <f>VLOOKUP(A1699,File!$A:$J,2,FALSE)</f>
        <v>Bandanadham Nirmala Bala Swamy</v>
      </c>
      <c r="C1699" s="29">
        <f>VLOOKUP(A1699,File!$A:$J,5,FALSE)</f>
        <v>46259</v>
      </c>
      <c r="D1699" s="29" t="str">
        <f>VLOOKUP(A1699,File!$A:$J,3,FALSE)</f>
        <v>Male</v>
      </c>
      <c r="E1699" s="29" t="str">
        <f>VLOOKUP(A1699,File!$A:$J,4,FALSE)</f>
        <v>FTE</v>
      </c>
      <c r="F1699" s="29" t="str">
        <f>VLOOKUP(A1699,File!$A:$J,6,FALSE)</f>
        <v>Chennai</v>
      </c>
      <c r="G1699" s="29" t="str">
        <f>VLOOKUP(A1699,File!$A:$J,7,FALSE)</f>
        <v>CIS26AT008</v>
      </c>
      <c r="H1699" s="29" t="str">
        <f>VLOOKUP(A1699,File!$A:$J,8,FALSE)</f>
        <v>Uma Venkatachalam</v>
      </c>
      <c r="I1699" s="31">
        <f>VLOOKUP(A1699,File!$A:$J,9,FALSE)</f>
        <v>46365</v>
      </c>
      <c r="J1699" s="31" t="str">
        <f>VLOOKUP(A1699,File!$A:$K,11,FALSE)</f>
        <v>Dec 2026</v>
      </c>
      <c r="K1699" s="31" t="str">
        <f>VLOOKUP(A1699,File!$A:$K,10,FALSE)</f>
        <v>In-Training</v>
      </c>
      <c r="L1699" s="31" t="s">
        <v>4</v>
      </c>
      <c r="M1699" t="str">
        <f>VLOOKUP(A1699,Response!$A:$M,7,)</f>
        <v>PG (Paying Guest)</v>
      </c>
      <c r="N1699" t="str">
        <f>VLOOKUP(A1699,Response!$A:$M,8,)</f>
        <v>Xiom 16 Mens Pg, Egattur</v>
      </c>
      <c r="O1699" s="4">
        <f>VLOOKUP(A1699,Response!$A:$M,10,)</f>
        <v>2</v>
      </c>
      <c r="P1699" t="str">
        <f>VLOOKUP(A1699,Response!$A:$M,12,)</f>
        <v>No</v>
      </c>
      <c r="Q1699" t="str">
        <f>VLOOKUP(A1699,Response!$A:$M,11,)</f>
        <v>Siruseri</v>
      </c>
      <c r="R1699" t="s">
        <v>19</v>
      </c>
      <c r="S1699" s="39" t="s">
        <v>37</v>
      </c>
    </row>
    <row r="1700" spans="1:19">
      <c r="A1700" s="3">
        <v>2521189</v>
      </c>
      <c r="B1700" t="str">
        <f>VLOOKUP(A1700,File!$A:$J,2,FALSE)</f>
        <v>Likith G</v>
      </c>
      <c r="C1700" s="29">
        <f>VLOOKUP(A1700,File!$A:$J,5,FALSE)</f>
        <v>46210</v>
      </c>
      <c r="D1700" s="29" t="str">
        <f>VLOOKUP(A1700,File!$A:$J,3,FALSE)</f>
        <v>Male</v>
      </c>
      <c r="E1700" s="29" t="str">
        <f>VLOOKUP(A1700,File!$A:$J,4,FALSE)</f>
        <v>FTE</v>
      </c>
      <c r="F1700" s="29" t="str">
        <f>VLOOKUP(A1700,File!$A:$J,6,FALSE)</f>
        <v>Chennai</v>
      </c>
      <c r="G1700" s="29" t="str">
        <f>VLOOKUP(A1700,File!$A:$J,7,FALSE)</f>
        <v>EPS26WD004</v>
      </c>
      <c r="H1700" s="29" t="str">
        <f>VLOOKUP(A1700,File!$A:$J,8,FALSE)</f>
        <v>Ajith Ganesan</v>
      </c>
      <c r="I1700" s="31">
        <f>VLOOKUP(A1700,File!$A:$J,9,FALSE)</f>
        <v>46310</v>
      </c>
      <c r="J1700" s="31" t="str">
        <f>VLOOKUP(A1700,File!$A:$K,11,FALSE)</f>
        <v>Oct 2026</v>
      </c>
      <c r="K1700" s="31" t="str">
        <f>VLOOKUP(A1700,File!$A:$K,10,FALSE)</f>
        <v>In-Training</v>
      </c>
      <c r="L1700" s="31" t="s">
        <v>4</v>
      </c>
      <c r="M1700" t="str">
        <f>VLOOKUP(A1700,Response!$A:$M,7,)</f>
        <v>PG (Paying Guest)</v>
      </c>
      <c r="N1700" t="str">
        <f>VLOOKUP(A1700,Response!$A:$M,8,)</f>
        <v>Xion 16 mens pg</v>
      </c>
      <c r="O1700" s="4">
        <f>VLOOKUP(A1700,Response!$A:$M,10,)</f>
        <v>4</v>
      </c>
      <c r="P1700" t="str">
        <f>VLOOKUP(A1700,Response!$A:$M,12,)</f>
        <v>No</v>
      </c>
      <c r="Q1700" t="str">
        <f>VLOOKUP(A1700,Response!$A:$M,11,)</f>
        <v>Siruseri</v>
      </c>
      <c r="R1700" t="s">
        <v>19</v>
      </c>
      <c r="S1700" s="39" t="s">
        <v>37</v>
      </c>
    </row>
    <row r="1701" spans="1:19">
      <c r="A1701" s="3">
        <v>2531857</v>
      </c>
      <c r="B1701" t="str">
        <f>VLOOKUP(A1701,File!$A:$J,2,FALSE)</f>
        <v>Mahesh K</v>
      </c>
      <c r="C1701" s="29">
        <f>VLOOKUP(A1701,File!$A:$J,5,FALSE)</f>
        <v>46254</v>
      </c>
      <c r="D1701" s="29" t="str">
        <f>VLOOKUP(A1701,File!$A:$J,3,FALSE)</f>
        <v>Male</v>
      </c>
      <c r="E1701" s="29" t="str">
        <f>VLOOKUP(A1701,File!$A:$J,4,FALSE)</f>
        <v>FTE</v>
      </c>
      <c r="F1701" s="29" t="str">
        <f>VLOOKUP(A1701,File!$A:$J,6,FALSE)</f>
        <v>Chennai</v>
      </c>
      <c r="G1701" s="29" t="str">
        <f>VLOOKUP(A1701,File!$A:$J,7,FALSE)</f>
        <v>EPS26OSP011</v>
      </c>
      <c r="H1701" s="29" t="str">
        <f>VLOOKUP(A1701,File!$A:$J,8,FALSE)</f>
        <v>Gayathri Ramachandran</v>
      </c>
      <c r="I1701" s="31" t="str">
        <f>VLOOKUP(A1701,File!$A:$J,9,FALSE)</f>
        <v/>
      </c>
      <c r="J1701" s="44" t="s">
        <v>33</v>
      </c>
      <c r="K1701" s="31" t="str">
        <f>VLOOKUP(A1701,File!$A:$K,10,FALSE)</f>
        <v>Training - ON Hold</v>
      </c>
      <c r="L1701" s="31" t="s">
        <v>4</v>
      </c>
      <c r="M1701" t="str">
        <f>VLOOKUP(A1701,Response!$A:$M,7,)</f>
        <v>PG (Paying Guest)</v>
      </c>
      <c r="N1701" t="str">
        <f>VLOOKUP(A1701,Response!$A:$M,8,)</f>
        <v>Xion 16 Mens PG SIRUSERI SIPCOT</v>
      </c>
      <c r="O1701" s="4">
        <f>VLOOKUP(A1701,Response!$A:$M,10,)</f>
        <v>1</v>
      </c>
      <c r="P1701" t="str">
        <f>VLOOKUP(A1701,Response!$A:$M,12,)</f>
        <v>No</v>
      </c>
      <c r="Q1701" t="str">
        <f>VLOOKUP(A1701,Response!$A:$M,11,)</f>
        <v>Navalur</v>
      </c>
      <c r="R1701" t="s">
        <v>19</v>
      </c>
      <c r="S1701" s="39" t="s">
        <v>37</v>
      </c>
    </row>
    <row r="1702" spans="1:19">
      <c r="A1702" s="3">
        <v>2521284</v>
      </c>
      <c r="B1702" t="str">
        <f>VLOOKUP(A1702,File!$A:$J,2,FALSE)</f>
        <v>Chepuri Shashank</v>
      </c>
      <c r="C1702" s="29">
        <f>VLOOKUP(A1702,File!$A:$J,5,FALSE)</f>
        <v>46210</v>
      </c>
      <c r="D1702" s="29" t="str">
        <f>VLOOKUP(A1702,File!$A:$J,3,FALSE)</f>
        <v>Male</v>
      </c>
      <c r="E1702" s="29" t="str">
        <f>VLOOKUP(A1702,File!$A:$J,4,FALSE)</f>
        <v>FTE</v>
      </c>
      <c r="F1702" s="29" t="str">
        <f>VLOOKUP(A1702,File!$A:$J,6,FALSE)</f>
        <v>Chennai</v>
      </c>
      <c r="G1702" s="29" t="str">
        <f>VLOOKUP(A1702,File!$A:$J,7,FALSE)</f>
        <v>CS26CS007</v>
      </c>
      <c r="H1702" s="29" t="str">
        <f>VLOOKUP(A1702,File!$A:$J,8,FALSE)</f>
        <v>Lawrance M</v>
      </c>
      <c r="I1702" s="31">
        <f>VLOOKUP(A1702,File!$A:$J,9,FALSE)</f>
        <v>46272</v>
      </c>
      <c r="J1702" s="31" t="str">
        <f>VLOOKUP(A1702,File!$A:$K,11,FALSE)</f>
        <v>Sep 2026</v>
      </c>
      <c r="K1702" s="31" t="str">
        <f>VLOOKUP(A1702,File!$A:$K,10,FALSE)</f>
        <v>In-Training</v>
      </c>
      <c r="L1702" s="31" t="s">
        <v>4</v>
      </c>
      <c r="M1702" t="str">
        <f>VLOOKUP(A1702,Response!$A:$M,7,)</f>
        <v>PG (Paying Guest)</v>
      </c>
      <c r="N1702" t="str">
        <f>VLOOKUP(A1702,Response!$A:$M,8,)</f>
        <v>Xion 16 Mens PG SIRUSERI SIPCOT</v>
      </c>
      <c r="O1702" s="4">
        <f>VLOOKUP(A1702,Response!$A:$M,10,)</f>
        <v>2</v>
      </c>
      <c r="P1702" t="str">
        <f>VLOOKUP(A1702,Response!$A:$M,12,)</f>
        <v>No</v>
      </c>
      <c r="Q1702" t="str">
        <f>VLOOKUP(A1702,Response!$A:$M,11,)</f>
        <v>Siruseri</v>
      </c>
      <c r="R1702" t="s">
        <v>19</v>
      </c>
      <c r="S1702" s="39" t="s">
        <v>37</v>
      </c>
    </row>
    <row r="1703" spans="1:19">
      <c r="A1703" s="3">
        <v>2521211</v>
      </c>
      <c r="B1703" t="str">
        <f>VLOOKUP(A1703,File!$A:$J,2,FALSE)</f>
        <v>Ranjan M B</v>
      </c>
      <c r="C1703" s="29">
        <f>VLOOKUP(A1703,File!$A:$J,5,FALSE)</f>
        <v>46210</v>
      </c>
      <c r="D1703" s="29" t="str">
        <f>VLOOKUP(A1703,File!$A:$J,3,FALSE)</f>
        <v>Male</v>
      </c>
      <c r="E1703" s="29" t="str">
        <f>VLOOKUP(A1703,File!$A:$J,4,FALSE)</f>
        <v>FTE</v>
      </c>
      <c r="F1703" s="29" t="str">
        <f>VLOOKUP(A1703,File!$A:$J,6,FALSE)</f>
        <v>Chennai</v>
      </c>
      <c r="G1703" s="29" t="str">
        <f>VLOOKUP(A1703,File!$A:$J,7,FALSE)</f>
        <v>PG26JFR003</v>
      </c>
      <c r="H1703" s="29" t="str">
        <f>VLOOKUP(A1703,File!$A:$J,8,FALSE)</f>
        <v>Vijay K</v>
      </c>
      <c r="I1703" s="31">
        <f>VLOOKUP(A1703,File!$A:$J,9,FALSE)</f>
        <v>46322</v>
      </c>
      <c r="J1703" s="31" t="str">
        <f>VLOOKUP(A1703,File!$A:$K,11,FALSE)</f>
        <v>Oct 2026</v>
      </c>
      <c r="K1703" s="31" t="str">
        <f>VLOOKUP(A1703,File!$A:$K,10,FALSE)</f>
        <v>In-Training</v>
      </c>
      <c r="L1703" s="31" t="s">
        <v>4</v>
      </c>
      <c r="M1703" t="str">
        <f>VLOOKUP(A1703,Response!$A:$M,7,)</f>
        <v>PG (Paying Guest)</v>
      </c>
      <c r="N1703" t="str">
        <f>VLOOKUP(A1703,Response!$A:$M,8,)</f>
        <v>XIONS 16 MENS  PG SIRUSERI</v>
      </c>
      <c r="O1703" s="4">
        <f>VLOOKUP(A1703,Response!$A:$M,10,)</f>
        <v>1</v>
      </c>
      <c r="P1703" t="str">
        <f>VLOOKUP(A1703,Response!$A:$M,12,)</f>
        <v>No</v>
      </c>
      <c r="Q1703" t="str">
        <f>VLOOKUP(A1703,Response!$A:$M,11,)</f>
        <v>Siruseri</v>
      </c>
      <c r="R1703" t="s">
        <v>19</v>
      </c>
      <c r="S1703" s="39" t="s">
        <v>37</v>
      </c>
    </row>
    <row r="1704" spans="1:19">
      <c r="A1704" s="3">
        <v>2529619</v>
      </c>
      <c r="B1704" t="str">
        <f>VLOOKUP(A1704,File!$A:$J,2,FALSE)</f>
        <v>Sohul Suresh</v>
      </c>
      <c r="C1704" s="29">
        <f>VLOOKUP(A1704,File!$A:$J,5,FALSE)</f>
        <v>46245</v>
      </c>
      <c r="D1704" s="29" t="str">
        <f>VLOOKUP(A1704,File!$A:$J,3,FALSE)</f>
        <v>Male</v>
      </c>
      <c r="E1704" s="29" t="str">
        <f>VLOOKUP(A1704,File!$A:$J,4,FALSE)</f>
        <v>FTE</v>
      </c>
      <c r="F1704" s="29" t="str">
        <f>VLOOKUP(A1704,File!$A:$J,6,FALSE)</f>
        <v>Chennai</v>
      </c>
      <c r="G1704" s="29" t="str">
        <f>VLOOKUP(A1704,File!$A:$J,7,FALSE)</f>
        <v>CIS26MCPT022</v>
      </c>
      <c r="H1704" s="29" t="str">
        <f>VLOOKUP(A1704,File!$A:$J,8,FALSE)</f>
        <v>Laksiya Vijayendran</v>
      </c>
      <c r="I1704" s="31">
        <f>VLOOKUP(A1704,File!$A:$J,9,FALSE)</f>
        <v>46359</v>
      </c>
      <c r="J1704" s="31" t="str">
        <f>VLOOKUP(A1704,File!$A:$K,11,FALSE)</f>
        <v>Dec 2026</v>
      </c>
      <c r="K1704" s="31" t="str">
        <f>VLOOKUP(A1704,File!$A:$K,10,FALSE)</f>
        <v>In-Training</v>
      </c>
      <c r="L1704" s="31" t="s">
        <v>4</v>
      </c>
      <c r="M1704" t="str">
        <f>VLOOKUP(A1704,Response!$A:$M,7,)</f>
        <v>PG (Paying Guest)</v>
      </c>
      <c r="N1704" t="str">
        <f>VLOOKUP(A1704,Response!$A:$M,8,)</f>
        <v xml:space="preserve">YASHVITHA GENTS PG </v>
      </c>
      <c r="O1704" s="4">
        <f>VLOOKUP(A1704,Response!$A:$M,10,)</f>
        <v>2</v>
      </c>
      <c r="P1704" t="str">
        <f>VLOOKUP(A1704,Response!$A:$M,12,)</f>
        <v>No</v>
      </c>
      <c r="Q1704" t="str">
        <f>VLOOKUP(A1704,Response!$A:$M,11,)</f>
        <v>Siruseri</v>
      </c>
      <c r="R1704" t="s">
        <v>19</v>
      </c>
      <c r="S1704" s="39" t="s">
        <v>37</v>
      </c>
    </row>
    <row r="1705" spans="1:19">
      <c r="A1705" s="3">
        <v>2511298</v>
      </c>
      <c r="B1705" t="str">
        <f>VLOOKUP(A1705,File!$A:$J,2,FALSE)</f>
        <v>Fawath Shaik</v>
      </c>
      <c r="C1705" s="29">
        <f>VLOOKUP(A1705,File!$A:$J,5,FALSE)</f>
        <v>46163</v>
      </c>
      <c r="D1705" s="29" t="str">
        <f>VLOOKUP(A1705,File!$A:$J,3,FALSE)</f>
        <v>Male</v>
      </c>
      <c r="E1705" s="29" t="str">
        <f>VLOOKUP(A1705,File!$A:$J,4,FALSE)</f>
        <v>FTE</v>
      </c>
      <c r="F1705" s="29" t="str">
        <f>VLOOKUP(A1705,File!$A:$J,6,FALSE)</f>
        <v>Chennai</v>
      </c>
      <c r="G1705" s="29" t="str">
        <f>VLOOKUP(A1705,File!$A:$J,7,FALSE)</f>
        <v>CIS26MCPT010</v>
      </c>
      <c r="H1705" s="29" t="str">
        <f>VLOOKUP(A1705,File!$A:$J,8,FALSE)</f>
        <v>Mohamed Harish</v>
      </c>
      <c r="I1705" s="31">
        <f>VLOOKUP(A1705,File!$A:$J,9,FALSE)</f>
        <v>46280</v>
      </c>
      <c r="J1705" s="31" t="str">
        <f>VLOOKUP(A1705,File!$A:$K,11,FALSE)</f>
        <v>Sep 2026</v>
      </c>
      <c r="K1705" s="31" t="str">
        <f>VLOOKUP(A1705,File!$A:$K,10,FALSE)</f>
        <v>In-Training</v>
      </c>
      <c r="L1705" s="31" t="s">
        <v>4</v>
      </c>
      <c r="M1705" t="str">
        <f>VLOOKUP(A1705,Response!$A:$M,7,)</f>
        <v>PG (Paying Guest)</v>
      </c>
      <c r="N1705" t="str">
        <f>VLOOKUP(A1705,Response!$A:$M,8,)</f>
        <v>Yashvitha Gents PG , Navallur</v>
      </c>
      <c r="O1705" s="4">
        <f>VLOOKUP(A1705,Response!$A:$M,10,)</f>
        <v>3</v>
      </c>
      <c r="P1705" t="str">
        <f>VLOOKUP(A1705,Response!$A:$M,12,)</f>
        <v>No</v>
      </c>
      <c r="Q1705" t="str">
        <f>VLOOKUP(A1705,Response!$A:$M,11,)</f>
        <v>Navalur</v>
      </c>
      <c r="R1705" t="s">
        <v>19</v>
      </c>
      <c r="S1705" s="39" t="s">
        <v>37</v>
      </c>
    </row>
    <row r="1706" spans="1:19">
      <c r="A1706" s="3">
        <v>2523426</v>
      </c>
      <c r="B1706" t="str">
        <f>VLOOKUP(A1706,File!$A:$J,2,FALSE)</f>
        <v>Reddipalli Varun Kumar Reddy</v>
      </c>
      <c r="C1706" s="29">
        <f>VLOOKUP(A1706,File!$A:$J,5,FALSE)</f>
        <v>46219</v>
      </c>
      <c r="D1706" s="29" t="str">
        <f>VLOOKUP(A1706,File!$A:$J,3,FALSE)</f>
        <v>Male</v>
      </c>
      <c r="E1706" s="29" t="str">
        <f>VLOOKUP(A1706,File!$A:$J,4,FALSE)</f>
        <v>FTE</v>
      </c>
      <c r="F1706" s="29" t="str">
        <f>VLOOKUP(A1706,File!$A:$J,6,FALSE)</f>
        <v>Chennai</v>
      </c>
      <c r="G1706" s="29" t="str">
        <f>VLOOKUP(A1706,File!$A:$J,7,FALSE)</f>
        <v>CS26CS009</v>
      </c>
      <c r="H1706" s="29" t="str">
        <f>VLOOKUP(A1706,File!$A:$J,8,FALSE)</f>
        <v>Laksiya Vijayendran</v>
      </c>
      <c r="I1706" s="31">
        <f>VLOOKUP(A1706,File!$A:$J,9,FALSE)</f>
        <v>46309</v>
      </c>
      <c r="J1706" s="31" t="str">
        <f>VLOOKUP(A1706,File!$A:$K,11,FALSE)</f>
        <v>Oct 2026</v>
      </c>
      <c r="K1706" s="31" t="str">
        <f>VLOOKUP(A1706,File!$A:$K,10,FALSE)</f>
        <v>In-Training</v>
      </c>
      <c r="L1706" s="31" t="s">
        <v>4</v>
      </c>
      <c r="M1706" t="str">
        <f>VLOOKUP(A1706,Response!$A:$M,7,)</f>
        <v>PG (Paying Guest)</v>
      </c>
      <c r="N1706" t="str">
        <f>VLOOKUP(A1706,Response!$A:$M,8,)</f>
        <v>Yashvitha Gents pg, Egattur</v>
      </c>
      <c r="O1706" s="4">
        <f>VLOOKUP(A1706,Response!$A:$M,10,)</f>
        <v>2</v>
      </c>
      <c r="P1706" t="str">
        <f>VLOOKUP(A1706,Response!$A:$M,12,)</f>
        <v>No</v>
      </c>
      <c r="Q1706" t="str">
        <f>VLOOKUP(A1706,Response!$A:$M,11,)</f>
        <v>Egattur</v>
      </c>
      <c r="R1706" t="s">
        <v>19</v>
      </c>
      <c r="S1706" s="39" t="s">
        <v>37</v>
      </c>
    </row>
    <row r="1707" spans="1:19">
      <c r="A1707" s="3">
        <v>2529599</v>
      </c>
      <c r="B1707" t="str">
        <f>VLOOKUP(A1707,File!$A:$J,2,FALSE)</f>
        <v>Joshua Stephen Shettiyar</v>
      </c>
      <c r="C1707" s="29">
        <f>VLOOKUP(A1707,File!$A:$J,5,FALSE)</f>
        <v>46245</v>
      </c>
      <c r="D1707" s="29" t="str">
        <f>VLOOKUP(A1707,File!$A:$J,3,FALSE)</f>
        <v>Male</v>
      </c>
      <c r="E1707" s="29" t="str">
        <f>VLOOKUP(A1707,File!$A:$J,4,FALSE)</f>
        <v>FTE</v>
      </c>
      <c r="F1707" s="29" t="str">
        <f>VLOOKUP(A1707,File!$A:$J,6,FALSE)</f>
        <v>Chennai</v>
      </c>
      <c r="G1707" s="29" t="str">
        <f>VLOOKUP(A1707,File!$A:$J,7,FALSE)</f>
        <v>CIS26MCPT022</v>
      </c>
      <c r="H1707" s="29" t="str">
        <f>VLOOKUP(A1707,File!$A:$J,8,FALSE)</f>
        <v>Laksiya Vijayendran</v>
      </c>
      <c r="I1707" s="31">
        <f>VLOOKUP(A1707,File!$A:$J,9,FALSE)</f>
        <v>46359</v>
      </c>
      <c r="J1707" s="31" t="str">
        <f>VLOOKUP(A1707,File!$A:$K,11,FALSE)</f>
        <v>Dec 2026</v>
      </c>
      <c r="K1707" s="31" t="str">
        <f>VLOOKUP(A1707,File!$A:$K,10,FALSE)</f>
        <v>In-Training</v>
      </c>
      <c r="L1707" s="31" t="s">
        <v>4</v>
      </c>
      <c r="M1707" t="str">
        <f>VLOOKUP(A1707,Response!$A:$M,7,)</f>
        <v>PG (Paying Guest)</v>
      </c>
      <c r="N1707" t="str">
        <f>VLOOKUP(A1707,Response!$A:$M,8,)</f>
        <v>Yashvitha PG</v>
      </c>
      <c r="O1707" s="4">
        <f>VLOOKUP(A1707,Response!$A:$M,10,)</f>
        <v>2</v>
      </c>
      <c r="P1707" t="str">
        <f>VLOOKUP(A1707,Response!$A:$M,12,)</f>
        <v>No</v>
      </c>
      <c r="Q1707" t="str">
        <f>VLOOKUP(A1707,Response!$A:$M,11,)</f>
        <v>Siruseri</v>
      </c>
      <c r="R1707" t="s">
        <v>19</v>
      </c>
      <c r="S1707" s="39" t="s">
        <v>37</v>
      </c>
    </row>
    <row r="1708" spans="1:19">
      <c r="A1708" s="3">
        <v>2529625</v>
      </c>
      <c r="B1708" t="str">
        <f>VLOOKUP(A1708,File!$A:$J,2,FALSE)</f>
        <v>Amal Krishna A</v>
      </c>
      <c r="C1708" s="29">
        <f>VLOOKUP(A1708,File!$A:$J,5,FALSE)</f>
        <v>46245</v>
      </c>
      <c r="D1708" s="29" t="str">
        <f>VLOOKUP(A1708,File!$A:$J,3,FALSE)</f>
        <v>Male</v>
      </c>
      <c r="E1708" s="29" t="str">
        <f>VLOOKUP(A1708,File!$A:$J,4,FALSE)</f>
        <v>FTE</v>
      </c>
      <c r="F1708" s="29" t="str">
        <f>VLOOKUP(A1708,File!$A:$J,6,FALSE)</f>
        <v>Chennai</v>
      </c>
      <c r="G1708" s="29" t="str">
        <f>VLOOKUP(A1708,File!$A:$J,7,FALSE)</f>
        <v>CIS26MCPT024</v>
      </c>
      <c r="H1708" s="29" t="str">
        <f>VLOOKUP(A1708,File!$A:$J,8,FALSE)</f>
        <v>Ashiya Begam S</v>
      </c>
      <c r="I1708" s="31">
        <f>VLOOKUP(A1708,File!$A:$J,9,FALSE)</f>
        <v>46359</v>
      </c>
      <c r="J1708" s="31" t="str">
        <f>VLOOKUP(A1708,File!$A:$K,11,FALSE)</f>
        <v>Dec 2026</v>
      </c>
      <c r="K1708" s="31" t="str">
        <f>VLOOKUP(A1708,File!$A:$K,10,FALSE)</f>
        <v>In-Training</v>
      </c>
      <c r="L1708" s="31" t="s">
        <v>4</v>
      </c>
      <c r="M1708" t="str">
        <f>VLOOKUP(A1708,Response!$A:$M,7,)</f>
        <v>PG (Paying Guest)</v>
      </c>
      <c r="N1708" t="str">
        <f>VLOOKUP(A1708,Response!$A:$M,8,)</f>
        <v>Yasvidha Mens PG, Egattur</v>
      </c>
      <c r="O1708" s="4">
        <f>VLOOKUP(A1708,Response!$A:$M,10,)</f>
        <v>2</v>
      </c>
      <c r="P1708" t="str">
        <f>VLOOKUP(A1708,Response!$A:$M,12,)</f>
        <v>Yes</v>
      </c>
      <c r="Q1708" t="str">
        <f>VLOOKUP(A1708,Response!$A:$M,11,)</f>
        <v>Siruseri</v>
      </c>
      <c r="R1708" t="s">
        <v>19</v>
      </c>
      <c r="S1708" s="39" t="s">
        <v>37</v>
      </c>
    </row>
    <row r="1709" spans="1:19">
      <c r="A1709" s="3">
        <v>2531819</v>
      </c>
      <c r="B1709" t="str">
        <f>VLOOKUP(A1709,File!$A:$J,2,FALSE)</f>
        <v>Sarvesh Sanjay Patil</v>
      </c>
      <c r="C1709" s="29">
        <f>VLOOKUP(A1709,File!$A:$J,5,FALSE)</f>
        <v>46254</v>
      </c>
      <c r="D1709" s="29" t="str">
        <f>VLOOKUP(A1709,File!$A:$J,3,FALSE)</f>
        <v>Male</v>
      </c>
      <c r="E1709" s="29" t="str">
        <f>VLOOKUP(A1709,File!$A:$J,4,FALSE)</f>
        <v>FTE</v>
      </c>
      <c r="F1709" s="29" t="str">
        <f>VLOOKUP(A1709,File!$A:$J,6,FALSE)</f>
        <v>Chennai</v>
      </c>
      <c r="G1709" s="29" t="str">
        <f>VLOOKUP(A1709,File!$A:$J,7,FALSE)</f>
        <v>CS26CS011</v>
      </c>
      <c r="H1709" s="29" t="str">
        <f>VLOOKUP(A1709,File!$A:$J,8,FALSE)</f>
        <v>Kishorekumar P</v>
      </c>
      <c r="I1709" s="31">
        <f>VLOOKUP(A1709,File!$A:$J,9,FALSE)</f>
        <v>46343</v>
      </c>
      <c r="J1709" s="31" t="str">
        <f>VLOOKUP(A1709,File!$A:$K,11,FALSE)</f>
        <v>Nov 2026</v>
      </c>
      <c r="K1709" s="31" t="str">
        <f>VLOOKUP(A1709,File!$A:$K,10,FALSE)</f>
        <v>In-Training</v>
      </c>
      <c r="L1709" s="31" t="s">
        <v>5</v>
      </c>
      <c r="M1709" t="str">
        <f>VLOOKUP(A1709,Response!$A:$M,7,)</f>
        <v>Rented House/Apartment</v>
      </c>
      <c r="N1709" t="str">
        <f>VLOOKUP(A1709,Response!$A:$M,8,)</f>
        <v>Yube 1 greenhouse Ramanyam waterfront No. 37, Mettu Street, Kalipattur, Siruseri, Chennai, Tamil Nadu – 603103</v>
      </c>
      <c r="O1709" s="4">
        <f>VLOOKUP(A1709,Response!$A:$M,10,)</f>
        <v>3</v>
      </c>
      <c r="P1709" t="str">
        <f>VLOOKUP(A1709,Response!$A:$M,12,)</f>
        <v>No</v>
      </c>
      <c r="Q1709" t="str">
        <f>VLOOKUP(A1709,Response!$A:$M,11,)</f>
        <v>Siruseri</v>
      </c>
      <c r="R1709" t="s">
        <v>19</v>
      </c>
      <c r="S1709" t="s">
        <v>38</v>
      </c>
    </row>
    <row r="1710" spans="1:19">
      <c r="A1710" s="3">
        <v>2521207</v>
      </c>
      <c r="B1710" t="str">
        <f>VLOOKUP(A1710,File!$A:$J,2,FALSE)</f>
        <v>Indrajeet Anil Pimpalgaonkar</v>
      </c>
      <c r="C1710" s="29">
        <f>VLOOKUP(A1710,File!$A:$J,5,FALSE)</f>
        <v>46210</v>
      </c>
      <c r="D1710" s="29" t="str">
        <f>VLOOKUP(A1710,File!$A:$J,3,FALSE)</f>
        <v>Male</v>
      </c>
      <c r="E1710" s="29" t="str">
        <f>VLOOKUP(A1710,File!$A:$J,4,FALSE)</f>
        <v>FTE</v>
      </c>
      <c r="F1710" s="29" t="str">
        <f>VLOOKUP(A1710,File!$A:$J,6,FALSE)</f>
        <v>Chennai</v>
      </c>
      <c r="G1710" s="29" t="str">
        <f>VLOOKUP(A1710,File!$A:$J,7,FALSE)</f>
        <v>CS26CS007</v>
      </c>
      <c r="H1710" s="29" t="str">
        <f>VLOOKUP(A1710,File!$A:$J,8,FALSE)</f>
        <v>Lawrance M</v>
      </c>
      <c r="I1710" s="31">
        <f>VLOOKUP(A1710,File!$A:$J,9,FALSE)</f>
        <v>46272</v>
      </c>
      <c r="J1710" s="31" t="str">
        <f>VLOOKUP(A1710,File!$A:$K,11,FALSE)</f>
        <v>Sep 2026</v>
      </c>
      <c r="K1710" s="31" t="str">
        <f>VLOOKUP(A1710,File!$A:$K,10,FALSE)</f>
        <v>In-Training</v>
      </c>
      <c r="L1710" s="31" t="s">
        <v>4</v>
      </c>
      <c r="M1710" t="str">
        <f>VLOOKUP(A1710,Response!$A:$M,7,)</f>
        <v>PG (Paying Guest)</v>
      </c>
      <c r="N1710" t="str">
        <f>VLOOKUP(A1710,Response!$A:$M,8,)</f>
        <v>Yube 1 Greenhouse, Siruseri</v>
      </c>
      <c r="O1710" s="4">
        <f>VLOOKUP(A1710,Response!$A:$M,10,)</f>
        <v>3</v>
      </c>
      <c r="P1710" t="str">
        <f>VLOOKUP(A1710,Response!$A:$M,12,)</f>
        <v>No</v>
      </c>
      <c r="Q1710" t="str">
        <f>VLOOKUP(A1710,Response!$A:$M,11,)</f>
        <v>Siruseri</v>
      </c>
      <c r="R1710" t="s">
        <v>19</v>
      </c>
      <c r="S1710" s="39" t="s">
        <v>37</v>
      </c>
    </row>
    <row r="1711" spans="1:19">
      <c r="A1711" s="3">
        <v>2521217</v>
      </c>
      <c r="B1711" t="str">
        <f>VLOOKUP(A1711,File!$A:$J,2,FALSE)</f>
        <v>Parag Rajiv Aher</v>
      </c>
      <c r="C1711" s="29">
        <f>VLOOKUP(A1711,File!$A:$J,5,FALSE)</f>
        <v>46210</v>
      </c>
      <c r="D1711" s="29" t="str">
        <f>VLOOKUP(A1711,File!$A:$J,3,FALSE)</f>
        <v>Male</v>
      </c>
      <c r="E1711" s="29" t="str">
        <f>VLOOKUP(A1711,File!$A:$J,4,FALSE)</f>
        <v>FTE</v>
      </c>
      <c r="F1711" s="29" t="str">
        <f>VLOOKUP(A1711,File!$A:$J,6,FALSE)</f>
        <v>Chennai</v>
      </c>
      <c r="G1711" s="29" t="str">
        <f>VLOOKUP(A1711,File!$A:$J,7,FALSE)</f>
        <v>CS26CS007</v>
      </c>
      <c r="H1711" s="29" t="str">
        <f>VLOOKUP(A1711,File!$A:$J,8,FALSE)</f>
        <v>Lawrance M</v>
      </c>
      <c r="I1711" s="31">
        <f>VLOOKUP(A1711,File!$A:$J,9,FALSE)</f>
        <v>46272</v>
      </c>
      <c r="J1711" s="31" t="str">
        <f>VLOOKUP(A1711,File!$A:$K,11,FALSE)</f>
        <v>Sep 2026</v>
      </c>
      <c r="K1711" s="31" t="str">
        <f>VLOOKUP(A1711,File!$A:$K,10,FALSE)</f>
        <v>In-Training</v>
      </c>
      <c r="L1711" s="31" t="s">
        <v>4</v>
      </c>
      <c r="M1711" t="str">
        <f>VLOOKUP(A1711,Response!$A:$M,7,)</f>
        <v>PG (Paying Guest)</v>
      </c>
      <c r="N1711" t="str">
        <f>VLOOKUP(A1711,Response!$A:$M,8,)</f>
        <v>Yube 1 Stays GreenHouse ,Kalipattur</v>
      </c>
      <c r="O1711" s="4">
        <f>VLOOKUP(A1711,Response!$A:$M,10,)</f>
        <v>3</v>
      </c>
      <c r="P1711" t="str">
        <f>VLOOKUP(A1711,Response!$A:$M,12,)</f>
        <v>No</v>
      </c>
      <c r="Q1711" t="str">
        <f>VLOOKUP(A1711,Response!$A:$M,11,)</f>
        <v>Siruseri</v>
      </c>
      <c r="R1711" t="s">
        <v>19</v>
      </c>
      <c r="S1711" s="39" t="s">
        <v>37</v>
      </c>
    </row>
    <row r="1712" spans="1:19">
      <c r="A1712" s="3">
        <v>2531851</v>
      </c>
      <c r="B1712" t="str">
        <f>VLOOKUP(A1712,File!$A:$J,2,FALSE)</f>
        <v>Achintya Manoj Warrier</v>
      </c>
      <c r="C1712" s="29">
        <f>VLOOKUP(A1712,File!$A:$J,5,FALSE)</f>
        <v>46254</v>
      </c>
      <c r="D1712" s="29" t="str">
        <f>VLOOKUP(A1712,File!$A:$J,3,FALSE)</f>
        <v>Male</v>
      </c>
      <c r="E1712" s="29" t="str">
        <f>VLOOKUP(A1712,File!$A:$J,4,FALSE)</f>
        <v>FTE</v>
      </c>
      <c r="F1712" s="29" t="str">
        <f>VLOOKUP(A1712,File!$A:$J,6,FALSE)</f>
        <v>Chennai</v>
      </c>
      <c r="G1712" s="29" t="str">
        <f>VLOOKUP(A1712,File!$A:$J,7,FALSE)</f>
        <v>CS26CS011</v>
      </c>
      <c r="H1712" s="29" t="str">
        <f>VLOOKUP(A1712,File!$A:$J,8,FALSE)</f>
        <v>Kishorekumar P</v>
      </c>
      <c r="I1712" s="31">
        <f>VLOOKUP(A1712,File!$A:$J,9,FALSE)</f>
        <v>46343</v>
      </c>
      <c r="J1712" s="31" t="str">
        <f>VLOOKUP(A1712,File!$A:$K,11,FALSE)</f>
        <v>Nov 2026</v>
      </c>
      <c r="K1712" s="31" t="str">
        <f>VLOOKUP(A1712,File!$A:$K,10,FALSE)</f>
        <v>In-Training</v>
      </c>
      <c r="L1712" s="31" t="s">
        <v>5</v>
      </c>
      <c r="M1712" t="str">
        <f>VLOOKUP(A1712,Response!$A:$M,7,)</f>
        <v>Rented House/Apartment</v>
      </c>
      <c r="N1712" t="str">
        <f>VLOOKUP(A1712,Response!$A:$M,8,)</f>
        <v>Yube1 Greenhouse</v>
      </c>
      <c r="O1712" s="4">
        <f>VLOOKUP(A1712,Response!$A:$M,10,)</f>
        <v>3</v>
      </c>
      <c r="P1712" t="str">
        <f>VLOOKUP(A1712,Response!$A:$M,12,)</f>
        <v>Yes</v>
      </c>
      <c r="Q1712" t="str">
        <f>VLOOKUP(A1712,Response!$A:$M,11,)</f>
        <v>Siruseri</v>
      </c>
      <c r="R1712" t="s">
        <v>19</v>
      </c>
      <c r="S1712" t="s">
        <v>38</v>
      </c>
    </row>
    <row r="1713" spans="1:19">
      <c r="A1713" s="3">
        <v>2531824</v>
      </c>
      <c r="B1713" t="str">
        <f>VLOOKUP(A1713,File!$A:$J,2,FALSE)</f>
        <v>Sahil Chandrakant Chirme</v>
      </c>
      <c r="C1713" s="29">
        <f>VLOOKUP(A1713,File!$A:$J,5,FALSE)</f>
        <v>46254</v>
      </c>
      <c r="D1713" s="29" t="str">
        <f>VLOOKUP(A1713,File!$A:$J,3,FALSE)</f>
        <v>Male</v>
      </c>
      <c r="E1713" s="29" t="str">
        <f>VLOOKUP(A1713,File!$A:$J,4,FALSE)</f>
        <v>FTE</v>
      </c>
      <c r="F1713" s="29" t="str">
        <f>VLOOKUP(A1713,File!$A:$J,6,FALSE)</f>
        <v>Chennai</v>
      </c>
      <c r="G1713" s="29" t="str">
        <f>VLOOKUP(A1713,File!$A:$J,7,FALSE)</f>
        <v>CS26CS012</v>
      </c>
      <c r="H1713" s="29" t="str">
        <f>VLOOKUP(A1713,File!$A:$J,8,FALSE)</f>
        <v>Laksiya Vijayendran</v>
      </c>
      <c r="I1713" s="31">
        <f>VLOOKUP(A1713,File!$A:$J,9,FALSE)</f>
        <v>46343</v>
      </c>
      <c r="J1713" s="31" t="str">
        <f>VLOOKUP(A1713,File!$A:$K,11,FALSE)</f>
        <v>Nov 2026</v>
      </c>
      <c r="K1713" s="31" t="str">
        <f>VLOOKUP(A1713,File!$A:$K,10,FALSE)</f>
        <v>In-Training</v>
      </c>
      <c r="L1713" s="31" t="s">
        <v>4</v>
      </c>
      <c r="M1713" t="str">
        <f>VLOOKUP(A1713,Response!$A:$M,7,)</f>
        <v>PG (Paying Guest)</v>
      </c>
      <c r="N1713" t="str">
        <f>VLOOKUP(A1713,Response!$A:$M,8,)</f>
        <v>Yube1 Greenhouse , 37, Mettu Street, Kalipattur, Siruseri, Tamil Nadu 603103</v>
      </c>
      <c r="O1713" s="4">
        <f>VLOOKUP(A1713,Response!$A:$M,10,)</f>
        <v>3</v>
      </c>
      <c r="P1713" t="str">
        <f>VLOOKUP(A1713,Response!$A:$M,12,)</f>
        <v>No</v>
      </c>
      <c r="Q1713" t="str">
        <f>VLOOKUP(A1713,Response!$A:$M,11,)</f>
        <v>Siruseri</v>
      </c>
      <c r="R1713" t="s">
        <v>19</v>
      </c>
      <c r="S1713" s="39" t="s">
        <v>37</v>
      </c>
    </row>
    <row r="1714" spans="1:19">
      <c r="A1714" s="3">
        <v>2531841</v>
      </c>
      <c r="B1714" t="str">
        <f>VLOOKUP(A1714,File!$A:$J,2,FALSE)</f>
        <v>Ruturaj Tatoba Mahekar</v>
      </c>
      <c r="C1714" s="29">
        <f>VLOOKUP(A1714,File!$A:$J,5,FALSE)</f>
        <v>46254</v>
      </c>
      <c r="D1714" s="29" t="str">
        <f>VLOOKUP(A1714,File!$A:$J,3,FALSE)</f>
        <v>Male</v>
      </c>
      <c r="E1714" s="29" t="str">
        <f>VLOOKUP(A1714,File!$A:$J,4,FALSE)</f>
        <v>FTE</v>
      </c>
      <c r="F1714" s="29" t="str">
        <f>VLOOKUP(A1714,File!$A:$J,6,FALSE)</f>
        <v>Chennai</v>
      </c>
      <c r="G1714" s="29" t="str">
        <f>VLOOKUP(A1714,File!$A:$J,7,FALSE)</f>
        <v>CS26CS012</v>
      </c>
      <c r="H1714" s="29" t="str">
        <f>VLOOKUP(A1714,File!$A:$J,8,FALSE)</f>
        <v>Laksiya Vijayendran</v>
      </c>
      <c r="I1714" s="31">
        <f>VLOOKUP(A1714,File!$A:$J,9,FALSE)</f>
        <v>46343</v>
      </c>
      <c r="J1714" s="31" t="str">
        <f>VLOOKUP(A1714,File!$A:$K,11,FALSE)</f>
        <v>Nov 2026</v>
      </c>
      <c r="K1714" s="31" t="str">
        <f>VLOOKUP(A1714,File!$A:$K,10,FALSE)</f>
        <v>In-Training</v>
      </c>
      <c r="L1714" s="31" t="s">
        <v>5</v>
      </c>
      <c r="M1714" t="str">
        <f>VLOOKUP(A1714,Response!$A:$M,7,)</f>
        <v>Rented House/Apartment</v>
      </c>
      <c r="N1714" t="str">
        <f>VLOOKUP(A1714,Response!$A:$M,8,)</f>
        <v>Yube1 Greenhouse kaipattur</v>
      </c>
      <c r="O1714" s="4">
        <f>VLOOKUP(A1714,Response!$A:$M,10,)</f>
        <v>3</v>
      </c>
      <c r="P1714" t="str">
        <f>VLOOKUP(A1714,Response!$A:$M,12,)</f>
        <v>No</v>
      </c>
      <c r="Q1714" t="str">
        <f>VLOOKUP(A1714,Response!$A:$M,11,)</f>
        <v>Siruseri</v>
      </c>
      <c r="R1714" t="s">
        <v>19</v>
      </c>
      <c r="S1714" t="s">
        <v>38</v>
      </c>
    </row>
    <row r="1715" spans="1:19">
      <c r="A1715" s="3">
        <v>2524526</v>
      </c>
      <c r="B1715" t="str">
        <f>VLOOKUP(A1715,File!$A:$J,2,FALSE)</f>
        <v>Mohd Jeeshan</v>
      </c>
      <c r="C1715" s="29">
        <f>VLOOKUP(A1715,File!$A:$J,5,FALSE)</f>
        <v>46224</v>
      </c>
      <c r="D1715" s="29" t="str">
        <f>VLOOKUP(A1715,File!$A:$J,3,FALSE)</f>
        <v>Male</v>
      </c>
      <c r="E1715" s="29" t="str">
        <f>VLOOKUP(A1715,File!$A:$J,4,FALSE)</f>
        <v>FTE</v>
      </c>
      <c r="F1715" s="29" t="str">
        <f>VLOOKUP(A1715,File!$A:$J,6,FALSE)</f>
        <v>Chennai</v>
      </c>
      <c r="G1715" s="29" t="str">
        <f>VLOOKUP(A1715,File!$A:$J,7,FALSE)</f>
        <v>IOA26RPA005</v>
      </c>
      <c r="H1715" s="29" t="str">
        <f>VLOOKUP(A1715,File!$A:$J,8,FALSE)</f>
        <v>Adarsh J Nair</v>
      </c>
      <c r="I1715" s="31">
        <f>VLOOKUP(A1715,File!$A:$J,9,FALSE)</f>
        <v>46309</v>
      </c>
      <c r="J1715" s="31" t="str">
        <f>VLOOKUP(A1715,File!$A:$K,11,FALSE)</f>
        <v>Oct 2026</v>
      </c>
      <c r="K1715" s="31" t="str">
        <f>VLOOKUP(A1715,File!$A:$K,10,FALSE)</f>
        <v>In-Training</v>
      </c>
      <c r="L1715" s="31" t="s">
        <v>5</v>
      </c>
      <c r="M1715" t="str">
        <f>VLOOKUP(A1715,Response!$A:$M,7,)</f>
        <v>Rented House/Apartment</v>
      </c>
      <c r="N1715" t="str">
        <f>VLOOKUP(A1715,Response!$A:$M,8,)</f>
        <v>zolo cyan ,paddur</v>
      </c>
      <c r="O1715" s="4">
        <f>VLOOKUP(A1715,Response!$A:$M,10,)</f>
        <v>2</v>
      </c>
      <c r="P1715" t="str">
        <f>VLOOKUP(A1715,Response!$A:$M,12,)</f>
        <v>No</v>
      </c>
      <c r="Q1715" t="str">
        <f>VLOOKUP(A1715,Response!$A:$M,11,)</f>
        <v>Siruseri</v>
      </c>
      <c r="R1715" t="s">
        <v>19</v>
      </c>
      <c r="S1715" t="s">
        <v>38</v>
      </c>
    </row>
    <row r="1716" spans="1:19">
      <c r="A1716" s="3">
        <v>2526595</v>
      </c>
      <c r="B1716" t="str">
        <f>VLOOKUP(A1716,File!$A:$J,2,FALSE)</f>
        <v>Shashwath Shankar R</v>
      </c>
      <c r="C1716" s="29">
        <f>VLOOKUP(A1716,File!$A:$J,5,FALSE)</f>
        <v>46233</v>
      </c>
      <c r="D1716" s="29" t="str">
        <f>VLOOKUP(A1716,File!$A:$J,3,FALSE)</f>
        <v>Male</v>
      </c>
      <c r="E1716" s="29" t="str">
        <f>VLOOKUP(A1716,File!$A:$J,4,FALSE)</f>
        <v>FTE</v>
      </c>
      <c r="F1716" s="29" t="str">
        <f>VLOOKUP(A1716,File!$A:$J,6,FALSE)</f>
        <v>Chennai</v>
      </c>
      <c r="G1716" s="29" t="str">
        <f>VLOOKUP(A1716,File!$A:$J,7,FALSE)</f>
        <v>QEA26JP001</v>
      </c>
      <c r="H1716" s="29" t="str">
        <f>VLOOKUP(A1716,File!$A:$J,8,FALSE)</f>
        <v>Ajiesya D P</v>
      </c>
      <c r="I1716" s="31" t="str">
        <f>VLOOKUP(A1716,File!$A:$J,9,FALSE)</f>
        <v/>
      </c>
      <c r="J1716" s="44" t="s">
        <v>33</v>
      </c>
      <c r="K1716" s="31" t="str">
        <f>VLOOKUP(A1716,File!$A:$K,10,FALSE)</f>
        <v>Training - ON Hold</v>
      </c>
      <c r="L1716" s="31" t="s">
        <v>4</v>
      </c>
      <c r="M1716" t="str">
        <f>VLOOKUP(A1716,Response!$A:$M,7,)</f>
        <v>PG (Paying Guest)</v>
      </c>
      <c r="N1716" t="str">
        <f>VLOOKUP(A1716,Response!$A:$M,8,)</f>
        <v>Zolo Cyan, Padur</v>
      </c>
      <c r="O1716" s="4">
        <f>VLOOKUP(A1716,Response!$A:$M,10,)</f>
        <v>1</v>
      </c>
      <c r="P1716" t="str">
        <f>VLOOKUP(A1716,Response!$A:$M,12,)</f>
        <v>No</v>
      </c>
      <c r="Q1716" t="str">
        <f>VLOOKUP(A1716,Response!$A:$M,11,)</f>
        <v>Padur</v>
      </c>
      <c r="R1716" t="s">
        <v>15</v>
      </c>
      <c r="S1716" s="40" t="s">
        <v>36</v>
      </c>
    </row>
    <row r="1717" spans="1:19">
      <c r="A1717" s="3">
        <v>2530138</v>
      </c>
      <c r="B1717" t="str">
        <f>VLOOKUP(A1717,File!$A:$J,2,FALSE)</f>
        <v>Rizwan Khan</v>
      </c>
      <c r="C1717" s="29">
        <f>VLOOKUP(A1717,File!$A:$J,5,FALSE)</f>
        <v>46247</v>
      </c>
      <c r="D1717" s="29" t="str">
        <f>VLOOKUP(A1717,File!$A:$J,3,FALSE)</f>
        <v>Male</v>
      </c>
      <c r="E1717" s="29" t="str">
        <f>VLOOKUP(A1717,File!$A:$J,4,FALSE)</f>
        <v>FTE</v>
      </c>
      <c r="F1717" s="29" t="str">
        <f>VLOOKUP(A1717,File!$A:$J,6,FALSE)</f>
        <v>Chennai</v>
      </c>
      <c r="G1717" s="29" t="str">
        <f>VLOOKUP(A1717,File!$A:$J,7,FALSE)</f>
        <v>EPS26SAP034</v>
      </c>
      <c r="H1717" s="29" t="str">
        <f>VLOOKUP(A1717,File!$A:$J,8,FALSE)</f>
        <v>Gayathri Ramachandran</v>
      </c>
      <c r="I1717" s="31">
        <f>VLOOKUP(A1717,File!$A:$J,9,FALSE)</f>
        <v>46331</v>
      </c>
      <c r="J1717" s="31" t="str">
        <f>VLOOKUP(A1717,File!$A:$K,11,FALSE)</f>
        <v>Nov 2026</v>
      </c>
      <c r="K1717" s="31" t="str">
        <f>VLOOKUP(A1717,File!$A:$K,10,FALSE)</f>
        <v>In-Training</v>
      </c>
      <c r="L1717" s="31" t="s">
        <v>4</v>
      </c>
      <c r="M1717" t="str">
        <f>VLOOKUP(A1717,Response!$A:$M,7,)</f>
        <v>PG (Paying Guest)</v>
      </c>
      <c r="N1717" t="str">
        <f>VLOOKUP(A1717,Response!$A:$M,8,)</f>
        <v>Zolo Cyan, Padur</v>
      </c>
      <c r="O1717" s="4">
        <f>VLOOKUP(A1717,Response!$A:$M,10,)</f>
        <v>2</v>
      </c>
      <c r="P1717" t="str">
        <f>VLOOKUP(A1717,Response!$A:$M,12,)</f>
        <v>No</v>
      </c>
      <c r="Q1717" t="str">
        <f>VLOOKUP(A1717,Response!$A:$M,11,)</f>
        <v>Padur</v>
      </c>
      <c r="R1717" t="s">
        <v>15</v>
      </c>
      <c r="S1717" s="40" t="s">
        <v>36</v>
      </c>
    </row>
    <row r="1718" spans="1:19">
      <c r="A1718" s="3">
        <v>2520960</v>
      </c>
      <c r="B1718" t="str">
        <f>VLOOKUP(A1718,File!$A:$J,2,FALSE)</f>
        <v>Abhishek Gupta</v>
      </c>
      <c r="C1718" s="29">
        <f>VLOOKUP(A1718,File!$A:$J,5,FALSE)</f>
        <v>46210</v>
      </c>
      <c r="D1718" s="29" t="str">
        <f>VLOOKUP(A1718,File!$A:$J,3,FALSE)</f>
        <v>Male</v>
      </c>
      <c r="E1718" s="29" t="str">
        <f>VLOOKUP(A1718,File!$A:$J,4,FALSE)</f>
        <v>FTE</v>
      </c>
      <c r="F1718" s="29" t="str">
        <f>VLOOKUP(A1718,File!$A:$J,6,FALSE)</f>
        <v>Chennai</v>
      </c>
      <c r="G1718" s="29" t="str">
        <f>VLOOKUP(A1718,File!$A:$J,7,FALSE)</f>
        <v>CS26CS008</v>
      </c>
      <c r="H1718" s="29" t="str">
        <f>VLOOKUP(A1718,File!$A:$J,8,FALSE)</f>
        <v>Kishorekumar P</v>
      </c>
      <c r="I1718" s="31">
        <f>VLOOKUP(A1718,File!$A:$J,9,FALSE)</f>
        <v>46323</v>
      </c>
      <c r="J1718" s="31" t="str">
        <f>VLOOKUP(A1718,File!$A:$K,11,FALSE)</f>
        <v>Oct 2026</v>
      </c>
      <c r="K1718" s="31" t="str">
        <f>VLOOKUP(A1718,File!$A:$K,10,FALSE)</f>
        <v>In-Training</v>
      </c>
      <c r="L1718" s="31" t="s">
        <v>4</v>
      </c>
      <c r="M1718" t="str">
        <f>VLOOKUP(A1718,Response!$A:$M,7,)</f>
        <v>PG (Paying Guest)</v>
      </c>
      <c r="N1718" t="str">
        <f>VLOOKUP(A1718,Response!$A:$M,8,)</f>
        <v>Zolo Mayfield</v>
      </c>
      <c r="O1718" s="4">
        <f>VLOOKUP(A1718,Response!$A:$M,10,)</f>
        <v>12</v>
      </c>
      <c r="P1718" t="str">
        <f>VLOOKUP(A1718,Response!$A:$M,12,)</f>
        <v>Yes</v>
      </c>
      <c r="Q1718" t="str">
        <f>VLOOKUP(A1718,Response!$A:$M,11,)</f>
        <v>Padur</v>
      </c>
      <c r="R1718" t="s">
        <v>15</v>
      </c>
      <c r="S1718" s="40" t="s">
        <v>36</v>
      </c>
    </row>
    <row r="1719" spans="1:19">
      <c r="A1719" s="3">
        <v>2521101</v>
      </c>
      <c r="B1719" t="str">
        <f>VLOOKUP(A1719,File!$A:$J,2,FALSE)</f>
        <v>Jitesh Singh</v>
      </c>
      <c r="C1719" s="29">
        <f>VLOOKUP(A1719,File!$A:$J,5,FALSE)</f>
        <v>46210</v>
      </c>
      <c r="D1719" s="29" t="str">
        <f>VLOOKUP(A1719,File!$A:$J,3,FALSE)</f>
        <v>Male</v>
      </c>
      <c r="E1719" s="29" t="str">
        <f>VLOOKUP(A1719,File!$A:$J,4,FALSE)</f>
        <v>FTE</v>
      </c>
      <c r="F1719" s="29" t="str">
        <f>VLOOKUP(A1719,File!$A:$J,6,FALSE)</f>
        <v>Chennai</v>
      </c>
      <c r="G1719" s="29" t="str">
        <f>VLOOKUP(A1719,File!$A:$J,7,FALSE)</f>
        <v>CS26CS007</v>
      </c>
      <c r="H1719" s="29" t="str">
        <f>VLOOKUP(A1719,File!$A:$J,8,FALSE)</f>
        <v>Lawrance M</v>
      </c>
      <c r="I1719" s="31">
        <f>VLOOKUP(A1719,File!$A:$J,9,FALSE)</f>
        <v>46272</v>
      </c>
      <c r="J1719" s="31" t="str">
        <f>VLOOKUP(A1719,File!$A:$K,11,FALSE)</f>
        <v>Sep 2026</v>
      </c>
      <c r="K1719" s="31" t="str">
        <f>VLOOKUP(A1719,File!$A:$K,10,FALSE)</f>
        <v>In-Training</v>
      </c>
      <c r="L1719" s="31" t="s">
        <v>4</v>
      </c>
      <c r="M1719" t="str">
        <f>VLOOKUP(A1719,Response!$A:$M,7,)</f>
        <v>PG (Paying Guest)</v>
      </c>
      <c r="N1719" t="str">
        <f>VLOOKUP(A1719,Response!$A:$M,8,)</f>
        <v>Zolo Mayfield - PG in Padur | Unisex PG</v>
      </c>
      <c r="O1719" s="4">
        <f>VLOOKUP(A1719,Response!$A:$M,10,)</f>
        <v>5</v>
      </c>
      <c r="P1719" t="str">
        <f>VLOOKUP(A1719,Response!$A:$M,12,)</f>
        <v>No</v>
      </c>
      <c r="Q1719" t="str">
        <f>VLOOKUP(A1719,Response!$A:$M,11,)</f>
        <v>Padur</v>
      </c>
      <c r="R1719" t="s">
        <v>15</v>
      </c>
      <c r="S1719" s="40" t="s">
        <v>36</v>
      </c>
    </row>
    <row r="1720" spans="1:19">
      <c r="A1720" s="3">
        <v>2521717</v>
      </c>
      <c r="B1720" t="str">
        <f>VLOOKUP(A1720,File!$A:$J,2,FALSE)</f>
        <v>Akash Patel</v>
      </c>
      <c r="C1720" s="29">
        <f>VLOOKUP(A1720,File!$A:$J,5,FALSE)</f>
        <v>46212</v>
      </c>
      <c r="D1720" s="29" t="str">
        <f>VLOOKUP(A1720,File!$A:$J,3,FALSE)</f>
        <v>Male</v>
      </c>
      <c r="E1720" s="29" t="str">
        <f>VLOOKUP(A1720,File!$A:$J,4,FALSE)</f>
        <v>FTE</v>
      </c>
      <c r="F1720" s="29" t="str">
        <f>VLOOKUP(A1720,File!$A:$J,6,FALSE)</f>
        <v>Chennai</v>
      </c>
      <c r="G1720" s="29" t="str">
        <f>VLOOKUP(A1720,File!$A:$J,7,FALSE)</f>
        <v>QEA26SD001</v>
      </c>
      <c r="H1720" s="29" t="str">
        <f>VLOOKUP(A1720,File!$A:$J,8,FALSE)</f>
        <v>Ajiesya D P</v>
      </c>
      <c r="I1720" s="31">
        <f>VLOOKUP(A1720,File!$A:$J,9,FALSE)</f>
        <v>46329</v>
      </c>
      <c r="J1720" s="31" t="str">
        <f>VLOOKUP(A1720,File!$A:$K,11,FALSE)</f>
        <v>Nov 2026</v>
      </c>
      <c r="K1720" s="31" t="str">
        <f>VLOOKUP(A1720,File!$A:$K,10,FALSE)</f>
        <v>In-Training</v>
      </c>
      <c r="L1720" s="31" t="s">
        <v>4</v>
      </c>
      <c r="M1720" t="str">
        <f>VLOOKUP(A1720,Response!$A:$M,7,)</f>
        <v>PG (Paying Guest)</v>
      </c>
      <c r="N1720" t="str">
        <f>VLOOKUP(A1720,Response!$A:$M,8,)</f>
        <v>ZOLO MAYFIELD (TVH OURANYA BAY)</v>
      </c>
      <c r="O1720" s="4">
        <f>VLOOKUP(A1720,Response!$A:$M,10,)</f>
        <v>6</v>
      </c>
      <c r="P1720" t="str">
        <f>VLOOKUP(A1720,Response!$A:$M,12,)</f>
        <v>No</v>
      </c>
      <c r="Q1720" t="str">
        <f>VLOOKUP(A1720,Response!$A:$M,11,)</f>
        <v>Padur</v>
      </c>
      <c r="R1720" t="s">
        <v>15</v>
      </c>
      <c r="S1720" s="40" t="s">
        <v>36</v>
      </c>
    </row>
    <row r="1721" spans="1:19">
      <c r="A1721" s="3">
        <v>2521739</v>
      </c>
      <c r="B1721" t="str">
        <f>VLOOKUP(A1721,File!$A:$J,2,FALSE)</f>
        <v>Nihar Ranjan Sahu</v>
      </c>
      <c r="C1721" s="29">
        <f>VLOOKUP(A1721,File!$A:$J,5,FALSE)</f>
        <v>46212</v>
      </c>
      <c r="D1721" s="29" t="str">
        <f>VLOOKUP(A1721,File!$A:$J,3,FALSE)</f>
        <v>Male</v>
      </c>
      <c r="E1721" s="29" t="str">
        <f>VLOOKUP(A1721,File!$A:$J,4,FALSE)</f>
        <v>FTE</v>
      </c>
      <c r="F1721" s="29" t="str">
        <f>VLOOKUP(A1721,File!$A:$J,6,FALSE)</f>
        <v>Chennai</v>
      </c>
      <c r="G1721" s="29" t="str">
        <f>VLOOKUP(A1721,File!$A:$J,7,FALSE)</f>
        <v>QEA26SD001</v>
      </c>
      <c r="H1721" s="29" t="str">
        <f>VLOOKUP(A1721,File!$A:$J,8,FALSE)</f>
        <v>Ajiesya D P</v>
      </c>
      <c r="I1721" s="31">
        <f>VLOOKUP(A1721,File!$A:$J,9,FALSE)</f>
        <v>46329</v>
      </c>
      <c r="J1721" s="31" t="str">
        <f>VLOOKUP(A1721,File!$A:$K,11,FALSE)</f>
        <v>Nov 2026</v>
      </c>
      <c r="K1721" s="31" t="str">
        <f>VLOOKUP(A1721,File!$A:$K,10,FALSE)</f>
        <v>In-Training</v>
      </c>
      <c r="L1721" s="31" t="s">
        <v>4</v>
      </c>
      <c r="M1721" t="str">
        <f>VLOOKUP(A1721,Response!$A:$M,7,)</f>
        <v>PG (Paying Guest)</v>
      </c>
      <c r="N1721" t="str">
        <f>VLOOKUP(A1721,Response!$A:$M,8,)</f>
        <v>Zolo Mayfield ,TVH Ouranaya, Padur</v>
      </c>
      <c r="O1721" s="4">
        <f>VLOOKUP(A1721,Response!$A:$M,10,)</f>
        <v>23</v>
      </c>
      <c r="P1721" t="str">
        <f>VLOOKUP(A1721,Response!$A:$M,12,)</f>
        <v>No</v>
      </c>
      <c r="Q1721" t="str">
        <f>VLOOKUP(A1721,Response!$A:$M,11,)</f>
        <v>Padur</v>
      </c>
      <c r="R1721" t="s">
        <v>15</v>
      </c>
      <c r="S1721" s="40" t="s">
        <v>36</v>
      </c>
    </row>
    <row r="1722" spans="1:19">
      <c r="A1722" s="3">
        <v>2524503</v>
      </c>
      <c r="B1722" t="str">
        <f>VLOOKUP(A1722,File!$A:$J,2,FALSE)</f>
        <v>Kumar Alok Sharma</v>
      </c>
      <c r="C1722" s="29">
        <f>VLOOKUP(A1722,File!$A:$J,5,FALSE)</f>
        <v>46224</v>
      </c>
      <c r="D1722" s="29" t="str">
        <f>VLOOKUP(A1722,File!$A:$J,3,FALSE)</f>
        <v>Male</v>
      </c>
      <c r="E1722" s="29" t="str">
        <f>VLOOKUP(A1722,File!$A:$J,4,FALSE)</f>
        <v>FTE</v>
      </c>
      <c r="F1722" s="29" t="str">
        <f>VLOOKUP(A1722,File!$A:$J,6,FALSE)</f>
        <v>Chennai</v>
      </c>
      <c r="G1722" s="29" t="str">
        <f>VLOOKUP(A1722,File!$A:$J,7,FALSE)</f>
        <v>ADM26MF012</v>
      </c>
      <c r="H1722" s="29" t="str">
        <f>VLOOKUP(A1722,File!$A:$J,8,FALSE)</f>
        <v>Lourdhu Selvin Raj X</v>
      </c>
      <c r="I1722" s="31">
        <f>VLOOKUP(A1722,File!$A:$J,9,FALSE)</f>
        <v>46343</v>
      </c>
      <c r="J1722" s="31" t="str">
        <f>VLOOKUP(A1722,File!$A:$K,11,FALSE)</f>
        <v>Nov 2026</v>
      </c>
      <c r="K1722" s="31" t="str">
        <f>VLOOKUP(A1722,File!$A:$K,10,FALSE)</f>
        <v>In-Training</v>
      </c>
      <c r="L1722" s="31" t="s">
        <v>4</v>
      </c>
      <c r="M1722" t="str">
        <f>VLOOKUP(A1722,Response!$A:$M,7,)</f>
        <v>PG (Paying Guest)</v>
      </c>
      <c r="N1722" t="str">
        <f>VLOOKUP(A1722,Response!$A:$M,8,)</f>
        <v>Zolo Mirage</v>
      </c>
      <c r="O1722" s="4">
        <f>VLOOKUP(A1722,Response!$A:$M,10,)</f>
        <v>2</v>
      </c>
      <c r="P1722" t="str">
        <f>VLOOKUP(A1722,Response!$A:$M,12,)</f>
        <v>No</v>
      </c>
      <c r="Q1722" t="str">
        <f>VLOOKUP(A1722,Response!$A:$M,11,)</f>
        <v>Sipcot Bus stand</v>
      </c>
      <c r="R1722" t="s">
        <v>19</v>
      </c>
      <c r="S1722" s="39" t="s">
        <v>37</v>
      </c>
    </row>
    <row r="1723" spans="1:19">
      <c r="A1723" s="3">
        <v>2531843</v>
      </c>
      <c r="B1723" t="str">
        <f>VLOOKUP(A1723,File!$A:$J,2,FALSE)</f>
        <v>Nikhil Kumar</v>
      </c>
      <c r="C1723" s="29">
        <f>VLOOKUP(A1723,File!$A:$J,5,FALSE)</f>
        <v>46254</v>
      </c>
      <c r="D1723" s="29" t="str">
        <f>VLOOKUP(A1723,File!$A:$J,3,FALSE)</f>
        <v>Male</v>
      </c>
      <c r="E1723" s="29" t="str">
        <f>VLOOKUP(A1723,File!$A:$J,4,FALSE)</f>
        <v>FTE</v>
      </c>
      <c r="F1723" s="29" t="str">
        <f>VLOOKUP(A1723,File!$A:$J,6,FALSE)</f>
        <v>Chennai</v>
      </c>
      <c r="G1723" s="29" t="str">
        <f>VLOOKUP(A1723,File!$A:$J,7,FALSE)</f>
        <v>CS26CS012</v>
      </c>
      <c r="H1723" s="29" t="str">
        <f>VLOOKUP(A1723,File!$A:$J,8,FALSE)</f>
        <v>Laksiya Vijayendran</v>
      </c>
      <c r="I1723" s="31">
        <f>VLOOKUP(A1723,File!$A:$J,9,FALSE)</f>
        <v>46343</v>
      </c>
      <c r="J1723" s="31" t="str">
        <f>VLOOKUP(A1723,File!$A:$K,11,FALSE)</f>
        <v>Nov 2026</v>
      </c>
      <c r="K1723" s="31" t="str">
        <f>VLOOKUP(A1723,File!$A:$K,10,FALSE)</f>
        <v>In-Training</v>
      </c>
      <c r="L1723" s="31" t="s">
        <v>4</v>
      </c>
      <c r="M1723" t="str">
        <f>VLOOKUP(A1723,Response!$A:$M,7,)</f>
        <v>PG (Paying Guest)</v>
      </c>
      <c r="N1723" t="str">
        <f>VLOOKUP(A1723,Response!$A:$M,8,)</f>
        <v>Zolo Mirage</v>
      </c>
      <c r="O1723" s="4">
        <f>VLOOKUP(A1723,Response!$A:$M,10,)</f>
        <v>2</v>
      </c>
      <c r="P1723" t="str">
        <f>VLOOKUP(A1723,Response!$A:$M,12,)</f>
        <v>No</v>
      </c>
      <c r="Q1723" t="str">
        <f>VLOOKUP(A1723,Response!$A:$M,11,)</f>
        <v>Egattur</v>
      </c>
      <c r="R1723" t="s">
        <v>19</v>
      </c>
      <c r="S1723" s="39" t="s">
        <v>37</v>
      </c>
    </row>
    <row r="1724" spans="1:19">
      <c r="A1724" s="3">
        <v>2533162</v>
      </c>
      <c r="B1724" t="str">
        <f>VLOOKUP(A1724,File!$A:$J,2,FALSE)</f>
        <v>Ashwin Suresh</v>
      </c>
      <c r="C1724" s="29">
        <f>VLOOKUP(A1724,File!$A:$J,5,FALSE)</f>
        <v>46259</v>
      </c>
      <c r="D1724" s="29" t="str">
        <f>VLOOKUP(A1724,File!$A:$J,3,FALSE)</f>
        <v>Male</v>
      </c>
      <c r="E1724" s="29" t="str">
        <f>VLOOKUP(A1724,File!$A:$J,4,FALSE)</f>
        <v>FTE</v>
      </c>
      <c r="F1724" s="29" t="str">
        <f>VLOOKUP(A1724,File!$A:$J,6,FALSE)</f>
        <v>Chennai</v>
      </c>
      <c r="G1724" s="29" t="str">
        <f>VLOOKUP(A1724,File!$A:$J,7,FALSE)</f>
        <v>CIS26MBG003</v>
      </c>
      <c r="H1724" s="29" t="str">
        <f>VLOOKUP(A1724,File!$A:$J,8,FALSE)</f>
        <v>Kishorekumar P</v>
      </c>
      <c r="I1724" s="31">
        <f>VLOOKUP(A1724,File!$A:$J,9,FALSE)</f>
        <v>46367</v>
      </c>
      <c r="J1724" s="31" t="str">
        <f>VLOOKUP(A1724,File!$A:$K,11,FALSE)</f>
        <v>Dec 2026</v>
      </c>
      <c r="K1724" s="31" t="str">
        <f>VLOOKUP(A1724,File!$A:$K,10,FALSE)</f>
        <v>In-Training</v>
      </c>
      <c r="L1724" s="31" t="s">
        <v>4</v>
      </c>
      <c r="M1724" t="str">
        <f>VLOOKUP(A1724,Response!$A:$M,7,)</f>
        <v>PG (Paying Guest)</v>
      </c>
      <c r="N1724" t="str">
        <f>VLOOKUP(A1724,Response!$A:$M,8,)</f>
        <v>Zolo Mirage</v>
      </c>
      <c r="O1724" s="4">
        <f>VLOOKUP(A1724,Response!$A:$M,10,)</f>
        <v>2</v>
      </c>
      <c r="P1724" t="str">
        <f>VLOOKUP(A1724,Response!$A:$M,12,)</f>
        <v>No</v>
      </c>
      <c r="Q1724" t="str">
        <f>VLOOKUP(A1724,Response!$A:$M,11,)</f>
        <v>Siruseri</v>
      </c>
      <c r="R1724" t="s">
        <v>19</v>
      </c>
      <c r="S1724" s="39" t="s">
        <v>37</v>
      </c>
    </row>
    <row r="1725" spans="1:19">
      <c r="A1725" s="3">
        <v>2530198</v>
      </c>
      <c r="B1725" t="str">
        <f>VLOOKUP(A1725,File!$A:$J,2,FALSE)</f>
        <v>Aditya Kumar Panigrahy</v>
      </c>
      <c r="C1725" s="29">
        <f>VLOOKUP(A1725,File!$A:$J,5,FALSE)</f>
        <v>46247</v>
      </c>
      <c r="D1725" s="29" t="str">
        <f>VLOOKUP(A1725,File!$A:$J,3,FALSE)</f>
        <v>Male</v>
      </c>
      <c r="E1725" s="29" t="str">
        <f>VLOOKUP(A1725,File!$A:$J,4,FALSE)</f>
        <v>FTE</v>
      </c>
      <c r="F1725" s="29" t="str">
        <f>VLOOKUP(A1725,File!$A:$J,6,FALSE)</f>
        <v>Chennai</v>
      </c>
      <c r="G1725" s="29" t="str">
        <f>VLOOKUP(A1725,File!$A:$J,7,FALSE)</f>
        <v>EPS26OSPPRO001</v>
      </c>
      <c r="H1725" s="29" t="str">
        <f>VLOOKUP(A1725,File!$A:$J,8,FALSE)</f>
        <v>Gayathri Ramachandran</v>
      </c>
      <c r="I1725" s="31">
        <f>VLOOKUP(A1725,File!$A:$J,9,FALSE)</f>
        <v>46363</v>
      </c>
      <c r="J1725" s="31" t="str">
        <f>VLOOKUP(A1725,File!$A:$K,11,FALSE)</f>
        <v>Dec 2026</v>
      </c>
      <c r="K1725" s="31" t="str">
        <f>VLOOKUP(A1725,File!$A:$K,10,FALSE)</f>
        <v>In-Training</v>
      </c>
      <c r="L1725" s="31" t="s">
        <v>4</v>
      </c>
      <c r="M1725" t="str">
        <f>VLOOKUP(A1725,Response!$A:$M,7,)</f>
        <v>PG (Paying Guest)</v>
      </c>
      <c r="N1725" t="str">
        <f>VLOOKUP(A1725,Response!$A:$M,8,)</f>
        <v>Zolo Mirage, SIPCOT Siruseri</v>
      </c>
      <c r="O1725" s="4">
        <f>VLOOKUP(A1725,Response!$A:$M,10,)</f>
        <v>2</v>
      </c>
      <c r="P1725" t="str">
        <f>VLOOKUP(A1725,Response!$A:$M,12,)</f>
        <v>Yes</v>
      </c>
      <c r="Q1725" t="str">
        <f>VLOOKUP(A1725,Response!$A:$M,11,)</f>
        <v>Siruseri</v>
      </c>
      <c r="R1725" t="s">
        <v>19</v>
      </c>
      <c r="S1725" s="39" t="s">
        <v>37</v>
      </c>
    </row>
    <row r="1726" spans="1:19">
      <c r="A1726" s="3">
        <v>2529596</v>
      </c>
      <c r="B1726" t="str">
        <f>VLOOKUP(A1726,File!$A:$J,2,FALSE)</f>
        <v>Gurudatta Heroor</v>
      </c>
      <c r="C1726" s="29">
        <f>VLOOKUP(A1726,File!$A:$J,5,FALSE)</f>
        <v>46245</v>
      </c>
      <c r="D1726" s="29" t="str">
        <f>VLOOKUP(A1726,File!$A:$J,3,FALSE)</f>
        <v>Male</v>
      </c>
      <c r="E1726" s="29" t="str">
        <f>VLOOKUP(A1726,File!$A:$J,4,FALSE)</f>
        <v>FTE</v>
      </c>
      <c r="F1726" s="29" t="str">
        <f>VLOOKUP(A1726,File!$A:$J,6,FALSE)</f>
        <v>Chennai</v>
      </c>
      <c r="G1726" s="29" t="str">
        <f>VLOOKUP(A1726,File!$A:$J,7,FALSE)</f>
        <v>CIS26MCPT024</v>
      </c>
      <c r="H1726" s="29" t="str">
        <f>VLOOKUP(A1726,File!$A:$J,8,FALSE)</f>
        <v>Ashiya Begam S</v>
      </c>
      <c r="I1726" s="31">
        <f>VLOOKUP(A1726,File!$A:$J,9,FALSE)</f>
        <v>46359</v>
      </c>
      <c r="J1726" s="31" t="str">
        <f>VLOOKUP(A1726,File!$A:$K,11,FALSE)</f>
        <v>Dec 2026</v>
      </c>
      <c r="K1726" s="31" t="str">
        <f>VLOOKUP(A1726,File!$A:$K,10,FALSE)</f>
        <v>In-Training</v>
      </c>
      <c r="L1726" s="31" t="s">
        <v>4</v>
      </c>
      <c r="M1726" t="str">
        <f>VLOOKUP(A1726,Response!$A:$M,7,)</f>
        <v>PG (Paying Guest)</v>
      </c>
      <c r="N1726" t="str">
        <f>VLOOKUP(A1726,Response!$A:$M,8,)</f>
        <v xml:space="preserve">Zolo nook </v>
      </c>
      <c r="O1726" s="4">
        <f>VLOOKUP(A1726,Response!$A:$M,10,)</f>
        <v>1</v>
      </c>
      <c r="P1726" t="str">
        <f>VLOOKUP(A1726,Response!$A:$M,12,)</f>
        <v>No</v>
      </c>
      <c r="Q1726" t="str">
        <f>VLOOKUP(A1726,Response!$A:$M,11,)</f>
        <v>Sholinganallur</v>
      </c>
      <c r="R1726" t="s">
        <v>17</v>
      </c>
      <c r="S1726" s="39" t="s">
        <v>37</v>
      </c>
    </row>
    <row r="1727" spans="1:19">
      <c r="A1727" s="3">
        <v>2529598</v>
      </c>
      <c r="B1727" t="str">
        <f>VLOOKUP(A1727,File!$A:$J,2,FALSE)</f>
        <v>Arli Aswini Srija</v>
      </c>
      <c r="C1727" s="29">
        <f>VLOOKUP(A1727,File!$A:$J,5,FALSE)</f>
        <v>46245</v>
      </c>
      <c r="D1727" s="29" t="str">
        <f>VLOOKUP(A1727,File!$A:$J,3,FALSE)</f>
        <v>Female</v>
      </c>
      <c r="E1727" s="29" t="str">
        <f>VLOOKUP(A1727,File!$A:$J,4,FALSE)</f>
        <v>FTE</v>
      </c>
      <c r="F1727" s="29" t="str">
        <f>VLOOKUP(A1727,File!$A:$J,6,FALSE)</f>
        <v>Chennai</v>
      </c>
      <c r="G1727" s="29" t="str">
        <f>VLOOKUP(A1727,File!$A:$J,7,FALSE)</f>
        <v>CIS26MCPT026</v>
      </c>
      <c r="H1727" s="29" t="str">
        <f>VLOOKUP(A1727,File!$A:$J,8,FALSE)</f>
        <v>Mohamed Harish</v>
      </c>
      <c r="I1727" s="31">
        <f>VLOOKUP(A1727,File!$A:$J,9,FALSE)</f>
        <v>46364</v>
      </c>
      <c r="J1727" s="31" t="str">
        <f>VLOOKUP(A1727,File!$A:$K,11,FALSE)</f>
        <v>Dec 2026</v>
      </c>
      <c r="K1727" s="31" t="str">
        <f>VLOOKUP(A1727,File!$A:$K,10,FALSE)</f>
        <v>In-Training</v>
      </c>
      <c r="L1727" s="31" t="s">
        <v>4</v>
      </c>
      <c r="M1727" t="str">
        <f>VLOOKUP(A1727,Response!$A:$M,7,)</f>
        <v>Hostel</v>
      </c>
      <c r="N1727" t="str">
        <f>VLOOKUP(A1727,Response!$A:$M,8,)</f>
        <v>Smiles Inn Pg for Ladies ,Branch-3</v>
      </c>
      <c r="O1727" s="4">
        <f>VLOOKUP(A1727,Response!$A:$M,10,)</f>
        <v>2</v>
      </c>
      <c r="P1727" t="str">
        <f>VLOOKUP(A1727,Response!$A:$M,12,)</f>
        <v>No</v>
      </c>
      <c r="Q1727" t="str">
        <f>VLOOKUP(A1727,Response!$A:$M,11,)</f>
        <v>Navalur</v>
      </c>
      <c r="R1727" t="s">
        <v>17</v>
      </c>
      <c r="S1727" s="39" t="s">
        <v>37</v>
      </c>
    </row>
  </sheetData>
  <autoFilter ref="A1:S1" xr:uid="{2D9BEF4B-B384-4D49-9B8F-E1283EAB8238}">
    <sortState xmlns:xlrd2="http://schemas.microsoft.com/office/spreadsheetml/2017/richdata2" ref="A2:S1727">
      <sortCondition ref="N1"/>
    </sortState>
  </autoFilter>
  <conditionalFormatting sqref="A1:A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CD269-6DB8-4118-A17C-4686C2E6D6AB}">
  <dimension ref="A1:M2165"/>
  <sheetViews>
    <sheetView topLeftCell="A2110" workbookViewId="0">
      <selection activeCell="A2127" sqref="A2127:M2165"/>
    </sheetView>
  </sheetViews>
  <sheetFormatPr defaultColWidth="12.140625" defaultRowHeight="15"/>
  <cols>
    <col min="8" max="8" width="139.5703125" customWidth="1"/>
    <col min="10" max="10" width="23.5703125" customWidth="1"/>
  </cols>
  <sheetData>
    <row r="1" spans="1:13">
      <c r="A1">
        <v>1</v>
      </c>
      <c r="B1">
        <v>2</v>
      </c>
      <c r="C1">
        <v>3</v>
      </c>
      <c r="D1">
        <v>4</v>
      </c>
      <c r="E1">
        <v>5</v>
      </c>
      <c r="F1">
        <v>6</v>
      </c>
      <c r="G1">
        <v>7</v>
      </c>
      <c r="H1">
        <v>8</v>
      </c>
      <c r="I1">
        <v>9</v>
      </c>
      <c r="J1">
        <v>10</v>
      </c>
      <c r="K1">
        <v>11</v>
      </c>
      <c r="L1">
        <v>12</v>
      </c>
      <c r="M1">
        <v>13</v>
      </c>
    </row>
    <row r="2" spans="1:13">
      <c r="A2" s="26" t="s">
        <v>68</v>
      </c>
      <c r="B2" s="26" t="s">
        <v>69</v>
      </c>
      <c r="C2" s="26" t="s">
        <v>70</v>
      </c>
      <c r="D2" s="26" t="s">
        <v>71</v>
      </c>
      <c r="E2" s="26" t="s">
        <v>72</v>
      </c>
      <c r="F2" s="26" t="s">
        <v>73</v>
      </c>
      <c r="G2" s="26" t="s">
        <v>74</v>
      </c>
      <c r="H2" s="26" t="s">
        <v>75</v>
      </c>
      <c r="I2" s="26" t="s">
        <v>76</v>
      </c>
      <c r="J2" s="26" t="s">
        <v>77</v>
      </c>
      <c r="K2" s="26" t="s">
        <v>78</v>
      </c>
      <c r="L2" s="26" t="s">
        <v>79</v>
      </c>
      <c r="M2" s="27" t="s">
        <v>80</v>
      </c>
    </row>
    <row r="3" spans="1:13">
      <c r="A3" s="22">
        <v>2529534</v>
      </c>
      <c r="B3" s="23" t="s">
        <v>81</v>
      </c>
      <c r="C3" s="22" t="s">
        <v>82</v>
      </c>
      <c r="D3" s="22" t="s">
        <v>83</v>
      </c>
      <c r="E3" s="23" t="s">
        <v>84</v>
      </c>
      <c r="F3" s="23" t="s">
        <v>85</v>
      </c>
      <c r="G3" s="23" t="s">
        <v>25</v>
      </c>
      <c r="H3" s="22" t="s">
        <v>86</v>
      </c>
      <c r="I3" s="23" t="s">
        <v>87</v>
      </c>
      <c r="J3" s="23">
        <v>1</v>
      </c>
      <c r="K3" s="23" t="s">
        <v>88</v>
      </c>
      <c r="L3" s="23" t="s">
        <v>18</v>
      </c>
      <c r="M3" s="30" t="s">
        <v>86</v>
      </c>
    </row>
    <row r="4" spans="1:13">
      <c r="A4" s="19">
        <v>2441374</v>
      </c>
      <c r="B4" s="20" t="s">
        <v>89</v>
      </c>
      <c r="C4" s="19" t="s">
        <v>90</v>
      </c>
      <c r="D4" s="19" t="s">
        <v>91</v>
      </c>
      <c r="E4" s="20" t="s">
        <v>84</v>
      </c>
      <c r="F4" s="20" t="s">
        <v>92</v>
      </c>
      <c r="G4" s="20" t="s">
        <v>27</v>
      </c>
      <c r="H4" s="19" t="s">
        <v>86</v>
      </c>
      <c r="I4" s="20" t="s">
        <v>93</v>
      </c>
      <c r="J4" s="19" t="s">
        <v>94</v>
      </c>
      <c r="K4" s="20" t="s">
        <v>95</v>
      </c>
      <c r="L4" s="20" t="s">
        <v>18</v>
      </c>
      <c r="M4" s="21"/>
    </row>
    <row r="5" spans="1:13">
      <c r="A5" s="22">
        <v>2531975</v>
      </c>
      <c r="B5" s="23" t="s">
        <v>96</v>
      </c>
      <c r="C5" s="22" t="s">
        <v>97</v>
      </c>
      <c r="D5" s="22" t="s">
        <v>98</v>
      </c>
      <c r="E5" s="23" t="s">
        <v>84</v>
      </c>
      <c r="F5" s="23" t="s">
        <v>85</v>
      </c>
      <c r="G5" s="23" t="s">
        <v>25</v>
      </c>
      <c r="H5" s="23" t="s">
        <v>99</v>
      </c>
      <c r="I5" s="23" t="s">
        <v>100</v>
      </c>
      <c r="J5" s="36" t="s">
        <v>34</v>
      </c>
      <c r="K5" s="23" t="s">
        <v>101</v>
      </c>
      <c r="L5" s="23" t="s">
        <v>18</v>
      </c>
      <c r="M5" s="24"/>
    </row>
    <row r="6" spans="1:13">
      <c r="A6" s="22">
        <v>2530216</v>
      </c>
      <c r="B6" s="23" t="s">
        <v>102</v>
      </c>
      <c r="C6" s="22" t="s">
        <v>103</v>
      </c>
      <c r="D6" s="22" t="s">
        <v>104</v>
      </c>
      <c r="E6" s="23" t="s">
        <v>84</v>
      </c>
      <c r="F6" s="23" t="s">
        <v>92</v>
      </c>
      <c r="G6" s="23" t="s">
        <v>26</v>
      </c>
      <c r="H6" s="23" t="s">
        <v>105</v>
      </c>
      <c r="I6" s="23" t="s">
        <v>106</v>
      </c>
      <c r="J6" s="20">
        <v>2</v>
      </c>
      <c r="K6" s="23" t="s">
        <v>107</v>
      </c>
      <c r="L6" s="23" t="s">
        <v>18</v>
      </c>
      <c r="M6" s="24" t="s">
        <v>108</v>
      </c>
    </row>
    <row r="7" spans="1:13">
      <c r="A7" s="19">
        <v>2521623</v>
      </c>
      <c r="B7" s="20" t="s">
        <v>109</v>
      </c>
      <c r="C7" s="19" t="s">
        <v>110</v>
      </c>
      <c r="D7" s="19" t="s">
        <v>111</v>
      </c>
      <c r="E7" s="20" t="s">
        <v>84</v>
      </c>
      <c r="F7" s="20" t="s">
        <v>112</v>
      </c>
      <c r="G7" s="20" t="s">
        <v>24</v>
      </c>
      <c r="H7" s="23" t="s">
        <v>105</v>
      </c>
      <c r="I7" s="20" t="s">
        <v>113</v>
      </c>
      <c r="J7" s="20">
        <v>2</v>
      </c>
      <c r="K7" s="20" t="s">
        <v>107</v>
      </c>
      <c r="L7" s="20" t="s">
        <v>16</v>
      </c>
      <c r="M7" s="21"/>
    </row>
    <row r="8" spans="1:13">
      <c r="A8" s="22">
        <v>2521079</v>
      </c>
      <c r="B8" s="23" t="s">
        <v>114</v>
      </c>
      <c r="C8" s="22" t="s">
        <v>115</v>
      </c>
      <c r="D8" s="22" t="s">
        <v>116</v>
      </c>
      <c r="E8" s="23" t="s">
        <v>84</v>
      </c>
      <c r="F8" s="23" t="s">
        <v>92</v>
      </c>
      <c r="G8" s="23" t="s">
        <v>26</v>
      </c>
      <c r="H8" s="23" t="s">
        <v>117</v>
      </c>
      <c r="I8" s="23" t="s">
        <v>118</v>
      </c>
      <c r="J8" s="23">
        <v>3</v>
      </c>
      <c r="K8" s="23" t="s">
        <v>19</v>
      </c>
      <c r="L8" s="23" t="s">
        <v>16</v>
      </c>
      <c r="M8" s="24"/>
    </row>
    <row r="9" spans="1:13">
      <c r="A9" s="19">
        <v>2507506</v>
      </c>
      <c r="B9" s="20" t="s">
        <v>119</v>
      </c>
      <c r="C9" s="19" t="s">
        <v>120</v>
      </c>
      <c r="D9" s="19" t="s">
        <v>121</v>
      </c>
      <c r="E9" s="20" t="s">
        <v>84</v>
      </c>
      <c r="F9" s="20" t="s">
        <v>92</v>
      </c>
      <c r="G9" s="20" t="s">
        <v>26</v>
      </c>
      <c r="H9" s="20" t="s">
        <v>122</v>
      </c>
      <c r="I9" s="20" t="s">
        <v>123</v>
      </c>
      <c r="J9" s="19">
        <v>2</v>
      </c>
      <c r="K9" s="20" t="s">
        <v>107</v>
      </c>
      <c r="L9" s="20" t="s">
        <v>16</v>
      </c>
      <c r="M9" s="24"/>
    </row>
    <row r="10" spans="1:13">
      <c r="A10" s="19">
        <v>2485951</v>
      </c>
      <c r="B10" s="20" t="s">
        <v>124</v>
      </c>
      <c r="C10" s="19" t="s">
        <v>125</v>
      </c>
      <c r="D10" s="19" t="s">
        <v>126</v>
      </c>
      <c r="E10" s="20" t="s">
        <v>127</v>
      </c>
      <c r="F10" s="20" t="s">
        <v>92</v>
      </c>
      <c r="G10" s="20" t="s">
        <v>26</v>
      </c>
      <c r="H10" s="20" t="s">
        <v>128</v>
      </c>
      <c r="I10" s="20" t="s">
        <v>129</v>
      </c>
      <c r="J10" s="20">
        <v>4</v>
      </c>
      <c r="K10" s="20" t="s">
        <v>107</v>
      </c>
      <c r="L10" s="20" t="s">
        <v>16</v>
      </c>
      <c r="M10" s="21"/>
    </row>
    <row r="11" spans="1:13">
      <c r="A11" s="22">
        <v>2521631</v>
      </c>
      <c r="B11" s="23" t="s">
        <v>130</v>
      </c>
      <c r="C11" s="22" t="s">
        <v>131</v>
      </c>
      <c r="D11" s="22" t="s">
        <v>132</v>
      </c>
      <c r="E11" s="23" t="s">
        <v>84</v>
      </c>
      <c r="F11" s="23" t="s">
        <v>92</v>
      </c>
      <c r="G11" s="23" t="s">
        <v>26</v>
      </c>
      <c r="H11" s="23" t="s">
        <v>133</v>
      </c>
      <c r="I11" s="23" t="s">
        <v>134</v>
      </c>
      <c r="J11" s="20">
        <v>4</v>
      </c>
      <c r="K11" s="23" t="s">
        <v>19</v>
      </c>
      <c r="L11" s="23" t="s">
        <v>16</v>
      </c>
      <c r="M11" s="24" t="s">
        <v>135</v>
      </c>
    </row>
    <row r="12" spans="1:13">
      <c r="A12" s="22">
        <v>2533065</v>
      </c>
      <c r="B12" s="23" t="s">
        <v>136</v>
      </c>
      <c r="C12" s="22" t="s">
        <v>137</v>
      </c>
      <c r="D12" s="22" t="s">
        <v>138</v>
      </c>
      <c r="E12" s="23" t="s">
        <v>84</v>
      </c>
      <c r="F12" s="23" t="s">
        <v>92</v>
      </c>
      <c r="G12" s="23" t="s">
        <v>26</v>
      </c>
      <c r="H12" s="23" t="s">
        <v>139</v>
      </c>
      <c r="I12" s="23" t="s">
        <v>140</v>
      </c>
      <c r="J12" s="20">
        <v>4</v>
      </c>
      <c r="K12" s="23" t="s">
        <v>19</v>
      </c>
      <c r="L12" s="23" t="s">
        <v>18</v>
      </c>
      <c r="M12" s="24"/>
    </row>
    <row r="13" spans="1:13">
      <c r="A13" s="22">
        <v>2521700</v>
      </c>
      <c r="B13" s="23" t="s">
        <v>141</v>
      </c>
      <c r="C13" s="22" t="s">
        <v>142</v>
      </c>
      <c r="D13" s="22" t="s">
        <v>143</v>
      </c>
      <c r="E13" s="23" t="s">
        <v>127</v>
      </c>
      <c r="F13" s="23" t="s">
        <v>92</v>
      </c>
      <c r="G13" s="23" t="s">
        <v>26</v>
      </c>
      <c r="H13" s="23" t="s">
        <v>144</v>
      </c>
      <c r="I13" s="23" t="s">
        <v>145</v>
      </c>
      <c r="J13" s="23">
        <v>3</v>
      </c>
      <c r="K13" s="23" t="s">
        <v>107</v>
      </c>
      <c r="L13" s="23" t="s">
        <v>16</v>
      </c>
      <c r="M13" s="24" t="s">
        <v>146</v>
      </c>
    </row>
    <row r="14" spans="1:13">
      <c r="A14" s="19">
        <v>2523372</v>
      </c>
      <c r="B14" s="20" t="s">
        <v>147</v>
      </c>
      <c r="C14" s="19" t="s">
        <v>148</v>
      </c>
      <c r="D14" s="19" t="s">
        <v>149</v>
      </c>
      <c r="E14" s="20" t="s">
        <v>84</v>
      </c>
      <c r="F14" s="20" t="s">
        <v>92</v>
      </c>
      <c r="G14" s="20" t="s">
        <v>26</v>
      </c>
      <c r="H14" s="20" t="s">
        <v>150</v>
      </c>
      <c r="I14" s="20" t="s">
        <v>151</v>
      </c>
      <c r="J14" s="34" t="s">
        <v>34</v>
      </c>
      <c r="K14" s="20" t="s">
        <v>19</v>
      </c>
      <c r="L14" s="20" t="s">
        <v>18</v>
      </c>
      <c r="M14" s="21"/>
    </row>
    <row r="15" spans="1:13">
      <c r="A15" s="19">
        <v>2533210</v>
      </c>
      <c r="B15" s="20" t="s">
        <v>152</v>
      </c>
      <c r="C15" s="19" t="s">
        <v>153</v>
      </c>
      <c r="D15" s="19" t="s">
        <v>154</v>
      </c>
      <c r="E15" s="20" t="s">
        <v>84</v>
      </c>
      <c r="F15" s="20" t="s">
        <v>92</v>
      </c>
      <c r="G15" s="20" t="s">
        <v>26</v>
      </c>
      <c r="H15" s="20" t="s">
        <v>155</v>
      </c>
      <c r="I15" s="20" t="s">
        <v>156</v>
      </c>
      <c r="J15" s="20">
        <v>2</v>
      </c>
      <c r="K15" s="20" t="s">
        <v>107</v>
      </c>
      <c r="L15" s="20" t="s">
        <v>16</v>
      </c>
      <c r="M15" s="21"/>
    </row>
    <row r="16" spans="1:13">
      <c r="A16" s="22">
        <v>2531306</v>
      </c>
      <c r="B16" s="23" t="s">
        <v>157</v>
      </c>
      <c r="C16" s="22" t="s">
        <v>158</v>
      </c>
      <c r="D16" s="22" t="s">
        <v>159</v>
      </c>
      <c r="E16" s="23" t="s">
        <v>84</v>
      </c>
      <c r="F16" s="23" t="s">
        <v>112</v>
      </c>
      <c r="G16" s="23" t="s">
        <v>25</v>
      </c>
      <c r="H16" s="23" t="s">
        <v>160</v>
      </c>
      <c r="I16" s="23" t="s">
        <v>161</v>
      </c>
      <c r="J16" s="23">
        <v>1</v>
      </c>
      <c r="K16" s="23" t="s">
        <v>162</v>
      </c>
      <c r="L16" s="23" t="s">
        <v>18</v>
      </c>
      <c r="M16" s="24"/>
    </row>
    <row r="17" spans="1:13">
      <c r="A17" s="19">
        <v>2521700</v>
      </c>
      <c r="B17" s="20" t="s">
        <v>141</v>
      </c>
      <c r="C17" s="19" t="s">
        <v>142</v>
      </c>
      <c r="D17" s="19" t="s">
        <v>143</v>
      </c>
      <c r="E17" s="20" t="s">
        <v>127</v>
      </c>
      <c r="F17" s="20" t="s">
        <v>92</v>
      </c>
      <c r="G17" s="20" t="s">
        <v>26</v>
      </c>
      <c r="H17" s="70" t="s">
        <v>163</v>
      </c>
      <c r="I17" s="20" t="s">
        <v>163</v>
      </c>
      <c r="J17" s="23">
        <v>3</v>
      </c>
      <c r="K17" s="20" t="s">
        <v>107</v>
      </c>
      <c r="L17" s="20" t="s">
        <v>16</v>
      </c>
      <c r="M17" s="21" t="s">
        <v>164</v>
      </c>
    </row>
    <row r="18" spans="1:13">
      <c r="A18" s="22">
        <v>2521297</v>
      </c>
      <c r="B18" s="23" t="s">
        <v>165</v>
      </c>
      <c r="C18" s="22" t="s">
        <v>166</v>
      </c>
      <c r="D18" s="22" t="s">
        <v>167</v>
      </c>
      <c r="E18" s="23" t="s">
        <v>84</v>
      </c>
      <c r="F18" s="23" t="s">
        <v>92</v>
      </c>
      <c r="G18" s="23" t="s">
        <v>26</v>
      </c>
      <c r="H18" s="70" t="s">
        <v>168</v>
      </c>
      <c r="I18" s="23" t="s">
        <v>168</v>
      </c>
      <c r="J18" s="23">
        <v>3</v>
      </c>
      <c r="K18" s="23" t="s">
        <v>107</v>
      </c>
      <c r="L18" s="23" t="s">
        <v>16</v>
      </c>
      <c r="M18" s="24"/>
    </row>
    <row r="19" spans="1:13">
      <c r="A19" s="19">
        <v>2523419</v>
      </c>
      <c r="B19" s="20" t="s">
        <v>169</v>
      </c>
      <c r="C19" s="19" t="s">
        <v>170</v>
      </c>
      <c r="D19" s="19" t="s">
        <v>171</v>
      </c>
      <c r="E19" s="20" t="s">
        <v>127</v>
      </c>
      <c r="F19" s="20" t="s">
        <v>172</v>
      </c>
      <c r="G19" s="20" t="s">
        <v>26</v>
      </c>
      <c r="H19" s="70" t="s">
        <v>173</v>
      </c>
      <c r="I19" s="20" t="s">
        <v>174</v>
      </c>
      <c r="J19" s="20">
        <v>2</v>
      </c>
      <c r="K19" s="20" t="s">
        <v>107</v>
      </c>
      <c r="L19" s="20" t="s">
        <v>16</v>
      </c>
      <c r="M19" s="21"/>
    </row>
    <row r="20" spans="1:13">
      <c r="A20" s="22">
        <v>2523379</v>
      </c>
      <c r="B20" s="23" t="s">
        <v>175</v>
      </c>
      <c r="C20" s="22" t="s">
        <v>176</v>
      </c>
      <c r="D20" s="22" t="s">
        <v>177</v>
      </c>
      <c r="E20" s="23" t="s">
        <v>178</v>
      </c>
      <c r="F20" s="23" t="s">
        <v>85</v>
      </c>
      <c r="G20" s="23" t="s">
        <v>27</v>
      </c>
      <c r="H20" s="70" t="s">
        <v>179</v>
      </c>
      <c r="I20" s="23" t="s">
        <v>179</v>
      </c>
      <c r="J20" s="23">
        <v>1</v>
      </c>
      <c r="K20" s="23" t="s">
        <v>180</v>
      </c>
      <c r="L20" s="23" t="s">
        <v>18</v>
      </c>
      <c r="M20" s="24"/>
    </row>
    <row r="21" spans="1:13">
      <c r="A21" s="22">
        <v>2521836</v>
      </c>
      <c r="B21" s="23" t="s">
        <v>181</v>
      </c>
      <c r="C21" s="22" t="s">
        <v>182</v>
      </c>
      <c r="D21" s="22" t="s">
        <v>183</v>
      </c>
      <c r="E21" s="23" t="s">
        <v>127</v>
      </c>
      <c r="F21" s="23" t="s">
        <v>92</v>
      </c>
      <c r="G21" s="23" t="s">
        <v>28</v>
      </c>
      <c r="H21" s="23" t="s">
        <v>184</v>
      </c>
      <c r="I21" s="23" t="s">
        <v>184</v>
      </c>
      <c r="J21" s="23">
        <v>1</v>
      </c>
      <c r="K21" s="23" t="s">
        <v>107</v>
      </c>
      <c r="L21" s="23" t="s">
        <v>18</v>
      </c>
      <c r="M21" s="24"/>
    </row>
    <row r="22" spans="1:13">
      <c r="A22" s="19">
        <v>2521836</v>
      </c>
      <c r="B22" s="20" t="s">
        <v>181</v>
      </c>
      <c r="C22" s="19" t="s">
        <v>182</v>
      </c>
      <c r="D22" s="19" t="s">
        <v>185</v>
      </c>
      <c r="E22" s="20" t="s">
        <v>127</v>
      </c>
      <c r="F22" s="20" t="s">
        <v>92</v>
      </c>
      <c r="G22" s="20" t="s">
        <v>28</v>
      </c>
      <c r="H22" s="20" t="s">
        <v>186</v>
      </c>
      <c r="I22" s="20" t="s">
        <v>186</v>
      </c>
      <c r="J22" s="20">
        <v>1</v>
      </c>
      <c r="K22" s="20" t="s">
        <v>107</v>
      </c>
      <c r="L22" s="20" t="s">
        <v>18</v>
      </c>
      <c r="M22" s="21"/>
    </row>
    <row r="23" spans="1:13">
      <c r="A23" s="22">
        <v>2532952</v>
      </c>
      <c r="B23" s="23" t="s">
        <v>187</v>
      </c>
      <c r="C23" s="22" t="s">
        <v>188</v>
      </c>
      <c r="D23" s="22" t="s">
        <v>189</v>
      </c>
      <c r="E23" s="23" t="s">
        <v>84</v>
      </c>
      <c r="F23" s="23" t="s">
        <v>112</v>
      </c>
      <c r="G23" s="23" t="s">
        <v>26</v>
      </c>
      <c r="H23" s="70" t="s">
        <v>190</v>
      </c>
      <c r="I23" s="23" t="s">
        <v>190</v>
      </c>
      <c r="J23" s="23">
        <v>1</v>
      </c>
      <c r="K23" s="23" t="s">
        <v>107</v>
      </c>
      <c r="L23" s="23" t="s">
        <v>16</v>
      </c>
      <c r="M23" s="24"/>
    </row>
    <row r="24" spans="1:13">
      <c r="A24" s="19">
        <v>2472446</v>
      </c>
      <c r="B24" s="20" t="s">
        <v>191</v>
      </c>
      <c r="C24" s="19" t="s">
        <v>192</v>
      </c>
      <c r="D24" s="19" t="s">
        <v>193</v>
      </c>
      <c r="E24" s="20" t="s">
        <v>84</v>
      </c>
      <c r="F24" s="20" t="s">
        <v>92</v>
      </c>
      <c r="G24" s="20" t="s">
        <v>27</v>
      </c>
      <c r="H24" s="70" t="s">
        <v>194</v>
      </c>
      <c r="I24" s="20" t="s">
        <v>194</v>
      </c>
      <c r="J24" s="19" t="s">
        <v>195</v>
      </c>
      <c r="K24" s="20" t="s">
        <v>196</v>
      </c>
      <c r="L24" s="20" t="s">
        <v>16</v>
      </c>
      <c r="M24" s="21"/>
    </row>
    <row r="25" spans="1:13">
      <c r="A25" s="22">
        <v>2529576</v>
      </c>
      <c r="B25" s="23" t="s">
        <v>197</v>
      </c>
      <c r="C25" s="22" t="s">
        <v>198</v>
      </c>
      <c r="D25" s="22" t="s">
        <v>199</v>
      </c>
      <c r="E25" s="23" t="s">
        <v>84</v>
      </c>
      <c r="F25" s="23" t="s">
        <v>85</v>
      </c>
      <c r="G25" s="23" t="s">
        <v>27</v>
      </c>
      <c r="H25" s="70" t="s">
        <v>200</v>
      </c>
      <c r="I25" s="23" t="s">
        <v>200</v>
      </c>
      <c r="J25" s="34" t="s">
        <v>34</v>
      </c>
      <c r="K25" s="23" t="s">
        <v>201</v>
      </c>
      <c r="L25" s="23" t="s">
        <v>18</v>
      </c>
      <c r="M25" s="24"/>
    </row>
    <row r="26" spans="1:13">
      <c r="A26" s="19">
        <v>2521188</v>
      </c>
      <c r="B26" s="20" t="s">
        <v>202</v>
      </c>
      <c r="C26" s="19" t="s">
        <v>203</v>
      </c>
      <c r="D26" s="19" t="s">
        <v>204</v>
      </c>
      <c r="E26" s="20" t="s">
        <v>84</v>
      </c>
      <c r="F26" s="20" t="s">
        <v>92</v>
      </c>
      <c r="G26" s="20" t="s">
        <v>27</v>
      </c>
      <c r="H26" s="70" t="s">
        <v>205</v>
      </c>
      <c r="I26" s="20" t="s">
        <v>205</v>
      </c>
      <c r="J26" s="20">
        <v>2</v>
      </c>
      <c r="K26" s="20" t="s">
        <v>206</v>
      </c>
      <c r="L26" s="20" t="s">
        <v>16</v>
      </c>
      <c r="M26" s="21"/>
    </row>
    <row r="27" spans="1:13">
      <c r="A27" s="19">
        <v>2521188</v>
      </c>
      <c r="B27" s="20" t="s">
        <v>202</v>
      </c>
      <c r="C27" s="19" t="s">
        <v>203</v>
      </c>
      <c r="D27" s="19" t="s">
        <v>204</v>
      </c>
      <c r="E27" s="20" t="s">
        <v>84</v>
      </c>
      <c r="F27" s="20" t="s">
        <v>92</v>
      </c>
      <c r="G27" s="20" t="s">
        <v>27</v>
      </c>
      <c r="H27" s="70" t="s">
        <v>205</v>
      </c>
      <c r="I27" s="20" t="s">
        <v>205</v>
      </c>
      <c r="J27" s="20">
        <v>2</v>
      </c>
      <c r="K27" s="20" t="s">
        <v>206</v>
      </c>
      <c r="L27" s="20" t="s">
        <v>16</v>
      </c>
      <c r="M27" s="21"/>
    </row>
    <row r="28" spans="1:13">
      <c r="A28" s="22">
        <v>2521188</v>
      </c>
      <c r="B28" s="23" t="s">
        <v>202</v>
      </c>
      <c r="C28" s="22" t="s">
        <v>203</v>
      </c>
      <c r="D28" s="22" t="s">
        <v>204</v>
      </c>
      <c r="E28" s="23" t="s">
        <v>84</v>
      </c>
      <c r="F28" s="23" t="s">
        <v>92</v>
      </c>
      <c r="G28" s="23" t="s">
        <v>27</v>
      </c>
      <c r="H28" s="70" t="s">
        <v>205</v>
      </c>
      <c r="I28" s="23" t="s">
        <v>205</v>
      </c>
      <c r="J28" s="20">
        <v>2</v>
      </c>
      <c r="K28" s="23" t="s">
        <v>206</v>
      </c>
      <c r="L28" s="23" t="s">
        <v>16</v>
      </c>
      <c r="M28" s="24"/>
    </row>
    <row r="29" spans="1:13">
      <c r="A29" s="22">
        <v>2523447</v>
      </c>
      <c r="B29" s="23" t="s">
        <v>207</v>
      </c>
      <c r="C29" s="22" t="s">
        <v>208</v>
      </c>
      <c r="D29" s="22" t="s">
        <v>209</v>
      </c>
      <c r="E29" s="23" t="s">
        <v>84</v>
      </c>
      <c r="F29" s="23" t="s">
        <v>85</v>
      </c>
      <c r="G29" s="23" t="s">
        <v>26</v>
      </c>
      <c r="H29" s="70" t="s">
        <v>210</v>
      </c>
      <c r="I29" s="23" t="s">
        <v>210</v>
      </c>
      <c r="J29" s="23">
        <v>3</v>
      </c>
      <c r="K29" s="23" t="s">
        <v>206</v>
      </c>
      <c r="L29" s="23" t="s">
        <v>16</v>
      </c>
      <c r="M29" s="24"/>
    </row>
    <row r="30" spans="1:13">
      <c r="A30" s="19">
        <v>2523416</v>
      </c>
      <c r="B30" s="20" t="s">
        <v>211</v>
      </c>
      <c r="C30" s="19" t="s">
        <v>212</v>
      </c>
      <c r="D30" s="19" t="s">
        <v>213</v>
      </c>
      <c r="E30" s="20" t="s">
        <v>84</v>
      </c>
      <c r="F30" s="20" t="s">
        <v>85</v>
      </c>
      <c r="G30" s="20" t="s">
        <v>27</v>
      </c>
      <c r="H30" s="70" t="s">
        <v>214</v>
      </c>
      <c r="I30" s="20" t="s">
        <v>214</v>
      </c>
      <c r="J30" s="23">
        <v>1</v>
      </c>
      <c r="K30" s="20" t="s">
        <v>215</v>
      </c>
      <c r="L30" s="20" t="s">
        <v>18</v>
      </c>
      <c r="M30" s="21"/>
    </row>
    <row r="31" spans="1:13">
      <c r="A31" s="22">
        <v>2437335</v>
      </c>
      <c r="B31" s="23" t="s">
        <v>216</v>
      </c>
      <c r="C31" s="22" t="s">
        <v>217</v>
      </c>
      <c r="D31" s="22" t="s">
        <v>218</v>
      </c>
      <c r="E31" s="23" t="s">
        <v>219</v>
      </c>
      <c r="F31" s="23" t="s">
        <v>92</v>
      </c>
      <c r="G31" s="23" t="s">
        <v>27</v>
      </c>
      <c r="H31" s="70" t="s">
        <v>220</v>
      </c>
      <c r="I31" s="23" t="s">
        <v>220</v>
      </c>
      <c r="J31" s="22" t="s">
        <v>94</v>
      </c>
      <c r="K31" s="23" t="s">
        <v>221</v>
      </c>
      <c r="L31" s="23" t="s">
        <v>18</v>
      </c>
      <c r="M31" s="24" t="s">
        <v>222</v>
      </c>
    </row>
    <row r="32" spans="1:13">
      <c r="A32" s="19">
        <v>2521255</v>
      </c>
      <c r="B32" s="20" t="s">
        <v>223</v>
      </c>
      <c r="C32" s="19" t="s">
        <v>224</v>
      </c>
      <c r="D32" s="19" t="s">
        <v>225</v>
      </c>
      <c r="E32" s="20" t="s">
        <v>84</v>
      </c>
      <c r="F32" s="20" t="s">
        <v>92</v>
      </c>
      <c r="G32" s="20" t="s">
        <v>26</v>
      </c>
      <c r="H32" s="70" t="s">
        <v>226</v>
      </c>
      <c r="I32" s="20" t="s">
        <v>226</v>
      </c>
      <c r="J32" s="23">
        <v>1</v>
      </c>
      <c r="K32" s="20" t="s">
        <v>19</v>
      </c>
      <c r="L32" s="20" t="s">
        <v>16</v>
      </c>
      <c r="M32" s="21"/>
    </row>
    <row r="33" spans="1:13">
      <c r="A33" s="19">
        <v>2532911</v>
      </c>
      <c r="B33" s="20" t="s">
        <v>227</v>
      </c>
      <c r="C33" s="19" t="s">
        <v>228</v>
      </c>
      <c r="D33" s="19" t="s">
        <v>229</v>
      </c>
      <c r="E33" s="20" t="s">
        <v>84</v>
      </c>
      <c r="F33" s="20" t="s">
        <v>92</v>
      </c>
      <c r="G33" s="20" t="s">
        <v>26</v>
      </c>
      <c r="H33" s="70" t="s">
        <v>230</v>
      </c>
      <c r="I33" s="20" t="s">
        <v>230</v>
      </c>
      <c r="J33" s="23">
        <v>1</v>
      </c>
      <c r="K33" s="20" t="s">
        <v>19</v>
      </c>
      <c r="L33" s="20" t="s">
        <v>16</v>
      </c>
      <c r="M33" s="21"/>
    </row>
    <row r="34" spans="1:13">
      <c r="A34" s="22">
        <v>2530219</v>
      </c>
      <c r="B34" s="23" t="s">
        <v>231</v>
      </c>
      <c r="C34" s="22" t="s">
        <v>232</v>
      </c>
      <c r="D34" s="22" t="s">
        <v>233</v>
      </c>
      <c r="E34" s="23" t="s">
        <v>127</v>
      </c>
      <c r="F34" s="23" t="s">
        <v>85</v>
      </c>
      <c r="G34" s="23" t="s">
        <v>27</v>
      </c>
      <c r="H34" s="70" t="s">
        <v>234</v>
      </c>
      <c r="I34" s="23" t="s">
        <v>235</v>
      </c>
      <c r="J34" s="34" t="s">
        <v>34</v>
      </c>
      <c r="K34" s="23" t="s">
        <v>17</v>
      </c>
      <c r="L34" s="23" t="s">
        <v>16</v>
      </c>
      <c r="M34" s="24"/>
    </row>
    <row r="35" spans="1:13">
      <c r="A35" s="19">
        <v>2315792</v>
      </c>
      <c r="B35" s="20" t="s">
        <v>236</v>
      </c>
      <c r="C35" s="19" t="s">
        <v>237</v>
      </c>
      <c r="D35" s="19" t="s">
        <v>238</v>
      </c>
      <c r="E35" s="20" t="s">
        <v>84</v>
      </c>
      <c r="F35" s="20" t="s">
        <v>112</v>
      </c>
      <c r="G35" s="20" t="s">
        <v>25</v>
      </c>
      <c r="H35" s="20" t="s">
        <v>239</v>
      </c>
      <c r="I35" s="20" t="s">
        <v>240</v>
      </c>
      <c r="J35" s="19" t="s">
        <v>94</v>
      </c>
      <c r="K35" s="20" t="s">
        <v>206</v>
      </c>
      <c r="L35" s="20" t="s">
        <v>16</v>
      </c>
      <c r="M35" s="21" t="s">
        <v>49</v>
      </c>
    </row>
    <row r="36" spans="1:13">
      <c r="A36" s="19">
        <v>2533141</v>
      </c>
      <c r="B36" s="20" t="s">
        <v>241</v>
      </c>
      <c r="C36" s="19" t="s">
        <v>242</v>
      </c>
      <c r="D36" s="19" t="s">
        <v>243</v>
      </c>
      <c r="E36" s="20" t="s">
        <v>127</v>
      </c>
      <c r="F36" s="20" t="s">
        <v>92</v>
      </c>
      <c r="G36" s="20" t="s">
        <v>26</v>
      </c>
      <c r="H36" s="70" t="s">
        <v>244</v>
      </c>
      <c r="I36" s="20" t="s">
        <v>245</v>
      </c>
      <c r="J36" s="20">
        <v>4</v>
      </c>
      <c r="K36" s="20" t="s">
        <v>107</v>
      </c>
      <c r="L36" s="20" t="s">
        <v>16</v>
      </c>
      <c r="M36" s="21"/>
    </row>
    <row r="37" spans="1:13">
      <c r="A37" s="19">
        <v>2533023</v>
      </c>
      <c r="B37" s="20" t="s">
        <v>246</v>
      </c>
      <c r="C37" s="19" t="s">
        <v>247</v>
      </c>
      <c r="D37" s="19" t="s">
        <v>248</v>
      </c>
      <c r="E37" s="20" t="s">
        <v>127</v>
      </c>
      <c r="F37" s="20" t="s">
        <v>92</v>
      </c>
      <c r="G37" s="20" t="s">
        <v>26</v>
      </c>
      <c r="H37" s="70" t="s">
        <v>249</v>
      </c>
      <c r="I37" s="20" t="s">
        <v>250</v>
      </c>
      <c r="J37" s="34" t="s">
        <v>34</v>
      </c>
      <c r="K37" s="20" t="s">
        <v>107</v>
      </c>
      <c r="L37" s="20" t="s">
        <v>16</v>
      </c>
      <c r="M37" s="21"/>
    </row>
    <row r="38" spans="1:13">
      <c r="A38" s="19">
        <v>2531986</v>
      </c>
      <c r="B38" s="20" t="s">
        <v>251</v>
      </c>
      <c r="C38" s="19" t="s">
        <v>252</v>
      </c>
      <c r="D38" s="19" t="s">
        <v>253</v>
      </c>
      <c r="E38" s="20" t="s">
        <v>127</v>
      </c>
      <c r="F38" s="20" t="s">
        <v>92</v>
      </c>
      <c r="G38" s="20" t="s">
        <v>26</v>
      </c>
      <c r="H38" s="70" t="s">
        <v>254</v>
      </c>
      <c r="I38" s="20" t="s">
        <v>254</v>
      </c>
      <c r="J38" s="34" t="s">
        <v>34</v>
      </c>
      <c r="K38" s="20" t="s">
        <v>206</v>
      </c>
      <c r="L38" s="20" t="s">
        <v>16</v>
      </c>
      <c r="M38" s="21"/>
    </row>
    <row r="39" spans="1:13">
      <c r="A39" s="22">
        <v>2521370</v>
      </c>
      <c r="B39" s="23" t="s">
        <v>255</v>
      </c>
      <c r="C39" s="22" t="s">
        <v>256</v>
      </c>
      <c r="D39" s="22" t="s">
        <v>257</v>
      </c>
      <c r="E39" s="23" t="s">
        <v>84</v>
      </c>
      <c r="F39" s="23" t="s">
        <v>92</v>
      </c>
      <c r="G39" s="23" t="s">
        <v>26</v>
      </c>
      <c r="H39" s="70" t="s">
        <v>258</v>
      </c>
      <c r="I39" s="23" t="s">
        <v>258</v>
      </c>
      <c r="J39" s="23">
        <v>3</v>
      </c>
      <c r="K39" s="23" t="s">
        <v>107</v>
      </c>
      <c r="L39" s="23" t="s">
        <v>16</v>
      </c>
      <c r="M39" s="24"/>
    </row>
    <row r="40" spans="1:13">
      <c r="A40" s="22">
        <v>2521065</v>
      </c>
      <c r="B40" s="23" t="s">
        <v>259</v>
      </c>
      <c r="C40" s="22" t="s">
        <v>260</v>
      </c>
      <c r="D40" s="22" t="s">
        <v>261</v>
      </c>
      <c r="E40" s="23" t="s">
        <v>84</v>
      </c>
      <c r="F40" s="23" t="s">
        <v>92</v>
      </c>
      <c r="G40" s="23" t="s">
        <v>26</v>
      </c>
      <c r="H40" s="70" t="s">
        <v>262</v>
      </c>
      <c r="I40" s="23" t="s">
        <v>263</v>
      </c>
      <c r="J40" s="23">
        <v>3</v>
      </c>
      <c r="K40" s="23" t="s">
        <v>107</v>
      </c>
      <c r="L40" s="23" t="s">
        <v>16</v>
      </c>
      <c r="M40" s="24"/>
    </row>
    <row r="41" spans="1:13">
      <c r="A41" s="19">
        <v>2516807</v>
      </c>
      <c r="B41" s="20" t="s">
        <v>264</v>
      </c>
      <c r="C41" s="19" t="s">
        <v>265</v>
      </c>
      <c r="D41" s="19" t="s">
        <v>266</v>
      </c>
      <c r="E41" s="20" t="s">
        <v>84</v>
      </c>
      <c r="F41" s="20" t="s">
        <v>92</v>
      </c>
      <c r="G41" s="20" t="s">
        <v>26</v>
      </c>
      <c r="H41" s="70" t="s">
        <v>267</v>
      </c>
      <c r="I41" s="20" t="s">
        <v>267</v>
      </c>
      <c r="J41" s="23">
        <v>3</v>
      </c>
      <c r="K41" s="20" t="s">
        <v>19</v>
      </c>
      <c r="L41" s="20" t="s">
        <v>16</v>
      </c>
      <c r="M41" s="21"/>
    </row>
    <row r="42" spans="1:13">
      <c r="A42" s="19">
        <v>2516807</v>
      </c>
      <c r="B42" s="20" t="s">
        <v>268</v>
      </c>
      <c r="C42" s="19" t="s">
        <v>265</v>
      </c>
      <c r="D42" s="19" t="s">
        <v>266</v>
      </c>
      <c r="E42" s="20" t="s">
        <v>84</v>
      </c>
      <c r="F42" s="20" t="s">
        <v>92</v>
      </c>
      <c r="G42" s="20" t="s">
        <v>26</v>
      </c>
      <c r="H42" s="70" t="s">
        <v>269</v>
      </c>
      <c r="I42" s="20" t="s">
        <v>267</v>
      </c>
      <c r="J42" s="23">
        <v>3</v>
      </c>
      <c r="K42" s="20" t="s">
        <v>19</v>
      </c>
      <c r="L42" s="20" t="s">
        <v>16</v>
      </c>
      <c r="M42" s="21"/>
    </row>
    <row r="43" spans="1:13">
      <c r="A43" s="19">
        <v>2533228</v>
      </c>
      <c r="B43" s="20" t="s">
        <v>270</v>
      </c>
      <c r="C43" s="19" t="s">
        <v>271</v>
      </c>
      <c r="D43" s="19" t="s">
        <v>272</v>
      </c>
      <c r="E43" s="20" t="s">
        <v>84</v>
      </c>
      <c r="F43" s="20" t="s">
        <v>92</v>
      </c>
      <c r="G43" s="20" t="s">
        <v>26</v>
      </c>
      <c r="H43" s="70" t="s">
        <v>273</v>
      </c>
      <c r="I43" s="20" t="s">
        <v>273</v>
      </c>
      <c r="J43" s="23">
        <v>1</v>
      </c>
      <c r="K43" s="20" t="s">
        <v>107</v>
      </c>
      <c r="L43" s="20" t="s">
        <v>18</v>
      </c>
      <c r="M43" s="21"/>
    </row>
    <row r="44" spans="1:13">
      <c r="A44" s="19">
        <v>2524635</v>
      </c>
      <c r="B44" s="20" t="s">
        <v>274</v>
      </c>
      <c r="C44" s="19" t="s">
        <v>275</v>
      </c>
      <c r="D44" s="19" t="s">
        <v>276</v>
      </c>
      <c r="E44" s="20" t="s">
        <v>84</v>
      </c>
      <c r="F44" s="20" t="s">
        <v>85</v>
      </c>
      <c r="G44" s="20" t="s">
        <v>27</v>
      </c>
      <c r="H44" s="70" t="s">
        <v>277</v>
      </c>
      <c r="I44" s="20" t="s">
        <v>278</v>
      </c>
      <c r="J44" s="34" t="s">
        <v>34</v>
      </c>
      <c r="K44" s="20" t="s">
        <v>64</v>
      </c>
      <c r="L44" s="20" t="s">
        <v>18</v>
      </c>
      <c r="M44" s="21"/>
    </row>
    <row r="45" spans="1:13">
      <c r="A45" s="19">
        <v>2470770</v>
      </c>
      <c r="B45" s="20" t="s">
        <v>279</v>
      </c>
      <c r="C45" s="19" t="s">
        <v>280</v>
      </c>
      <c r="D45" s="19" t="s">
        <v>281</v>
      </c>
      <c r="E45" s="20" t="s">
        <v>219</v>
      </c>
      <c r="F45" s="20" t="s">
        <v>92</v>
      </c>
      <c r="G45" s="20" t="s">
        <v>27</v>
      </c>
      <c r="H45" s="70" t="s">
        <v>282</v>
      </c>
      <c r="I45" s="20" t="s">
        <v>282</v>
      </c>
      <c r="J45" s="19" t="s">
        <v>283</v>
      </c>
      <c r="K45" s="20" t="s">
        <v>284</v>
      </c>
      <c r="L45" s="20" t="s">
        <v>16</v>
      </c>
      <c r="M45" s="21"/>
    </row>
    <row r="46" spans="1:13">
      <c r="A46" s="22">
        <v>2519656</v>
      </c>
      <c r="B46" s="23" t="s">
        <v>285</v>
      </c>
      <c r="C46" s="22" t="s">
        <v>286</v>
      </c>
      <c r="D46" s="22" t="s">
        <v>287</v>
      </c>
      <c r="E46" s="23" t="s">
        <v>84</v>
      </c>
      <c r="F46" s="23" t="s">
        <v>85</v>
      </c>
      <c r="G46" s="23" t="s">
        <v>28</v>
      </c>
      <c r="H46" s="23" t="s">
        <v>288</v>
      </c>
      <c r="I46" s="23" t="s">
        <v>289</v>
      </c>
      <c r="J46" s="34" t="s">
        <v>34</v>
      </c>
      <c r="K46" s="23" t="s">
        <v>290</v>
      </c>
      <c r="L46" s="23" t="s">
        <v>16</v>
      </c>
      <c r="M46" s="24"/>
    </row>
    <row r="47" spans="1:13">
      <c r="A47" s="19">
        <v>2521118</v>
      </c>
      <c r="B47" s="20" t="s">
        <v>291</v>
      </c>
      <c r="C47" s="19" t="s">
        <v>292</v>
      </c>
      <c r="D47" s="19" t="s">
        <v>293</v>
      </c>
      <c r="E47" s="20" t="s">
        <v>84</v>
      </c>
      <c r="F47" s="20" t="s">
        <v>92</v>
      </c>
      <c r="G47" s="20" t="s">
        <v>26</v>
      </c>
      <c r="H47" s="70" t="s">
        <v>294</v>
      </c>
      <c r="I47" s="20" t="s">
        <v>294</v>
      </c>
      <c r="J47" s="20">
        <v>4</v>
      </c>
      <c r="K47" s="20" t="s">
        <v>19</v>
      </c>
      <c r="L47" s="20" t="s">
        <v>18</v>
      </c>
      <c r="M47" s="21" t="s">
        <v>295</v>
      </c>
    </row>
    <row r="48" spans="1:13">
      <c r="A48" s="19">
        <v>2529802</v>
      </c>
      <c r="B48" s="20" t="s">
        <v>296</v>
      </c>
      <c r="C48" s="19" t="s">
        <v>297</v>
      </c>
      <c r="D48" s="19" t="s">
        <v>298</v>
      </c>
      <c r="E48" s="20" t="s">
        <v>84</v>
      </c>
      <c r="F48" s="20" t="s">
        <v>112</v>
      </c>
      <c r="G48" s="20" t="s">
        <v>26</v>
      </c>
      <c r="H48" s="70" t="s">
        <v>299</v>
      </c>
      <c r="I48" s="20" t="s">
        <v>300</v>
      </c>
      <c r="J48" s="20">
        <v>4</v>
      </c>
      <c r="K48" s="20" t="s">
        <v>107</v>
      </c>
      <c r="L48" s="20" t="s">
        <v>16</v>
      </c>
      <c r="M48" s="21"/>
    </row>
    <row r="49" spans="1:13">
      <c r="A49" s="22">
        <v>2529606</v>
      </c>
      <c r="B49" s="23" t="s">
        <v>301</v>
      </c>
      <c r="C49" s="22" t="s">
        <v>302</v>
      </c>
      <c r="D49" s="22" t="s">
        <v>303</v>
      </c>
      <c r="E49" s="23" t="s">
        <v>84</v>
      </c>
      <c r="F49" s="23" t="s">
        <v>112</v>
      </c>
      <c r="G49" s="23" t="s">
        <v>28</v>
      </c>
      <c r="H49" s="23" t="s">
        <v>304</v>
      </c>
      <c r="I49" s="23" t="s">
        <v>305</v>
      </c>
      <c r="J49" s="34" t="s">
        <v>34</v>
      </c>
      <c r="K49" s="23" t="s">
        <v>19</v>
      </c>
      <c r="L49" s="23" t="s">
        <v>18</v>
      </c>
      <c r="M49" s="24" t="s">
        <v>222</v>
      </c>
    </row>
    <row r="50" spans="1:13">
      <c r="A50" s="22">
        <v>2441381</v>
      </c>
      <c r="B50" s="23" t="s">
        <v>306</v>
      </c>
      <c r="C50" s="22" t="s">
        <v>307</v>
      </c>
      <c r="D50" s="22" t="s">
        <v>308</v>
      </c>
      <c r="E50" s="23" t="s">
        <v>84</v>
      </c>
      <c r="F50" s="23" t="s">
        <v>92</v>
      </c>
      <c r="G50" s="23" t="s">
        <v>25</v>
      </c>
      <c r="H50" s="23" t="s">
        <v>309</v>
      </c>
      <c r="I50" s="23" t="s">
        <v>309</v>
      </c>
      <c r="J50" s="22" t="s">
        <v>283</v>
      </c>
      <c r="K50" s="23" t="s">
        <v>310</v>
      </c>
      <c r="L50" s="23" t="s">
        <v>18</v>
      </c>
      <c r="M50" s="30" t="s">
        <v>86</v>
      </c>
    </row>
    <row r="51" spans="1:13">
      <c r="A51" s="19">
        <v>2525028</v>
      </c>
      <c r="B51" s="20" t="s">
        <v>311</v>
      </c>
      <c r="C51" s="19" t="s">
        <v>312</v>
      </c>
      <c r="D51" s="19" t="s">
        <v>312</v>
      </c>
      <c r="E51" s="20" t="s">
        <v>178</v>
      </c>
      <c r="F51" s="20" t="s">
        <v>85</v>
      </c>
      <c r="G51" s="20" t="s">
        <v>26</v>
      </c>
      <c r="H51" s="70" t="s">
        <v>313</v>
      </c>
      <c r="I51" s="20" t="s">
        <v>313</v>
      </c>
      <c r="J51" s="20">
        <v>5</v>
      </c>
      <c r="K51" s="20" t="s">
        <v>206</v>
      </c>
      <c r="L51" s="20" t="s">
        <v>18</v>
      </c>
      <c r="M51" s="21" t="s">
        <v>49</v>
      </c>
    </row>
    <row r="52" spans="1:13">
      <c r="A52" s="19">
        <v>2525028</v>
      </c>
      <c r="B52" s="20" t="s">
        <v>311</v>
      </c>
      <c r="C52" s="19" t="s">
        <v>312</v>
      </c>
      <c r="D52" s="19" t="s">
        <v>314</v>
      </c>
      <c r="E52" s="20" t="s">
        <v>127</v>
      </c>
      <c r="F52" s="20" t="s">
        <v>85</v>
      </c>
      <c r="G52" s="20" t="s">
        <v>26</v>
      </c>
      <c r="H52" s="70" t="s">
        <v>313</v>
      </c>
      <c r="I52" s="20" t="s">
        <v>313</v>
      </c>
      <c r="J52" s="20">
        <v>5</v>
      </c>
      <c r="K52" s="20" t="s">
        <v>206</v>
      </c>
      <c r="L52" s="20" t="s">
        <v>16</v>
      </c>
      <c r="M52" s="21" t="s">
        <v>49</v>
      </c>
    </row>
    <row r="53" spans="1:13">
      <c r="A53" s="19">
        <v>2507421</v>
      </c>
      <c r="B53" s="20" t="s">
        <v>315</v>
      </c>
      <c r="C53" s="19" t="s">
        <v>316</v>
      </c>
      <c r="D53" s="19" t="s">
        <v>317</v>
      </c>
      <c r="E53" s="20" t="s">
        <v>84</v>
      </c>
      <c r="F53" s="20" t="s">
        <v>112</v>
      </c>
      <c r="G53" s="20" t="s">
        <v>25</v>
      </c>
      <c r="H53" s="20" t="s">
        <v>318</v>
      </c>
      <c r="I53" s="20" t="s">
        <v>318</v>
      </c>
      <c r="J53" s="34" t="s">
        <v>34</v>
      </c>
      <c r="K53" s="20" t="s">
        <v>319</v>
      </c>
      <c r="L53" s="20" t="s">
        <v>18</v>
      </c>
      <c r="M53" s="21"/>
    </row>
    <row r="54" spans="1:13">
      <c r="A54" s="19">
        <v>2533081</v>
      </c>
      <c r="B54" s="20" t="s">
        <v>320</v>
      </c>
      <c r="C54" s="19" t="s">
        <v>321</v>
      </c>
      <c r="D54" s="19" t="s">
        <v>322</v>
      </c>
      <c r="E54" s="20" t="s">
        <v>84</v>
      </c>
      <c r="F54" s="20" t="s">
        <v>92</v>
      </c>
      <c r="G54" s="20" t="s">
        <v>26</v>
      </c>
      <c r="H54" s="70" t="s">
        <v>323</v>
      </c>
      <c r="I54" s="20" t="s">
        <v>324</v>
      </c>
      <c r="J54" s="23">
        <v>1</v>
      </c>
      <c r="K54" s="20" t="s">
        <v>19</v>
      </c>
      <c r="L54" s="20" t="s">
        <v>18</v>
      </c>
      <c r="M54" s="21"/>
    </row>
    <row r="55" spans="1:13">
      <c r="A55" s="22">
        <v>2529597</v>
      </c>
      <c r="B55" s="23" t="s">
        <v>325</v>
      </c>
      <c r="C55" s="22" t="s">
        <v>326</v>
      </c>
      <c r="D55" s="22" t="s">
        <v>327</v>
      </c>
      <c r="E55" s="23" t="s">
        <v>219</v>
      </c>
      <c r="F55" s="23" t="s">
        <v>112</v>
      </c>
      <c r="G55" s="23" t="s">
        <v>26</v>
      </c>
      <c r="H55" s="20" t="s">
        <v>328</v>
      </c>
      <c r="I55" s="23" t="s">
        <v>329</v>
      </c>
      <c r="J55" s="20">
        <v>2</v>
      </c>
      <c r="K55" s="23" t="s">
        <v>107</v>
      </c>
      <c r="L55" s="23" t="s">
        <v>16</v>
      </c>
      <c r="M55" s="24" t="s">
        <v>330</v>
      </c>
    </row>
    <row r="56" spans="1:13">
      <c r="A56" s="19">
        <v>2531818</v>
      </c>
      <c r="B56" s="20" t="s">
        <v>331</v>
      </c>
      <c r="C56" s="19" t="s">
        <v>332</v>
      </c>
      <c r="D56" s="19" t="s">
        <v>333</v>
      </c>
      <c r="E56" s="20" t="s">
        <v>84</v>
      </c>
      <c r="F56" s="20" t="s">
        <v>92</v>
      </c>
      <c r="G56" s="20" t="s">
        <v>26</v>
      </c>
      <c r="H56" s="20" t="s">
        <v>328</v>
      </c>
      <c r="I56" s="20" t="s">
        <v>334</v>
      </c>
      <c r="J56" s="20">
        <v>6</v>
      </c>
      <c r="K56" s="20" t="s">
        <v>19</v>
      </c>
      <c r="L56" s="20" t="s">
        <v>16</v>
      </c>
      <c r="M56" s="21"/>
    </row>
    <row r="57" spans="1:13">
      <c r="A57" s="19">
        <v>2529630</v>
      </c>
      <c r="B57" s="20" t="s">
        <v>335</v>
      </c>
      <c r="C57" s="19" t="s">
        <v>336</v>
      </c>
      <c r="D57" s="19" t="s">
        <v>337</v>
      </c>
      <c r="E57" s="20" t="s">
        <v>127</v>
      </c>
      <c r="F57" s="20" t="s">
        <v>92</v>
      </c>
      <c r="G57" s="20" t="s">
        <v>26</v>
      </c>
      <c r="H57" s="20" t="s">
        <v>328</v>
      </c>
      <c r="I57" s="20" t="s">
        <v>338</v>
      </c>
      <c r="J57" s="23">
        <v>1</v>
      </c>
      <c r="K57" s="20" t="s">
        <v>19</v>
      </c>
      <c r="L57" s="20" t="s">
        <v>16</v>
      </c>
      <c r="M57" s="21" t="s">
        <v>49</v>
      </c>
    </row>
    <row r="58" spans="1:13">
      <c r="A58" s="19">
        <v>2533170</v>
      </c>
      <c r="B58" s="20" t="s">
        <v>339</v>
      </c>
      <c r="C58" s="19" t="s">
        <v>340</v>
      </c>
      <c r="D58" s="19" t="s">
        <v>341</v>
      </c>
      <c r="E58" s="20" t="s">
        <v>127</v>
      </c>
      <c r="F58" s="20" t="s">
        <v>92</v>
      </c>
      <c r="G58" s="20" t="s">
        <v>26</v>
      </c>
      <c r="H58" s="20" t="s">
        <v>328</v>
      </c>
      <c r="I58" s="20" t="s">
        <v>342</v>
      </c>
      <c r="J58" s="23">
        <v>1</v>
      </c>
      <c r="K58" s="20" t="s">
        <v>19</v>
      </c>
      <c r="L58" s="20" t="s">
        <v>16</v>
      </c>
      <c r="M58" s="21"/>
    </row>
    <row r="59" spans="1:13">
      <c r="A59" s="22">
        <v>2531848</v>
      </c>
      <c r="B59" s="23" t="s">
        <v>343</v>
      </c>
      <c r="C59" s="22" t="s">
        <v>344</v>
      </c>
      <c r="D59" s="22" t="s">
        <v>345</v>
      </c>
      <c r="E59" s="23" t="s">
        <v>84</v>
      </c>
      <c r="F59" s="23" t="s">
        <v>112</v>
      </c>
      <c r="G59" s="23" t="s">
        <v>26</v>
      </c>
      <c r="H59" s="20" t="s">
        <v>328</v>
      </c>
      <c r="I59" s="23" t="s">
        <v>346</v>
      </c>
      <c r="J59" s="20">
        <v>4</v>
      </c>
      <c r="K59" s="23" t="s">
        <v>19</v>
      </c>
      <c r="L59" s="23" t="s">
        <v>16</v>
      </c>
      <c r="M59" s="24"/>
    </row>
    <row r="60" spans="1:13">
      <c r="A60" s="19">
        <v>2529565</v>
      </c>
      <c r="B60" s="20" t="s">
        <v>347</v>
      </c>
      <c r="C60" s="19" t="s">
        <v>348</v>
      </c>
      <c r="D60" s="19" t="s">
        <v>349</v>
      </c>
      <c r="E60" s="20" t="s">
        <v>84</v>
      </c>
      <c r="F60" s="20" t="s">
        <v>92</v>
      </c>
      <c r="G60" s="20" t="s">
        <v>26</v>
      </c>
      <c r="H60" s="20" t="s">
        <v>328</v>
      </c>
      <c r="I60" s="20" t="s">
        <v>350</v>
      </c>
      <c r="J60" s="20">
        <v>2</v>
      </c>
      <c r="K60" s="20" t="s">
        <v>107</v>
      </c>
      <c r="L60" s="20" t="s">
        <v>16</v>
      </c>
      <c r="M60" s="21"/>
    </row>
    <row r="61" spans="1:13">
      <c r="A61" s="19">
        <v>2531832</v>
      </c>
      <c r="B61" s="20" t="s">
        <v>351</v>
      </c>
      <c r="C61" s="19" t="s">
        <v>352</v>
      </c>
      <c r="D61" s="19" t="s">
        <v>353</v>
      </c>
      <c r="E61" s="20" t="s">
        <v>84</v>
      </c>
      <c r="F61" s="20" t="s">
        <v>92</v>
      </c>
      <c r="G61" s="20" t="s">
        <v>26</v>
      </c>
      <c r="H61" s="20" t="s">
        <v>328</v>
      </c>
      <c r="I61" s="20" t="s">
        <v>354</v>
      </c>
      <c r="J61" s="20">
        <v>4</v>
      </c>
      <c r="K61" s="20" t="s">
        <v>19</v>
      </c>
      <c r="L61" s="20" t="s">
        <v>16</v>
      </c>
      <c r="M61" s="21"/>
    </row>
    <row r="62" spans="1:13">
      <c r="A62" s="19">
        <v>252611</v>
      </c>
      <c r="B62" s="20" t="s">
        <v>355</v>
      </c>
      <c r="C62" s="19" t="s">
        <v>356</v>
      </c>
      <c r="D62" s="19" t="s">
        <v>357</v>
      </c>
      <c r="E62" s="20" t="s">
        <v>84</v>
      </c>
      <c r="F62" s="20" t="s">
        <v>112</v>
      </c>
      <c r="G62" s="20" t="s">
        <v>26</v>
      </c>
      <c r="H62" s="20" t="s">
        <v>328</v>
      </c>
      <c r="I62" s="20" t="s">
        <v>358</v>
      </c>
      <c r="J62" s="20">
        <v>2</v>
      </c>
      <c r="K62" s="20" t="s">
        <v>19</v>
      </c>
      <c r="L62" s="20" t="s">
        <v>16</v>
      </c>
      <c r="M62" s="21"/>
    </row>
    <row r="63" spans="1:13">
      <c r="A63" s="22">
        <v>2529611</v>
      </c>
      <c r="B63" s="23" t="s">
        <v>359</v>
      </c>
      <c r="C63" s="22" t="s">
        <v>356</v>
      </c>
      <c r="D63" s="22" t="s">
        <v>360</v>
      </c>
      <c r="E63" s="23" t="s">
        <v>84</v>
      </c>
      <c r="F63" s="23" t="s">
        <v>112</v>
      </c>
      <c r="G63" s="23" t="s">
        <v>26</v>
      </c>
      <c r="H63" s="20" t="s">
        <v>328</v>
      </c>
      <c r="I63" s="23" t="s">
        <v>358</v>
      </c>
      <c r="J63" s="20">
        <v>2</v>
      </c>
      <c r="K63" s="23" t="s">
        <v>19</v>
      </c>
      <c r="L63" s="23" t="s">
        <v>16</v>
      </c>
      <c r="M63" s="24"/>
    </row>
    <row r="64" spans="1:13">
      <c r="A64" s="19">
        <v>2430410</v>
      </c>
      <c r="B64" s="20" t="s">
        <v>361</v>
      </c>
      <c r="C64" s="19" t="s">
        <v>362</v>
      </c>
      <c r="D64" s="19" t="s">
        <v>363</v>
      </c>
      <c r="E64" s="20" t="s">
        <v>219</v>
      </c>
      <c r="F64" s="20" t="s">
        <v>92</v>
      </c>
      <c r="G64" s="20" t="s">
        <v>27</v>
      </c>
      <c r="H64" s="20" t="s">
        <v>364</v>
      </c>
      <c r="I64" s="20" t="s">
        <v>365</v>
      </c>
      <c r="J64" s="19" t="s">
        <v>195</v>
      </c>
      <c r="K64" s="20" t="s">
        <v>366</v>
      </c>
      <c r="L64" s="20" t="s">
        <v>18</v>
      </c>
      <c r="M64" s="21" t="s">
        <v>222</v>
      </c>
    </row>
    <row r="65" spans="1:13">
      <c r="A65" s="22">
        <v>2388504</v>
      </c>
      <c r="B65" s="23" t="s">
        <v>367</v>
      </c>
      <c r="C65" s="22" t="s">
        <v>368</v>
      </c>
      <c r="D65" s="22" t="s">
        <v>369</v>
      </c>
      <c r="E65" s="23" t="s">
        <v>84</v>
      </c>
      <c r="F65" s="23" t="s">
        <v>92</v>
      </c>
      <c r="G65" s="23" t="s">
        <v>26</v>
      </c>
      <c r="H65" s="23" t="s">
        <v>370</v>
      </c>
      <c r="I65" s="23" t="s">
        <v>371</v>
      </c>
      <c r="J65" s="22" t="s">
        <v>195</v>
      </c>
      <c r="K65" s="23" t="s">
        <v>88</v>
      </c>
      <c r="L65" s="23" t="s">
        <v>18</v>
      </c>
      <c r="M65" s="24"/>
    </row>
    <row r="66" spans="1:13">
      <c r="A66" s="19">
        <v>2533152</v>
      </c>
      <c r="B66" s="20" t="s">
        <v>372</v>
      </c>
      <c r="C66" s="19" t="s">
        <v>373</v>
      </c>
      <c r="D66" s="19" t="s">
        <v>374</v>
      </c>
      <c r="E66" s="20" t="s">
        <v>84</v>
      </c>
      <c r="F66" s="20" t="s">
        <v>92</v>
      </c>
      <c r="G66" s="20" t="s">
        <v>26</v>
      </c>
      <c r="H66" s="20" t="s">
        <v>328</v>
      </c>
      <c r="I66" s="20" t="s">
        <v>375</v>
      </c>
      <c r="J66" s="23">
        <v>1</v>
      </c>
      <c r="K66" s="20" t="s">
        <v>19</v>
      </c>
      <c r="L66" s="20" t="s">
        <v>16</v>
      </c>
      <c r="M66" s="21"/>
    </row>
    <row r="67" spans="1:13">
      <c r="A67" s="19">
        <v>2533154</v>
      </c>
      <c r="B67" s="20" t="s">
        <v>376</v>
      </c>
      <c r="C67" s="19" t="s">
        <v>377</v>
      </c>
      <c r="D67" s="19" t="s">
        <v>378</v>
      </c>
      <c r="E67" s="20" t="s">
        <v>84</v>
      </c>
      <c r="F67" s="20" t="s">
        <v>112</v>
      </c>
      <c r="G67" s="20" t="s">
        <v>26</v>
      </c>
      <c r="H67" s="20" t="s">
        <v>379</v>
      </c>
      <c r="I67" s="20" t="s">
        <v>380</v>
      </c>
      <c r="J67" s="23">
        <v>1</v>
      </c>
      <c r="K67" s="20" t="s">
        <v>107</v>
      </c>
      <c r="L67" s="20" t="s">
        <v>16</v>
      </c>
      <c r="M67" s="21"/>
    </row>
    <row r="68" spans="1:13">
      <c r="A68" s="19">
        <v>2531448</v>
      </c>
      <c r="B68" s="20" t="s">
        <v>381</v>
      </c>
      <c r="C68" s="19" t="s">
        <v>382</v>
      </c>
      <c r="D68" s="19" t="s">
        <v>383</v>
      </c>
      <c r="E68" s="20" t="s">
        <v>384</v>
      </c>
      <c r="F68" s="20" t="s">
        <v>112</v>
      </c>
      <c r="G68" s="20" t="s">
        <v>26</v>
      </c>
      <c r="H68" s="20" t="s">
        <v>328</v>
      </c>
      <c r="I68" s="20" t="s">
        <v>385</v>
      </c>
      <c r="J68" s="20">
        <v>4</v>
      </c>
      <c r="K68" s="20" t="s">
        <v>19</v>
      </c>
      <c r="L68" s="20" t="s">
        <v>16</v>
      </c>
      <c r="M68" s="21"/>
    </row>
    <row r="69" spans="1:13">
      <c r="A69" s="19">
        <v>2532902</v>
      </c>
      <c r="B69" s="20" t="s">
        <v>386</v>
      </c>
      <c r="C69" s="19" t="s">
        <v>387</v>
      </c>
      <c r="D69" s="19" t="s">
        <v>388</v>
      </c>
      <c r="E69" s="20" t="s">
        <v>84</v>
      </c>
      <c r="F69" s="20" t="s">
        <v>85</v>
      </c>
      <c r="G69" s="20" t="s">
        <v>26</v>
      </c>
      <c r="H69" s="20" t="s">
        <v>328</v>
      </c>
      <c r="I69" s="20" t="s">
        <v>389</v>
      </c>
      <c r="J69" s="20">
        <v>2</v>
      </c>
      <c r="K69" s="20" t="s">
        <v>107</v>
      </c>
      <c r="L69" s="20" t="s">
        <v>16</v>
      </c>
      <c r="M69" s="21"/>
    </row>
    <row r="70" spans="1:13">
      <c r="A70" s="22">
        <v>2521130</v>
      </c>
      <c r="B70" s="23" t="s">
        <v>390</v>
      </c>
      <c r="C70" s="22" t="s">
        <v>391</v>
      </c>
      <c r="D70" s="22" t="s">
        <v>392</v>
      </c>
      <c r="E70" s="23" t="s">
        <v>84</v>
      </c>
      <c r="F70" s="23" t="s">
        <v>92</v>
      </c>
      <c r="G70" s="23" t="s">
        <v>26</v>
      </c>
      <c r="H70" s="20" t="s">
        <v>393</v>
      </c>
      <c r="I70" s="23" t="s">
        <v>394</v>
      </c>
      <c r="J70" s="23">
        <v>1</v>
      </c>
      <c r="K70" s="23" t="s">
        <v>107</v>
      </c>
      <c r="L70" s="23" t="s">
        <v>16</v>
      </c>
      <c r="M70" s="24"/>
    </row>
    <row r="71" spans="1:13">
      <c r="A71" s="19">
        <v>2522854</v>
      </c>
      <c r="B71" s="20" t="s">
        <v>395</v>
      </c>
      <c r="C71" s="19" t="s">
        <v>396</v>
      </c>
      <c r="D71" s="19" t="s">
        <v>397</v>
      </c>
      <c r="E71" s="20" t="s">
        <v>84</v>
      </c>
      <c r="F71" s="20" t="s">
        <v>92</v>
      </c>
      <c r="G71" s="20" t="s">
        <v>26</v>
      </c>
      <c r="H71" s="20" t="s">
        <v>393</v>
      </c>
      <c r="I71" s="20" t="s">
        <v>398</v>
      </c>
      <c r="J71" s="20">
        <v>2</v>
      </c>
      <c r="K71" s="20" t="s">
        <v>19</v>
      </c>
      <c r="L71" s="20" t="s">
        <v>18</v>
      </c>
      <c r="M71" s="21"/>
    </row>
    <row r="72" spans="1:13">
      <c r="A72" s="19">
        <v>2531280</v>
      </c>
      <c r="B72" s="20" t="s">
        <v>399</v>
      </c>
      <c r="C72" s="19" t="s">
        <v>400</v>
      </c>
      <c r="D72" s="19" t="s">
        <v>401</v>
      </c>
      <c r="E72" s="20" t="s">
        <v>127</v>
      </c>
      <c r="F72" s="20" t="s">
        <v>92</v>
      </c>
      <c r="G72" s="20" t="s">
        <v>26</v>
      </c>
      <c r="H72" s="20" t="s">
        <v>393</v>
      </c>
      <c r="I72" s="20" t="s">
        <v>402</v>
      </c>
      <c r="J72" s="23">
        <v>3</v>
      </c>
      <c r="K72" s="20" t="s">
        <v>19</v>
      </c>
      <c r="L72" s="20" t="s">
        <v>18</v>
      </c>
      <c r="M72" s="21"/>
    </row>
    <row r="73" spans="1:13">
      <c r="A73" s="22">
        <v>2531280</v>
      </c>
      <c r="B73" s="23" t="s">
        <v>399</v>
      </c>
      <c r="C73" s="22" t="s">
        <v>400</v>
      </c>
      <c r="D73" s="22" t="s">
        <v>401</v>
      </c>
      <c r="E73" s="23" t="s">
        <v>127</v>
      </c>
      <c r="F73" s="23" t="s">
        <v>92</v>
      </c>
      <c r="G73" s="23" t="s">
        <v>26</v>
      </c>
      <c r="H73" s="20" t="s">
        <v>393</v>
      </c>
      <c r="I73" s="23" t="s">
        <v>402</v>
      </c>
      <c r="J73" s="23">
        <v>3</v>
      </c>
      <c r="K73" s="23" t="s">
        <v>19</v>
      </c>
      <c r="L73" s="23" t="s">
        <v>18</v>
      </c>
      <c r="M73" s="24"/>
    </row>
    <row r="74" spans="1:13">
      <c r="A74" s="19">
        <v>2531280</v>
      </c>
      <c r="B74" s="20" t="s">
        <v>399</v>
      </c>
      <c r="C74" s="19" t="s">
        <v>400</v>
      </c>
      <c r="D74" s="19" t="s">
        <v>401</v>
      </c>
      <c r="E74" s="20" t="s">
        <v>127</v>
      </c>
      <c r="F74" s="20" t="s">
        <v>92</v>
      </c>
      <c r="G74" s="20" t="s">
        <v>26</v>
      </c>
      <c r="H74" s="20" t="s">
        <v>393</v>
      </c>
      <c r="I74" s="20" t="s">
        <v>403</v>
      </c>
      <c r="J74" s="23">
        <v>3</v>
      </c>
      <c r="K74" s="20" t="s">
        <v>19</v>
      </c>
      <c r="L74" s="20" t="s">
        <v>18</v>
      </c>
      <c r="M74" s="21"/>
    </row>
    <row r="75" spans="1:13">
      <c r="A75" s="19">
        <v>2533066</v>
      </c>
      <c r="B75" s="20" t="s">
        <v>404</v>
      </c>
      <c r="C75" s="19" t="s">
        <v>405</v>
      </c>
      <c r="D75" s="19" t="s">
        <v>406</v>
      </c>
      <c r="E75" s="20" t="s">
        <v>84</v>
      </c>
      <c r="F75" s="20" t="s">
        <v>92</v>
      </c>
      <c r="G75" s="20" t="s">
        <v>26</v>
      </c>
      <c r="H75" s="20" t="s">
        <v>393</v>
      </c>
      <c r="I75" s="20" t="s">
        <v>407</v>
      </c>
      <c r="J75" s="23">
        <v>1</v>
      </c>
      <c r="K75" s="20" t="s">
        <v>107</v>
      </c>
      <c r="L75" s="20" t="s">
        <v>18</v>
      </c>
      <c r="M75" s="21"/>
    </row>
    <row r="76" spans="1:13">
      <c r="A76" s="19">
        <v>2521107</v>
      </c>
      <c r="B76" s="20" t="s">
        <v>408</v>
      </c>
      <c r="C76" s="19" t="s">
        <v>409</v>
      </c>
      <c r="D76" s="19" t="s">
        <v>410</v>
      </c>
      <c r="E76" s="20" t="s">
        <v>84</v>
      </c>
      <c r="F76" s="20" t="s">
        <v>92</v>
      </c>
      <c r="G76" s="20" t="s">
        <v>26</v>
      </c>
      <c r="H76" s="20" t="s">
        <v>393</v>
      </c>
      <c r="I76" s="20" t="s">
        <v>411</v>
      </c>
      <c r="J76" s="19">
        <v>1</v>
      </c>
      <c r="K76" s="20" t="s">
        <v>107</v>
      </c>
      <c r="L76" s="20" t="s">
        <v>16</v>
      </c>
      <c r="M76" s="24"/>
    </row>
    <row r="77" spans="1:13">
      <c r="A77" s="22">
        <v>2393392</v>
      </c>
      <c r="B77" s="23" t="s">
        <v>412</v>
      </c>
      <c r="C77" s="22" t="s">
        <v>413</v>
      </c>
      <c r="D77" s="22" t="s">
        <v>414</v>
      </c>
      <c r="E77" s="23" t="s">
        <v>415</v>
      </c>
      <c r="F77" s="23" t="s">
        <v>112</v>
      </c>
      <c r="G77" s="23" t="s">
        <v>26</v>
      </c>
      <c r="H77" s="23" t="s">
        <v>416</v>
      </c>
      <c r="I77" s="23" t="s">
        <v>417</v>
      </c>
      <c r="J77" s="22" t="s">
        <v>283</v>
      </c>
      <c r="K77" s="23" t="s">
        <v>107</v>
      </c>
      <c r="L77" s="23" t="s">
        <v>16</v>
      </c>
      <c r="M77" s="24"/>
    </row>
    <row r="78" spans="1:13">
      <c r="A78" s="19">
        <v>2474464</v>
      </c>
      <c r="B78" s="20" t="s">
        <v>418</v>
      </c>
      <c r="C78" s="19" t="s">
        <v>419</v>
      </c>
      <c r="D78" s="19" t="s">
        <v>420</v>
      </c>
      <c r="E78" s="20" t="s">
        <v>84</v>
      </c>
      <c r="F78" s="20" t="s">
        <v>92</v>
      </c>
      <c r="G78" s="20" t="s">
        <v>26</v>
      </c>
      <c r="H78" s="20" t="s">
        <v>421</v>
      </c>
      <c r="I78" s="20" t="s">
        <v>422</v>
      </c>
      <c r="J78" s="19" t="s">
        <v>34</v>
      </c>
      <c r="K78" s="20" t="s">
        <v>107</v>
      </c>
      <c r="L78" s="20" t="s">
        <v>18</v>
      </c>
      <c r="M78" s="21" t="s">
        <v>423</v>
      </c>
    </row>
    <row r="79" spans="1:13">
      <c r="A79" s="22">
        <v>2388500</v>
      </c>
      <c r="B79" s="23" t="s">
        <v>424</v>
      </c>
      <c r="C79" s="22" t="s">
        <v>425</v>
      </c>
      <c r="D79" s="22" t="s">
        <v>426</v>
      </c>
      <c r="E79" s="23" t="s">
        <v>84</v>
      </c>
      <c r="F79" s="23" t="s">
        <v>112</v>
      </c>
      <c r="G79" s="23" t="s">
        <v>26</v>
      </c>
      <c r="H79" s="23" t="s">
        <v>427</v>
      </c>
      <c r="I79" s="23" t="s">
        <v>428</v>
      </c>
      <c r="J79" s="22" t="s">
        <v>94</v>
      </c>
      <c r="K79" s="23" t="s">
        <v>107</v>
      </c>
      <c r="L79" s="23" t="s">
        <v>16</v>
      </c>
      <c r="M79" s="24"/>
    </row>
    <row r="80" spans="1:13">
      <c r="A80" s="19">
        <v>2532927</v>
      </c>
      <c r="B80" s="20" t="s">
        <v>429</v>
      </c>
      <c r="C80" s="19" t="s">
        <v>430</v>
      </c>
      <c r="D80" s="19" t="s">
        <v>431</v>
      </c>
      <c r="E80" s="20" t="s">
        <v>84</v>
      </c>
      <c r="F80" s="20" t="s">
        <v>92</v>
      </c>
      <c r="G80" s="20" t="s">
        <v>26</v>
      </c>
      <c r="H80" s="20" t="s">
        <v>432</v>
      </c>
      <c r="I80" s="20" t="s">
        <v>433</v>
      </c>
      <c r="J80" s="23">
        <v>1</v>
      </c>
      <c r="K80" s="20" t="s">
        <v>107</v>
      </c>
      <c r="L80" s="20" t="s">
        <v>16</v>
      </c>
      <c r="M80" s="21" t="s">
        <v>434</v>
      </c>
    </row>
    <row r="81" spans="1:13">
      <c r="A81" s="22">
        <v>2512363</v>
      </c>
      <c r="B81" s="23" t="s">
        <v>435</v>
      </c>
      <c r="C81" s="22" t="s">
        <v>436</v>
      </c>
      <c r="D81" s="22" t="s">
        <v>437</v>
      </c>
      <c r="E81" s="23" t="s">
        <v>84</v>
      </c>
      <c r="F81" s="23" t="s">
        <v>92</v>
      </c>
      <c r="G81" s="23" t="s">
        <v>26</v>
      </c>
      <c r="H81" s="23" t="s">
        <v>438</v>
      </c>
      <c r="I81" s="23" t="s">
        <v>439</v>
      </c>
      <c r="J81" s="20">
        <v>2</v>
      </c>
      <c r="K81" s="23" t="s">
        <v>107</v>
      </c>
      <c r="L81" s="23" t="s">
        <v>16</v>
      </c>
      <c r="M81" s="24"/>
    </row>
    <row r="82" spans="1:13">
      <c r="A82" s="19">
        <v>2524665</v>
      </c>
      <c r="B82" s="20" t="s">
        <v>440</v>
      </c>
      <c r="C82" s="19" t="s">
        <v>441</v>
      </c>
      <c r="D82" s="19" t="s">
        <v>442</v>
      </c>
      <c r="E82" s="20" t="s">
        <v>84</v>
      </c>
      <c r="F82" s="20" t="s">
        <v>92</v>
      </c>
      <c r="G82" s="20" t="s">
        <v>26</v>
      </c>
      <c r="H82" s="20" t="s">
        <v>443</v>
      </c>
      <c r="I82" s="20" t="s">
        <v>444</v>
      </c>
      <c r="J82" s="23">
        <v>1</v>
      </c>
      <c r="K82" s="20" t="s">
        <v>107</v>
      </c>
      <c r="L82" s="20" t="s">
        <v>16</v>
      </c>
      <c r="M82" s="21"/>
    </row>
    <row r="83" spans="1:13">
      <c r="A83" s="22">
        <v>2533215</v>
      </c>
      <c r="B83" s="23" t="s">
        <v>445</v>
      </c>
      <c r="C83" s="22" t="s">
        <v>446</v>
      </c>
      <c r="D83" s="22" t="s">
        <v>447</v>
      </c>
      <c r="E83" s="23" t="s">
        <v>84</v>
      </c>
      <c r="F83" s="23" t="s">
        <v>92</v>
      </c>
      <c r="G83" s="23" t="s">
        <v>26</v>
      </c>
      <c r="H83" s="23" t="s">
        <v>448</v>
      </c>
      <c r="I83" s="23" t="s">
        <v>449</v>
      </c>
      <c r="J83" s="34" t="s">
        <v>34</v>
      </c>
      <c r="K83" s="23" t="s">
        <v>107</v>
      </c>
      <c r="L83" s="23" t="s">
        <v>16</v>
      </c>
      <c r="M83" s="24"/>
    </row>
    <row r="84" spans="1:13">
      <c r="A84" s="22">
        <v>2533179</v>
      </c>
      <c r="B84" s="23" t="s">
        <v>450</v>
      </c>
      <c r="C84" s="22" t="s">
        <v>451</v>
      </c>
      <c r="D84" s="22" t="s">
        <v>452</v>
      </c>
      <c r="E84" s="23" t="s">
        <v>127</v>
      </c>
      <c r="F84" s="23" t="s">
        <v>92</v>
      </c>
      <c r="G84" s="23" t="s">
        <v>26</v>
      </c>
      <c r="H84" s="23" t="s">
        <v>453</v>
      </c>
      <c r="I84" s="23" t="s">
        <v>454</v>
      </c>
      <c r="J84" s="34" t="s">
        <v>34</v>
      </c>
      <c r="K84" s="23" t="s">
        <v>206</v>
      </c>
      <c r="L84" s="23" t="s">
        <v>16</v>
      </c>
      <c r="M84" s="24" t="s">
        <v>455</v>
      </c>
    </row>
    <row r="85" spans="1:13">
      <c r="A85" s="19">
        <v>2533157</v>
      </c>
      <c r="B85" s="20" t="s">
        <v>456</v>
      </c>
      <c r="C85" s="19" t="s">
        <v>457</v>
      </c>
      <c r="D85" s="19" t="s">
        <v>458</v>
      </c>
      <c r="E85" s="20" t="s">
        <v>84</v>
      </c>
      <c r="F85" s="20" t="s">
        <v>92</v>
      </c>
      <c r="G85" s="20" t="s">
        <v>26</v>
      </c>
      <c r="H85" s="20" t="s">
        <v>459</v>
      </c>
      <c r="I85" s="20" t="s">
        <v>460</v>
      </c>
      <c r="J85" s="34" t="s">
        <v>34</v>
      </c>
      <c r="K85" s="20" t="s">
        <v>107</v>
      </c>
      <c r="L85" s="20" t="s">
        <v>16</v>
      </c>
      <c r="M85" s="21" t="s">
        <v>461</v>
      </c>
    </row>
    <row r="86" spans="1:13">
      <c r="A86" s="19">
        <v>2521834</v>
      </c>
      <c r="B86" s="20" t="s">
        <v>462</v>
      </c>
      <c r="C86" s="19" t="s">
        <v>463</v>
      </c>
      <c r="D86" s="19" t="s">
        <v>464</v>
      </c>
      <c r="E86" s="20" t="s">
        <v>127</v>
      </c>
      <c r="F86" s="20" t="s">
        <v>85</v>
      </c>
      <c r="G86" s="20" t="s">
        <v>28</v>
      </c>
      <c r="H86" s="20" t="s">
        <v>465</v>
      </c>
      <c r="I86" s="20" t="s">
        <v>466</v>
      </c>
      <c r="J86" s="34" t="s">
        <v>34</v>
      </c>
      <c r="K86" s="20" t="s">
        <v>467</v>
      </c>
      <c r="L86" s="20" t="s">
        <v>16</v>
      </c>
      <c r="M86" s="21"/>
    </row>
    <row r="87" spans="1:13">
      <c r="A87" s="22">
        <v>2532932</v>
      </c>
      <c r="B87" s="23" t="s">
        <v>468</v>
      </c>
      <c r="C87" s="22" t="s">
        <v>469</v>
      </c>
      <c r="D87" s="22" t="s">
        <v>470</v>
      </c>
      <c r="E87" s="23" t="s">
        <v>84</v>
      </c>
      <c r="F87" s="23" t="s">
        <v>85</v>
      </c>
      <c r="G87" s="23" t="s">
        <v>25</v>
      </c>
      <c r="H87" s="23" t="s">
        <v>471</v>
      </c>
      <c r="I87" s="23" t="s">
        <v>472</v>
      </c>
      <c r="J87" s="36" t="s">
        <v>34</v>
      </c>
      <c r="K87" s="23" t="s">
        <v>15</v>
      </c>
      <c r="L87" s="23" t="s">
        <v>16</v>
      </c>
      <c r="M87" s="24"/>
    </row>
    <row r="88" spans="1:13">
      <c r="A88" s="22">
        <v>2531408</v>
      </c>
      <c r="B88" s="23" t="s">
        <v>473</v>
      </c>
      <c r="C88" s="22" t="s">
        <v>474</v>
      </c>
      <c r="D88" s="22" t="s">
        <v>475</v>
      </c>
      <c r="E88" s="23" t="s">
        <v>84</v>
      </c>
      <c r="F88" s="23" t="s">
        <v>112</v>
      </c>
      <c r="G88" s="23" t="s">
        <v>25</v>
      </c>
      <c r="H88" s="23" t="s">
        <v>476</v>
      </c>
      <c r="I88" s="23" t="s">
        <v>477</v>
      </c>
      <c r="J88" s="23">
        <v>13</v>
      </c>
      <c r="K88" s="23" t="s">
        <v>478</v>
      </c>
      <c r="L88" s="23" t="s">
        <v>18</v>
      </c>
      <c r="M88" s="24"/>
    </row>
    <row r="89" spans="1:13">
      <c r="A89" s="22">
        <v>2526610</v>
      </c>
      <c r="B89" s="23" t="s">
        <v>479</v>
      </c>
      <c r="C89" s="22" t="s">
        <v>480</v>
      </c>
      <c r="D89" s="22" t="s">
        <v>481</v>
      </c>
      <c r="E89" s="23" t="s">
        <v>84</v>
      </c>
      <c r="F89" s="23" t="s">
        <v>85</v>
      </c>
      <c r="G89" s="23" t="s">
        <v>26</v>
      </c>
      <c r="H89" s="23" t="s">
        <v>482</v>
      </c>
      <c r="I89" s="22" t="s">
        <v>483</v>
      </c>
      <c r="J89" s="23">
        <v>1</v>
      </c>
      <c r="K89" s="23" t="s">
        <v>19</v>
      </c>
      <c r="L89" s="23" t="s">
        <v>18</v>
      </c>
      <c r="M89" s="24"/>
    </row>
    <row r="90" spans="1:13">
      <c r="A90" s="19">
        <v>2530223</v>
      </c>
      <c r="B90" s="20" t="s">
        <v>484</v>
      </c>
      <c r="C90" s="19" t="s">
        <v>485</v>
      </c>
      <c r="D90" s="19" t="s">
        <v>486</v>
      </c>
      <c r="E90" s="20" t="s">
        <v>84</v>
      </c>
      <c r="F90" s="20" t="s">
        <v>172</v>
      </c>
      <c r="G90" s="20" t="s">
        <v>26</v>
      </c>
      <c r="H90" s="20" t="s">
        <v>487</v>
      </c>
      <c r="I90" s="20" t="s">
        <v>488</v>
      </c>
      <c r="J90" s="20">
        <v>2</v>
      </c>
      <c r="K90" s="20" t="s">
        <v>107</v>
      </c>
      <c r="L90" s="20" t="s">
        <v>16</v>
      </c>
      <c r="M90" s="21"/>
    </row>
    <row r="91" spans="1:13">
      <c r="A91" s="22">
        <v>2516799</v>
      </c>
      <c r="B91" s="23" t="s">
        <v>489</v>
      </c>
      <c r="C91" s="22" t="s">
        <v>490</v>
      </c>
      <c r="D91" s="22" t="s">
        <v>491</v>
      </c>
      <c r="E91" s="23" t="s">
        <v>84</v>
      </c>
      <c r="F91" s="23" t="s">
        <v>92</v>
      </c>
      <c r="G91" s="23" t="s">
        <v>26</v>
      </c>
      <c r="H91" s="23" t="s">
        <v>492</v>
      </c>
      <c r="I91" s="23" t="s">
        <v>493</v>
      </c>
      <c r="J91" s="23">
        <v>1</v>
      </c>
      <c r="K91" s="23" t="s">
        <v>107</v>
      </c>
      <c r="L91" s="23" t="s">
        <v>16</v>
      </c>
      <c r="M91" s="24"/>
    </row>
    <row r="92" spans="1:13">
      <c r="A92" s="22">
        <v>2519678</v>
      </c>
      <c r="B92" s="23" t="s">
        <v>494</v>
      </c>
      <c r="C92" s="22" t="s">
        <v>495</v>
      </c>
      <c r="D92" s="22" t="s">
        <v>496</v>
      </c>
      <c r="E92" s="23" t="s">
        <v>84</v>
      </c>
      <c r="F92" s="23" t="s">
        <v>85</v>
      </c>
      <c r="G92" s="23" t="s">
        <v>24</v>
      </c>
      <c r="H92" s="23" t="s">
        <v>497</v>
      </c>
      <c r="I92" s="23" t="s">
        <v>498</v>
      </c>
      <c r="J92" s="23">
        <v>1</v>
      </c>
      <c r="K92" s="23" t="s">
        <v>19</v>
      </c>
      <c r="L92" s="23" t="s">
        <v>16</v>
      </c>
      <c r="M92" s="24"/>
    </row>
    <row r="93" spans="1:13">
      <c r="A93" s="22">
        <v>2521183</v>
      </c>
      <c r="B93" s="23" t="s">
        <v>499</v>
      </c>
      <c r="C93" s="22" t="s">
        <v>500</v>
      </c>
      <c r="D93" s="22" t="s">
        <v>501</v>
      </c>
      <c r="E93" s="23" t="s">
        <v>84</v>
      </c>
      <c r="F93" s="23" t="s">
        <v>85</v>
      </c>
      <c r="G93" s="23" t="s">
        <v>26</v>
      </c>
      <c r="H93" s="23" t="s">
        <v>502</v>
      </c>
      <c r="I93" s="23" t="s">
        <v>503</v>
      </c>
      <c r="J93" s="34" t="s">
        <v>34</v>
      </c>
      <c r="K93" s="23" t="s">
        <v>19</v>
      </c>
      <c r="L93" s="23" t="s">
        <v>16</v>
      </c>
      <c r="M93" s="24"/>
    </row>
    <row r="94" spans="1:13">
      <c r="A94" s="22">
        <v>2511301</v>
      </c>
      <c r="B94" s="23" t="s">
        <v>504</v>
      </c>
      <c r="C94" s="22" t="s">
        <v>505</v>
      </c>
      <c r="D94" s="22" t="s">
        <v>506</v>
      </c>
      <c r="E94" s="23" t="s">
        <v>127</v>
      </c>
      <c r="F94" s="23" t="s">
        <v>112</v>
      </c>
      <c r="G94" s="23" t="s">
        <v>26</v>
      </c>
      <c r="H94" s="23" t="s">
        <v>507</v>
      </c>
      <c r="I94" s="23" t="s">
        <v>508</v>
      </c>
      <c r="J94" s="23">
        <v>3</v>
      </c>
      <c r="K94" s="23" t="s">
        <v>107</v>
      </c>
      <c r="L94" s="23" t="s">
        <v>16</v>
      </c>
      <c r="M94" s="24"/>
    </row>
    <row r="95" spans="1:13">
      <c r="A95" s="22">
        <v>2533183</v>
      </c>
      <c r="B95" s="23" t="s">
        <v>509</v>
      </c>
      <c r="C95" s="22" t="s">
        <v>510</v>
      </c>
      <c r="D95" s="22" t="s">
        <v>511</v>
      </c>
      <c r="E95" s="23" t="s">
        <v>84</v>
      </c>
      <c r="F95" s="23" t="s">
        <v>112</v>
      </c>
      <c r="G95" s="23" t="s">
        <v>26</v>
      </c>
      <c r="H95" s="23" t="s">
        <v>512</v>
      </c>
      <c r="I95" s="23" t="s">
        <v>508</v>
      </c>
      <c r="J95" s="23">
        <v>3</v>
      </c>
      <c r="K95" s="23" t="s">
        <v>19</v>
      </c>
      <c r="L95" s="23" t="s">
        <v>16</v>
      </c>
      <c r="M95" s="24"/>
    </row>
    <row r="96" spans="1:13">
      <c r="A96" s="22">
        <v>2524637</v>
      </c>
      <c r="B96" s="23" t="s">
        <v>513</v>
      </c>
      <c r="C96" s="22" t="s">
        <v>514</v>
      </c>
      <c r="D96" s="22" t="s">
        <v>515</v>
      </c>
      <c r="E96" s="23" t="s">
        <v>84</v>
      </c>
      <c r="F96" s="23" t="s">
        <v>112</v>
      </c>
      <c r="G96" s="23" t="s">
        <v>26</v>
      </c>
      <c r="H96" s="23" t="s">
        <v>516</v>
      </c>
      <c r="I96" s="23" t="s">
        <v>517</v>
      </c>
      <c r="J96" s="23">
        <v>1</v>
      </c>
      <c r="K96" s="23" t="s">
        <v>19</v>
      </c>
      <c r="L96" s="23" t="s">
        <v>16</v>
      </c>
      <c r="M96" s="24" t="s">
        <v>518</v>
      </c>
    </row>
    <row r="97" spans="1:13">
      <c r="A97" s="19">
        <v>2526597</v>
      </c>
      <c r="B97" s="20" t="s">
        <v>519</v>
      </c>
      <c r="C97" s="19" t="s">
        <v>520</v>
      </c>
      <c r="D97" s="19" t="s">
        <v>521</v>
      </c>
      <c r="E97" s="20" t="s">
        <v>127</v>
      </c>
      <c r="F97" s="20" t="s">
        <v>112</v>
      </c>
      <c r="G97" s="20" t="s">
        <v>26</v>
      </c>
      <c r="H97" s="20" t="s">
        <v>522</v>
      </c>
      <c r="I97" s="20" t="s">
        <v>523</v>
      </c>
      <c r="J97" s="23">
        <v>1</v>
      </c>
      <c r="K97" s="20" t="s">
        <v>19</v>
      </c>
      <c r="L97" s="20" t="s">
        <v>16</v>
      </c>
      <c r="M97" s="21"/>
    </row>
    <row r="98" spans="1:13">
      <c r="A98" s="22">
        <v>2526593</v>
      </c>
      <c r="B98" s="23" t="s">
        <v>524</v>
      </c>
      <c r="C98" s="22" t="s">
        <v>525</v>
      </c>
      <c r="D98" s="22" t="s">
        <v>526</v>
      </c>
      <c r="E98" s="23" t="s">
        <v>84</v>
      </c>
      <c r="F98" s="23" t="s">
        <v>112</v>
      </c>
      <c r="G98" s="23" t="s">
        <v>26</v>
      </c>
      <c r="H98" s="23" t="s">
        <v>527</v>
      </c>
      <c r="I98" s="23" t="s">
        <v>528</v>
      </c>
      <c r="J98" s="23">
        <v>1</v>
      </c>
      <c r="K98" s="23" t="s">
        <v>19</v>
      </c>
      <c r="L98" s="23" t="s">
        <v>18</v>
      </c>
      <c r="M98" s="24" t="s">
        <v>49</v>
      </c>
    </row>
    <row r="99" spans="1:13">
      <c r="A99" s="19">
        <v>2533226</v>
      </c>
      <c r="B99" s="20" t="s">
        <v>529</v>
      </c>
      <c r="C99" s="19" t="s">
        <v>530</v>
      </c>
      <c r="D99" s="19" t="s">
        <v>531</v>
      </c>
      <c r="E99" s="20" t="s">
        <v>84</v>
      </c>
      <c r="F99" s="20" t="s">
        <v>85</v>
      </c>
      <c r="G99" s="20" t="s">
        <v>26</v>
      </c>
      <c r="H99" s="20" t="s">
        <v>516</v>
      </c>
      <c r="I99" s="20" t="s">
        <v>532</v>
      </c>
      <c r="J99" s="34">
        <v>1</v>
      </c>
      <c r="K99" s="20" t="s">
        <v>19</v>
      </c>
      <c r="L99" s="20" t="s">
        <v>16</v>
      </c>
      <c r="M99" s="21"/>
    </row>
    <row r="100" spans="1:13">
      <c r="A100" s="19">
        <v>2521697</v>
      </c>
      <c r="B100" s="20" t="s">
        <v>533</v>
      </c>
      <c r="C100" s="19" t="s">
        <v>534</v>
      </c>
      <c r="D100" s="19" t="s">
        <v>535</v>
      </c>
      <c r="E100" s="20" t="s">
        <v>84</v>
      </c>
      <c r="F100" s="20" t="s">
        <v>85</v>
      </c>
      <c r="G100" s="20" t="s">
        <v>24</v>
      </c>
      <c r="H100" s="20" t="s">
        <v>516</v>
      </c>
      <c r="I100" s="20" t="s">
        <v>536</v>
      </c>
      <c r="J100" s="34" t="s">
        <v>34</v>
      </c>
      <c r="K100" s="20" t="s">
        <v>19</v>
      </c>
      <c r="L100" s="20" t="s">
        <v>16</v>
      </c>
      <c r="M100" s="21"/>
    </row>
    <row r="101" spans="1:13">
      <c r="A101" s="22">
        <v>2524655</v>
      </c>
      <c r="B101" s="23" t="s">
        <v>537</v>
      </c>
      <c r="C101" s="22" t="s">
        <v>538</v>
      </c>
      <c r="D101" s="22" t="s">
        <v>539</v>
      </c>
      <c r="E101" s="23" t="s">
        <v>84</v>
      </c>
      <c r="F101" s="23" t="s">
        <v>112</v>
      </c>
      <c r="G101" s="23" t="s">
        <v>26</v>
      </c>
      <c r="H101" s="23" t="s">
        <v>516</v>
      </c>
      <c r="I101" s="23" t="s">
        <v>540</v>
      </c>
      <c r="J101" s="34" t="s">
        <v>34</v>
      </c>
      <c r="K101" s="23" t="s">
        <v>19</v>
      </c>
      <c r="L101" s="23" t="s">
        <v>16</v>
      </c>
      <c r="M101" s="24"/>
    </row>
    <row r="102" spans="1:13">
      <c r="A102" s="22">
        <v>2521697</v>
      </c>
      <c r="B102" s="23" t="s">
        <v>533</v>
      </c>
      <c r="C102" s="22" t="s">
        <v>534</v>
      </c>
      <c r="D102" s="22" t="s">
        <v>541</v>
      </c>
      <c r="E102" s="23" t="s">
        <v>415</v>
      </c>
      <c r="F102" s="23" t="s">
        <v>85</v>
      </c>
      <c r="G102" s="23" t="s">
        <v>24</v>
      </c>
      <c r="H102" s="23" t="s">
        <v>516</v>
      </c>
      <c r="I102" s="23" t="s">
        <v>542</v>
      </c>
      <c r="J102" s="34" t="s">
        <v>34</v>
      </c>
      <c r="K102" s="23" t="s">
        <v>19</v>
      </c>
      <c r="L102" s="23" t="s">
        <v>16</v>
      </c>
      <c r="M102" s="24"/>
    </row>
    <row r="103" spans="1:13">
      <c r="A103" s="22">
        <v>2525063</v>
      </c>
      <c r="B103" s="23" t="s">
        <v>543</v>
      </c>
      <c r="C103" s="22" t="s">
        <v>544</v>
      </c>
      <c r="D103" s="22" t="s">
        <v>545</v>
      </c>
      <c r="E103" s="23" t="s">
        <v>84</v>
      </c>
      <c r="F103" s="23" t="s">
        <v>85</v>
      </c>
      <c r="G103" s="23" t="s">
        <v>26</v>
      </c>
      <c r="H103" s="23" t="s">
        <v>516</v>
      </c>
      <c r="I103" s="23" t="s">
        <v>546</v>
      </c>
      <c r="J103" s="34" t="s">
        <v>34</v>
      </c>
      <c r="K103" s="23" t="s">
        <v>19</v>
      </c>
      <c r="L103" s="23" t="s">
        <v>16</v>
      </c>
      <c r="M103" s="24"/>
    </row>
    <row r="104" spans="1:13">
      <c r="A104" s="22">
        <v>2525063</v>
      </c>
      <c r="B104" s="23" t="s">
        <v>543</v>
      </c>
      <c r="C104" s="22" t="s">
        <v>544</v>
      </c>
      <c r="D104" s="22" t="s">
        <v>545</v>
      </c>
      <c r="E104" s="23" t="s">
        <v>84</v>
      </c>
      <c r="F104" s="23" t="s">
        <v>85</v>
      </c>
      <c r="G104" s="23" t="s">
        <v>26</v>
      </c>
      <c r="H104" s="23" t="s">
        <v>547</v>
      </c>
      <c r="I104" s="23" t="s">
        <v>548</v>
      </c>
      <c r="J104" s="34" t="s">
        <v>34</v>
      </c>
      <c r="K104" s="23" t="s">
        <v>19</v>
      </c>
      <c r="L104" s="23" t="s">
        <v>16</v>
      </c>
      <c r="M104" s="24"/>
    </row>
    <row r="105" spans="1:13">
      <c r="A105" s="19">
        <v>2472445</v>
      </c>
      <c r="B105" s="20" t="s">
        <v>549</v>
      </c>
      <c r="C105" s="19" t="s">
        <v>550</v>
      </c>
      <c r="D105" s="19" t="s">
        <v>551</v>
      </c>
      <c r="E105" s="20" t="s">
        <v>127</v>
      </c>
      <c r="F105" s="20" t="s">
        <v>112</v>
      </c>
      <c r="G105" s="20" t="s">
        <v>26</v>
      </c>
      <c r="H105" s="20" t="s">
        <v>552</v>
      </c>
      <c r="I105" s="20" t="s">
        <v>553</v>
      </c>
      <c r="J105" s="19" t="s">
        <v>283</v>
      </c>
      <c r="K105" s="20" t="s">
        <v>19</v>
      </c>
      <c r="L105" s="20" t="s">
        <v>16</v>
      </c>
      <c r="M105" s="21"/>
    </row>
    <row r="106" spans="1:13">
      <c r="A106" s="22">
        <v>2521703</v>
      </c>
      <c r="B106" s="23" t="s">
        <v>554</v>
      </c>
      <c r="C106" s="22" t="s">
        <v>555</v>
      </c>
      <c r="D106" s="22" t="s">
        <v>556</v>
      </c>
      <c r="E106" s="23" t="s">
        <v>84</v>
      </c>
      <c r="F106" s="23" t="s">
        <v>85</v>
      </c>
      <c r="G106" s="23" t="s">
        <v>26</v>
      </c>
      <c r="H106" s="23" t="s">
        <v>557</v>
      </c>
      <c r="I106" s="23" t="s">
        <v>558</v>
      </c>
      <c r="J106" s="34" t="s">
        <v>34</v>
      </c>
      <c r="K106" s="23" t="s">
        <v>19</v>
      </c>
      <c r="L106" s="23" t="s">
        <v>16</v>
      </c>
      <c r="M106" s="24" t="s">
        <v>49</v>
      </c>
    </row>
    <row r="107" spans="1:13">
      <c r="A107" s="19">
        <v>2526174</v>
      </c>
      <c r="B107" s="20" t="s">
        <v>559</v>
      </c>
      <c r="C107" s="19" t="s">
        <v>560</v>
      </c>
      <c r="D107" s="19" t="s">
        <v>561</v>
      </c>
      <c r="E107" s="20" t="s">
        <v>84</v>
      </c>
      <c r="F107" s="20" t="s">
        <v>112</v>
      </c>
      <c r="G107" s="20" t="s">
        <v>24</v>
      </c>
      <c r="H107" s="20" t="s">
        <v>562</v>
      </c>
      <c r="I107" s="20" t="s">
        <v>563</v>
      </c>
      <c r="J107" s="34" t="s">
        <v>34</v>
      </c>
      <c r="K107" s="20" t="s">
        <v>19</v>
      </c>
      <c r="L107" s="20" t="s">
        <v>16</v>
      </c>
      <c r="M107" s="21"/>
    </row>
    <row r="108" spans="1:13">
      <c r="A108" s="19">
        <v>2526174</v>
      </c>
      <c r="B108" s="20" t="s">
        <v>559</v>
      </c>
      <c r="C108" s="19" t="s">
        <v>560</v>
      </c>
      <c r="D108" s="19" t="s">
        <v>561</v>
      </c>
      <c r="E108" s="20" t="s">
        <v>84</v>
      </c>
      <c r="F108" s="20" t="s">
        <v>112</v>
      </c>
      <c r="G108" s="20" t="s">
        <v>24</v>
      </c>
      <c r="H108" s="20" t="s">
        <v>562</v>
      </c>
      <c r="I108" s="20" t="s">
        <v>563</v>
      </c>
      <c r="J108" s="34" t="s">
        <v>34</v>
      </c>
      <c r="K108" s="20" t="s">
        <v>19</v>
      </c>
      <c r="L108" s="20" t="s">
        <v>16</v>
      </c>
      <c r="M108" s="21"/>
    </row>
    <row r="109" spans="1:13">
      <c r="A109" s="19">
        <v>2526174</v>
      </c>
      <c r="B109" s="20" t="s">
        <v>559</v>
      </c>
      <c r="C109" s="19" t="s">
        <v>560</v>
      </c>
      <c r="D109" s="19" t="s">
        <v>561</v>
      </c>
      <c r="E109" s="20" t="s">
        <v>84</v>
      </c>
      <c r="F109" s="20" t="s">
        <v>112</v>
      </c>
      <c r="G109" s="20" t="s">
        <v>24</v>
      </c>
      <c r="H109" s="20" t="s">
        <v>564</v>
      </c>
      <c r="I109" s="20" t="s">
        <v>563</v>
      </c>
      <c r="J109" s="20" t="s">
        <v>34</v>
      </c>
      <c r="K109" s="20" t="s">
        <v>19</v>
      </c>
      <c r="L109" s="20" t="s">
        <v>16</v>
      </c>
      <c r="M109" s="21"/>
    </row>
    <row r="110" spans="1:13">
      <c r="A110" s="19">
        <v>2521248</v>
      </c>
      <c r="B110" s="20" t="s">
        <v>565</v>
      </c>
      <c r="C110" s="19" t="s">
        <v>566</v>
      </c>
      <c r="D110" s="19" t="s">
        <v>567</v>
      </c>
      <c r="E110" s="20" t="s">
        <v>84</v>
      </c>
      <c r="F110" s="20" t="s">
        <v>85</v>
      </c>
      <c r="G110" s="20" t="s">
        <v>26</v>
      </c>
      <c r="H110" s="20" t="s">
        <v>568</v>
      </c>
      <c r="I110" s="20" t="s">
        <v>569</v>
      </c>
      <c r="J110" s="23">
        <v>3</v>
      </c>
      <c r="K110" s="20" t="s">
        <v>17</v>
      </c>
      <c r="L110" s="20" t="s">
        <v>16</v>
      </c>
      <c r="M110" s="21"/>
    </row>
    <row r="111" spans="1:13">
      <c r="A111" s="19">
        <v>2512347</v>
      </c>
      <c r="B111" s="20" t="s">
        <v>570</v>
      </c>
      <c r="C111" s="19" t="s">
        <v>571</v>
      </c>
      <c r="D111" s="19" t="s">
        <v>572</v>
      </c>
      <c r="E111" s="20" t="s">
        <v>84</v>
      </c>
      <c r="F111" s="20" t="s">
        <v>92</v>
      </c>
      <c r="G111" s="20" t="s">
        <v>26</v>
      </c>
      <c r="H111" s="20" t="s">
        <v>573</v>
      </c>
      <c r="I111" s="20" t="s">
        <v>574</v>
      </c>
      <c r="J111" s="20">
        <v>2</v>
      </c>
      <c r="K111" s="20" t="s">
        <v>19</v>
      </c>
      <c r="L111" s="20" t="s">
        <v>16</v>
      </c>
      <c r="M111" s="21"/>
    </row>
    <row r="112" spans="1:13">
      <c r="A112" s="19">
        <v>2529799</v>
      </c>
      <c r="B112" s="20" t="s">
        <v>575</v>
      </c>
      <c r="C112" s="19" t="s">
        <v>576</v>
      </c>
      <c r="D112" s="19" t="s">
        <v>577</v>
      </c>
      <c r="E112" s="20" t="s">
        <v>84</v>
      </c>
      <c r="F112" s="20" t="s">
        <v>92</v>
      </c>
      <c r="G112" s="20" t="s">
        <v>26</v>
      </c>
      <c r="H112" s="20" t="s">
        <v>578</v>
      </c>
      <c r="I112" s="20" t="s">
        <v>579</v>
      </c>
      <c r="J112" s="34" t="s">
        <v>34</v>
      </c>
      <c r="K112" s="20" t="s">
        <v>19</v>
      </c>
      <c r="L112" s="20" t="s">
        <v>16</v>
      </c>
      <c r="M112" s="21"/>
    </row>
    <row r="113" spans="1:13">
      <c r="A113" s="19">
        <v>2524634</v>
      </c>
      <c r="B113" s="20" t="s">
        <v>580</v>
      </c>
      <c r="C113" s="19" t="s">
        <v>581</v>
      </c>
      <c r="D113" s="19" t="s">
        <v>582</v>
      </c>
      <c r="E113" s="20" t="s">
        <v>84</v>
      </c>
      <c r="F113" s="20" t="s">
        <v>92</v>
      </c>
      <c r="G113" s="20" t="s">
        <v>26</v>
      </c>
      <c r="H113" s="20" t="s">
        <v>583</v>
      </c>
      <c r="I113" s="20" t="s">
        <v>584</v>
      </c>
      <c r="J113" s="20">
        <v>5</v>
      </c>
      <c r="K113" s="20" t="s">
        <v>19</v>
      </c>
      <c r="L113" s="20" t="s">
        <v>16</v>
      </c>
      <c r="M113" s="21"/>
    </row>
    <row r="114" spans="1:13">
      <c r="A114" s="22">
        <v>2521810</v>
      </c>
      <c r="B114" s="23" t="s">
        <v>585</v>
      </c>
      <c r="C114" s="22" t="s">
        <v>586</v>
      </c>
      <c r="D114" s="22" t="s">
        <v>587</v>
      </c>
      <c r="E114" s="23" t="s">
        <v>84</v>
      </c>
      <c r="F114" s="23" t="s">
        <v>92</v>
      </c>
      <c r="G114" s="23" t="s">
        <v>26</v>
      </c>
      <c r="H114" s="23" t="s">
        <v>588</v>
      </c>
      <c r="I114" s="23" t="s">
        <v>589</v>
      </c>
      <c r="J114" s="23">
        <v>1</v>
      </c>
      <c r="K114" s="23" t="s">
        <v>19</v>
      </c>
      <c r="L114" s="23" t="s">
        <v>16</v>
      </c>
      <c r="M114" s="24"/>
    </row>
    <row r="115" spans="1:13">
      <c r="A115" s="19">
        <v>2512318</v>
      </c>
      <c r="B115" s="20" t="s">
        <v>590</v>
      </c>
      <c r="C115" s="19" t="s">
        <v>591</v>
      </c>
      <c r="D115" s="19" t="s">
        <v>592</v>
      </c>
      <c r="E115" s="20" t="s">
        <v>84</v>
      </c>
      <c r="F115" s="20" t="s">
        <v>92</v>
      </c>
      <c r="G115" s="20" t="s">
        <v>26</v>
      </c>
      <c r="H115" s="20" t="s">
        <v>588</v>
      </c>
      <c r="I115" s="20" t="s">
        <v>593</v>
      </c>
      <c r="J115" s="20">
        <v>2</v>
      </c>
      <c r="K115" s="20" t="s">
        <v>19</v>
      </c>
      <c r="L115" s="20" t="s">
        <v>16</v>
      </c>
      <c r="M115" s="21"/>
    </row>
    <row r="116" spans="1:13">
      <c r="A116" s="22">
        <v>2512318</v>
      </c>
      <c r="B116" s="23" t="s">
        <v>590</v>
      </c>
      <c r="C116" s="22" t="s">
        <v>591</v>
      </c>
      <c r="D116" s="22" t="s">
        <v>592</v>
      </c>
      <c r="E116" s="23" t="s">
        <v>84</v>
      </c>
      <c r="F116" s="23" t="s">
        <v>92</v>
      </c>
      <c r="G116" s="23" t="s">
        <v>26</v>
      </c>
      <c r="H116" s="23" t="s">
        <v>588</v>
      </c>
      <c r="I116" s="23" t="s">
        <v>593</v>
      </c>
      <c r="J116" s="20">
        <v>2</v>
      </c>
      <c r="K116" s="23" t="s">
        <v>19</v>
      </c>
      <c r="L116" s="23" t="s">
        <v>16</v>
      </c>
      <c r="M116" s="24"/>
    </row>
    <row r="117" spans="1:13">
      <c r="A117" s="22">
        <v>2529549</v>
      </c>
      <c r="B117" s="23" t="s">
        <v>594</v>
      </c>
      <c r="C117" s="22" t="s">
        <v>595</v>
      </c>
      <c r="D117" s="22" t="s">
        <v>596</v>
      </c>
      <c r="E117" s="23" t="s">
        <v>127</v>
      </c>
      <c r="F117" s="23" t="s">
        <v>92</v>
      </c>
      <c r="G117" s="23" t="s">
        <v>26</v>
      </c>
      <c r="H117" s="23" t="s">
        <v>597</v>
      </c>
      <c r="I117" s="23" t="s">
        <v>598</v>
      </c>
      <c r="J117" s="20">
        <v>4</v>
      </c>
      <c r="K117" s="23" t="s">
        <v>19</v>
      </c>
      <c r="L117" s="23" t="s">
        <v>16</v>
      </c>
      <c r="M117" s="24"/>
    </row>
    <row r="118" spans="1:13">
      <c r="A118" s="19">
        <v>2521662</v>
      </c>
      <c r="B118" s="20" t="s">
        <v>599</v>
      </c>
      <c r="C118" s="19" t="s">
        <v>600</v>
      </c>
      <c r="D118" s="19" t="s">
        <v>601</v>
      </c>
      <c r="E118" s="20" t="s">
        <v>127</v>
      </c>
      <c r="F118" s="20" t="s">
        <v>92</v>
      </c>
      <c r="G118" s="20" t="s">
        <v>26</v>
      </c>
      <c r="H118" s="20" t="s">
        <v>602</v>
      </c>
      <c r="I118" s="20" t="s">
        <v>603</v>
      </c>
      <c r="J118" s="20">
        <v>5</v>
      </c>
      <c r="K118" s="20" t="s">
        <v>19</v>
      </c>
      <c r="L118" s="20" t="s">
        <v>16</v>
      </c>
      <c r="M118" s="21"/>
    </row>
    <row r="119" spans="1:13">
      <c r="A119" s="22">
        <v>2533075</v>
      </c>
      <c r="B119" s="23" t="s">
        <v>604</v>
      </c>
      <c r="C119" s="22" t="s">
        <v>605</v>
      </c>
      <c r="D119" s="22" t="s">
        <v>606</v>
      </c>
      <c r="E119" s="23" t="s">
        <v>84</v>
      </c>
      <c r="F119" s="23" t="s">
        <v>92</v>
      </c>
      <c r="G119" s="23" t="s">
        <v>24</v>
      </c>
      <c r="H119" s="23" t="s">
        <v>607</v>
      </c>
      <c r="I119" s="23" t="s">
        <v>608</v>
      </c>
      <c r="J119" s="34" t="s">
        <v>34</v>
      </c>
      <c r="K119" s="23" t="s">
        <v>19</v>
      </c>
      <c r="L119" s="23" t="s">
        <v>16</v>
      </c>
      <c r="M119" s="24"/>
    </row>
    <row r="120" spans="1:13">
      <c r="A120" s="22">
        <v>2521280</v>
      </c>
      <c r="B120" s="23" t="s">
        <v>609</v>
      </c>
      <c r="C120" s="22" t="s">
        <v>610</v>
      </c>
      <c r="D120" s="22" t="s">
        <v>611</v>
      </c>
      <c r="E120" s="23" t="s">
        <v>84</v>
      </c>
      <c r="F120" s="23" t="s">
        <v>92</v>
      </c>
      <c r="G120" s="23" t="s">
        <v>26</v>
      </c>
      <c r="H120" s="23" t="s">
        <v>612</v>
      </c>
      <c r="I120" s="23" t="s">
        <v>613</v>
      </c>
      <c r="J120" s="23">
        <v>1</v>
      </c>
      <c r="K120" s="23" t="s">
        <v>19</v>
      </c>
      <c r="L120" s="23" t="s">
        <v>16</v>
      </c>
      <c r="M120" s="24"/>
    </row>
    <row r="121" spans="1:13">
      <c r="A121" s="22">
        <v>2529578</v>
      </c>
      <c r="B121" s="23" t="s">
        <v>614</v>
      </c>
      <c r="C121" s="22" t="s">
        <v>615</v>
      </c>
      <c r="D121" s="22" t="s">
        <v>616</v>
      </c>
      <c r="E121" s="23" t="s">
        <v>84</v>
      </c>
      <c r="F121" s="23" t="s">
        <v>92</v>
      </c>
      <c r="G121" s="23" t="s">
        <v>26</v>
      </c>
      <c r="H121" s="23" t="s">
        <v>612</v>
      </c>
      <c r="I121" s="23" t="s">
        <v>617</v>
      </c>
      <c r="J121" s="20">
        <v>4</v>
      </c>
      <c r="K121" s="23" t="s">
        <v>107</v>
      </c>
      <c r="L121" s="23" t="s">
        <v>16</v>
      </c>
      <c r="M121" s="24"/>
    </row>
    <row r="122" spans="1:13">
      <c r="A122" s="22">
        <v>2516827</v>
      </c>
      <c r="B122" s="23" t="s">
        <v>618</v>
      </c>
      <c r="C122" s="22" t="s">
        <v>619</v>
      </c>
      <c r="D122" s="22" t="s">
        <v>620</v>
      </c>
      <c r="E122" s="23" t="s">
        <v>84</v>
      </c>
      <c r="F122" s="23" t="s">
        <v>92</v>
      </c>
      <c r="G122" s="23" t="s">
        <v>26</v>
      </c>
      <c r="H122" s="23" t="s">
        <v>612</v>
      </c>
      <c r="I122" s="23" t="s">
        <v>621</v>
      </c>
      <c r="J122" s="20">
        <v>5</v>
      </c>
      <c r="K122" s="23" t="s">
        <v>107</v>
      </c>
      <c r="L122" s="23" t="s">
        <v>16</v>
      </c>
      <c r="M122" s="24"/>
    </row>
    <row r="123" spans="1:13">
      <c r="A123" s="22">
        <v>2521681</v>
      </c>
      <c r="B123" s="23" t="s">
        <v>622</v>
      </c>
      <c r="C123" s="22" t="s">
        <v>623</v>
      </c>
      <c r="D123" s="22" t="s">
        <v>624</v>
      </c>
      <c r="E123" s="23" t="s">
        <v>84</v>
      </c>
      <c r="F123" s="23" t="s">
        <v>92</v>
      </c>
      <c r="G123" s="23" t="s">
        <v>26</v>
      </c>
      <c r="H123" s="23" t="s">
        <v>625</v>
      </c>
      <c r="I123" s="23" t="s">
        <v>625</v>
      </c>
      <c r="J123" s="20">
        <v>5</v>
      </c>
      <c r="K123" s="23" t="s">
        <v>19</v>
      </c>
      <c r="L123" s="23" t="s">
        <v>16</v>
      </c>
      <c r="M123" s="24"/>
    </row>
    <row r="124" spans="1:13">
      <c r="A124" s="22">
        <v>2521765</v>
      </c>
      <c r="B124" s="23" t="s">
        <v>626</v>
      </c>
      <c r="C124" s="22" t="s">
        <v>627</v>
      </c>
      <c r="D124" s="22" t="s">
        <v>628</v>
      </c>
      <c r="E124" s="23" t="s">
        <v>127</v>
      </c>
      <c r="F124" s="23" t="s">
        <v>92</v>
      </c>
      <c r="G124" s="23" t="s">
        <v>26</v>
      </c>
      <c r="H124" s="23" t="s">
        <v>629</v>
      </c>
      <c r="I124" s="23" t="s">
        <v>630</v>
      </c>
      <c r="J124" s="23">
        <v>1</v>
      </c>
      <c r="K124" s="23" t="s">
        <v>19</v>
      </c>
      <c r="L124" s="23" t="s">
        <v>18</v>
      </c>
      <c r="M124" s="24" t="s">
        <v>631</v>
      </c>
    </row>
    <row r="125" spans="1:13">
      <c r="A125" s="19">
        <v>2529791</v>
      </c>
      <c r="B125" s="20" t="s">
        <v>632</v>
      </c>
      <c r="C125" s="19" t="s">
        <v>633</v>
      </c>
      <c r="D125" s="19" t="s">
        <v>634</v>
      </c>
      <c r="E125" s="20" t="s">
        <v>84</v>
      </c>
      <c r="F125" s="20" t="s">
        <v>92</v>
      </c>
      <c r="G125" s="20" t="s">
        <v>26</v>
      </c>
      <c r="H125" s="20" t="s">
        <v>635</v>
      </c>
      <c r="I125" s="20" t="s">
        <v>636</v>
      </c>
      <c r="J125" s="20">
        <v>4</v>
      </c>
      <c r="K125" s="20" t="s">
        <v>107</v>
      </c>
      <c r="L125" s="20" t="s">
        <v>16</v>
      </c>
      <c r="M125" s="21"/>
    </row>
    <row r="126" spans="1:13">
      <c r="A126" s="19">
        <v>2529791</v>
      </c>
      <c r="B126" s="20" t="s">
        <v>632</v>
      </c>
      <c r="C126" s="19" t="s">
        <v>633</v>
      </c>
      <c r="D126" s="19" t="s">
        <v>634</v>
      </c>
      <c r="E126" s="20" t="s">
        <v>84</v>
      </c>
      <c r="F126" s="20" t="s">
        <v>92</v>
      </c>
      <c r="G126" s="20" t="s">
        <v>26</v>
      </c>
      <c r="H126" s="20" t="s">
        <v>635</v>
      </c>
      <c r="I126" s="20" t="s">
        <v>636</v>
      </c>
      <c r="J126" s="34">
        <v>4</v>
      </c>
      <c r="K126" s="20" t="s">
        <v>107</v>
      </c>
      <c r="L126" s="20" t="s">
        <v>16</v>
      </c>
      <c r="M126" s="21"/>
    </row>
    <row r="127" spans="1:13">
      <c r="A127" s="19">
        <v>2529791</v>
      </c>
      <c r="B127" s="20" t="s">
        <v>632</v>
      </c>
      <c r="C127" s="19" t="s">
        <v>633</v>
      </c>
      <c r="D127" s="19" t="s">
        <v>634</v>
      </c>
      <c r="E127" s="20" t="s">
        <v>84</v>
      </c>
      <c r="F127" s="20" t="s">
        <v>92</v>
      </c>
      <c r="G127" s="20" t="s">
        <v>26</v>
      </c>
      <c r="H127" s="20" t="s">
        <v>635</v>
      </c>
      <c r="I127" s="20" t="s">
        <v>636</v>
      </c>
      <c r="J127" s="20">
        <v>4</v>
      </c>
      <c r="K127" s="20" t="s">
        <v>107</v>
      </c>
      <c r="L127" s="20" t="s">
        <v>16</v>
      </c>
      <c r="M127" s="21"/>
    </row>
    <row r="128" spans="1:13">
      <c r="A128" s="19">
        <v>2521665</v>
      </c>
      <c r="B128" s="20" t="s">
        <v>637</v>
      </c>
      <c r="C128" s="19" t="s">
        <v>638</v>
      </c>
      <c r="D128" s="19" t="s">
        <v>639</v>
      </c>
      <c r="E128" s="20" t="s">
        <v>84</v>
      </c>
      <c r="F128" s="20" t="s">
        <v>172</v>
      </c>
      <c r="G128" s="20" t="s">
        <v>26</v>
      </c>
      <c r="H128" s="20" t="s">
        <v>640</v>
      </c>
      <c r="I128" s="20" t="s">
        <v>641</v>
      </c>
      <c r="J128" s="20">
        <v>5</v>
      </c>
      <c r="K128" s="20" t="s">
        <v>19</v>
      </c>
      <c r="L128" s="20" t="s">
        <v>16</v>
      </c>
      <c r="M128" s="21"/>
    </row>
    <row r="129" spans="1:13">
      <c r="A129" s="19">
        <v>2519781</v>
      </c>
      <c r="B129" s="20" t="s">
        <v>642</v>
      </c>
      <c r="C129" s="19" t="s">
        <v>643</v>
      </c>
      <c r="D129" s="19" t="s">
        <v>644</v>
      </c>
      <c r="E129" s="20" t="s">
        <v>84</v>
      </c>
      <c r="F129" s="20" t="s">
        <v>92</v>
      </c>
      <c r="G129" s="20" t="s">
        <v>26</v>
      </c>
      <c r="H129" s="20" t="s">
        <v>645</v>
      </c>
      <c r="I129" s="20" t="s">
        <v>593</v>
      </c>
      <c r="J129" s="23">
        <v>3</v>
      </c>
      <c r="K129" s="20" t="s">
        <v>19</v>
      </c>
      <c r="L129" s="20" t="s">
        <v>16</v>
      </c>
      <c r="M129" s="21" t="s">
        <v>16</v>
      </c>
    </row>
    <row r="130" spans="1:13">
      <c r="A130" s="19">
        <v>2531815</v>
      </c>
      <c r="B130" s="20" t="s">
        <v>646</v>
      </c>
      <c r="C130" s="19" t="s">
        <v>647</v>
      </c>
      <c r="D130" s="19" t="s">
        <v>648</v>
      </c>
      <c r="E130" s="20" t="s">
        <v>84</v>
      </c>
      <c r="F130" s="20" t="s">
        <v>112</v>
      </c>
      <c r="G130" s="20" t="s">
        <v>25</v>
      </c>
      <c r="H130" s="20" t="s">
        <v>649</v>
      </c>
      <c r="I130" s="20" t="s">
        <v>650</v>
      </c>
      <c r="J130" s="23">
        <v>1</v>
      </c>
      <c r="K130" s="20" t="s">
        <v>17</v>
      </c>
      <c r="L130" s="20" t="s">
        <v>18</v>
      </c>
      <c r="M130" s="21"/>
    </row>
    <row r="131" spans="1:13">
      <c r="A131" s="22">
        <v>2524656</v>
      </c>
      <c r="B131" s="23" t="s">
        <v>651</v>
      </c>
      <c r="C131" s="22" t="s">
        <v>652</v>
      </c>
      <c r="D131" s="22" t="s">
        <v>653</v>
      </c>
      <c r="E131" s="23" t="s">
        <v>84</v>
      </c>
      <c r="F131" s="23" t="s">
        <v>92</v>
      </c>
      <c r="G131" s="23" t="s">
        <v>26</v>
      </c>
      <c r="H131" s="23" t="s">
        <v>654</v>
      </c>
      <c r="I131" s="23" t="s">
        <v>655</v>
      </c>
      <c r="J131" s="23">
        <v>1</v>
      </c>
      <c r="K131" s="23" t="s">
        <v>107</v>
      </c>
      <c r="L131" s="23" t="s">
        <v>16</v>
      </c>
      <c r="M131" s="24"/>
    </row>
    <row r="132" spans="1:13">
      <c r="A132" s="22">
        <v>2512336</v>
      </c>
      <c r="B132" s="23" t="s">
        <v>656</v>
      </c>
      <c r="C132" s="22" t="s">
        <v>657</v>
      </c>
      <c r="D132" s="22" t="s">
        <v>658</v>
      </c>
      <c r="E132" s="23" t="s">
        <v>84</v>
      </c>
      <c r="F132" s="23" t="s">
        <v>92</v>
      </c>
      <c r="G132" s="23" t="s">
        <v>26</v>
      </c>
      <c r="H132" s="23" t="s">
        <v>659</v>
      </c>
      <c r="I132" s="23" t="s">
        <v>660</v>
      </c>
      <c r="J132" s="20">
        <v>2</v>
      </c>
      <c r="K132" s="23" t="s">
        <v>107</v>
      </c>
      <c r="L132" s="23" t="s">
        <v>16</v>
      </c>
      <c r="M132" s="24" t="s">
        <v>661</v>
      </c>
    </row>
    <row r="133" spans="1:13">
      <c r="A133" s="19">
        <v>2521671</v>
      </c>
      <c r="B133" s="20" t="s">
        <v>662</v>
      </c>
      <c r="C133" s="19" t="s">
        <v>663</v>
      </c>
      <c r="D133" s="19" t="s">
        <v>664</v>
      </c>
      <c r="E133" s="20" t="s">
        <v>84</v>
      </c>
      <c r="F133" s="20" t="s">
        <v>112</v>
      </c>
      <c r="G133" s="20" t="s">
        <v>26</v>
      </c>
      <c r="H133" s="20" t="s">
        <v>665</v>
      </c>
      <c r="I133" s="20" t="s">
        <v>666</v>
      </c>
      <c r="J133" s="23">
        <v>1</v>
      </c>
      <c r="K133" s="20" t="s">
        <v>107</v>
      </c>
      <c r="L133" s="20" t="s">
        <v>16</v>
      </c>
      <c r="M133" s="21"/>
    </row>
    <row r="134" spans="1:13">
      <c r="A134" s="22">
        <v>2521671</v>
      </c>
      <c r="B134" s="23" t="s">
        <v>662</v>
      </c>
      <c r="C134" s="22" t="s">
        <v>663</v>
      </c>
      <c r="D134" s="22" t="s">
        <v>664</v>
      </c>
      <c r="E134" s="23" t="s">
        <v>84</v>
      </c>
      <c r="F134" s="23" t="s">
        <v>92</v>
      </c>
      <c r="G134" s="23" t="s">
        <v>26</v>
      </c>
      <c r="H134" s="23" t="s">
        <v>665</v>
      </c>
      <c r="I134" s="23" t="s">
        <v>667</v>
      </c>
      <c r="J134" s="23">
        <v>1</v>
      </c>
      <c r="K134" s="23" t="s">
        <v>107</v>
      </c>
      <c r="L134" s="23" t="s">
        <v>16</v>
      </c>
      <c r="M134" s="24"/>
    </row>
    <row r="135" spans="1:13">
      <c r="A135" s="19">
        <v>2512336</v>
      </c>
      <c r="B135" s="20" t="s">
        <v>656</v>
      </c>
      <c r="C135" s="19" t="s">
        <v>657</v>
      </c>
      <c r="D135" s="19" t="s">
        <v>668</v>
      </c>
      <c r="E135" s="20" t="s">
        <v>384</v>
      </c>
      <c r="F135" s="20" t="s">
        <v>92</v>
      </c>
      <c r="G135" s="20" t="s">
        <v>26</v>
      </c>
      <c r="H135" s="20" t="s">
        <v>669</v>
      </c>
      <c r="I135" s="20" t="s">
        <v>670</v>
      </c>
      <c r="J135" s="20">
        <v>2</v>
      </c>
      <c r="K135" s="20" t="s">
        <v>107</v>
      </c>
      <c r="L135" s="20" t="s">
        <v>16</v>
      </c>
      <c r="M135" s="21" t="s">
        <v>330</v>
      </c>
    </row>
    <row r="136" spans="1:13">
      <c r="A136" s="19">
        <v>2533073</v>
      </c>
      <c r="B136" s="20" t="s">
        <v>671</v>
      </c>
      <c r="C136" s="19" t="s">
        <v>672</v>
      </c>
      <c r="D136" s="19" t="s">
        <v>673</v>
      </c>
      <c r="E136" s="20" t="s">
        <v>84</v>
      </c>
      <c r="F136" s="20" t="s">
        <v>92</v>
      </c>
      <c r="G136" s="20" t="s">
        <v>26</v>
      </c>
      <c r="H136" s="20" t="s">
        <v>674</v>
      </c>
      <c r="I136" s="20" t="s">
        <v>675</v>
      </c>
      <c r="J136" s="23">
        <v>1</v>
      </c>
      <c r="K136" s="20" t="s">
        <v>107</v>
      </c>
      <c r="L136" s="20" t="s">
        <v>16</v>
      </c>
      <c r="M136" s="21"/>
    </row>
    <row r="137" spans="1:13">
      <c r="A137" s="19">
        <v>2529696</v>
      </c>
      <c r="B137" s="20" t="s">
        <v>676</v>
      </c>
      <c r="C137" s="19" t="s">
        <v>677</v>
      </c>
      <c r="D137" s="19" t="s">
        <v>678</v>
      </c>
      <c r="E137" s="20" t="s">
        <v>84</v>
      </c>
      <c r="F137" s="20" t="s">
        <v>92</v>
      </c>
      <c r="G137" s="20" t="s">
        <v>26</v>
      </c>
      <c r="H137" s="20" t="s">
        <v>679</v>
      </c>
      <c r="I137" s="20" t="s">
        <v>680</v>
      </c>
      <c r="J137" s="20">
        <v>2</v>
      </c>
      <c r="K137" s="20" t="s">
        <v>107</v>
      </c>
      <c r="L137" s="20" t="s">
        <v>16</v>
      </c>
      <c r="M137" s="21"/>
    </row>
    <row r="138" spans="1:13">
      <c r="A138" s="22">
        <v>2521639</v>
      </c>
      <c r="B138" s="23" t="s">
        <v>681</v>
      </c>
      <c r="C138" s="22" t="s">
        <v>682</v>
      </c>
      <c r="D138" s="22" t="s">
        <v>683</v>
      </c>
      <c r="E138" s="23" t="s">
        <v>84</v>
      </c>
      <c r="F138" s="23" t="s">
        <v>92</v>
      </c>
      <c r="G138" s="23" t="s">
        <v>26</v>
      </c>
      <c r="H138" s="23" t="s">
        <v>684</v>
      </c>
      <c r="I138" s="23" t="s">
        <v>685</v>
      </c>
      <c r="J138" s="23">
        <v>1</v>
      </c>
      <c r="K138" s="23" t="s">
        <v>107</v>
      </c>
      <c r="L138" s="23" t="s">
        <v>16</v>
      </c>
      <c r="M138" s="24"/>
    </row>
    <row r="139" spans="1:13">
      <c r="A139" s="22">
        <v>2512349</v>
      </c>
      <c r="B139" s="23" t="s">
        <v>686</v>
      </c>
      <c r="C139" s="22" t="s">
        <v>687</v>
      </c>
      <c r="D139" s="22" t="s">
        <v>688</v>
      </c>
      <c r="E139" s="23" t="s">
        <v>84</v>
      </c>
      <c r="F139" s="23" t="s">
        <v>92</v>
      </c>
      <c r="G139" s="23" t="s">
        <v>26</v>
      </c>
      <c r="H139" s="23" t="s">
        <v>689</v>
      </c>
      <c r="I139" s="23" t="s">
        <v>690</v>
      </c>
      <c r="J139" s="20">
        <v>2</v>
      </c>
      <c r="K139" s="23" t="s">
        <v>107</v>
      </c>
      <c r="L139" s="23" t="s">
        <v>16</v>
      </c>
      <c r="M139" s="24"/>
    </row>
    <row r="140" spans="1:13">
      <c r="A140" s="22">
        <v>2512349</v>
      </c>
      <c r="B140" s="23" t="s">
        <v>686</v>
      </c>
      <c r="C140" s="22" t="s">
        <v>687</v>
      </c>
      <c r="D140" s="22" t="s">
        <v>688</v>
      </c>
      <c r="E140" s="23" t="s">
        <v>84</v>
      </c>
      <c r="F140" s="23" t="s">
        <v>92</v>
      </c>
      <c r="G140" s="23" t="s">
        <v>26</v>
      </c>
      <c r="H140" s="23" t="s">
        <v>691</v>
      </c>
      <c r="I140" s="23" t="s">
        <v>692</v>
      </c>
      <c r="J140" s="20">
        <v>2</v>
      </c>
      <c r="K140" s="23" t="s">
        <v>107</v>
      </c>
      <c r="L140" s="23" t="s">
        <v>16</v>
      </c>
      <c r="M140" s="24"/>
    </row>
    <row r="141" spans="1:13">
      <c r="A141" s="22">
        <v>2522803</v>
      </c>
      <c r="B141" s="23" t="s">
        <v>693</v>
      </c>
      <c r="C141" s="22" t="s">
        <v>694</v>
      </c>
      <c r="D141" s="22" t="s">
        <v>695</v>
      </c>
      <c r="E141" s="23" t="s">
        <v>127</v>
      </c>
      <c r="F141" s="23" t="s">
        <v>85</v>
      </c>
      <c r="G141" s="23" t="s">
        <v>25</v>
      </c>
      <c r="H141" s="23" t="s">
        <v>696</v>
      </c>
      <c r="I141" s="23" t="s">
        <v>696</v>
      </c>
      <c r="J141" s="34" t="s">
        <v>34</v>
      </c>
      <c r="K141" s="23" t="s">
        <v>697</v>
      </c>
      <c r="L141" s="23" t="s">
        <v>18</v>
      </c>
      <c r="M141" s="24"/>
    </row>
    <row r="142" spans="1:13">
      <c r="A142" s="19">
        <v>2529647</v>
      </c>
      <c r="B142" s="20" t="s">
        <v>698</v>
      </c>
      <c r="C142" s="19" t="s">
        <v>699</v>
      </c>
      <c r="D142" s="19" t="s">
        <v>700</v>
      </c>
      <c r="E142" s="20" t="s">
        <v>84</v>
      </c>
      <c r="F142" s="20" t="s">
        <v>85</v>
      </c>
      <c r="G142" s="20" t="s">
        <v>27</v>
      </c>
      <c r="H142" s="20" t="s">
        <v>701</v>
      </c>
      <c r="I142" s="20" t="s">
        <v>702</v>
      </c>
      <c r="J142" s="34" t="s">
        <v>34</v>
      </c>
      <c r="K142" s="20" t="s">
        <v>17</v>
      </c>
      <c r="L142" s="20" t="s">
        <v>16</v>
      </c>
      <c r="M142" s="21"/>
    </row>
    <row r="143" spans="1:13">
      <c r="A143" s="19">
        <v>2521690</v>
      </c>
      <c r="B143" s="20" t="s">
        <v>703</v>
      </c>
      <c r="C143" s="19" t="s">
        <v>704</v>
      </c>
      <c r="D143" s="19" t="s">
        <v>705</v>
      </c>
      <c r="E143" s="20" t="s">
        <v>84</v>
      </c>
      <c r="F143" s="20" t="s">
        <v>172</v>
      </c>
      <c r="G143" s="20" t="s">
        <v>26</v>
      </c>
      <c r="H143" s="20" t="s">
        <v>706</v>
      </c>
      <c r="I143" s="20" t="s">
        <v>707</v>
      </c>
      <c r="J143" s="20">
        <v>2</v>
      </c>
      <c r="K143" s="20" t="s">
        <v>107</v>
      </c>
      <c r="L143" s="20" t="s">
        <v>16</v>
      </c>
      <c r="M143" s="21"/>
    </row>
    <row r="144" spans="1:13">
      <c r="A144" s="22">
        <v>2521680</v>
      </c>
      <c r="B144" s="23" t="s">
        <v>708</v>
      </c>
      <c r="C144" s="22" t="s">
        <v>709</v>
      </c>
      <c r="D144" s="22" t="s">
        <v>710</v>
      </c>
      <c r="E144" s="23" t="s">
        <v>127</v>
      </c>
      <c r="F144" s="23" t="s">
        <v>85</v>
      </c>
      <c r="G144" s="23" t="s">
        <v>26</v>
      </c>
      <c r="H144" s="23" t="s">
        <v>711</v>
      </c>
      <c r="I144" s="23" t="s">
        <v>712</v>
      </c>
      <c r="J144" s="20">
        <v>2</v>
      </c>
      <c r="K144" s="23" t="s">
        <v>107</v>
      </c>
      <c r="L144" s="23" t="s">
        <v>16</v>
      </c>
      <c r="M144" s="24"/>
    </row>
    <row r="145" spans="1:13">
      <c r="A145" s="19">
        <v>2521680</v>
      </c>
      <c r="B145" s="20" t="s">
        <v>708</v>
      </c>
      <c r="C145" s="19" t="s">
        <v>709</v>
      </c>
      <c r="D145" s="19" t="s">
        <v>710</v>
      </c>
      <c r="E145" s="20" t="s">
        <v>127</v>
      </c>
      <c r="F145" s="20" t="s">
        <v>85</v>
      </c>
      <c r="G145" s="20" t="s">
        <v>26</v>
      </c>
      <c r="H145" s="20" t="s">
        <v>711</v>
      </c>
      <c r="I145" s="20" t="s">
        <v>713</v>
      </c>
      <c r="J145" s="20">
        <v>2</v>
      </c>
      <c r="K145" s="20" t="s">
        <v>107</v>
      </c>
      <c r="L145" s="20" t="s">
        <v>16</v>
      </c>
      <c r="M145" s="21"/>
    </row>
    <row r="146" spans="1:13">
      <c r="A146" s="19">
        <v>2521620</v>
      </c>
      <c r="B146" s="20" t="s">
        <v>714</v>
      </c>
      <c r="C146" s="19" t="s">
        <v>715</v>
      </c>
      <c r="D146" s="19" t="s">
        <v>716</v>
      </c>
      <c r="E146" s="20" t="s">
        <v>127</v>
      </c>
      <c r="F146" s="20" t="s">
        <v>112</v>
      </c>
      <c r="G146" s="20" t="s">
        <v>26</v>
      </c>
      <c r="H146" s="20" t="s">
        <v>717</v>
      </c>
      <c r="I146" s="20" t="s">
        <v>718</v>
      </c>
      <c r="J146" s="20">
        <v>2</v>
      </c>
      <c r="K146" s="20" t="s">
        <v>206</v>
      </c>
      <c r="L146" s="20" t="s">
        <v>18</v>
      </c>
      <c r="M146" s="21"/>
    </row>
    <row r="147" spans="1:13">
      <c r="A147" s="22">
        <v>2322732</v>
      </c>
      <c r="B147" s="23" t="s">
        <v>719</v>
      </c>
      <c r="C147" s="22" t="s">
        <v>720</v>
      </c>
      <c r="D147" s="22" t="s">
        <v>721</v>
      </c>
      <c r="E147" s="23" t="s">
        <v>84</v>
      </c>
      <c r="F147" s="23" t="s">
        <v>92</v>
      </c>
      <c r="G147" s="23" t="s">
        <v>27</v>
      </c>
      <c r="H147" s="23" t="s">
        <v>722</v>
      </c>
      <c r="I147" s="23" t="s">
        <v>723</v>
      </c>
      <c r="J147" s="22" t="s">
        <v>94</v>
      </c>
      <c r="K147" s="23" t="s">
        <v>724</v>
      </c>
      <c r="L147" s="23" t="s">
        <v>18</v>
      </c>
      <c r="M147" s="24"/>
    </row>
    <row r="148" spans="1:13">
      <c r="A148" s="22">
        <v>2531802</v>
      </c>
      <c r="B148" s="23" t="s">
        <v>725</v>
      </c>
      <c r="C148" s="22" t="s">
        <v>726</v>
      </c>
      <c r="D148" s="22" t="s">
        <v>727</v>
      </c>
      <c r="E148" s="23" t="s">
        <v>415</v>
      </c>
      <c r="F148" s="23" t="s">
        <v>92</v>
      </c>
      <c r="G148" s="23" t="s">
        <v>26</v>
      </c>
      <c r="H148" s="23" t="s">
        <v>728</v>
      </c>
      <c r="I148" s="23" t="s">
        <v>729</v>
      </c>
      <c r="J148" s="23">
        <v>1</v>
      </c>
      <c r="K148" s="23" t="s">
        <v>107</v>
      </c>
      <c r="L148" s="23" t="s">
        <v>16</v>
      </c>
      <c r="M148" s="24"/>
    </row>
    <row r="149" spans="1:13">
      <c r="A149" s="22">
        <v>2530222</v>
      </c>
      <c r="B149" s="23" t="s">
        <v>730</v>
      </c>
      <c r="C149" s="22" t="s">
        <v>731</v>
      </c>
      <c r="D149" s="22" t="s">
        <v>732</v>
      </c>
      <c r="E149" s="23" t="s">
        <v>84</v>
      </c>
      <c r="F149" s="23" t="s">
        <v>92</v>
      </c>
      <c r="G149" s="23" t="s">
        <v>26</v>
      </c>
      <c r="H149" s="23" t="s">
        <v>728</v>
      </c>
      <c r="I149" s="23" t="s">
        <v>733</v>
      </c>
      <c r="J149" s="20">
        <v>4</v>
      </c>
      <c r="K149" s="23" t="s">
        <v>19</v>
      </c>
      <c r="L149" s="23" t="s">
        <v>18</v>
      </c>
      <c r="M149" s="24"/>
    </row>
    <row r="150" spans="1:13">
      <c r="A150" s="22">
        <v>2521842</v>
      </c>
      <c r="B150" s="23" t="s">
        <v>734</v>
      </c>
      <c r="C150" s="22" t="s">
        <v>735</v>
      </c>
      <c r="D150" s="22" t="s">
        <v>182</v>
      </c>
      <c r="E150" s="23" t="s">
        <v>127</v>
      </c>
      <c r="F150" s="23" t="s">
        <v>92</v>
      </c>
      <c r="G150" s="23" t="s">
        <v>26</v>
      </c>
      <c r="H150" s="23" t="s">
        <v>736</v>
      </c>
      <c r="I150" s="23" t="s">
        <v>737</v>
      </c>
      <c r="J150" s="23">
        <v>3</v>
      </c>
      <c r="K150" s="23" t="s">
        <v>107</v>
      </c>
      <c r="L150" s="23" t="s">
        <v>18</v>
      </c>
      <c r="M150" s="24"/>
    </row>
    <row r="151" spans="1:13">
      <c r="A151" s="19">
        <v>2526142</v>
      </c>
      <c r="B151" s="20" t="s">
        <v>738</v>
      </c>
      <c r="C151" s="19" t="s">
        <v>739</v>
      </c>
      <c r="D151" s="19" t="s">
        <v>740</v>
      </c>
      <c r="E151" s="20" t="s">
        <v>127</v>
      </c>
      <c r="F151" s="20" t="s">
        <v>92</v>
      </c>
      <c r="G151" s="20" t="s">
        <v>26</v>
      </c>
      <c r="H151" s="20" t="s">
        <v>741</v>
      </c>
      <c r="I151" s="20" t="s">
        <v>742</v>
      </c>
      <c r="J151" s="23">
        <v>3</v>
      </c>
      <c r="K151" s="20" t="s">
        <v>19</v>
      </c>
      <c r="L151" s="20" t="s">
        <v>16</v>
      </c>
      <c r="M151" s="21"/>
    </row>
    <row r="152" spans="1:13">
      <c r="A152" s="22">
        <v>2526154</v>
      </c>
      <c r="B152" s="23" t="s">
        <v>743</v>
      </c>
      <c r="C152" s="22" t="s">
        <v>744</v>
      </c>
      <c r="D152" s="22" t="s">
        <v>745</v>
      </c>
      <c r="E152" s="23" t="s">
        <v>127</v>
      </c>
      <c r="F152" s="23" t="s">
        <v>92</v>
      </c>
      <c r="G152" s="23" t="s">
        <v>26</v>
      </c>
      <c r="H152" s="23" t="s">
        <v>746</v>
      </c>
      <c r="I152" s="23" t="s">
        <v>747</v>
      </c>
      <c r="J152" s="23">
        <v>3</v>
      </c>
      <c r="K152" s="23" t="s">
        <v>19</v>
      </c>
      <c r="L152" s="23" t="s">
        <v>16</v>
      </c>
      <c r="M152" s="24" t="s">
        <v>748</v>
      </c>
    </row>
    <row r="153" spans="1:13">
      <c r="A153" s="19">
        <v>2520953</v>
      </c>
      <c r="B153" s="20" t="s">
        <v>749</v>
      </c>
      <c r="C153" s="19" t="s">
        <v>750</v>
      </c>
      <c r="D153" s="19" t="s">
        <v>751</v>
      </c>
      <c r="E153" s="20" t="s">
        <v>127</v>
      </c>
      <c r="F153" s="20" t="s">
        <v>92</v>
      </c>
      <c r="G153" s="20" t="s">
        <v>26</v>
      </c>
      <c r="H153" s="20" t="s">
        <v>741</v>
      </c>
      <c r="I153" s="20" t="s">
        <v>752</v>
      </c>
      <c r="J153" s="23">
        <v>3</v>
      </c>
      <c r="K153" s="20" t="s">
        <v>19</v>
      </c>
      <c r="L153" s="20" t="s">
        <v>16</v>
      </c>
      <c r="M153" s="21"/>
    </row>
    <row r="154" spans="1:13">
      <c r="A154" s="19">
        <v>2526142</v>
      </c>
      <c r="B154" s="20" t="s">
        <v>738</v>
      </c>
      <c r="C154" s="19" t="s">
        <v>739</v>
      </c>
      <c r="D154" s="19" t="s">
        <v>740</v>
      </c>
      <c r="E154" s="20" t="s">
        <v>127</v>
      </c>
      <c r="F154" s="20" t="s">
        <v>92</v>
      </c>
      <c r="G154" s="20" t="s">
        <v>26</v>
      </c>
      <c r="H154" s="20" t="s">
        <v>741</v>
      </c>
      <c r="I154" s="20" t="s">
        <v>753</v>
      </c>
      <c r="J154" s="23">
        <v>3</v>
      </c>
      <c r="K154" s="20" t="s">
        <v>19</v>
      </c>
      <c r="L154" s="20" t="s">
        <v>16</v>
      </c>
      <c r="M154" s="21"/>
    </row>
    <row r="155" spans="1:13">
      <c r="A155" s="19">
        <v>2520925</v>
      </c>
      <c r="B155" s="20" t="s">
        <v>754</v>
      </c>
      <c r="C155" s="19" t="s">
        <v>755</v>
      </c>
      <c r="D155" s="19" t="s">
        <v>756</v>
      </c>
      <c r="E155" s="20" t="s">
        <v>84</v>
      </c>
      <c r="F155" s="20" t="s">
        <v>92</v>
      </c>
      <c r="G155" s="20" t="s">
        <v>26</v>
      </c>
      <c r="H155" s="20" t="s">
        <v>741</v>
      </c>
      <c r="I155" s="20" t="s">
        <v>757</v>
      </c>
      <c r="J155" s="20">
        <v>4</v>
      </c>
      <c r="K155" s="20" t="s">
        <v>19</v>
      </c>
      <c r="L155" s="20" t="s">
        <v>16</v>
      </c>
      <c r="M155" s="21" t="s">
        <v>49</v>
      </c>
    </row>
    <row r="156" spans="1:13">
      <c r="A156" s="22">
        <v>2520982</v>
      </c>
      <c r="B156" s="23" t="s">
        <v>758</v>
      </c>
      <c r="C156" s="22" t="s">
        <v>759</v>
      </c>
      <c r="D156" s="22" t="s">
        <v>760</v>
      </c>
      <c r="E156" s="23" t="s">
        <v>84</v>
      </c>
      <c r="F156" s="23" t="s">
        <v>92</v>
      </c>
      <c r="G156" s="23" t="s">
        <v>26</v>
      </c>
      <c r="H156" s="23" t="s">
        <v>761</v>
      </c>
      <c r="I156" s="23" t="s">
        <v>762</v>
      </c>
      <c r="J156" s="20">
        <v>5</v>
      </c>
      <c r="K156" s="23" t="s">
        <v>19</v>
      </c>
      <c r="L156" s="23" t="s">
        <v>16</v>
      </c>
      <c r="M156" s="24" t="s">
        <v>763</v>
      </c>
    </row>
    <row r="157" spans="1:13">
      <c r="A157" s="22">
        <v>2521844</v>
      </c>
      <c r="B157" s="23" t="s">
        <v>764</v>
      </c>
      <c r="C157" s="22" t="s">
        <v>185</v>
      </c>
      <c r="D157" s="22" t="s">
        <v>182</v>
      </c>
      <c r="E157" s="23" t="s">
        <v>127</v>
      </c>
      <c r="F157" s="23" t="s">
        <v>92</v>
      </c>
      <c r="G157" s="23" t="s">
        <v>26</v>
      </c>
      <c r="H157" s="23" t="s">
        <v>765</v>
      </c>
      <c r="I157" s="23" t="s">
        <v>766</v>
      </c>
      <c r="J157" s="23">
        <v>3</v>
      </c>
      <c r="K157" s="23" t="s">
        <v>107</v>
      </c>
      <c r="L157" s="23" t="s">
        <v>16</v>
      </c>
      <c r="M157" s="24"/>
    </row>
    <row r="158" spans="1:13">
      <c r="A158" s="22">
        <v>2530195</v>
      </c>
      <c r="B158" s="23" t="s">
        <v>767</v>
      </c>
      <c r="C158" s="22" t="s">
        <v>768</v>
      </c>
      <c r="D158" s="22" t="s">
        <v>769</v>
      </c>
      <c r="E158" s="23" t="s">
        <v>84</v>
      </c>
      <c r="F158" s="23" t="s">
        <v>92</v>
      </c>
      <c r="G158" s="23" t="s">
        <v>26</v>
      </c>
      <c r="H158" s="23" t="s">
        <v>770</v>
      </c>
      <c r="I158" s="23" t="s">
        <v>771</v>
      </c>
      <c r="J158" s="20">
        <v>4</v>
      </c>
      <c r="K158" s="23" t="s">
        <v>19</v>
      </c>
      <c r="L158" s="23" t="s">
        <v>16</v>
      </c>
      <c r="M158" s="24"/>
    </row>
    <row r="159" spans="1:13">
      <c r="A159" s="19">
        <v>2521755</v>
      </c>
      <c r="B159" s="20" t="s">
        <v>772</v>
      </c>
      <c r="C159" s="19" t="s">
        <v>773</v>
      </c>
      <c r="D159" s="19" t="s">
        <v>774</v>
      </c>
      <c r="E159" s="20" t="s">
        <v>127</v>
      </c>
      <c r="F159" s="20" t="s">
        <v>92</v>
      </c>
      <c r="G159" s="20" t="s">
        <v>26</v>
      </c>
      <c r="H159" s="20" t="s">
        <v>775</v>
      </c>
      <c r="I159" s="20" t="s">
        <v>776</v>
      </c>
      <c r="J159" s="20">
        <v>2</v>
      </c>
      <c r="K159" s="20" t="s">
        <v>19</v>
      </c>
      <c r="L159" s="20" t="s">
        <v>18</v>
      </c>
      <c r="M159" s="21"/>
    </row>
    <row r="160" spans="1:13">
      <c r="A160" s="19">
        <v>2521110</v>
      </c>
      <c r="B160" s="20" t="s">
        <v>777</v>
      </c>
      <c r="C160" s="19" t="s">
        <v>778</v>
      </c>
      <c r="D160" s="19" t="s">
        <v>779</v>
      </c>
      <c r="E160" s="20" t="s">
        <v>84</v>
      </c>
      <c r="F160" s="20" t="s">
        <v>92</v>
      </c>
      <c r="G160" s="20" t="s">
        <v>26</v>
      </c>
      <c r="H160" s="20" t="s">
        <v>775</v>
      </c>
      <c r="I160" s="20" t="s">
        <v>780</v>
      </c>
      <c r="J160" s="20">
        <v>4</v>
      </c>
      <c r="K160" s="20" t="s">
        <v>107</v>
      </c>
      <c r="L160" s="20" t="s">
        <v>16</v>
      </c>
      <c r="M160" s="21"/>
    </row>
    <row r="161" spans="1:13">
      <c r="A161" s="19">
        <v>2519648</v>
      </c>
      <c r="B161" s="20" t="s">
        <v>781</v>
      </c>
      <c r="C161" s="19" t="s">
        <v>782</v>
      </c>
      <c r="D161" s="19" t="s">
        <v>783</v>
      </c>
      <c r="E161" s="20" t="s">
        <v>84</v>
      </c>
      <c r="F161" s="20" t="s">
        <v>92</v>
      </c>
      <c r="G161" s="20" t="s">
        <v>26</v>
      </c>
      <c r="H161" s="20" t="s">
        <v>784</v>
      </c>
      <c r="I161" s="20" t="s">
        <v>785</v>
      </c>
      <c r="J161" s="23">
        <v>3</v>
      </c>
      <c r="K161" s="20" t="s">
        <v>19</v>
      </c>
      <c r="L161" s="20" t="s">
        <v>16</v>
      </c>
      <c r="M161" s="21"/>
    </row>
    <row r="162" spans="1:13">
      <c r="A162" s="22">
        <v>2519708</v>
      </c>
      <c r="B162" s="23" t="s">
        <v>786</v>
      </c>
      <c r="C162" s="22" t="s">
        <v>787</v>
      </c>
      <c r="D162" s="22" t="s">
        <v>788</v>
      </c>
      <c r="E162" s="23" t="s">
        <v>84</v>
      </c>
      <c r="F162" s="23" t="s">
        <v>92</v>
      </c>
      <c r="G162" s="23" t="s">
        <v>26</v>
      </c>
      <c r="H162" s="23" t="s">
        <v>789</v>
      </c>
      <c r="I162" s="23" t="s">
        <v>790</v>
      </c>
      <c r="J162" s="20">
        <v>5</v>
      </c>
      <c r="K162" s="23" t="s">
        <v>19</v>
      </c>
      <c r="L162" s="23" t="s">
        <v>18</v>
      </c>
      <c r="M162" s="24"/>
    </row>
    <row r="163" spans="1:13">
      <c r="A163" s="19">
        <v>2520998</v>
      </c>
      <c r="B163" s="20" t="s">
        <v>791</v>
      </c>
      <c r="C163" s="19" t="s">
        <v>792</v>
      </c>
      <c r="D163" s="19" t="s">
        <v>793</v>
      </c>
      <c r="E163" s="20" t="s">
        <v>127</v>
      </c>
      <c r="F163" s="20" t="s">
        <v>92</v>
      </c>
      <c r="G163" s="20" t="s">
        <v>26</v>
      </c>
      <c r="H163" s="20" t="s">
        <v>794</v>
      </c>
      <c r="I163" s="20" t="s">
        <v>795</v>
      </c>
      <c r="J163" s="20">
        <v>4</v>
      </c>
      <c r="K163" s="20" t="s">
        <v>107</v>
      </c>
      <c r="L163" s="20" t="s">
        <v>16</v>
      </c>
      <c r="M163" s="21"/>
    </row>
    <row r="164" spans="1:13">
      <c r="A164" s="19">
        <v>2521110</v>
      </c>
      <c r="B164" s="20" t="s">
        <v>777</v>
      </c>
      <c r="C164" s="19" t="s">
        <v>778</v>
      </c>
      <c r="D164" s="19" t="s">
        <v>779</v>
      </c>
      <c r="E164" s="20" t="s">
        <v>84</v>
      </c>
      <c r="F164" s="20" t="s">
        <v>92</v>
      </c>
      <c r="G164" s="20" t="s">
        <v>26</v>
      </c>
      <c r="H164" s="20" t="s">
        <v>796</v>
      </c>
      <c r="I164" s="20" t="s">
        <v>780</v>
      </c>
      <c r="J164" s="20">
        <v>4</v>
      </c>
      <c r="K164" s="20" t="s">
        <v>107</v>
      </c>
      <c r="L164" s="20" t="s">
        <v>16</v>
      </c>
      <c r="M164" s="21"/>
    </row>
    <row r="165" spans="1:13">
      <c r="A165" s="22">
        <v>2520933</v>
      </c>
      <c r="B165" s="23" t="s">
        <v>797</v>
      </c>
      <c r="C165" s="22" t="s">
        <v>798</v>
      </c>
      <c r="D165" s="22" t="s">
        <v>799</v>
      </c>
      <c r="E165" s="23" t="s">
        <v>84</v>
      </c>
      <c r="F165" s="23" t="s">
        <v>92</v>
      </c>
      <c r="G165" s="23" t="s">
        <v>26</v>
      </c>
      <c r="H165" s="23" t="s">
        <v>800</v>
      </c>
      <c r="I165" s="23" t="s">
        <v>801</v>
      </c>
      <c r="J165" s="20">
        <v>2</v>
      </c>
      <c r="K165" s="23" t="s">
        <v>19</v>
      </c>
      <c r="L165" s="23" t="s">
        <v>16</v>
      </c>
      <c r="M165" s="24"/>
    </row>
    <row r="166" spans="1:13">
      <c r="A166" s="19">
        <v>2520933</v>
      </c>
      <c r="B166" s="20" t="s">
        <v>797</v>
      </c>
      <c r="C166" s="19" t="s">
        <v>798</v>
      </c>
      <c r="D166" s="19" t="s">
        <v>799</v>
      </c>
      <c r="E166" s="20" t="s">
        <v>84</v>
      </c>
      <c r="F166" s="20" t="s">
        <v>92</v>
      </c>
      <c r="G166" s="20" t="s">
        <v>26</v>
      </c>
      <c r="H166" s="20" t="s">
        <v>800</v>
      </c>
      <c r="I166" s="20" t="s">
        <v>801</v>
      </c>
      <c r="J166" s="20">
        <v>2</v>
      </c>
      <c r="K166" s="20" t="s">
        <v>19</v>
      </c>
      <c r="L166" s="20" t="s">
        <v>16</v>
      </c>
      <c r="M166" s="21"/>
    </row>
    <row r="167" spans="1:13">
      <c r="A167" s="22">
        <v>2520933</v>
      </c>
      <c r="B167" s="23" t="s">
        <v>797</v>
      </c>
      <c r="C167" s="22" t="s">
        <v>798</v>
      </c>
      <c r="D167" s="22" t="s">
        <v>799</v>
      </c>
      <c r="E167" s="23" t="s">
        <v>84</v>
      </c>
      <c r="F167" s="23" t="s">
        <v>92</v>
      </c>
      <c r="G167" s="23" t="s">
        <v>26</v>
      </c>
      <c r="H167" s="23" t="s">
        <v>800</v>
      </c>
      <c r="I167" s="23" t="s">
        <v>801</v>
      </c>
      <c r="J167" s="20">
        <v>2</v>
      </c>
      <c r="K167" s="23" t="s">
        <v>19</v>
      </c>
      <c r="L167" s="23" t="s">
        <v>16</v>
      </c>
      <c r="M167" s="24"/>
    </row>
    <row r="168" spans="1:13">
      <c r="A168" s="22">
        <v>2520983</v>
      </c>
      <c r="B168" s="23" t="s">
        <v>802</v>
      </c>
      <c r="C168" s="22" t="s">
        <v>803</v>
      </c>
      <c r="D168" s="22" t="s">
        <v>804</v>
      </c>
      <c r="E168" s="23" t="s">
        <v>415</v>
      </c>
      <c r="F168" s="23" t="s">
        <v>92</v>
      </c>
      <c r="G168" s="23" t="s">
        <v>26</v>
      </c>
      <c r="H168" s="23" t="s">
        <v>805</v>
      </c>
      <c r="I168" s="23" t="s">
        <v>806</v>
      </c>
      <c r="J168" s="20">
        <v>4</v>
      </c>
      <c r="K168" s="23" t="s">
        <v>19</v>
      </c>
      <c r="L168" s="23" t="s">
        <v>16</v>
      </c>
      <c r="M168" s="24" t="s">
        <v>16</v>
      </c>
    </row>
    <row r="169" spans="1:13">
      <c r="A169" s="22">
        <v>2531417</v>
      </c>
      <c r="B169" s="23" t="s">
        <v>807</v>
      </c>
      <c r="C169" s="22" t="s">
        <v>808</v>
      </c>
      <c r="D169" s="22" t="s">
        <v>809</v>
      </c>
      <c r="E169" s="23" t="s">
        <v>84</v>
      </c>
      <c r="F169" s="23" t="s">
        <v>85</v>
      </c>
      <c r="G169" s="23" t="s">
        <v>25</v>
      </c>
      <c r="H169" s="23" t="s">
        <v>810</v>
      </c>
      <c r="I169" s="23" t="s">
        <v>811</v>
      </c>
      <c r="J169" s="34" t="s">
        <v>34</v>
      </c>
      <c r="K169" s="23" t="s">
        <v>812</v>
      </c>
      <c r="L169" s="23" t="s">
        <v>18</v>
      </c>
      <c r="M169" s="24"/>
    </row>
    <row r="170" spans="1:13">
      <c r="A170" s="19">
        <v>2430411</v>
      </c>
      <c r="B170" s="20" t="s">
        <v>813</v>
      </c>
      <c r="C170" s="19" t="s">
        <v>814</v>
      </c>
      <c r="D170" s="19" t="s">
        <v>815</v>
      </c>
      <c r="E170" s="20" t="s">
        <v>84</v>
      </c>
      <c r="F170" s="20" t="s">
        <v>92</v>
      </c>
      <c r="G170" s="20" t="s">
        <v>25</v>
      </c>
      <c r="H170" s="20" t="s">
        <v>816</v>
      </c>
      <c r="I170" s="20" t="s">
        <v>817</v>
      </c>
      <c r="J170" s="19" t="s">
        <v>283</v>
      </c>
      <c r="K170" s="20" t="s">
        <v>818</v>
      </c>
      <c r="L170" s="20" t="s">
        <v>16</v>
      </c>
      <c r="M170" s="21"/>
    </row>
    <row r="171" spans="1:13">
      <c r="A171" s="19">
        <v>2520988</v>
      </c>
      <c r="B171" s="20" t="s">
        <v>819</v>
      </c>
      <c r="C171" s="19" t="s">
        <v>820</v>
      </c>
      <c r="D171" s="19" t="s">
        <v>821</v>
      </c>
      <c r="E171" s="20" t="s">
        <v>84</v>
      </c>
      <c r="F171" s="20" t="s">
        <v>112</v>
      </c>
      <c r="G171" s="20" t="s">
        <v>26</v>
      </c>
      <c r="H171" s="20" t="s">
        <v>822</v>
      </c>
      <c r="I171" s="20" t="s">
        <v>823</v>
      </c>
      <c r="J171" s="20">
        <v>2</v>
      </c>
      <c r="K171" s="20" t="s">
        <v>19</v>
      </c>
      <c r="L171" s="20" t="s">
        <v>16</v>
      </c>
      <c r="M171" s="21" t="s">
        <v>824</v>
      </c>
    </row>
    <row r="172" spans="1:13">
      <c r="A172" s="22">
        <v>2529790</v>
      </c>
      <c r="B172" s="23" t="s">
        <v>825</v>
      </c>
      <c r="C172" s="22" t="s">
        <v>826</v>
      </c>
      <c r="D172" s="22" t="s">
        <v>827</v>
      </c>
      <c r="E172" s="23" t="s">
        <v>84</v>
      </c>
      <c r="F172" s="23" t="s">
        <v>112</v>
      </c>
      <c r="G172" s="23" t="s">
        <v>26</v>
      </c>
      <c r="H172" s="23" t="s">
        <v>828</v>
      </c>
      <c r="I172" s="23" t="s">
        <v>829</v>
      </c>
      <c r="J172" s="20">
        <v>2</v>
      </c>
      <c r="K172" s="23" t="s">
        <v>19</v>
      </c>
      <c r="L172" s="23" t="s">
        <v>18</v>
      </c>
      <c r="M172" s="24"/>
    </row>
    <row r="173" spans="1:13">
      <c r="A173" s="22">
        <v>2529790</v>
      </c>
      <c r="B173" s="23" t="s">
        <v>825</v>
      </c>
      <c r="C173" s="22" t="s">
        <v>826</v>
      </c>
      <c r="D173" s="22" t="s">
        <v>827</v>
      </c>
      <c r="E173" s="23" t="s">
        <v>84</v>
      </c>
      <c r="F173" s="23" t="s">
        <v>112</v>
      </c>
      <c r="G173" s="23" t="s">
        <v>26</v>
      </c>
      <c r="H173" s="23" t="s">
        <v>828</v>
      </c>
      <c r="I173" s="23" t="s">
        <v>830</v>
      </c>
      <c r="J173" s="20">
        <v>2</v>
      </c>
      <c r="K173" s="23" t="s">
        <v>19</v>
      </c>
      <c r="L173" s="23" t="s">
        <v>18</v>
      </c>
      <c r="M173" s="24"/>
    </row>
    <row r="174" spans="1:13">
      <c r="A174" s="19">
        <v>2529790</v>
      </c>
      <c r="B174" s="20" t="s">
        <v>825</v>
      </c>
      <c r="C174" s="19" t="s">
        <v>826</v>
      </c>
      <c r="D174" s="19" t="s">
        <v>827</v>
      </c>
      <c r="E174" s="20" t="s">
        <v>84</v>
      </c>
      <c r="F174" s="20" t="s">
        <v>112</v>
      </c>
      <c r="G174" s="20" t="s">
        <v>26</v>
      </c>
      <c r="H174" s="20" t="s">
        <v>831</v>
      </c>
      <c r="I174" s="20" t="s">
        <v>832</v>
      </c>
      <c r="J174" s="20">
        <v>2</v>
      </c>
      <c r="K174" s="20" t="s">
        <v>19</v>
      </c>
      <c r="L174" s="20" t="s">
        <v>18</v>
      </c>
      <c r="M174" s="21"/>
    </row>
    <row r="175" spans="1:13">
      <c r="A175" s="19">
        <v>2531994</v>
      </c>
      <c r="B175" s="20" t="s">
        <v>833</v>
      </c>
      <c r="C175" s="19" t="s">
        <v>834</v>
      </c>
      <c r="D175" s="19" t="s">
        <v>835</v>
      </c>
      <c r="E175" s="20" t="s">
        <v>127</v>
      </c>
      <c r="F175" s="20" t="s">
        <v>92</v>
      </c>
      <c r="G175" s="20" t="s">
        <v>26</v>
      </c>
      <c r="H175" s="20" t="s">
        <v>836</v>
      </c>
      <c r="I175" s="20" t="s">
        <v>837</v>
      </c>
      <c r="J175" s="20">
        <v>2</v>
      </c>
      <c r="K175" s="20" t="s">
        <v>19</v>
      </c>
      <c r="L175" s="20" t="s">
        <v>16</v>
      </c>
      <c r="M175" s="21"/>
    </row>
    <row r="176" spans="1:13">
      <c r="A176" s="19">
        <v>2531389</v>
      </c>
      <c r="B176" s="20" t="s">
        <v>838</v>
      </c>
      <c r="C176" s="19" t="s">
        <v>839</v>
      </c>
      <c r="D176" s="19" t="s">
        <v>840</v>
      </c>
      <c r="E176" s="20" t="s">
        <v>84</v>
      </c>
      <c r="F176" s="20" t="s">
        <v>92</v>
      </c>
      <c r="G176" s="20" t="s">
        <v>26</v>
      </c>
      <c r="H176" s="20" t="s">
        <v>841</v>
      </c>
      <c r="I176" s="20" t="s">
        <v>842</v>
      </c>
      <c r="J176" s="20">
        <v>2</v>
      </c>
      <c r="K176" s="20" t="s">
        <v>19</v>
      </c>
      <c r="L176" s="20" t="s">
        <v>16</v>
      </c>
      <c r="M176" s="21"/>
    </row>
    <row r="177" spans="1:13">
      <c r="A177" s="19">
        <v>2529558</v>
      </c>
      <c r="B177" s="20" t="s">
        <v>843</v>
      </c>
      <c r="C177" s="19" t="s">
        <v>844</v>
      </c>
      <c r="D177" s="19" t="s">
        <v>845</v>
      </c>
      <c r="E177" s="20" t="s">
        <v>127</v>
      </c>
      <c r="F177" s="20" t="s">
        <v>92</v>
      </c>
      <c r="G177" s="20" t="s">
        <v>26</v>
      </c>
      <c r="H177" s="20" t="s">
        <v>846</v>
      </c>
      <c r="I177" s="20" t="s">
        <v>847</v>
      </c>
      <c r="J177" s="20">
        <v>4</v>
      </c>
      <c r="K177" s="20" t="s">
        <v>107</v>
      </c>
      <c r="L177" s="20" t="s">
        <v>16</v>
      </c>
      <c r="M177" s="21"/>
    </row>
    <row r="178" spans="1:13">
      <c r="A178" s="22">
        <v>2532969</v>
      </c>
      <c r="B178" s="23" t="s">
        <v>848</v>
      </c>
      <c r="C178" s="22" t="s">
        <v>849</v>
      </c>
      <c r="D178" s="22" t="s">
        <v>850</v>
      </c>
      <c r="E178" s="23" t="s">
        <v>84</v>
      </c>
      <c r="F178" s="23" t="s">
        <v>92</v>
      </c>
      <c r="G178" s="23" t="s">
        <v>26</v>
      </c>
      <c r="H178" s="23" t="s">
        <v>851</v>
      </c>
      <c r="I178" s="23" t="s">
        <v>851</v>
      </c>
      <c r="J178" s="20">
        <v>5</v>
      </c>
      <c r="K178" s="23" t="s">
        <v>19</v>
      </c>
      <c r="L178" s="23" t="s">
        <v>16</v>
      </c>
      <c r="M178" s="24"/>
    </row>
    <row r="179" spans="1:13">
      <c r="A179" s="22">
        <v>2531976</v>
      </c>
      <c r="B179" s="23" t="s">
        <v>852</v>
      </c>
      <c r="C179" s="22" t="s">
        <v>853</v>
      </c>
      <c r="D179" s="22" t="s">
        <v>854</v>
      </c>
      <c r="E179" s="23" t="s">
        <v>84</v>
      </c>
      <c r="F179" s="23" t="s">
        <v>92</v>
      </c>
      <c r="G179" s="23" t="s">
        <v>26</v>
      </c>
      <c r="H179" s="23" t="s">
        <v>855</v>
      </c>
      <c r="I179" s="23" t="s">
        <v>856</v>
      </c>
      <c r="J179" s="20">
        <v>5</v>
      </c>
      <c r="K179" s="23" t="s">
        <v>19</v>
      </c>
      <c r="L179" s="23" t="s">
        <v>16</v>
      </c>
      <c r="M179" s="24"/>
    </row>
    <row r="180" spans="1:13">
      <c r="A180" s="19">
        <v>2531976</v>
      </c>
      <c r="B180" s="20" t="s">
        <v>852</v>
      </c>
      <c r="C180" s="19" t="s">
        <v>853</v>
      </c>
      <c r="D180" s="19" t="s">
        <v>854</v>
      </c>
      <c r="E180" s="20" t="s">
        <v>84</v>
      </c>
      <c r="F180" s="20" t="s">
        <v>92</v>
      </c>
      <c r="G180" s="20" t="s">
        <v>26</v>
      </c>
      <c r="H180" s="20" t="s">
        <v>857</v>
      </c>
      <c r="I180" s="20" t="s">
        <v>858</v>
      </c>
      <c r="J180" s="20">
        <v>5</v>
      </c>
      <c r="K180" s="20" t="s">
        <v>19</v>
      </c>
      <c r="L180" s="20" t="s">
        <v>16</v>
      </c>
      <c r="M180" s="21"/>
    </row>
    <row r="181" spans="1:13">
      <c r="A181" s="19">
        <v>2526171</v>
      </c>
      <c r="B181" s="20" t="s">
        <v>859</v>
      </c>
      <c r="C181" s="19" t="s">
        <v>860</v>
      </c>
      <c r="D181" s="19" t="s">
        <v>861</v>
      </c>
      <c r="E181" s="20" t="s">
        <v>84</v>
      </c>
      <c r="F181" s="20" t="s">
        <v>92</v>
      </c>
      <c r="G181" s="20" t="s">
        <v>26</v>
      </c>
      <c r="H181" s="20" t="s">
        <v>862</v>
      </c>
      <c r="I181" s="20" t="s">
        <v>863</v>
      </c>
      <c r="J181" s="20">
        <v>2</v>
      </c>
      <c r="K181" s="20" t="s">
        <v>107</v>
      </c>
      <c r="L181" s="20" t="s">
        <v>16</v>
      </c>
      <c r="M181" s="21" t="s">
        <v>864</v>
      </c>
    </row>
    <row r="182" spans="1:13">
      <c r="A182" s="22">
        <v>2529541</v>
      </c>
      <c r="B182" s="23" t="s">
        <v>865</v>
      </c>
      <c r="C182" s="22" t="s">
        <v>866</v>
      </c>
      <c r="D182" s="22" t="s">
        <v>867</v>
      </c>
      <c r="E182" s="23" t="s">
        <v>84</v>
      </c>
      <c r="F182" s="23" t="s">
        <v>92</v>
      </c>
      <c r="G182" s="23" t="s">
        <v>26</v>
      </c>
      <c r="H182" s="23" t="s">
        <v>868</v>
      </c>
      <c r="I182" s="23" t="s">
        <v>869</v>
      </c>
      <c r="J182" s="20">
        <v>5</v>
      </c>
      <c r="K182" s="23" t="s">
        <v>17</v>
      </c>
      <c r="L182" s="23" t="s">
        <v>16</v>
      </c>
      <c r="M182" s="24"/>
    </row>
    <row r="183" spans="1:13">
      <c r="A183" s="22">
        <v>2533076</v>
      </c>
      <c r="B183" s="23" t="s">
        <v>870</v>
      </c>
      <c r="C183" s="22" t="s">
        <v>871</v>
      </c>
      <c r="D183" s="22" t="s">
        <v>872</v>
      </c>
      <c r="E183" s="23" t="s">
        <v>84</v>
      </c>
      <c r="F183" s="23" t="s">
        <v>92</v>
      </c>
      <c r="G183" s="23" t="s">
        <v>26</v>
      </c>
      <c r="H183" s="23" t="s">
        <v>873</v>
      </c>
      <c r="I183" s="23" t="s">
        <v>874</v>
      </c>
      <c r="J183" s="20">
        <v>2</v>
      </c>
      <c r="K183" s="23" t="s">
        <v>19</v>
      </c>
      <c r="L183" s="23" t="s">
        <v>16</v>
      </c>
      <c r="M183" s="24"/>
    </row>
    <row r="184" spans="1:13">
      <c r="A184" s="22">
        <v>2531969</v>
      </c>
      <c r="B184" s="23" t="s">
        <v>875</v>
      </c>
      <c r="C184" s="22" t="s">
        <v>876</v>
      </c>
      <c r="D184" s="22" t="s">
        <v>877</v>
      </c>
      <c r="E184" s="23" t="s">
        <v>84</v>
      </c>
      <c r="F184" s="23" t="s">
        <v>92</v>
      </c>
      <c r="G184" s="23" t="s">
        <v>26</v>
      </c>
      <c r="H184" s="23" t="s">
        <v>878</v>
      </c>
      <c r="I184" s="23" t="s">
        <v>879</v>
      </c>
      <c r="J184" s="20">
        <v>2</v>
      </c>
      <c r="K184" s="23" t="s">
        <v>206</v>
      </c>
      <c r="L184" s="23" t="s">
        <v>18</v>
      </c>
      <c r="M184" s="24"/>
    </row>
    <row r="185" spans="1:13">
      <c r="A185" s="19">
        <v>2532917</v>
      </c>
      <c r="B185" s="20" t="s">
        <v>880</v>
      </c>
      <c r="C185" s="19" t="s">
        <v>881</v>
      </c>
      <c r="D185" s="19" t="s">
        <v>882</v>
      </c>
      <c r="E185" s="20" t="s">
        <v>84</v>
      </c>
      <c r="F185" s="20" t="s">
        <v>92</v>
      </c>
      <c r="G185" s="20" t="s">
        <v>26</v>
      </c>
      <c r="H185" s="20" t="s">
        <v>883</v>
      </c>
      <c r="I185" s="20" t="s">
        <v>884</v>
      </c>
      <c r="J185" s="20">
        <v>2</v>
      </c>
      <c r="K185" s="20" t="s">
        <v>19</v>
      </c>
      <c r="L185" s="20" t="s">
        <v>16</v>
      </c>
      <c r="M185" s="21" t="s">
        <v>885</v>
      </c>
    </row>
    <row r="186" spans="1:13">
      <c r="A186" s="22">
        <v>2532917</v>
      </c>
      <c r="B186" s="23" t="s">
        <v>880</v>
      </c>
      <c r="C186" s="22" t="s">
        <v>881</v>
      </c>
      <c r="D186" s="22" t="s">
        <v>882</v>
      </c>
      <c r="E186" s="23" t="s">
        <v>84</v>
      </c>
      <c r="F186" s="23" t="s">
        <v>92</v>
      </c>
      <c r="G186" s="23" t="s">
        <v>26</v>
      </c>
      <c r="H186" s="23" t="s">
        <v>883</v>
      </c>
      <c r="I186" s="23" t="s">
        <v>886</v>
      </c>
      <c r="J186" s="20">
        <v>2</v>
      </c>
      <c r="K186" s="23" t="s">
        <v>19</v>
      </c>
      <c r="L186" s="23" t="s">
        <v>16</v>
      </c>
      <c r="M186" s="24" t="s">
        <v>885</v>
      </c>
    </row>
    <row r="187" spans="1:13">
      <c r="A187" s="22">
        <v>2526156</v>
      </c>
      <c r="B187" s="23" t="s">
        <v>887</v>
      </c>
      <c r="C187" s="22" t="s">
        <v>888</v>
      </c>
      <c r="D187" s="22" t="s">
        <v>889</v>
      </c>
      <c r="E187" s="23" t="s">
        <v>84</v>
      </c>
      <c r="F187" s="23" t="s">
        <v>92</v>
      </c>
      <c r="G187" s="23" t="s">
        <v>26</v>
      </c>
      <c r="H187" s="23" t="s">
        <v>878</v>
      </c>
      <c r="I187" s="23" t="s">
        <v>890</v>
      </c>
      <c r="J187" s="20">
        <v>2</v>
      </c>
      <c r="K187" s="23" t="s">
        <v>107</v>
      </c>
      <c r="L187" s="23" t="s">
        <v>16</v>
      </c>
      <c r="M187" s="24"/>
    </row>
    <row r="188" spans="1:13">
      <c r="A188" s="19">
        <v>2531954</v>
      </c>
      <c r="B188" s="20" t="s">
        <v>891</v>
      </c>
      <c r="C188" s="19" t="s">
        <v>892</v>
      </c>
      <c r="D188" s="19" t="s">
        <v>893</v>
      </c>
      <c r="E188" s="20" t="s">
        <v>84</v>
      </c>
      <c r="F188" s="20" t="s">
        <v>92</v>
      </c>
      <c r="G188" s="20" t="s">
        <v>26</v>
      </c>
      <c r="H188" s="20" t="s">
        <v>894</v>
      </c>
      <c r="I188" s="20" t="s">
        <v>895</v>
      </c>
      <c r="J188" s="20">
        <v>5</v>
      </c>
      <c r="K188" s="20" t="s">
        <v>19</v>
      </c>
      <c r="L188" s="20" t="s">
        <v>16</v>
      </c>
      <c r="M188" s="21"/>
    </row>
    <row r="189" spans="1:13">
      <c r="A189" s="19">
        <v>2530201</v>
      </c>
      <c r="B189" s="20" t="s">
        <v>896</v>
      </c>
      <c r="C189" s="19" t="s">
        <v>897</v>
      </c>
      <c r="D189" s="19" t="s">
        <v>898</v>
      </c>
      <c r="E189" s="20" t="s">
        <v>84</v>
      </c>
      <c r="F189" s="20" t="s">
        <v>92</v>
      </c>
      <c r="G189" s="20" t="s">
        <v>26</v>
      </c>
      <c r="H189" s="20" t="s">
        <v>899</v>
      </c>
      <c r="I189" s="20" t="s">
        <v>899</v>
      </c>
      <c r="J189" s="20">
        <v>2</v>
      </c>
      <c r="K189" s="20" t="s">
        <v>19</v>
      </c>
      <c r="L189" s="20" t="s">
        <v>18</v>
      </c>
      <c r="M189" s="21" t="s">
        <v>49</v>
      </c>
    </row>
    <row r="190" spans="1:13">
      <c r="A190" s="22">
        <v>2521623</v>
      </c>
      <c r="B190" s="23" t="s">
        <v>109</v>
      </c>
      <c r="C190" s="22" t="s">
        <v>110</v>
      </c>
      <c r="D190" s="22" t="s">
        <v>111</v>
      </c>
      <c r="E190" s="23" t="s">
        <v>84</v>
      </c>
      <c r="F190" s="23" t="s">
        <v>112</v>
      </c>
      <c r="G190" s="23" t="s">
        <v>24</v>
      </c>
      <c r="H190" s="23" t="s">
        <v>900</v>
      </c>
      <c r="I190" s="23" t="s">
        <v>900</v>
      </c>
      <c r="J190" s="20">
        <v>2</v>
      </c>
      <c r="K190" s="23" t="s">
        <v>107</v>
      </c>
      <c r="L190" s="23" t="s">
        <v>16</v>
      </c>
      <c r="M190" s="24"/>
    </row>
    <row r="191" spans="1:13">
      <c r="A191" s="19">
        <v>2521813</v>
      </c>
      <c r="B191" s="20" t="s">
        <v>901</v>
      </c>
      <c r="C191" s="19" t="s">
        <v>902</v>
      </c>
      <c r="D191" s="19" t="s">
        <v>903</v>
      </c>
      <c r="E191" s="20" t="s">
        <v>127</v>
      </c>
      <c r="F191" s="20" t="s">
        <v>92</v>
      </c>
      <c r="G191" s="20" t="s">
        <v>26</v>
      </c>
      <c r="H191" s="20" t="s">
        <v>904</v>
      </c>
      <c r="I191" s="20" t="s">
        <v>905</v>
      </c>
      <c r="J191" s="20">
        <v>2</v>
      </c>
      <c r="K191" s="20" t="s">
        <v>107</v>
      </c>
      <c r="L191" s="20" t="s">
        <v>16</v>
      </c>
      <c r="M191" s="21"/>
    </row>
    <row r="192" spans="1:13">
      <c r="A192" s="22">
        <v>2530207</v>
      </c>
      <c r="B192" s="23" t="s">
        <v>906</v>
      </c>
      <c r="C192" s="22" t="s">
        <v>907</v>
      </c>
      <c r="D192" s="22" t="s">
        <v>908</v>
      </c>
      <c r="E192" s="23" t="s">
        <v>84</v>
      </c>
      <c r="F192" s="23" t="s">
        <v>92</v>
      </c>
      <c r="G192" s="23" t="s">
        <v>26</v>
      </c>
      <c r="H192" s="23" t="s">
        <v>909</v>
      </c>
      <c r="I192" s="23" t="s">
        <v>909</v>
      </c>
      <c r="J192" s="20">
        <v>2</v>
      </c>
      <c r="K192" s="23" t="s">
        <v>19</v>
      </c>
      <c r="L192" s="23" t="s">
        <v>18</v>
      </c>
      <c r="M192" s="24"/>
    </row>
    <row r="193" spans="1:13">
      <c r="A193" s="22">
        <v>2529798</v>
      </c>
      <c r="B193" s="23" t="s">
        <v>910</v>
      </c>
      <c r="C193" s="22" t="s">
        <v>911</v>
      </c>
      <c r="D193" s="22" t="s">
        <v>912</v>
      </c>
      <c r="E193" s="23" t="s">
        <v>127</v>
      </c>
      <c r="F193" s="23" t="s">
        <v>92</v>
      </c>
      <c r="G193" s="23" t="s">
        <v>26</v>
      </c>
      <c r="H193" s="23" t="s">
        <v>913</v>
      </c>
      <c r="I193" s="23" t="s">
        <v>914</v>
      </c>
      <c r="J193" s="20">
        <v>2</v>
      </c>
      <c r="K193" s="23" t="s">
        <v>19</v>
      </c>
      <c r="L193" s="23" t="s">
        <v>16</v>
      </c>
      <c r="M193" s="24"/>
    </row>
    <row r="194" spans="1:13">
      <c r="A194" s="22">
        <v>2531959</v>
      </c>
      <c r="B194" s="23" t="s">
        <v>915</v>
      </c>
      <c r="C194" s="22" t="s">
        <v>916</v>
      </c>
      <c r="D194" s="22" t="s">
        <v>917</v>
      </c>
      <c r="E194" s="23" t="s">
        <v>384</v>
      </c>
      <c r="F194" s="23" t="s">
        <v>92</v>
      </c>
      <c r="G194" s="23" t="s">
        <v>26</v>
      </c>
      <c r="H194" s="23" t="s">
        <v>918</v>
      </c>
      <c r="I194" s="23" t="s">
        <v>919</v>
      </c>
      <c r="J194" s="20">
        <v>2</v>
      </c>
      <c r="K194" s="23" t="s">
        <v>19</v>
      </c>
      <c r="L194" s="23" t="s">
        <v>16</v>
      </c>
      <c r="M194" s="24"/>
    </row>
    <row r="195" spans="1:13">
      <c r="A195" s="22">
        <v>2531381</v>
      </c>
      <c r="B195" s="23" t="s">
        <v>920</v>
      </c>
      <c r="C195" s="22" t="s">
        <v>921</v>
      </c>
      <c r="D195" s="22" t="s">
        <v>922</v>
      </c>
      <c r="E195" s="23" t="s">
        <v>84</v>
      </c>
      <c r="F195" s="23" t="s">
        <v>92</v>
      </c>
      <c r="G195" s="23" t="s">
        <v>26</v>
      </c>
      <c r="H195" s="23" t="s">
        <v>923</v>
      </c>
      <c r="I195" s="23" t="s">
        <v>924</v>
      </c>
      <c r="J195" s="20">
        <v>2</v>
      </c>
      <c r="K195" s="23" t="s">
        <v>19</v>
      </c>
      <c r="L195" s="23" t="s">
        <v>16</v>
      </c>
      <c r="M195" s="24"/>
    </row>
    <row r="196" spans="1:13">
      <c r="A196" s="19">
        <v>2532926</v>
      </c>
      <c r="B196" s="20" t="s">
        <v>925</v>
      </c>
      <c r="C196" s="19" t="s">
        <v>926</v>
      </c>
      <c r="D196" s="19" t="s">
        <v>927</v>
      </c>
      <c r="E196" s="20" t="s">
        <v>84</v>
      </c>
      <c r="F196" s="20" t="s">
        <v>92</v>
      </c>
      <c r="G196" s="20" t="s">
        <v>26</v>
      </c>
      <c r="H196" s="20" t="s">
        <v>928</v>
      </c>
      <c r="I196" s="20" t="s">
        <v>929</v>
      </c>
      <c r="J196" s="20">
        <v>5</v>
      </c>
      <c r="K196" s="20" t="s">
        <v>19</v>
      </c>
      <c r="L196" s="20" t="s">
        <v>16</v>
      </c>
      <c r="M196" s="21"/>
    </row>
    <row r="197" spans="1:13">
      <c r="A197" s="22">
        <v>2531312</v>
      </c>
      <c r="B197" s="23" t="s">
        <v>930</v>
      </c>
      <c r="C197" s="22" t="s">
        <v>931</v>
      </c>
      <c r="D197" s="22" t="s">
        <v>932</v>
      </c>
      <c r="E197" s="23" t="s">
        <v>84</v>
      </c>
      <c r="F197" s="23" t="s">
        <v>92</v>
      </c>
      <c r="G197" s="23" t="s">
        <v>26</v>
      </c>
      <c r="H197" s="23" t="s">
        <v>933</v>
      </c>
      <c r="I197" s="23" t="s">
        <v>934</v>
      </c>
      <c r="J197" s="20">
        <v>5</v>
      </c>
      <c r="K197" s="23" t="s">
        <v>107</v>
      </c>
      <c r="L197" s="23" t="s">
        <v>18</v>
      </c>
      <c r="M197" s="24" t="s">
        <v>935</v>
      </c>
    </row>
    <row r="198" spans="1:13">
      <c r="A198" s="19">
        <v>2529786</v>
      </c>
      <c r="B198" s="20" t="s">
        <v>936</v>
      </c>
      <c r="C198" s="19" t="s">
        <v>937</v>
      </c>
      <c r="D198" s="19" t="s">
        <v>938</v>
      </c>
      <c r="E198" s="20" t="s">
        <v>84</v>
      </c>
      <c r="F198" s="20" t="s">
        <v>92</v>
      </c>
      <c r="G198" s="20" t="s">
        <v>26</v>
      </c>
      <c r="H198" s="20" t="s">
        <v>939</v>
      </c>
      <c r="I198" s="20" t="s">
        <v>940</v>
      </c>
      <c r="J198" s="20">
        <v>4</v>
      </c>
      <c r="K198" s="20" t="s">
        <v>107</v>
      </c>
      <c r="L198" s="20" t="s">
        <v>18</v>
      </c>
      <c r="M198" s="21"/>
    </row>
    <row r="199" spans="1:13">
      <c r="A199" s="19">
        <v>2529509</v>
      </c>
      <c r="B199" s="20" t="s">
        <v>941</v>
      </c>
      <c r="C199" s="19" t="s">
        <v>942</v>
      </c>
      <c r="D199" s="19" t="s">
        <v>943</v>
      </c>
      <c r="E199" s="20" t="s">
        <v>84</v>
      </c>
      <c r="F199" s="20" t="s">
        <v>92</v>
      </c>
      <c r="G199" s="20" t="s">
        <v>26</v>
      </c>
      <c r="H199" s="20" t="s">
        <v>944</v>
      </c>
      <c r="I199" s="20" t="s">
        <v>945</v>
      </c>
      <c r="J199" s="20">
        <v>5</v>
      </c>
      <c r="K199" s="20" t="s">
        <v>107</v>
      </c>
      <c r="L199" s="20" t="s">
        <v>16</v>
      </c>
      <c r="M199" s="21"/>
    </row>
    <row r="200" spans="1:13">
      <c r="A200" s="22">
        <v>2532925</v>
      </c>
      <c r="B200" s="23" t="s">
        <v>946</v>
      </c>
      <c r="C200" s="22" t="s">
        <v>947</v>
      </c>
      <c r="D200" s="22" t="s">
        <v>948</v>
      </c>
      <c r="E200" s="23" t="s">
        <v>84</v>
      </c>
      <c r="F200" s="23" t="s">
        <v>92</v>
      </c>
      <c r="G200" s="23" t="s">
        <v>26</v>
      </c>
      <c r="H200" s="23" t="s">
        <v>949</v>
      </c>
      <c r="I200" s="23" t="s">
        <v>950</v>
      </c>
      <c r="J200" s="20">
        <v>5</v>
      </c>
      <c r="K200" s="23" t="s">
        <v>19</v>
      </c>
      <c r="L200" s="23" t="s">
        <v>16</v>
      </c>
      <c r="M200" s="24"/>
    </row>
    <row r="201" spans="1:13">
      <c r="A201" s="22">
        <v>2524496</v>
      </c>
      <c r="B201" s="23" t="s">
        <v>951</v>
      </c>
      <c r="C201" s="22" t="s">
        <v>952</v>
      </c>
      <c r="D201" s="22" t="s">
        <v>953</v>
      </c>
      <c r="E201" s="23" t="s">
        <v>84</v>
      </c>
      <c r="F201" s="23" t="s">
        <v>112</v>
      </c>
      <c r="G201" s="23" t="s">
        <v>28</v>
      </c>
      <c r="H201" s="23" t="s">
        <v>954</v>
      </c>
      <c r="I201" s="23" t="s">
        <v>955</v>
      </c>
      <c r="J201" s="20">
        <v>2</v>
      </c>
      <c r="K201" s="23" t="s">
        <v>221</v>
      </c>
      <c r="L201" s="23" t="s">
        <v>18</v>
      </c>
      <c r="M201" s="24" t="s">
        <v>16</v>
      </c>
    </row>
    <row r="202" spans="1:13">
      <c r="A202" s="22">
        <v>2524496</v>
      </c>
      <c r="B202" s="23" t="s">
        <v>951</v>
      </c>
      <c r="C202" s="22" t="s">
        <v>952</v>
      </c>
      <c r="D202" s="22" t="s">
        <v>953</v>
      </c>
      <c r="E202" s="23" t="s">
        <v>84</v>
      </c>
      <c r="F202" s="23" t="s">
        <v>112</v>
      </c>
      <c r="G202" s="23" t="s">
        <v>28</v>
      </c>
      <c r="H202" s="23" t="s">
        <v>954</v>
      </c>
      <c r="I202" s="23" t="s">
        <v>956</v>
      </c>
      <c r="J202" s="20">
        <v>2</v>
      </c>
      <c r="K202" s="23" t="s">
        <v>221</v>
      </c>
      <c r="L202" s="23" t="s">
        <v>18</v>
      </c>
      <c r="M202" s="24"/>
    </row>
    <row r="203" spans="1:13">
      <c r="A203" s="19">
        <v>2529490</v>
      </c>
      <c r="B203" s="20" t="s">
        <v>957</v>
      </c>
      <c r="C203" s="19" t="s">
        <v>958</v>
      </c>
      <c r="D203" s="19" t="s">
        <v>959</v>
      </c>
      <c r="E203" s="20" t="s">
        <v>84</v>
      </c>
      <c r="F203" s="20" t="s">
        <v>112</v>
      </c>
      <c r="G203" s="20" t="s">
        <v>26</v>
      </c>
      <c r="H203" s="20" t="s">
        <v>960</v>
      </c>
      <c r="I203" s="20" t="s">
        <v>961</v>
      </c>
      <c r="J203" s="34" t="s">
        <v>34</v>
      </c>
      <c r="K203" s="20" t="s">
        <v>17</v>
      </c>
      <c r="L203" s="20" t="s">
        <v>18</v>
      </c>
      <c r="M203" s="21"/>
    </row>
    <row r="204" spans="1:13">
      <c r="A204" s="22">
        <v>2433149</v>
      </c>
      <c r="B204" s="23" t="s">
        <v>962</v>
      </c>
      <c r="C204" s="22" t="s">
        <v>963</v>
      </c>
      <c r="D204" s="22" t="s">
        <v>964</v>
      </c>
      <c r="E204" s="23" t="s">
        <v>219</v>
      </c>
      <c r="F204" s="23" t="s">
        <v>112</v>
      </c>
      <c r="G204" s="23" t="s">
        <v>25</v>
      </c>
      <c r="H204" s="23" t="s">
        <v>965</v>
      </c>
      <c r="I204" s="23" t="s">
        <v>966</v>
      </c>
      <c r="J204" s="22" t="s">
        <v>195</v>
      </c>
      <c r="K204" s="23" t="s">
        <v>967</v>
      </c>
      <c r="L204" s="23" t="s">
        <v>18</v>
      </c>
      <c r="M204" s="24"/>
    </row>
    <row r="205" spans="1:13">
      <c r="A205" s="22">
        <v>2531810</v>
      </c>
      <c r="B205" s="23" t="s">
        <v>968</v>
      </c>
      <c r="C205" s="22" t="s">
        <v>969</v>
      </c>
      <c r="D205" s="22" t="s">
        <v>970</v>
      </c>
      <c r="E205" s="23" t="s">
        <v>84</v>
      </c>
      <c r="F205" s="23" t="s">
        <v>92</v>
      </c>
      <c r="G205" s="23" t="s">
        <v>26</v>
      </c>
      <c r="H205" s="23" t="s">
        <v>971</v>
      </c>
      <c r="I205" s="23" t="s">
        <v>972</v>
      </c>
      <c r="J205" s="23">
        <v>3</v>
      </c>
      <c r="K205" s="23" t="s">
        <v>19</v>
      </c>
      <c r="L205" s="23" t="s">
        <v>16</v>
      </c>
      <c r="M205" s="24"/>
    </row>
    <row r="206" spans="1:13">
      <c r="A206" s="22">
        <v>2529769</v>
      </c>
      <c r="B206" s="23" t="s">
        <v>973</v>
      </c>
      <c r="C206" s="22" t="s">
        <v>974</v>
      </c>
      <c r="D206" s="22" t="s">
        <v>975</v>
      </c>
      <c r="E206" s="23" t="s">
        <v>127</v>
      </c>
      <c r="F206" s="23" t="s">
        <v>92</v>
      </c>
      <c r="G206" s="23" t="s">
        <v>26</v>
      </c>
      <c r="H206" s="23" t="s">
        <v>976</v>
      </c>
      <c r="I206" s="23" t="s">
        <v>976</v>
      </c>
      <c r="J206" s="20">
        <v>2</v>
      </c>
      <c r="K206" s="23" t="s">
        <v>107</v>
      </c>
      <c r="L206" s="23" t="s">
        <v>16</v>
      </c>
      <c r="M206" s="24"/>
    </row>
    <row r="207" spans="1:13">
      <c r="A207" s="19">
        <v>2521797</v>
      </c>
      <c r="B207" s="20" t="s">
        <v>977</v>
      </c>
      <c r="C207" s="19" t="s">
        <v>541</v>
      </c>
      <c r="D207" s="19" t="s">
        <v>978</v>
      </c>
      <c r="E207" s="20" t="s">
        <v>415</v>
      </c>
      <c r="F207" s="20" t="s">
        <v>85</v>
      </c>
      <c r="G207" s="20" t="s">
        <v>26</v>
      </c>
      <c r="H207" s="20" t="s">
        <v>979</v>
      </c>
      <c r="I207" s="20" t="s">
        <v>980</v>
      </c>
      <c r="J207" s="23">
        <v>1</v>
      </c>
      <c r="K207" s="20" t="s">
        <v>107</v>
      </c>
      <c r="L207" s="20" t="s">
        <v>16</v>
      </c>
      <c r="M207" s="21"/>
    </row>
    <row r="208" spans="1:13">
      <c r="A208" s="19">
        <v>2521797</v>
      </c>
      <c r="B208" s="20" t="s">
        <v>977</v>
      </c>
      <c r="C208" s="19" t="s">
        <v>541</v>
      </c>
      <c r="D208" s="19" t="s">
        <v>978</v>
      </c>
      <c r="E208" s="20" t="s">
        <v>415</v>
      </c>
      <c r="F208" s="20" t="s">
        <v>85</v>
      </c>
      <c r="G208" s="20" t="s">
        <v>26</v>
      </c>
      <c r="H208" s="20" t="s">
        <v>981</v>
      </c>
      <c r="I208" s="20" t="s">
        <v>982</v>
      </c>
      <c r="J208" s="23">
        <v>1</v>
      </c>
      <c r="K208" s="20" t="s">
        <v>107</v>
      </c>
      <c r="L208" s="20" t="s">
        <v>16</v>
      </c>
      <c r="M208" s="21"/>
    </row>
    <row r="209" spans="1:13">
      <c r="A209" s="19">
        <v>2529634</v>
      </c>
      <c r="B209" s="20" t="s">
        <v>983</v>
      </c>
      <c r="C209" s="19" t="s">
        <v>984</v>
      </c>
      <c r="D209" s="19" t="s">
        <v>985</v>
      </c>
      <c r="E209" s="20" t="s">
        <v>84</v>
      </c>
      <c r="F209" s="20" t="s">
        <v>85</v>
      </c>
      <c r="G209" s="20" t="s">
        <v>26</v>
      </c>
      <c r="H209" s="20" t="s">
        <v>986</v>
      </c>
      <c r="I209" s="20" t="s">
        <v>987</v>
      </c>
      <c r="J209" s="34" t="s">
        <v>34</v>
      </c>
      <c r="K209" s="20" t="s">
        <v>107</v>
      </c>
      <c r="L209" s="20" t="s">
        <v>18</v>
      </c>
      <c r="M209" s="21"/>
    </row>
    <row r="210" spans="1:13">
      <c r="A210" s="19">
        <v>2521833</v>
      </c>
      <c r="B210" s="20" t="s">
        <v>988</v>
      </c>
      <c r="C210" s="19" t="s">
        <v>989</v>
      </c>
      <c r="D210" s="19" t="s">
        <v>990</v>
      </c>
      <c r="E210" s="20" t="s">
        <v>84</v>
      </c>
      <c r="F210" s="20" t="s">
        <v>85</v>
      </c>
      <c r="G210" s="20" t="s">
        <v>26</v>
      </c>
      <c r="H210" s="20" t="s">
        <v>991</v>
      </c>
      <c r="I210" s="20" t="s">
        <v>991</v>
      </c>
      <c r="J210" s="20">
        <v>2</v>
      </c>
      <c r="K210" s="20" t="s">
        <v>107</v>
      </c>
      <c r="L210" s="20" t="s">
        <v>16</v>
      </c>
      <c r="M210" s="21"/>
    </row>
    <row r="211" spans="1:13">
      <c r="A211" s="19">
        <v>2526592</v>
      </c>
      <c r="B211" s="20" t="s">
        <v>992</v>
      </c>
      <c r="C211" s="19" t="s">
        <v>993</v>
      </c>
      <c r="D211" s="19" t="s">
        <v>994</v>
      </c>
      <c r="E211" s="20" t="s">
        <v>415</v>
      </c>
      <c r="F211" s="20" t="s">
        <v>112</v>
      </c>
      <c r="G211" s="20" t="s">
        <v>26</v>
      </c>
      <c r="H211" s="20" t="s">
        <v>995</v>
      </c>
      <c r="I211" s="20" t="s">
        <v>995</v>
      </c>
      <c r="J211" s="34" t="s">
        <v>34</v>
      </c>
      <c r="K211" s="20" t="s">
        <v>107</v>
      </c>
      <c r="L211" s="20" t="s">
        <v>16</v>
      </c>
      <c r="M211" s="25" t="s">
        <v>86</v>
      </c>
    </row>
    <row r="212" spans="1:13">
      <c r="A212" s="22">
        <v>2531813</v>
      </c>
      <c r="B212" s="23" t="s">
        <v>996</v>
      </c>
      <c r="C212" s="22" t="s">
        <v>997</v>
      </c>
      <c r="D212" s="22" t="s">
        <v>998</v>
      </c>
      <c r="E212" s="23" t="s">
        <v>84</v>
      </c>
      <c r="F212" s="23" t="s">
        <v>85</v>
      </c>
      <c r="G212" s="23" t="s">
        <v>26</v>
      </c>
      <c r="H212" s="23" t="s">
        <v>999</v>
      </c>
      <c r="I212" s="23" t="s">
        <v>1000</v>
      </c>
      <c r="J212" s="23">
        <v>3</v>
      </c>
      <c r="K212" s="23" t="s">
        <v>19</v>
      </c>
      <c r="L212" s="23" t="s">
        <v>16</v>
      </c>
      <c r="M212" s="24"/>
    </row>
    <row r="213" spans="1:13">
      <c r="A213" s="22">
        <v>2529584</v>
      </c>
      <c r="B213" s="23" t="s">
        <v>1001</v>
      </c>
      <c r="C213" s="22" t="s">
        <v>1002</v>
      </c>
      <c r="D213" s="22" t="s">
        <v>1003</v>
      </c>
      <c r="E213" s="23" t="s">
        <v>84</v>
      </c>
      <c r="F213" s="23" t="s">
        <v>112</v>
      </c>
      <c r="G213" s="23" t="s">
        <v>26</v>
      </c>
      <c r="H213" s="23" t="s">
        <v>1004</v>
      </c>
      <c r="I213" s="23" t="s">
        <v>1005</v>
      </c>
      <c r="J213" s="20">
        <v>2</v>
      </c>
      <c r="K213" s="23" t="s">
        <v>19</v>
      </c>
      <c r="L213" s="23" t="s">
        <v>16</v>
      </c>
      <c r="M213" s="24"/>
    </row>
    <row r="214" spans="1:13">
      <c r="A214" s="22">
        <v>2532996</v>
      </c>
      <c r="B214" s="23" t="s">
        <v>1006</v>
      </c>
      <c r="C214" s="22" t="s">
        <v>1007</v>
      </c>
      <c r="D214" s="22" t="s">
        <v>1008</v>
      </c>
      <c r="E214" s="23" t="s">
        <v>127</v>
      </c>
      <c r="F214" s="23" t="s">
        <v>112</v>
      </c>
      <c r="G214" s="23" t="s">
        <v>26</v>
      </c>
      <c r="H214" s="23" t="s">
        <v>1009</v>
      </c>
      <c r="I214" s="23" t="s">
        <v>1010</v>
      </c>
      <c r="J214" s="23">
        <v>3</v>
      </c>
      <c r="K214" s="23" t="s">
        <v>19</v>
      </c>
      <c r="L214" s="23" t="s">
        <v>16</v>
      </c>
      <c r="M214" s="24"/>
    </row>
    <row r="215" spans="1:13">
      <c r="A215" s="19">
        <v>2532990</v>
      </c>
      <c r="B215" s="20" t="s">
        <v>1011</v>
      </c>
      <c r="C215" s="19" t="s">
        <v>1012</v>
      </c>
      <c r="D215" s="19" t="s">
        <v>1013</v>
      </c>
      <c r="E215" s="20" t="s">
        <v>84</v>
      </c>
      <c r="F215" s="20" t="s">
        <v>92</v>
      </c>
      <c r="G215" s="20" t="s">
        <v>26</v>
      </c>
      <c r="H215" s="20" t="s">
        <v>1014</v>
      </c>
      <c r="I215" s="20" t="s">
        <v>1015</v>
      </c>
      <c r="J215" s="23">
        <v>1</v>
      </c>
      <c r="K215" s="20" t="s">
        <v>19</v>
      </c>
      <c r="L215" s="20" t="s">
        <v>16</v>
      </c>
      <c r="M215" s="21" t="s">
        <v>1016</v>
      </c>
    </row>
    <row r="216" spans="1:13">
      <c r="A216" s="22">
        <v>2530177</v>
      </c>
      <c r="B216" s="23" t="s">
        <v>1017</v>
      </c>
      <c r="C216" s="22" t="s">
        <v>1018</v>
      </c>
      <c r="D216" s="22" t="s">
        <v>1019</v>
      </c>
      <c r="E216" s="23" t="s">
        <v>84</v>
      </c>
      <c r="F216" s="23" t="s">
        <v>85</v>
      </c>
      <c r="G216" s="23" t="s">
        <v>25</v>
      </c>
      <c r="H216" s="23" t="s">
        <v>1020</v>
      </c>
      <c r="I216" s="23" t="s">
        <v>1021</v>
      </c>
      <c r="J216" s="20">
        <v>4</v>
      </c>
      <c r="K216" s="23" t="s">
        <v>180</v>
      </c>
      <c r="L216" s="23" t="s">
        <v>18</v>
      </c>
      <c r="M216" s="24" t="s">
        <v>1016</v>
      </c>
    </row>
    <row r="217" spans="1:13">
      <c r="A217" s="19">
        <v>2529636</v>
      </c>
      <c r="B217" s="20" t="s">
        <v>1022</v>
      </c>
      <c r="C217" s="19" t="s">
        <v>1023</v>
      </c>
      <c r="D217" s="19" t="s">
        <v>1024</v>
      </c>
      <c r="E217" s="20" t="s">
        <v>84</v>
      </c>
      <c r="F217" s="20" t="s">
        <v>92</v>
      </c>
      <c r="G217" s="20" t="s">
        <v>26</v>
      </c>
      <c r="H217" s="20" t="s">
        <v>1025</v>
      </c>
      <c r="I217" s="20" t="s">
        <v>1026</v>
      </c>
      <c r="J217" s="20">
        <v>2</v>
      </c>
      <c r="K217" s="20" t="s">
        <v>107</v>
      </c>
      <c r="L217" s="20" t="s">
        <v>16</v>
      </c>
      <c r="M217" s="21"/>
    </row>
    <row r="218" spans="1:13">
      <c r="A218" s="19">
        <v>2529636</v>
      </c>
      <c r="B218" s="20" t="s">
        <v>1022</v>
      </c>
      <c r="C218" s="19" t="s">
        <v>1023</v>
      </c>
      <c r="D218" s="19" t="s">
        <v>1024</v>
      </c>
      <c r="E218" s="20" t="s">
        <v>84</v>
      </c>
      <c r="F218" s="20" t="s">
        <v>92</v>
      </c>
      <c r="G218" s="20" t="s">
        <v>26</v>
      </c>
      <c r="H218" s="20" t="s">
        <v>1027</v>
      </c>
      <c r="I218" s="20" t="s">
        <v>1028</v>
      </c>
      <c r="J218" s="20">
        <v>2</v>
      </c>
      <c r="K218" s="20" t="s">
        <v>19</v>
      </c>
      <c r="L218" s="20" t="s">
        <v>16</v>
      </c>
      <c r="M218" s="21"/>
    </row>
    <row r="219" spans="1:13">
      <c r="A219" s="19">
        <v>2523397</v>
      </c>
      <c r="B219" s="20" t="s">
        <v>1029</v>
      </c>
      <c r="C219" s="19" t="s">
        <v>1030</v>
      </c>
      <c r="D219" s="19" t="s">
        <v>1031</v>
      </c>
      <c r="E219" s="20" t="s">
        <v>84</v>
      </c>
      <c r="F219" s="20" t="s">
        <v>85</v>
      </c>
      <c r="G219" s="20" t="s">
        <v>26</v>
      </c>
      <c r="H219" s="20" t="s">
        <v>1032</v>
      </c>
      <c r="I219" s="20" t="s">
        <v>1032</v>
      </c>
      <c r="J219" s="20">
        <v>4</v>
      </c>
      <c r="K219" s="20" t="s">
        <v>107</v>
      </c>
      <c r="L219" s="20" t="s">
        <v>18</v>
      </c>
      <c r="M219" s="21"/>
    </row>
    <row r="220" spans="1:13">
      <c r="A220" s="19">
        <v>2533021</v>
      </c>
      <c r="B220" s="20" t="s">
        <v>1033</v>
      </c>
      <c r="C220" s="19" t="s">
        <v>1034</v>
      </c>
      <c r="D220" s="19" t="s">
        <v>1035</v>
      </c>
      <c r="E220" s="20" t="s">
        <v>127</v>
      </c>
      <c r="F220" s="20" t="s">
        <v>92</v>
      </c>
      <c r="G220" s="20" t="s">
        <v>26</v>
      </c>
      <c r="H220" s="20" t="s">
        <v>1036</v>
      </c>
      <c r="I220" s="20" t="s">
        <v>1036</v>
      </c>
      <c r="J220" s="23">
        <v>3</v>
      </c>
      <c r="K220" s="20" t="s">
        <v>19</v>
      </c>
      <c r="L220" s="20" t="s">
        <v>16</v>
      </c>
      <c r="M220" s="21"/>
    </row>
    <row r="221" spans="1:13">
      <c r="A221" s="19">
        <v>2521267</v>
      </c>
      <c r="B221" s="20" t="s">
        <v>1037</v>
      </c>
      <c r="C221" s="19" t="s">
        <v>1038</v>
      </c>
      <c r="D221" s="19" t="s">
        <v>1039</v>
      </c>
      <c r="E221" s="20" t="s">
        <v>84</v>
      </c>
      <c r="F221" s="20" t="s">
        <v>112</v>
      </c>
      <c r="G221" s="20" t="s">
        <v>26</v>
      </c>
      <c r="H221" s="20" t="s">
        <v>1036</v>
      </c>
      <c r="I221" s="20" t="s">
        <v>1036</v>
      </c>
      <c r="J221" s="20">
        <v>5</v>
      </c>
      <c r="K221" s="20" t="s">
        <v>107</v>
      </c>
      <c r="L221" s="20" t="s">
        <v>16</v>
      </c>
      <c r="M221" s="21" t="s">
        <v>108</v>
      </c>
    </row>
    <row r="222" spans="1:13">
      <c r="A222" s="19">
        <v>2529676</v>
      </c>
      <c r="B222" s="20" t="s">
        <v>1040</v>
      </c>
      <c r="C222" s="19" t="s">
        <v>1041</v>
      </c>
      <c r="D222" s="19" t="s">
        <v>1042</v>
      </c>
      <c r="E222" s="20" t="s">
        <v>84</v>
      </c>
      <c r="F222" s="20" t="s">
        <v>85</v>
      </c>
      <c r="G222" s="20" t="s">
        <v>26</v>
      </c>
      <c r="H222" s="20" t="s">
        <v>1043</v>
      </c>
      <c r="I222" s="20" t="s">
        <v>1044</v>
      </c>
      <c r="J222" s="23">
        <v>3</v>
      </c>
      <c r="K222" s="20" t="s">
        <v>206</v>
      </c>
      <c r="L222" s="20" t="s">
        <v>16</v>
      </c>
      <c r="M222" s="21" t="s">
        <v>1016</v>
      </c>
    </row>
    <row r="223" spans="1:13">
      <c r="A223" s="22">
        <v>2526615</v>
      </c>
      <c r="B223" s="23" t="s">
        <v>1045</v>
      </c>
      <c r="C223" s="22" t="s">
        <v>1046</v>
      </c>
      <c r="D223" s="22" t="s">
        <v>1047</v>
      </c>
      <c r="E223" s="23" t="s">
        <v>84</v>
      </c>
      <c r="F223" s="23" t="s">
        <v>85</v>
      </c>
      <c r="G223" s="23" t="s">
        <v>26</v>
      </c>
      <c r="H223" s="23" t="s">
        <v>1048</v>
      </c>
      <c r="I223" s="23" t="s">
        <v>1049</v>
      </c>
      <c r="J223" s="23">
        <v>3</v>
      </c>
      <c r="K223" s="23" t="s">
        <v>206</v>
      </c>
      <c r="L223" s="23" t="s">
        <v>16</v>
      </c>
      <c r="M223" s="24" t="s">
        <v>49</v>
      </c>
    </row>
    <row r="224" spans="1:13">
      <c r="A224" s="19">
        <v>2519633</v>
      </c>
      <c r="B224" s="20" t="s">
        <v>1050</v>
      </c>
      <c r="C224" s="19" t="s">
        <v>1051</v>
      </c>
      <c r="D224" s="19" t="s">
        <v>1052</v>
      </c>
      <c r="E224" s="20" t="s">
        <v>84</v>
      </c>
      <c r="F224" s="20" t="s">
        <v>85</v>
      </c>
      <c r="G224" s="20" t="s">
        <v>26</v>
      </c>
      <c r="H224" s="20" t="s">
        <v>1053</v>
      </c>
      <c r="I224" s="20" t="s">
        <v>1054</v>
      </c>
      <c r="J224" s="20">
        <v>5</v>
      </c>
      <c r="K224" s="20" t="s">
        <v>206</v>
      </c>
      <c r="L224" s="20" t="s">
        <v>18</v>
      </c>
      <c r="M224" s="21"/>
    </row>
    <row r="225" spans="1:13">
      <c r="A225" s="22">
        <v>2521831</v>
      </c>
      <c r="B225" s="23" t="s">
        <v>1055</v>
      </c>
      <c r="C225" s="22" t="s">
        <v>1056</v>
      </c>
      <c r="D225" s="22" t="s">
        <v>1057</v>
      </c>
      <c r="E225" s="23" t="s">
        <v>84</v>
      </c>
      <c r="F225" s="23" t="s">
        <v>85</v>
      </c>
      <c r="G225" s="23" t="s">
        <v>26</v>
      </c>
      <c r="H225" s="23" t="s">
        <v>1058</v>
      </c>
      <c r="I225" s="23" t="s">
        <v>1059</v>
      </c>
      <c r="J225" s="20">
        <v>5</v>
      </c>
      <c r="K225" s="23" t="s">
        <v>206</v>
      </c>
      <c r="L225" s="23" t="s">
        <v>16</v>
      </c>
      <c r="M225" s="24"/>
    </row>
    <row r="226" spans="1:13">
      <c r="A226" s="22">
        <v>2481699</v>
      </c>
      <c r="B226" s="23" t="s">
        <v>1060</v>
      </c>
      <c r="C226" s="22" t="s">
        <v>1061</v>
      </c>
      <c r="D226" s="22" t="s">
        <v>1062</v>
      </c>
      <c r="E226" s="23" t="s">
        <v>84</v>
      </c>
      <c r="F226" s="23" t="s">
        <v>85</v>
      </c>
      <c r="G226" s="23" t="s">
        <v>26</v>
      </c>
      <c r="H226" s="23" t="s">
        <v>1063</v>
      </c>
      <c r="I226" s="23" t="s">
        <v>1064</v>
      </c>
      <c r="J226" s="23">
        <v>1</v>
      </c>
      <c r="K226" s="23" t="s">
        <v>206</v>
      </c>
      <c r="L226" s="23" t="s">
        <v>18</v>
      </c>
      <c r="M226" s="24" t="s">
        <v>1065</v>
      </c>
    </row>
    <row r="227" spans="1:13">
      <c r="A227" s="22">
        <v>2519592</v>
      </c>
      <c r="B227" s="23" t="s">
        <v>1066</v>
      </c>
      <c r="C227" s="22" t="s">
        <v>1067</v>
      </c>
      <c r="D227" s="22" t="s">
        <v>1068</v>
      </c>
      <c r="E227" s="23" t="s">
        <v>84</v>
      </c>
      <c r="F227" s="23" t="s">
        <v>85</v>
      </c>
      <c r="G227" s="23" t="s">
        <v>26</v>
      </c>
      <c r="H227" s="23" t="s">
        <v>1069</v>
      </c>
      <c r="I227" s="23" t="s">
        <v>1070</v>
      </c>
      <c r="J227" s="20">
        <v>4</v>
      </c>
      <c r="K227" s="23" t="s">
        <v>206</v>
      </c>
      <c r="L227" s="23" t="s">
        <v>16</v>
      </c>
      <c r="M227" s="24"/>
    </row>
    <row r="228" spans="1:13">
      <c r="A228" s="19">
        <v>2519592</v>
      </c>
      <c r="B228" s="20" t="s">
        <v>1066</v>
      </c>
      <c r="C228" s="19" t="s">
        <v>1067</v>
      </c>
      <c r="D228" s="19" t="s">
        <v>1068</v>
      </c>
      <c r="E228" s="20" t="s">
        <v>84</v>
      </c>
      <c r="F228" s="20" t="s">
        <v>85</v>
      </c>
      <c r="G228" s="20" t="s">
        <v>26</v>
      </c>
      <c r="H228" s="20" t="s">
        <v>1071</v>
      </c>
      <c r="I228" s="20" t="s">
        <v>1072</v>
      </c>
      <c r="J228" s="20">
        <v>4</v>
      </c>
      <c r="K228" s="20" t="s">
        <v>206</v>
      </c>
      <c r="L228" s="20" t="s">
        <v>16</v>
      </c>
      <c r="M228" s="21"/>
    </row>
    <row r="229" spans="1:13">
      <c r="A229" s="22">
        <v>2532922</v>
      </c>
      <c r="B229" s="23" t="s">
        <v>1073</v>
      </c>
      <c r="C229" s="22" t="s">
        <v>1074</v>
      </c>
      <c r="D229" s="22" t="s">
        <v>1075</v>
      </c>
      <c r="E229" s="23" t="s">
        <v>84</v>
      </c>
      <c r="F229" s="23" t="s">
        <v>85</v>
      </c>
      <c r="G229" s="23" t="s">
        <v>26</v>
      </c>
      <c r="H229" s="23" t="s">
        <v>1076</v>
      </c>
      <c r="I229" s="23" t="s">
        <v>1077</v>
      </c>
      <c r="J229" s="23">
        <v>1</v>
      </c>
      <c r="K229" s="23" t="s">
        <v>221</v>
      </c>
      <c r="L229" s="23" t="s">
        <v>16</v>
      </c>
      <c r="M229" s="24"/>
    </row>
    <row r="230" spans="1:13">
      <c r="A230" s="19">
        <v>2531826</v>
      </c>
      <c r="B230" s="20" t="s">
        <v>1078</v>
      </c>
      <c r="C230" s="19" t="s">
        <v>1079</v>
      </c>
      <c r="D230" s="19" t="s">
        <v>1080</v>
      </c>
      <c r="E230" s="20" t="s">
        <v>84</v>
      </c>
      <c r="F230" s="20" t="s">
        <v>92</v>
      </c>
      <c r="G230" s="20" t="s">
        <v>27</v>
      </c>
      <c r="H230" s="20" t="s">
        <v>1081</v>
      </c>
      <c r="I230" s="20" t="s">
        <v>1082</v>
      </c>
      <c r="J230" s="20">
        <v>10</v>
      </c>
      <c r="K230" s="20" t="s">
        <v>19</v>
      </c>
      <c r="L230" s="20" t="s">
        <v>16</v>
      </c>
      <c r="M230" s="21"/>
    </row>
    <row r="231" spans="1:13">
      <c r="A231" s="19">
        <v>2393385</v>
      </c>
      <c r="B231" s="20" t="s">
        <v>1083</v>
      </c>
      <c r="C231" s="19" t="s">
        <v>1084</v>
      </c>
      <c r="D231" s="19" t="s">
        <v>1085</v>
      </c>
      <c r="E231" s="20" t="s">
        <v>84</v>
      </c>
      <c r="F231" s="20" t="s">
        <v>112</v>
      </c>
      <c r="G231" s="20" t="s">
        <v>27</v>
      </c>
      <c r="H231" s="20" t="s">
        <v>1086</v>
      </c>
      <c r="I231" s="20" t="s">
        <v>1087</v>
      </c>
      <c r="J231" s="19" t="s">
        <v>1088</v>
      </c>
      <c r="K231" s="20" t="s">
        <v>1089</v>
      </c>
      <c r="L231" s="20" t="s">
        <v>18</v>
      </c>
      <c r="M231" s="21" t="s">
        <v>222</v>
      </c>
    </row>
    <row r="232" spans="1:13">
      <c r="A232" s="22">
        <v>2329656</v>
      </c>
      <c r="B232" s="23" t="s">
        <v>1090</v>
      </c>
      <c r="C232" s="22" t="s">
        <v>1091</v>
      </c>
      <c r="D232" s="22" t="s">
        <v>1092</v>
      </c>
      <c r="E232" s="23" t="s">
        <v>84</v>
      </c>
      <c r="F232" s="23" t="s">
        <v>112</v>
      </c>
      <c r="G232" s="23" t="s">
        <v>27</v>
      </c>
      <c r="H232" s="23" t="s">
        <v>1093</v>
      </c>
      <c r="I232" s="23" t="s">
        <v>1094</v>
      </c>
      <c r="J232" s="22" t="s">
        <v>1088</v>
      </c>
      <c r="K232" s="23" t="s">
        <v>1089</v>
      </c>
      <c r="L232" s="23" t="s">
        <v>18</v>
      </c>
      <c r="M232" s="24"/>
    </row>
    <row r="233" spans="1:13">
      <c r="A233" s="22">
        <v>2521256</v>
      </c>
      <c r="B233" s="23" t="s">
        <v>1095</v>
      </c>
      <c r="C233" s="22" t="s">
        <v>1096</v>
      </c>
      <c r="D233" s="22" t="s">
        <v>1097</v>
      </c>
      <c r="E233" s="23" t="s">
        <v>84</v>
      </c>
      <c r="F233" s="23" t="s">
        <v>92</v>
      </c>
      <c r="G233" s="23" t="s">
        <v>26</v>
      </c>
      <c r="H233" s="23" t="s">
        <v>1098</v>
      </c>
      <c r="I233" s="23" t="s">
        <v>1099</v>
      </c>
      <c r="J233" s="20">
        <v>2</v>
      </c>
      <c r="K233" s="23" t="s">
        <v>107</v>
      </c>
      <c r="L233" s="23" t="s">
        <v>18</v>
      </c>
      <c r="M233" s="24"/>
    </row>
    <row r="234" spans="1:13">
      <c r="A234" s="19">
        <v>2529624</v>
      </c>
      <c r="B234" s="20" t="s">
        <v>1100</v>
      </c>
      <c r="C234" s="19" t="s">
        <v>1101</v>
      </c>
      <c r="D234" s="19" t="s">
        <v>1102</v>
      </c>
      <c r="E234" s="20" t="s">
        <v>84</v>
      </c>
      <c r="F234" s="20" t="s">
        <v>92</v>
      </c>
      <c r="G234" s="20" t="s">
        <v>26</v>
      </c>
      <c r="H234" s="20" t="s">
        <v>1103</v>
      </c>
      <c r="I234" s="20" t="s">
        <v>1104</v>
      </c>
      <c r="J234" s="23">
        <v>3</v>
      </c>
      <c r="K234" s="20" t="s">
        <v>19</v>
      </c>
      <c r="L234" s="20" t="s">
        <v>16</v>
      </c>
      <c r="M234" s="21"/>
    </row>
    <row r="235" spans="1:13">
      <c r="A235" s="22">
        <v>2524474</v>
      </c>
      <c r="B235" s="23" t="s">
        <v>1105</v>
      </c>
      <c r="C235" s="22" t="s">
        <v>1106</v>
      </c>
      <c r="D235" s="22" t="s">
        <v>1107</v>
      </c>
      <c r="E235" s="23" t="s">
        <v>84</v>
      </c>
      <c r="F235" s="23" t="s">
        <v>92</v>
      </c>
      <c r="G235" s="23" t="s">
        <v>26</v>
      </c>
      <c r="H235" s="23" t="s">
        <v>1108</v>
      </c>
      <c r="I235" s="23" t="s">
        <v>1109</v>
      </c>
      <c r="J235" s="20">
        <v>2</v>
      </c>
      <c r="K235" s="23" t="s">
        <v>19</v>
      </c>
      <c r="L235" s="23" t="s">
        <v>16</v>
      </c>
      <c r="M235" s="24"/>
    </row>
    <row r="236" spans="1:13">
      <c r="A236" s="19">
        <v>2521257</v>
      </c>
      <c r="B236" s="20" t="s">
        <v>1110</v>
      </c>
      <c r="C236" s="19" t="s">
        <v>1111</v>
      </c>
      <c r="D236" s="19" t="s">
        <v>1112</v>
      </c>
      <c r="E236" s="20" t="s">
        <v>84</v>
      </c>
      <c r="F236" s="20" t="s">
        <v>92</v>
      </c>
      <c r="G236" s="20" t="s">
        <v>26</v>
      </c>
      <c r="H236" s="20" t="s">
        <v>1113</v>
      </c>
      <c r="I236" s="20" t="s">
        <v>1114</v>
      </c>
      <c r="J236" s="20">
        <v>2</v>
      </c>
      <c r="K236" s="20" t="s">
        <v>107</v>
      </c>
      <c r="L236" s="20" t="s">
        <v>16</v>
      </c>
      <c r="M236" s="21"/>
    </row>
    <row r="237" spans="1:13">
      <c r="A237" s="19">
        <v>2521257</v>
      </c>
      <c r="B237" s="20" t="s">
        <v>1110</v>
      </c>
      <c r="C237" s="19" t="s">
        <v>1111</v>
      </c>
      <c r="D237" s="19" t="s">
        <v>1112</v>
      </c>
      <c r="E237" s="20" t="s">
        <v>84</v>
      </c>
      <c r="F237" s="20" t="s">
        <v>92</v>
      </c>
      <c r="G237" s="20" t="s">
        <v>26</v>
      </c>
      <c r="H237" s="20" t="s">
        <v>1113</v>
      </c>
      <c r="I237" s="20" t="s">
        <v>1114</v>
      </c>
      <c r="J237" s="20">
        <v>2</v>
      </c>
      <c r="K237" s="20" t="s">
        <v>107</v>
      </c>
      <c r="L237" s="20" t="s">
        <v>16</v>
      </c>
      <c r="M237" s="21"/>
    </row>
    <row r="238" spans="1:13">
      <c r="A238" s="19">
        <v>2529498</v>
      </c>
      <c r="B238" s="20" t="s">
        <v>1115</v>
      </c>
      <c r="C238" s="19" t="s">
        <v>1116</v>
      </c>
      <c r="D238" s="19" t="s">
        <v>1117</v>
      </c>
      <c r="E238" s="20" t="s">
        <v>84</v>
      </c>
      <c r="F238" s="20" t="s">
        <v>92</v>
      </c>
      <c r="G238" s="20" t="s">
        <v>26</v>
      </c>
      <c r="H238" s="20" t="s">
        <v>1113</v>
      </c>
      <c r="I238" s="20" t="s">
        <v>1118</v>
      </c>
      <c r="J238" s="23">
        <v>3</v>
      </c>
      <c r="K238" s="20" t="s">
        <v>19</v>
      </c>
      <c r="L238" s="20" t="s">
        <v>18</v>
      </c>
      <c r="M238" s="21"/>
    </row>
    <row r="239" spans="1:13">
      <c r="A239" s="19">
        <v>2521672</v>
      </c>
      <c r="B239" s="20" t="s">
        <v>1119</v>
      </c>
      <c r="C239" s="19" t="s">
        <v>1120</v>
      </c>
      <c r="D239" s="19" t="s">
        <v>1121</v>
      </c>
      <c r="E239" s="20" t="s">
        <v>127</v>
      </c>
      <c r="F239" s="20" t="s">
        <v>112</v>
      </c>
      <c r="G239" s="20" t="s">
        <v>26</v>
      </c>
      <c r="H239" s="20" t="s">
        <v>1113</v>
      </c>
      <c r="I239" s="20" t="s">
        <v>1122</v>
      </c>
      <c r="J239" s="20">
        <v>5</v>
      </c>
      <c r="K239" s="20" t="s">
        <v>19</v>
      </c>
      <c r="L239" s="20" t="s">
        <v>16</v>
      </c>
      <c r="M239" s="21"/>
    </row>
    <row r="240" spans="1:13">
      <c r="A240" s="19">
        <v>2524480</v>
      </c>
      <c r="B240" s="20" t="s">
        <v>1123</v>
      </c>
      <c r="C240" s="19" t="s">
        <v>1124</v>
      </c>
      <c r="D240" s="19" t="s">
        <v>1125</v>
      </c>
      <c r="E240" s="20" t="s">
        <v>84</v>
      </c>
      <c r="F240" s="20" t="s">
        <v>85</v>
      </c>
      <c r="G240" s="20" t="s">
        <v>26</v>
      </c>
      <c r="H240" s="20" t="s">
        <v>1126</v>
      </c>
      <c r="I240" s="20" t="s">
        <v>1127</v>
      </c>
      <c r="J240" s="20">
        <v>5</v>
      </c>
      <c r="K240" s="20" t="s">
        <v>19</v>
      </c>
      <c r="L240" s="20" t="s">
        <v>16</v>
      </c>
      <c r="M240" s="21"/>
    </row>
    <row r="241" spans="1:13">
      <c r="A241" s="19">
        <v>2521307</v>
      </c>
      <c r="B241" s="20" t="s">
        <v>1128</v>
      </c>
      <c r="C241" s="19" t="s">
        <v>1129</v>
      </c>
      <c r="D241" s="19" t="s">
        <v>1130</v>
      </c>
      <c r="E241" s="20" t="s">
        <v>84</v>
      </c>
      <c r="F241" s="20" t="s">
        <v>92</v>
      </c>
      <c r="G241" s="20" t="s">
        <v>26</v>
      </c>
      <c r="H241" s="20" t="s">
        <v>1131</v>
      </c>
      <c r="I241" s="20" t="s">
        <v>1132</v>
      </c>
      <c r="J241" s="20">
        <v>2</v>
      </c>
      <c r="K241" s="20" t="s">
        <v>107</v>
      </c>
      <c r="L241" s="20" t="s">
        <v>16</v>
      </c>
      <c r="M241" s="21" t="s">
        <v>455</v>
      </c>
    </row>
    <row r="242" spans="1:13">
      <c r="A242" s="19">
        <v>2521256</v>
      </c>
      <c r="B242" s="20" t="s">
        <v>1095</v>
      </c>
      <c r="C242" s="19" t="s">
        <v>1096</v>
      </c>
      <c r="D242" s="19" t="s">
        <v>1097</v>
      </c>
      <c r="E242" s="20" t="s">
        <v>84</v>
      </c>
      <c r="F242" s="20" t="s">
        <v>92</v>
      </c>
      <c r="G242" s="20" t="s">
        <v>26</v>
      </c>
      <c r="H242" s="20" t="s">
        <v>1133</v>
      </c>
      <c r="I242" s="20" t="s">
        <v>1134</v>
      </c>
      <c r="J242" s="20">
        <v>2</v>
      </c>
      <c r="K242" s="20" t="s">
        <v>107</v>
      </c>
      <c r="L242" s="20" t="s">
        <v>18</v>
      </c>
      <c r="M242" s="21"/>
    </row>
    <row r="243" spans="1:13">
      <c r="A243" s="19">
        <v>2521289</v>
      </c>
      <c r="B243" s="20" t="s">
        <v>1135</v>
      </c>
      <c r="C243" s="19" t="s">
        <v>1136</v>
      </c>
      <c r="D243" s="19" t="s">
        <v>1137</v>
      </c>
      <c r="E243" s="20" t="s">
        <v>84</v>
      </c>
      <c r="F243" s="20" t="s">
        <v>92</v>
      </c>
      <c r="G243" s="20" t="s">
        <v>26</v>
      </c>
      <c r="H243" s="20" t="s">
        <v>1138</v>
      </c>
      <c r="I243" s="20" t="s">
        <v>1139</v>
      </c>
      <c r="J243" s="20">
        <v>4</v>
      </c>
      <c r="K243" s="20" t="s">
        <v>19</v>
      </c>
      <c r="L243" s="20" t="s">
        <v>16</v>
      </c>
      <c r="M243" s="21"/>
    </row>
    <row r="244" spans="1:13">
      <c r="A244" s="19">
        <v>2521287</v>
      </c>
      <c r="B244" s="20" t="s">
        <v>1140</v>
      </c>
      <c r="C244" s="19" t="s">
        <v>1141</v>
      </c>
      <c r="D244" s="19" t="s">
        <v>1142</v>
      </c>
      <c r="E244" s="20" t="s">
        <v>84</v>
      </c>
      <c r="F244" s="20" t="s">
        <v>92</v>
      </c>
      <c r="G244" s="20" t="s">
        <v>26</v>
      </c>
      <c r="H244" s="20" t="s">
        <v>1138</v>
      </c>
      <c r="I244" s="20" t="s">
        <v>1143</v>
      </c>
      <c r="J244" s="20">
        <v>4</v>
      </c>
      <c r="K244" s="20" t="s">
        <v>19</v>
      </c>
      <c r="L244" s="20" t="s">
        <v>16</v>
      </c>
      <c r="M244" s="21"/>
    </row>
    <row r="245" spans="1:13">
      <c r="A245" s="22">
        <v>2521272</v>
      </c>
      <c r="B245" s="23" t="s">
        <v>1144</v>
      </c>
      <c r="C245" s="22" t="s">
        <v>1145</v>
      </c>
      <c r="D245" s="22" t="s">
        <v>1146</v>
      </c>
      <c r="E245" s="23" t="s">
        <v>84</v>
      </c>
      <c r="F245" s="23" t="s">
        <v>92</v>
      </c>
      <c r="G245" s="23" t="s">
        <v>26</v>
      </c>
      <c r="H245" s="23" t="s">
        <v>1139</v>
      </c>
      <c r="I245" s="23" t="s">
        <v>1139</v>
      </c>
      <c r="J245" s="20">
        <v>4</v>
      </c>
      <c r="K245" s="23" t="s">
        <v>19</v>
      </c>
      <c r="L245" s="23" t="s">
        <v>16</v>
      </c>
      <c r="M245" s="24"/>
    </row>
    <row r="246" spans="1:13">
      <c r="A246" s="22">
        <v>2521811</v>
      </c>
      <c r="B246" s="23" t="s">
        <v>1147</v>
      </c>
      <c r="C246" s="22" t="s">
        <v>1148</v>
      </c>
      <c r="D246" s="22" t="s">
        <v>1149</v>
      </c>
      <c r="E246" s="23" t="s">
        <v>84</v>
      </c>
      <c r="F246" s="23" t="s">
        <v>172</v>
      </c>
      <c r="G246" s="23" t="s">
        <v>26</v>
      </c>
      <c r="H246" s="23" t="s">
        <v>1150</v>
      </c>
      <c r="I246" s="23" t="s">
        <v>1151</v>
      </c>
      <c r="J246" s="23">
        <v>3</v>
      </c>
      <c r="K246" s="23" t="s">
        <v>19</v>
      </c>
      <c r="L246" s="23" t="s">
        <v>16</v>
      </c>
      <c r="M246" s="24"/>
    </row>
    <row r="247" spans="1:13">
      <c r="A247" s="19">
        <v>2522852</v>
      </c>
      <c r="B247" s="20" t="s">
        <v>1152</v>
      </c>
      <c r="C247" s="19" t="s">
        <v>1153</v>
      </c>
      <c r="D247" s="19" t="s">
        <v>1154</v>
      </c>
      <c r="E247" s="20" t="s">
        <v>84</v>
      </c>
      <c r="F247" s="20" t="s">
        <v>92</v>
      </c>
      <c r="G247" s="20" t="s">
        <v>26</v>
      </c>
      <c r="H247" s="20" t="s">
        <v>1155</v>
      </c>
      <c r="I247" s="20" t="s">
        <v>1155</v>
      </c>
      <c r="J247" s="20">
        <v>4</v>
      </c>
      <c r="K247" s="20" t="s">
        <v>19</v>
      </c>
      <c r="L247" s="20" t="s">
        <v>18</v>
      </c>
      <c r="M247" s="21"/>
    </row>
    <row r="248" spans="1:13">
      <c r="A248" s="22">
        <v>2529507</v>
      </c>
      <c r="B248" s="23" t="s">
        <v>1156</v>
      </c>
      <c r="C248" s="22" t="s">
        <v>1157</v>
      </c>
      <c r="D248" s="22" t="s">
        <v>1158</v>
      </c>
      <c r="E248" s="23" t="s">
        <v>415</v>
      </c>
      <c r="F248" s="23" t="s">
        <v>85</v>
      </c>
      <c r="G248" s="23" t="s">
        <v>26</v>
      </c>
      <c r="H248" s="23" t="s">
        <v>1159</v>
      </c>
      <c r="I248" s="23" t="s">
        <v>1160</v>
      </c>
      <c r="J248" s="23">
        <v>1</v>
      </c>
      <c r="K248" s="23" t="s">
        <v>107</v>
      </c>
      <c r="L248" s="23" t="s">
        <v>18</v>
      </c>
      <c r="M248" s="24"/>
    </row>
    <row r="249" spans="1:13">
      <c r="A249" s="19">
        <v>2529777</v>
      </c>
      <c r="B249" s="20" t="s">
        <v>1161</v>
      </c>
      <c r="C249" s="19" t="s">
        <v>1162</v>
      </c>
      <c r="D249" s="19" t="s">
        <v>1163</v>
      </c>
      <c r="E249" s="20" t="s">
        <v>127</v>
      </c>
      <c r="F249" s="20" t="s">
        <v>85</v>
      </c>
      <c r="G249" s="20" t="s">
        <v>26</v>
      </c>
      <c r="H249" s="20" t="s">
        <v>1164</v>
      </c>
      <c r="I249" s="20" t="s">
        <v>1165</v>
      </c>
      <c r="J249" s="23">
        <v>3</v>
      </c>
      <c r="K249" s="20" t="s">
        <v>107</v>
      </c>
      <c r="L249" s="20" t="s">
        <v>16</v>
      </c>
      <c r="M249" s="21"/>
    </row>
    <row r="250" spans="1:13">
      <c r="A250" s="22">
        <v>2529783</v>
      </c>
      <c r="B250" s="23" t="s">
        <v>1166</v>
      </c>
      <c r="C250" s="22" t="s">
        <v>1167</v>
      </c>
      <c r="D250" s="22" t="s">
        <v>1168</v>
      </c>
      <c r="E250" s="23" t="s">
        <v>84</v>
      </c>
      <c r="F250" s="23" t="s">
        <v>92</v>
      </c>
      <c r="G250" s="23" t="s">
        <v>26</v>
      </c>
      <c r="H250" s="23" t="s">
        <v>1169</v>
      </c>
      <c r="I250" s="23" t="s">
        <v>1170</v>
      </c>
      <c r="J250" s="23">
        <v>3</v>
      </c>
      <c r="K250" s="23" t="s">
        <v>107</v>
      </c>
      <c r="L250" s="23" t="s">
        <v>16</v>
      </c>
      <c r="M250" s="24"/>
    </row>
    <row r="251" spans="1:13">
      <c r="A251" s="22">
        <v>2532985</v>
      </c>
      <c r="B251" s="23" t="s">
        <v>1171</v>
      </c>
      <c r="C251" s="22" t="s">
        <v>1172</v>
      </c>
      <c r="D251" s="22" t="s">
        <v>1173</v>
      </c>
      <c r="E251" s="23" t="s">
        <v>84</v>
      </c>
      <c r="F251" s="23" t="s">
        <v>112</v>
      </c>
      <c r="G251" s="23" t="s">
        <v>26</v>
      </c>
      <c r="H251" s="23" t="s">
        <v>1164</v>
      </c>
      <c r="I251" s="23" t="s">
        <v>1174</v>
      </c>
      <c r="J251" s="20">
        <v>4</v>
      </c>
      <c r="K251" s="23" t="s">
        <v>107</v>
      </c>
      <c r="L251" s="23" t="s">
        <v>16</v>
      </c>
      <c r="M251" s="24"/>
    </row>
    <row r="252" spans="1:13">
      <c r="A252" s="19">
        <v>2533027</v>
      </c>
      <c r="B252" s="20" t="s">
        <v>1175</v>
      </c>
      <c r="C252" s="19" t="s">
        <v>1176</v>
      </c>
      <c r="D252" s="19" t="s">
        <v>1177</v>
      </c>
      <c r="E252" s="20" t="s">
        <v>127</v>
      </c>
      <c r="F252" s="20" t="s">
        <v>112</v>
      </c>
      <c r="G252" s="20" t="s">
        <v>26</v>
      </c>
      <c r="H252" s="20" t="s">
        <v>1178</v>
      </c>
      <c r="I252" s="20" t="s">
        <v>1179</v>
      </c>
      <c r="J252" s="20">
        <v>4</v>
      </c>
      <c r="K252" s="20" t="s">
        <v>107</v>
      </c>
      <c r="L252" s="20" t="s">
        <v>16</v>
      </c>
      <c r="M252" s="21"/>
    </row>
    <row r="253" spans="1:13">
      <c r="A253" s="22">
        <v>2529595</v>
      </c>
      <c r="B253" s="23" t="s">
        <v>1180</v>
      </c>
      <c r="C253" s="22" t="s">
        <v>1181</v>
      </c>
      <c r="D253" s="22" t="s">
        <v>1182</v>
      </c>
      <c r="E253" s="23" t="s">
        <v>127</v>
      </c>
      <c r="F253" s="23" t="s">
        <v>112</v>
      </c>
      <c r="G253" s="23" t="s">
        <v>26</v>
      </c>
      <c r="H253" s="23" t="s">
        <v>1183</v>
      </c>
      <c r="I253" s="23" t="s">
        <v>1174</v>
      </c>
      <c r="J253" s="33">
        <v>1</v>
      </c>
      <c r="K253" s="23" t="s">
        <v>19</v>
      </c>
      <c r="L253" s="23" t="s">
        <v>16</v>
      </c>
      <c r="M253" s="24"/>
    </row>
    <row r="254" spans="1:13">
      <c r="A254" s="19">
        <v>2529621</v>
      </c>
      <c r="B254" s="20" t="s">
        <v>1184</v>
      </c>
      <c r="C254" s="19" t="s">
        <v>1185</v>
      </c>
      <c r="D254" s="19" t="s">
        <v>1186</v>
      </c>
      <c r="E254" s="20" t="s">
        <v>84</v>
      </c>
      <c r="F254" s="20" t="s">
        <v>112</v>
      </c>
      <c r="G254" s="20" t="s">
        <v>26</v>
      </c>
      <c r="H254" s="20" t="s">
        <v>1187</v>
      </c>
      <c r="I254" s="20" t="s">
        <v>1188</v>
      </c>
      <c r="J254" s="23">
        <v>1</v>
      </c>
      <c r="K254" s="20" t="s">
        <v>19</v>
      </c>
      <c r="L254" s="20" t="s">
        <v>18</v>
      </c>
      <c r="M254" s="21"/>
    </row>
    <row r="255" spans="1:13">
      <c r="A255" s="22">
        <v>2529780</v>
      </c>
      <c r="B255" s="23" t="s">
        <v>1189</v>
      </c>
      <c r="C255" s="22" t="s">
        <v>1190</v>
      </c>
      <c r="D255" s="22" t="s">
        <v>1191</v>
      </c>
      <c r="E255" s="23" t="s">
        <v>84</v>
      </c>
      <c r="F255" s="23" t="s">
        <v>92</v>
      </c>
      <c r="G255" s="23" t="s">
        <v>26</v>
      </c>
      <c r="H255" s="23" t="s">
        <v>1192</v>
      </c>
      <c r="I255" s="23" t="s">
        <v>1193</v>
      </c>
      <c r="J255" s="23">
        <v>3</v>
      </c>
      <c r="K255" s="23" t="s">
        <v>19</v>
      </c>
      <c r="L255" s="23" t="s">
        <v>16</v>
      </c>
      <c r="M255" s="24"/>
    </row>
    <row r="256" spans="1:13">
      <c r="A256" s="22">
        <v>2533028</v>
      </c>
      <c r="B256" s="23" t="s">
        <v>1194</v>
      </c>
      <c r="C256" s="22" t="s">
        <v>1195</v>
      </c>
      <c r="D256" s="22" t="s">
        <v>1196</v>
      </c>
      <c r="E256" s="23" t="s">
        <v>84</v>
      </c>
      <c r="F256" s="23" t="s">
        <v>112</v>
      </c>
      <c r="G256" s="23" t="s">
        <v>26</v>
      </c>
      <c r="H256" s="23" t="s">
        <v>1197</v>
      </c>
      <c r="I256" s="23" t="s">
        <v>1198</v>
      </c>
      <c r="J256" s="20">
        <v>4</v>
      </c>
      <c r="K256" s="23" t="s">
        <v>107</v>
      </c>
      <c r="L256" s="23" t="s">
        <v>16</v>
      </c>
      <c r="M256" s="24"/>
    </row>
    <row r="257" spans="1:13">
      <c r="A257" s="19">
        <v>2533006</v>
      </c>
      <c r="B257" s="20" t="s">
        <v>1199</v>
      </c>
      <c r="C257" s="19" t="s">
        <v>1200</v>
      </c>
      <c r="D257" s="19" t="s">
        <v>1201</v>
      </c>
      <c r="E257" s="20" t="s">
        <v>127</v>
      </c>
      <c r="F257" s="20" t="s">
        <v>112</v>
      </c>
      <c r="G257" s="20" t="s">
        <v>26</v>
      </c>
      <c r="H257" s="20" t="s">
        <v>1202</v>
      </c>
      <c r="I257" s="20" t="s">
        <v>1203</v>
      </c>
      <c r="J257" s="20">
        <v>4</v>
      </c>
      <c r="K257" s="20" t="s">
        <v>107</v>
      </c>
      <c r="L257" s="20" t="s">
        <v>16</v>
      </c>
      <c r="M257" s="21"/>
    </row>
    <row r="258" spans="1:13">
      <c r="A258" s="22">
        <v>2529615</v>
      </c>
      <c r="B258" s="23" t="s">
        <v>1204</v>
      </c>
      <c r="C258" s="22" t="s">
        <v>1205</v>
      </c>
      <c r="D258" s="22" t="s">
        <v>1206</v>
      </c>
      <c r="E258" s="23" t="s">
        <v>84</v>
      </c>
      <c r="F258" s="23" t="s">
        <v>92</v>
      </c>
      <c r="G258" s="23" t="s">
        <v>26</v>
      </c>
      <c r="H258" s="23" t="s">
        <v>1207</v>
      </c>
      <c r="I258" s="23" t="s">
        <v>1208</v>
      </c>
      <c r="J258" s="20">
        <v>2</v>
      </c>
      <c r="K258" s="23" t="s">
        <v>19</v>
      </c>
      <c r="L258" s="23" t="s">
        <v>18</v>
      </c>
      <c r="M258" s="24"/>
    </row>
    <row r="259" spans="1:13">
      <c r="A259" s="19">
        <v>2531969</v>
      </c>
      <c r="B259" s="20" t="s">
        <v>875</v>
      </c>
      <c r="C259" s="19" t="s">
        <v>876</v>
      </c>
      <c r="D259" s="19" t="s">
        <v>877</v>
      </c>
      <c r="E259" s="20" t="s">
        <v>84</v>
      </c>
      <c r="F259" s="20" t="s">
        <v>92</v>
      </c>
      <c r="G259" s="20" t="s">
        <v>26</v>
      </c>
      <c r="H259" s="20" t="s">
        <v>1209</v>
      </c>
      <c r="I259" s="20" t="s">
        <v>1209</v>
      </c>
      <c r="J259" s="20">
        <v>2</v>
      </c>
      <c r="K259" s="20" t="s">
        <v>206</v>
      </c>
      <c r="L259" s="20" t="s">
        <v>18</v>
      </c>
      <c r="M259" s="21"/>
    </row>
    <row r="260" spans="1:13">
      <c r="A260" s="19">
        <v>2533227</v>
      </c>
      <c r="B260" s="20" t="s">
        <v>1210</v>
      </c>
      <c r="C260" s="19" t="s">
        <v>1211</v>
      </c>
      <c r="D260" s="19" t="s">
        <v>1212</v>
      </c>
      <c r="E260" s="20" t="s">
        <v>84</v>
      </c>
      <c r="F260" s="20" t="s">
        <v>92</v>
      </c>
      <c r="G260" s="20" t="s">
        <v>26</v>
      </c>
      <c r="H260" s="20" t="s">
        <v>1213</v>
      </c>
      <c r="I260" s="20" t="s">
        <v>1213</v>
      </c>
      <c r="J260" s="20">
        <v>5</v>
      </c>
      <c r="K260" s="20" t="s">
        <v>19</v>
      </c>
      <c r="L260" s="20" t="s">
        <v>16</v>
      </c>
      <c r="M260" s="21"/>
    </row>
    <row r="261" spans="1:13">
      <c r="A261" s="22">
        <v>2521758</v>
      </c>
      <c r="B261" s="23" t="s">
        <v>1214</v>
      </c>
      <c r="C261" s="22" t="s">
        <v>1215</v>
      </c>
      <c r="D261" s="22" t="s">
        <v>1216</v>
      </c>
      <c r="E261" s="23" t="s">
        <v>84</v>
      </c>
      <c r="F261" s="23" t="s">
        <v>92</v>
      </c>
      <c r="G261" s="23" t="s">
        <v>26</v>
      </c>
      <c r="H261" s="23" t="s">
        <v>1217</v>
      </c>
      <c r="I261" s="23" t="s">
        <v>1217</v>
      </c>
      <c r="J261" s="23">
        <v>3</v>
      </c>
      <c r="K261" s="23" t="s">
        <v>19</v>
      </c>
      <c r="L261" s="23" t="s">
        <v>16</v>
      </c>
      <c r="M261" s="24"/>
    </row>
    <row r="262" spans="1:13">
      <c r="A262" s="19">
        <v>2523430</v>
      </c>
      <c r="B262" s="20" t="s">
        <v>1218</v>
      </c>
      <c r="C262" s="19" t="s">
        <v>1219</v>
      </c>
      <c r="D262" s="19" t="s">
        <v>1220</v>
      </c>
      <c r="E262" s="20" t="s">
        <v>127</v>
      </c>
      <c r="F262" s="20" t="s">
        <v>92</v>
      </c>
      <c r="G262" s="20" t="s">
        <v>26</v>
      </c>
      <c r="H262" s="20" t="s">
        <v>1221</v>
      </c>
      <c r="I262" s="20" t="s">
        <v>1221</v>
      </c>
      <c r="J262" s="20">
        <v>4</v>
      </c>
      <c r="K262" s="20" t="s">
        <v>19</v>
      </c>
      <c r="L262" s="20" t="s">
        <v>16</v>
      </c>
      <c r="M262" s="21"/>
    </row>
    <row r="263" spans="1:13">
      <c r="A263" s="19">
        <v>2522808</v>
      </c>
      <c r="B263" s="20" t="s">
        <v>1222</v>
      </c>
      <c r="C263" s="19" t="s">
        <v>1223</v>
      </c>
      <c r="D263" s="19" t="s">
        <v>1224</v>
      </c>
      <c r="E263" s="20" t="s">
        <v>127</v>
      </c>
      <c r="F263" s="20" t="s">
        <v>85</v>
      </c>
      <c r="G263" s="20" t="s">
        <v>26</v>
      </c>
      <c r="H263" s="20" t="s">
        <v>1225</v>
      </c>
      <c r="I263" s="20" t="s">
        <v>1226</v>
      </c>
      <c r="J263" s="20">
        <v>2</v>
      </c>
      <c r="K263" s="20" t="s">
        <v>206</v>
      </c>
      <c r="L263" s="20" t="s">
        <v>18</v>
      </c>
      <c r="M263" s="21"/>
    </row>
    <row r="264" spans="1:13">
      <c r="A264" s="19">
        <v>2531811</v>
      </c>
      <c r="B264" s="20" t="s">
        <v>1227</v>
      </c>
      <c r="C264" s="19" t="s">
        <v>1228</v>
      </c>
      <c r="D264" s="19" t="s">
        <v>1229</v>
      </c>
      <c r="E264" s="20" t="s">
        <v>84</v>
      </c>
      <c r="F264" s="20" t="s">
        <v>92</v>
      </c>
      <c r="G264" s="20" t="s">
        <v>26</v>
      </c>
      <c r="H264" s="20" t="s">
        <v>1230</v>
      </c>
      <c r="I264" s="20" t="s">
        <v>1231</v>
      </c>
      <c r="J264" s="33">
        <v>1</v>
      </c>
      <c r="K264" s="20" t="s">
        <v>107</v>
      </c>
      <c r="L264" s="20" t="s">
        <v>18</v>
      </c>
      <c r="M264" s="21"/>
    </row>
    <row r="265" spans="1:13">
      <c r="A265" s="19">
        <v>2507278</v>
      </c>
      <c r="B265" s="20" t="s">
        <v>1232</v>
      </c>
      <c r="C265" s="19" t="s">
        <v>1233</v>
      </c>
      <c r="D265" s="19" t="s">
        <v>1234</v>
      </c>
      <c r="E265" s="20" t="s">
        <v>84</v>
      </c>
      <c r="F265" s="20" t="s">
        <v>92</v>
      </c>
      <c r="G265" s="20" t="s">
        <v>26</v>
      </c>
      <c r="H265" s="20" t="s">
        <v>1235</v>
      </c>
      <c r="I265" s="20" t="s">
        <v>1236</v>
      </c>
      <c r="J265" s="22">
        <v>3</v>
      </c>
      <c r="K265" s="20" t="s">
        <v>19</v>
      </c>
      <c r="L265" s="20" t="s">
        <v>16</v>
      </c>
      <c r="M265" s="24"/>
    </row>
    <row r="266" spans="1:13">
      <c r="A266" s="19">
        <v>2529525</v>
      </c>
      <c r="B266" s="20" t="s">
        <v>1237</v>
      </c>
      <c r="C266" s="19" t="s">
        <v>1238</v>
      </c>
      <c r="D266" s="19" t="s">
        <v>1239</v>
      </c>
      <c r="E266" s="20" t="s">
        <v>84</v>
      </c>
      <c r="F266" s="20" t="s">
        <v>92</v>
      </c>
      <c r="G266" s="20" t="s">
        <v>26</v>
      </c>
      <c r="H266" s="20" t="s">
        <v>1240</v>
      </c>
      <c r="I266" s="20" t="s">
        <v>1241</v>
      </c>
      <c r="J266" s="23">
        <v>3</v>
      </c>
      <c r="K266" s="20" t="s">
        <v>19</v>
      </c>
      <c r="L266" s="20" t="s">
        <v>16</v>
      </c>
      <c r="M266" s="21"/>
    </row>
    <row r="267" spans="1:13">
      <c r="A267" s="19">
        <v>2532928</v>
      </c>
      <c r="B267" s="20" t="s">
        <v>1242</v>
      </c>
      <c r="C267" s="19" t="s">
        <v>1243</v>
      </c>
      <c r="D267" s="19" t="s">
        <v>1244</v>
      </c>
      <c r="E267" s="20" t="s">
        <v>84</v>
      </c>
      <c r="F267" s="20" t="s">
        <v>92</v>
      </c>
      <c r="G267" s="20" t="s">
        <v>26</v>
      </c>
      <c r="H267" s="20" t="s">
        <v>1245</v>
      </c>
      <c r="I267" s="20" t="s">
        <v>1245</v>
      </c>
      <c r="J267" s="23">
        <v>1</v>
      </c>
      <c r="K267" s="20" t="s">
        <v>19</v>
      </c>
      <c r="L267" s="20" t="s">
        <v>18</v>
      </c>
      <c r="M267" s="21"/>
    </row>
    <row r="268" spans="1:13">
      <c r="A268" s="19">
        <v>2516883</v>
      </c>
      <c r="B268" s="20" t="s">
        <v>1246</v>
      </c>
      <c r="C268" s="19" t="s">
        <v>1247</v>
      </c>
      <c r="D268" s="19" t="s">
        <v>1248</v>
      </c>
      <c r="E268" s="20" t="s">
        <v>84</v>
      </c>
      <c r="F268" s="20" t="s">
        <v>85</v>
      </c>
      <c r="G268" s="20" t="s">
        <v>26</v>
      </c>
      <c r="H268" s="20" t="s">
        <v>1249</v>
      </c>
      <c r="I268" s="20" t="s">
        <v>1250</v>
      </c>
      <c r="J268" s="23">
        <v>3</v>
      </c>
      <c r="K268" s="20" t="s">
        <v>107</v>
      </c>
      <c r="L268" s="20" t="s">
        <v>16</v>
      </c>
      <c r="M268" s="21" t="s">
        <v>631</v>
      </c>
    </row>
    <row r="269" spans="1:13">
      <c r="A269" s="19">
        <v>2529590</v>
      </c>
      <c r="B269" s="20" t="s">
        <v>1251</v>
      </c>
      <c r="C269" s="19" t="s">
        <v>1252</v>
      </c>
      <c r="D269" s="19" t="s">
        <v>1253</v>
      </c>
      <c r="E269" s="20" t="s">
        <v>84</v>
      </c>
      <c r="F269" s="20" t="s">
        <v>92</v>
      </c>
      <c r="G269" s="20" t="s">
        <v>26</v>
      </c>
      <c r="H269" s="20" t="s">
        <v>1254</v>
      </c>
      <c r="I269" s="20" t="s">
        <v>1255</v>
      </c>
      <c r="J269" s="34" t="s">
        <v>34</v>
      </c>
      <c r="K269" s="20" t="s">
        <v>107</v>
      </c>
      <c r="L269" s="20" t="s">
        <v>16</v>
      </c>
      <c r="M269" s="21" t="s">
        <v>49</v>
      </c>
    </row>
    <row r="270" spans="1:13">
      <c r="A270" s="19">
        <v>2521054</v>
      </c>
      <c r="B270" s="20" t="s">
        <v>1256</v>
      </c>
      <c r="C270" s="19" t="s">
        <v>1257</v>
      </c>
      <c r="D270" s="19" t="s">
        <v>1258</v>
      </c>
      <c r="E270" s="20" t="s">
        <v>127</v>
      </c>
      <c r="F270" s="20" t="s">
        <v>92</v>
      </c>
      <c r="G270" s="20" t="s">
        <v>26</v>
      </c>
      <c r="H270" s="20" t="s">
        <v>1259</v>
      </c>
      <c r="I270" s="20" t="s">
        <v>1260</v>
      </c>
      <c r="J270" s="23">
        <v>3</v>
      </c>
      <c r="K270" s="20" t="s">
        <v>19</v>
      </c>
      <c r="L270" s="20" t="s">
        <v>16</v>
      </c>
      <c r="M270" s="21"/>
    </row>
    <row r="271" spans="1:13">
      <c r="A271" s="19">
        <v>2520939</v>
      </c>
      <c r="B271" s="20" t="s">
        <v>1261</v>
      </c>
      <c r="C271" s="19" t="s">
        <v>1262</v>
      </c>
      <c r="D271" s="19" t="s">
        <v>1263</v>
      </c>
      <c r="E271" s="20" t="s">
        <v>84</v>
      </c>
      <c r="F271" s="20" t="s">
        <v>92</v>
      </c>
      <c r="G271" s="20" t="s">
        <v>26</v>
      </c>
      <c r="H271" s="20" t="s">
        <v>1264</v>
      </c>
      <c r="I271" s="20" t="s">
        <v>1265</v>
      </c>
      <c r="J271" s="20">
        <v>2</v>
      </c>
      <c r="K271" s="20" t="s">
        <v>19</v>
      </c>
      <c r="L271" s="20" t="s">
        <v>18</v>
      </c>
      <c r="M271" s="21"/>
    </row>
    <row r="272" spans="1:13">
      <c r="A272" s="22">
        <v>2521787</v>
      </c>
      <c r="B272" s="23" t="s">
        <v>1266</v>
      </c>
      <c r="C272" s="22" t="s">
        <v>1267</v>
      </c>
      <c r="D272" s="22" t="s">
        <v>1268</v>
      </c>
      <c r="E272" s="23" t="s">
        <v>84</v>
      </c>
      <c r="F272" s="23" t="s">
        <v>92</v>
      </c>
      <c r="G272" s="23" t="s">
        <v>26</v>
      </c>
      <c r="H272" s="23" t="s">
        <v>1264</v>
      </c>
      <c r="I272" s="23" t="s">
        <v>1269</v>
      </c>
      <c r="J272" s="23">
        <v>3</v>
      </c>
      <c r="K272" s="23" t="s">
        <v>107</v>
      </c>
      <c r="L272" s="23" t="s">
        <v>16</v>
      </c>
      <c r="M272" s="24"/>
    </row>
    <row r="273" spans="1:13">
      <c r="A273" s="22">
        <v>2529605</v>
      </c>
      <c r="B273" s="23" t="s">
        <v>1270</v>
      </c>
      <c r="C273" s="22" t="s">
        <v>1271</v>
      </c>
      <c r="D273" s="22" t="s">
        <v>1272</v>
      </c>
      <c r="E273" s="23" t="s">
        <v>84</v>
      </c>
      <c r="F273" s="23" t="s">
        <v>92</v>
      </c>
      <c r="G273" s="23" t="s">
        <v>26</v>
      </c>
      <c r="H273" s="23" t="s">
        <v>1264</v>
      </c>
      <c r="I273" s="23" t="s">
        <v>1273</v>
      </c>
      <c r="J273" s="34" t="s">
        <v>34</v>
      </c>
      <c r="K273" s="23" t="s">
        <v>107</v>
      </c>
      <c r="L273" s="23" t="s">
        <v>16</v>
      </c>
      <c r="M273" s="24"/>
    </row>
    <row r="274" spans="1:13">
      <c r="A274" s="19">
        <v>2433038</v>
      </c>
      <c r="B274" s="20" t="s">
        <v>1274</v>
      </c>
      <c r="C274" s="19" t="s">
        <v>1275</v>
      </c>
      <c r="D274" s="19" t="s">
        <v>1276</v>
      </c>
      <c r="E274" s="20" t="s">
        <v>127</v>
      </c>
      <c r="F274" s="20" t="s">
        <v>92</v>
      </c>
      <c r="G274" s="20" t="s">
        <v>26</v>
      </c>
      <c r="H274" s="20" t="s">
        <v>1277</v>
      </c>
      <c r="I274" s="20" t="s">
        <v>1278</v>
      </c>
      <c r="J274" s="20">
        <v>2</v>
      </c>
      <c r="K274" s="20" t="s">
        <v>19</v>
      </c>
      <c r="L274" s="20" t="s">
        <v>16</v>
      </c>
      <c r="M274" s="21"/>
    </row>
    <row r="275" spans="1:13">
      <c r="A275" s="19">
        <v>2533038</v>
      </c>
      <c r="B275" s="20" t="s">
        <v>1274</v>
      </c>
      <c r="C275" s="19" t="s">
        <v>1275</v>
      </c>
      <c r="D275" s="19" t="s">
        <v>1276</v>
      </c>
      <c r="E275" s="20" t="s">
        <v>127</v>
      </c>
      <c r="F275" s="20" t="s">
        <v>92</v>
      </c>
      <c r="G275" s="20" t="s">
        <v>26</v>
      </c>
      <c r="H275" s="20" t="s">
        <v>1279</v>
      </c>
      <c r="I275" s="20" t="s">
        <v>1280</v>
      </c>
      <c r="J275" s="20">
        <v>2</v>
      </c>
      <c r="K275" s="20" t="s">
        <v>19</v>
      </c>
      <c r="L275" s="20" t="s">
        <v>16</v>
      </c>
      <c r="M275" s="21"/>
    </row>
    <row r="276" spans="1:13">
      <c r="A276" s="19">
        <v>2531814</v>
      </c>
      <c r="B276" s="20" t="s">
        <v>1281</v>
      </c>
      <c r="C276" s="19" t="s">
        <v>1282</v>
      </c>
      <c r="D276" s="19" t="s">
        <v>1283</v>
      </c>
      <c r="E276" s="20" t="s">
        <v>84</v>
      </c>
      <c r="F276" s="20" t="s">
        <v>92</v>
      </c>
      <c r="G276" s="20" t="s">
        <v>26</v>
      </c>
      <c r="H276" s="20" t="s">
        <v>1284</v>
      </c>
      <c r="I276" s="20" t="s">
        <v>1285</v>
      </c>
      <c r="J276" s="23">
        <v>1</v>
      </c>
      <c r="K276" s="20" t="s">
        <v>107</v>
      </c>
      <c r="L276" s="20" t="s">
        <v>18</v>
      </c>
      <c r="M276" s="21"/>
    </row>
    <row r="277" spans="1:13">
      <c r="A277" s="22">
        <v>2523408</v>
      </c>
      <c r="B277" s="23" t="s">
        <v>1286</v>
      </c>
      <c r="C277" s="22" t="s">
        <v>1287</v>
      </c>
      <c r="D277" s="22" t="s">
        <v>1288</v>
      </c>
      <c r="E277" s="23" t="s">
        <v>127</v>
      </c>
      <c r="F277" s="23" t="s">
        <v>92</v>
      </c>
      <c r="G277" s="23" t="s">
        <v>26</v>
      </c>
      <c r="H277" s="23" t="s">
        <v>1289</v>
      </c>
      <c r="I277" s="23" t="s">
        <v>1290</v>
      </c>
      <c r="J277" s="20">
        <v>4</v>
      </c>
      <c r="K277" s="23" t="s">
        <v>107</v>
      </c>
      <c r="L277" s="23" t="s">
        <v>16</v>
      </c>
      <c r="M277" s="24"/>
    </row>
    <row r="278" spans="1:13">
      <c r="A278" s="22">
        <v>2521240</v>
      </c>
      <c r="B278" s="23" t="s">
        <v>1291</v>
      </c>
      <c r="C278" s="22" t="s">
        <v>1292</v>
      </c>
      <c r="D278" s="22" t="s">
        <v>1293</v>
      </c>
      <c r="E278" s="23" t="s">
        <v>84</v>
      </c>
      <c r="F278" s="23" t="s">
        <v>172</v>
      </c>
      <c r="G278" s="23" t="s">
        <v>26</v>
      </c>
      <c r="H278" s="23" t="s">
        <v>1294</v>
      </c>
      <c r="I278" s="23" t="s">
        <v>1295</v>
      </c>
      <c r="J278" s="20">
        <v>2</v>
      </c>
      <c r="K278" s="23" t="s">
        <v>19</v>
      </c>
      <c r="L278" s="23" t="s">
        <v>16</v>
      </c>
      <c r="M278" s="24"/>
    </row>
    <row r="279" spans="1:13">
      <c r="A279" s="22">
        <v>2521240</v>
      </c>
      <c r="B279" s="23" t="s">
        <v>1291</v>
      </c>
      <c r="C279" s="22" t="s">
        <v>1292</v>
      </c>
      <c r="D279" s="22" t="s">
        <v>1293</v>
      </c>
      <c r="E279" s="23" t="s">
        <v>84</v>
      </c>
      <c r="F279" s="23" t="s">
        <v>92</v>
      </c>
      <c r="G279" s="23" t="s">
        <v>26</v>
      </c>
      <c r="H279" s="23" t="s">
        <v>1296</v>
      </c>
      <c r="I279" s="23" t="s">
        <v>1297</v>
      </c>
      <c r="J279" s="20">
        <v>2</v>
      </c>
      <c r="K279" s="23" t="s">
        <v>19</v>
      </c>
      <c r="L279" s="23" t="s">
        <v>16</v>
      </c>
      <c r="M279" s="24"/>
    </row>
    <row r="280" spans="1:13">
      <c r="A280" s="22">
        <v>2512335</v>
      </c>
      <c r="B280" s="23" t="s">
        <v>1298</v>
      </c>
      <c r="C280" s="22" t="s">
        <v>1299</v>
      </c>
      <c r="D280" s="22" t="s">
        <v>1300</v>
      </c>
      <c r="E280" s="23" t="s">
        <v>84</v>
      </c>
      <c r="F280" s="23" t="s">
        <v>92</v>
      </c>
      <c r="G280" s="23" t="s">
        <v>26</v>
      </c>
      <c r="H280" s="23" t="s">
        <v>1301</v>
      </c>
      <c r="I280" s="23" t="s">
        <v>1302</v>
      </c>
      <c r="J280" s="34" t="s">
        <v>34</v>
      </c>
      <c r="K280" s="23" t="s">
        <v>19</v>
      </c>
      <c r="L280" s="23" t="s">
        <v>16</v>
      </c>
      <c r="M280" s="24" t="s">
        <v>49</v>
      </c>
    </row>
    <row r="281" spans="1:13">
      <c r="A281" s="19">
        <v>2512335</v>
      </c>
      <c r="B281" s="20" t="s">
        <v>1298</v>
      </c>
      <c r="C281" s="19" t="s">
        <v>1299</v>
      </c>
      <c r="D281" s="19" t="s">
        <v>1300</v>
      </c>
      <c r="E281" s="20" t="s">
        <v>84</v>
      </c>
      <c r="F281" s="20" t="s">
        <v>92</v>
      </c>
      <c r="G281" s="20" t="s">
        <v>26</v>
      </c>
      <c r="H281" s="20" t="s">
        <v>1301</v>
      </c>
      <c r="I281" s="20" t="s">
        <v>1302</v>
      </c>
      <c r="J281" s="34" t="s">
        <v>34</v>
      </c>
      <c r="K281" s="20" t="s">
        <v>19</v>
      </c>
      <c r="L281" s="20" t="s">
        <v>16</v>
      </c>
      <c r="M281" s="21" t="s">
        <v>49</v>
      </c>
    </row>
    <row r="282" spans="1:13">
      <c r="A282" s="22">
        <v>2521238</v>
      </c>
      <c r="B282" s="23" t="s">
        <v>1303</v>
      </c>
      <c r="C282" s="22" t="s">
        <v>1304</v>
      </c>
      <c r="D282" s="22" t="s">
        <v>1305</v>
      </c>
      <c r="E282" s="23" t="s">
        <v>84</v>
      </c>
      <c r="F282" s="23" t="s">
        <v>92</v>
      </c>
      <c r="G282" s="23" t="s">
        <v>26</v>
      </c>
      <c r="H282" s="23" t="s">
        <v>1306</v>
      </c>
      <c r="I282" s="23" t="s">
        <v>1307</v>
      </c>
      <c r="J282" s="23">
        <v>3</v>
      </c>
      <c r="K282" s="23" t="s">
        <v>107</v>
      </c>
      <c r="L282" s="23" t="s">
        <v>16</v>
      </c>
      <c r="M282" s="24"/>
    </row>
    <row r="283" spans="1:13">
      <c r="A283" s="22">
        <v>2520938</v>
      </c>
      <c r="B283" s="23" t="s">
        <v>1308</v>
      </c>
      <c r="C283" s="22" t="s">
        <v>1309</v>
      </c>
      <c r="D283" s="22" t="s">
        <v>1310</v>
      </c>
      <c r="E283" s="23" t="s">
        <v>1311</v>
      </c>
      <c r="F283" s="23" t="s">
        <v>172</v>
      </c>
      <c r="G283" s="23" t="s">
        <v>26</v>
      </c>
      <c r="H283" s="23" t="s">
        <v>1312</v>
      </c>
      <c r="I283" s="23" t="s">
        <v>1313</v>
      </c>
      <c r="J283" s="23">
        <v>1</v>
      </c>
      <c r="K283" s="23" t="s">
        <v>19</v>
      </c>
      <c r="L283" s="23" t="s">
        <v>16</v>
      </c>
      <c r="M283" s="24"/>
    </row>
    <row r="284" spans="1:13">
      <c r="A284" s="19">
        <v>2555013</v>
      </c>
      <c r="B284" s="20" t="s">
        <v>1314</v>
      </c>
      <c r="C284" s="19" t="s">
        <v>1276</v>
      </c>
      <c r="D284" s="19" t="s">
        <v>1315</v>
      </c>
      <c r="E284" s="20" t="s">
        <v>127</v>
      </c>
      <c r="F284" s="20" t="s">
        <v>92</v>
      </c>
      <c r="G284" s="20" t="s">
        <v>26</v>
      </c>
      <c r="H284" s="20" t="s">
        <v>1316</v>
      </c>
      <c r="I284" s="20" t="s">
        <v>1317</v>
      </c>
      <c r="J284" s="20">
        <v>2</v>
      </c>
      <c r="K284" s="20" t="s">
        <v>107</v>
      </c>
      <c r="L284" s="20" t="s">
        <v>16</v>
      </c>
      <c r="M284" s="21"/>
    </row>
    <row r="285" spans="1:13">
      <c r="A285" s="22">
        <v>2512360</v>
      </c>
      <c r="B285" s="23" t="s">
        <v>1318</v>
      </c>
      <c r="C285" s="22" t="s">
        <v>1319</v>
      </c>
      <c r="D285" s="22" t="s">
        <v>1320</v>
      </c>
      <c r="E285" s="23" t="s">
        <v>127</v>
      </c>
      <c r="F285" s="23" t="s">
        <v>92</v>
      </c>
      <c r="G285" s="23" t="s">
        <v>26</v>
      </c>
      <c r="H285" s="23" t="s">
        <v>1321</v>
      </c>
      <c r="I285" s="23" t="s">
        <v>1322</v>
      </c>
      <c r="J285" s="33">
        <v>3</v>
      </c>
      <c r="K285" s="23" t="s">
        <v>19</v>
      </c>
      <c r="L285" s="23" t="s">
        <v>16</v>
      </c>
      <c r="M285" s="24" t="s">
        <v>1323</v>
      </c>
    </row>
    <row r="286" spans="1:13">
      <c r="A286" s="22">
        <v>2524519</v>
      </c>
      <c r="B286" s="23" t="s">
        <v>1324</v>
      </c>
      <c r="C286" s="22" t="s">
        <v>1325</v>
      </c>
      <c r="D286" s="22" t="s">
        <v>1326</v>
      </c>
      <c r="E286" s="23" t="s">
        <v>415</v>
      </c>
      <c r="F286" s="23" t="s">
        <v>92</v>
      </c>
      <c r="G286" s="23" t="s">
        <v>26</v>
      </c>
      <c r="H286" s="23" t="s">
        <v>1327</v>
      </c>
      <c r="I286" s="23" t="s">
        <v>1328</v>
      </c>
      <c r="J286" s="20">
        <v>4</v>
      </c>
      <c r="K286" s="23" t="s">
        <v>19</v>
      </c>
      <c r="L286" s="23" t="s">
        <v>18</v>
      </c>
      <c r="M286" s="24" t="s">
        <v>631</v>
      </c>
    </row>
    <row r="287" spans="1:13">
      <c r="A287" s="22">
        <v>2533013</v>
      </c>
      <c r="B287" s="23" t="s">
        <v>1329</v>
      </c>
      <c r="C287" s="22" t="s">
        <v>1276</v>
      </c>
      <c r="D287" s="22" t="s">
        <v>1315</v>
      </c>
      <c r="E287" s="23" t="s">
        <v>127</v>
      </c>
      <c r="F287" s="23" t="s">
        <v>92</v>
      </c>
      <c r="G287" s="23" t="s">
        <v>26</v>
      </c>
      <c r="H287" s="23" t="s">
        <v>1330</v>
      </c>
      <c r="I287" s="23" t="s">
        <v>1331</v>
      </c>
      <c r="J287" s="20">
        <v>2</v>
      </c>
      <c r="K287" s="23" t="s">
        <v>107</v>
      </c>
      <c r="L287" s="23" t="s">
        <v>16</v>
      </c>
      <c r="M287" s="24"/>
    </row>
    <row r="288" spans="1:13">
      <c r="A288" s="19">
        <v>2521075</v>
      </c>
      <c r="B288" s="20" t="s">
        <v>1332</v>
      </c>
      <c r="C288" s="19" t="s">
        <v>1333</v>
      </c>
      <c r="D288" s="19" t="s">
        <v>1334</v>
      </c>
      <c r="E288" s="20" t="s">
        <v>127</v>
      </c>
      <c r="F288" s="20" t="s">
        <v>92</v>
      </c>
      <c r="G288" s="20" t="s">
        <v>26</v>
      </c>
      <c r="H288" s="20" t="s">
        <v>1335</v>
      </c>
      <c r="I288" s="20" t="s">
        <v>1336</v>
      </c>
      <c r="J288" s="23">
        <v>3</v>
      </c>
      <c r="K288" s="20" t="s">
        <v>19</v>
      </c>
      <c r="L288" s="20" t="s">
        <v>16</v>
      </c>
      <c r="M288" s="21"/>
    </row>
    <row r="289" spans="1:13">
      <c r="A289" s="22">
        <v>2529571</v>
      </c>
      <c r="B289" s="23" t="s">
        <v>1337</v>
      </c>
      <c r="C289" s="22" t="s">
        <v>1338</v>
      </c>
      <c r="D289" s="22" t="s">
        <v>1339</v>
      </c>
      <c r="E289" s="23" t="s">
        <v>84</v>
      </c>
      <c r="F289" s="23" t="s">
        <v>92</v>
      </c>
      <c r="G289" s="23" t="s">
        <v>26</v>
      </c>
      <c r="H289" s="23" t="s">
        <v>1340</v>
      </c>
      <c r="I289" s="23" t="s">
        <v>1341</v>
      </c>
      <c r="J289" s="36" t="s">
        <v>34</v>
      </c>
      <c r="K289" s="23" t="s">
        <v>19</v>
      </c>
      <c r="L289" s="23" t="s">
        <v>16</v>
      </c>
      <c r="M289" s="24"/>
    </row>
    <row r="290" spans="1:13">
      <c r="A290" s="19">
        <v>2533007</v>
      </c>
      <c r="B290" s="20" t="s">
        <v>1342</v>
      </c>
      <c r="C290" s="19" t="s">
        <v>1343</v>
      </c>
      <c r="D290" s="19" t="s">
        <v>1344</v>
      </c>
      <c r="E290" s="20" t="s">
        <v>84</v>
      </c>
      <c r="F290" s="20" t="s">
        <v>92</v>
      </c>
      <c r="G290" s="20" t="s">
        <v>26</v>
      </c>
      <c r="H290" s="20" t="s">
        <v>1345</v>
      </c>
      <c r="I290" s="20" t="s">
        <v>1346</v>
      </c>
      <c r="J290" s="20">
        <v>2</v>
      </c>
      <c r="K290" s="20" t="s">
        <v>19</v>
      </c>
      <c r="L290" s="20" t="s">
        <v>16</v>
      </c>
      <c r="M290" s="21"/>
    </row>
    <row r="291" spans="1:13">
      <c r="A291" s="22">
        <v>2521222</v>
      </c>
      <c r="B291" s="23" t="s">
        <v>1347</v>
      </c>
      <c r="C291" s="22" t="s">
        <v>1348</v>
      </c>
      <c r="D291" s="22" t="s">
        <v>1349</v>
      </c>
      <c r="E291" s="23" t="s">
        <v>127</v>
      </c>
      <c r="F291" s="23" t="s">
        <v>92</v>
      </c>
      <c r="G291" s="23" t="s">
        <v>26</v>
      </c>
      <c r="H291" s="23" t="s">
        <v>1350</v>
      </c>
      <c r="I291" s="23" t="s">
        <v>1351</v>
      </c>
      <c r="J291" s="23">
        <v>1</v>
      </c>
      <c r="K291" s="23" t="s">
        <v>19</v>
      </c>
      <c r="L291" s="23" t="s">
        <v>16</v>
      </c>
      <c r="M291" s="24"/>
    </row>
    <row r="292" spans="1:13">
      <c r="A292" s="19">
        <v>2520944</v>
      </c>
      <c r="B292" s="20" t="s">
        <v>1352</v>
      </c>
      <c r="C292" s="19" t="s">
        <v>1353</v>
      </c>
      <c r="D292" s="19" t="s">
        <v>1354</v>
      </c>
      <c r="E292" s="20" t="s">
        <v>84</v>
      </c>
      <c r="F292" s="20" t="s">
        <v>92</v>
      </c>
      <c r="G292" s="20" t="s">
        <v>26</v>
      </c>
      <c r="H292" s="20" t="s">
        <v>1355</v>
      </c>
      <c r="I292" s="20" t="s">
        <v>1356</v>
      </c>
      <c r="J292" s="19">
        <v>3</v>
      </c>
      <c r="K292" s="20" t="s">
        <v>19</v>
      </c>
      <c r="L292" s="20" t="s">
        <v>16</v>
      </c>
      <c r="M292" s="24"/>
    </row>
    <row r="293" spans="1:13">
      <c r="A293" s="19">
        <v>2520944</v>
      </c>
      <c r="B293" s="20" t="s">
        <v>1352</v>
      </c>
      <c r="C293" s="19" t="s">
        <v>1353</v>
      </c>
      <c r="D293" s="19" t="s">
        <v>1354</v>
      </c>
      <c r="E293" s="20" t="s">
        <v>84</v>
      </c>
      <c r="F293" s="20" t="s">
        <v>92</v>
      </c>
      <c r="G293" s="20" t="s">
        <v>26</v>
      </c>
      <c r="H293" s="20" t="s">
        <v>1355</v>
      </c>
      <c r="I293" s="20" t="s">
        <v>1356</v>
      </c>
      <c r="J293" s="19">
        <v>3</v>
      </c>
      <c r="K293" s="20" t="s">
        <v>19</v>
      </c>
      <c r="L293" s="20" t="s">
        <v>16</v>
      </c>
      <c r="M293" s="24"/>
    </row>
    <row r="294" spans="1:13">
      <c r="A294" s="22">
        <v>2529530</v>
      </c>
      <c r="B294" s="23" t="s">
        <v>1357</v>
      </c>
      <c r="C294" s="22" t="s">
        <v>1358</v>
      </c>
      <c r="D294" s="22" t="s">
        <v>1359</v>
      </c>
      <c r="E294" s="23" t="s">
        <v>127</v>
      </c>
      <c r="F294" s="23" t="s">
        <v>92</v>
      </c>
      <c r="G294" s="23" t="s">
        <v>26</v>
      </c>
      <c r="H294" s="23" t="s">
        <v>1360</v>
      </c>
      <c r="I294" s="23" t="s">
        <v>1361</v>
      </c>
      <c r="J294" s="23">
        <v>1</v>
      </c>
      <c r="K294" s="23" t="s">
        <v>19</v>
      </c>
      <c r="L294" s="23" t="s">
        <v>16</v>
      </c>
      <c r="M294" s="24" t="s">
        <v>49</v>
      </c>
    </row>
    <row r="295" spans="1:13">
      <c r="A295" s="22">
        <v>2529572</v>
      </c>
      <c r="B295" s="23" t="s">
        <v>1362</v>
      </c>
      <c r="C295" s="22" t="s">
        <v>1363</v>
      </c>
      <c r="D295" s="22" t="s">
        <v>1364</v>
      </c>
      <c r="E295" s="23" t="s">
        <v>84</v>
      </c>
      <c r="F295" s="23" t="s">
        <v>92</v>
      </c>
      <c r="G295" s="23" t="s">
        <v>26</v>
      </c>
      <c r="H295" s="23" t="s">
        <v>1360</v>
      </c>
      <c r="I295" s="23" t="s">
        <v>1365</v>
      </c>
      <c r="J295" s="23">
        <v>3</v>
      </c>
      <c r="K295" s="23" t="s">
        <v>19</v>
      </c>
      <c r="L295" s="23" t="s">
        <v>16</v>
      </c>
      <c r="M295" s="24" t="s">
        <v>49</v>
      </c>
    </row>
    <row r="296" spans="1:13">
      <c r="A296" s="22">
        <v>2511260</v>
      </c>
      <c r="B296" s="23" t="s">
        <v>1366</v>
      </c>
      <c r="C296" s="22" t="s">
        <v>1367</v>
      </c>
      <c r="D296" s="22" t="s">
        <v>1368</v>
      </c>
      <c r="E296" s="23" t="s">
        <v>84</v>
      </c>
      <c r="F296" s="23" t="s">
        <v>92</v>
      </c>
      <c r="G296" s="23" t="s">
        <v>26</v>
      </c>
      <c r="H296" s="23" t="s">
        <v>1369</v>
      </c>
      <c r="I296" s="23" t="s">
        <v>1369</v>
      </c>
      <c r="J296" s="23">
        <v>1</v>
      </c>
      <c r="K296" s="23" t="s">
        <v>19</v>
      </c>
      <c r="L296" s="23" t="s">
        <v>16</v>
      </c>
      <c r="M296" s="24"/>
    </row>
    <row r="297" spans="1:13">
      <c r="A297" s="19">
        <v>2511296</v>
      </c>
      <c r="B297" s="20" t="s">
        <v>1370</v>
      </c>
      <c r="C297" s="19" t="s">
        <v>1371</v>
      </c>
      <c r="D297" s="19" t="s">
        <v>1372</v>
      </c>
      <c r="E297" s="20" t="s">
        <v>127</v>
      </c>
      <c r="F297" s="20" t="s">
        <v>92</v>
      </c>
      <c r="G297" s="20" t="s">
        <v>26</v>
      </c>
      <c r="H297" s="20" t="s">
        <v>1373</v>
      </c>
      <c r="I297" s="20" t="s">
        <v>1374</v>
      </c>
      <c r="J297" s="34" t="s">
        <v>34</v>
      </c>
      <c r="K297" s="20" t="s">
        <v>19</v>
      </c>
      <c r="L297" s="20" t="s">
        <v>16</v>
      </c>
      <c r="M297" s="21"/>
    </row>
    <row r="298" spans="1:13">
      <c r="A298" s="22">
        <v>2529510</v>
      </c>
      <c r="B298" s="23" t="s">
        <v>1375</v>
      </c>
      <c r="C298" s="22" t="s">
        <v>1376</v>
      </c>
      <c r="D298" s="22" t="s">
        <v>1377</v>
      </c>
      <c r="E298" s="23" t="s">
        <v>84</v>
      </c>
      <c r="F298" s="23" t="s">
        <v>92</v>
      </c>
      <c r="G298" s="23" t="s">
        <v>26</v>
      </c>
      <c r="H298" s="23" t="s">
        <v>1378</v>
      </c>
      <c r="I298" s="23" t="s">
        <v>1379</v>
      </c>
      <c r="J298" s="23">
        <v>1</v>
      </c>
      <c r="K298" s="23" t="s">
        <v>107</v>
      </c>
      <c r="L298" s="23" t="s">
        <v>16</v>
      </c>
      <c r="M298" s="24" t="s">
        <v>16</v>
      </c>
    </row>
    <row r="299" spans="1:13">
      <c r="A299" s="19">
        <v>2533008</v>
      </c>
      <c r="B299" s="20" t="s">
        <v>1380</v>
      </c>
      <c r="C299" s="19" t="s">
        <v>1381</v>
      </c>
      <c r="D299" s="19" t="s">
        <v>1382</v>
      </c>
      <c r="E299" s="20" t="s">
        <v>84</v>
      </c>
      <c r="F299" s="20" t="s">
        <v>92</v>
      </c>
      <c r="G299" s="20" t="s">
        <v>26</v>
      </c>
      <c r="H299" s="20" t="s">
        <v>1383</v>
      </c>
      <c r="I299" s="20" t="s">
        <v>1384</v>
      </c>
      <c r="J299" s="20">
        <v>2</v>
      </c>
      <c r="K299" s="20" t="s">
        <v>19</v>
      </c>
      <c r="L299" s="20" t="s">
        <v>16</v>
      </c>
      <c r="M299" s="21"/>
    </row>
    <row r="300" spans="1:13">
      <c r="A300" s="19">
        <v>2512315</v>
      </c>
      <c r="B300" s="20" t="s">
        <v>1385</v>
      </c>
      <c r="C300" s="19" t="s">
        <v>1386</v>
      </c>
      <c r="D300" s="19" t="s">
        <v>1387</v>
      </c>
      <c r="E300" s="20" t="s">
        <v>84</v>
      </c>
      <c r="F300" s="20" t="s">
        <v>92</v>
      </c>
      <c r="G300" s="20" t="s">
        <v>26</v>
      </c>
      <c r="H300" s="20" t="s">
        <v>1388</v>
      </c>
      <c r="I300" s="20" t="s">
        <v>1302</v>
      </c>
      <c r="J300" s="23">
        <v>1</v>
      </c>
      <c r="K300" s="20" t="s">
        <v>19</v>
      </c>
      <c r="L300" s="20" t="s">
        <v>16</v>
      </c>
      <c r="M300" s="21" t="s">
        <v>1389</v>
      </c>
    </row>
    <row r="301" spans="1:13">
      <c r="A301" s="22">
        <v>2532962</v>
      </c>
      <c r="B301" s="23" t="s">
        <v>1390</v>
      </c>
      <c r="C301" s="22" t="s">
        <v>1391</v>
      </c>
      <c r="D301" s="22" t="s">
        <v>1392</v>
      </c>
      <c r="E301" s="23" t="s">
        <v>84</v>
      </c>
      <c r="F301" s="23" t="s">
        <v>92</v>
      </c>
      <c r="G301" s="23" t="s">
        <v>26</v>
      </c>
      <c r="H301" s="23" t="s">
        <v>1393</v>
      </c>
      <c r="I301" s="23" t="s">
        <v>1394</v>
      </c>
      <c r="J301" s="20">
        <v>2</v>
      </c>
      <c r="K301" s="23" t="s">
        <v>19</v>
      </c>
      <c r="L301" s="23" t="s">
        <v>16</v>
      </c>
      <c r="M301" s="24"/>
    </row>
    <row r="302" spans="1:13">
      <c r="A302" s="19">
        <v>2521052</v>
      </c>
      <c r="B302" s="20" t="s">
        <v>1395</v>
      </c>
      <c r="C302" s="19" t="s">
        <v>1396</v>
      </c>
      <c r="D302" s="19" t="s">
        <v>1397</v>
      </c>
      <c r="E302" s="20" t="s">
        <v>84</v>
      </c>
      <c r="F302" s="20" t="s">
        <v>92</v>
      </c>
      <c r="G302" s="20" t="s">
        <v>26</v>
      </c>
      <c r="H302" s="20" t="s">
        <v>1398</v>
      </c>
      <c r="I302" s="20" t="s">
        <v>1302</v>
      </c>
      <c r="J302" s="23">
        <v>1</v>
      </c>
      <c r="K302" s="20" t="s">
        <v>19</v>
      </c>
      <c r="L302" s="20" t="s">
        <v>16</v>
      </c>
      <c r="M302" s="21"/>
    </row>
    <row r="303" spans="1:13">
      <c r="A303" s="19">
        <v>2520943</v>
      </c>
      <c r="B303" s="20" t="s">
        <v>1399</v>
      </c>
      <c r="C303" s="19" t="s">
        <v>1400</v>
      </c>
      <c r="D303" s="19" t="s">
        <v>1401</v>
      </c>
      <c r="E303" s="20" t="s">
        <v>84</v>
      </c>
      <c r="F303" s="20" t="s">
        <v>92</v>
      </c>
      <c r="G303" s="20" t="s">
        <v>26</v>
      </c>
      <c r="H303" s="20" t="s">
        <v>1398</v>
      </c>
      <c r="I303" s="20" t="s">
        <v>1302</v>
      </c>
      <c r="J303" s="20">
        <v>4</v>
      </c>
      <c r="K303" s="20" t="s">
        <v>19</v>
      </c>
      <c r="L303" s="20" t="s">
        <v>16</v>
      </c>
      <c r="M303" s="21"/>
    </row>
    <row r="304" spans="1:13">
      <c r="A304" s="19">
        <v>2521802</v>
      </c>
      <c r="B304" s="20" t="s">
        <v>1402</v>
      </c>
      <c r="C304" s="19" t="s">
        <v>1403</v>
      </c>
      <c r="D304" s="19" t="s">
        <v>1404</v>
      </c>
      <c r="E304" s="20" t="s">
        <v>84</v>
      </c>
      <c r="F304" s="20" t="s">
        <v>92</v>
      </c>
      <c r="G304" s="20" t="s">
        <v>26</v>
      </c>
      <c r="H304" s="20" t="s">
        <v>1302</v>
      </c>
      <c r="I304" s="20" t="s">
        <v>1302</v>
      </c>
      <c r="J304" s="23">
        <v>1</v>
      </c>
      <c r="K304" s="20" t="s">
        <v>19</v>
      </c>
      <c r="L304" s="20" t="s">
        <v>16</v>
      </c>
      <c r="M304" s="21"/>
    </row>
    <row r="305" spans="1:13">
      <c r="A305" s="22">
        <v>2521661</v>
      </c>
      <c r="B305" s="23" t="s">
        <v>1405</v>
      </c>
      <c r="C305" s="22" t="s">
        <v>1406</v>
      </c>
      <c r="D305" s="22" t="s">
        <v>1407</v>
      </c>
      <c r="E305" s="23" t="s">
        <v>384</v>
      </c>
      <c r="F305" s="23" t="s">
        <v>92</v>
      </c>
      <c r="G305" s="23" t="s">
        <v>26</v>
      </c>
      <c r="H305" s="23" t="s">
        <v>1302</v>
      </c>
      <c r="I305" s="23" t="s">
        <v>1302</v>
      </c>
      <c r="J305" s="23">
        <v>3</v>
      </c>
      <c r="K305" s="23" t="s">
        <v>19</v>
      </c>
      <c r="L305" s="23" t="s">
        <v>16</v>
      </c>
      <c r="M305" s="24"/>
    </row>
    <row r="306" spans="1:13">
      <c r="A306" s="19">
        <v>2521036</v>
      </c>
      <c r="B306" s="20" t="s">
        <v>1408</v>
      </c>
      <c r="C306" s="19" t="s">
        <v>1409</v>
      </c>
      <c r="D306" s="19" t="s">
        <v>1410</v>
      </c>
      <c r="E306" s="20" t="s">
        <v>84</v>
      </c>
      <c r="F306" s="20" t="s">
        <v>92</v>
      </c>
      <c r="G306" s="20" t="s">
        <v>26</v>
      </c>
      <c r="H306" s="20" t="s">
        <v>1411</v>
      </c>
      <c r="I306" s="20" t="s">
        <v>1411</v>
      </c>
      <c r="J306" s="20">
        <v>2</v>
      </c>
      <c r="K306" s="20" t="s">
        <v>19</v>
      </c>
      <c r="L306" s="20" t="s">
        <v>16</v>
      </c>
      <c r="M306" s="21" t="s">
        <v>16</v>
      </c>
    </row>
    <row r="307" spans="1:13">
      <c r="A307" s="19">
        <v>2521802</v>
      </c>
      <c r="B307" s="20" t="s">
        <v>1402</v>
      </c>
      <c r="C307" s="19" t="s">
        <v>1403</v>
      </c>
      <c r="D307" s="19" t="s">
        <v>1404</v>
      </c>
      <c r="E307" s="20" t="s">
        <v>84</v>
      </c>
      <c r="F307" s="20" t="s">
        <v>92</v>
      </c>
      <c r="G307" s="20" t="s">
        <v>26</v>
      </c>
      <c r="H307" s="20" t="s">
        <v>1412</v>
      </c>
      <c r="I307" s="20" t="s">
        <v>1302</v>
      </c>
      <c r="J307" s="23">
        <v>1</v>
      </c>
      <c r="K307" s="20" t="s">
        <v>19</v>
      </c>
      <c r="L307" s="20" t="s">
        <v>16</v>
      </c>
      <c r="M307" s="21"/>
    </row>
    <row r="308" spans="1:13">
      <c r="A308" s="19">
        <v>2521039</v>
      </c>
      <c r="B308" s="20" t="s">
        <v>1413</v>
      </c>
      <c r="C308" s="19" t="s">
        <v>1414</v>
      </c>
      <c r="D308" s="19" t="s">
        <v>1415</v>
      </c>
      <c r="E308" s="20" t="s">
        <v>84</v>
      </c>
      <c r="F308" s="20" t="s">
        <v>92</v>
      </c>
      <c r="G308" s="20" t="s">
        <v>26</v>
      </c>
      <c r="H308" s="20" t="s">
        <v>1416</v>
      </c>
      <c r="I308" s="20" t="s">
        <v>1302</v>
      </c>
      <c r="J308" s="23">
        <v>3</v>
      </c>
      <c r="K308" s="20" t="s">
        <v>19</v>
      </c>
      <c r="L308" s="20" t="s">
        <v>16</v>
      </c>
      <c r="M308" s="21"/>
    </row>
    <row r="309" spans="1:13">
      <c r="A309" s="22">
        <v>2520967</v>
      </c>
      <c r="B309" s="23" t="s">
        <v>1417</v>
      </c>
      <c r="C309" s="22" t="s">
        <v>1418</v>
      </c>
      <c r="D309" s="22" t="s">
        <v>1419</v>
      </c>
      <c r="E309" s="23" t="s">
        <v>127</v>
      </c>
      <c r="F309" s="23" t="s">
        <v>92</v>
      </c>
      <c r="G309" s="23" t="s">
        <v>26</v>
      </c>
      <c r="H309" s="23" t="s">
        <v>1420</v>
      </c>
      <c r="I309" s="23" t="s">
        <v>1421</v>
      </c>
      <c r="J309" s="20">
        <v>4</v>
      </c>
      <c r="K309" s="23" t="s">
        <v>107</v>
      </c>
      <c r="L309" s="23" t="s">
        <v>16</v>
      </c>
      <c r="M309" s="24"/>
    </row>
    <row r="310" spans="1:13">
      <c r="A310" s="22">
        <v>2531858</v>
      </c>
      <c r="B310" s="23" t="s">
        <v>1422</v>
      </c>
      <c r="C310" s="22" t="s">
        <v>1423</v>
      </c>
      <c r="D310" s="22" t="s">
        <v>1424</v>
      </c>
      <c r="E310" s="23" t="s">
        <v>84</v>
      </c>
      <c r="F310" s="23" t="s">
        <v>92</v>
      </c>
      <c r="G310" s="23" t="s">
        <v>26</v>
      </c>
      <c r="H310" s="23" t="s">
        <v>1425</v>
      </c>
      <c r="I310" s="23" t="s">
        <v>1426</v>
      </c>
      <c r="J310" s="23">
        <v>3</v>
      </c>
      <c r="K310" s="23" t="s">
        <v>19</v>
      </c>
      <c r="L310" s="23" t="s">
        <v>16</v>
      </c>
      <c r="M310" s="24"/>
    </row>
    <row r="311" spans="1:13">
      <c r="A311" s="19">
        <v>2520967</v>
      </c>
      <c r="B311" s="20" t="s">
        <v>1417</v>
      </c>
      <c r="C311" s="19" t="s">
        <v>1418</v>
      </c>
      <c r="D311" s="19" t="s">
        <v>1419</v>
      </c>
      <c r="E311" s="20" t="s">
        <v>127</v>
      </c>
      <c r="F311" s="20" t="s">
        <v>172</v>
      </c>
      <c r="G311" s="20" t="s">
        <v>26</v>
      </c>
      <c r="H311" s="20" t="s">
        <v>1427</v>
      </c>
      <c r="I311" s="20" t="s">
        <v>1428</v>
      </c>
      <c r="J311" s="20">
        <v>4</v>
      </c>
      <c r="K311" s="20" t="s">
        <v>107</v>
      </c>
      <c r="L311" s="20" t="s">
        <v>16</v>
      </c>
      <c r="M311" s="21"/>
    </row>
    <row r="312" spans="1:13">
      <c r="A312" s="19">
        <v>2521126</v>
      </c>
      <c r="B312" s="20" t="s">
        <v>1429</v>
      </c>
      <c r="C312" s="19" t="s">
        <v>1430</v>
      </c>
      <c r="D312" s="19" t="s">
        <v>1431</v>
      </c>
      <c r="E312" s="20" t="s">
        <v>84</v>
      </c>
      <c r="F312" s="20" t="s">
        <v>112</v>
      </c>
      <c r="G312" s="20" t="s">
        <v>26</v>
      </c>
      <c r="H312" s="20" t="s">
        <v>1432</v>
      </c>
      <c r="I312" s="20" t="s">
        <v>1433</v>
      </c>
      <c r="J312" s="23">
        <v>3</v>
      </c>
      <c r="K312" s="20" t="s">
        <v>19</v>
      </c>
      <c r="L312" s="20" t="s">
        <v>18</v>
      </c>
      <c r="M312" s="21"/>
    </row>
    <row r="313" spans="1:13">
      <c r="A313" s="19">
        <v>2529574</v>
      </c>
      <c r="B313" s="20" t="s">
        <v>1434</v>
      </c>
      <c r="C313" s="19" t="s">
        <v>1435</v>
      </c>
      <c r="D313" s="19" t="s">
        <v>1436</v>
      </c>
      <c r="E313" s="20" t="s">
        <v>84</v>
      </c>
      <c r="F313" s="20" t="s">
        <v>92</v>
      </c>
      <c r="G313" s="20" t="s">
        <v>26</v>
      </c>
      <c r="H313" s="20" t="s">
        <v>1432</v>
      </c>
      <c r="I313" s="20" t="s">
        <v>1437</v>
      </c>
      <c r="J313" s="34" t="s">
        <v>34</v>
      </c>
      <c r="K313" s="20" t="s">
        <v>107</v>
      </c>
      <c r="L313" s="20" t="s">
        <v>16</v>
      </c>
      <c r="M313" s="21"/>
    </row>
    <row r="314" spans="1:13">
      <c r="A314" s="22">
        <v>2521126</v>
      </c>
      <c r="B314" s="23" t="s">
        <v>1429</v>
      </c>
      <c r="C314" s="22" t="s">
        <v>1430</v>
      </c>
      <c r="D314" s="22" t="s">
        <v>1431</v>
      </c>
      <c r="E314" s="23" t="s">
        <v>84</v>
      </c>
      <c r="F314" s="23" t="s">
        <v>112</v>
      </c>
      <c r="G314" s="23" t="s">
        <v>26</v>
      </c>
      <c r="H314" s="23" t="s">
        <v>1438</v>
      </c>
      <c r="I314" s="23" t="s">
        <v>1439</v>
      </c>
      <c r="J314" s="23">
        <v>3</v>
      </c>
      <c r="K314" s="23" t="s">
        <v>19</v>
      </c>
      <c r="L314" s="23" t="s">
        <v>18</v>
      </c>
      <c r="M314" s="24"/>
    </row>
    <row r="315" spans="1:13">
      <c r="A315" s="22">
        <v>2531801</v>
      </c>
      <c r="B315" s="23" t="s">
        <v>1440</v>
      </c>
      <c r="C315" s="22" t="s">
        <v>1441</v>
      </c>
      <c r="D315" s="22" t="s">
        <v>1442</v>
      </c>
      <c r="E315" s="23" t="s">
        <v>84</v>
      </c>
      <c r="F315" s="23" t="s">
        <v>92</v>
      </c>
      <c r="G315" s="23" t="s">
        <v>26</v>
      </c>
      <c r="H315" s="23" t="s">
        <v>1443</v>
      </c>
      <c r="I315" s="23" t="s">
        <v>1444</v>
      </c>
      <c r="J315" s="23">
        <v>1</v>
      </c>
      <c r="K315" s="23" t="s">
        <v>19</v>
      </c>
      <c r="L315" s="23" t="s">
        <v>18</v>
      </c>
      <c r="M315" s="24"/>
    </row>
    <row r="316" spans="1:13">
      <c r="A316" s="19">
        <v>2524476</v>
      </c>
      <c r="B316" s="20" t="s">
        <v>1445</v>
      </c>
      <c r="C316" s="19" t="s">
        <v>1446</v>
      </c>
      <c r="D316" s="19" t="s">
        <v>1447</v>
      </c>
      <c r="E316" s="20" t="s">
        <v>127</v>
      </c>
      <c r="F316" s="20" t="s">
        <v>92</v>
      </c>
      <c r="G316" s="20" t="s">
        <v>26</v>
      </c>
      <c r="H316" s="20" t="s">
        <v>1448</v>
      </c>
      <c r="I316" s="20" t="s">
        <v>1449</v>
      </c>
      <c r="J316" s="23">
        <v>1</v>
      </c>
      <c r="K316" s="20" t="s">
        <v>19</v>
      </c>
      <c r="L316" s="20" t="s">
        <v>16</v>
      </c>
      <c r="M316" s="21"/>
    </row>
    <row r="317" spans="1:13">
      <c r="A317" s="22">
        <v>2521294</v>
      </c>
      <c r="B317" s="23" t="s">
        <v>1450</v>
      </c>
      <c r="C317" s="22" t="s">
        <v>1451</v>
      </c>
      <c r="D317" s="22" t="s">
        <v>1452</v>
      </c>
      <c r="E317" s="23" t="s">
        <v>84</v>
      </c>
      <c r="F317" s="23" t="s">
        <v>92</v>
      </c>
      <c r="G317" s="23" t="s">
        <v>26</v>
      </c>
      <c r="H317" s="23" t="s">
        <v>1453</v>
      </c>
      <c r="I317" s="23" t="s">
        <v>1454</v>
      </c>
      <c r="J317" s="23">
        <v>3</v>
      </c>
      <c r="K317" s="23" t="s">
        <v>19</v>
      </c>
      <c r="L317" s="23" t="s">
        <v>16</v>
      </c>
      <c r="M317" s="24"/>
    </row>
    <row r="318" spans="1:13">
      <c r="A318" s="19">
        <v>2521787</v>
      </c>
      <c r="B318" s="20" t="s">
        <v>1266</v>
      </c>
      <c r="C318" s="19" t="s">
        <v>1267</v>
      </c>
      <c r="D318" s="19" t="s">
        <v>1268</v>
      </c>
      <c r="E318" s="20" t="s">
        <v>84</v>
      </c>
      <c r="F318" s="20" t="s">
        <v>92</v>
      </c>
      <c r="G318" s="20" t="s">
        <v>26</v>
      </c>
      <c r="H318" s="20" t="s">
        <v>1455</v>
      </c>
      <c r="I318" s="20" t="s">
        <v>1456</v>
      </c>
      <c r="J318" s="23">
        <v>3</v>
      </c>
      <c r="K318" s="20" t="s">
        <v>107</v>
      </c>
      <c r="L318" s="20" t="s">
        <v>16</v>
      </c>
      <c r="M318" s="21"/>
    </row>
    <row r="319" spans="1:13">
      <c r="A319" s="19">
        <v>2521134</v>
      </c>
      <c r="B319" s="20" t="s">
        <v>1457</v>
      </c>
      <c r="C319" s="19" t="s">
        <v>1458</v>
      </c>
      <c r="D319" s="19" t="s">
        <v>1459</v>
      </c>
      <c r="E319" s="20" t="s">
        <v>84</v>
      </c>
      <c r="F319" s="20" t="s">
        <v>92</v>
      </c>
      <c r="G319" s="20" t="s">
        <v>26</v>
      </c>
      <c r="H319" s="20" t="s">
        <v>1460</v>
      </c>
      <c r="I319" s="20" t="s">
        <v>1461</v>
      </c>
      <c r="J319" s="23">
        <v>3</v>
      </c>
      <c r="K319" s="20" t="s">
        <v>19</v>
      </c>
      <c r="L319" s="20" t="s">
        <v>16</v>
      </c>
      <c r="M319" s="21" t="s">
        <v>16</v>
      </c>
    </row>
    <row r="320" spans="1:13">
      <c r="A320" s="19">
        <v>2519600</v>
      </c>
      <c r="B320" s="20" t="s">
        <v>1462</v>
      </c>
      <c r="C320" s="19" t="s">
        <v>1463</v>
      </c>
      <c r="D320" s="19" t="s">
        <v>1464</v>
      </c>
      <c r="E320" s="20" t="s">
        <v>84</v>
      </c>
      <c r="F320" s="20" t="s">
        <v>92</v>
      </c>
      <c r="G320" s="20" t="s">
        <v>26</v>
      </c>
      <c r="H320" s="20" t="s">
        <v>1465</v>
      </c>
      <c r="I320" s="20" t="s">
        <v>1466</v>
      </c>
      <c r="J320" s="23">
        <v>1</v>
      </c>
      <c r="K320" s="20" t="s">
        <v>19</v>
      </c>
      <c r="L320" s="20" t="s">
        <v>16</v>
      </c>
      <c r="M320" s="21"/>
    </row>
    <row r="321" spans="1:13">
      <c r="A321" s="22">
        <v>2521262</v>
      </c>
      <c r="B321" s="23" t="s">
        <v>1467</v>
      </c>
      <c r="C321" s="22" t="s">
        <v>1468</v>
      </c>
      <c r="D321" s="22" t="s">
        <v>1469</v>
      </c>
      <c r="E321" s="23" t="s">
        <v>127</v>
      </c>
      <c r="F321" s="23" t="s">
        <v>92</v>
      </c>
      <c r="G321" s="23" t="s">
        <v>26</v>
      </c>
      <c r="H321" s="23" t="s">
        <v>1470</v>
      </c>
      <c r="I321" s="23" t="s">
        <v>1471</v>
      </c>
      <c r="J321" s="20">
        <v>2</v>
      </c>
      <c r="K321" s="23" t="s">
        <v>19</v>
      </c>
      <c r="L321" s="23" t="s">
        <v>16</v>
      </c>
      <c r="M321" s="24"/>
    </row>
    <row r="322" spans="1:13">
      <c r="A322" s="19">
        <v>2512294</v>
      </c>
      <c r="B322" s="20" t="s">
        <v>1472</v>
      </c>
      <c r="C322" s="19" t="s">
        <v>1473</v>
      </c>
      <c r="D322" s="19" t="s">
        <v>1474</v>
      </c>
      <c r="E322" s="20" t="s">
        <v>84</v>
      </c>
      <c r="F322" s="20" t="s">
        <v>92</v>
      </c>
      <c r="G322" s="20" t="s">
        <v>26</v>
      </c>
      <c r="H322" s="20" t="s">
        <v>1475</v>
      </c>
      <c r="I322" s="20" t="s">
        <v>1476</v>
      </c>
      <c r="J322" s="34" t="s">
        <v>34</v>
      </c>
      <c r="K322" s="20" t="s">
        <v>19</v>
      </c>
      <c r="L322" s="20" t="s">
        <v>16</v>
      </c>
      <c r="M322" s="21" t="s">
        <v>330</v>
      </c>
    </row>
    <row r="323" spans="1:13">
      <c r="A323" s="19">
        <v>2512294</v>
      </c>
      <c r="B323" s="20" t="s">
        <v>1472</v>
      </c>
      <c r="C323" s="19" t="s">
        <v>1477</v>
      </c>
      <c r="D323" s="19" t="s">
        <v>1474</v>
      </c>
      <c r="E323" s="20" t="s">
        <v>84</v>
      </c>
      <c r="F323" s="20" t="s">
        <v>92</v>
      </c>
      <c r="G323" s="20" t="s">
        <v>26</v>
      </c>
      <c r="H323" s="20" t="s">
        <v>1478</v>
      </c>
      <c r="I323" s="20" t="s">
        <v>1476</v>
      </c>
      <c r="J323" s="34" t="s">
        <v>34</v>
      </c>
      <c r="K323" s="20" t="s">
        <v>19</v>
      </c>
      <c r="L323" s="20" t="s">
        <v>16</v>
      </c>
      <c r="M323" s="21" t="s">
        <v>49</v>
      </c>
    </row>
    <row r="324" spans="1:13">
      <c r="A324" s="22">
        <v>2531371</v>
      </c>
      <c r="B324" s="23" t="s">
        <v>1479</v>
      </c>
      <c r="C324" s="22" t="s">
        <v>1480</v>
      </c>
      <c r="D324" s="22" t="s">
        <v>1481</v>
      </c>
      <c r="E324" s="23" t="s">
        <v>127</v>
      </c>
      <c r="F324" s="23" t="s">
        <v>92</v>
      </c>
      <c r="G324" s="23" t="s">
        <v>26</v>
      </c>
      <c r="H324" s="23" t="s">
        <v>1482</v>
      </c>
      <c r="I324" s="23" t="s">
        <v>1483</v>
      </c>
      <c r="J324" s="23">
        <v>1</v>
      </c>
      <c r="K324" s="23" t="s">
        <v>19</v>
      </c>
      <c r="L324" s="23" t="s">
        <v>18</v>
      </c>
      <c r="M324" s="24"/>
    </row>
    <row r="325" spans="1:13">
      <c r="A325" s="19">
        <v>2512305</v>
      </c>
      <c r="B325" s="20" t="s">
        <v>1484</v>
      </c>
      <c r="C325" s="19" t="s">
        <v>1485</v>
      </c>
      <c r="D325" s="19" t="s">
        <v>1486</v>
      </c>
      <c r="E325" s="20" t="s">
        <v>84</v>
      </c>
      <c r="F325" s="20" t="s">
        <v>92</v>
      </c>
      <c r="G325" s="20" t="s">
        <v>26</v>
      </c>
      <c r="H325" s="20" t="s">
        <v>1487</v>
      </c>
      <c r="I325" s="20" t="s">
        <v>1488</v>
      </c>
      <c r="J325" s="33">
        <v>1</v>
      </c>
      <c r="K325" s="20" t="s">
        <v>19</v>
      </c>
      <c r="L325" s="20" t="s">
        <v>16</v>
      </c>
      <c r="M325" s="21"/>
    </row>
    <row r="326" spans="1:13">
      <c r="A326" s="22">
        <v>2521035</v>
      </c>
      <c r="B326" s="23" t="s">
        <v>1489</v>
      </c>
      <c r="C326" s="22" t="s">
        <v>1490</v>
      </c>
      <c r="D326" s="22" t="s">
        <v>1409</v>
      </c>
      <c r="E326" s="23" t="s">
        <v>127</v>
      </c>
      <c r="F326" s="23" t="s">
        <v>92</v>
      </c>
      <c r="G326" s="23" t="s">
        <v>26</v>
      </c>
      <c r="H326" s="23" t="s">
        <v>1491</v>
      </c>
      <c r="I326" s="23" t="s">
        <v>1492</v>
      </c>
      <c r="J326" s="23">
        <v>1</v>
      </c>
      <c r="K326" s="23" t="s">
        <v>107</v>
      </c>
      <c r="L326" s="23" t="s">
        <v>16</v>
      </c>
      <c r="M326" s="24"/>
    </row>
    <row r="327" spans="1:13">
      <c r="A327" s="19">
        <v>2524510</v>
      </c>
      <c r="B327" s="20" t="s">
        <v>1493</v>
      </c>
      <c r="C327" s="19" t="s">
        <v>1494</v>
      </c>
      <c r="D327" s="19" t="s">
        <v>1325</v>
      </c>
      <c r="E327" s="20" t="s">
        <v>415</v>
      </c>
      <c r="F327" s="20" t="s">
        <v>92</v>
      </c>
      <c r="G327" s="20" t="s">
        <v>26</v>
      </c>
      <c r="H327" s="20" t="s">
        <v>1495</v>
      </c>
      <c r="I327" s="20" t="s">
        <v>1496</v>
      </c>
      <c r="J327" s="20">
        <v>4</v>
      </c>
      <c r="K327" s="20" t="s">
        <v>107</v>
      </c>
      <c r="L327" s="20" t="s">
        <v>16</v>
      </c>
      <c r="M327" s="21" t="s">
        <v>49</v>
      </c>
    </row>
    <row r="328" spans="1:13">
      <c r="A328" s="19">
        <v>2529516</v>
      </c>
      <c r="B328" s="20" t="s">
        <v>1497</v>
      </c>
      <c r="C328" s="19" t="s">
        <v>1498</v>
      </c>
      <c r="D328" s="19" t="s">
        <v>1499</v>
      </c>
      <c r="E328" s="20" t="s">
        <v>84</v>
      </c>
      <c r="F328" s="20" t="s">
        <v>92</v>
      </c>
      <c r="G328" s="20" t="s">
        <v>26</v>
      </c>
      <c r="H328" s="20" t="s">
        <v>1500</v>
      </c>
      <c r="I328" s="20" t="s">
        <v>1501</v>
      </c>
      <c r="J328" s="23">
        <v>3</v>
      </c>
      <c r="K328" s="20" t="s">
        <v>19</v>
      </c>
      <c r="L328" s="20" t="s">
        <v>16</v>
      </c>
      <c r="M328" s="21"/>
    </row>
    <row r="329" spans="1:13">
      <c r="A329" s="19">
        <v>2519658</v>
      </c>
      <c r="B329" s="20" t="s">
        <v>1502</v>
      </c>
      <c r="C329" s="19" t="s">
        <v>1503</v>
      </c>
      <c r="D329" s="19" t="s">
        <v>1504</v>
      </c>
      <c r="E329" s="20" t="s">
        <v>415</v>
      </c>
      <c r="F329" s="20" t="s">
        <v>92</v>
      </c>
      <c r="G329" s="20" t="s">
        <v>26</v>
      </c>
      <c r="H329" s="20" t="s">
        <v>1505</v>
      </c>
      <c r="I329" s="20" t="s">
        <v>1506</v>
      </c>
      <c r="J329" s="34" t="s">
        <v>34</v>
      </c>
      <c r="K329" s="20" t="s">
        <v>19</v>
      </c>
      <c r="L329" s="20" t="s">
        <v>16</v>
      </c>
      <c r="M329" s="21" t="s">
        <v>1507</v>
      </c>
    </row>
    <row r="330" spans="1:13">
      <c r="A330" s="19">
        <v>2529607</v>
      </c>
      <c r="B330" s="20" t="s">
        <v>1508</v>
      </c>
      <c r="C330" s="19" t="s">
        <v>1509</v>
      </c>
      <c r="D330" s="19" t="s">
        <v>1510</v>
      </c>
      <c r="E330" s="20" t="s">
        <v>84</v>
      </c>
      <c r="F330" s="20" t="s">
        <v>92</v>
      </c>
      <c r="G330" s="20" t="s">
        <v>26</v>
      </c>
      <c r="H330" s="20" t="s">
        <v>1511</v>
      </c>
      <c r="I330" s="20" t="s">
        <v>1512</v>
      </c>
      <c r="J330" s="20">
        <v>1</v>
      </c>
      <c r="K330" s="20" t="s">
        <v>19</v>
      </c>
      <c r="L330" s="20" t="s">
        <v>16</v>
      </c>
      <c r="M330" s="21"/>
    </row>
    <row r="331" spans="1:13">
      <c r="A331" s="19">
        <v>2532999</v>
      </c>
      <c r="B331" s="20" t="s">
        <v>1513</v>
      </c>
      <c r="C331" s="19" t="s">
        <v>1514</v>
      </c>
      <c r="D331" s="19" t="s">
        <v>1515</v>
      </c>
      <c r="E331" s="20" t="s">
        <v>127</v>
      </c>
      <c r="F331" s="20" t="s">
        <v>92</v>
      </c>
      <c r="G331" s="20" t="s">
        <v>26</v>
      </c>
      <c r="H331" s="20" t="s">
        <v>1516</v>
      </c>
      <c r="I331" s="20" t="s">
        <v>1517</v>
      </c>
      <c r="J331" s="20">
        <v>2</v>
      </c>
      <c r="K331" s="20" t="s">
        <v>19</v>
      </c>
      <c r="L331" s="20" t="s">
        <v>16</v>
      </c>
      <c r="M331" s="21"/>
    </row>
    <row r="332" spans="1:13">
      <c r="A332" s="19">
        <v>2521716</v>
      </c>
      <c r="B332" s="20" t="s">
        <v>1518</v>
      </c>
      <c r="C332" s="19" t="s">
        <v>1519</v>
      </c>
      <c r="D332" s="19" t="s">
        <v>1520</v>
      </c>
      <c r="E332" s="20" t="s">
        <v>127</v>
      </c>
      <c r="F332" s="20" t="s">
        <v>92</v>
      </c>
      <c r="G332" s="20" t="s">
        <v>26</v>
      </c>
      <c r="H332" s="20" t="s">
        <v>1521</v>
      </c>
      <c r="I332" s="20" t="s">
        <v>1522</v>
      </c>
      <c r="J332" s="23">
        <v>1</v>
      </c>
      <c r="K332" s="20" t="s">
        <v>107</v>
      </c>
      <c r="L332" s="20" t="s">
        <v>16</v>
      </c>
      <c r="M332" s="21"/>
    </row>
    <row r="333" spans="1:13">
      <c r="A333" s="22">
        <v>2516825</v>
      </c>
      <c r="B333" s="23" t="s">
        <v>1523</v>
      </c>
      <c r="C333" s="22" t="s">
        <v>1524</v>
      </c>
      <c r="D333" s="22" t="s">
        <v>1525</v>
      </c>
      <c r="E333" s="23" t="s">
        <v>127</v>
      </c>
      <c r="F333" s="23" t="s">
        <v>92</v>
      </c>
      <c r="G333" s="23" t="s">
        <v>26</v>
      </c>
      <c r="H333" s="23" t="s">
        <v>1526</v>
      </c>
      <c r="I333" s="23" t="s">
        <v>1526</v>
      </c>
      <c r="J333" s="20">
        <v>4</v>
      </c>
      <c r="K333" s="23" t="s">
        <v>19</v>
      </c>
      <c r="L333" s="23" t="s">
        <v>16</v>
      </c>
      <c r="M333" s="24"/>
    </row>
    <row r="334" spans="1:13">
      <c r="A334" s="22">
        <v>2533222</v>
      </c>
      <c r="B334" s="23" t="s">
        <v>1527</v>
      </c>
      <c r="C334" s="22" t="s">
        <v>1528</v>
      </c>
      <c r="D334" s="22" t="s">
        <v>1529</v>
      </c>
      <c r="E334" s="23" t="s">
        <v>127</v>
      </c>
      <c r="F334" s="23" t="s">
        <v>92</v>
      </c>
      <c r="G334" s="23" t="s">
        <v>26</v>
      </c>
      <c r="H334" s="23" t="s">
        <v>1530</v>
      </c>
      <c r="I334" s="23" t="s">
        <v>1531</v>
      </c>
      <c r="J334" s="20">
        <v>2</v>
      </c>
      <c r="K334" s="23" t="s">
        <v>19</v>
      </c>
      <c r="L334" s="23" t="s">
        <v>16</v>
      </c>
      <c r="M334" s="24"/>
    </row>
    <row r="335" spans="1:13">
      <c r="A335" s="19">
        <v>2530175</v>
      </c>
      <c r="B335" s="20" t="s">
        <v>1532</v>
      </c>
      <c r="C335" s="19" t="s">
        <v>1533</v>
      </c>
      <c r="D335" s="19" t="s">
        <v>1534</v>
      </c>
      <c r="E335" s="20" t="s">
        <v>84</v>
      </c>
      <c r="F335" s="20" t="s">
        <v>85</v>
      </c>
      <c r="G335" s="20" t="s">
        <v>26</v>
      </c>
      <c r="H335" s="20" t="s">
        <v>1535</v>
      </c>
      <c r="I335" s="20" t="s">
        <v>1536</v>
      </c>
      <c r="J335" s="36" t="s">
        <v>34</v>
      </c>
      <c r="K335" s="20" t="s">
        <v>206</v>
      </c>
      <c r="L335" s="20" t="s">
        <v>18</v>
      </c>
      <c r="M335" s="24"/>
    </row>
    <row r="336" spans="1:13">
      <c r="A336" s="19">
        <v>2451729</v>
      </c>
      <c r="B336" s="20" t="s">
        <v>1537</v>
      </c>
      <c r="C336" s="19" t="s">
        <v>1538</v>
      </c>
      <c r="D336" s="19" t="s">
        <v>1539</v>
      </c>
      <c r="E336" s="20" t="s">
        <v>84</v>
      </c>
      <c r="F336" s="20" t="s">
        <v>112</v>
      </c>
      <c r="G336" s="20" t="s">
        <v>27</v>
      </c>
      <c r="H336" s="20" t="s">
        <v>1540</v>
      </c>
      <c r="I336" s="20" t="s">
        <v>1541</v>
      </c>
      <c r="J336" s="19" t="s">
        <v>1088</v>
      </c>
      <c r="K336" s="20" t="s">
        <v>107</v>
      </c>
      <c r="L336" s="20" t="s">
        <v>18</v>
      </c>
      <c r="M336" s="21" t="s">
        <v>222</v>
      </c>
    </row>
    <row r="337" spans="1:13">
      <c r="A337" s="22">
        <v>2533079</v>
      </c>
      <c r="B337" s="23" t="s">
        <v>1542</v>
      </c>
      <c r="C337" s="22" t="s">
        <v>1543</v>
      </c>
      <c r="D337" s="22" t="s">
        <v>1544</v>
      </c>
      <c r="E337" s="23" t="s">
        <v>127</v>
      </c>
      <c r="F337" s="23" t="s">
        <v>92</v>
      </c>
      <c r="G337" s="23" t="s">
        <v>26</v>
      </c>
      <c r="H337" s="23" t="s">
        <v>1545</v>
      </c>
      <c r="I337" s="23" t="s">
        <v>1546</v>
      </c>
      <c r="J337" s="20">
        <v>2</v>
      </c>
      <c r="K337" s="23" t="s">
        <v>107</v>
      </c>
      <c r="L337" s="23" t="s">
        <v>16</v>
      </c>
      <c r="M337" s="24"/>
    </row>
    <row r="338" spans="1:13">
      <c r="A338" s="22">
        <v>2516863</v>
      </c>
      <c r="B338" s="23" t="s">
        <v>1547</v>
      </c>
      <c r="C338" s="22" t="s">
        <v>1548</v>
      </c>
      <c r="D338" s="22" t="s">
        <v>1549</v>
      </c>
      <c r="E338" s="23" t="s">
        <v>84</v>
      </c>
      <c r="F338" s="23" t="s">
        <v>92</v>
      </c>
      <c r="G338" s="23" t="s">
        <v>26</v>
      </c>
      <c r="H338" s="23" t="s">
        <v>1550</v>
      </c>
      <c r="I338" s="23" t="s">
        <v>1551</v>
      </c>
      <c r="J338" s="23">
        <v>1</v>
      </c>
      <c r="K338" s="23" t="s">
        <v>107</v>
      </c>
      <c r="L338" s="23" t="s">
        <v>16</v>
      </c>
      <c r="M338" s="24"/>
    </row>
    <row r="339" spans="1:13">
      <c r="A339" s="22">
        <v>2524537</v>
      </c>
      <c r="B339" s="23" t="s">
        <v>1552</v>
      </c>
      <c r="C339" s="22" t="s">
        <v>1553</v>
      </c>
      <c r="D339" s="22" t="s">
        <v>1554</v>
      </c>
      <c r="E339" s="23" t="s">
        <v>127</v>
      </c>
      <c r="F339" s="23" t="s">
        <v>92</v>
      </c>
      <c r="G339" s="23" t="s">
        <v>26</v>
      </c>
      <c r="H339" s="23" t="s">
        <v>1555</v>
      </c>
      <c r="I339" s="23" t="s">
        <v>1556</v>
      </c>
      <c r="J339" s="20">
        <v>2</v>
      </c>
      <c r="K339" s="23" t="s">
        <v>107</v>
      </c>
      <c r="L339" s="23" t="s">
        <v>16</v>
      </c>
      <c r="M339" s="24"/>
    </row>
    <row r="340" spans="1:13">
      <c r="A340" s="22">
        <v>2516805</v>
      </c>
      <c r="B340" s="23" t="s">
        <v>1557</v>
      </c>
      <c r="C340" s="22" t="s">
        <v>1558</v>
      </c>
      <c r="D340" s="22" t="s">
        <v>1559</v>
      </c>
      <c r="E340" s="23" t="s">
        <v>84</v>
      </c>
      <c r="F340" s="23" t="s">
        <v>85</v>
      </c>
      <c r="G340" s="23" t="s">
        <v>26</v>
      </c>
      <c r="H340" s="23" t="s">
        <v>1560</v>
      </c>
      <c r="I340" s="23" t="s">
        <v>1560</v>
      </c>
      <c r="J340" s="23">
        <v>1</v>
      </c>
      <c r="K340" s="23" t="s">
        <v>107</v>
      </c>
      <c r="L340" s="23" t="s">
        <v>16</v>
      </c>
      <c r="M340" s="24" t="s">
        <v>1561</v>
      </c>
    </row>
    <row r="341" spans="1:13">
      <c r="A341" s="19">
        <v>2533044</v>
      </c>
      <c r="B341" s="20" t="s">
        <v>1562</v>
      </c>
      <c r="C341" s="19" t="s">
        <v>1563</v>
      </c>
      <c r="D341" s="19" t="s">
        <v>1564</v>
      </c>
      <c r="E341" s="20" t="s">
        <v>84</v>
      </c>
      <c r="F341" s="20" t="s">
        <v>92</v>
      </c>
      <c r="G341" s="20" t="s">
        <v>26</v>
      </c>
      <c r="H341" s="20" t="s">
        <v>1565</v>
      </c>
      <c r="I341" s="20" t="s">
        <v>1566</v>
      </c>
      <c r="J341" s="23">
        <v>1</v>
      </c>
      <c r="K341" s="20" t="s">
        <v>206</v>
      </c>
      <c r="L341" s="20" t="s">
        <v>18</v>
      </c>
      <c r="M341" s="21"/>
    </row>
    <row r="342" spans="1:13">
      <c r="A342" s="22">
        <v>2521766</v>
      </c>
      <c r="B342" s="23" t="s">
        <v>1567</v>
      </c>
      <c r="C342" s="22" t="s">
        <v>1568</v>
      </c>
      <c r="D342" s="22" t="s">
        <v>1569</v>
      </c>
      <c r="E342" s="23" t="s">
        <v>84</v>
      </c>
      <c r="F342" s="23" t="s">
        <v>92</v>
      </c>
      <c r="G342" s="23" t="s">
        <v>26</v>
      </c>
      <c r="H342" s="23" t="s">
        <v>1570</v>
      </c>
      <c r="I342" s="23" t="s">
        <v>1571</v>
      </c>
      <c r="J342" s="23">
        <v>1</v>
      </c>
      <c r="K342" s="23" t="s">
        <v>107</v>
      </c>
      <c r="L342" s="23" t="s">
        <v>16</v>
      </c>
      <c r="M342" s="24"/>
    </row>
    <row r="343" spans="1:13">
      <c r="A343" s="22">
        <v>2529575</v>
      </c>
      <c r="B343" s="23" t="s">
        <v>1572</v>
      </c>
      <c r="C343" s="22" t="s">
        <v>1573</v>
      </c>
      <c r="D343" s="22" t="s">
        <v>1574</v>
      </c>
      <c r="E343" s="23" t="s">
        <v>127</v>
      </c>
      <c r="F343" s="23" t="s">
        <v>85</v>
      </c>
      <c r="G343" s="23" t="s">
        <v>26</v>
      </c>
      <c r="H343" s="23" t="s">
        <v>1575</v>
      </c>
      <c r="I343" s="23" t="s">
        <v>1576</v>
      </c>
      <c r="J343" s="23">
        <v>1</v>
      </c>
      <c r="K343" s="23" t="s">
        <v>206</v>
      </c>
      <c r="L343" s="23" t="s">
        <v>16</v>
      </c>
      <c r="M343" s="24" t="s">
        <v>49</v>
      </c>
    </row>
    <row r="344" spans="1:13">
      <c r="A344" s="22">
        <v>2531379</v>
      </c>
      <c r="B344" s="23" t="s">
        <v>1577</v>
      </c>
      <c r="C344" s="22" t="s">
        <v>1578</v>
      </c>
      <c r="D344" s="22" t="s">
        <v>1579</v>
      </c>
      <c r="E344" s="23" t="s">
        <v>84</v>
      </c>
      <c r="F344" s="23" t="s">
        <v>92</v>
      </c>
      <c r="G344" s="23" t="s">
        <v>26</v>
      </c>
      <c r="H344" s="23" t="s">
        <v>1580</v>
      </c>
      <c r="I344" s="23" t="s">
        <v>1581</v>
      </c>
      <c r="J344" s="20">
        <v>2</v>
      </c>
      <c r="K344" s="23" t="s">
        <v>206</v>
      </c>
      <c r="L344" s="23" t="s">
        <v>16</v>
      </c>
      <c r="M344" s="24"/>
    </row>
    <row r="345" spans="1:13">
      <c r="A345" s="22">
        <v>2516772</v>
      </c>
      <c r="B345" s="23" t="s">
        <v>1582</v>
      </c>
      <c r="C345" s="22" t="s">
        <v>1583</v>
      </c>
      <c r="D345" s="22" t="s">
        <v>1584</v>
      </c>
      <c r="E345" s="23" t="s">
        <v>84</v>
      </c>
      <c r="F345" s="23" t="s">
        <v>112</v>
      </c>
      <c r="G345" s="23" t="s">
        <v>26</v>
      </c>
      <c r="H345" s="23" t="s">
        <v>1585</v>
      </c>
      <c r="I345" s="23" t="s">
        <v>1586</v>
      </c>
      <c r="J345" s="33">
        <v>1</v>
      </c>
      <c r="K345" s="23" t="s">
        <v>107</v>
      </c>
      <c r="L345" s="23" t="s">
        <v>16</v>
      </c>
      <c r="M345" s="24"/>
    </row>
    <row r="346" spans="1:13">
      <c r="A346" s="22">
        <v>2512317</v>
      </c>
      <c r="B346" s="23" t="s">
        <v>1587</v>
      </c>
      <c r="C346" s="22" t="s">
        <v>1588</v>
      </c>
      <c r="D346" s="22" t="s">
        <v>1589</v>
      </c>
      <c r="E346" s="23" t="s">
        <v>84</v>
      </c>
      <c r="F346" s="23" t="s">
        <v>85</v>
      </c>
      <c r="G346" s="23" t="s">
        <v>26</v>
      </c>
      <c r="H346" s="23" t="s">
        <v>1590</v>
      </c>
      <c r="I346" s="23" t="s">
        <v>1591</v>
      </c>
      <c r="J346" s="23">
        <v>1</v>
      </c>
      <c r="K346" s="23" t="s">
        <v>107</v>
      </c>
      <c r="L346" s="23" t="s">
        <v>16</v>
      </c>
      <c r="M346" s="24"/>
    </row>
    <row r="347" spans="1:13">
      <c r="A347" s="22">
        <v>2529539</v>
      </c>
      <c r="B347" s="23" t="s">
        <v>1592</v>
      </c>
      <c r="C347" s="22" t="s">
        <v>1593</v>
      </c>
      <c r="D347" s="22" t="s">
        <v>1594</v>
      </c>
      <c r="E347" s="23" t="s">
        <v>84</v>
      </c>
      <c r="F347" s="23" t="s">
        <v>112</v>
      </c>
      <c r="G347" s="23" t="s">
        <v>26</v>
      </c>
      <c r="H347" s="23" t="s">
        <v>1595</v>
      </c>
      <c r="I347" s="23" t="s">
        <v>1596</v>
      </c>
      <c r="J347" s="23">
        <v>1</v>
      </c>
      <c r="K347" s="23" t="s">
        <v>107</v>
      </c>
      <c r="L347" s="23" t="s">
        <v>18</v>
      </c>
      <c r="M347" s="24" t="s">
        <v>455</v>
      </c>
    </row>
    <row r="348" spans="1:13">
      <c r="A348" s="22">
        <v>2532945</v>
      </c>
      <c r="B348" s="23" t="s">
        <v>1597</v>
      </c>
      <c r="C348" s="22" t="s">
        <v>1598</v>
      </c>
      <c r="D348" s="22" t="s">
        <v>1599</v>
      </c>
      <c r="E348" s="23" t="s">
        <v>84</v>
      </c>
      <c r="F348" s="23" t="s">
        <v>92</v>
      </c>
      <c r="G348" s="23" t="s">
        <v>26</v>
      </c>
      <c r="H348" s="23" t="s">
        <v>1600</v>
      </c>
      <c r="I348" s="23" t="s">
        <v>1601</v>
      </c>
      <c r="J348" s="20">
        <v>2</v>
      </c>
      <c r="K348" s="23" t="s">
        <v>107</v>
      </c>
      <c r="L348" s="23" t="s">
        <v>16</v>
      </c>
      <c r="M348" s="24"/>
    </row>
    <row r="349" spans="1:13">
      <c r="A349" s="22">
        <v>2531395</v>
      </c>
      <c r="B349" s="23" t="s">
        <v>1602</v>
      </c>
      <c r="C349" s="22" t="s">
        <v>1603</v>
      </c>
      <c r="D349" s="22" t="s">
        <v>1604</v>
      </c>
      <c r="E349" s="23" t="s">
        <v>384</v>
      </c>
      <c r="F349" s="23" t="s">
        <v>112</v>
      </c>
      <c r="G349" s="23" t="s">
        <v>26</v>
      </c>
      <c r="H349" s="23" t="s">
        <v>1605</v>
      </c>
      <c r="I349" s="23" t="s">
        <v>1606</v>
      </c>
      <c r="J349" s="20">
        <v>2</v>
      </c>
      <c r="K349" s="23" t="s">
        <v>107</v>
      </c>
      <c r="L349" s="23" t="s">
        <v>18</v>
      </c>
      <c r="M349" s="24"/>
    </row>
    <row r="350" spans="1:13">
      <c r="A350" s="19">
        <v>2533593</v>
      </c>
      <c r="B350" s="20" t="s">
        <v>1607</v>
      </c>
      <c r="C350" s="19" t="s">
        <v>1608</v>
      </c>
      <c r="D350" s="19" t="s">
        <v>1609</v>
      </c>
      <c r="E350" s="20" t="s">
        <v>84</v>
      </c>
      <c r="F350" s="20" t="s">
        <v>112</v>
      </c>
      <c r="G350" s="20" t="s">
        <v>26</v>
      </c>
      <c r="H350" s="20" t="s">
        <v>1610</v>
      </c>
      <c r="I350" s="20" t="s">
        <v>1611</v>
      </c>
      <c r="J350" s="20">
        <v>2</v>
      </c>
      <c r="K350" s="20" t="s">
        <v>19</v>
      </c>
      <c r="L350" s="20" t="s">
        <v>16</v>
      </c>
      <c r="M350" s="21"/>
    </row>
    <row r="351" spans="1:13">
      <c r="A351" s="19">
        <v>2533593</v>
      </c>
      <c r="B351" s="20" t="s">
        <v>1607</v>
      </c>
      <c r="C351" s="19" t="s">
        <v>1608</v>
      </c>
      <c r="D351" s="19" t="s">
        <v>1609</v>
      </c>
      <c r="E351" s="20" t="s">
        <v>84</v>
      </c>
      <c r="F351" s="20" t="s">
        <v>112</v>
      </c>
      <c r="G351" s="20" t="s">
        <v>26</v>
      </c>
      <c r="H351" s="20" t="s">
        <v>1610</v>
      </c>
      <c r="I351" s="20" t="s">
        <v>1612</v>
      </c>
      <c r="J351" s="20">
        <v>2</v>
      </c>
      <c r="K351" s="20" t="s">
        <v>19</v>
      </c>
      <c r="L351" s="20" t="s">
        <v>16</v>
      </c>
      <c r="M351" s="21"/>
    </row>
    <row r="352" spans="1:13">
      <c r="A352" s="19">
        <v>2533079</v>
      </c>
      <c r="B352" s="20" t="s">
        <v>1542</v>
      </c>
      <c r="C352" s="19" t="s">
        <v>1543</v>
      </c>
      <c r="D352" s="19" t="s">
        <v>1544</v>
      </c>
      <c r="E352" s="20" t="s">
        <v>127</v>
      </c>
      <c r="F352" s="20" t="s">
        <v>92</v>
      </c>
      <c r="G352" s="20" t="s">
        <v>26</v>
      </c>
      <c r="H352" s="20" t="s">
        <v>1613</v>
      </c>
      <c r="I352" s="20" t="s">
        <v>1614</v>
      </c>
      <c r="J352" s="20">
        <v>2</v>
      </c>
      <c r="K352" s="20" t="s">
        <v>107</v>
      </c>
      <c r="L352" s="20" t="s">
        <v>16</v>
      </c>
      <c r="M352" s="21"/>
    </row>
    <row r="353" spans="1:13">
      <c r="A353" s="19">
        <v>2532994</v>
      </c>
      <c r="B353" s="20" t="s">
        <v>1615</v>
      </c>
      <c r="C353" s="19" t="s">
        <v>1616</v>
      </c>
      <c r="D353" s="19" t="s">
        <v>1617</v>
      </c>
      <c r="E353" s="20" t="s">
        <v>84</v>
      </c>
      <c r="F353" s="20" t="s">
        <v>92</v>
      </c>
      <c r="G353" s="20" t="s">
        <v>26</v>
      </c>
      <c r="H353" s="20" t="s">
        <v>1618</v>
      </c>
      <c r="I353" s="20" t="s">
        <v>1619</v>
      </c>
      <c r="J353" s="20">
        <v>2</v>
      </c>
      <c r="K353" s="20" t="s">
        <v>107</v>
      </c>
      <c r="L353" s="20" t="s">
        <v>16</v>
      </c>
      <c r="M353" s="21"/>
    </row>
    <row r="354" spans="1:13">
      <c r="A354" s="19">
        <v>2533036</v>
      </c>
      <c r="B354" s="20" t="s">
        <v>1620</v>
      </c>
      <c r="C354" s="19" t="s">
        <v>1621</v>
      </c>
      <c r="D354" s="19" t="s">
        <v>1622</v>
      </c>
      <c r="E354" s="20" t="s">
        <v>84</v>
      </c>
      <c r="F354" s="20" t="s">
        <v>92</v>
      </c>
      <c r="G354" s="20" t="s">
        <v>26</v>
      </c>
      <c r="H354" s="20" t="s">
        <v>1623</v>
      </c>
      <c r="I354" s="20" t="s">
        <v>1624</v>
      </c>
      <c r="J354" s="23">
        <v>1</v>
      </c>
      <c r="K354" s="20" t="s">
        <v>107</v>
      </c>
      <c r="L354" s="20" t="s">
        <v>16</v>
      </c>
      <c r="M354" s="21"/>
    </row>
    <row r="355" spans="1:13">
      <c r="A355" s="22">
        <v>2533036</v>
      </c>
      <c r="B355" s="23" t="s">
        <v>1620</v>
      </c>
      <c r="C355" s="22" t="s">
        <v>1621</v>
      </c>
      <c r="D355" s="22" t="s">
        <v>1622</v>
      </c>
      <c r="E355" s="23" t="s">
        <v>84</v>
      </c>
      <c r="F355" s="23" t="s">
        <v>85</v>
      </c>
      <c r="G355" s="23" t="s">
        <v>26</v>
      </c>
      <c r="H355" s="23" t="s">
        <v>1625</v>
      </c>
      <c r="I355" s="23" t="s">
        <v>1626</v>
      </c>
      <c r="J355" s="23">
        <v>1</v>
      </c>
      <c r="K355" s="23" t="s">
        <v>107</v>
      </c>
      <c r="L355" s="23" t="s">
        <v>16</v>
      </c>
      <c r="M355" s="24"/>
    </row>
    <row r="356" spans="1:13">
      <c r="A356" s="19">
        <v>2524521</v>
      </c>
      <c r="B356" s="20" t="s">
        <v>1627</v>
      </c>
      <c r="C356" s="19" t="s">
        <v>1628</v>
      </c>
      <c r="D356" s="19" t="s">
        <v>1629</v>
      </c>
      <c r="E356" s="20" t="s">
        <v>127</v>
      </c>
      <c r="F356" s="20" t="s">
        <v>85</v>
      </c>
      <c r="G356" s="20" t="s">
        <v>26</v>
      </c>
      <c r="H356" s="20" t="s">
        <v>1630</v>
      </c>
      <c r="I356" s="20" t="s">
        <v>1630</v>
      </c>
      <c r="J356" s="20">
        <v>2</v>
      </c>
      <c r="K356" s="20" t="s">
        <v>17</v>
      </c>
      <c r="L356" s="20" t="s">
        <v>18</v>
      </c>
      <c r="M356" s="21"/>
    </row>
    <row r="357" spans="1:13">
      <c r="A357" s="22">
        <v>2512300</v>
      </c>
      <c r="B357" s="23" t="s">
        <v>1631</v>
      </c>
      <c r="C357" s="22" t="s">
        <v>1632</v>
      </c>
      <c r="D357" s="22" t="s">
        <v>1633</v>
      </c>
      <c r="E357" s="23" t="s">
        <v>127</v>
      </c>
      <c r="F357" s="23" t="s">
        <v>112</v>
      </c>
      <c r="G357" s="23" t="s">
        <v>26</v>
      </c>
      <c r="H357" s="23" t="s">
        <v>1634</v>
      </c>
      <c r="I357" s="23" t="s">
        <v>1635</v>
      </c>
      <c r="J357" s="23">
        <v>1</v>
      </c>
      <c r="K357" s="23" t="s">
        <v>107</v>
      </c>
      <c r="L357" s="23" t="s">
        <v>16</v>
      </c>
      <c r="M357" s="24"/>
    </row>
    <row r="358" spans="1:13">
      <c r="A358" s="19">
        <v>2521277</v>
      </c>
      <c r="B358" s="20" t="s">
        <v>1636</v>
      </c>
      <c r="C358" s="19" t="s">
        <v>1637</v>
      </c>
      <c r="D358" s="19" t="s">
        <v>1638</v>
      </c>
      <c r="E358" s="20" t="s">
        <v>84</v>
      </c>
      <c r="F358" s="20" t="s">
        <v>85</v>
      </c>
      <c r="G358" s="20" t="s">
        <v>26</v>
      </c>
      <c r="H358" s="20" t="s">
        <v>1639</v>
      </c>
      <c r="I358" s="20" t="s">
        <v>1640</v>
      </c>
      <c r="J358" s="23">
        <v>1</v>
      </c>
      <c r="K358" s="20" t="s">
        <v>1089</v>
      </c>
      <c r="L358" s="20" t="s">
        <v>16</v>
      </c>
      <c r="M358" s="21"/>
    </row>
    <row r="359" spans="1:13">
      <c r="A359" s="22">
        <v>2529792</v>
      </c>
      <c r="B359" s="23" t="s">
        <v>1641</v>
      </c>
      <c r="C359" s="22" t="s">
        <v>1642</v>
      </c>
      <c r="D359" s="22" t="s">
        <v>1643</v>
      </c>
      <c r="E359" s="23" t="s">
        <v>219</v>
      </c>
      <c r="F359" s="23" t="s">
        <v>92</v>
      </c>
      <c r="G359" s="23" t="s">
        <v>24</v>
      </c>
      <c r="H359" s="23" t="s">
        <v>107</v>
      </c>
      <c r="I359" s="23" t="s">
        <v>107</v>
      </c>
      <c r="J359" s="20">
        <v>4</v>
      </c>
      <c r="K359" s="23" t="s">
        <v>19</v>
      </c>
      <c r="L359" s="23" t="s">
        <v>18</v>
      </c>
      <c r="M359" s="24"/>
    </row>
    <row r="360" spans="1:13">
      <c r="A360" s="22">
        <v>2520949</v>
      </c>
      <c r="B360" s="23" t="s">
        <v>1644</v>
      </c>
      <c r="C360" s="22" t="s">
        <v>1645</v>
      </c>
      <c r="D360" s="22" t="s">
        <v>1646</v>
      </c>
      <c r="E360" s="23" t="s">
        <v>84</v>
      </c>
      <c r="F360" s="23" t="s">
        <v>85</v>
      </c>
      <c r="G360" s="23" t="s">
        <v>26</v>
      </c>
      <c r="H360" s="23" t="s">
        <v>1647</v>
      </c>
      <c r="I360" s="23" t="s">
        <v>1648</v>
      </c>
      <c r="J360" s="23">
        <v>1</v>
      </c>
      <c r="K360" s="23" t="s">
        <v>107</v>
      </c>
      <c r="L360" s="23" t="s">
        <v>16</v>
      </c>
      <c r="M360" s="24"/>
    </row>
    <row r="361" spans="1:13">
      <c r="A361" s="19">
        <v>2520954</v>
      </c>
      <c r="B361" s="20" t="s">
        <v>1649</v>
      </c>
      <c r="C361" s="19" t="s">
        <v>1650</v>
      </c>
      <c r="D361" s="19" t="s">
        <v>1651</v>
      </c>
      <c r="E361" s="20" t="s">
        <v>84</v>
      </c>
      <c r="F361" s="20" t="s">
        <v>112</v>
      </c>
      <c r="G361" s="20" t="s">
        <v>26</v>
      </c>
      <c r="H361" s="20" t="s">
        <v>1652</v>
      </c>
      <c r="I361" s="20" t="s">
        <v>1653</v>
      </c>
      <c r="J361" s="20">
        <v>4</v>
      </c>
      <c r="K361" s="20" t="s">
        <v>107</v>
      </c>
      <c r="L361" s="20" t="s">
        <v>16</v>
      </c>
      <c r="M361" s="21"/>
    </row>
    <row r="362" spans="1:13">
      <c r="A362" s="22">
        <v>2521072</v>
      </c>
      <c r="B362" s="23" t="s">
        <v>1654</v>
      </c>
      <c r="C362" s="22" t="s">
        <v>1655</v>
      </c>
      <c r="D362" s="22" t="s">
        <v>1656</v>
      </c>
      <c r="E362" s="23" t="s">
        <v>84</v>
      </c>
      <c r="F362" s="23" t="s">
        <v>112</v>
      </c>
      <c r="G362" s="23" t="s">
        <v>26</v>
      </c>
      <c r="H362" s="23" t="s">
        <v>1657</v>
      </c>
      <c r="I362" s="23" t="s">
        <v>1657</v>
      </c>
      <c r="J362" s="23">
        <v>1</v>
      </c>
      <c r="K362" s="23" t="s">
        <v>107</v>
      </c>
      <c r="L362" s="23" t="s">
        <v>16</v>
      </c>
      <c r="M362" s="24"/>
    </row>
    <row r="363" spans="1:13">
      <c r="A363" s="22">
        <v>2522855</v>
      </c>
      <c r="B363" s="23" t="s">
        <v>1658</v>
      </c>
      <c r="C363" s="22" t="s">
        <v>1659</v>
      </c>
      <c r="D363" s="22" t="s">
        <v>1660</v>
      </c>
      <c r="E363" s="23" t="s">
        <v>127</v>
      </c>
      <c r="F363" s="23" t="s">
        <v>112</v>
      </c>
      <c r="G363" s="23" t="s">
        <v>26</v>
      </c>
      <c r="H363" s="23" t="s">
        <v>1661</v>
      </c>
      <c r="I363" s="23" t="s">
        <v>1662</v>
      </c>
      <c r="J363" s="20">
        <v>2</v>
      </c>
      <c r="K363" s="23" t="s">
        <v>19</v>
      </c>
      <c r="L363" s="23" t="s">
        <v>16</v>
      </c>
      <c r="M363" s="24"/>
    </row>
    <row r="364" spans="1:13">
      <c r="A364" s="19">
        <v>2523422</v>
      </c>
      <c r="B364" s="20" t="s">
        <v>1663</v>
      </c>
      <c r="C364" s="19" t="s">
        <v>1664</v>
      </c>
      <c r="D364" s="19" t="s">
        <v>1665</v>
      </c>
      <c r="E364" s="20" t="s">
        <v>415</v>
      </c>
      <c r="F364" s="20" t="s">
        <v>112</v>
      </c>
      <c r="G364" s="20" t="s">
        <v>26</v>
      </c>
      <c r="H364" s="20" t="s">
        <v>1666</v>
      </c>
      <c r="I364" s="20" t="s">
        <v>1667</v>
      </c>
      <c r="J364" s="20">
        <v>2</v>
      </c>
      <c r="K364" s="20" t="s">
        <v>1668</v>
      </c>
      <c r="L364" s="20" t="s">
        <v>18</v>
      </c>
      <c r="M364" s="21"/>
    </row>
    <row r="365" spans="1:13">
      <c r="A365" s="22">
        <v>2519833</v>
      </c>
      <c r="B365" s="23" t="s">
        <v>1669</v>
      </c>
      <c r="C365" s="22" t="s">
        <v>1670</v>
      </c>
      <c r="D365" s="22" t="s">
        <v>1671</v>
      </c>
      <c r="E365" s="23" t="s">
        <v>84</v>
      </c>
      <c r="F365" s="23" t="s">
        <v>85</v>
      </c>
      <c r="G365" s="23" t="s">
        <v>27</v>
      </c>
      <c r="H365" s="23" t="s">
        <v>1672</v>
      </c>
      <c r="I365" s="23" t="s">
        <v>1673</v>
      </c>
      <c r="J365" s="20">
        <v>10</v>
      </c>
      <c r="K365" s="23" t="s">
        <v>1674</v>
      </c>
      <c r="L365" s="23" t="s">
        <v>18</v>
      </c>
      <c r="M365" s="24"/>
    </row>
    <row r="366" spans="1:13">
      <c r="A366" s="19">
        <v>2531867</v>
      </c>
      <c r="B366" s="20" t="s">
        <v>1675</v>
      </c>
      <c r="C366" s="19" t="s">
        <v>1676</v>
      </c>
      <c r="D366" s="19" t="s">
        <v>1677</v>
      </c>
      <c r="E366" s="20" t="s">
        <v>84</v>
      </c>
      <c r="F366" s="20" t="s">
        <v>85</v>
      </c>
      <c r="G366" s="20" t="s">
        <v>26</v>
      </c>
      <c r="H366" s="20" t="s">
        <v>1678</v>
      </c>
      <c r="I366" s="20" t="s">
        <v>1679</v>
      </c>
      <c r="J366" s="23">
        <v>1</v>
      </c>
      <c r="K366" s="20" t="s">
        <v>206</v>
      </c>
      <c r="L366" s="20" t="s">
        <v>16</v>
      </c>
      <c r="M366" s="21" t="s">
        <v>1680</v>
      </c>
    </row>
    <row r="367" spans="1:13">
      <c r="A367" s="22">
        <v>2511278</v>
      </c>
      <c r="B367" s="23" t="s">
        <v>1681</v>
      </c>
      <c r="C367" s="22" t="s">
        <v>1682</v>
      </c>
      <c r="D367" s="22" t="s">
        <v>1683</v>
      </c>
      <c r="E367" s="23" t="s">
        <v>384</v>
      </c>
      <c r="F367" s="23" t="s">
        <v>112</v>
      </c>
      <c r="G367" s="23" t="s">
        <v>25</v>
      </c>
      <c r="H367" s="23" t="s">
        <v>1684</v>
      </c>
      <c r="I367" s="23" t="s">
        <v>1685</v>
      </c>
      <c r="J367" s="23">
        <v>1</v>
      </c>
      <c r="K367" s="23" t="s">
        <v>1686</v>
      </c>
      <c r="L367" s="23" t="s">
        <v>16</v>
      </c>
      <c r="M367" s="24" t="s">
        <v>330</v>
      </c>
    </row>
    <row r="368" spans="1:13">
      <c r="A368" s="22">
        <v>2521823</v>
      </c>
      <c r="B368" s="23" t="s">
        <v>1687</v>
      </c>
      <c r="C368" s="22" t="s">
        <v>1688</v>
      </c>
      <c r="D368" s="22" t="s">
        <v>1689</v>
      </c>
      <c r="E368" s="23" t="s">
        <v>415</v>
      </c>
      <c r="F368" s="23" t="s">
        <v>112</v>
      </c>
      <c r="G368" s="23" t="s">
        <v>26</v>
      </c>
      <c r="H368" s="23" t="s">
        <v>1690</v>
      </c>
      <c r="I368" s="23" t="s">
        <v>1691</v>
      </c>
      <c r="J368" s="20">
        <v>4</v>
      </c>
      <c r="K368" s="23" t="s">
        <v>206</v>
      </c>
      <c r="L368" s="23" t="s">
        <v>18</v>
      </c>
      <c r="M368" s="24" t="s">
        <v>38</v>
      </c>
    </row>
    <row r="369" spans="1:13">
      <c r="A369" s="22">
        <v>2533063</v>
      </c>
      <c r="B369" s="23" t="s">
        <v>1692</v>
      </c>
      <c r="C369" s="22" t="s">
        <v>1693</v>
      </c>
      <c r="D369" s="22" t="s">
        <v>1694</v>
      </c>
      <c r="E369" s="23" t="s">
        <v>84</v>
      </c>
      <c r="F369" s="23" t="s">
        <v>172</v>
      </c>
      <c r="G369" s="23" t="s">
        <v>26</v>
      </c>
      <c r="H369" s="23" t="s">
        <v>1695</v>
      </c>
      <c r="I369" s="23" t="s">
        <v>1696</v>
      </c>
      <c r="J369" s="20">
        <v>2</v>
      </c>
      <c r="K369" s="23" t="s">
        <v>1697</v>
      </c>
      <c r="L369" s="23" t="s">
        <v>16</v>
      </c>
      <c r="M369" s="24"/>
    </row>
    <row r="370" spans="1:13">
      <c r="A370" s="19">
        <v>2524535</v>
      </c>
      <c r="B370" s="20" t="s">
        <v>1698</v>
      </c>
      <c r="C370" s="19" t="s">
        <v>1699</v>
      </c>
      <c r="D370" s="19" t="s">
        <v>1700</v>
      </c>
      <c r="E370" s="20" t="s">
        <v>127</v>
      </c>
      <c r="F370" s="20" t="s">
        <v>92</v>
      </c>
      <c r="G370" s="20" t="s">
        <v>26</v>
      </c>
      <c r="H370" s="20" t="s">
        <v>1695</v>
      </c>
      <c r="I370" s="20" t="s">
        <v>1701</v>
      </c>
      <c r="J370" s="20">
        <v>2</v>
      </c>
      <c r="K370" s="20" t="s">
        <v>19</v>
      </c>
      <c r="L370" s="20" t="s">
        <v>16</v>
      </c>
      <c r="M370" s="21"/>
    </row>
    <row r="371" spans="1:13">
      <c r="A371" s="22">
        <v>2529721</v>
      </c>
      <c r="B371" s="23" t="s">
        <v>1702</v>
      </c>
      <c r="C371" s="22" t="s">
        <v>1703</v>
      </c>
      <c r="D371" s="22" t="s">
        <v>1704</v>
      </c>
      <c r="E371" s="23" t="s">
        <v>84</v>
      </c>
      <c r="F371" s="23" t="s">
        <v>92</v>
      </c>
      <c r="G371" s="23" t="s">
        <v>26</v>
      </c>
      <c r="H371" s="23" t="s">
        <v>1695</v>
      </c>
      <c r="I371" s="23" t="s">
        <v>1705</v>
      </c>
      <c r="J371" s="20">
        <v>2</v>
      </c>
      <c r="K371" s="23" t="s">
        <v>19</v>
      </c>
      <c r="L371" s="23" t="s">
        <v>16</v>
      </c>
      <c r="M371" s="24"/>
    </row>
    <row r="372" spans="1:13">
      <c r="A372" s="19">
        <v>2529544</v>
      </c>
      <c r="B372" s="20" t="s">
        <v>1706</v>
      </c>
      <c r="C372" s="19" t="s">
        <v>1707</v>
      </c>
      <c r="D372" s="19" t="s">
        <v>1708</v>
      </c>
      <c r="E372" s="20" t="s">
        <v>127</v>
      </c>
      <c r="F372" s="20" t="s">
        <v>92</v>
      </c>
      <c r="G372" s="20" t="s">
        <v>26</v>
      </c>
      <c r="H372" s="20" t="s">
        <v>1695</v>
      </c>
      <c r="I372" s="20" t="s">
        <v>1709</v>
      </c>
      <c r="J372" s="20">
        <v>2</v>
      </c>
      <c r="K372" s="20" t="s">
        <v>19</v>
      </c>
      <c r="L372" s="20" t="s">
        <v>16</v>
      </c>
      <c r="M372" s="21"/>
    </row>
    <row r="373" spans="1:13">
      <c r="A373" s="22">
        <v>2533077</v>
      </c>
      <c r="B373" s="23" t="s">
        <v>1710</v>
      </c>
      <c r="C373" s="22" t="s">
        <v>1711</v>
      </c>
      <c r="D373" s="22" t="s">
        <v>1712</v>
      </c>
      <c r="E373" s="23" t="s">
        <v>84</v>
      </c>
      <c r="F373" s="23" t="s">
        <v>172</v>
      </c>
      <c r="G373" s="23" t="s">
        <v>26</v>
      </c>
      <c r="H373" s="23" t="s">
        <v>1695</v>
      </c>
      <c r="I373" s="23" t="s">
        <v>1713</v>
      </c>
      <c r="J373" s="23">
        <v>3</v>
      </c>
      <c r="K373" s="23" t="s">
        <v>19</v>
      </c>
      <c r="L373" s="23" t="s">
        <v>16</v>
      </c>
      <c r="M373" s="24"/>
    </row>
    <row r="374" spans="1:13">
      <c r="A374" s="22">
        <v>2531446</v>
      </c>
      <c r="B374" s="23" t="s">
        <v>1714</v>
      </c>
      <c r="C374" s="22" t="s">
        <v>1715</v>
      </c>
      <c r="D374" s="22" t="s">
        <v>1716</v>
      </c>
      <c r="E374" s="23" t="s">
        <v>84</v>
      </c>
      <c r="F374" s="23" t="s">
        <v>92</v>
      </c>
      <c r="G374" s="23" t="s">
        <v>26</v>
      </c>
      <c r="H374" s="23" t="s">
        <v>1717</v>
      </c>
      <c r="I374" s="23" t="s">
        <v>1718</v>
      </c>
      <c r="J374" s="23">
        <v>3</v>
      </c>
      <c r="K374" s="23" t="s">
        <v>107</v>
      </c>
      <c r="L374" s="23" t="s">
        <v>16</v>
      </c>
      <c r="M374" s="24" t="s">
        <v>455</v>
      </c>
    </row>
    <row r="375" spans="1:13">
      <c r="A375" s="22">
        <v>2529720</v>
      </c>
      <c r="B375" s="23" t="s">
        <v>1719</v>
      </c>
      <c r="C375" s="22" t="s">
        <v>1720</v>
      </c>
      <c r="D375" s="22" t="s">
        <v>1721</v>
      </c>
      <c r="E375" s="23" t="s">
        <v>84</v>
      </c>
      <c r="F375" s="23" t="s">
        <v>92</v>
      </c>
      <c r="G375" s="23" t="s">
        <v>26</v>
      </c>
      <c r="H375" s="23" t="s">
        <v>1722</v>
      </c>
      <c r="I375" s="23" t="s">
        <v>1723</v>
      </c>
      <c r="J375" s="23">
        <v>3</v>
      </c>
      <c r="K375" s="23" t="s">
        <v>107</v>
      </c>
      <c r="L375" s="23" t="s">
        <v>16</v>
      </c>
      <c r="M375" s="24"/>
    </row>
    <row r="376" spans="1:13">
      <c r="A376" s="19">
        <v>2532947</v>
      </c>
      <c r="B376" s="20" t="s">
        <v>1724</v>
      </c>
      <c r="C376" s="19" t="s">
        <v>1725</v>
      </c>
      <c r="D376" s="19" t="s">
        <v>1726</v>
      </c>
      <c r="E376" s="20" t="s">
        <v>84</v>
      </c>
      <c r="F376" s="20" t="s">
        <v>92</v>
      </c>
      <c r="G376" s="20" t="s">
        <v>26</v>
      </c>
      <c r="H376" s="20" t="s">
        <v>1695</v>
      </c>
      <c r="I376" s="20" t="s">
        <v>1727</v>
      </c>
      <c r="J376" s="23">
        <v>3</v>
      </c>
      <c r="K376" s="20" t="s">
        <v>19</v>
      </c>
      <c r="L376" s="20" t="s">
        <v>16</v>
      </c>
      <c r="M376" s="21"/>
    </row>
    <row r="377" spans="1:13">
      <c r="A377" s="19">
        <v>2533024</v>
      </c>
      <c r="B377" s="20" t="s">
        <v>1728</v>
      </c>
      <c r="C377" s="19" t="s">
        <v>1729</v>
      </c>
      <c r="D377" s="19" t="s">
        <v>1730</v>
      </c>
      <c r="E377" s="20" t="s">
        <v>84</v>
      </c>
      <c r="F377" s="20" t="s">
        <v>92</v>
      </c>
      <c r="G377" s="20" t="s">
        <v>26</v>
      </c>
      <c r="H377" s="20" t="s">
        <v>1731</v>
      </c>
      <c r="I377" s="20" t="s">
        <v>1732</v>
      </c>
      <c r="J377" s="23">
        <v>3</v>
      </c>
      <c r="K377" s="20" t="s">
        <v>19</v>
      </c>
      <c r="L377" s="20" t="s">
        <v>16</v>
      </c>
      <c r="M377" s="21"/>
    </row>
    <row r="378" spans="1:13">
      <c r="A378" s="22">
        <v>2532909</v>
      </c>
      <c r="B378" s="23" t="s">
        <v>1733</v>
      </c>
      <c r="C378" s="22" t="s">
        <v>1734</v>
      </c>
      <c r="D378" s="22" t="s">
        <v>1735</v>
      </c>
      <c r="E378" s="23" t="s">
        <v>127</v>
      </c>
      <c r="F378" s="23" t="s">
        <v>92</v>
      </c>
      <c r="G378" s="23" t="s">
        <v>26</v>
      </c>
      <c r="H378" s="23" t="s">
        <v>1695</v>
      </c>
      <c r="I378" s="23" t="s">
        <v>1736</v>
      </c>
      <c r="J378" s="23">
        <v>3</v>
      </c>
      <c r="K378" s="23" t="s">
        <v>19</v>
      </c>
      <c r="L378" s="23" t="s">
        <v>16</v>
      </c>
      <c r="M378" s="24"/>
    </row>
    <row r="379" spans="1:13">
      <c r="A379" s="19">
        <v>2519636</v>
      </c>
      <c r="B379" s="20" t="s">
        <v>1737</v>
      </c>
      <c r="C379" s="19" t="s">
        <v>1738</v>
      </c>
      <c r="D379" s="19" t="s">
        <v>1739</v>
      </c>
      <c r="E379" s="20" t="s">
        <v>84</v>
      </c>
      <c r="F379" s="20" t="s">
        <v>92</v>
      </c>
      <c r="G379" s="20" t="s">
        <v>26</v>
      </c>
      <c r="H379" s="20" t="s">
        <v>1695</v>
      </c>
      <c r="I379" s="20" t="s">
        <v>1740</v>
      </c>
      <c r="J379" s="34" t="s">
        <v>34</v>
      </c>
      <c r="K379" s="20" t="s">
        <v>107</v>
      </c>
      <c r="L379" s="20" t="s">
        <v>18</v>
      </c>
      <c r="M379" s="21"/>
    </row>
    <row r="380" spans="1:13">
      <c r="A380" s="22">
        <v>2529544</v>
      </c>
      <c r="B380" s="23" t="s">
        <v>1706</v>
      </c>
      <c r="C380" s="22" t="s">
        <v>1707</v>
      </c>
      <c r="D380" s="22" t="s">
        <v>1708</v>
      </c>
      <c r="E380" s="23" t="s">
        <v>127</v>
      </c>
      <c r="F380" s="23" t="s">
        <v>92</v>
      </c>
      <c r="G380" s="23" t="s">
        <v>26</v>
      </c>
      <c r="H380" s="23" t="s">
        <v>1741</v>
      </c>
      <c r="I380" s="23" t="s">
        <v>1709</v>
      </c>
      <c r="J380" s="20">
        <v>2</v>
      </c>
      <c r="K380" s="23" t="s">
        <v>19</v>
      </c>
      <c r="L380" s="23" t="s">
        <v>16</v>
      </c>
      <c r="M380" s="24"/>
    </row>
    <row r="381" spans="1:13">
      <c r="A381" s="22">
        <v>2532941</v>
      </c>
      <c r="B381" s="23" t="s">
        <v>1742</v>
      </c>
      <c r="C381" s="22" t="s">
        <v>1743</v>
      </c>
      <c r="D381" s="22" t="s">
        <v>1744</v>
      </c>
      <c r="E381" s="23" t="s">
        <v>84</v>
      </c>
      <c r="F381" s="23" t="s">
        <v>172</v>
      </c>
      <c r="G381" s="23" t="s">
        <v>26</v>
      </c>
      <c r="H381" s="23" t="s">
        <v>1745</v>
      </c>
      <c r="I381" s="23" t="s">
        <v>1745</v>
      </c>
      <c r="J381" s="20">
        <v>4</v>
      </c>
      <c r="K381" s="23" t="s">
        <v>107</v>
      </c>
      <c r="L381" s="23" t="s">
        <v>18</v>
      </c>
      <c r="M381" s="24"/>
    </row>
    <row r="382" spans="1:13">
      <c r="A382" s="19">
        <v>2520981</v>
      </c>
      <c r="B382" s="20" t="s">
        <v>1746</v>
      </c>
      <c r="C382" s="19" t="s">
        <v>1747</v>
      </c>
      <c r="D382" s="19" t="s">
        <v>1748</v>
      </c>
      <c r="E382" s="20" t="s">
        <v>84</v>
      </c>
      <c r="F382" s="20" t="s">
        <v>92</v>
      </c>
      <c r="G382" s="20" t="s">
        <v>26</v>
      </c>
      <c r="H382" s="20" t="s">
        <v>1732</v>
      </c>
      <c r="I382" s="20" t="s">
        <v>1732</v>
      </c>
      <c r="J382" s="20">
        <v>5</v>
      </c>
      <c r="K382" s="20" t="s">
        <v>19</v>
      </c>
      <c r="L382" s="20" t="s">
        <v>16</v>
      </c>
      <c r="M382" s="21" t="s">
        <v>1749</v>
      </c>
    </row>
    <row r="383" spans="1:13">
      <c r="A383" s="19">
        <v>2520980</v>
      </c>
      <c r="B383" s="20" t="s">
        <v>1750</v>
      </c>
      <c r="C383" s="19" t="s">
        <v>1751</v>
      </c>
      <c r="D383" s="19" t="s">
        <v>1752</v>
      </c>
      <c r="E383" s="20" t="s">
        <v>84</v>
      </c>
      <c r="F383" s="20" t="s">
        <v>92</v>
      </c>
      <c r="G383" s="20" t="s">
        <v>26</v>
      </c>
      <c r="H383" s="20" t="s">
        <v>1753</v>
      </c>
      <c r="I383" s="20" t="s">
        <v>1732</v>
      </c>
      <c r="J383" s="20">
        <v>5</v>
      </c>
      <c r="K383" s="20" t="s">
        <v>107</v>
      </c>
      <c r="L383" s="20" t="s">
        <v>18</v>
      </c>
      <c r="M383" s="21"/>
    </row>
    <row r="384" spans="1:13">
      <c r="A384" s="22">
        <v>2533025</v>
      </c>
      <c r="B384" s="23" t="s">
        <v>1754</v>
      </c>
      <c r="C384" s="22" t="s">
        <v>1755</v>
      </c>
      <c r="D384" s="22" t="s">
        <v>1756</v>
      </c>
      <c r="E384" s="23" t="s">
        <v>84</v>
      </c>
      <c r="F384" s="23" t="s">
        <v>92</v>
      </c>
      <c r="G384" s="23" t="s">
        <v>26</v>
      </c>
      <c r="H384" s="23" t="s">
        <v>1757</v>
      </c>
      <c r="I384" s="23" t="s">
        <v>1758</v>
      </c>
      <c r="J384" s="20">
        <v>2</v>
      </c>
      <c r="K384" s="23" t="s">
        <v>19</v>
      </c>
      <c r="L384" s="23" t="s">
        <v>16</v>
      </c>
      <c r="M384" s="24" t="s">
        <v>1561</v>
      </c>
    </row>
    <row r="385" spans="1:13">
      <c r="A385" s="22">
        <v>2532954</v>
      </c>
      <c r="B385" s="23" t="s">
        <v>1759</v>
      </c>
      <c r="C385" s="22" t="s">
        <v>1760</v>
      </c>
      <c r="D385" s="22" t="s">
        <v>1761</v>
      </c>
      <c r="E385" s="23" t="s">
        <v>84</v>
      </c>
      <c r="F385" s="23" t="s">
        <v>92</v>
      </c>
      <c r="G385" s="23" t="s">
        <v>26</v>
      </c>
      <c r="H385" s="23" t="s">
        <v>1762</v>
      </c>
      <c r="I385" s="23" t="s">
        <v>1732</v>
      </c>
      <c r="J385" s="20">
        <v>2</v>
      </c>
      <c r="K385" s="23" t="s">
        <v>107</v>
      </c>
      <c r="L385" s="23" t="s">
        <v>16</v>
      </c>
      <c r="M385" s="24"/>
    </row>
    <row r="386" spans="1:13">
      <c r="A386" s="19">
        <v>2532989</v>
      </c>
      <c r="B386" s="20" t="s">
        <v>1763</v>
      </c>
      <c r="C386" s="19" t="s">
        <v>1764</v>
      </c>
      <c r="D386" s="19" t="s">
        <v>1765</v>
      </c>
      <c r="E386" s="20" t="s">
        <v>84</v>
      </c>
      <c r="F386" s="20" t="s">
        <v>172</v>
      </c>
      <c r="G386" s="20" t="s">
        <v>26</v>
      </c>
      <c r="H386" s="20" t="s">
        <v>1766</v>
      </c>
      <c r="I386" s="20" t="s">
        <v>1767</v>
      </c>
      <c r="J386" s="23">
        <v>3</v>
      </c>
      <c r="K386" s="20" t="s">
        <v>19</v>
      </c>
      <c r="L386" s="20" t="s">
        <v>16</v>
      </c>
      <c r="M386" s="21" t="s">
        <v>16</v>
      </c>
    </row>
    <row r="387" spans="1:13">
      <c r="A387" s="19">
        <v>2518826</v>
      </c>
      <c r="B387" s="20" t="s">
        <v>1768</v>
      </c>
      <c r="C387" s="19" t="s">
        <v>1769</v>
      </c>
      <c r="D387" s="19" t="s">
        <v>1770</v>
      </c>
      <c r="E387" s="20" t="s">
        <v>84</v>
      </c>
      <c r="F387" s="20" t="s">
        <v>92</v>
      </c>
      <c r="G387" s="20" t="s">
        <v>26</v>
      </c>
      <c r="H387" s="20" t="s">
        <v>1771</v>
      </c>
      <c r="I387" s="20" t="s">
        <v>1732</v>
      </c>
      <c r="J387" s="20">
        <v>4</v>
      </c>
      <c r="K387" s="20" t="s">
        <v>19</v>
      </c>
      <c r="L387" s="20" t="s">
        <v>16</v>
      </c>
      <c r="M387" s="21"/>
    </row>
    <row r="388" spans="1:13">
      <c r="A388" s="19">
        <v>2526131</v>
      </c>
      <c r="B388" s="20" t="s">
        <v>1772</v>
      </c>
      <c r="C388" s="19" t="s">
        <v>1773</v>
      </c>
      <c r="D388" s="19" t="s">
        <v>1774</v>
      </c>
      <c r="E388" s="20" t="s">
        <v>84</v>
      </c>
      <c r="F388" s="20" t="s">
        <v>92</v>
      </c>
      <c r="G388" s="20" t="s">
        <v>26</v>
      </c>
      <c r="H388" s="20" t="s">
        <v>1775</v>
      </c>
      <c r="I388" s="20" t="s">
        <v>1776</v>
      </c>
      <c r="J388" s="20">
        <v>5</v>
      </c>
      <c r="K388" s="20" t="s">
        <v>107</v>
      </c>
      <c r="L388" s="20" t="s">
        <v>16</v>
      </c>
      <c r="M388" s="21"/>
    </row>
    <row r="389" spans="1:13">
      <c r="A389" s="22">
        <v>2531850</v>
      </c>
      <c r="B389" s="23" t="s">
        <v>1777</v>
      </c>
      <c r="C389" s="22" t="s">
        <v>1778</v>
      </c>
      <c r="D389" s="22" t="s">
        <v>1779</v>
      </c>
      <c r="E389" s="23" t="s">
        <v>127</v>
      </c>
      <c r="F389" s="23" t="s">
        <v>92</v>
      </c>
      <c r="G389" s="23" t="s">
        <v>26</v>
      </c>
      <c r="H389" s="23" t="s">
        <v>1780</v>
      </c>
      <c r="I389" s="23" t="s">
        <v>1781</v>
      </c>
      <c r="J389" s="20">
        <v>5</v>
      </c>
      <c r="K389" s="23" t="s">
        <v>107</v>
      </c>
      <c r="L389" s="23" t="s">
        <v>16</v>
      </c>
      <c r="M389" s="24"/>
    </row>
    <row r="390" spans="1:13">
      <c r="A390" s="22">
        <v>2532941</v>
      </c>
      <c r="B390" s="23" t="s">
        <v>1742</v>
      </c>
      <c r="C390" s="22" t="s">
        <v>1743</v>
      </c>
      <c r="D390" s="22" t="s">
        <v>1744</v>
      </c>
      <c r="E390" s="23" t="s">
        <v>84</v>
      </c>
      <c r="F390" s="23" t="s">
        <v>92</v>
      </c>
      <c r="G390" s="23" t="s">
        <v>26</v>
      </c>
      <c r="H390" s="23" t="s">
        <v>1782</v>
      </c>
      <c r="I390" s="23" t="s">
        <v>1783</v>
      </c>
      <c r="J390" s="20">
        <v>4</v>
      </c>
      <c r="K390" s="23" t="s">
        <v>107</v>
      </c>
      <c r="L390" s="23" t="s">
        <v>18</v>
      </c>
      <c r="M390" s="24"/>
    </row>
    <row r="391" spans="1:13">
      <c r="A391" s="22">
        <v>2520952</v>
      </c>
      <c r="B391" s="23" t="s">
        <v>1784</v>
      </c>
      <c r="C391" s="22" t="s">
        <v>1785</v>
      </c>
      <c r="D391" s="22" t="s">
        <v>1786</v>
      </c>
      <c r="E391" s="23" t="s">
        <v>127</v>
      </c>
      <c r="F391" s="23" t="s">
        <v>92</v>
      </c>
      <c r="G391" s="23" t="s">
        <v>26</v>
      </c>
      <c r="H391" s="23" t="s">
        <v>1787</v>
      </c>
      <c r="I391" s="23" t="s">
        <v>1787</v>
      </c>
      <c r="J391" s="20">
        <v>4</v>
      </c>
      <c r="K391" s="23" t="s">
        <v>19</v>
      </c>
      <c r="L391" s="23" t="s">
        <v>16</v>
      </c>
      <c r="M391" s="24"/>
    </row>
    <row r="392" spans="1:13">
      <c r="A392" s="22">
        <v>2532916</v>
      </c>
      <c r="B392" s="23" t="s">
        <v>1788</v>
      </c>
      <c r="C392" s="22" t="s">
        <v>1789</v>
      </c>
      <c r="D392" s="22" t="s">
        <v>1790</v>
      </c>
      <c r="E392" s="23" t="s">
        <v>84</v>
      </c>
      <c r="F392" s="23" t="s">
        <v>92</v>
      </c>
      <c r="G392" s="23" t="s">
        <v>26</v>
      </c>
      <c r="H392" s="23" t="s">
        <v>1791</v>
      </c>
      <c r="I392" s="23" t="s">
        <v>1792</v>
      </c>
      <c r="J392" s="20">
        <v>2</v>
      </c>
      <c r="K392" s="23" t="s">
        <v>107</v>
      </c>
      <c r="L392" s="23" t="s">
        <v>16</v>
      </c>
      <c r="M392" s="24"/>
    </row>
    <row r="393" spans="1:13">
      <c r="A393" s="19">
        <v>2518814</v>
      </c>
      <c r="B393" s="20" t="s">
        <v>1793</v>
      </c>
      <c r="C393" s="19" t="s">
        <v>1794</v>
      </c>
      <c r="D393" s="19" t="s">
        <v>1795</v>
      </c>
      <c r="E393" s="20" t="s">
        <v>84</v>
      </c>
      <c r="F393" s="20" t="s">
        <v>92</v>
      </c>
      <c r="G393" s="20" t="s">
        <v>26</v>
      </c>
      <c r="H393" s="20" t="s">
        <v>1796</v>
      </c>
      <c r="I393" s="20" t="s">
        <v>1797</v>
      </c>
      <c r="J393" s="20">
        <v>4</v>
      </c>
      <c r="K393" s="20" t="s">
        <v>19</v>
      </c>
      <c r="L393" s="20" t="s">
        <v>16</v>
      </c>
      <c r="M393" s="21"/>
    </row>
    <row r="394" spans="1:13">
      <c r="A394" s="22">
        <v>2526145</v>
      </c>
      <c r="B394" s="23" t="s">
        <v>1798</v>
      </c>
      <c r="C394" s="22" t="s">
        <v>1799</v>
      </c>
      <c r="D394" s="22" t="s">
        <v>1800</v>
      </c>
      <c r="E394" s="23" t="s">
        <v>84</v>
      </c>
      <c r="F394" s="23" t="s">
        <v>85</v>
      </c>
      <c r="G394" s="23" t="s">
        <v>26</v>
      </c>
      <c r="H394" s="23" t="s">
        <v>1801</v>
      </c>
      <c r="I394" s="23" t="s">
        <v>1802</v>
      </c>
      <c r="J394" s="23">
        <v>1</v>
      </c>
      <c r="K394" s="23" t="s">
        <v>19</v>
      </c>
      <c r="L394" s="23" t="s">
        <v>16</v>
      </c>
      <c r="M394" s="24"/>
    </row>
    <row r="395" spans="1:13">
      <c r="A395" s="22">
        <v>2521191</v>
      </c>
      <c r="B395" s="23" t="s">
        <v>1803</v>
      </c>
      <c r="C395" s="22" t="s">
        <v>1804</v>
      </c>
      <c r="D395" s="22" t="s">
        <v>1805</v>
      </c>
      <c r="E395" s="23" t="s">
        <v>84</v>
      </c>
      <c r="F395" s="23" t="s">
        <v>112</v>
      </c>
      <c r="G395" s="23" t="s">
        <v>26</v>
      </c>
      <c r="H395" s="23" t="s">
        <v>1801</v>
      </c>
      <c r="I395" s="23" t="s">
        <v>1806</v>
      </c>
      <c r="J395" s="23">
        <v>1</v>
      </c>
      <c r="K395" s="23" t="s">
        <v>19</v>
      </c>
      <c r="L395" s="23" t="s">
        <v>16</v>
      </c>
      <c r="M395" s="24"/>
    </row>
    <row r="396" spans="1:13">
      <c r="A396" s="22">
        <v>2512304</v>
      </c>
      <c r="B396" s="23" t="s">
        <v>1807</v>
      </c>
      <c r="C396" s="22" t="s">
        <v>1808</v>
      </c>
      <c r="D396" s="22" t="s">
        <v>1809</v>
      </c>
      <c r="E396" s="23" t="s">
        <v>84</v>
      </c>
      <c r="F396" s="23" t="s">
        <v>85</v>
      </c>
      <c r="G396" s="23" t="s">
        <v>26</v>
      </c>
      <c r="H396" s="23" t="s">
        <v>1810</v>
      </c>
      <c r="I396" s="23" t="s">
        <v>1811</v>
      </c>
      <c r="J396" s="20">
        <v>2</v>
      </c>
      <c r="K396" s="23" t="s">
        <v>107</v>
      </c>
      <c r="L396" s="23" t="s">
        <v>16</v>
      </c>
      <c r="M396" s="24" t="s">
        <v>1812</v>
      </c>
    </row>
    <row r="397" spans="1:13">
      <c r="A397" s="22">
        <v>2512351</v>
      </c>
      <c r="B397" s="23" t="s">
        <v>1813</v>
      </c>
      <c r="C397" s="22" t="s">
        <v>1814</v>
      </c>
      <c r="D397" s="22" t="s">
        <v>1815</v>
      </c>
      <c r="E397" s="23" t="s">
        <v>84</v>
      </c>
      <c r="F397" s="23" t="s">
        <v>112</v>
      </c>
      <c r="G397" s="23" t="s">
        <v>26</v>
      </c>
      <c r="H397" s="23" t="s">
        <v>1816</v>
      </c>
      <c r="I397" s="23" t="s">
        <v>1817</v>
      </c>
      <c r="J397" s="20">
        <v>2</v>
      </c>
      <c r="K397" s="23" t="s">
        <v>107</v>
      </c>
      <c r="L397" s="23" t="s">
        <v>16</v>
      </c>
      <c r="M397" s="24"/>
    </row>
    <row r="398" spans="1:13">
      <c r="A398" s="22">
        <v>2529702</v>
      </c>
      <c r="B398" s="23" t="s">
        <v>1818</v>
      </c>
      <c r="C398" s="22" t="s">
        <v>1819</v>
      </c>
      <c r="D398" s="22" t="s">
        <v>1820</v>
      </c>
      <c r="E398" s="23" t="s">
        <v>84</v>
      </c>
      <c r="F398" s="23" t="s">
        <v>112</v>
      </c>
      <c r="G398" s="23" t="s">
        <v>26</v>
      </c>
      <c r="H398" s="23" t="s">
        <v>1821</v>
      </c>
      <c r="I398" s="23" t="s">
        <v>1822</v>
      </c>
      <c r="J398" s="20">
        <v>2</v>
      </c>
      <c r="K398" s="23" t="s">
        <v>107</v>
      </c>
      <c r="L398" s="23" t="s">
        <v>16</v>
      </c>
      <c r="M398" s="24"/>
    </row>
    <row r="399" spans="1:13">
      <c r="A399" s="22">
        <v>2512304</v>
      </c>
      <c r="B399" s="23" t="s">
        <v>1807</v>
      </c>
      <c r="C399" s="22" t="s">
        <v>1808</v>
      </c>
      <c r="D399" s="22" t="s">
        <v>1809</v>
      </c>
      <c r="E399" s="23" t="s">
        <v>84</v>
      </c>
      <c r="F399" s="23" t="s">
        <v>85</v>
      </c>
      <c r="G399" s="23" t="s">
        <v>26</v>
      </c>
      <c r="H399" s="23" t="s">
        <v>1801</v>
      </c>
      <c r="I399" s="23" t="s">
        <v>1823</v>
      </c>
      <c r="J399" s="20">
        <v>2</v>
      </c>
      <c r="K399" s="23" t="s">
        <v>107</v>
      </c>
      <c r="L399" s="23" t="s">
        <v>16</v>
      </c>
      <c r="M399" s="24"/>
    </row>
    <row r="400" spans="1:13">
      <c r="A400" s="19">
        <v>2512304</v>
      </c>
      <c r="B400" s="20" t="s">
        <v>1807</v>
      </c>
      <c r="C400" s="19" t="s">
        <v>1808</v>
      </c>
      <c r="D400" s="19" t="s">
        <v>1809</v>
      </c>
      <c r="E400" s="20" t="s">
        <v>84</v>
      </c>
      <c r="F400" s="20" t="s">
        <v>85</v>
      </c>
      <c r="G400" s="20" t="s">
        <v>26</v>
      </c>
      <c r="H400" s="20" t="s">
        <v>1801</v>
      </c>
      <c r="I400" s="20" t="s">
        <v>1824</v>
      </c>
      <c r="J400" s="20">
        <v>2</v>
      </c>
      <c r="K400" s="20" t="s">
        <v>107</v>
      </c>
      <c r="L400" s="20" t="s">
        <v>16</v>
      </c>
      <c r="M400" s="21"/>
    </row>
    <row r="401" spans="1:13">
      <c r="A401" s="22">
        <v>2512351</v>
      </c>
      <c r="B401" s="23" t="s">
        <v>1813</v>
      </c>
      <c r="C401" s="22" t="s">
        <v>1814</v>
      </c>
      <c r="D401" s="22" t="s">
        <v>1815</v>
      </c>
      <c r="E401" s="23" t="s">
        <v>84</v>
      </c>
      <c r="F401" s="23" t="s">
        <v>112</v>
      </c>
      <c r="G401" s="23" t="s">
        <v>26</v>
      </c>
      <c r="H401" s="23" t="s">
        <v>1816</v>
      </c>
      <c r="I401" s="23" t="s">
        <v>1825</v>
      </c>
      <c r="J401" s="20">
        <v>2</v>
      </c>
      <c r="K401" s="23" t="s">
        <v>107</v>
      </c>
      <c r="L401" s="23" t="s">
        <v>16</v>
      </c>
      <c r="M401" s="24"/>
    </row>
    <row r="402" spans="1:13">
      <c r="A402" s="22">
        <v>2531859</v>
      </c>
      <c r="B402" s="23" t="s">
        <v>1826</v>
      </c>
      <c r="C402" s="22" t="s">
        <v>1827</v>
      </c>
      <c r="D402" s="22" t="s">
        <v>1828</v>
      </c>
      <c r="E402" s="23" t="s">
        <v>84</v>
      </c>
      <c r="F402" s="23" t="s">
        <v>85</v>
      </c>
      <c r="G402" s="23" t="s">
        <v>26</v>
      </c>
      <c r="H402" s="23" t="s">
        <v>1801</v>
      </c>
      <c r="I402" s="23" t="s">
        <v>1829</v>
      </c>
      <c r="J402" s="36">
        <v>6</v>
      </c>
      <c r="K402" s="23" t="s">
        <v>19</v>
      </c>
      <c r="L402" s="23" t="s">
        <v>16</v>
      </c>
      <c r="M402" s="24"/>
    </row>
    <row r="403" spans="1:13">
      <c r="A403" s="19">
        <v>2523433</v>
      </c>
      <c r="B403" s="20" t="s">
        <v>1830</v>
      </c>
      <c r="C403" s="19" t="s">
        <v>1831</v>
      </c>
      <c r="D403" s="19" t="s">
        <v>1832</v>
      </c>
      <c r="E403" s="20" t="s">
        <v>84</v>
      </c>
      <c r="F403" s="20" t="s">
        <v>85</v>
      </c>
      <c r="G403" s="20" t="s">
        <v>26</v>
      </c>
      <c r="H403" s="20" t="s">
        <v>1833</v>
      </c>
      <c r="I403" s="20" t="s">
        <v>1834</v>
      </c>
      <c r="J403" s="34">
        <v>6</v>
      </c>
      <c r="K403" s="20" t="s">
        <v>107</v>
      </c>
      <c r="L403" s="20" t="s">
        <v>18</v>
      </c>
      <c r="M403" s="21"/>
    </row>
    <row r="404" spans="1:13">
      <c r="A404" s="19">
        <v>2523433</v>
      </c>
      <c r="B404" s="20" t="s">
        <v>1830</v>
      </c>
      <c r="C404" s="19" t="s">
        <v>1831</v>
      </c>
      <c r="D404" s="19" t="s">
        <v>1832</v>
      </c>
      <c r="E404" s="20" t="s">
        <v>84</v>
      </c>
      <c r="F404" s="20" t="s">
        <v>85</v>
      </c>
      <c r="G404" s="20" t="s">
        <v>26</v>
      </c>
      <c r="H404" s="20" t="s">
        <v>1833</v>
      </c>
      <c r="I404" s="20" t="s">
        <v>1835</v>
      </c>
      <c r="J404" s="34">
        <v>3</v>
      </c>
      <c r="K404" s="20" t="s">
        <v>107</v>
      </c>
      <c r="L404" s="20" t="s">
        <v>18</v>
      </c>
      <c r="M404" s="21"/>
    </row>
    <row r="405" spans="1:13">
      <c r="A405" s="22">
        <v>2521296</v>
      </c>
      <c r="B405" s="23" t="s">
        <v>1836</v>
      </c>
      <c r="C405" s="22" t="s">
        <v>1837</v>
      </c>
      <c r="D405" s="22" t="s">
        <v>1838</v>
      </c>
      <c r="E405" s="23" t="s">
        <v>127</v>
      </c>
      <c r="F405" s="23" t="s">
        <v>85</v>
      </c>
      <c r="G405" s="23" t="s">
        <v>26</v>
      </c>
      <c r="H405" s="23" t="s">
        <v>1839</v>
      </c>
      <c r="I405" s="23" t="s">
        <v>1840</v>
      </c>
      <c r="J405" s="20">
        <v>2</v>
      </c>
      <c r="K405" s="23" t="s">
        <v>107</v>
      </c>
      <c r="L405" s="23" t="s">
        <v>16</v>
      </c>
      <c r="M405" s="24" t="s">
        <v>49</v>
      </c>
    </row>
    <row r="406" spans="1:13">
      <c r="A406" s="19">
        <v>2529746</v>
      </c>
      <c r="B406" s="20" t="s">
        <v>1841</v>
      </c>
      <c r="C406" s="19" t="s">
        <v>1842</v>
      </c>
      <c r="D406" s="19" t="s">
        <v>1843</v>
      </c>
      <c r="E406" s="20" t="s">
        <v>127</v>
      </c>
      <c r="F406" s="20" t="s">
        <v>92</v>
      </c>
      <c r="G406" s="20" t="s">
        <v>26</v>
      </c>
      <c r="H406" s="20" t="s">
        <v>1844</v>
      </c>
      <c r="I406" s="20" t="s">
        <v>1845</v>
      </c>
      <c r="J406" s="23">
        <v>3</v>
      </c>
      <c r="K406" s="20" t="s">
        <v>107</v>
      </c>
      <c r="L406" s="20" t="s">
        <v>16</v>
      </c>
      <c r="M406" s="21"/>
    </row>
    <row r="407" spans="1:13">
      <c r="A407" s="22">
        <v>2532981</v>
      </c>
      <c r="B407" s="23" t="s">
        <v>1846</v>
      </c>
      <c r="C407" s="22" t="s">
        <v>1847</v>
      </c>
      <c r="D407" s="22" t="s">
        <v>1848</v>
      </c>
      <c r="E407" s="23" t="s">
        <v>84</v>
      </c>
      <c r="F407" s="23" t="s">
        <v>92</v>
      </c>
      <c r="G407" s="23" t="s">
        <v>26</v>
      </c>
      <c r="H407" s="23" t="s">
        <v>1849</v>
      </c>
      <c r="I407" s="23" t="s">
        <v>1849</v>
      </c>
      <c r="J407" s="23">
        <v>3</v>
      </c>
      <c r="K407" s="23" t="s">
        <v>19</v>
      </c>
      <c r="L407" s="23" t="s">
        <v>16</v>
      </c>
      <c r="M407" s="24"/>
    </row>
    <row r="408" spans="1:13">
      <c r="A408" s="22">
        <v>2526600</v>
      </c>
      <c r="B408" s="23" t="s">
        <v>1850</v>
      </c>
      <c r="C408" s="22" t="s">
        <v>1851</v>
      </c>
      <c r="D408" s="22" t="s">
        <v>1852</v>
      </c>
      <c r="E408" s="23" t="s">
        <v>84</v>
      </c>
      <c r="F408" s="23" t="s">
        <v>92</v>
      </c>
      <c r="G408" s="23" t="s">
        <v>26</v>
      </c>
      <c r="H408" s="23" t="s">
        <v>1853</v>
      </c>
      <c r="I408" s="23" t="s">
        <v>1854</v>
      </c>
      <c r="J408" s="23">
        <v>3</v>
      </c>
      <c r="K408" s="23" t="s">
        <v>107</v>
      </c>
      <c r="L408" s="23" t="s">
        <v>16</v>
      </c>
      <c r="M408" s="24" t="s">
        <v>49</v>
      </c>
    </row>
    <row r="409" spans="1:13">
      <c r="A409" s="19">
        <v>2529512</v>
      </c>
      <c r="B409" s="20" t="s">
        <v>1855</v>
      </c>
      <c r="C409" s="19" t="s">
        <v>1856</v>
      </c>
      <c r="D409" s="19" t="s">
        <v>1857</v>
      </c>
      <c r="E409" s="20" t="s">
        <v>84</v>
      </c>
      <c r="F409" s="20" t="s">
        <v>92</v>
      </c>
      <c r="G409" s="20" t="s">
        <v>26</v>
      </c>
      <c r="H409" s="20" t="s">
        <v>1858</v>
      </c>
      <c r="I409" s="20" t="s">
        <v>1859</v>
      </c>
      <c r="J409" s="20">
        <v>2</v>
      </c>
      <c r="K409" s="20" t="s">
        <v>107</v>
      </c>
      <c r="L409" s="20" t="s">
        <v>16</v>
      </c>
      <c r="M409" s="21" t="s">
        <v>49</v>
      </c>
    </row>
    <row r="410" spans="1:13">
      <c r="A410" s="22">
        <v>2516751</v>
      </c>
      <c r="B410" s="23" t="s">
        <v>1860</v>
      </c>
      <c r="C410" s="22" t="s">
        <v>1861</v>
      </c>
      <c r="D410" s="22" t="s">
        <v>1862</v>
      </c>
      <c r="E410" s="23" t="s">
        <v>84</v>
      </c>
      <c r="F410" s="23" t="s">
        <v>112</v>
      </c>
      <c r="G410" s="23" t="s">
        <v>26</v>
      </c>
      <c r="H410" s="23" t="s">
        <v>1858</v>
      </c>
      <c r="I410" s="23" t="s">
        <v>1863</v>
      </c>
      <c r="J410" s="20">
        <v>2</v>
      </c>
      <c r="K410" s="23" t="s">
        <v>107</v>
      </c>
      <c r="L410" s="23" t="s">
        <v>18</v>
      </c>
      <c r="M410" s="24"/>
    </row>
    <row r="411" spans="1:13">
      <c r="A411" s="22">
        <v>2516751</v>
      </c>
      <c r="B411" s="23" t="s">
        <v>1864</v>
      </c>
      <c r="C411" s="22" t="s">
        <v>1861</v>
      </c>
      <c r="D411" s="22" t="s">
        <v>1862</v>
      </c>
      <c r="E411" s="23" t="s">
        <v>84</v>
      </c>
      <c r="F411" s="23" t="s">
        <v>112</v>
      </c>
      <c r="G411" s="23" t="s">
        <v>26</v>
      </c>
      <c r="H411" s="23" t="s">
        <v>1858</v>
      </c>
      <c r="I411" s="23" t="s">
        <v>1863</v>
      </c>
      <c r="J411" s="20">
        <v>2</v>
      </c>
      <c r="K411" s="23" t="s">
        <v>107</v>
      </c>
      <c r="L411" s="23" t="s">
        <v>18</v>
      </c>
      <c r="M411" s="24"/>
    </row>
    <row r="412" spans="1:13">
      <c r="A412" s="19">
        <v>2531866</v>
      </c>
      <c r="B412" s="20" t="s">
        <v>1865</v>
      </c>
      <c r="C412" s="19" t="s">
        <v>1866</v>
      </c>
      <c r="D412" s="19" t="s">
        <v>1867</v>
      </c>
      <c r="E412" s="20" t="s">
        <v>84</v>
      </c>
      <c r="F412" s="20" t="s">
        <v>92</v>
      </c>
      <c r="G412" s="20" t="s">
        <v>26</v>
      </c>
      <c r="H412" s="20" t="s">
        <v>1868</v>
      </c>
      <c r="I412" s="20" t="s">
        <v>1869</v>
      </c>
      <c r="J412" s="34" t="s">
        <v>34</v>
      </c>
      <c r="K412" s="20" t="s">
        <v>19</v>
      </c>
      <c r="L412" s="20" t="s">
        <v>16</v>
      </c>
      <c r="M412" s="21"/>
    </row>
    <row r="413" spans="1:13">
      <c r="A413" s="19">
        <v>2516828</v>
      </c>
      <c r="B413" s="20" t="s">
        <v>1870</v>
      </c>
      <c r="C413" s="19" t="s">
        <v>1871</v>
      </c>
      <c r="D413" s="19" t="s">
        <v>1872</v>
      </c>
      <c r="E413" s="20" t="s">
        <v>84</v>
      </c>
      <c r="F413" s="20" t="s">
        <v>85</v>
      </c>
      <c r="G413" s="20" t="s">
        <v>26</v>
      </c>
      <c r="H413" s="20" t="s">
        <v>1873</v>
      </c>
      <c r="I413" s="20" t="s">
        <v>1874</v>
      </c>
      <c r="J413" s="23">
        <v>1</v>
      </c>
      <c r="K413" s="20" t="s">
        <v>19</v>
      </c>
      <c r="L413" s="20" t="s">
        <v>16</v>
      </c>
      <c r="M413" s="21" t="s">
        <v>16</v>
      </c>
    </row>
    <row r="414" spans="1:13">
      <c r="A414" s="19">
        <v>2516828</v>
      </c>
      <c r="B414" s="20" t="s">
        <v>1875</v>
      </c>
      <c r="C414" s="19" t="s">
        <v>1871</v>
      </c>
      <c r="D414" s="19" t="s">
        <v>1872</v>
      </c>
      <c r="E414" s="20" t="s">
        <v>84</v>
      </c>
      <c r="F414" s="20" t="s">
        <v>85</v>
      </c>
      <c r="G414" s="20" t="s">
        <v>26</v>
      </c>
      <c r="H414" s="20" t="s">
        <v>1876</v>
      </c>
      <c r="I414" s="20" t="s">
        <v>1877</v>
      </c>
      <c r="J414" s="23">
        <v>1</v>
      </c>
      <c r="K414" s="20" t="s">
        <v>19</v>
      </c>
      <c r="L414" s="20" t="s">
        <v>16</v>
      </c>
      <c r="M414" s="21"/>
    </row>
    <row r="415" spans="1:13">
      <c r="A415" s="22">
        <v>589960</v>
      </c>
      <c r="B415" s="23" t="s">
        <v>1878</v>
      </c>
      <c r="C415" s="22" t="s">
        <v>1879</v>
      </c>
      <c r="D415" s="22" t="s">
        <v>1880</v>
      </c>
      <c r="E415" s="23" t="s">
        <v>219</v>
      </c>
      <c r="F415" s="23" t="s">
        <v>112</v>
      </c>
      <c r="G415" s="23" t="s">
        <v>27</v>
      </c>
      <c r="H415" s="23" t="s">
        <v>1881</v>
      </c>
      <c r="I415" s="23" t="s">
        <v>1882</v>
      </c>
      <c r="J415" s="22" t="s">
        <v>195</v>
      </c>
      <c r="K415" s="23" t="s">
        <v>967</v>
      </c>
      <c r="L415" s="23" t="s">
        <v>16</v>
      </c>
      <c r="M415" s="24" t="s">
        <v>49</v>
      </c>
    </row>
    <row r="416" spans="1:13">
      <c r="A416" s="19">
        <v>2523401</v>
      </c>
      <c r="B416" s="20" t="s">
        <v>1883</v>
      </c>
      <c r="C416" s="19" t="s">
        <v>1884</v>
      </c>
      <c r="D416" s="19" t="s">
        <v>1885</v>
      </c>
      <c r="E416" s="20" t="s">
        <v>84</v>
      </c>
      <c r="F416" s="20" t="s">
        <v>85</v>
      </c>
      <c r="G416" s="20" t="s">
        <v>28</v>
      </c>
      <c r="H416" s="20" t="s">
        <v>1886</v>
      </c>
      <c r="I416" s="20" t="s">
        <v>1886</v>
      </c>
      <c r="J416" s="23">
        <v>1</v>
      </c>
      <c r="K416" s="20" t="s">
        <v>17</v>
      </c>
      <c r="L416" s="20" t="s">
        <v>18</v>
      </c>
      <c r="M416" s="21"/>
    </row>
    <row r="417" spans="1:13">
      <c r="A417" s="19">
        <v>2529554</v>
      </c>
      <c r="B417" s="20" t="s">
        <v>1887</v>
      </c>
      <c r="C417" s="19" t="s">
        <v>1888</v>
      </c>
      <c r="D417" s="19" t="s">
        <v>1889</v>
      </c>
      <c r="E417" s="20" t="s">
        <v>84</v>
      </c>
      <c r="F417" s="20" t="s">
        <v>112</v>
      </c>
      <c r="G417" s="20" t="s">
        <v>26</v>
      </c>
      <c r="H417" s="20" t="s">
        <v>1890</v>
      </c>
      <c r="I417" s="20" t="s">
        <v>1891</v>
      </c>
      <c r="J417" s="20">
        <v>4</v>
      </c>
      <c r="K417" s="20" t="s">
        <v>206</v>
      </c>
      <c r="L417" s="20" t="s">
        <v>16</v>
      </c>
      <c r="M417" s="21" t="s">
        <v>1892</v>
      </c>
    </row>
    <row r="418" spans="1:13">
      <c r="A418" s="22">
        <v>2531798</v>
      </c>
      <c r="B418" s="23" t="s">
        <v>1893</v>
      </c>
      <c r="C418" s="22" t="s">
        <v>1894</v>
      </c>
      <c r="D418" s="22" t="s">
        <v>1895</v>
      </c>
      <c r="E418" s="23" t="s">
        <v>84</v>
      </c>
      <c r="F418" s="23" t="s">
        <v>112</v>
      </c>
      <c r="G418" s="23" t="s">
        <v>26</v>
      </c>
      <c r="H418" s="23" t="s">
        <v>1896</v>
      </c>
      <c r="I418" s="23" t="s">
        <v>1897</v>
      </c>
      <c r="J418" s="23">
        <v>1</v>
      </c>
      <c r="K418" s="23" t="s">
        <v>107</v>
      </c>
      <c r="L418" s="23" t="s">
        <v>16</v>
      </c>
      <c r="M418" s="24" t="s">
        <v>1898</v>
      </c>
    </row>
    <row r="419" spans="1:13">
      <c r="A419" s="22">
        <v>2525066</v>
      </c>
      <c r="B419" s="23" t="s">
        <v>1899</v>
      </c>
      <c r="C419" s="22" t="s">
        <v>1900</v>
      </c>
      <c r="D419" s="22" t="s">
        <v>1901</v>
      </c>
      <c r="E419" s="23" t="s">
        <v>84</v>
      </c>
      <c r="F419" s="23" t="s">
        <v>112</v>
      </c>
      <c r="G419" s="23" t="s">
        <v>26</v>
      </c>
      <c r="H419" s="23" t="s">
        <v>1902</v>
      </c>
      <c r="I419" s="23" t="s">
        <v>1903</v>
      </c>
      <c r="J419" s="20">
        <v>2</v>
      </c>
      <c r="K419" s="23" t="s">
        <v>19</v>
      </c>
      <c r="L419" s="23" t="s">
        <v>16</v>
      </c>
      <c r="M419" s="24"/>
    </row>
    <row r="420" spans="1:13">
      <c r="A420" s="19">
        <v>2521843</v>
      </c>
      <c r="B420" s="20" t="s">
        <v>1904</v>
      </c>
      <c r="C420" s="19" t="s">
        <v>1905</v>
      </c>
      <c r="D420" s="19" t="s">
        <v>1906</v>
      </c>
      <c r="E420" s="20" t="s">
        <v>84</v>
      </c>
      <c r="F420" s="20" t="s">
        <v>112</v>
      </c>
      <c r="G420" s="20" t="s">
        <v>26</v>
      </c>
      <c r="H420" s="20" t="s">
        <v>1907</v>
      </c>
      <c r="I420" s="20" t="s">
        <v>1908</v>
      </c>
      <c r="J420" s="23">
        <v>3</v>
      </c>
      <c r="K420" s="20" t="s">
        <v>19</v>
      </c>
      <c r="L420" s="20" t="s">
        <v>16</v>
      </c>
      <c r="M420" s="21"/>
    </row>
    <row r="421" spans="1:13">
      <c r="A421" s="19">
        <v>2526150</v>
      </c>
      <c r="B421" s="20" t="s">
        <v>1909</v>
      </c>
      <c r="C421" s="19" t="s">
        <v>1910</v>
      </c>
      <c r="D421" s="19" t="s">
        <v>1911</v>
      </c>
      <c r="E421" s="20" t="s">
        <v>84</v>
      </c>
      <c r="F421" s="20" t="s">
        <v>112</v>
      </c>
      <c r="G421" s="20" t="s">
        <v>26</v>
      </c>
      <c r="H421" s="20" t="s">
        <v>1896</v>
      </c>
      <c r="I421" s="20" t="s">
        <v>1912</v>
      </c>
      <c r="J421" s="20">
        <v>4</v>
      </c>
      <c r="K421" s="20" t="s">
        <v>19</v>
      </c>
      <c r="L421" s="20" t="s">
        <v>18</v>
      </c>
      <c r="M421" s="21"/>
    </row>
    <row r="422" spans="1:13">
      <c r="A422" s="22">
        <v>2525066</v>
      </c>
      <c r="B422" s="23" t="s">
        <v>1899</v>
      </c>
      <c r="C422" s="22" t="s">
        <v>1900</v>
      </c>
      <c r="D422" s="22" t="s">
        <v>1901</v>
      </c>
      <c r="E422" s="23" t="s">
        <v>84</v>
      </c>
      <c r="F422" s="23" t="s">
        <v>112</v>
      </c>
      <c r="G422" s="23" t="s">
        <v>26</v>
      </c>
      <c r="H422" s="23" t="s">
        <v>1913</v>
      </c>
      <c r="I422" s="23" t="s">
        <v>1914</v>
      </c>
      <c r="J422" s="20">
        <v>2</v>
      </c>
      <c r="K422" s="23" t="s">
        <v>19</v>
      </c>
      <c r="L422" s="23" t="s">
        <v>16</v>
      </c>
      <c r="M422" s="24"/>
    </row>
    <row r="423" spans="1:13">
      <c r="A423" s="19">
        <v>2525066</v>
      </c>
      <c r="B423" s="20" t="s">
        <v>1915</v>
      </c>
      <c r="C423" s="19" t="s">
        <v>1900</v>
      </c>
      <c r="D423" s="19" t="s">
        <v>1901</v>
      </c>
      <c r="E423" s="20" t="s">
        <v>84</v>
      </c>
      <c r="F423" s="20" t="s">
        <v>112</v>
      </c>
      <c r="G423" s="20" t="s">
        <v>26</v>
      </c>
      <c r="H423" s="20" t="s">
        <v>1913</v>
      </c>
      <c r="I423" s="20" t="s">
        <v>1916</v>
      </c>
      <c r="J423" s="20">
        <v>2</v>
      </c>
      <c r="K423" s="20" t="s">
        <v>19</v>
      </c>
      <c r="L423" s="20" t="s">
        <v>16</v>
      </c>
      <c r="M423" s="21"/>
    </row>
    <row r="424" spans="1:13">
      <c r="A424" s="19">
        <v>2531951</v>
      </c>
      <c r="B424" s="20" t="s">
        <v>1917</v>
      </c>
      <c r="C424" s="19" t="s">
        <v>1918</v>
      </c>
      <c r="D424" s="19" t="s">
        <v>1919</v>
      </c>
      <c r="E424" s="20" t="s">
        <v>84</v>
      </c>
      <c r="F424" s="20" t="s">
        <v>112</v>
      </c>
      <c r="G424" s="20" t="s">
        <v>26</v>
      </c>
      <c r="H424" s="20" t="s">
        <v>1920</v>
      </c>
      <c r="I424" s="20" t="s">
        <v>1921</v>
      </c>
      <c r="J424" s="20">
        <v>2</v>
      </c>
      <c r="K424" s="20" t="s">
        <v>206</v>
      </c>
      <c r="L424" s="20" t="s">
        <v>18</v>
      </c>
      <c r="M424" s="21"/>
    </row>
    <row r="425" spans="1:13">
      <c r="A425" s="22">
        <v>2531797</v>
      </c>
      <c r="B425" s="23" t="s">
        <v>1922</v>
      </c>
      <c r="C425" s="22" t="s">
        <v>1923</v>
      </c>
      <c r="D425" s="22" t="s">
        <v>1924</v>
      </c>
      <c r="E425" s="23" t="s">
        <v>84</v>
      </c>
      <c r="F425" s="23" t="s">
        <v>112</v>
      </c>
      <c r="G425" s="23" t="s">
        <v>26</v>
      </c>
      <c r="H425" s="23" t="s">
        <v>1925</v>
      </c>
      <c r="I425" s="23" t="s">
        <v>1926</v>
      </c>
      <c r="J425" s="23">
        <v>1</v>
      </c>
      <c r="K425" s="23" t="s">
        <v>19</v>
      </c>
      <c r="L425" s="23" t="s">
        <v>16</v>
      </c>
      <c r="M425" s="24"/>
    </row>
    <row r="426" spans="1:13">
      <c r="A426" s="19">
        <v>2525066</v>
      </c>
      <c r="B426" s="20" t="s">
        <v>1915</v>
      </c>
      <c r="C426" s="19" t="s">
        <v>1900</v>
      </c>
      <c r="D426" s="19" t="s">
        <v>1901</v>
      </c>
      <c r="E426" s="20" t="s">
        <v>84</v>
      </c>
      <c r="F426" s="20" t="s">
        <v>112</v>
      </c>
      <c r="G426" s="20" t="s">
        <v>26</v>
      </c>
      <c r="H426" s="20" t="s">
        <v>1927</v>
      </c>
      <c r="I426" s="20" t="s">
        <v>1928</v>
      </c>
      <c r="J426" s="20">
        <v>2</v>
      </c>
      <c r="K426" s="20" t="s">
        <v>19</v>
      </c>
      <c r="L426" s="20" t="s">
        <v>16</v>
      </c>
      <c r="M426" s="21"/>
    </row>
    <row r="427" spans="1:13">
      <c r="A427" s="22">
        <v>2524638</v>
      </c>
      <c r="B427" s="23" t="s">
        <v>1929</v>
      </c>
      <c r="C427" s="22" t="s">
        <v>1930</v>
      </c>
      <c r="D427" s="22" t="s">
        <v>1931</v>
      </c>
      <c r="E427" s="23" t="s">
        <v>84</v>
      </c>
      <c r="F427" s="23" t="s">
        <v>85</v>
      </c>
      <c r="G427" s="23" t="s">
        <v>26</v>
      </c>
      <c r="H427" s="23" t="s">
        <v>1932</v>
      </c>
      <c r="I427" s="23" t="s">
        <v>1932</v>
      </c>
      <c r="J427" s="20">
        <v>2</v>
      </c>
      <c r="K427" s="23" t="s">
        <v>19</v>
      </c>
      <c r="L427" s="23" t="s">
        <v>16</v>
      </c>
      <c r="M427" s="24"/>
    </row>
    <row r="428" spans="1:13">
      <c r="A428" s="22">
        <v>2526148</v>
      </c>
      <c r="B428" s="23" t="s">
        <v>1933</v>
      </c>
      <c r="C428" s="22" t="s">
        <v>1934</v>
      </c>
      <c r="D428" s="22" t="s">
        <v>1935</v>
      </c>
      <c r="E428" s="23" t="s">
        <v>127</v>
      </c>
      <c r="F428" s="23" t="s">
        <v>112</v>
      </c>
      <c r="G428" s="23" t="s">
        <v>26</v>
      </c>
      <c r="H428" s="23" t="s">
        <v>1936</v>
      </c>
      <c r="I428" s="23" t="s">
        <v>1937</v>
      </c>
      <c r="J428" s="20">
        <v>4</v>
      </c>
      <c r="K428" s="23" t="s">
        <v>19</v>
      </c>
      <c r="L428" s="23" t="s">
        <v>16</v>
      </c>
      <c r="M428" s="24"/>
    </row>
    <row r="429" spans="1:13">
      <c r="A429" s="19">
        <v>2529648</v>
      </c>
      <c r="B429" s="20" t="s">
        <v>1938</v>
      </c>
      <c r="C429" s="19" t="s">
        <v>1939</v>
      </c>
      <c r="D429" s="19" t="s">
        <v>1940</v>
      </c>
      <c r="E429" s="20" t="s">
        <v>84</v>
      </c>
      <c r="F429" s="20" t="s">
        <v>112</v>
      </c>
      <c r="G429" s="20" t="s">
        <v>26</v>
      </c>
      <c r="H429" s="20" t="s">
        <v>1941</v>
      </c>
      <c r="I429" s="20" t="s">
        <v>1942</v>
      </c>
      <c r="J429" s="20">
        <v>4</v>
      </c>
      <c r="K429" s="20" t="s">
        <v>19</v>
      </c>
      <c r="L429" s="20" t="s">
        <v>16</v>
      </c>
      <c r="M429" s="21"/>
    </row>
    <row r="430" spans="1:13">
      <c r="A430" s="22">
        <v>2532951</v>
      </c>
      <c r="B430" s="23" t="s">
        <v>1943</v>
      </c>
      <c r="C430" s="22" t="s">
        <v>1944</v>
      </c>
      <c r="D430" s="22" t="s">
        <v>1945</v>
      </c>
      <c r="E430" s="23" t="s">
        <v>127</v>
      </c>
      <c r="F430" s="23" t="s">
        <v>85</v>
      </c>
      <c r="G430" s="23" t="s">
        <v>26</v>
      </c>
      <c r="H430" s="23" t="s">
        <v>1946</v>
      </c>
      <c r="I430" s="23" t="s">
        <v>1947</v>
      </c>
      <c r="J430" s="23">
        <v>3</v>
      </c>
      <c r="K430" s="23" t="s">
        <v>206</v>
      </c>
      <c r="L430" s="23" t="s">
        <v>16</v>
      </c>
      <c r="M430" s="24"/>
    </row>
    <row r="431" spans="1:13">
      <c r="A431" s="19">
        <v>2532951</v>
      </c>
      <c r="B431" s="20" t="s">
        <v>1948</v>
      </c>
      <c r="C431" s="19" t="s">
        <v>1944</v>
      </c>
      <c r="D431" s="19" t="s">
        <v>1945</v>
      </c>
      <c r="E431" s="20" t="s">
        <v>127</v>
      </c>
      <c r="F431" s="20" t="s">
        <v>85</v>
      </c>
      <c r="G431" s="20" t="s">
        <v>26</v>
      </c>
      <c r="H431" s="20" t="s">
        <v>1949</v>
      </c>
      <c r="I431" s="20" t="s">
        <v>1950</v>
      </c>
      <c r="J431" s="23">
        <v>3</v>
      </c>
      <c r="K431" s="20" t="s">
        <v>206</v>
      </c>
      <c r="L431" s="20" t="s">
        <v>16</v>
      </c>
      <c r="M431" s="21"/>
    </row>
    <row r="432" spans="1:13">
      <c r="A432" s="22">
        <v>2532960</v>
      </c>
      <c r="B432" s="23" t="s">
        <v>1951</v>
      </c>
      <c r="C432" s="22" t="s">
        <v>1952</v>
      </c>
      <c r="D432" s="22" t="s">
        <v>1953</v>
      </c>
      <c r="E432" s="23" t="s">
        <v>84</v>
      </c>
      <c r="F432" s="23" t="s">
        <v>85</v>
      </c>
      <c r="G432" s="23" t="s">
        <v>26</v>
      </c>
      <c r="H432" s="23" t="s">
        <v>1954</v>
      </c>
      <c r="I432" s="23" t="s">
        <v>1955</v>
      </c>
      <c r="J432" s="20">
        <v>2</v>
      </c>
      <c r="K432" s="23" t="s">
        <v>206</v>
      </c>
      <c r="L432" s="23" t="s">
        <v>16</v>
      </c>
      <c r="M432" s="24"/>
    </row>
    <row r="433" spans="1:13">
      <c r="A433" s="22">
        <v>2533590</v>
      </c>
      <c r="B433" s="23" t="s">
        <v>1956</v>
      </c>
      <c r="C433" s="22" t="s">
        <v>1957</v>
      </c>
      <c r="D433" s="22" t="s">
        <v>1958</v>
      </c>
      <c r="E433" s="23" t="s">
        <v>84</v>
      </c>
      <c r="F433" s="23" t="s">
        <v>85</v>
      </c>
      <c r="G433" s="23" t="s">
        <v>26</v>
      </c>
      <c r="H433" s="23" t="s">
        <v>1959</v>
      </c>
      <c r="I433" s="23" t="s">
        <v>1960</v>
      </c>
      <c r="J433" s="20">
        <v>2</v>
      </c>
      <c r="K433" s="23" t="s">
        <v>206</v>
      </c>
      <c r="L433" s="23" t="s">
        <v>18</v>
      </c>
      <c r="M433" s="24"/>
    </row>
    <row r="434" spans="1:13">
      <c r="A434" s="22">
        <v>2529644</v>
      </c>
      <c r="B434" s="23" t="s">
        <v>1961</v>
      </c>
      <c r="C434" s="22" t="s">
        <v>1962</v>
      </c>
      <c r="D434" s="22" t="s">
        <v>1963</v>
      </c>
      <c r="E434" s="23" t="s">
        <v>84</v>
      </c>
      <c r="F434" s="23" t="s">
        <v>112</v>
      </c>
      <c r="G434" s="23" t="s">
        <v>26</v>
      </c>
      <c r="H434" s="23" t="s">
        <v>1964</v>
      </c>
      <c r="I434" s="23" t="s">
        <v>1965</v>
      </c>
      <c r="J434" s="20">
        <v>2</v>
      </c>
      <c r="K434" s="23" t="s">
        <v>206</v>
      </c>
      <c r="L434" s="23" t="s">
        <v>16</v>
      </c>
      <c r="M434" s="24"/>
    </row>
    <row r="435" spans="1:13">
      <c r="A435" s="22">
        <v>2532992</v>
      </c>
      <c r="B435" s="23" t="s">
        <v>1966</v>
      </c>
      <c r="C435" s="22" t="s">
        <v>1967</v>
      </c>
      <c r="D435" s="22" t="s">
        <v>1968</v>
      </c>
      <c r="E435" s="23" t="s">
        <v>84</v>
      </c>
      <c r="F435" s="23" t="s">
        <v>85</v>
      </c>
      <c r="G435" s="23" t="s">
        <v>26</v>
      </c>
      <c r="H435" s="23" t="s">
        <v>1969</v>
      </c>
      <c r="I435" s="23" t="s">
        <v>1970</v>
      </c>
      <c r="J435" s="20">
        <v>2</v>
      </c>
      <c r="K435" s="23" t="s">
        <v>206</v>
      </c>
      <c r="L435" s="23" t="s">
        <v>18</v>
      </c>
      <c r="M435" s="24"/>
    </row>
    <row r="436" spans="1:13">
      <c r="A436" s="22">
        <v>2533074</v>
      </c>
      <c r="B436" s="23" t="s">
        <v>1971</v>
      </c>
      <c r="C436" s="22" t="s">
        <v>1972</v>
      </c>
      <c r="D436" s="22" t="s">
        <v>1973</v>
      </c>
      <c r="E436" s="23" t="s">
        <v>84</v>
      </c>
      <c r="F436" s="23" t="s">
        <v>85</v>
      </c>
      <c r="G436" s="23" t="s">
        <v>26</v>
      </c>
      <c r="H436" s="23" t="s">
        <v>1974</v>
      </c>
      <c r="I436" s="23" t="s">
        <v>1975</v>
      </c>
      <c r="J436" s="20">
        <v>2</v>
      </c>
      <c r="K436" s="23" t="s">
        <v>206</v>
      </c>
      <c r="L436" s="23" t="s">
        <v>16</v>
      </c>
      <c r="M436" s="24"/>
    </row>
    <row r="437" spans="1:13">
      <c r="A437" s="22">
        <v>2530225</v>
      </c>
      <c r="B437" s="23" t="s">
        <v>1976</v>
      </c>
      <c r="C437" s="22" t="s">
        <v>1977</v>
      </c>
      <c r="D437" s="22" t="s">
        <v>1978</v>
      </c>
      <c r="E437" s="23" t="s">
        <v>127</v>
      </c>
      <c r="F437" s="23" t="s">
        <v>92</v>
      </c>
      <c r="G437" s="23" t="s">
        <v>26</v>
      </c>
      <c r="H437" s="23" t="s">
        <v>1979</v>
      </c>
      <c r="I437" s="23" t="s">
        <v>1979</v>
      </c>
      <c r="J437" s="23">
        <v>1</v>
      </c>
      <c r="K437" s="23" t="s">
        <v>206</v>
      </c>
      <c r="L437" s="23" t="s">
        <v>16</v>
      </c>
      <c r="M437" s="24" t="s">
        <v>99</v>
      </c>
    </row>
    <row r="438" spans="1:13">
      <c r="A438" s="22">
        <v>2521791</v>
      </c>
      <c r="B438" s="23" t="s">
        <v>1980</v>
      </c>
      <c r="C438" s="22" t="s">
        <v>1981</v>
      </c>
      <c r="D438" s="22" t="s">
        <v>1982</v>
      </c>
      <c r="E438" s="23" t="s">
        <v>84</v>
      </c>
      <c r="F438" s="23" t="s">
        <v>92</v>
      </c>
      <c r="G438" s="23" t="s">
        <v>26</v>
      </c>
      <c r="H438" s="23" t="s">
        <v>1983</v>
      </c>
      <c r="I438" s="23" t="s">
        <v>1984</v>
      </c>
      <c r="J438" s="23">
        <v>1</v>
      </c>
      <c r="K438" s="23" t="s">
        <v>206</v>
      </c>
      <c r="L438" s="23" t="s">
        <v>16</v>
      </c>
      <c r="M438" s="24"/>
    </row>
    <row r="439" spans="1:13">
      <c r="A439" s="19">
        <v>2533032</v>
      </c>
      <c r="B439" s="20" t="s">
        <v>1985</v>
      </c>
      <c r="C439" s="19" t="s">
        <v>1986</v>
      </c>
      <c r="D439" s="19" t="s">
        <v>1987</v>
      </c>
      <c r="E439" s="20" t="s">
        <v>84</v>
      </c>
      <c r="F439" s="20" t="s">
        <v>85</v>
      </c>
      <c r="G439" s="20" t="s">
        <v>26</v>
      </c>
      <c r="H439" s="20" t="s">
        <v>1988</v>
      </c>
      <c r="I439" s="20" t="s">
        <v>1989</v>
      </c>
      <c r="J439" s="23">
        <v>3</v>
      </c>
      <c r="K439" s="20" t="s">
        <v>206</v>
      </c>
      <c r="L439" s="20" t="s">
        <v>16</v>
      </c>
      <c r="M439" s="21" t="s">
        <v>16</v>
      </c>
    </row>
    <row r="440" spans="1:13">
      <c r="A440" s="19">
        <v>2530208</v>
      </c>
      <c r="B440" s="20" t="s">
        <v>1990</v>
      </c>
      <c r="C440" s="19" t="s">
        <v>1991</v>
      </c>
      <c r="D440" s="19" t="s">
        <v>1992</v>
      </c>
      <c r="E440" s="20" t="s">
        <v>84</v>
      </c>
      <c r="F440" s="20" t="s">
        <v>112</v>
      </c>
      <c r="G440" s="20" t="s">
        <v>26</v>
      </c>
      <c r="H440" s="20" t="s">
        <v>1993</v>
      </c>
      <c r="I440" s="20" t="s">
        <v>1994</v>
      </c>
      <c r="J440" s="34" t="s">
        <v>34</v>
      </c>
      <c r="K440" s="20" t="s">
        <v>19</v>
      </c>
      <c r="L440" s="20" t="s">
        <v>16</v>
      </c>
      <c r="M440" s="21"/>
    </row>
    <row r="441" spans="1:13">
      <c r="A441" s="19">
        <v>2533040</v>
      </c>
      <c r="B441" s="20" t="s">
        <v>1995</v>
      </c>
      <c r="C441" s="19" t="s">
        <v>1996</v>
      </c>
      <c r="D441" s="19" t="s">
        <v>1997</v>
      </c>
      <c r="E441" s="20" t="s">
        <v>127</v>
      </c>
      <c r="F441" s="20" t="s">
        <v>85</v>
      </c>
      <c r="G441" s="20" t="s">
        <v>26</v>
      </c>
      <c r="H441" s="20" t="s">
        <v>1998</v>
      </c>
      <c r="I441" s="20" t="s">
        <v>1999</v>
      </c>
      <c r="J441" s="23">
        <v>3</v>
      </c>
      <c r="K441" s="20" t="s">
        <v>206</v>
      </c>
      <c r="L441" s="20" t="s">
        <v>18</v>
      </c>
      <c r="M441" s="21"/>
    </row>
    <row r="442" spans="1:13">
      <c r="A442" s="22">
        <v>2530214</v>
      </c>
      <c r="B442" s="23" t="s">
        <v>2000</v>
      </c>
      <c r="C442" s="22" t="s">
        <v>2001</v>
      </c>
      <c r="D442" s="22" t="s">
        <v>2002</v>
      </c>
      <c r="E442" s="23" t="s">
        <v>84</v>
      </c>
      <c r="F442" s="23" t="s">
        <v>112</v>
      </c>
      <c r="G442" s="23" t="s">
        <v>26</v>
      </c>
      <c r="H442" s="23" t="s">
        <v>2003</v>
      </c>
      <c r="I442" s="23" t="s">
        <v>2004</v>
      </c>
      <c r="J442" s="34" t="s">
        <v>34</v>
      </c>
      <c r="K442" s="23" t="s">
        <v>206</v>
      </c>
      <c r="L442" s="23" t="s">
        <v>18</v>
      </c>
      <c r="M442" s="24"/>
    </row>
    <row r="443" spans="1:13">
      <c r="A443" s="22">
        <v>2532998</v>
      </c>
      <c r="B443" s="23" t="s">
        <v>2005</v>
      </c>
      <c r="C443" s="22" t="s">
        <v>2006</v>
      </c>
      <c r="D443" s="22" t="s">
        <v>2007</v>
      </c>
      <c r="E443" s="23" t="s">
        <v>84</v>
      </c>
      <c r="F443" s="23" t="s">
        <v>85</v>
      </c>
      <c r="G443" s="23" t="s">
        <v>26</v>
      </c>
      <c r="H443" s="23" t="s">
        <v>2008</v>
      </c>
      <c r="I443" s="23" t="s">
        <v>2009</v>
      </c>
      <c r="J443" s="20">
        <v>2</v>
      </c>
      <c r="K443" s="23" t="s">
        <v>180</v>
      </c>
      <c r="L443" s="23" t="s">
        <v>18</v>
      </c>
      <c r="M443" s="24"/>
    </row>
    <row r="444" spans="1:13">
      <c r="A444" s="19">
        <v>2532998</v>
      </c>
      <c r="B444" s="20" t="s">
        <v>2005</v>
      </c>
      <c r="C444" s="19" t="s">
        <v>2006</v>
      </c>
      <c r="D444" s="19" t="s">
        <v>2007</v>
      </c>
      <c r="E444" s="20" t="s">
        <v>84</v>
      </c>
      <c r="F444" s="20" t="s">
        <v>85</v>
      </c>
      <c r="G444" s="20" t="s">
        <v>26</v>
      </c>
      <c r="H444" s="20" t="s">
        <v>2010</v>
      </c>
      <c r="I444" s="20" t="s">
        <v>2011</v>
      </c>
      <c r="J444" s="20">
        <v>2</v>
      </c>
      <c r="K444" s="20" t="s">
        <v>180</v>
      </c>
      <c r="L444" s="20" t="s">
        <v>18</v>
      </c>
      <c r="M444" s="21"/>
    </row>
    <row r="445" spans="1:13">
      <c r="A445" s="22">
        <v>2533001</v>
      </c>
      <c r="B445" s="23" t="s">
        <v>2012</v>
      </c>
      <c r="C445" s="22" t="s">
        <v>2013</v>
      </c>
      <c r="D445" s="22" t="s">
        <v>2014</v>
      </c>
      <c r="E445" s="23" t="s">
        <v>84</v>
      </c>
      <c r="F445" s="23" t="s">
        <v>85</v>
      </c>
      <c r="G445" s="23" t="s">
        <v>26</v>
      </c>
      <c r="H445" s="23" t="s">
        <v>2015</v>
      </c>
      <c r="I445" s="23" t="s">
        <v>2016</v>
      </c>
      <c r="J445" s="23">
        <v>3</v>
      </c>
      <c r="K445" s="23" t="s">
        <v>206</v>
      </c>
      <c r="L445" s="23" t="s">
        <v>16</v>
      </c>
      <c r="M445" s="24"/>
    </row>
    <row r="446" spans="1:13">
      <c r="A446" s="19">
        <v>2521199</v>
      </c>
      <c r="B446" s="20" t="s">
        <v>2017</v>
      </c>
      <c r="C446" s="19" t="s">
        <v>2018</v>
      </c>
      <c r="D446" s="19" t="s">
        <v>2019</v>
      </c>
      <c r="E446" s="20" t="s">
        <v>127</v>
      </c>
      <c r="F446" s="20" t="s">
        <v>172</v>
      </c>
      <c r="G446" s="20" t="s">
        <v>26</v>
      </c>
      <c r="H446" s="20" t="s">
        <v>2020</v>
      </c>
      <c r="I446" s="20" t="s">
        <v>2020</v>
      </c>
      <c r="J446" s="23">
        <v>1</v>
      </c>
      <c r="K446" s="20" t="s">
        <v>19</v>
      </c>
      <c r="L446" s="20" t="s">
        <v>16</v>
      </c>
      <c r="M446" s="21"/>
    </row>
    <row r="447" spans="1:13">
      <c r="A447" s="22">
        <v>2511267</v>
      </c>
      <c r="B447" s="23" t="s">
        <v>2021</v>
      </c>
      <c r="C447" s="22" t="s">
        <v>2022</v>
      </c>
      <c r="D447" s="22" t="s">
        <v>2023</v>
      </c>
      <c r="E447" s="23" t="s">
        <v>84</v>
      </c>
      <c r="F447" s="23" t="s">
        <v>112</v>
      </c>
      <c r="G447" s="23" t="s">
        <v>27</v>
      </c>
      <c r="H447" s="23" t="s">
        <v>2024</v>
      </c>
      <c r="I447" s="23" t="s">
        <v>2025</v>
      </c>
      <c r="J447" s="23">
        <v>1</v>
      </c>
      <c r="K447" s="23" t="s">
        <v>2026</v>
      </c>
      <c r="L447" s="23" t="s">
        <v>16</v>
      </c>
      <c r="M447" s="24"/>
    </row>
    <row r="448" spans="1:13">
      <c r="A448" s="19">
        <v>2522862</v>
      </c>
      <c r="B448" s="20" t="s">
        <v>2027</v>
      </c>
      <c r="C448" s="19" t="s">
        <v>2028</v>
      </c>
      <c r="D448" s="19" t="s">
        <v>2029</v>
      </c>
      <c r="E448" s="20" t="s">
        <v>127</v>
      </c>
      <c r="F448" s="20" t="s">
        <v>85</v>
      </c>
      <c r="G448" s="20" t="s">
        <v>26</v>
      </c>
      <c r="H448" s="20" t="s">
        <v>2030</v>
      </c>
      <c r="I448" s="20" t="s">
        <v>2031</v>
      </c>
      <c r="J448" s="23">
        <v>1</v>
      </c>
      <c r="K448" s="20" t="s">
        <v>19</v>
      </c>
      <c r="L448" s="20" t="s">
        <v>18</v>
      </c>
      <c r="M448" s="21" t="s">
        <v>2032</v>
      </c>
    </row>
    <row r="449" spans="1:13">
      <c r="A449" s="19">
        <v>2531978</v>
      </c>
      <c r="B449" s="20" t="s">
        <v>2033</v>
      </c>
      <c r="C449" s="19" t="s">
        <v>2034</v>
      </c>
      <c r="D449" s="19" t="s">
        <v>2035</v>
      </c>
      <c r="E449" s="20" t="s">
        <v>84</v>
      </c>
      <c r="F449" s="20" t="s">
        <v>85</v>
      </c>
      <c r="G449" s="20" t="s">
        <v>25</v>
      </c>
      <c r="H449" s="20" t="s">
        <v>2036</v>
      </c>
      <c r="I449" s="20" t="s">
        <v>2037</v>
      </c>
      <c r="J449" s="23">
        <v>1</v>
      </c>
      <c r="K449" s="20" t="s">
        <v>2038</v>
      </c>
      <c r="L449" s="20" t="s">
        <v>18</v>
      </c>
      <c r="M449" s="21"/>
    </row>
    <row r="450" spans="1:13">
      <c r="A450" s="19">
        <v>2532908</v>
      </c>
      <c r="B450" s="20" t="s">
        <v>2039</v>
      </c>
      <c r="C450" s="19" t="s">
        <v>2040</v>
      </c>
      <c r="D450" s="19" t="s">
        <v>2041</v>
      </c>
      <c r="E450" s="20" t="s">
        <v>84</v>
      </c>
      <c r="F450" s="20" t="s">
        <v>85</v>
      </c>
      <c r="G450" s="20" t="s">
        <v>27</v>
      </c>
      <c r="H450" s="20" t="s">
        <v>5</v>
      </c>
      <c r="I450" s="20" t="s">
        <v>2042</v>
      </c>
      <c r="J450" s="23">
        <v>1</v>
      </c>
      <c r="K450" s="20" t="s">
        <v>19</v>
      </c>
      <c r="L450" s="20" t="s">
        <v>18</v>
      </c>
      <c r="M450" s="21" t="s">
        <v>2043</v>
      </c>
    </row>
    <row r="451" spans="1:13">
      <c r="A451" s="19">
        <v>2531953</v>
      </c>
      <c r="B451" s="20" t="s">
        <v>2044</v>
      </c>
      <c r="C451" s="19" t="s">
        <v>2045</v>
      </c>
      <c r="D451" s="19" t="s">
        <v>2046</v>
      </c>
      <c r="E451" s="20" t="s">
        <v>84</v>
      </c>
      <c r="F451" s="20" t="s">
        <v>85</v>
      </c>
      <c r="G451" s="20" t="s">
        <v>27</v>
      </c>
      <c r="H451" s="20" t="s">
        <v>5</v>
      </c>
      <c r="I451" s="20" t="s">
        <v>2047</v>
      </c>
      <c r="J451" s="20">
        <v>2</v>
      </c>
      <c r="K451" s="20" t="s">
        <v>2048</v>
      </c>
      <c r="L451" s="20" t="s">
        <v>16</v>
      </c>
      <c r="M451" s="21"/>
    </row>
    <row r="452" spans="1:13">
      <c r="A452" s="19">
        <v>2524473</v>
      </c>
      <c r="B452" s="20" t="s">
        <v>2049</v>
      </c>
      <c r="C452" s="19" t="s">
        <v>2050</v>
      </c>
      <c r="D452" s="19" t="s">
        <v>2051</v>
      </c>
      <c r="E452" s="20" t="s">
        <v>127</v>
      </c>
      <c r="F452" s="20" t="s">
        <v>85</v>
      </c>
      <c r="G452" s="20" t="s">
        <v>25</v>
      </c>
      <c r="H452" s="20" t="s">
        <v>5</v>
      </c>
      <c r="I452" s="20" t="s">
        <v>2052</v>
      </c>
      <c r="J452" s="34" t="s">
        <v>34</v>
      </c>
      <c r="K452" s="20" t="s">
        <v>215</v>
      </c>
      <c r="L452" s="20" t="s">
        <v>18</v>
      </c>
      <c r="M452" s="21"/>
    </row>
    <row r="453" spans="1:13">
      <c r="A453" s="22">
        <v>2531865</v>
      </c>
      <c r="B453" s="23" t="s">
        <v>2053</v>
      </c>
      <c r="C453" s="22" t="s">
        <v>2054</v>
      </c>
      <c r="D453" s="22" t="s">
        <v>2055</v>
      </c>
      <c r="E453" s="23" t="s">
        <v>84</v>
      </c>
      <c r="F453" s="23" t="s">
        <v>85</v>
      </c>
      <c r="G453" s="23" t="s">
        <v>25</v>
      </c>
      <c r="H453" s="23" t="s">
        <v>5</v>
      </c>
      <c r="I453" s="23" t="s">
        <v>2056</v>
      </c>
      <c r="J453" s="34" t="s">
        <v>34</v>
      </c>
      <c r="K453" s="23" t="s">
        <v>2057</v>
      </c>
      <c r="L453" s="23" t="s">
        <v>18</v>
      </c>
      <c r="M453" s="24"/>
    </row>
    <row r="454" spans="1:13">
      <c r="A454" s="22">
        <v>2531398</v>
      </c>
      <c r="B454" s="23" t="s">
        <v>2058</v>
      </c>
      <c r="C454" s="22" t="s">
        <v>2059</v>
      </c>
      <c r="D454" s="22" t="s">
        <v>2060</v>
      </c>
      <c r="E454" s="23" t="s">
        <v>84</v>
      </c>
      <c r="F454" s="23" t="s">
        <v>85</v>
      </c>
      <c r="G454" s="23" t="s">
        <v>25</v>
      </c>
      <c r="H454" s="23" t="s">
        <v>5</v>
      </c>
      <c r="I454" s="23" t="s">
        <v>2061</v>
      </c>
      <c r="J454" s="34" t="s">
        <v>34</v>
      </c>
      <c r="K454" s="23" t="s">
        <v>2062</v>
      </c>
      <c r="L454" s="23" t="s">
        <v>18</v>
      </c>
      <c r="M454" s="24"/>
    </row>
    <row r="455" spans="1:13">
      <c r="A455" s="19">
        <v>2531822</v>
      </c>
      <c r="B455" s="20" t="s">
        <v>2063</v>
      </c>
      <c r="C455" s="19" t="s">
        <v>2064</v>
      </c>
      <c r="D455" s="19" t="s">
        <v>2065</v>
      </c>
      <c r="E455" s="20" t="s">
        <v>84</v>
      </c>
      <c r="F455" s="20" t="s">
        <v>85</v>
      </c>
      <c r="G455" s="20" t="s">
        <v>25</v>
      </c>
      <c r="H455" s="20" t="s">
        <v>5</v>
      </c>
      <c r="I455" s="20" t="s">
        <v>2066</v>
      </c>
      <c r="J455" s="34" t="s">
        <v>34</v>
      </c>
      <c r="K455" s="20" t="s">
        <v>215</v>
      </c>
      <c r="L455" s="20" t="s">
        <v>16</v>
      </c>
      <c r="M455" s="21"/>
    </row>
    <row r="456" spans="1:13">
      <c r="A456" s="19">
        <v>2519716</v>
      </c>
      <c r="B456" s="20" t="s">
        <v>2067</v>
      </c>
      <c r="C456" s="19" t="s">
        <v>2068</v>
      </c>
      <c r="D456" s="19" t="s">
        <v>2069</v>
      </c>
      <c r="E456" s="20" t="s">
        <v>127</v>
      </c>
      <c r="F456" s="20" t="s">
        <v>85</v>
      </c>
      <c r="G456" s="20" t="s">
        <v>25</v>
      </c>
      <c r="H456" s="20" t="s">
        <v>5</v>
      </c>
      <c r="I456" s="20" t="s">
        <v>2070</v>
      </c>
      <c r="J456" s="34" t="s">
        <v>34</v>
      </c>
      <c r="K456" s="20" t="s">
        <v>2071</v>
      </c>
      <c r="L456" s="20" t="s">
        <v>18</v>
      </c>
      <c r="M456" s="25" t="s">
        <v>86</v>
      </c>
    </row>
    <row r="457" spans="1:13">
      <c r="A457" s="22">
        <v>2523386</v>
      </c>
      <c r="B457" s="23" t="s">
        <v>2072</v>
      </c>
      <c r="C457" s="22" t="s">
        <v>2073</v>
      </c>
      <c r="D457" s="22" t="s">
        <v>2074</v>
      </c>
      <c r="E457" s="23" t="s">
        <v>84</v>
      </c>
      <c r="F457" s="23" t="s">
        <v>85</v>
      </c>
      <c r="G457" s="23" t="s">
        <v>25</v>
      </c>
      <c r="H457" s="23" t="s">
        <v>5</v>
      </c>
      <c r="I457" s="23" t="s">
        <v>2075</v>
      </c>
      <c r="J457" s="34" t="s">
        <v>34</v>
      </c>
      <c r="K457" s="23" t="s">
        <v>1674</v>
      </c>
      <c r="L457" s="23" t="s">
        <v>18</v>
      </c>
      <c r="M457" s="24"/>
    </row>
    <row r="458" spans="1:13">
      <c r="A458" s="22">
        <v>2531398</v>
      </c>
      <c r="B458" s="23" t="s">
        <v>2058</v>
      </c>
      <c r="C458" s="22" t="s">
        <v>2059</v>
      </c>
      <c r="D458" s="22" t="s">
        <v>2060</v>
      </c>
      <c r="E458" s="23" t="s">
        <v>84</v>
      </c>
      <c r="F458" s="23" t="s">
        <v>85</v>
      </c>
      <c r="G458" s="23" t="s">
        <v>25</v>
      </c>
      <c r="H458" s="23" t="s">
        <v>5</v>
      </c>
      <c r="I458" s="23" t="s">
        <v>2061</v>
      </c>
      <c r="J458" s="34" t="s">
        <v>34</v>
      </c>
      <c r="K458" s="23" t="s">
        <v>2076</v>
      </c>
      <c r="L458" s="23" t="s">
        <v>18</v>
      </c>
      <c r="M458" s="30" t="s">
        <v>86</v>
      </c>
    </row>
    <row r="459" spans="1:13">
      <c r="A459" s="22">
        <v>2529545</v>
      </c>
      <c r="B459" s="23" t="s">
        <v>2077</v>
      </c>
      <c r="C459" s="22" t="s">
        <v>2078</v>
      </c>
      <c r="D459" s="22" t="s">
        <v>2079</v>
      </c>
      <c r="E459" s="23" t="s">
        <v>84</v>
      </c>
      <c r="F459" s="23" t="s">
        <v>85</v>
      </c>
      <c r="G459" s="23" t="s">
        <v>25</v>
      </c>
      <c r="H459" s="23" t="s">
        <v>2036</v>
      </c>
      <c r="I459" s="23" t="s">
        <v>2080</v>
      </c>
      <c r="J459" s="34" t="s">
        <v>34</v>
      </c>
      <c r="K459" s="23" t="s">
        <v>2081</v>
      </c>
      <c r="L459" s="23" t="s">
        <v>18</v>
      </c>
      <c r="M459" s="24"/>
    </row>
    <row r="460" spans="1:13">
      <c r="A460" s="19">
        <v>2529545</v>
      </c>
      <c r="B460" s="20" t="s">
        <v>2077</v>
      </c>
      <c r="C460" s="19" t="s">
        <v>2078</v>
      </c>
      <c r="D460" s="19" t="s">
        <v>2079</v>
      </c>
      <c r="E460" s="20" t="s">
        <v>84</v>
      </c>
      <c r="F460" s="20" t="s">
        <v>85</v>
      </c>
      <c r="G460" s="20" t="s">
        <v>25</v>
      </c>
      <c r="H460" s="20" t="s">
        <v>2036</v>
      </c>
      <c r="I460" s="20" t="s">
        <v>2082</v>
      </c>
      <c r="J460" s="34" t="s">
        <v>34</v>
      </c>
      <c r="K460" s="20" t="s">
        <v>2081</v>
      </c>
      <c r="L460" s="20" t="s">
        <v>18</v>
      </c>
      <c r="M460" s="21"/>
    </row>
    <row r="461" spans="1:13">
      <c r="A461" s="19">
        <v>2519823</v>
      </c>
      <c r="B461" s="20" t="s">
        <v>2083</v>
      </c>
      <c r="C461" s="19" t="s">
        <v>2084</v>
      </c>
      <c r="D461" s="19" t="s">
        <v>2085</v>
      </c>
      <c r="E461" s="20" t="s">
        <v>84</v>
      </c>
      <c r="F461" s="20" t="s">
        <v>85</v>
      </c>
      <c r="G461" s="20" t="s">
        <v>25</v>
      </c>
      <c r="H461" s="20" t="s">
        <v>2086</v>
      </c>
      <c r="I461" s="20" t="s">
        <v>2087</v>
      </c>
      <c r="J461" s="23">
        <v>1</v>
      </c>
      <c r="K461" s="20" t="s">
        <v>2088</v>
      </c>
      <c r="L461" s="20" t="s">
        <v>18</v>
      </c>
      <c r="M461" s="25" t="s">
        <v>86</v>
      </c>
    </row>
    <row r="462" spans="1:13">
      <c r="A462" s="22">
        <v>2524514</v>
      </c>
      <c r="B462" s="23" t="s">
        <v>2089</v>
      </c>
      <c r="C462" s="22" t="s">
        <v>2090</v>
      </c>
      <c r="D462" s="22" t="s">
        <v>2091</v>
      </c>
      <c r="E462" s="23" t="s">
        <v>84</v>
      </c>
      <c r="F462" s="23" t="s">
        <v>85</v>
      </c>
      <c r="G462" s="23" t="s">
        <v>27</v>
      </c>
      <c r="H462" s="23" t="s">
        <v>2092</v>
      </c>
      <c r="I462" s="23" t="s">
        <v>2093</v>
      </c>
      <c r="J462" s="23">
        <v>1</v>
      </c>
      <c r="K462" s="23" t="s">
        <v>17</v>
      </c>
      <c r="L462" s="23" t="s">
        <v>16</v>
      </c>
      <c r="M462" s="24"/>
    </row>
    <row r="463" spans="1:13">
      <c r="A463" s="22">
        <v>2532979</v>
      </c>
      <c r="B463" s="23" t="s">
        <v>2094</v>
      </c>
      <c r="C463" s="22" t="s">
        <v>2095</v>
      </c>
      <c r="D463" s="22" t="s">
        <v>2096</v>
      </c>
      <c r="E463" s="23" t="s">
        <v>415</v>
      </c>
      <c r="F463" s="23" t="s">
        <v>85</v>
      </c>
      <c r="G463" s="23" t="s">
        <v>26</v>
      </c>
      <c r="H463" s="23" t="s">
        <v>2097</v>
      </c>
      <c r="I463" s="23" t="s">
        <v>2098</v>
      </c>
      <c r="J463" s="34" t="s">
        <v>34</v>
      </c>
      <c r="K463" s="23" t="s">
        <v>206</v>
      </c>
      <c r="L463" s="23" t="s">
        <v>18</v>
      </c>
      <c r="M463" s="24"/>
    </row>
    <row r="464" spans="1:13">
      <c r="A464" s="19">
        <v>2529772</v>
      </c>
      <c r="B464" s="20" t="s">
        <v>2099</v>
      </c>
      <c r="C464" s="19" t="s">
        <v>2100</v>
      </c>
      <c r="D464" s="19" t="s">
        <v>2101</v>
      </c>
      <c r="E464" s="20" t="s">
        <v>415</v>
      </c>
      <c r="F464" s="20" t="s">
        <v>92</v>
      </c>
      <c r="G464" s="20" t="s">
        <v>26</v>
      </c>
      <c r="H464" s="20" t="s">
        <v>2102</v>
      </c>
      <c r="I464" s="20" t="s">
        <v>2103</v>
      </c>
      <c r="J464" s="20">
        <v>1</v>
      </c>
      <c r="K464" s="20" t="s">
        <v>206</v>
      </c>
      <c r="L464" s="20" t="s">
        <v>18</v>
      </c>
      <c r="M464" s="21"/>
    </row>
    <row r="465" spans="1:13">
      <c r="A465" s="22">
        <v>2520924</v>
      </c>
      <c r="B465" s="23" t="s">
        <v>2104</v>
      </c>
      <c r="C465" s="22" t="s">
        <v>2105</v>
      </c>
      <c r="D465" s="22" t="s">
        <v>2106</v>
      </c>
      <c r="E465" s="23" t="s">
        <v>127</v>
      </c>
      <c r="F465" s="23" t="s">
        <v>85</v>
      </c>
      <c r="G465" s="23" t="s">
        <v>27</v>
      </c>
      <c r="H465" s="23" t="s">
        <v>2107</v>
      </c>
      <c r="I465" s="23" t="s">
        <v>2108</v>
      </c>
      <c r="J465" s="34" t="s">
        <v>34</v>
      </c>
      <c r="K465" s="23" t="s">
        <v>1674</v>
      </c>
      <c r="L465" s="23" t="s">
        <v>16</v>
      </c>
      <c r="M465" s="24"/>
    </row>
    <row r="466" spans="1:13">
      <c r="A466" s="19">
        <v>2512313</v>
      </c>
      <c r="B466" s="20" t="s">
        <v>2109</v>
      </c>
      <c r="C466" s="19" t="s">
        <v>2110</v>
      </c>
      <c r="D466" s="19" t="s">
        <v>2111</v>
      </c>
      <c r="E466" s="20" t="s">
        <v>84</v>
      </c>
      <c r="F466" s="20" t="s">
        <v>85</v>
      </c>
      <c r="G466" s="20" t="s">
        <v>26</v>
      </c>
      <c r="H466" s="20" t="s">
        <v>2112</v>
      </c>
      <c r="I466" s="20" t="s">
        <v>2113</v>
      </c>
      <c r="J466" s="34" t="s">
        <v>34</v>
      </c>
      <c r="K466" s="20" t="s">
        <v>206</v>
      </c>
      <c r="L466" s="20" t="s">
        <v>16</v>
      </c>
      <c r="M466" s="21"/>
    </row>
    <row r="467" spans="1:13">
      <c r="A467" s="19">
        <v>2532995</v>
      </c>
      <c r="B467" s="20" t="s">
        <v>2114</v>
      </c>
      <c r="C467" s="19" t="s">
        <v>2115</v>
      </c>
      <c r="D467" s="19" t="s">
        <v>2116</v>
      </c>
      <c r="E467" s="20" t="s">
        <v>127</v>
      </c>
      <c r="F467" s="20" t="s">
        <v>85</v>
      </c>
      <c r="G467" s="20" t="s">
        <v>26</v>
      </c>
      <c r="H467" s="20" t="s">
        <v>2117</v>
      </c>
      <c r="I467" s="20" t="s">
        <v>2118</v>
      </c>
      <c r="J467" s="34" t="s">
        <v>34</v>
      </c>
      <c r="K467" s="20" t="s">
        <v>180</v>
      </c>
      <c r="L467" s="20" t="s">
        <v>18</v>
      </c>
      <c r="M467" s="21" t="s">
        <v>49</v>
      </c>
    </row>
    <row r="468" spans="1:13">
      <c r="A468" s="19">
        <v>2525075</v>
      </c>
      <c r="B468" s="20" t="s">
        <v>2119</v>
      </c>
      <c r="C468" s="19" t="s">
        <v>2120</v>
      </c>
      <c r="D468" s="19" t="s">
        <v>2121</v>
      </c>
      <c r="E468" s="20" t="s">
        <v>84</v>
      </c>
      <c r="F468" s="20" t="s">
        <v>85</v>
      </c>
      <c r="G468" s="20" t="s">
        <v>25</v>
      </c>
      <c r="H468" s="20" t="s">
        <v>2122</v>
      </c>
      <c r="I468" s="20" t="s">
        <v>2123</v>
      </c>
      <c r="J468" s="23">
        <v>1</v>
      </c>
      <c r="K468" s="20" t="s">
        <v>221</v>
      </c>
      <c r="L468" s="20" t="s">
        <v>18</v>
      </c>
      <c r="M468" s="21"/>
    </row>
    <row r="469" spans="1:13">
      <c r="A469" s="19">
        <v>2531376</v>
      </c>
      <c r="B469" s="20" t="s">
        <v>2124</v>
      </c>
      <c r="C469" s="19" t="s">
        <v>2125</v>
      </c>
      <c r="D469" s="19" t="s">
        <v>2126</v>
      </c>
      <c r="E469" s="20" t="s">
        <v>84</v>
      </c>
      <c r="F469" s="20" t="s">
        <v>85</v>
      </c>
      <c r="G469" s="20" t="s">
        <v>25</v>
      </c>
      <c r="H469" s="20" t="s">
        <v>2127</v>
      </c>
      <c r="I469" s="20" t="s">
        <v>2128</v>
      </c>
      <c r="J469" s="33">
        <v>1</v>
      </c>
      <c r="K469" s="20" t="s">
        <v>2129</v>
      </c>
      <c r="L469" s="20" t="s">
        <v>18</v>
      </c>
      <c r="M469" s="21"/>
    </row>
    <row r="470" spans="1:13">
      <c r="A470" s="22">
        <v>2512289</v>
      </c>
      <c r="B470" s="23" t="s">
        <v>2130</v>
      </c>
      <c r="C470" s="22" t="s">
        <v>2131</v>
      </c>
      <c r="D470" s="22" t="s">
        <v>2132</v>
      </c>
      <c r="E470" s="23" t="s">
        <v>84</v>
      </c>
      <c r="F470" s="23" t="s">
        <v>85</v>
      </c>
      <c r="G470" s="23" t="s">
        <v>26</v>
      </c>
      <c r="H470" s="23" t="s">
        <v>2133</v>
      </c>
      <c r="I470" s="23" t="s">
        <v>2134</v>
      </c>
      <c r="J470" s="20">
        <v>5</v>
      </c>
      <c r="K470" s="23" t="s">
        <v>206</v>
      </c>
      <c r="L470" s="23" t="s">
        <v>16</v>
      </c>
      <c r="M470" s="24"/>
    </row>
    <row r="471" spans="1:13">
      <c r="A471" s="22">
        <v>2512289</v>
      </c>
      <c r="B471" s="23" t="s">
        <v>2130</v>
      </c>
      <c r="C471" s="22" t="s">
        <v>2131</v>
      </c>
      <c r="D471" s="22" t="s">
        <v>2132</v>
      </c>
      <c r="E471" s="23" t="s">
        <v>84</v>
      </c>
      <c r="F471" s="23" t="s">
        <v>85</v>
      </c>
      <c r="G471" s="23" t="s">
        <v>26</v>
      </c>
      <c r="H471" s="23" t="s">
        <v>2135</v>
      </c>
      <c r="I471" s="23" t="s">
        <v>2134</v>
      </c>
      <c r="J471" s="20">
        <v>5</v>
      </c>
      <c r="K471" s="23" t="s">
        <v>206</v>
      </c>
      <c r="L471" s="23" t="s">
        <v>16</v>
      </c>
      <c r="M471" s="24"/>
    </row>
    <row r="472" spans="1:13">
      <c r="A472" s="19">
        <v>2512289</v>
      </c>
      <c r="B472" s="20" t="s">
        <v>2130</v>
      </c>
      <c r="C472" s="19" t="s">
        <v>2131</v>
      </c>
      <c r="D472" s="19" t="s">
        <v>2132</v>
      </c>
      <c r="E472" s="20" t="s">
        <v>84</v>
      </c>
      <c r="F472" s="20" t="s">
        <v>85</v>
      </c>
      <c r="G472" s="20" t="s">
        <v>26</v>
      </c>
      <c r="H472" s="20" t="s">
        <v>2135</v>
      </c>
      <c r="I472" s="20" t="s">
        <v>2134</v>
      </c>
      <c r="J472" s="20">
        <v>5</v>
      </c>
      <c r="K472" s="20" t="s">
        <v>206</v>
      </c>
      <c r="L472" s="20" t="s">
        <v>16</v>
      </c>
      <c r="M472" s="21"/>
    </row>
    <row r="473" spans="1:13">
      <c r="A473" s="19">
        <v>2520929</v>
      </c>
      <c r="B473" s="20" t="s">
        <v>2136</v>
      </c>
      <c r="C473" s="19" t="s">
        <v>2137</v>
      </c>
      <c r="D473" s="19" t="s">
        <v>2138</v>
      </c>
      <c r="E473" s="20" t="s">
        <v>84</v>
      </c>
      <c r="F473" s="20" t="s">
        <v>85</v>
      </c>
      <c r="G473" s="20" t="s">
        <v>26</v>
      </c>
      <c r="H473" s="20" t="s">
        <v>2139</v>
      </c>
      <c r="I473" s="20" t="s">
        <v>2134</v>
      </c>
      <c r="J473" s="23">
        <v>1</v>
      </c>
      <c r="K473" s="20" t="s">
        <v>206</v>
      </c>
      <c r="L473" s="20" t="s">
        <v>16</v>
      </c>
      <c r="M473" s="21" t="s">
        <v>434</v>
      </c>
    </row>
    <row r="474" spans="1:13">
      <c r="A474" s="19">
        <v>2480129</v>
      </c>
      <c r="B474" s="20" t="s">
        <v>2140</v>
      </c>
      <c r="C474" s="19" t="s">
        <v>2141</v>
      </c>
      <c r="D474" s="19" t="s">
        <v>2142</v>
      </c>
      <c r="E474" s="20" t="s">
        <v>84</v>
      </c>
      <c r="F474" s="20" t="s">
        <v>85</v>
      </c>
      <c r="G474" s="20" t="s">
        <v>26</v>
      </c>
      <c r="H474" s="20" t="s">
        <v>2143</v>
      </c>
      <c r="I474" s="20" t="s">
        <v>206</v>
      </c>
      <c r="J474" s="20">
        <v>2</v>
      </c>
      <c r="K474" s="20" t="s">
        <v>206</v>
      </c>
      <c r="L474" s="20" t="s">
        <v>16</v>
      </c>
      <c r="M474" s="25" t="s">
        <v>86</v>
      </c>
    </row>
    <row r="475" spans="1:13">
      <c r="A475" s="19">
        <v>2512358</v>
      </c>
      <c r="B475" s="20" t="s">
        <v>2144</v>
      </c>
      <c r="C475" s="19" t="s">
        <v>2145</v>
      </c>
      <c r="D475" s="19" t="s">
        <v>2146</v>
      </c>
      <c r="E475" s="20" t="s">
        <v>84</v>
      </c>
      <c r="F475" s="20" t="s">
        <v>112</v>
      </c>
      <c r="G475" s="20" t="s">
        <v>26</v>
      </c>
      <c r="H475" s="20" t="s">
        <v>2147</v>
      </c>
      <c r="I475" s="20" t="s">
        <v>2148</v>
      </c>
      <c r="J475" s="20">
        <v>5</v>
      </c>
      <c r="K475" s="20" t="s">
        <v>206</v>
      </c>
      <c r="L475" s="20" t="s">
        <v>18</v>
      </c>
      <c r="M475" s="21" t="s">
        <v>1812</v>
      </c>
    </row>
    <row r="476" spans="1:13">
      <c r="A476" s="19">
        <v>2531809</v>
      </c>
      <c r="B476" s="20" t="s">
        <v>2149</v>
      </c>
      <c r="C476" s="19" t="s">
        <v>2150</v>
      </c>
      <c r="D476" s="19" t="s">
        <v>2151</v>
      </c>
      <c r="E476" s="20" t="s">
        <v>84</v>
      </c>
      <c r="F476" s="20" t="s">
        <v>85</v>
      </c>
      <c r="G476" s="20" t="s">
        <v>26</v>
      </c>
      <c r="H476" s="20" t="s">
        <v>2152</v>
      </c>
      <c r="I476" s="20" t="s">
        <v>2153</v>
      </c>
      <c r="J476" s="20">
        <v>2</v>
      </c>
      <c r="K476" s="20" t="s">
        <v>206</v>
      </c>
      <c r="L476" s="20" t="s">
        <v>16</v>
      </c>
      <c r="M476" s="21"/>
    </row>
    <row r="477" spans="1:13">
      <c r="A477" s="22">
        <v>2512296</v>
      </c>
      <c r="B477" s="23" t="s">
        <v>2154</v>
      </c>
      <c r="C477" s="22" t="s">
        <v>2155</v>
      </c>
      <c r="D477" s="22" t="s">
        <v>2156</v>
      </c>
      <c r="E477" s="23" t="s">
        <v>84</v>
      </c>
      <c r="F477" s="23" t="s">
        <v>92</v>
      </c>
      <c r="G477" s="23" t="s">
        <v>26</v>
      </c>
      <c r="H477" s="23" t="s">
        <v>2157</v>
      </c>
      <c r="I477" s="23" t="s">
        <v>2153</v>
      </c>
      <c r="J477" s="20">
        <v>5</v>
      </c>
      <c r="K477" s="23" t="s">
        <v>206</v>
      </c>
      <c r="L477" s="23" t="s">
        <v>16</v>
      </c>
      <c r="M477" s="24" t="s">
        <v>1323</v>
      </c>
    </row>
    <row r="478" spans="1:13">
      <c r="A478" s="19">
        <v>2512358</v>
      </c>
      <c r="B478" s="20" t="s">
        <v>2144</v>
      </c>
      <c r="C478" s="19" t="s">
        <v>2145</v>
      </c>
      <c r="D478" s="19" t="s">
        <v>2146</v>
      </c>
      <c r="E478" s="20" t="s">
        <v>84</v>
      </c>
      <c r="F478" s="20" t="s">
        <v>112</v>
      </c>
      <c r="G478" s="20" t="s">
        <v>26</v>
      </c>
      <c r="H478" s="20" t="s">
        <v>2158</v>
      </c>
      <c r="I478" s="20" t="s">
        <v>2159</v>
      </c>
      <c r="J478" s="20">
        <v>5</v>
      </c>
      <c r="K478" s="20" t="s">
        <v>206</v>
      </c>
      <c r="L478" s="20" t="s">
        <v>18</v>
      </c>
      <c r="M478" s="21" t="s">
        <v>1812</v>
      </c>
    </row>
    <row r="479" spans="1:13">
      <c r="A479" s="22">
        <v>2522828</v>
      </c>
      <c r="B479" s="23" t="s">
        <v>2160</v>
      </c>
      <c r="C479" s="22" t="s">
        <v>2161</v>
      </c>
      <c r="D479" s="22" t="s">
        <v>2162</v>
      </c>
      <c r="E479" s="23" t="s">
        <v>84</v>
      </c>
      <c r="F479" s="23" t="s">
        <v>85</v>
      </c>
      <c r="G479" s="23" t="s">
        <v>26</v>
      </c>
      <c r="H479" s="23" t="s">
        <v>2163</v>
      </c>
      <c r="I479" s="23" t="s">
        <v>2164</v>
      </c>
      <c r="J479" s="20">
        <v>2</v>
      </c>
      <c r="K479" s="23" t="s">
        <v>206</v>
      </c>
      <c r="L479" s="23" t="s">
        <v>18</v>
      </c>
      <c r="M479" s="24"/>
    </row>
    <row r="480" spans="1:13">
      <c r="A480" s="19">
        <v>2521696</v>
      </c>
      <c r="B480" s="20" t="s">
        <v>2165</v>
      </c>
      <c r="C480" s="19" t="s">
        <v>2166</v>
      </c>
      <c r="D480" s="19" t="s">
        <v>2167</v>
      </c>
      <c r="E480" s="20" t="s">
        <v>84</v>
      </c>
      <c r="F480" s="20" t="s">
        <v>92</v>
      </c>
      <c r="G480" s="20" t="s">
        <v>26</v>
      </c>
      <c r="H480" s="20" t="s">
        <v>2168</v>
      </c>
      <c r="I480" s="20" t="s">
        <v>2169</v>
      </c>
      <c r="J480" s="23">
        <v>1</v>
      </c>
      <c r="K480" s="20" t="s">
        <v>19</v>
      </c>
      <c r="L480" s="20" t="s">
        <v>16</v>
      </c>
      <c r="M480" s="21"/>
    </row>
    <row r="481" spans="1:13">
      <c r="A481" s="19">
        <v>2522834</v>
      </c>
      <c r="B481" s="20" t="s">
        <v>2170</v>
      </c>
      <c r="C481" s="19" t="s">
        <v>2171</v>
      </c>
      <c r="D481" s="19" t="s">
        <v>2172</v>
      </c>
      <c r="E481" s="20" t="s">
        <v>84</v>
      </c>
      <c r="F481" s="20" t="s">
        <v>112</v>
      </c>
      <c r="G481" s="20" t="s">
        <v>26</v>
      </c>
      <c r="H481" s="20" t="s">
        <v>2173</v>
      </c>
      <c r="I481" s="20" t="s">
        <v>2174</v>
      </c>
      <c r="J481" s="20">
        <v>2</v>
      </c>
      <c r="K481" s="20" t="s">
        <v>206</v>
      </c>
      <c r="L481" s="20" t="s">
        <v>18</v>
      </c>
      <c r="M481" s="21" t="s">
        <v>864</v>
      </c>
    </row>
    <row r="482" spans="1:13">
      <c r="A482" s="19">
        <v>2522810</v>
      </c>
      <c r="B482" s="20" t="s">
        <v>2175</v>
      </c>
      <c r="C482" s="19" t="s">
        <v>2176</v>
      </c>
      <c r="D482" s="19" t="s">
        <v>2177</v>
      </c>
      <c r="E482" s="20" t="s">
        <v>84</v>
      </c>
      <c r="F482" s="20" t="s">
        <v>112</v>
      </c>
      <c r="G482" s="20" t="s">
        <v>26</v>
      </c>
      <c r="H482" s="20" t="s">
        <v>2178</v>
      </c>
      <c r="I482" s="20" t="s">
        <v>2179</v>
      </c>
      <c r="J482" s="20">
        <v>2</v>
      </c>
      <c r="K482" s="20" t="s">
        <v>17</v>
      </c>
      <c r="L482" s="20" t="s">
        <v>18</v>
      </c>
      <c r="M482" s="21"/>
    </row>
    <row r="483" spans="1:13">
      <c r="A483" s="22">
        <v>2522810</v>
      </c>
      <c r="B483" s="23" t="s">
        <v>2175</v>
      </c>
      <c r="C483" s="22" t="s">
        <v>2176</v>
      </c>
      <c r="D483" s="22" t="s">
        <v>2177</v>
      </c>
      <c r="E483" s="23" t="s">
        <v>84</v>
      </c>
      <c r="F483" s="23" t="s">
        <v>85</v>
      </c>
      <c r="G483" s="23" t="s">
        <v>26</v>
      </c>
      <c r="H483" s="23" t="s">
        <v>2180</v>
      </c>
      <c r="I483" s="23" t="s">
        <v>2180</v>
      </c>
      <c r="J483" s="20">
        <v>2</v>
      </c>
      <c r="K483" s="23" t="s">
        <v>17</v>
      </c>
      <c r="L483" s="23" t="s">
        <v>18</v>
      </c>
      <c r="M483" s="24"/>
    </row>
    <row r="484" spans="1:13">
      <c r="A484" s="22">
        <v>2512288</v>
      </c>
      <c r="B484" s="23" t="s">
        <v>2181</v>
      </c>
      <c r="C484" s="22" t="s">
        <v>2182</v>
      </c>
      <c r="D484" s="22" t="s">
        <v>2183</v>
      </c>
      <c r="E484" s="23" t="s">
        <v>84</v>
      </c>
      <c r="F484" s="23" t="s">
        <v>85</v>
      </c>
      <c r="G484" s="23" t="s">
        <v>26</v>
      </c>
      <c r="H484" s="23" t="s">
        <v>2184</v>
      </c>
      <c r="I484" s="23" t="s">
        <v>2185</v>
      </c>
      <c r="J484" s="23">
        <v>1</v>
      </c>
      <c r="K484" s="23" t="s">
        <v>206</v>
      </c>
      <c r="L484" s="23" t="s">
        <v>18</v>
      </c>
      <c r="M484" s="24"/>
    </row>
    <row r="485" spans="1:13">
      <c r="A485" s="19">
        <v>2512344</v>
      </c>
      <c r="B485" s="20" t="s">
        <v>2186</v>
      </c>
      <c r="C485" s="19" t="s">
        <v>2187</v>
      </c>
      <c r="D485" s="19" t="s">
        <v>2188</v>
      </c>
      <c r="E485" s="20" t="s">
        <v>84</v>
      </c>
      <c r="F485" s="20" t="s">
        <v>85</v>
      </c>
      <c r="G485" s="20" t="s">
        <v>26</v>
      </c>
      <c r="H485" s="20" t="s">
        <v>2189</v>
      </c>
      <c r="I485" s="20" t="s">
        <v>2190</v>
      </c>
      <c r="J485" s="34" t="s">
        <v>34</v>
      </c>
      <c r="K485" s="20" t="s">
        <v>206</v>
      </c>
      <c r="L485" s="20" t="s">
        <v>16</v>
      </c>
      <c r="M485" s="21" t="s">
        <v>2032</v>
      </c>
    </row>
    <row r="486" spans="1:13">
      <c r="A486" s="19">
        <v>2529781</v>
      </c>
      <c r="B486" s="20" t="s">
        <v>2191</v>
      </c>
      <c r="C486" s="19" t="s">
        <v>2192</v>
      </c>
      <c r="D486" s="19" t="s">
        <v>2193</v>
      </c>
      <c r="E486" s="20" t="s">
        <v>84</v>
      </c>
      <c r="F486" s="20" t="s">
        <v>92</v>
      </c>
      <c r="G486" s="20" t="s">
        <v>26</v>
      </c>
      <c r="H486" s="20" t="s">
        <v>2194</v>
      </c>
      <c r="I486" s="20" t="s">
        <v>2195</v>
      </c>
      <c r="J486" s="20">
        <v>2</v>
      </c>
      <c r="K486" s="20" t="s">
        <v>206</v>
      </c>
      <c r="L486" s="20" t="s">
        <v>16</v>
      </c>
      <c r="M486" s="21" t="s">
        <v>864</v>
      </c>
    </row>
    <row r="487" spans="1:13">
      <c r="A487" s="19">
        <v>2512355</v>
      </c>
      <c r="B487" s="20" t="s">
        <v>2196</v>
      </c>
      <c r="C487" s="19" t="s">
        <v>2197</v>
      </c>
      <c r="D487" s="19" t="s">
        <v>2198</v>
      </c>
      <c r="E487" s="20" t="s">
        <v>219</v>
      </c>
      <c r="F487" s="20" t="s">
        <v>85</v>
      </c>
      <c r="G487" s="20" t="s">
        <v>26</v>
      </c>
      <c r="H487" s="20" t="s">
        <v>2199</v>
      </c>
      <c r="I487" s="20" t="s">
        <v>2200</v>
      </c>
      <c r="J487" s="34" t="s">
        <v>34</v>
      </c>
      <c r="K487" s="20" t="s">
        <v>206</v>
      </c>
      <c r="L487" s="20" t="s">
        <v>16</v>
      </c>
      <c r="M487" s="21"/>
    </row>
    <row r="488" spans="1:13">
      <c r="A488" s="22">
        <v>2519590</v>
      </c>
      <c r="B488" s="23" t="s">
        <v>2201</v>
      </c>
      <c r="C488" s="22" t="s">
        <v>2202</v>
      </c>
      <c r="D488" s="22" t="s">
        <v>2203</v>
      </c>
      <c r="E488" s="23" t="s">
        <v>384</v>
      </c>
      <c r="F488" s="23" t="s">
        <v>85</v>
      </c>
      <c r="G488" s="23" t="s">
        <v>26</v>
      </c>
      <c r="H488" s="23" t="s">
        <v>2204</v>
      </c>
      <c r="I488" s="23" t="s">
        <v>2205</v>
      </c>
      <c r="J488" s="34" t="s">
        <v>34</v>
      </c>
      <c r="K488" s="23" t="s">
        <v>206</v>
      </c>
      <c r="L488" s="23" t="s">
        <v>16</v>
      </c>
      <c r="M488" s="24" t="s">
        <v>49</v>
      </c>
    </row>
    <row r="489" spans="1:13">
      <c r="A489" s="22">
        <v>2512323</v>
      </c>
      <c r="B489" s="23" t="s">
        <v>2206</v>
      </c>
      <c r="C489" s="22" t="s">
        <v>2207</v>
      </c>
      <c r="D489" s="22" t="s">
        <v>2208</v>
      </c>
      <c r="E489" s="23" t="s">
        <v>84</v>
      </c>
      <c r="F489" s="23" t="s">
        <v>92</v>
      </c>
      <c r="G489" s="23" t="s">
        <v>26</v>
      </c>
      <c r="H489" s="23" t="s">
        <v>2209</v>
      </c>
      <c r="I489" s="23" t="s">
        <v>2210</v>
      </c>
      <c r="J489" s="23">
        <v>1</v>
      </c>
      <c r="K489" s="23" t="s">
        <v>206</v>
      </c>
      <c r="L489" s="23" t="s">
        <v>16</v>
      </c>
      <c r="M489" s="24"/>
    </row>
    <row r="490" spans="1:13">
      <c r="A490" s="19">
        <v>2512361</v>
      </c>
      <c r="B490" s="20" t="s">
        <v>2211</v>
      </c>
      <c r="C490" s="19" t="s">
        <v>2212</v>
      </c>
      <c r="D490" s="19" t="s">
        <v>2213</v>
      </c>
      <c r="E490" s="20" t="s">
        <v>415</v>
      </c>
      <c r="F490" s="20" t="s">
        <v>85</v>
      </c>
      <c r="G490" s="20" t="s">
        <v>26</v>
      </c>
      <c r="H490" s="20" t="s">
        <v>2214</v>
      </c>
      <c r="I490" s="20" t="s">
        <v>2215</v>
      </c>
      <c r="J490" s="23">
        <v>1</v>
      </c>
      <c r="K490" s="20" t="s">
        <v>206</v>
      </c>
      <c r="L490" s="20" t="s">
        <v>18</v>
      </c>
      <c r="M490" s="21"/>
    </row>
    <row r="491" spans="1:13">
      <c r="A491" s="22">
        <v>2512361</v>
      </c>
      <c r="B491" s="23" t="s">
        <v>2211</v>
      </c>
      <c r="C491" s="22" t="s">
        <v>2212</v>
      </c>
      <c r="D491" s="22" t="s">
        <v>2213</v>
      </c>
      <c r="E491" s="23" t="s">
        <v>415</v>
      </c>
      <c r="F491" s="23" t="s">
        <v>85</v>
      </c>
      <c r="G491" s="23" t="s">
        <v>26</v>
      </c>
      <c r="H491" s="23" t="s">
        <v>2214</v>
      </c>
      <c r="I491" s="23" t="s">
        <v>2216</v>
      </c>
      <c r="J491" s="23">
        <v>1</v>
      </c>
      <c r="K491" s="23" t="s">
        <v>206</v>
      </c>
      <c r="L491" s="23" t="s">
        <v>18</v>
      </c>
      <c r="M491" s="24"/>
    </row>
    <row r="492" spans="1:13">
      <c r="A492" s="22">
        <v>2524532</v>
      </c>
      <c r="B492" s="23" t="s">
        <v>2217</v>
      </c>
      <c r="C492" s="22" t="s">
        <v>2218</v>
      </c>
      <c r="D492" s="22" t="s">
        <v>2219</v>
      </c>
      <c r="E492" s="23" t="s">
        <v>127</v>
      </c>
      <c r="F492" s="23" t="s">
        <v>85</v>
      </c>
      <c r="G492" s="23" t="s">
        <v>26</v>
      </c>
      <c r="H492" s="23" t="s">
        <v>2220</v>
      </c>
      <c r="I492" s="23" t="s">
        <v>2221</v>
      </c>
      <c r="J492" s="23">
        <v>1</v>
      </c>
      <c r="K492" s="23" t="s">
        <v>19</v>
      </c>
      <c r="L492" s="23" t="s">
        <v>16</v>
      </c>
      <c r="M492" s="24"/>
    </row>
    <row r="493" spans="1:13">
      <c r="A493" s="19">
        <v>2524976</v>
      </c>
      <c r="B493" s="20" t="s">
        <v>2222</v>
      </c>
      <c r="C493" s="19" t="s">
        <v>2223</v>
      </c>
      <c r="D493" s="19" t="s">
        <v>2224</v>
      </c>
      <c r="E493" s="20" t="s">
        <v>84</v>
      </c>
      <c r="F493" s="20" t="s">
        <v>85</v>
      </c>
      <c r="G493" s="20" t="s">
        <v>26</v>
      </c>
      <c r="H493" s="20" t="s">
        <v>2225</v>
      </c>
      <c r="I493" s="20" t="s">
        <v>2226</v>
      </c>
      <c r="J493" s="23">
        <v>1</v>
      </c>
      <c r="K493" s="20" t="s">
        <v>967</v>
      </c>
      <c r="L493" s="20" t="s">
        <v>16</v>
      </c>
      <c r="M493" s="21"/>
    </row>
    <row r="494" spans="1:13">
      <c r="A494" s="19">
        <v>2524982</v>
      </c>
      <c r="B494" s="20" t="s">
        <v>2227</v>
      </c>
      <c r="C494" s="19" t="s">
        <v>2228</v>
      </c>
      <c r="D494" s="19" t="s">
        <v>2229</v>
      </c>
      <c r="E494" s="20" t="s">
        <v>84</v>
      </c>
      <c r="F494" s="20" t="s">
        <v>85</v>
      </c>
      <c r="G494" s="20" t="s">
        <v>26</v>
      </c>
      <c r="H494" s="20" t="s">
        <v>2230</v>
      </c>
      <c r="I494" s="20" t="s">
        <v>2231</v>
      </c>
      <c r="J494" s="23">
        <v>3</v>
      </c>
      <c r="K494" s="20" t="s">
        <v>19</v>
      </c>
      <c r="L494" s="20" t="s">
        <v>16</v>
      </c>
      <c r="M494" s="21"/>
    </row>
    <row r="495" spans="1:13">
      <c r="A495" s="22">
        <v>2525002</v>
      </c>
      <c r="B495" s="23" t="s">
        <v>2232</v>
      </c>
      <c r="C495" s="22" t="s">
        <v>2233</v>
      </c>
      <c r="D495" s="22" t="s">
        <v>2234</v>
      </c>
      <c r="E495" s="23" t="s">
        <v>415</v>
      </c>
      <c r="F495" s="23" t="s">
        <v>85</v>
      </c>
      <c r="G495" s="23" t="s">
        <v>26</v>
      </c>
      <c r="H495" s="23" t="s">
        <v>2235</v>
      </c>
      <c r="I495" s="23" t="s">
        <v>2236</v>
      </c>
      <c r="J495" s="23">
        <v>3</v>
      </c>
      <c r="K495" s="23" t="s">
        <v>19</v>
      </c>
      <c r="L495" s="23" t="s">
        <v>16</v>
      </c>
      <c r="M495" s="24"/>
    </row>
    <row r="496" spans="1:13">
      <c r="A496" s="22">
        <v>2524982</v>
      </c>
      <c r="B496" s="23" t="s">
        <v>2237</v>
      </c>
      <c r="C496" s="22" t="s">
        <v>2228</v>
      </c>
      <c r="D496" s="22" t="s">
        <v>2229</v>
      </c>
      <c r="E496" s="23" t="s">
        <v>84</v>
      </c>
      <c r="F496" s="23" t="s">
        <v>85</v>
      </c>
      <c r="G496" s="23" t="s">
        <v>26</v>
      </c>
      <c r="H496" s="23" t="s">
        <v>2230</v>
      </c>
      <c r="I496" s="23" t="s">
        <v>2231</v>
      </c>
      <c r="J496" s="23">
        <v>3</v>
      </c>
      <c r="K496" s="23" t="s">
        <v>19</v>
      </c>
      <c r="L496" s="23" t="s">
        <v>16</v>
      </c>
      <c r="M496" s="24" t="s">
        <v>38</v>
      </c>
    </row>
    <row r="497" spans="1:13">
      <c r="A497" s="22">
        <v>2525002</v>
      </c>
      <c r="B497" s="23" t="s">
        <v>2238</v>
      </c>
      <c r="C497" s="22" t="s">
        <v>2233</v>
      </c>
      <c r="D497" s="22" t="s">
        <v>2234</v>
      </c>
      <c r="E497" s="23" t="s">
        <v>415</v>
      </c>
      <c r="F497" s="23" t="s">
        <v>85</v>
      </c>
      <c r="G497" s="23" t="s">
        <v>26</v>
      </c>
      <c r="H497" s="23" t="s">
        <v>2239</v>
      </c>
      <c r="I497" s="23" t="s">
        <v>2231</v>
      </c>
      <c r="J497" s="23">
        <v>3</v>
      </c>
      <c r="K497" s="23" t="s">
        <v>19</v>
      </c>
      <c r="L497" s="23" t="s">
        <v>16</v>
      </c>
      <c r="M497" s="24"/>
    </row>
    <row r="498" spans="1:13">
      <c r="A498" s="22">
        <v>2523378</v>
      </c>
      <c r="B498" s="23" t="s">
        <v>2240</v>
      </c>
      <c r="C498" s="22" t="s">
        <v>2241</v>
      </c>
      <c r="D498" s="22" t="s">
        <v>2242</v>
      </c>
      <c r="E498" s="23" t="s">
        <v>84</v>
      </c>
      <c r="F498" s="23" t="s">
        <v>85</v>
      </c>
      <c r="G498" s="23" t="s">
        <v>26</v>
      </c>
      <c r="H498" s="23" t="s">
        <v>2243</v>
      </c>
      <c r="I498" s="23" t="s">
        <v>2244</v>
      </c>
      <c r="J498" s="20">
        <v>4</v>
      </c>
      <c r="K498" s="23" t="s">
        <v>19</v>
      </c>
      <c r="L498" s="23" t="s">
        <v>16</v>
      </c>
      <c r="M498" s="24"/>
    </row>
    <row r="499" spans="1:13">
      <c r="A499" s="19">
        <v>2507496</v>
      </c>
      <c r="B499" s="20" t="s">
        <v>2245</v>
      </c>
      <c r="C499" s="19" t="s">
        <v>2246</v>
      </c>
      <c r="D499" s="19" t="s">
        <v>2247</v>
      </c>
      <c r="E499" s="20" t="s">
        <v>84</v>
      </c>
      <c r="F499" s="20" t="s">
        <v>85</v>
      </c>
      <c r="G499" s="20" t="s">
        <v>26</v>
      </c>
      <c r="H499" s="20" t="s">
        <v>2248</v>
      </c>
      <c r="I499" s="20" t="s">
        <v>2248</v>
      </c>
      <c r="J499" s="20">
        <v>5</v>
      </c>
      <c r="K499" s="20" t="s">
        <v>2249</v>
      </c>
      <c r="L499" s="20" t="s">
        <v>16</v>
      </c>
      <c r="M499" s="21"/>
    </row>
    <row r="500" spans="1:13">
      <c r="A500" s="22">
        <v>2524490</v>
      </c>
      <c r="B500" s="23" t="s">
        <v>2250</v>
      </c>
      <c r="C500" s="22" t="s">
        <v>2251</v>
      </c>
      <c r="D500" s="22" t="s">
        <v>2252</v>
      </c>
      <c r="E500" s="23" t="s">
        <v>84</v>
      </c>
      <c r="F500" s="23" t="s">
        <v>85</v>
      </c>
      <c r="G500" s="23" t="s">
        <v>26</v>
      </c>
      <c r="H500" s="23" t="s">
        <v>2253</v>
      </c>
      <c r="I500" s="23" t="s">
        <v>2254</v>
      </c>
      <c r="J500" s="23">
        <v>1</v>
      </c>
      <c r="K500" s="23" t="s">
        <v>19</v>
      </c>
      <c r="L500" s="23" t="s">
        <v>18</v>
      </c>
      <c r="M500" s="24"/>
    </row>
    <row r="501" spans="1:13">
      <c r="A501" s="19">
        <v>2529536</v>
      </c>
      <c r="B501" s="20" t="s">
        <v>2255</v>
      </c>
      <c r="C501" s="19" t="s">
        <v>2256</v>
      </c>
      <c r="D501" s="19" t="s">
        <v>2257</v>
      </c>
      <c r="E501" s="20" t="s">
        <v>127</v>
      </c>
      <c r="F501" s="20" t="s">
        <v>85</v>
      </c>
      <c r="G501" s="20" t="s">
        <v>26</v>
      </c>
      <c r="H501" s="20" t="s">
        <v>2258</v>
      </c>
      <c r="I501" s="20" t="s">
        <v>2259</v>
      </c>
      <c r="J501" s="20">
        <v>5</v>
      </c>
      <c r="K501" s="20" t="s">
        <v>2260</v>
      </c>
      <c r="L501" s="20" t="s">
        <v>16</v>
      </c>
      <c r="M501" s="21" t="s">
        <v>864</v>
      </c>
    </row>
    <row r="502" spans="1:13">
      <c r="A502" s="22">
        <v>2511228</v>
      </c>
      <c r="B502" s="23" t="s">
        <v>2261</v>
      </c>
      <c r="C502" s="22" t="s">
        <v>2262</v>
      </c>
      <c r="D502" s="22" t="s">
        <v>2263</v>
      </c>
      <c r="E502" s="23" t="s">
        <v>84</v>
      </c>
      <c r="F502" s="23" t="s">
        <v>112</v>
      </c>
      <c r="G502" s="23" t="s">
        <v>26</v>
      </c>
      <c r="H502" s="23" t="s">
        <v>2264</v>
      </c>
      <c r="I502" s="23" t="s">
        <v>2265</v>
      </c>
      <c r="J502" s="20">
        <v>2</v>
      </c>
      <c r="K502" s="23" t="s">
        <v>19</v>
      </c>
      <c r="L502" s="23" t="s">
        <v>16</v>
      </c>
      <c r="M502" s="24" t="s">
        <v>1898</v>
      </c>
    </row>
    <row r="503" spans="1:13">
      <c r="A503" s="22">
        <v>2525045</v>
      </c>
      <c r="B503" s="23" t="s">
        <v>2266</v>
      </c>
      <c r="C503" s="22" t="s">
        <v>2267</v>
      </c>
      <c r="D503" s="22" t="s">
        <v>2268</v>
      </c>
      <c r="E503" s="23" t="s">
        <v>415</v>
      </c>
      <c r="F503" s="23" t="s">
        <v>92</v>
      </c>
      <c r="G503" s="23" t="s">
        <v>26</v>
      </c>
      <c r="H503" s="23" t="s">
        <v>2269</v>
      </c>
      <c r="I503" s="23" t="s">
        <v>2270</v>
      </c>
      <c r="J503" s="23">
        <v>1</v>
      </c>
      <c r="K503" s="23" t="s">
        <v>19</v>
      </c>
      <c r="L503" s="23" t="s">
        <v>18</v>
      </c>
      <c r="M503" s="24"/>
    </row>
    <row r="504" spans="1:13">
      <c r="A504" s="22">
        <v>2525083</v>
      </c>
      <c r="B504" s="23" t="s">
        <v>2271</v>
      </c>
      <c r="C504" s="22" t="s">
        <v>2272</v>
      </c>
      <c r="D504" s="22" t="s">
        <v>2273</v>
      </c>
      <c r="E504" s="23" t="s">
        <v>84</v>
      </c>
      <c r="F504" s="23" t="s">
        <v>85</v>
      </c>
      <c r="G504" s="23" t="s">
        <v>26</v>
      </c>
      <c r="H504" s="23" t="s">
        <v>2274</v>
      </c>
      <c r="I504" s="23" t="s">
        <v>2275</v>
      </c>
      <c r="J504" s="23">
        <v>3</v>
      </c>
      <c r="K504" s="23" t="s">
        <v>19</v>
      </c>
      <c r="L504" s="23" t="s">
        <v>16</v>
      </c>
      <c r="M504" s="24"/>
    </row>
    <row r="505" spans="1:13">
      <c r="A505" s="22">
        <v>2521062</v>
      </c>
      <c r="B505" s="23" t="s">
        <v>2276</v>
      </c>
      <c r="C505" s="22" t="s">
        <v>2277</v>
      </c>
      <c r="D505" s="22" t="s">
        <v>2278</v>
      </c>
      <c r="E505" s="23" t="s">
        <v>84</v>
      </c>
      <c r="F505" s="23" t="s">
        <v>85</v>
      </c>
      <c r="G505" s="23" t="s">
        <v>26</v>
      </c>
      <c r="H505" s="23" t="s">
        <v>2279</v>
      </c>
      <c r="I505" s="23" t="s">
        <v>2280</v>
      </c>
      <c r="J505" s="20">
        <v>2</v>
      </c>
      <c r="K505" s="23" t="s">
        <v>206</v>
      </c>
      <c r="L505" s="23" t="s">
        <v>18</v>
      </c>
      <c r="M505" s="24"/>
    </row>
    <row r="506" spans="1:13">
      <c r="A506" s="19">
        <v>2531977</v>
      </c>
      <c r="B506" s="20" t="s">
        <v>2281</v>
      </c>
      <c r="C506" s="19" t="s">
        <v>2282</v>
      </c>
      <c r="D506" s="19" t="s">
        <v>2283</v>
      </c>
      <c r="E506" s="20" t="s">
        <v>127</v>
      </c>
      <c r="F506" s="20" t="s">
        <v>85</v>
      </c>
      <c r="G506" s="20" t="s">
        <v>26</v>
      </c>
      <c r="H506" s="20" t="s">
        <v>2284</v>
      </c>
      <c r="I506" s="20" t="s">
        <v>2285</v>
      </c>
      <c r="J506" s="23">
        <v>1</v>
      </c>
      <c r="K506" s="20" t="s">
        <v>206</v>
      </c>
      <c r="L506" s="20" t="s">
        <v>16</v>
      </c>
      <c r="M506" s="21"/>
    </row>
    <row r="507" spans="1:13">
      <c r="A507" s="22">
        <v>2516861</v>
      </c>
      <c r="B507" s="23" t="s">
        <v>2286</v>
      </c>
      <c r="C507" s="22" t="s">
        <v>2287</v>
      </c>
      <c r="D507" s="22" t="s">
        <v>2288</v>
      </c>
      <c r="E507" s="23" t="s">
        <v>84</v>
      </c>
      <c r="F507" s="23" t="s">
        <v>85</v>
      </c>
      <c r="G507" s="23" t="s">
        <v>26</v>
      </c>
      <c r="H507" s="23" t="s">
        <v>2289</v>
      </c>
      <c r="I507" s="23" t="s">
        <v>2290</v>
      </c>
      <c r="J507" s="20">
        <v>2</v>
      </c>
      <c r="K507" s="23" t="s">
        <v>17</v>
      </c>
      <c r="L507" s="23" t="s">
        <v>16</v>
      </c>
      <c r="M507" s="24"/>
    </row>
    <row r="508" spans="1:13">
      <c r="A508" s="19">
        <v>2519582</v>
      </c>
      <c r="B508" s="20" t="s">
        <v>2291</v>
      </c>
      <c r="C508" s="19" t="s">
        <v>2292</v>
      </c>
      <c r="D508" s="19" t="s">
        <v>2293</v>
      </c>
      <c r="E508" s="20" t="s">
        <v>84</v>
      </c>
      <c r="F508" s="20" t="s">
        <v>85</v>
      </c>
      <c r="G508" s="20" t="s">
        <v>26</v>
      </c>
      <c r="H508" s="20" t="s">
        <v>2294</v>
      </c>
      <c r="I508" s="20" t="s">
        <v>2295</v>
      </c>
      <c r="J508" s="23">
        <v>1</v>
      </c>
      <c r="K508" s="20" t="s">
        <v>206</v>
      </c>
      <c r="L508" s="20" t="s">
        <v>16</v>
      </c>
      <c r="M508" s="21"/>
    </row>
    <row r="509" spans="1:13">
      <c r="A509" s="22">
        <v>2529635</v>
      </c>
      <c r="B509" s="23" t="s">
        <v>2296</v>
      </c>
      <c r="C509" s="22" t="s">
        <v>2297</v>
      </c>
      <c r="D509" s="22" t="s">
        <v>2298</v>
      </c>
      <c r="E509" s="23" t="s">
        <v>84</v>
      </c>
      <c r="F509" s="23" t="s">
        <v>85</v>
      </c>
      <c r="G509" s="23" t="s">
        <v>26</v>
      </c>
      <c r="H509" s="23" t="s">
        <v>2299</v>
      </c>
      <c r="I509" s="23" t="s">
        <v>2300</v>
      </c>
      <c r="J509" s="23">
        <v>3</v>
      </c>
      <c r="K509" s="23" t="s">
        <v>206</v>
      </c>
      <c r="L509" s="23" t="s">
        <v>16</v>
      </c>
      <c r="M509" s="24" t="s">
        <v>2032</v>
      </c>
    </row>
    <row r="510" spans="1:13">
      <c r="A510" s="22">
        <v>2519582</v>
      </c>
      <c r="B510" s="23" t="s">
        <v>2291</v>
      </c>
      <c r="C510" s="22" t="s">
        <v>2292</v>
      </c>
      <c r="D510" s="22" t="s">
        <v>2293</v>
      </c>
      <c r="E510" s="23" t="s">
        <v>84</v>
      </c>
      <c r="F510" s="23" t="s">
        <v>85</v>
      </c>
      <c r="G510" s="23" t="s">
        <v>26</v>
      </c>
      <c r="H510" s="23" t="s">
        <v>2301</v>
      </c>
      <c r="I510" s="23" t="s">
        <v>2302</v>
      </c>
      <c r="J510" s="23">
        <v>1</v>
      </c>
      <c r="K510" s="23" t="s">
        <v>206</v>
      </c>
      <c r="L510" s="23" t="s">
        <v>16</v>
      </c>
      <c r="M510" s="24"/>
    </row>
    <row r="511" spans="1:13">
      <c r="A511" s="22">
        <v>2519587</v>
      </c>
      <c r="B511" s="23" t="s">
        <v>2303</v>
      </c>
      <c r="C511" s="22" t="s">
        <v>2304</v>
      </c>
      <c r="D511" s="22" t="s">
        <v>2305</v>
      </c>
      <c r="E511" s="23" t="s">
        <v>127</v>
      </c>
      <c r="F511" s="23" t="s">
        <v>85</v>
      </c>
      <c r="G511" s="23" t="s">
        <v>26</v>
      </c>
      <c r="H511" s="23" t="s">
        <v>2306</v>
      </c>
      <c r="I511" s="23" t="s">
        <v>2306</v>
      </c>
      <c r="J511" s="20">
        <v>2</v>
      </c>
      <c r="K511" s="23" t="s">
        <v>206</v>
      </c>
      <c r="L511" s="23" t="s">
        <v>16</v>
      </c>
      <c r="M511" s="24"/>
    </row>
    <row r="512" spans="1:13">
      <c r="A512" s="22">
        <v>2519587</v>
      </c>
      <c r="B512" s="23" t="s">
        <v>2303</v>
      </c>
      <c r="C512" s="22" t="s">
        <v>2304</v>
      </c>
      <c r="D512" s="22" t="s">
        <v>2305</v>
      </c>
      <c r="E512" s="23" t="s">
        <v>127</v>
      </c>
      <c r="F512" s="23" t="s">
        <v>85</v>
      </c>
      <c r="G512" s="23" t="s">
        <v>26</v>
      </c>
      <c r="H512" s="23" t="s">
        <v>2307</v>
      </c>
      <c r="I512" s="23" t="s">
        <v>2307</v>
      </c>
      <c r="J512" s="20">
        <v>2</v>
      </c>
      <c r="K512" s="23" t="s">
        <v>206</v>
      </c>
      <c r="L512" s="23" t="s">
        <v>16</v>
      </c>
      <c r="M512" s="24"/>
    </row>
    <row r="513" spans="1:13">
      <c r="A513" s="19">
        <v>2519826</v>
      </c>
      <c r="B513" s="20" t="s">
        <v>2308</v>
      </c>
      <c r="C513" s="19" t="s">
        <v>2309</v>
      </c>
      <c r="D513" s="19" t="s">
        <v>2310</v>
      </c>
      <c r="E513" s="20" t="s">
        <v>84</v>
      </c>
      <c r="F513" s="20" t="s">
        <v>85</v>
      </c>
      <c r="G513" s="20" t="s">
        <v>26</v>
      </c>
      <c r="H513" s="20" t="s">
        <v>2311</v>
      </c>
      <c r="I513" s="20" t="s">
        <v>2311</v>
      </c>
      <c r="J513" s="20">
        <v>2</v>
      </c>
      <c r="K513" s="20" t="s">
        <v>206</v>
      </c>
      <c r="L513" s="20" t="s">
        <v>16</v>
      </c>
      <c r="M513" s="21"/>
    </row>
    <row r="514" spans="1:13">
      <c r="A514" s="19">
        <v>2524574</v>
      </c>
      <c r="B514" s="20" t="s">
        <v>2312</v>
      </c>
      <c r="C514" s="19" t="s">
        <v>2313</v>
      </c>
      <c r="D514" s="19" t="s">
        <v>2314</v>
      </c>
      <c r="E514" s="20" t="s">
        <v>84</v>
      </c>
      <c r="F514" s="20" t="s">
        <v>85</v>
      </c>
      <c r="G514" s="20" t="s">
        <v>26</v>
      </c>
      <c r="H514" s="20" t="s">
        <v>2315</v>
      </c>
      <c r="I514" s="20" t="s">
        <v>2316</v>
      </c>
      <c r="J514" s="20">
        <v>2</v>
      </c>
      <c r="K514" s="20" t="s">
        <v>206</v>
      </c>
      <c r="L514" s="20" t="s">
        <v>16</v>
      </c>
      <c r="M514" s="21"/>
    </row>
    <row r="515" spans="1:13">
      <c r="A515" s="22">
        <v>2529628</v>
      </c>
      <c r="B515" s="23" t="s">
        <v>2317</v>
      </c>
      <c r="C515" s="22" t="s">
        <v>2318</v>
      </c>
      <c r="D515" s="22" t="s">
        <v>2319</v>
      </c>
      <c r="E515" s="23" t="s">
        <v>84</v>
      </c>
      <c r="F515" s="23" t="s">
        <v>85</v>
      </c>
      <c r="G515" s="23" t="s">
        <v>26</v>
      </c>
      <c r="H515" s="23" t="s">
        <v>2320</v>
      </c>
      <c r="I515" s="23" t="s">
        <v>2321</v>
      </c>
      <c r="J515" s="23">
        <v>3</v>
      </c>
      <c r="K515" s="23" t="s">
        <v>206</v>
      </c>
      <c r="L515" s="23" t="s">
        <v>16</v>
      </c>
      <c r="M515" s="24"/>
    </row>
    <row r="516" spans="1:13">
      <c r="A516" s="22">
        <v>2524574</v>
      </c>
      <c r="B516" s="23" t="s">
        <v>2312</v>
      </c>
      <c r="C516" s="22" t="s">
        <v>2313</v>
      </c>
      <c r="D516" s="22" t="s">
        <v>2314</v>
      </c>
      <c r="E516" s="23" t="s">
        <v>84</v>
      </c>
      <c r="F516" s="23" t="s">
        <v>85</v>
      </c>
      <c r="G516" s="23" t="s">
        <v>26</v>
      </c>
      <c r="H516" s="23" t="s">
        <v>2322</v>
      </c>
      <c r="I516" s="23" t="s">
        <v>2323</v>
      </c>
      <c r="J516" s="20">
        <v>2</v>
      </c>
      <c r="K516" s="23" t="s">
        <v>206</v>
      </c>
      <c r="L516" s="23" t="s">
        <v>16</v>
      </c>
      <c r="M516" s="24"/>
    </row>
    <row r="517" spans="1:13">
      <c r="A517" s="22">
        <v>2519629</v>
      </c>
      <c r="B517" s="23" t="s">
        <v>2324</v>
      </c>
      <c r="C517" s="22" t="s">
        <v>2325</v>
      </c>
      <c r="D517" s="22" t="s">
        <v>2326</v>
      </c>
      <c r="E517" s="23" t="s">
        <v>84</v>
      </c>
      <c r="F517" s="23" t="s">
        <v>85</v>
      </c>
      <c r="G517" s="23" t="s">
        <v>24</v>
      </c>
      <c r="H517" s="23" t="s">
        <v>2327</v>
      </c>
      <c r="I517" s="23" t="s">
        <v>2328</v>
      </c>
      <c r="J517" s="23">
        <v>1</v>
      </c>
      <c r="K517" s="23" t="s">
        <v>206</v>
      </c>
      <c r="L517" s="23" t="s">
        <v>16</v>
      </c>
      <c r="M517" s="24"/>
    </row>
    <row r="518" spans="1:13">
      <c r="A518" s="22">
        <v>2519616</v>
      </c>
      <c r="B518" s="23" t="s">
        <v>2329</v>
      </c>
      <c r="C518" s="22" t="s">
        <v>2330</v>
      </c>
      <c r="D518" s="22" t="s">
        <v>2331</v>
      </c>
      <c r="E518" s="23" t="s">
        <v>127</v>
      </c>
      <c r="F518" s="23" t="s">
        <v>92</v>
      </c>
      <c r="G518" s="23" t="s">
        <v>26</v>
      </c>
      <c r="H518" s="23" t="s">
        <v>2332</v>
      </c>
      <c r="I518" s="23" t="s">
        <v>2333</v>
      </c>
      <c r="J518" s="34" t="s">
        <v>34</v>
      </c>
      <c r="K518" s="23" t="s">
        <v>107</v>
      </c>
      <c r="L518" s="23" t="s">
        <v>16</v>
      </c>
      <c r="M518" s="24"/>
    </row>
    <row r="519" spans="1:13">
      <c r="A519" s="22">
        <v>2524533</v>
      </c>
      <c r="B519" s="23" t="s">
        <v>2334</v>
      </c>
      <c r="C519" s="22" t="s">
        <v>2335</v>
      </c>
      <c r="D519" s="22" t="s">
        <v>2335</v>
      </c>
      <c r="E519" s="23" t="s">
        <v>84</v>
      </c>
      <c r="F519" s="23" t="s">
        <v>92</v>
      </c>
      <c r="G519" s="23" t="s">
        <v>26</v>
      </c>
      <c r="H519" s="23" t="s">
        <v>2336</v>
      </c>
      <c r="I519" s="23" t="s">
        <v>2337</v>
      </c>
      <c r="J519" s="33">
        <v>1</v>
      </c>
      <c r="K519" s="23" t="s">
        <v>19</v>
      </c>
      <c r="L519" s="23" t="s">
        <v>16</v>
      </c>
      <c r="M519" s="24"/>
    </row>
    <row r="520" spans="1:13">
      <c r="A520" s="19">
        <v>2519631</v>
      </c>
      <c r="B520" s="20" t="s">
        <v>2338</v>
      </c>
      <c r="C520" s="19" t="s">
        <v>2339</v>
      </c>
      <c r="D520" s="19" t="s">
        <v>2340</v>
      </c>
      <c r="E520" s="20" t="s">
        <v>415</v>
      </c>
      <c r="F520" s="20" t="s">
        <v>92</v>
      </c>
      <c r="G520" s="20" t="s">
        <v>26</v>
      </c>
      <c r="H520" s="20" t="s">
        <v>2341</v>
      </c>
      <c r="I520" s="20" t="s">
        <v>2341</v>
      </c>
      <c r="J520" s="34" t="s">
        <v>34</v>
      </c>
      <c r="K520" s="20" t="s">
        <v>107</v>
      </c>
      <c r="L520" s="20" t="s">
        <v>16</v>
      </c>
      <c r="M520" s="21"/>
    </row>
    <row r="521" spans="1:13">
      <c r="A521" s="19">
        <v>2525045</v>
      </c>
      <c r="B521" s="20" t="s">
        <v>2266</v>
      </c>
      <c r="C521" s="19" t="s">
        <v>2267</v>
      </c>
      <c r="D521" s="19" t="s">
        <v>2268</v>
      </c>
      <c r="E521" s="20" t="s">
        <v>415</v>
      </c>
      <c r="F521" s="20" t="s">
        <v>172</v>
      </c>
      <c r="G521" s="20" t="s">
        <v>26</v>
      </c>
      <c r="H521" s="20" t="s">
        <v>2342</v>
      </c>
      <c r="I521" s="20" t="s">
        <v>2270</v>
      </c>
      <c r="J521" s="23">
        <v>1</v>
      </c>
      <c r="K521" s="20" t="s">
        <v>19</v>
      </c>
      <c r="L521" s="20" t="s">
        <v>18</v>
      </c>
      <c r="M521" s="21"/>
    </row>
    <row r="522" spans="1:13">
      <c r="A522" s="19">
        <v>2520946</v>
      </c>
      <c r="B522" s="20" t="s">
        <v>2343</v>
      </c>
      <c r="C522" s="19" t="s">
        <v>2344</v>
      </c>
      <c r="D522" s="19" t="s">
        <v>2345</v>
      </c>
      <c r="E522" s="20" t="s">
        <v>84</v>
      </c>
      <c r="F522" s="20" t="s">
        <v>172</v>
      </c>
      <c r="G522" s="20" t="s">
        <v>26</v>
      </c>
      <c r="H522" s="20" t="s">
        <v>2346</v>
      </c>
      <c r="I522" s="20" t="s">
        <v>2347</v>
      </c>
      <c r="J522" s="23">
        <v>1</v>
      </c>
      <c r="K522" s="20" t="s">
        <v>19</v>
      </c>
      <c r="L522" s="20" t="s">
        <v>16</v>
      </c>
      <c r="M522" s="21" t="s">
        <v>49</v>
      </c>
    </row>
    <row r="523" spans="1:13">
      <c r="A523" s="22">
        <v>2521114</v>
      </c>
      <c r="B523" s="23" t="s">
        <v>2348</v>
      </c>
      <c r="C523" s="22" t="s">
        <v>2349</v>
      </c>
      <c r="D523" s="22" t="s">
        <v>2350</v>
      </c>
      <c r="E523" s="23" t="s">
        <v>84</v>
      </c>
      <c r="F523" s="23" t="s">
        <v>92</v>
      </c>
      <c r="G523" s="23" t="s">
        <v>26</v>
      </c>
      <c r="H523" s="23" t="s">
        <v>2346</v>
      </c>
      <c r="I523" s="23" t="s">
        <v>2351</v>
      </c>
      <c r="J523" s="20">
        <v>4</v>
      </c>
      <c r="K523" s="23" t="s">
        <v>107</v>
      </c>
      <c r="L523" s="23" t="s">
        <v>16</v>
      </c>
      <c r="M523" s="24"/>
    </row>
    <row r="524" spans="1:13">
      <c r="A524" s="19">
        <v>2520945</v>
      </c>
      <c r="B524" s="20" t="s">
        <v>2352</v>
      </c>
      <c r="C524" s="19" t="s">
        <v>2353</v>
      </c>
      <c r="D524" s="19" t="s">
        <v>2354</v>
      </c>
      <c r="E524" s="20" t="s">
        <v>84</v>
      </c>
      <c r="F524" s="20" t="s">
        <v>112</v>
      </c>
      <c r="G524" s="20" t="s">
        <v>26</v>
      </c>
      <c r="H524" s="20" t="s">
        <v>2355</v>
      </c>
      <c r="I524" s="20" t="s">
        <v>2356</v>
      </c>
      <c r="J524" s="20">
        <v>5</v>
      </c>
      <c r="K524" s="20" t="s">
        <v>19</v>
      </c>
      <c r="L524" s="20" t="s">
        <v>16</v>
      </c>
      <c r="M524" s="21" t="s">
        <v>16</v>
      </c>
    </row>
    <row r="525" spans="1:13">
      <c r="A525" s="22">
        <v>2520946</v>
      </c>
      <c r="B525" s="23" t="s">
        <v>2343</v>
      </c>
      <c r="C525" s="22" t="s">
        <v>2344</v>
      </c>
      <c r="D525" s="22" t="s">
        <v>2345</v>
      </c>
      <c r="E525" s="23" t="s">
        <v>84</v>
      </c>
      <c r="F525" s="23" t="s">
        <v>92</v>
      </c>
      <c r="G525" s="23" t="s">
        <v>26</v>
      </c>
      <c r="H525" s="23" t="s">
        <v>2357</v>
      </c>
      <c r="I525" s="23" t="s">
        <v>2347</v>
      </c>
      <c r="J525" s="23">
        <v>1</v>
      </c>
      <c r="K525" s="23" t="s">
        <v>19</v>
      </c>
      <c r="L525" s="23" t="s">
        <v>16</v>
      </c>
      <c r="M525" s="24"/>
    </row>
    <row r="526" spans="1:13">
      <c r="A526" s="19">
        <v>2521275</v>
      </c>
      <c r="B526" s="20" t="s">
        <v>2358</v>
      </c>
      <c r="C526" s="19" t="s">
        <v>2359</v>
      </c>
      <c r="D526" s="19" t="s">
        <v>2360</v>
      </c>
      <c r="E526" s="20" t="s">
        <v>84</v>
      </c>
      <c r="F526" s="20" t="s">
        <v>92</v>
      </c>
      <c r="G526" s="20" t="s">
        <v>26</v>
      </c>
      <c r="H526" s="20" t="s">
        <v>2357</v>
      </c>
      <c r="I526" s="20" t="s">
        <v>2347</v>
      </c>
      <c r="J526" s="23">
        <v>3</v>
      </c>
      <c r="K526" s="20" t="s">
        <v>19</v>
      </c>
      <c r="L526" s="20" t="s">
        <v>16</v>
      </c>
      <c r="M526" s="21" t="s">
        <v>49</v>
      </c>
    </row>
    <row r="527" spans="1:13">
      <c r="A527" s="19">
        <v>2529649</v>
      </c>
      <c r="B527" s="20" t="s">
        <v>2361</v>
      </c>
      <c r="C527" s="19" t="s">
        <v>2362</v>
      </c>
      <c r="D527" s="19" t="s">
        <v>2363</v>
      </c>
      <c r="E527" s="20" t="s">
        <v>84</v>
      </c>
      <c r="F527" s="20" t="s">
        <v>92</v>
      </c>
      <c r="G527" s="20" t="s">
        <v>26</v>
      </c>
      <c r="H527" s="20" t="s">
        <v>2364</v>
      </c>
      <c r="I527" s="20" t="s">
        <v>2347</v>
      </c>
      <c r="J527" s="20">
        <v>4</v>
      </c>
      <c r="K527" s="20" t="s">
        <v>19</v>
      </c>
      <c r="L527" s="20" t="s">
        <v>16</v>
      </c>
      <c r="M527" s="21" t="s">
        <v>864</v>
      </c>
    </row>
    <row r="528" spans="1:13">
      <c r="A528" s="22">
        <v>2520977</v>
      </c>
      <c r="B528" s="23" t="s">
        <v>2365</v>
      </c>
      <c r="C528" s="22" t="s">
        <v>2366</v>
      </c>
      <c r="D528" s="22" t="s">
        <v>2367</v>
      </c>
      <c r="E528" s="23" t="s">
        <v>84</v>
      </c>
      <c r="F528" s="23" t="s">
        <v>92</v>
      </c>
      <c r="G528" s="23" t="s">
        <v>26</v>
      </c>
      <c r="H528" s="23" t="s">
        <v>2368</v>
      </c>
      <c r="I528" s="23" t="s">
        <v>2369</v>
      </c>
      <c r="J528" s="20">
        <v>4</v>
      </c>
      <c r="K528" s="23" t="s">
        <v>19</v>
      </c>
      <c r="L528" s="23" t="s">
        <v>18</v>
      </c>
      <c r="M528" s="24"/>
    </row>
    <row r="529" spans="1:13">
      <c r="A529" s="22">
        <v>2520937</v>
      </c>
      <c r="B529" s="23" t="s">
        <v>2370</v>
      </c>
      <c r="C529" s="22" t="s">
        <v>2371</v>
      </c>
      <c r="D529" s="22" t="s">
        <v>2372</v>
      </c>
      <c r="E529" s="23" t="s">
        <v>84</v>
      </c>
      <c r="F529" s="23" t="s">
        <v>172</v>
      </c>
      <c r="G529" s="23" t="s">
        <v>26</v>
      </c>
      <c r="H529" s="23" t="s">
        <v>2357</v>
      </c>
      <c r="I529" s="23" t="s">
        <v>2373</v>
      </c>
      <c r="J529" s="20">
        <v>5</v>
      </c>
      <c r="K529" s="23" t="s">
        <v>19</v>
      </c>
      <c r="L529" s="23" t="s">
        <v>16</v>
      </c>
      <c r="M529" s="24"/>
    </row>
    <row r="530" spans="1:13">
      <c r="A530" s="22">
        <v>2521083</v>
      </c>
      <c r="B530" s="23" t="s">
        <v>2374</v>
      </c>
      <c r="C530" s="22" t="s">
        <v>2375</v>
      </c>
      <c r="D530" s="22" t="s">
        <v>2376</v>
      </c>
      <c r="E530" s="23" t="s">
        <v>84</v>
      </c>
      <c r="F530" s="23" t="s">
        <v>112</v>
      </c>
      <c r="G530" s="23" t="s">
        <v>26</v>
      </c>
      <c r="H530" s="23" t="s">
        <v>2357</v>
      </c>
      <c r="I530" s="23" t="s">
        <v>2377</v>
      </c>
      <c r="J530" s="20">
        <v>5</v>
      </c>
      <c r="K530" s="23" t="s">
        <v>19</v>
      </c>
      <c r="L530" s="23" t="s">
        <v>18</v>
      </c>
      <c r="M530" s="24"/>
    </row>
    <row r="531" spans="1:13">
      <c r="A531" s="22">
        <v>2520937</v>
      </c>
      <c r="B531" s="23" t="s">
        <v>2370</v>
      </c>
      <c r="C531" s="22" t="s">
        <v>2371</v>
      </c>
      <c r="D531" s="22" t="s">
        <v>2372</v>
      </c>
      <c r="E531" s="23" t="s">
        <v>84</v>
      </c>
      <c r="F531" s="23" t="s">
        <v>92</v>
      </c>
      <c r="G531" s="23" t="s">
        <v>26</v>
      </c>
      <c r="H531" s="23" t="s">
        <v>2357</v>
      </c>
      <c r="I531" s="23" t="s">
        <v>2373</v>
      </c>
      <c r="J531" s="20">
        <v>5</v>
      </c>
      <c r="K531" s="23" t="s">
        <v>19</v>
      </c>
      <c r="L531" s="23" t="s">
        <v>16</v>
      </c>
      <c r="M531" s="24"/>
    </row>
    <row r="532" spans="1:13">
      <c r="A532" s="22">
        <v>2521083</v>
      </c>
      <c r="B532" s="23" t="s">
        <v>2374</v>
      </c>
      <c r="C532" s="22" t="s">
        <v>2375</v>
      </c>
      <c r="D532" s="22" t="s">
        <v>2376</v>
      </c>
      <c r="E532" s="23" t="s">
        <v>84</v>
      </c>
      <c r="F532" s="23" t="s">
        <v>112</v>
      </c>
      <c r="G532" s="23" t="s">
        <v>26</v>
      </c>
      <c r="H532" s="23" t="s">
        <v>2357</v>
      </c>
      <c r="I532" s="23" t="s">
        <v>2378</v>
      </c>
      <c r="J532" s="20">
        <v>5</v>
      </c>
      <c r="K532" s="23" t="s">
        <v>19</v>
      </c>
      <c r="L532" s="23" t="s">
        <v>18</v>
      </c>
      <c r="M532" s="24"/>
    </row>
    <row r="533" spans="1:13">
      <c r="A533" s="22">
        <v>2521283</v>
      </c>
      <c r="B533" s="23" t="s">
        <v>2379</v>
      </c>
      <c r="C533" s="22" t="s">
        <v>2380</v>
      </c>
      <c r="D533" s="22" t="s">
        <v>2381</v>
      </c>
      <c r="E533" s="23" t="s">
        <v>84</v>
      </c>
      <c r="F533" s="23" t="s">
        <v>92</v>
      </c>
      <c r="G533" s="23" t="s">
        <v>26</v>
      </c>
      <c r="H533" s="23" t="s">
        <v>2357</v>
      </c>
      <c r="I533" s="23" t="s">
        <v>2373</v>
      </c>
      <c r="J533" s="20">
        <v>5</v>
      </c>
      <c r="K533" s="23" t="s">
        <v>19</v>
      </c>
      <c r="L533" s="23" t="s">
        <v>16</v>
      </c>
      <c r="M533" s="24"/>
    </row>
    <row r="534" spans="1:13">
      <c r="A534" s="22">
        <v>2521298</v>
      </c>
      <c r="B534" s="23" t="s">
        <v>2382</v>
      </c>
      <c r="C534" s="22" t="s">
        <v>2383</v>
      </c>
      <c r="D534" s="22" t="s">
        <v>2384</v>
      </c>
      <c r="E534" s="23" t="s">
        <v>84</v>
      </c>
      <c r="F534" s="23" t="s">
        <v>92</v>
      </c>
      <c r="G534" s="23" t="s">
        <v>26</v>
      </c>
      <c r="H534" s="23" t="s">
        <v>2385</v>
      </c>
      <c r="I534" s="23" t="s">
        <v>2373</v>
      </c>
      <c r="J534" s="23">
        <v>3</v>
      </c>
      <c r="K534" s="23" t="s">
        <v>19</v>
      </c>
      <c r="L534" s="23" t="s">
        <v>16</v>
      </c>
      <c r="M534" s="24"/>
    </row>
    <row r="535" spans="1:13">
      <c r="A535" s="19">
        <v>2521064</v>
      </c>
      <c r="B535" s="20" t="s">
        <v>2386</v>
      </c>
      <c r="C535" s="19" t="s">
        <v>2387</v>
      </c>
      <c r="D535" s="19" t="s">
        <v>2388</v>
      </c>
      <c r="E535" s="20" t="s">
        <v>84</v>
      </c>
      <c r="F535" s="20" t="s">
        <v>92</v>
      </c>
      <c r="G535" s="20" t="s">
        <v>26</v>
      </c>
      <c r="H535" s="20" t="s">
        <v>2389</v>
      </c>
      <c r="I535" s="20" t="s">
        <v>2390</v>
      </c>
      <c r="J535" s="20">
        <v>4</v>
      </c>
      <c r="K535" s="20" t="s">
        <v>107</v>
      </c>
      <c r="L535" s="20" t="s">
        <v>16</v>
      </c>
      <c r="M535" s="21"/>
    </row>
    <row r="536" spans="1:13">
      <c r="A536" s="19">
        <v>2523418</v>
      </c>
      <c r="B536" s="20" t="s">
        <v>2391</v>
      </c>
      <c r="C536" s="19" t="s">
        <v>2392</v>
      </c>
      <c r="D536" s="19" t="s">
        <v>2393</v>
      </c>
      <c r="E536" s="20" t="s">
        <v>127</v>
      </c>
      <c r="F536" s="20" t="s">
        <v>172</v>
      </c>
      <c r="G536" s="20" t="s">
        <v>26</v>
      </c>
      <c r="H536" s="20" t="s">
        <v>2394</v>
      </c>
      <c r="I536" s="20" t="s">
        <v>2395</v>
      </c>
      <c r="J536" s="20">
        <v>4</v>
      </c>
      <c r="K536" s="20" t="s">
        <v>19</v>
      </c>
      <c r="L536" s="20" t="s">
        <v>16</v>
      </c>
      <c r="M536" s="21" t="s">
        <v>16</v>
      </c>
    </row>
    <row r="537" spans="1:13">
      <c r="A537" s="19">
        <v>2530212</v>
      </c>
      <c r="B537" s="20" t="s">
        <v>2396</v>
      </c>
      <c r="C537" s="19" t="s">
        <v>2397</v>
      </c>
      <c r="D537" s="19" t="s">
        <v>2398</v>
      </c>
      <c r="E537" s="20" t="s">
        <v>84</v>
      </c>
      <c r="F537" s="20" t="s">
        <v>92</v>
      </c>
      <c r="G537" s="20" t="s">
        <v>26</v>
      </c>
      <c r="H537" s="20" t="s">
        <v>2399</v>
      </c>
      <c r="I537" s="20" t="s">
        <v>2347</v>
      </c>
      <c r="J537" s="23">
        <v>1</v>
      </c>
      <c r="K537" s="20" t="s">
        <v>107</v>
      </c>
      <c r="L537" s="20" t="s">
        <v>16</v>
      </c>
      <c r="M537" s="21"/>
    </row>
    <row r="538" spans="1:13">
      <c r="A538" s="19">
        <v>2531864</v>
      </c>
      <c r="B538" s="20" t="s">
        <v>2400</v>
      </c>
      <c r="C538" s="19" t="s">
        <v>2401</v>
      </c>
      <c r="D538" s="19" t="s">
        <v>2402</v>
      </c>
      <c r="E538" s="20" t="s">
        <v>84</v>
      </c>
      <c r="F538" s="20" t="s">
        <v>92</v>
      </c>
      <c r="G538" s="20" t="s">
        <v>26</v>
      </c>
      <c r="H538" s="20" t="s">
        <v>2403</v>
      </c>
      <c r="I538" s="20" t="s">
        <v>2404</v>
      </c>
      <c r="J538" s="33">
        <v>1</v>
      </c>
      <c r="K538" s="20" t="s">
        <v>19</v>
      </c>
      <c r="L538" s="20" t="s">
        <v>16</v>
      </c>
      <c r="M538" s="21" t="s">
        <v>49</v>
      </c>
    </row>
    <row r="539" spans="1:13">
      <c r="A539" s="19">
        <v>2520984</v>
      </c>
      <c r="B539" s="20" t="s">
        <v>2405</v>
      </c>
      <c r="C539" s="19" t="s">
        <v>2406</v>
      </c>
      <c r="D539" s="19" t="s">
        <v>2407</v>
      </c>
      <c r="E539" s="20" t="s">
        <v>84</v>
      </c>
      <c r="F539" s="20" t="s">
        <v>92</v>
      </c>
      <c r="G539" s="20" t="s">
        <v>26</v>
      </c>
      <c r="H539" s="20" t="s">
        <v>2408</v>
      </c>
      <c r="I539" s="20" t="s">
        <v>2409</v>
      </c>
      <c r="J539" s="20">
        <v>4</v>
      </c>
      <c r="K539" s="20" t="s">
        <v>19</v>
      </c>
      <c r="L539" s="20" t="s">
        <v>16</v>
      </c>
      <c r="M539" s="21"/>
    </row>
    <row r="540" spans="1:13">
      <c r="A540" s="22">
        <v>2520984</v>
      </c>
      <c r="B540" s="23" t="s">
        <v>2405</v>
      </c>
      <c r="C540" s="22" t="s">
        <v>2406</v>
      </c>
      <c r="D540" s="22" t="s">
        <v>2407</v>
      </c>
      <c r="E540" s="23" t="s">
        <v>84</v>
      </c>
      <c r="F540" s="23" t="s">
        <v>92</v>
      </c>
      <c r="G540" s="23" t="s">
        <v>26</v>
      </c>
      <c r="H540" s="23" t="s">
        <v>2410</v>
      </c>
      <c r="I540" s="23" t="s">
        <v>2411</v>
      </c>
      <c r="J540" s="20">
        <v>4</v>
      </c>
      <c r="K540" s="23" t="s">
        <v>19</v>
      </c>
      <c r="L540" s="23" t="s">
        <v>16</v>
      </c>
      <c r="M540" s="24"/>
    </row>
    <row r="541" spans="1:13">
      <c r="A541" s="22">
        <v>2521141</v>
      </c>
      <c r="B541" s="23" t="s">
        <v>2412</v>
      </c>
      <c r="C541" s="22" t="s">
        <v>2413</v>
      </c>
      <c r="D541" s="22" t="s">
        <v>2414</v>
      </c>
      <c r="E541" s="23" t="s">
        <v>84</v>
      </c>
      <c r="F541" s="23" t="s">
        <v>92</v>
      </c>
      <c r="G541" s="23" t="s">
        <v>26</v>
      </c>
      <c r="H541" s="23" t="s">
        <v>2415</v>
      </c>
      <c r="I541" s="23" t="s">
        <v>2415</v>
      </c>
      <c r="J541" s="20">
        <v>2</v>
      </c>
      <c r="K541" s="23" t="s">
        <v>107</v>
      </c>
      <c r="L541" s="23" t="s">
        <v>16</v>
      </c>
      <c r="M541" s="24"/>
    </row>
    <row r="542" spans="1:13">
      <c r="A542" s="19">
        <v>2521142</v>
      </c>
      <c r="B542" s="20" t="s">
        <v>2412</v>
      </c>
      <c r="C542" s="19" t="s">
        <v>2413</v>
      </c>
      <c r="D542" s="19" t="s">
        <v>2414</v>
      </c>
      <c r="E542" s="20" t="s">
        <v>84</v>
      </c>
      <c r="F542" s="20" t="s">
        <v>92</v>
      </c>
      <c r="G542" s="20" t="s">
        <v>26</v>
      </c>
      <c r="H542" s="20" t="s">
        <v>2415</v>
      </c>
      <c r="I542" s="20" t="s">
        <v>2415</v>
      </c>
      <c r="J542" s="20">
        <v>2</v>
      </c>
      <c r="K542" s="20" t="s">
        <v>107</v>
      </c>
      <c r="L542" s="20" t="s">
        <v>16</v>
      </c>
      <c r="M542" s="21"/>
    </row>
    <row r="543" spans="1:13">
      <c r="A543" s="22">
        <v>2531345</v>
      </c>
      <c r="B543" s="23" t="s">
        <v>2416</v>
      </c>
      <c r="C543" s="22" t="s">
        <v>2417</v>
      </c>
      <c r="D543" s="22" t="s">
        <v>2418</v>
      </c>
      <c r="E543" s="23" t="s">
        <v>84</v>
      </c>
      <c r="F543" s="23" t="s">
        <v>112</v>
      </c>
      <c r="G543" s="23" t="s">
        <v>26</v>
      </c>
      <c r="H543" s="23" t="s">
        <v>2419</v>
      </c>
      <c r="I543" s="23" t="s">
        <v>2420</v>
      </c>
      <c r="J543" s="23">
        <v>1</v>
      </c>
      <c r="K543" s="23" t="s">
        <v>107</v>
      </c>
      <c r="L543" s="23" t="s">
        <v>16</v>
      </c>
      <c r="M543" s="24"/>
    </row>
    <row r="544" spans="1:13">
      <c r="A544" s="19">
        <v>2516869</v>
      </c>
      <c r="B544" s="20" t="s">
        <v>2421</v>
      </c>
      <c r="C544" s="19" t="s">
        <v>2422</v>
      </c>
      <c r="D544" s="19" t="s">
        <v>2423</v>
      </c>
      <c r="E544" s="20" t="s">
        <v>84</v>
      </c>
      <c r="F544" s="20" t="s">
        <v>92</v>
      </c>
      <c r="G544" s="20" t="s">
        <v>26</v>
      </c>
      <c r="H544" s="20" t="s">
        <v>2424</v>
      </c>
      <c r="I544" s="20" t="s">
        <v>2425</v>
      </c>
      <c r="J544" s="20">
        <v>3</v>
      </c>
      <c r="K544" s="20" t="s">
        <v>19</v>
      </c>
      <c r="L544" s="20" t="s">
        <v>16</v>
      </c>
      <c r="M544" s="21"/>
    </row>
    <row r="545" spans="1:13">
      <c r="A545" s="19">
        <v>2533189</v>
      </c>
      <c r="B545" s="20" t="s">
        <v>2426</v>
      </c>
      <c r="C545" s="19" t="s">
        <v>2427</v>
      </c>
      <c r="D545" s="19" t="s">
        <v>2428</v>
      </c>
      <c r="E545" s="20" t="s">
        <v>84</v>
      </c>
      <c r="F545" s="20" t="s">
        <v>112</v>
      </c>
      <c r="G545" s="20" t="s">
        <v>26</v>
      </c>
      <c r="H545" s="20" t="s">
        <v>2429</v>
      </c>
      <c r="I545" s="20" t="s">
        <v>2430</v>
      </c>
      <c r="J545" s="20">
        <v>5</v>
      </c>
      <c r="K545" s="20" t="s">
        <v>19</v>
      </c>
      <c r="L545" s="20" t="s">
        <v>16</v>
      </c>
      <c r="M545" s="21"/>
    </row>
    <row r="546" spans="1:13">
      <c r="A546" s="22">
        <v>2531366</v>
      </c>
      <c r="B546" s="23" t="s">
        <v>2431</v>
      </c>
      <c r="C546" s="22" t="s">
        <v>2432</v>
      </c>
      <c r="D546" s="22" t="s">
        <v>2433</v>
      </c>
      <c r="E546" s="23" t="s">
        <v>84</v>
      </c>
      <c r="F546" s="23" t="s">
        <v>85</v>
      </c>
      <c r="G546" s="23" t="s">
        <v>26</v>
      </c>
      <c r="H546" s="23" t="s">
        <v>2434</v>
      </c>
      <c r="I546" s="23" t="s">
        <v>2435</v>
      </c>
      <c r="J546" s="23">
        <v>1</v>
      </c>
      <c r="K546" s="23" t="s">
        <v>107</v>
      </c>
      <c r="L546" s="23" t="s">
        <v>18</v>
      </c>
      <c r="M546" s="24"/>
    </row>
    <row r="547" spans="1:13">
      <c r="A547" s="22">
        <v>2531366</v>
      </c>
      <c r="B547" s="23" t="s">
        <v>2431</v>
      </c>
      <c r="C547" s="22" t="s">
        <v>2432</v>
      </c>
      <c r="D547" s="22" t="s">
        <v>2433</v>
      </c>
      <c r="E547" s="23" t="s">
        <v>84</v>
      </c>
      <c r="F547" s="23" t="s">
        <v>85</v>
      </c>
      <c r="G547" s="23" t="s">
        <v>26</v>
      </c>
      <c r="H547" s="23" t="s">
        <v>2436</v>
      </c>
      <c r="I547" s="23" t="s">
        <v>2435</v>
      </c>
      <c r="J547" s="23">
        <v>1</v>
      </c>
      <c r="K547" s="23" t="s">
        <v>19</v>
      </c>
      <c r="L547" s="23" t="s">
        <v>18</v>
      </c>
      <c r="M547" s="24"/>
    </row>
    <row r="548" spans="1:13">
      <c r="A548" s="19">
        <v>2533132</v>
      </c>
      <c r="B548" s="20" t="s">
        <v>2437</v>
      </c>
      <c r="C548" s="19" t="s">
        <v>2438</v>
      </c>
      <c r="D548" s="19" t="s">
        <v>2439</v>
      </c>
      <c r="E548" s="20" t="s">
        <v>84</v>
      </c>
      <c r="F548" s="20" t="s">
        <v>112</v>
      </c>
      <c r="G548" s="20" t="s">
        <v>26</v>
      </c>
      <c r="H548" s="20" t="s">
        <v>2440</v>
      </c>
      <c r="I548" s="20" t="s">
        <v>2441</v>
      </c>
      <c r="J548" s="20">
        <v>5</v>
      </c>
      <c r="K548" s="20" t="s">
        <v>19</v>
      </c>
      <c r="L548" s="20" t="s">
        <v>16</v>
      </c>
      <c r="M548" s="21"/>
    </row>
    <row r="549" spans="1:13">
      <c r="A549" s="19">
        <v>2530205</v>
      </c>
      <c r="B549" s="20" t="s">
        <v>2442</v>
      </c>
      <c r="C549" s="19" t="s">
        <v>2443</v>
      </c>
      <c r="D549" s="19" t="s">
        <v>2444</v>
      </c>
      <c r="E549" s="20" t="s">
        <v>84</v>
      </c>
      <c r="F549" s="20" t="s">
        <v>92</v>
      </c>
      <c r="G549" s="20" t="s">
        <v>26</v>
      </c>
      <c r="H549" s="20" t="s">
        <v>2445</v>
      </c>
      <c r="I549" s="20" t="s">
        <v>2347</v>
      </c>
      <c r="J549" s="23">
        <v>1</v>
      </c>
      <c r="K549" s="20" t="s">
        <v>19</v>
      </c>
      <c r="L549" s="20" t="s">
        <v>16</v>
      </c>
      <c r="M549" s="21"/>
    </row>
    <row r="550" spans="1:13">
      <c r="A550" s="22">
        <v>2529782</v>
      </c>
      <c r="B550" s="23" t="s">
        <v>2446</v>
      </c>
      <c r="C550" s="22" t="s">
        <v>2447</v>
      </c>
      <c r="D550" s="22" t="s">
        <v>2448</v>
      </c>
      <c r="E550" s="23" t="s">
        <v>84</v>
      </c>
      <c r="F550" s="23" t="s">
        <v>92</v>
      </c>
      <c r="G550" s="23" t="s">
        <v>26</v>
      </c>
      <c r="H550" s="23" t="s">
        <v>2449</v>
      </c>
      <c r="I550" s="23" t="s">
        <v>2450</v>
      </c>
      <c r="J550" s="23">
        <v>1</v>
      </c>
      <c r="K550" s="23" t="s">
        <v>107</v>
      </c>
      <c r="L550" s="23" t="s">
        <v>16</v>
      </c>
      <c r="M550" s="24"/>
    </row>
    <row r="551" spans="1:13">
      <c r="A551" s="22">
        <v>2524649</v>
      </c>
      <c r="B551" s="23" t="s">
        <v>2451</v>
      </c>
      <c r="C551" s="22" t="s">
        <v>2452</v>
      </c>
      <c r="D551" s="22" t="s">
        <v>2453</v>
      </c>
      <c r="E551" s="23" t="s">
        <v>384</v>
      </c>
      <c r="F551" s="23" t="s">
        <v>92</v>
      </c>
      <c r="G551" s="23" t="s">
        <v>26</v>
      </c>
      <c r="H551" s="23" t="s">
        <v>2454</v>
      </c>
      <c r="I551" s="23" t="s">
        <v>2455</v>
      </c>
      <c r="J551" s="20">
        <v>2</v>
      </c>
      <c r="K551" s="23" t="s">
        <v>107</v>
      </c>
      <c r="L551" s="23" t="s">
        <v>16</v>
      </c>
      <c r="M551" s="24"/>
    </row>
    <row r="552" spans="1:13">
      <c r="A552" s="22">
        <v>2521756</v>
      </c>
      <c r="B552" s="23" t="s">
        <v>2456</v>
      </c>
      <c r="C552" s="22" t="s">
        <v>2457</v>
      </c>
      <c r="D552" s="22" t="s">
        <v>2458</v>
      </c>
      <c r="E552" s="23" t="s">
        <v>84</v>
      </c>
      <c r="F552" s="23" t="s">
        <v>85</v>
      </c>
      <c r="G552" s="23" t="s">
        <v>26</v>
      </c>
      <c r="H552" s="23" t="s">
        <v>2459</v>
      </c>
      <c r="I552" s="23" t="s">
        <v>2460</v>
      </c>
      <c r="J552" s="20">
        <v>4</v>
      </c>
      <c r="K552" s="23" t="s">
        <v>107</v>
      </c>
      <c r="L552" s="23" t="s">
        <v>16</v>
      </c>
      <c r="M552" s="24"/>
    </row>
    <row r="553" spans="1:13">
      <c r="A553" s="19">
        <v>2531390</v>
      </c>
      <c r="B553" s="20" t="s">
        <v>2461</v>
      </c>
      <c r="C553" s="19" t="s">
        <v>2462</v>
      </c>
      <c r="D553" s="19" t="s">
        <v>2463</v>
      </c>
      <c r="E553" s="20" t="s">
        <v>127</v>
      </c>
      <c r="F553" s="20" t="s">
        <v>92</v>
      </c>
      <c r="G553" s="20" t="s">
        <v>26</v>
      </c>
      <c r="H553" s="20" t="s">
        <v>2464</v>
      </c>
      <c r="I553" s="20" t="s">
        <v>2465</v>
      </c>
      <c r="J553" s="20">
        <v>2</v>
      </c>
      <c r="K553" s="20" t="s">
        <v>107</v>
      </c>
      <c r="L553" s="20" t="s">
        <v>16</v>
      </c>
      <c r="M553" s="21"/>
    </row>
    <row r="554" spans="1:13">
      <c r="A554" s="19">
        <v>2521282</v>
      </c>
      <c r="B554" s="20" t="s">
        <v>2466</v>
      </c>
      <c r="C554" s="19" t="s">
        <v>2467</v>
      </c>
      <c r="D554" s="19" t="s">
        <v>2468</v>
      </c>
      <c r="E554" s="20" t="s">
        <v>84</v>
      </c>
      <c r="F554" s="20" t="s">
        <v>112</v>
      </c>
      <c r="G554" s="20" t="s">
        <v>26</v>
      </c>
      <c r="H554" s="20" t="s">
        <v>2469</v>
      </c>
      <c r="I554" s="20" t="s">
        <v>2470</v>
      </c>
      <c r="J554" s="23">
        <v>3</v>
      </c>
      <c r="K554" s="20" t="s">
        <v>107</v>
      </c>
      <c r="L554" s="20" t="s">
        <v>16</v>
      </c>
      <c r="M554" s="21" t="s">
        <v>1812</v>
      </c>
    </row>
    <row r="555" spans="1:13">
      <c r="A555" s="19">
        <v>2529531</v>
      </c>
      <c r="B555" s="20" t="s">
        <v>2471</v>
      </c>
      <c r="C555" s="19" t="s">
        <v>2472</v>
      </c>
      <c r="D555" s="19" t="s">
        <v>2473</v>
      </c>
      <c r="E555" s="20" t="s">
        <v>84</v>
      </c>
      <c r="F555" s="20" t="s">
        <v>92</v>
      </c>
      <c r="G555" s="20" t="s">
        <v>26</v>
      </c>
      <c r="H555" s="20" t="s">
        <v>2474</v>
      </c>
      <c r="I555" s="20" t="s">
        <v>2475</v>
      </c>
      <c r="J555" s="23">
        <v>3</v>
      </c>
      <c r="K555" s="20" t="s">
        <v>107</v>
      </c>
      <c r="L555" s="20" t="s">
        <v>16</v>
      </c>
      <c r="M555" s="21"/>
    </row>
    <row r="556" spans="1:13">
      <c r="A556" s="19">
        <v>2521667</v>
      </c>
      <c r="B556" s="20" t="s">
        <v>2476</v>
      </c>
      <c r="C556" s="19" t="s">
        <v>2477</v>
      </c>
      <c r="D556" s="19" t="s">
        <v>2478</v>
      </c>
      <c r="E556" s="20" t="s">
        <v>127</v>
      </c>
      <c r="F556" s="20" t="s">
        <v>172</v>
      </c>
      <c r="G556" s="20" t="s">
        <v>26</v>
      </c>
      <c r="H556" s="20" t="s">
        <v>2479</v>
      </c>
      <c r="I556" s="20" t="s">
        <v>2480</v>
      </c>
      <c r="J556" s="20">
        <v>4</v>
      </c>
      <c r="K556" s="20" t="s">
        <v>107</v>
      </c>
      <c r="L556" s="20" t="s">
        <v>16</v>
      </c>
      <c r="M556" s="21" t="s">
        <v>518</v>
      </c>
    </row>
    <row r="557" spans="1:13">
      <c r="A557" s="19">
        <v>2521735</v>
      </c>
      <c r="B557" s="20" t="s">
        <v>2481</v>
      </c>
      <c r="C557" s="19" t="s">
        <v>2482</v>
      </c>
      <c r="D557" s="19" t="s">
        <v>2483</v>
      </c>
      <c r="E557" s="20" t="s">
        <v>84</v>
      </c>
      <c r="F557" s="20" t="s">
        <v>92</v>
      </c>
      <c r="G557" s="20" t="s">
        <v>26</v>
      </c>
      <c r="H557" s="20" t="s">
        <v>2474</v>
      </c>
      <c r="I557" s="20" t="s">
        <v>2484</v>
      </c>
      <c r="J557" s="20">
        <v>4</v>
      </c>
      <c r="K557" s="20" t="s">
        <v>107</v>
      </c>
      <c r="L557" s="20" t="s">
        <v>16</v>
      </c>
      <c r="M557" s="21"/>
    </row>
    <row r="558" spans="1:13">
      <c r="A558" s="19">
        <v>2521742</v>
      </c>
      <c r="B558" s="20" t="s">
        <v>2485</v>
      </c>
      <c r="C558" s="19" t="s">
        <v>2486</v>
      </c>
      <c r="D558" s="19" t="s">
        <v>2487</v>
      </c>
      <c r="E558" s="20" t="s">
        <v>84</v>
      </c>
      <c r="F558" s="20" t="s">
        <v>92</v>
      </c>
      <c r="G558" s="20" t="s">
        <v>26</v>
      </c>
      <c r="H558" s="20" t="s">
        <v>2479</v>
      </c>
      <c r="I558" s="20" t="s">
        <v>2488</v>
      </c>
      <c r="J558" s="34" t="s">
        <v>34</v>
      </c>
      <c r="K558" s="20" t="s">
        <v>107</v>
      </c>
      <c r="L558" s="20" t="s">
        <v>16</v>
      </c>
      <c r="M558" s="21"/>
    </row>
    <row r="559" spans="1:13">
      <c r="A559" s="19">
        <v>2521624</v>
      </c>
      <c r="B559" s="20" t="s">
        <v>2489</v>
      </c>
      <c r="C559" s="19" t="s">
        <v>2490</v>
      </c>
      <c r="D559" s="19" t="s">
        <v>2491</v>
      </c>
      <c r="E559" s="20" t="s">
        <v>219</v>
      </c>
      <c r="F559" s="20" t="s">
        <v>172</v>
      </c>
      <c r="G559" s="20" t="s">
        <v>26</v>
      </c>
      <c r="H559" s="20" t="s">
        <v>2492</v>
      </c>
      <c r="I559" s="20" t="s">
        <v>2493</v>
      </c>
      <c r="J559" s="23">
        <v>3</v>
      </c>
      <c r="K559" s="20" t="s">
        <v>107</v>
      </c>
      <c r="L559" s="20" t="s">
        <v>16</v>
      </c>
      <c r="M559" s="21"/>
    </row>
    <row r="560" spans="1:13">
      <c r="A560" s="22">
        <v>2512357</v>
      </c>
      <c r="B560" s="23" t="s">
        <v>2494</v>
      </c>
      <c r="C560" s="22" t="s">
        <v>2495</v>
      </c>
      <c r="D560" s="22" t="s">
        <v>2496</v>
      </c>
      <c r="E560" s="23" t="s">
        <v>84</v>
      </c>
      <c r="F560" s="23" t="s">
        <v>92</v>
      </c>
      <c r="G560" s="23" t="s">
        <v>26</v>
      </c>
      <c r="H560" s="23" t="s">
        <v>2497</v>
      </c>
      <c r="I560" s="23" t="s">
        <v>2498</v>
      </c>
      <c r="J560" s="23">
        <v>3</v>
      </c>
      <c r="K560" s="23" t="s">
        <v>107</v>
      </c>
      <c r="L560" s="23" t="s">
        <v>16</v>
      </c>
      <c r="M560" s="24"/>
    </row>
    <row r="561" spans="1:13">
      <c r="A561" s="22">
        <v>2512357</v>
      </c>
      <c r="B561" s="23" t="s">
        <v>2494</v>
      </c>
      <c r="C561" s="22" t="s">
        <v>2495</v>
      </c>
      <c r="D561" s="22" t="s">
        <v>2496</v>
      </c>
      <c r="E561" s="23" t="s">
        <v>84</v>
      </c>
      <c r="F561" s="23" t="s">
        <v>92</v>
      </c>
      <c r="G561" s="23" t="s">
        <v>26</v>
      </c>
      <c r="H561" s="23" t="s">
        <v>2499</v>
      </c>
      <c r="I561" s="23" t="s">
        <v>2500</v>
      </c>
      <c r="J561" s="23">
        <v>3</v>
      </c>
      <c r="K561" s="23" t="s">
        <v>107</v>
      </c>
      <c r="L561" s="23" t="s">
        <v>16</v>
      </c>
      <c r="M561" s="24"/>
    </row>
    <row r="562" spans="1:13">
      <c r="A562" s="19">
        <v>2521762</v>
      </c>
      <c r="B562" s="20" t="s">
        <v>2501</v>
      </c>
      <c r="C562" s="19" t="s">
        <v>2502</v>
      </c>
      <c r="D562" s="19" t="s">
        <v>2503</v>
      </c>
      <c r="E562" s="20" t="s">
        <v>127</v>
      </c>
      <c r="F562" s="20" t="s">
        <v>92</v>
      </c>
      <c r="G562" s="20" t="s">
        <v>26</v>
      </c>
      <c r="H562" s="20" t="s">
        <v>2504</v>
      </c>
      <c r="I562" s="20" t="s">
        <v>2484</v>
      </c>
      <c r="J562" s="20">
        <v>4</v>
      </c>
      <c r="K562" s="20" t="s">
        <v>107</v>
      </c>
      <c r="L562" s="20" t="s">
        <v>16</v>
      </c>
      <c r="M562" s="21"/>
    </row>
    <row r="563" spans="1:13">
      <c r="A563" s="19">
        <v>2533061</v>
      </c>
      <c r="B563" s="20" t="s">
        <v>2505</v>
      </c>
      <c r="C563" s="19" t="s">
        <v>2506</v>
      </c>
      <c r="D563" s="19" t="s">
        <v>2507</v>
      </c>
      <c r="E563" s="20" t="s">
        <v>84</v>
      </c>
      <c r="F563" s="20" t="s">
        <v>92</v>
      </c>
      <c r="G563" s="20" t="s">
        <v>26</v>
      </c>
      <c r="H563" s="20" t="s">
        <v>2508</v>
      </c>
      <c r="I563" s="20" t="s">
        <v>2509</v>
      </c>
      <c r="J563" s="20">
        <v>2</v>
      </c>
      <c r="K563" s="20" t="s">
        <v>107</v>
      </c>
      <c r="L563" s="20" t="s">
        <v>16</v>
      </c>
      <c r="M563" s="21"/>
    </row>
    <row r="564" spans="1:13">
      <c r="A564" s="22">
        <v>2530193</v>
      </c>
      <c r="B564" s="23" t="s">
        <v>2510</v>
      </c>
      <c r="C564" s="22" t="s">
        <v>2511</v>
      </c>
      <c r="D564" s="22" t="s">
        <v>2512</v>
      </c>
      <c r="E564" s="23" t="s">
        <v>84</v>
      </c>
      <c r="F564" s="23" t="s">
        <v>92</v>
      </c>
      <c r="G564" s="23" t="s">
        <v>26</v>
      </c>
      <c r="H564" s="23" t="s">
        <v>2508</v>
      </c>
      <c r="I564" s="23" t="s">
        <v>2513</v>
      </c>
      <c r="J564" s="23">
        <v>3</v>
      </c>
      <c r="K564" s="23" t="s">
        <v>206</v>
      </c>
      <c r="L564" s="23" t="s">
        <v>18</v>
      </c>
      <c r="M564" s="24"/>
    </row>
    <row r="565" spans="1:13">
      <c r="A565" s="19">
        <v>2530188</v>
      </c>
      <c r="B565" s="20" t="s">
        <v>2514</v>
      </c>
      <c r="C565" s="19" t="s">
        <v>2515</v>
      </c>
      <c r="D565" s="19" t="s">
        <v>2516</v>
      </c>
      <c r="E565" s="20" t="s">
        <v>127</v>
      </c>
      <c r="F565" s="20" t="s">
        <v>92</v>
      </c>
      <c r="G565" s="20" t="s">
        <v>26</v>
      </c>
      <c r="H565" s="20" t="s">
        <v>2508</v>
      </c>
      <c r="I565" s="20" t="s">
        <v>2517</v>
      </c>
      <c r="J565" s="23">
        <v>3</v>
      </c>
      <c r="K565" s="20" t="s">
        <v>107</v>
      </c>
      <c r="L565" s="20" t="s">
        <v>18</v>
      </c>
      <c r="M565" s="21"/>
    </row>
    <row r="566" spans="1:13">
      <c r="A566" s="22">
        <v>2533035</v>
      </c>
      <c r="B566" s="23" t="s">
        <v>2518</v>
      </c>
      <c r="C566" s="22" t="s">
        <v>2519</v>
      </c>
      <c r="D566" s="22" t="s">
        <v>2520</v>
      </c>
      <c r="E566" s="23" t="s">
        <v>84</v>
      </c>
      <c r="F566" s="23" t="s">
        <v>85</v>
      </c>
      <c r="G566" s="23" t="s">
        <v>26</v>
      </c>
      <c r="H566" s="23" t="s">
        <v>2521</v>
      </c>
      <c r="I566" s="23" t="s">
        <v>2522</v>
      </c>
      <c r="J566" s="20">
        <v>2</v>
      </c>
      <c r="K566" s="23" t="s">
        <v>19</v>
      </c>
      <c r="L566" s="23" t="s">
        <v>16</v>
      </c>
      <c r="M566" s="24"/>
    </row>
    <row r="567" spans="1:13">
      <c r="A567" s="22">
        <v>2530183</v>
      </c>
      <c r="B567" s="23" t="s">
        <v>2523</v>
      </c>
      <c r="C567" s="22" t="s">
        <v>2524</v>
      </c>
      <c r="D567" s="22" t="s">
        <v>2525</v>
      </c>
      <c r="E567" s="23" t="s">
        <v>84</v>
      </c>
      <c r="F567" s="23" t="s">
        <v>92</v>
      </c>
      <c r="G567" s="23" t="s">
        <v>26</v>
      </c>
      <c r="H567" s="23" t="s">
        <v>2526</v>
      </c>
      <c r="I567" s="23" t="s">
        <v>2527</v>
      </c>
      <c r="J567" s="20">
        <v>2</v>
      </c>
      <c r="K567" s="23" t="s">
        <v>107</v>
      </c>
      <c r="L567" s="23" t="s">
        <v>16</v>
      </c>
      <c r="M567" s="24" t="s">
        <v>864</v>
      </c>
    </row>
    <row r="568" spans="1:13">
      <c r="A568" s="22">
        <v>2521078</v>
      </c>
      <c r="B568" s="23" t="s">
        <v>2528</v>
      </c>
      <c r="C568" s="22" t="s">
        <v>2529</v>
      </c>
      <c r="D568" s="22" t="s">
        <v>2530</v>
      </c>
      <c r="E568" s="23" t="s">
        <v>127</v>
      </c>
      <c r="F568" s="23" t="s">
        <v>92</v>
      </c>
      <c r="G568" s="23" t="s">
        <v>26</v>
      </c>
      <c r="H568" s="23" t="s">
        <v>2531</v>
      </c>
      <c r="I568" s="23" t="s">
        <v>2532</v>
      </c>
      <c r="J568" s="23">
        <v>3</v>
      </c>
      <c r="K568" s="23" t="s">
        <v>107</v>
      </c>
      <c r="L568" s="23" t="s">
        <v>18</v>
      </c>
      <c r="M568" s="24"/>
    </row>
    <row r="569" spans="1:13">
      <c r="A569" s="19">
        <v>2521078</v>
      </c>
      <c r="B569" s="20" t="s">
        <v>2533</v>
      </c>
      <c r="C569" s="19" t="s">
        <v>2529</v>
      </c>
      <c r="D569" s="19" t="s">
        <v>2530</v>
      </c>
      <c r="E569" s="20" t="s">
        <v>127</v>
      </c>
      <c r="F569" s="20" t="s">
        <v>92</v>
      </c>
      <c r="G569" s="20" t="s">
        <v>26</v>
      </c>
      <c r="H569" s="20" t="s">
        <v>2534</v>
      </c>
      <c r="I569" s="20" t="s">
        <v>2534</v>
      </c>
      <c r="J569" s="23">
        <v>3</v>
      </c>
      <c r="K569" s="20" t="s">
        <v>107</v>
      </c>
      <c r="L569" s="20" t="s">
        <v>18</v>
      </c>
      <c r="M569" s="21"/>
    </row>
    <row r="570" spans="1:13">
      <c r="A570" s="19">
        <v>2532956</v>
      </c>
      <c r="B570" s="20" t="s">
        <v>2535</v>
      </c>
      <c r="C570" s="19" t="s">
        <v>2536</v>
      </c>
      <c r="D570" s="19" t="s">
        <v>2537</v>
      </c>
      <c r="E570" s="20" t="s">
        <v>84</v>
      </c>
      <c r="F570" s="20" t="s">
        <v>92</v>
      </c>
      <c r="G570" s="20" t="s">
        <v>26</v>
      </c>
      <c r="H570" s="20" t="s">
        <v>2538</v>
      </c>
      <c r="I570" s="20" t="s">
        <v>2539</v>
      </c>
      <c r="J570" s="20">
        <v>2</v>
      </c>
      <c r="K570" s="20" t="s">
        <v>107</v>
      </c>
      <c r="L570" s="20" t="s">
        <v>16</v>
      </c>
      <c r="M570" s="21"/>
    </row>
    <row r="571" spans="1:13">
      <c r="A571" s="19">
        <v>2530182</v>
      </c>
      <c r="B571" s="20" t="s">
        <v>2540</v>
      </c>
      <c r="C571" s="19" t="s">
        <v>2541</v>
      </c>
      <c r="D571" s="19" t="s">
        <v>2542</v>
      </c>
      <c r="E571" s="20" t="s">
        <v>84</v>
      </c>
      <c r="F571" s="20" t="s">
        <v>92</v>
      </c>
      <c r="G571" s="20" t="s">
        <v>26</v>
      </c>
      <c r="H571" s="20" t="s">
        <v>2543</v>
      </c>
      <c r="I571" s="20" t="s">
        <v>2544</v>
      </c>
      <c r="J571" s="23">
        <v>3</v>
      </c>
      <c r="K571" s="20" t="s">
        <v>107</v>
      </c>
      <c r="L571" s="20" t="s">
        <v>18</v>
      </c>
      <c r="M571" s="21"/>
    </row>
    <row r="572" spans="1:13">
      <c r="A572" s="22">
        <v>2521299</v>
      </c>
      <c r="B572" s="23" t="s">
        <v>2545</v>
      </c>
      <c r="C572" s="22" t="s">
        <v>2546</v>
      </c>
      <c r="D572" s="22" t="s">
        <v>2547</v>
      </c>
      <c r="E572" s="23" t="s">
        <v>84</v>
      </c>
      <c r="F572" s="23" t="s">
        <v>85</v>
      </c>
      <c r="G572" s="23" t="s">
        <v>26</v>
      </c>
      <c r="H572" s="23" t="s">
        <v>2548</v>
      </c>
      <c r="I572" s="23" t="s">
        <v>2549</v>
      </c>
      <c r="J572" s="23">
        <v>1</v>
      </c>
      <c r="K572" s="23" t="s">
        <v>107</v>
      </c>
      <c r="L572" s="23" t="s">
        <v>16</v>
      </c>
      <c r="M572" s="24"/>
    </row>
    <row r="573" spans="1:13">
      <c r="A573" s="22">
        <v>2533185</v>
      </c>
      <c r="B573" s="23" t="s">
        <v>2550</v>
      </c>
      <c r="C573" s="22" t="s">
        <v>2551</v>
      </c>
      <c r="D573" s="22" t="s">
        <v>2552</v>
      </c>
      <c r="E573" s="23" t="s">
        <v>84</v>
      </c>
      <c r="F573" s="23" t="s">
        <v>85</v>
      </c>
      <c r="G573" s="23" t="s">
        <v>26</v>
      </c>
      <c r="H573" s="23" t="s">
        <v>2553</v>
      </c>
      <c r="I573" s="23" t="s">
        <v>2554</v>
      </c>
      <c r="J573" s="23">
        <v>1</v>
      </c>
      <c r="K573" s="23" t="s">
        <v>107</v>
      </c>
      <c r="L573" s="23" t="s">
        <v>16</v>
      </c>
      <c r="M573" s="24"/>
    </row>
    <row r="574" spans="1:13">
      <c r="A574" s="19">
        <v>2521299</v>
      </c>
      <c r="B574" s="20" t="s">
        <v>2545</v>
      </c>
      <c r="C574" s="19" t="s">
        <v>2546</v>
      </c>
      <c r="D574" s="19" t="s">
        <v>2547</v>
      </c>
      <c r="E574" s="20" t="s">
        <v>84</v>
      </c>
      <c r="F574" s="20" t="s">
        <v>85</v>
      </c>
      <c r="G574" s="20" t="s">
        <v>26</v>
      </c>
      <c r="H574" s="20" t="s">
        <v>2548</v>
      </c>
      <c r="I574" s="20" t="s">
        <v>2555</v>
      </c>
      <c r="J574" s="23">
        <v>1</v>
      </c>
      <c r="K574" s="20" t="s">
        <v>107</v>
      </c>
      <c r="L574" s="20" t="s">
        <v>16</v>
      </c>
      <c r="M574" s="21"/>
    </row>
    <row r="575" spans="1:13">
      <c r="A575" s="22">
        <v>2531385</v>
      </c>
      <c r="B575" s="23" t="s">
        <v>2556</v>
      </c>
      <c r="C575" s="22" t="s">
        <v>2557</v>
      </c>
      <c r="D575" s="22" t="s">
        <v>2558</v>
      </c>
      <c r="E575" s="23" t="s">
        <v>84</v>
      </c>
      <c r="F575" s="23" t="s">
        <v>92</v>
      </c>
      <c r="G575" s="23" t="s">
        <v>26</v>
      </c>
      <c r="H575" s="23" t="s">
        <v>2559</v>
      </c>
      <c r="I575" s="23" t="s">
        <v>2560</v>
      </c>
      <c r="J575" s="20">
        <v>2</v>
      </c>
      <c r="K575" s="23" t="s">
        <v>107</v>
      </c>
      <c r="L575" s="23" t="s">
        <v>16</v>
      </c>
      <c r="M575" s="24"/>
    </row>
    <row r="576" spans="1:13">
      <c r="A576" s="22">
        <v>2511224</v>
      </c>
      <c r="B576" s="23" t="s">
        <v>2561</v>
      </c>
      <c r="C576" s="22" t="s">
        <v>2562</v>
      </c>
      <c r="D576" s="22" t="s">
        <v>2563</v>
      </c>
      <c r="E576" s="23" t="s">
        <v>384</v>
      </c>
      <c r="F576" s="23" t="s">
        <v>92</v>
      </c>
      <c r="G576" s="23" t="s">
        <v>26</v>
      </c>
      <c r="H576" s="23" t="s">
        <v>2564</v>
      </c>
      <c r="I576" s="23" t="s">
        <v>2565</v>
      </c>
      <c r="J576" s="23">
        <v>3</v>
      </c>
      <c r="K576" s="23" t="s">
        <v>107</v>
      </c>
      <c r="L576" s="23" t="s">
        <v>16</v>
      </c>
      <c r="M576" s="24" t="s">
        <v>49</v>
      </c>
    </row>
    <row r="577" spans="1:13">
      <c r="A577" s="19">
        <v>2521063</v>
      </c>
      <c r="B577" s="20" t="s">
        <v>2566</v>
      </c>
      <c r="C577" s="19" t="s">
        <v>2567</v>
      </c>
      <c r="D577" s="19" t="s">
        <v>2568</v>
      </c>
      <c r="E577" s="20" t="s">
        <v>84</v>
      </c>
      <c r="F577" s="20" t="s">
        <v>112</v>
      </c>
      <c r="G577" s="20" t="s">
        <v>26</v>
      </c>
      <c r="H577" s="20" t="s">
        <v>2559</v>
      </c>
      <c r="I577" s="20" t="s">
        <v>2569</v>
      </c>
      <c r="J577" s="23">
        <v>3</v>
      </c>
      <c r="K577" s="20" t="s">
        <v>107</v>
      </c>
      <c r="L577" s="20" t="s">
        <v>16</v>
      </c>
      <c r="M577" s="21"/>
    </row>
    <row r="578" spans="1:13">
      <c r="A578" s="22">
        <v>2533156</v>
      </c>
      <c r="B578" s="23" t="s">
        <v>2570</v>
      </c>
      <c r="C578" s="22" t="s">
        <v>2571</v>
      </c>
      <c r="D578" s="22" t="s">
        <v>2572</v>
      </c>
      <c r="E578" s="23" t="s">
        <v>84</v>
      </c>
      <c r="F578" s="23" t="s">
        <v>92</v>
      </c>
      <c r="G578" s="23" t="s">
        <v>26</v>
      </c>
      <c r="H578" s="23" t="s">
        <v>2559</v>
      </c>
      <c r="I578" s="23" t="s">
        <v>2573</v>
      </c>
      <c r="J578" s="23">
        <v>3</v>
      </c>
      <c r="K578" s="23" t="s">
        <v>19</v>
      </c>
      <c r="L578" s="23" t="s">
        <v>16</v>
      </c>
      <c r="M578" s="24"/>
    </row>
    <row r="579" spans="1:13">
      <c r="A579" s="22">
        <v>2531966</v>
      </c>
      <c r="B579" s="23" t="s">
        <v>2574</v>
      </c>
      <c r="C579" s="22" t="s">
        <v>2575</v>
      </c>
      <c r="D579" s="22" t="s">
        <v>2576</v>
      </c>
      <c r="E579" s="23" t="s">
        <v>84</v>
      </c>
      <c r="F579" s="23" t="s">
        <v>92</v>
      </c>
      <c r="G579" s="23" t="s">
        <v>26</v>
      </c>
      <c r="H579" s="23" t="s">
        <v>2559</v>
      </c>
      <c r="I579" s="23" t="s">
        <v>2577</v>
      </c>
      <c r="J579" s="23">
        <v>3</v>
      </c>
      <c r="K579" s="23" t="s">
        <v>107</v>
      </c>
      <c r="L579" s="23" t="s">
        <v>16</v>
      </c>
      <c r="M579" s="24"/>
    </row>
    <row r="580" spans="1:13">
      <c r="A580" s="22">
        <v>2524586</v>
      </c>
      <c r="B580" s="23" t="s">
        <v>2578</v>
      </c>
      <c r="C580" s="22" t="s">
        <v>2579</v>
      </c>
      <c r="D580" s="22" t="s">
        <v>2580</v>
      </c>
      <c r="E580" s="23" t="s">
        <v>84</v>
      </c>
      <c r="F580" s="23" t="s">
        <v>85</v>
      </c>
      <c r="G580" s="23" t="s">
        <v>26</v>
      </c>
      <c r="H580" s="23" t="s">
        <v>2559</v>
      </c>
      <c r="I580" s="23" t="s">
        <v>2581</v>
      </c>
      <c r="J580" s="33">
        <v>1</v>
      </c>
      <c r="K580" s="23" t="s">
        <v>107</v>
      </c>
      <c r="L580" s="23" t="s">
        <v>16</v>
      </c>
      <c r="M580" s="24"/>
    </row>
    <row r="581" spans="1:13">
      <c r="A581" s="22">
        <v>2521299</v>
      </c>
      <c r="B581" s="23" t="s">
        <v>2582</v>
      </c>
      <c r="C581" s="22" t="s">
        <v>2546</v>
      </c>
      <c r="D581" s="22" t="s">
        <v>2547</v>
      </c>
      <c r="E581" s="23" t="s">
        <v>84</v>
      </c>
      <c r="F581" s="23" t="s">
        <v>85</v>
      </c>
      <c r="G581" s="23" t="s">
        <v>26</v>
      </c>
      <c r="H581" s="23" t="s">
        <v>2583</v>
      </c>
      <c r="I581" s="23" t="s">
        <v>2584</v>
      </c>
      <c r="J581" s="23">
        <v>1</v>
      </c>
      <c r="K581" s="23" t="s">
        <v>107</v>
      </c>
      <c r="L581" s="23" t="s">
        <v>16</v>
      </c>
      <c r="M581" s="24"/>
    </row>
    <row r="582" spans="1:13">
      <c r="A582" s="22">
        <v>2530144</v>
      </c>
      <c r="B582" s="23" t="s">
        <v>2585</v>
      </c>
      <c r="C582" s="22" t="s">
        <v>2586</v>
      </c>
      <c r="D582" s="22" t="s">
        <v>2587</v>
      </c>
      <c r="E582" s="23" t="s">
        <v>84</v>
      </c>
      <c r="F582" s="23" t="s">
        <v>92</v>
      </c>
      <c r="G582" s="23" t="s">
        <v>26</v>
      </c>
      <c r="H582" s="23" t="s">
        <v>2588</v>
      </c>
      <c r="I582" s="23" t="s">
        <v>2589</v>
      </c>
      <c r="J582" s="20">
        <v>2</v>
      </c>
      <c r="K582" s="23" t="s">
        <v>107</v>
      </c>
      <c r="L582" s="23" t="s">
        <v>18</v>
      </c>
      <c r="M582" s="24"/>
    </row>
    <row r="583" spans="1:13">
      <c r="A583" s="19">
        <v>2530187</v>
      </c>
      <c r="B583" s="20" t="s">
        <v>2590</v>
      </c>
      <c r="C583" s="19" t="s">
        <v>2591</v>
      </c>
      <c r="D583" s="19" t="s">
        <v>2592</v>
      </c>
      <c r="E583" s="20" t="s">
        <v>84</v>
      </c>
      <c r="F583" s="20" t="s">
        <v>112</v>
      </c>
      <c r="G583" s="20" t="s">
        <v>26</v>
      </c>
      <c r="H583" s="20" t="s">
        <v>2593</v>
      </c>
      <c r="I583" s="20" t="s">
        <v>2594</v>
      </c>
      <c r="J583" s="34" t="s">
        <v>34</v>
      </c>
      <c r="K583" s="20" t="s">
        <v>107</v>
      </c>
      <c r="L583" s="20" t="s">
        <v>18</v>
      </c>
      <c r="M583" s="21"/>
    </row>
    <row r="584" spans="1:13">
      <c r="A584" s="19">
        <v>2533059</v>
      </c>
      <c r="B584" s="20" t="s">
        <v>2595</v>
      </c>
      <c r="C584" s="19" t="s">
        <v>2596</v>
      </c>
      <c r="D584" s="19" t="s">
        <v>2597</v>
      </c>
      <c r="E584" s="20" t="s">
        <v>84</v>
      </c>
      <c r="F584" s="20" t="s">
        <v>92</v>
      </c>
      <c r="G584" s="20" t="s">
        <v>26</v>
      </c>
      <c r="H584" s="20" t="s">
        <v>2598</v>
      </c>
      <c r="I584" s="20" t="s">
        <v>2599</v>
      </c>
      <c r="J584" s="20">
        <v>4</v>
      </c>
      <c r="K584" s="20" t="s">
        <v>107</v>
      </c>
      <c r="L584" s="20" t="s">
        <v>16</v>
      </c>
      <c r="M584" s="21" t="s">
        <v>2600</v>
      </c>
    </row>
    <row r="585" spans="1:13">
      <c r="A585" s="19">
        <v>2512354</v>
      </c>
      <c r="B585" s="20" t="s">
        <v>2601</v>
      </c>
      <c r="C585" s="19" t="s">
        <v>2602</v>
      </c>
      <c r="D585" s="19" t="s">
        <v>2603</v>
      </c>
      <c r="E585" s="20" t="s">
        <v>84</v>
      </c>
      <c r="F585" s="20" t="s">
        <v>85</v>
      </c>
      <c r="G585" s="20" t="s">
        <v>26</v>
      </c>
      <c r="H585" s="20" t="s">
        <v>2604</v>
      </c>
      <c r="I585" s="20" t="s">
        <v>2605</v>
      </c>
      <c r="J585" s="23">
        <v>3</v>
      </c>
      <c r="K585" s="20" t="s">
        <v>107</v>
      </c>
      <c r="L585" s="20" t="s">
        <v>16</v>
      </c>
      <c r="M585" s="21"/>
    </row>
    <row r="586" spans="1:13">
      <c r="A586" s="22">
        <v>2533182</v>
      </c>
      <c r="B586" s="23" t="s">
        <v>2606</v>
      </c>
      <c r="C586" s="22" t="s">
        <v>2607</v>
      </c>
      <c r="D586" s="22" t="s">
        <v>2608</v>
      </c>
      <c r="E586" s="23" t="s">
        <v>84</v>
      </c>
      <c r="F586" s="23" t="s">
        <v>92</v>
      </c>
      <c r="G586" s="23" t="s">
        <v>26</v>
      </c>
      <c r="H586" s="23" t="s">
        <v>2609</v>
      </c>
      <c r="I586" s="23" t="s">
        <v>2610</v>
      </c>
      <c r="J586" s="23">
        <v>1</v>
      </c>
      <c r="K586" s="23" t="s">
        <v>107</v>
      </c>
      <c r="L586" s="23" t="s">
        <v>16</v>
      </c>
      <c r="M586" s="24"/>
    </row>
    <row r="587" spans="1:13">
      <c r="A587" s="22">
        <v>2521060</v>
      </c>
      <c r="B587" s="23" t="s">
        <v>2611</v>
      </c>
      <c r="C587" s="22" t="s">
        <v>2612</v>
      </c>
      <c r="D587" s="22" t="s">
        <v>2613</v>
      </c>
      <c r="E587" s="23" t="s">
        <v>84</v>
      </c>
      <c r="F587" s="23" t="s">
        <v>112</v>
      </c>
      <c r="G587" s="23" t="s">
        <v>26</v>
      </c>
      <c r="H587" s="23" t="s">
        <v>2614</v>
      </c>
      <c r="I587" s="23" t="s">
        <v>2615</v>
      </c>
      <c r="J587" s="23">
        <v>3</v>
      </c>
      <c r="K587" s="23" t="s">
        <v>107</v>
      </c>
      <c r="L587" s="23" t="s">
        <v>18</v>
      </c>
      <c r="M587" s="24" t="s">
        <v>1812</v>
      </c>
    </row>
    <row r="588" spans="1:13">
      <c r="A588" s="22">
        <v>2524586</v>
      </c>
      <c r="B588" s="23" t="s">
        <v>2578</v>
      </c>
      <c r="C588" s="22" t="s">
        <v>2579</v>
      </c>
      <c r="D588" s="22" t="s">
        <v>2580</v>
      </c>
      <c r="E588" s="23" t="s">
        <v>84</v>
      </c>
      <c r="F588" s="23" t="s">
        <v>92</v>
      </c>
      <c r="G588" s="23" t="s">
        <v>26</v>
      </c>
      <c r="H588" s="23" t="s">
        <v>2609</v>
      </c>
      <c r="I588" s="23" t="s">
        <v>2616</v>
      </c>
      <c r="J588" s="33">
        <v>1</v>
      </c>
      <c r="K588" s="23" t="s">
        <v>107</v>
      </c>
      <c r="L588" s="23" t="s">
        <v>16</v>
      </c>
      <c r="M588" s="24"/>
    </row>
    <row r="589" spans="1:13">
      <c r="A589" s="19">
        <v>2531982</v>
      </c>
      <c r="B589" s="20" t="s">
        <v>2617</v>
      </c>
      <c r="C589" s="19" t="s">
        <v>2618</v>
      </c>
      <c r="D589" s="19" t="s">
        <v>2619</v>
      </c>
      <c r="E589" s="20" t="s">
        <v>84</v>
      </c>
      <c r="F589" s="20" t="s">
        <v>92</v>
      </c>
      <c r="G589" s="20" t="s">
        <v>26</v>
      </c>
      <c r="H589" s="20" t="s">
        <v>2620</v>
      </c>
      <c r="I589" s="20" t="s">
        <v>2621</v>
      </c>
      <c r="J589" s="23">
        <v>3</v>
      </c>
      <c r="K589" s="20" t="s">
        <v>107</v>
      </c>
      <c r="L589" s="20" t="s">
        <v>18</v>
      </c>
      <c r="M589" s="21"/>
    </row>
    <row r="590" spans="1:13">
      <c r="A590" s="22">
        <v>2518810</v>
      </c>
      <c r="B590" s="23" t="s">
        <v>2622</v>
      </c>
      <c r="C590" s="22" t="s">
        <v>2623</v>
      </c>
      <c r="D590" s="22" t="s">
        <v>2624</v>
      </c>
      <c r="E590" s="23" t="s">
        <v>84</v>
      </c>
      <c r="F590" s="23" t="s">
        <v>92</v>
      </c>
      <c r="G590" s="23" t="s">
        <v>26</v>
      </c>
      <c r="H590" s="23" t="s">
        <v>2625</v>
      </c>
      <c r="I590" s="23" t="s">
        <v>2626</v>
      </c>
      <c r="J590" s="23">
        <v>3</v>
      </c>
      <c r="K590" s="23" t="s">
        <v>107</v>
      </c>
      <c r="L590" s="23" t="s">
        <v>16</v>
      </c>
      <c r="M590" s="24" t="s">
        <v>49</v>
      </c>
    </row>
    <row r="591" spans="1:13">
      <c r="A591" s="22">
        <v>2529504</v>
      </c>
      <c r="B591" s="23" t="s">
        <v>2627</v>
      </c>
      <c r="C591" s="22" t="s">
        <v>2628</v>
      </c>
      <c r="D591" s="22" t="s">
        <v>2629</v>
      </c>
      <c r="E591" s="23" t="s">
        <v>84</v>
      </c>
      <c r="F591" s="23" t="s">
        <v>92</v>
      </c>
      <c r="G591" s="23" t="s">
        <v>26</v>
      </c>
      <c r="H591" s="23" t="s">
        <v>2630</v>
      </c>
      <c r="I591" s="23" t="s">
        <v>2631</v>
      </c>
      <c r="J591" s="20">
        <v>4</v>
      </c>
      <c r="K591" s="23" t="s">
        <v>107</v>
      </c>
      <c r="L591" s="23" t="s">
        <v>16</v>
      </c>
      <c r="M591" s="24"/>
    </row>
    <row r="592" spans="1:13">
      <c r="A592" s="19">
        <v>2518805</v>
      </c>
      <c r="B592" s="20" t="s">
        <v>2632</v>
      </c>
      <c r="C592" s="19" t="s">
        <v>2633</v>
      </c>
      <c r="D592" s="19" t="s">
        <v>2634</v>
      </c>
      <c r="E592" s="20" t="s">
        <v>84</v>
      </c>
      <c r="F592" s="20" t="s">
        <v>92</v>
      </c>
      <c r="G592" s="20" t="s">
        <v>26</v>
      </c>
      <c r="H592" s="20" t="s">
        <v>2635</v>
      </c>
      <c r="I592" s="20" t="s">
        <v>2455</v>
      </c>
      <c r="J592" s="23">
        <v>3</v>
      </c>
      <c r="K592" s="20" t="s">
        <v>107</v>
      </c>
      <c r="L592" s="20" t="s">
        <v>16</v>
      </c>
      <c r="M592" s="21" t="s">
        <v>2636</v>
      </c>
    </row>
    <row r="593" spans="1:13">
      <c r="A593" s="19">
        <v>2521162</v>
      </c>
      <c r="B593" s="20" t="s">
        <v>2637</v>
      </c>
      <c r="C593" s="19" t="s">
        <v>2638</v>
      </c>
      <c r="D593" s="19" t="s">
        <v>2639</v>
      </c>
      <c r="E593" s="20" t="s">
        <v>84</v>
      </c>
      <c r="F593" s="20" t="s">
        <v>92</v>
      </c>
      <c r="G593" s="20" t="s">
        <v>26</v>
      </c>
      <c r="H593" s="20" t="s">
        <v>2640</v>
      </c>
      <c r="I593" s="20" t="s">
        <v>2641</v>
      </c>
      <c r="J593" s="23">
        <v>3</v>
      </c>
      <c r="K593" s="20" t="s">
        <v>107</v>
      </c>
      <c r="L593" s="20" t="s">
        <v>16</v>
      </c>
      <c r="M593" s="21"/>
    </row>
    <row r="594" spans="1:13">
      <c r="A594" s="19">
        <v>2507177</v>
      </c>
      <c r="B594" s="20" t="s">
        <v>2642</v>
      </c>
      <c r="C594" s="19" t="s">
        <v>2643</v>
      </c>
      <c r="D594" s="19" t="s">
        <v>2644</v>
      </c>
      <c r="E594" s="20" t="s">
        <v>84</v>
      </c>
      <c r="F594" s="20" t="s">
        <v>112</v>
      </c>
      <c r="G594" s="20" t="s">
        <v>26</v>
      </c>
      <c r="H594" s="20" t="s">
        <v>2645</v>
      </c>
      <c r="I594" s="20" t="s">
        <v>2646</v>
      </c>
      <c r="J594" s="23">
        <v>1</v>
      </c>
      <c r="K594" s="20" t="s">
        <v>107</v>
      </c>
      <c r="L594" s="20" t="s">
        <v>16</v>
      </c>
      <c r="M594" s="21" t="s">
        <v>16</v>
      </c>
    </row>
    <row r="595" spans="1:13">
      <c r="A595" s="22">
        <v>2529782</v>
      </c>
      <c r="B595" s="23" t="s">
        <v>2446</v>
      </c>
      <c r="C595" s="22" t="s">
        <v>2447</v>
      </c>
      <c r="D595" s="22" t="s">
        <v>2448</v>
      </c>
      <c r="E595" s="23" t="s">
        <v>84</v>
      </c>
      <c r="F595" s="23" t="s">
        <v>92</v>
      </c>
      <c r="G595" s="23" t="s">
        <v>26</v>
      </c>
      <c r="H595" s="23" t="s">
        <v>2647</v>
      </c>
      <c r="I595" s="23" t="s">
        <v>2648</v>
      </c>
      <c r="J595" s="23">
        <v>1</v>
      </c>
      <c r="K595" s="23" t="s">
        <v>107</v>
      </c>
      <c r="L595" s="23" t="s">
        <v>16</v>
      </c>
      <c r="M595" s="24"/>
    </row>
    <row r="596" spans="1:13">
      <c r="A596" s="19">
        <v>2525093</v>
      </c>
      <c r="B596" s="20" t="s">
        <v>2649</v>
      </c>
      <c r="C596" s="19" t="s">
        <v>2650</v>
      </c>
      <c r="D596" s="19" t="s">
        <v>2651</v>
      </c>
      <c r="E596" s="20" t="s">
        <v>84</v>
      </c>
      <c r="F596" s="20" t="s">
        <v>92</v>
      </c>
      <c r="G596" s="20" t="s">
        <v>26</v>
      </c>
      <c r="H596" s="20" t="s">
        <v>2652</v>
      </c>
      <c r="I596" s="20" t="s">
        <v>2653</v>
      </c>
      <c r="J596" s="20">
        <v>2</v>
      </c>
      <c r="K596" s="20" t="s">
        <v>107</v>
      </c>
      <c r="L596" s="20" t="s">
        <v>16</v>
      </c>
      <c r="M596" s="21"/>
    </row>
    <row r="597" spans="1:13">
      <c r="A597" s="22">
        <v>2525093</v>
      </c>
      <c r="B597" s="23" t="s">
        <v>2649</v>
      </c>
      <c r="C597" s="22" t="s">
        <v>2650</v>
      </c>
      <c r="D597" s="22" t="s">
        <v>2651</v>
      </c>
      <c r="E597" s="23" t="s">
        <v>84</v>
      </c>
      <c r="F597" s="23" t="s">
        <v>92</v>
      </c>
      <c r="G597" s="23" t="s">
        <v>26</v>
      </c>
      <c r="H597" s="23" t="s">
        <v>2652</v>
      </c>
      <c r="I597" s="23" t="s">
        <v>2654</v>
      </c>
      <c r="J597" s="20">
        <v>2</v>
      </c>
      <c r="K597" s="23" t="s">
        <v>107</v>
      </c>
      <c r="L597" s="23" t="s">
        <v>16</v>
      </c>
      <c r="M597" s="24"/>
    </row>
    <row r="598" spans="1:13">
      <c r="A598" s="22">
        <v>2530145</v>
      </c>
      <c r="B598" s="23" t="s">
        <v>2655</v>
      </c>
      <c r="C598" s="22" t="s">
        <v>2656</v>
      </c>
      <c r="D598" s="22" t="s">
        <v>2657</v>
      </c>
      <c r="E598" s="23" t="s">
        <v>84</v>
      </c>
      <c r="F598" s="23" t="s">
        <v>92</v>
      </c>
      <c r="G598" s="23" t="s">
        <v>26</v>
      </c>
      <c r="H598" s="23" t="s">
        <v>2658</v>
      </c>
      <c r="I598" s="23" t="s">
        <v>2659</v>
      </c>
      <c r="J598" s="23">
        <v>1</v>
      </c>
      <c r="K598" s="23" t="s">
        <v>206</v>
      </c>
      <c r="L598" s="23" t="s">
        <v>16</v>
      </c>
      <c r="M598" s="24" t="s">
        <v>49</v>
      </c>
    </row>
    <row r="599" spans="1:13">
      <c r="A599" s="22">
        <v>2530145</v>
      </c>
      <c r="B599" s="23" t="s">
        <v>2655</v>
      </c>
      <c r="C599" s="22" t="s">
        <v>2656</v>
      </c>
      <c r="D599" s="22" t="s">
        <v>2657</v>
      </c>
      <c r="E599" s="23" t="s">
        <v>84</v>
      </c>
      <c r="F599" s="23" t="s">
        <v>92</v>
      </c>
      <c r="G599" s="23" t="s">
        <v>26</v>
      </c>
      <c r="H599" s="23" t="s">
        <v>2658</v>
      </c>
      <c r="I599" s="23" t="s">
        <v>2659</v>
      </c>
      <c r="J599" s="34">
        <v>1</v>
      </c>
      <c r="K599" s="23" t="s">
        <v>206</v>
      </c>
      <c r="L599" s="23" t="s">
        <v>16</v>
      </c>
      <c r="M599" s="24" t="s">
        <v>49</v>
      </c>
    </row>
    <row r="600" spans="1:13">
      <c r="A600" s="22">
        <v>2530145</v>
      </c>
      <c r="B600" s="23" t="s">
        <v>2655</v>
      </c>
      <c r="C600" s="22" t="s">
        <v>2656</v>
      </c>
      <c r="D600" s="22" t="s">
        <v>2657</v>
      </c>
      <c r="E600" s="23" t="s">
        <v>84</v>
      </c>
      <c r="F600" s="23" t="s">
        <v>92</v>
      </c>
      <c r="G600" s="23" t="s">
        <v>26</v>
      </c>
      <c r="H600" s="23" t="s">
        <v>2658</v>
      </c>
      <c r="I600" s="23" t="s">
        <v>2659</v>
      </c>
      <c r="J600" s="23">
        <v>1</v>
      </c>
      <c r="K600" s="23" t="s">
        <v>206</v>
      </c>
      <c r="L600" s="23" t="s">
        <v>16</v>
      </c>
      <c r="M600" s="24" t="s">
        <v>49</v>
      </c>
    </row>
    <row r="601" spans="1:13">
      <c r="A601" s="22">
        <v>2521668</v>
      </c>
      <c r="B601" s="23" t="s">
        <v>2660</v>
      </c>
      <c r="C601" s="22" t="s">
        <v>2661</v>
      </c>
      <c r="D601" s="22" t="s">
        <v>2662</v>
      </c>
      <c r="E601" s="23" t="s">
        <v>84</v>
      </c>
      <c r="F601" s="23" t="s">
        <v>92</v>
      </c>
      <c r="G601" s="23" t="s">
        <v>26</v>
      </c>
      <c r="H601" s="23" t="s">
        <v>2663</v>
      </c>
      <c r="I601" s="23" t="s">
        <v>2664</v>
      </c>
      <c r="J601" s="20">
        <v>2</v>
      </c>
      <c r="K601" s="23" t="s">
        <v>19</v>
      </c>
      <c r="L601" s="23" t="s">
        <v>16</v>
      </c>
      <c r="M601" s="24" t="s">
        <v>16</v>
      </c>
    </row>
    <row r="602" spans="1:13">
      <c r="A602" s="22">
        <v>2533004</v>
      </c>
      <c r="B602" s="23" t="s">
        <v>2665</v>
      </c>
      <c r="C602" s="22" t="s">
        <v>2666</v>
      </c>
      <c r="D602" s="22" t="s">
        <v>2667</v>
      </c>
      <c r="E602" s="23" t="s">
        <v>84</v>
      </c>
      <c r="F602" s="23" t="s">
        <v>92</v>
      </c>
      <c r="G602" s="23" t="s">
        <v>26</v>
      </c>
      <c r="H602" s="23" t="s">
        <v>2668</v>
      </c>
      <c r="I602" s="23" t="s">
        <v>2669</v>
      </c>
      <c r="J602" s="34" t="s">
        <v>34</v>
      </c>
      <c r="K602" s="23" t="s">
        <v>107</v>
      </c>
      <c r="L602" s="23" t="s">
        <v>16</v>
      </c>
      <c r="M602" s="24" t="s">
        <v>16</v>
      </c>
    </row>
    <row r="603" spans="1:13">
      <c r="A603" s="19">
        <v>2521885</v>
      </c>
      <c r="B603" s="20" t="s">
        <v>2670</v>
      </c>
      <c r="C603" s="19" t="s">
        <v>2671</v>
      </c>
      <c r="D603" s="19" t="s">
        <v>2672</v>
      </c>
      <c r="E603" s="20" t="s">
        <v>84</v>
      </c>
      <c r="F603" s="20" t="s">
        <v>92</v>
      </c>
      <c r="G603" s="20" t="s">
        <v>26</v>
      </c>
      <c r="H603" s="20" t="s">
        <v>2673</v>
      </c>
      <c r="I603" s="20" t="s">
        <v>2674</v>
      </c>
      <c r="J603" s="20">
        <v>2</v>
      </c>
      <c r="K603" s="20" t="s">
        <v>107</v>
      </c>
      <c r="L603" s="20" t="s">
        <v>16</v>
      </c>
      <c r="M603" s="21" t="s">
        <v>2032</v>
      </c>
    </row>
    <row r="604" spans="1:13">
      <c r="A604" s="22">
        <v>2521664</v>
      </c>
      <c r="B604" s="23" t="s">
        <v>2675</v>
      </c>
      <c r="C604" s="22" t="s">
        <v>2676</v>
      </c>
      <c r="D604" s="22" t="s">
        <v>2677</v>
      </c>
      <c r="E604" s="23" t="s">
        <v>127</v>
      </c>
      <c r="F604" s="23" t="s">
        <v>92</v>
      </c>
      <c r="G604" s="23" t="s">
        <v>26</v>
      </c>
      <c r="H604" s="23" t="s">
        <v>2678</v>
      </c>
      <c r="I604" s="23" t="s">
        <v>2679</v>
      </c>
      <c r="J604" s="20">
        <v>2</v>
      </c>
      <c r="K604" s="23" t="s">
        <v>19</v>
      </c>
      <c r="L604" s="23" t="s">
        <v>16</v>
      </c>
      <c r="M604" s="24"/>
    </row>
    <row r="605" spans="1:13">
      <c r="A605" s="19">
        <v>2521676</v>
      </c>
      <c r="B605" s="20" t="s">
        <v>2680</v>
      </c>
      <c r="C605" s="19" t="s">
        <v>2681</v>
      </c>
      <c r="D605" s="19" t="s">
        <v>2682</v>
      </c>
      <c r="E605" s="20" t="s">
        <v>84</v>
      </c>
      <c r="F605" s="20" t="s">
        <v>172</v>
      </c>
      <c r="G605" s="20" t="s">
        <v>26</v>
      </c>
      <c r="H605" s="20" t="s">
        <v>2683</v>
      </c>
      <c r="I605" s="20" t="s">
        <v>2684</v>
      </c>
      <c r="J605" s="20">
        <v>2</v>
      </c>
      <c r="K605" s="20" t="s">
        <v>19</v>
      </c>
      <c r="L605" s="20" t="s">
        <v>16</v>
      </c>
      <c r="M605" s="21"/>
    </row>
    <row r="606" spans="1:13">
      <c r="A606" s="22">
        <v>2524544</v>
      </c>
      <c r="B606" s="23" t="s">
        <v>2685</v>
      </c>
      <c r="C606" s="22" t="s">
        <v>2686</v>
      </c>
      <c r="D606" s="22" t="s">
        <v>2687</v>
      </c>
      <c r="E606" s="23" t="s">
        <v>127</v>
      </c>
      <c r="F606" s="23" t="s">
        <v>92</v>
      </c>
      <c r="G606" s="23" t="s">
        <v>26</v>
      </c>
      <c r="H606" s="23" t="s">
        <v>2688</v>
      </c>
      <c r="I606" s="23" t="s">
        <v>2688</v>
      </c>
      <c r="J606" s="23">
        <v>2</v>
      </c>
      <c r="K606" s="23" t="s">
        <v>19</v>
      </c>
      <c r="L606" s="23" t="s">
        <v>16</v>
      </c>
      <c r="M606" s="24"/>
    </row>
    <row r="607" spans="1:13">
      <c r="A607" s="22">
        <v>2531406</v>
      </c>
      <c r="B607" s="23" t="s">
        <v>2689</v>
      </c>
      <c r="C607" s="22" t="s">
        <v>2690</v>
      </c>
      <c r="D607" s="22" t="s">
        <v>2691</v>
      </c>
      <c r="E607" s="23" t="s">
        <v>84</v>
      </c>
      <c r="F607" s="23" t="s">
        <v>85</v>
      </c>
      <c r="G607" s="23" t="s">
        <v>25</v>
      </c>
      <c r="H607" s="23" t="s">
        <v>2692</v>
      </c>
      <c r="I607" s="23" t="s">
        <v>2693</v>
      </c>
      <c r="J607" s="34" t="s">
        <v>34</v>
      </c>
      <c r="K607" s="23" t="s">
        <v>319</v>
      </c>
      <c r="L607" s="23" t="s">
        <v>18</v>
      </c>
      <c r="M607" s="24"/>
    </row>
    <row r="608" spans="1:13">
      <c r="A608" s="19">
        <v>2530210</v>
      </c>
      <c r="B608" s="20" t="s">
        <v>2694</v>
      </c>
      <c r="C608" s="19" t="s">
        <v>2695</v>
      </c>
      <c r="D608" s="19" t="s">
        <v>2696</v>
      </c>
      <c r="E608" s="20" t="s">
        <v>84</v>
      </c>
      <c r="F608" s="20" t="s">
        <v>92</v>
      </c>
      <c r="G608" s="20" t="s">
        <v>26</v>
      </c>
      <c r="H608" s="20" t="s">
        <v>2697</v>
      </c>
      <c r="I608" s="20" t="s">
        <v>2698</v>
      </c>
      <c r="J608" s="23">
        <v>1</v>
      </c>
      <c r="K608" s="20" t="s">
        <v>2699</v>
      </c>
      <c r="L608" s="20" t="s">
        <v>18</v>
      </c>
      <c r="M608" s="21"/>
    </row>
    <row r="609" spans="1:13">
      <c r="A609" s="22">
        <v>2523431</v>
      </c>
      <c r="B609" s="23" t="s">
        <v>2700</v>
      </c>
      <c r="C609" s="22" t="s">
        <v>2701</v>
      </c>
      <c r="D609" s="22" t="s">
        <v>2701</v>
      </c>
      <c r="E609" s="23" t="s">
        <v>127</v>
      </c>
      <c r="F609" s="23" t="s">
        <v>92</v>
      </c>
      <c r="G609" s="23" t="s">
        <v>26</v>
      </c>
      <c r="H609" s="23" t="s">
        <v>2702</v>
      </c>
      <c r="I609" s="23" t="s">
        <v>2703</v>
      </c>
      <c r="J609" s="23">
        <v>3</v>
      </c>
      <c r="K609" s="23" t="s">
        <v>107</v>
      </c>
      <c r="L609" s="23" t="s">
        <v>16</v>
      </c>
      <c r="M609" s="24"/>
    </row>
    <row r="610" spans="1:13">
      <c r="A610" s="22">
        <v>2521258</v>
      </c>
      <c r="B610" s="23" t="s">
        <v>2704</v>
      </c>
      <c r="C610" s="22" t="s">
        <v>2705</v>
      </c>
      <c r="D610" s="22" t="s">
        <v>2706</v>
      </c>
      <c r="E610" s="23" t="s">
        <v>84</v>
      </c>
      <c r="F610" s="23" t="s">
        <v>92</v>
      </c>
      <c r="G610" s="23" t="s">
        <v>26</v>
      </c>
      <c r="H610" s="23" t="s">
        <v>2707</v>
      </c>
      <c r="I610" s="23" t="s">
        <v>2708</v>
      </c>
      <c r="J610" s="20">
        <v>4</v>
      </c>
      <c r="K610" s="23" t="s">
        <v>107</v>
      </c>
      <c r="L610" s="23" t="s">
        <v>16</v>
      </c>
      <c r="M610" s="24"/>
    </row>
    <row r="611" spans="1:13">
      <c r="A611" s="19">
        <v>2521186</v>
      </c>
      <c r="B611" s="20" t="s">
        <v>2709</v>
      </c>
      <c r="C611" s="19" t="s">
        <v>2710</v>
      </c>
      <c r="D611" s="19" t="s">
        <v>2711</v>
      </c>
      <c r="E611" s="20" t="s">
        <v>84</v>
      </c>
      <c r="F611" s="20" t="s">
        <v>92</v>
      </c>
      <c r="G611" s="20" t="s">
        <v>26</v>
      </c>
      <c r="H611" s="20" t="s">
        <v>2712</v>
      </c>
      <c r="I611" s="20" t="s">
        <v>2713</v>
      </c>
      <c r="J611" s="20">
        <v>2</v>
      </c>
      <c r="K611" s="20" t="s">
        <v>107</v>
      </c>
      <c r="L611" s="20" t="s">
        <v>16</v>
      </c>
      <c r="M611" s="21"/>
    </row>
    <row r="612" spans="1:13">
      <c r="A612" s="19">
        <v>2519652</v>
      </c>
      <c r="B612" s="20" t="s">
        <v>2714</v>
      </c>
      <c r="C612" s="19" t="s">
        <v>2715</v>
      </c>
      <c r="D612" s="19" t="s">
        <v>2716</v>
      </c>
      <c r="E612" s="20" t="s">
        <v>384</v>
      </c>
      <c r="F612" s="20" t="s">
        <v>92</v>
      </c>
      <c r="G612" s="20" t="s">
        <v>26</v>
      </c>
      <c r="H612" s="20" t="s">
        <v>2717</v>
      </c>
      <c r="I612" s="20" t="s">
        <v>2718</v>
      </c>
      <c r="J612" s="23">
        <v>3</v>
      </c>
      <c r="K612" s="20" t="s">
        <v>107</v>
      </c>
      <c r="L612" s="20" t="s">
        <v>16</v>
      </c>
      <c r="M612" s="21" t="s">
        <v>2719</v>
      </c>
    </row>
    <row r="613" spans="1:13">
      <c r="A613" s="22">
        <v>2531853</v>
      </c>
      <c r="B613" s="23" t="s">
        <v>2720</v>
      </c>
      <c r="C613" s="22" t="s">
        <v>2721</v>
      </c>
      <c r="D613" s="22" t="s">
        <v>2722</v>
      </c>
      <c r="E613" s="23" t="s">
        <v>84</v>
      </c>
      <c r="F613" s="23" t="s">
        <v>92</v>
      </c>
      <c r="G613" s="23" t="s">
        <v>26</v>
      </c>
      <c r="H613" s="23" t="s">
        <v>2723</v>
      </c>
      <c r="I613" s="23" t="s">
        <v>2724</v>
      </c>
      <c r="J613" s="36">
        <v>3</v>
      </c>
      <c r="K613" s="23" t="s">
        <v>107</v>
      </c>
      <c r="L613" s="23" t="s">
        <v>16</v>
      </c>
      <c r="M613" s="24"/>
    </row>
    <row r="614" spans="1:13">
      <c r="A614" s="22">
        <v>2531853</v>
      </c>
      <c r="B614" s="23" t="s">
        <v>2720</v>
      </c>
      <c r="C614" s="22" t="s">
        <v>2721</v>
      </c>
      <c r="D614" s="22" t="s">
        <v>2722</v>
      </c>
      <c r="E614" s="23" t="s">
        <v>84</v>
      </c>
      <c r="F614" s="23" t="s">
        <v>92</v>
      </c>
      <c r="G614" s="23" t="s">
        <v>26</v>
      </c>
      <c r="H614" s="23" t="s">
        <v>2725</v>
      </c>
      <c r="I614" s="23" t="s">
        <v>2724</v>
      </c>
      <c r="J614" s="23">
        <v>3</v>
      </c>
      <c r="K614" s="23" t="s">
        <v>107</v>
      </c>
      <c r="L614" s="23" t="s">
        <v>16</v>
      </c>
      <c r="M614" s="24"/>
    </row>
    <row r="615" spans="1:13">
      <c r="A615" s="19">
        <v>2521264</v>
      </c>
      <c r="B615" s="20" t="s">
        <v>2726</v>
      </c>
      <c r="C615" s="19" t="s">
        <v>2727</v>
      </c>
      <c r="D615" s="19" t="s">
        <v>2728</v>
      </c>
      <c r="E615" s="20" t="s">
        <v>84</v>
      </c>
      <c r="F615" s="20" t="s">
        <v>92</v>
      </c>
      <c r="G615" s="20" t="s">
        <v>26</v>
      </c>
      <c r="H615" s="20" t="s">
        <v>2729</v>
      </c>
      <c r="I615" s="20" t="s">
        <v>2730</v>
      </c>
      <c r="J615" s="20">
        <v>2</v>
      </c>
      <c r="K615" s="20" t="s">
        <v>107</v>
      </c>
      <c r="L615" s="20" t="s">
        <v>16</v>
      </c>
      <c r="M615" s="21"/>
    </row>
    <row r="616" spans="1:13">
      <c r="A616" s="19">
        <v>2521258</v>
      </c>
      <c r="B616" s="20" t="s">
        <v>2731</v>
      </c>
      <c r="C616" s="19" t="s">
        <v>2705</v>
      </c>
      <c r="D616" s="19" t="s">
        <v>2706</v>
      </c>
      <c r="E616" s="20" t="s">
        <v>84</v>
      </c>
      <c r="F616" s="20" t="s">
        <v>92</v>
      </c>
      <c r="G616" s="20" t="s">
        <v>26</v>
      </c>
      <c r="H616" s="20" t="s">
        <v>2729</v>
      </c>
      <c r="I616" s="20" t="s">
        <v>2732</v>
      </c>
      <c r="J616" s="20">
        <v>4</v>
      </c>
      <c r="K616" s="20" t="s">
        <v>107</v>
      </c>
      <c r="L616" s="20" t="s">
        <v>16</v>
      </c>
      <c r="M616" s="21"/>
    </row>
    <row r="617" spans="1:13">
      <c r="A617" s="19">
        <v>2518812</v>
      </c>
      <c r="B617" s="20" t="s">
        <v>2733</v>
      </c>
      <c r="C617" s="19" t="s">
        <v>2734</v>
      </c>
      <c r="D617" s="19" t="s">
        <v>2735</v>
      </c>
      <c r="E617" s="20" t="s">
        <v>127</v>
      </c>
      <c r="F617" s="20" t="s">
        <v>92</v>
      </c>
      <c r="G617" s="20" t="s">
        <v>26</v>
      </c>
      <c r="H617" s="20" t="s">
        <v>2729</v>
      </c>
      <c r="I617" s="20" t="s">
        <v>2713</v>
      </c>
      <c r="J617" s="34" t="s">
        <v>34</v>
      </c>
      <c r="K617" s="20" t="s">
        <v>107</v>
      </c>
      <c r="L617" s="20" t="s">
        <v>16</v>
      </c>
      <c r="M617" s="21"/>
    </row>
    <row r="618" spans="1:13">
      <c r="A618" s="22">
        <v>2531835</v>
      </c>
      <c r="B618" s="23" t="s">
        <v>2736</v>
      </c>
      <c r="C618" s="22" t="s">
        <v>2737</v>
      </c>
      <c r="D618" s="22" t="s">
        <v>2738</v>
      </c>
      <c r="E618" s="23" t="s">
        <v>84</v>
      </c>
      <c r="F618" s="23" t="s">
        <v>92</v>
      </c>
      <c r="G618" s="23" t="s">
        <v>26</v>
      </c>
      <c r="H618" s="23" t="s">
        <v>2739</v>
      </c>
      <c r="I618" s="23" t="s">
        <v>2740</v>
      </c>
      <c r="J618" s="36">
        <v>3</v>
      </c>
      <c r="K618" s="23" t="s">
        <v>107</v>
      </c>
      <c r="L618" s="23" t="s">
        <v>16</v>
      </c>
      <c r="M618" s="24" t="s">
        <v>2741</v>
      </c>
    </row>
    <row r="619" spans="1:13">
      <c r="A619" s="22">
        <v>2531835</v>
      </c>
      <c r="B619" s="23" t="s">
        <v>2736</v>
      </c>
      <c r="C619" s="22" t="s">
        <v>2737</v>
      </c>
      <c r="D619" s="22" t="s">
        <v>2738</v>
      </c>
      <c r="E619" s="23" t="s">
        <v>84</v>
      </c>
      <c r="F619" s="23" t="s">
        <v>92</v>
      </c>
      <c r="G619" s="23" t="s">
        <v>26</v>
      </c>
      <c r="H619" s="23" t="s">
        <v>2742</v>
      </c>
      <c r="I619" s="23" t="s">
        <v>2743</v>
      </c>
      <c r="J619" s="23">
        <v>3</v>
      </c>
      <c r="K619" s="23" t="s">
        <v>107</v>
      </c>
      <c r="L619" s="23" t="s">
        <v>16</v>
      </c>
      <c r="M619" s="24" t="s">
        <v>2741</v>
      </c>
    </row>
    <row r="620" spans="1:13">
      <c r="A620" s="22">
        <v>2523449</v>
      </c>
      <c r="B620" s="23" t="s">
        <v>2744</v>
      </c>
      <c r="C620" s="22" t="s">
        <v>2745</v>
      </c>
      <c r="D620" s="22" t="s">
        <v>2746</v>
      </c>
      <c r="E620" s="23" t="s">
        <v>84</v>
      </c>
      <c r="F620" s="23" t="s">
        <v>92</v>
      </c>
      <c r="G620" s="23" t="s">
        <v>26</v>
      </c>
      <c r="H620" s="23" t="s">
        <v>2747</v>
      </c>
      <c r="I620" s="23" t="s">
        <v>2748</v>
      </c>
      <c r="J620" s="20">
        <v>2</v>
      </c>
      <c r="K620" s="23" t="s">
        <v>107</v>
      </c>
      <c r="L620" s="23" t="s">
        <v>16</v>
      </c>
      <c r="M620" s="24"/>
    </row>
    <row r="621" spans="1:13">
      <c r="A621" s="22">
        <v>2524525</v>
      </c>
      <c r="B621" s="23" t="s">
        <v>2749</v>
      </c>
      <c r="C621" s="22" t="s">
        <v>2750</v>
      </c>
      <c r="D621" s="22" t="s">
        <v>2751</v>
      </c>
      <c r="E621" s="23" t="s">
        <v>84</v>
      </c>
      <c r="F621" s="23" t="s">
        <v>85</v>
      </c>
      <c r="G621" s="23" t="s">
        <v>26</v>
      </c>
      <c r="H621" s="23" t="s">
        <v>2752</v>
      </c>
      <c r="I621" s="23" t="s">
        <v>2753</v>
      </c>
      <c r="J621" s="20">
        <v>4</v>
      </c>
      <c r="K621" s="23" t="s">
        <v>206</v>
      </c>
      <c r="L621" s="23" t="s">
        <v>16</v>
      </c>
      <c r="M621" s="24"/>
    </row>
    <row r="622" spans="1:13">
      <c r="A622" s="19">
        <v>2529606</v>
      </c>
      <c r="B622" s="20" t="s">
        <v>301</v>
      </c>
      <c r="C622" s="19" t="s">
        <v>302</v>
      </c>
      <c r="D622" s="19" t="s">
        <v>303</v>
      </c>
      <c r="E622" s="20" t="s">
        <v>84</v>
      </c>
      <c r="F622" s="20" t="s">
        <v>112</v>
      </c>
      <c r="G622" s="20" t="s">
        <v>28</v>
      </c>
      <c r="H622" s="20" t="s">
        <v>2754</v>
      </c>
      <c r="I622" s="20" t="s">
        <v>2755</v>
      </c>
      <c r="J622" s="34" t="s">
        <v>34</v>
      </c>
      <c r="K622" s="20" t="s">
        <v>19</v>
      </c>
      <c r="L622" s="20" t="s">
        <v>18</v>
      </c>
      <c r="M622" s="21" t="s">
        <v>222</v>
      </c>
    </row>
    <row r="623" spans="1:13">
      <c r="A623" s="22">
        <v>2524659</v>
      </c>
      <c r="B623" s="23" t="s">
        <v>2756</v>
      </c>
      <c r="C623" s="22" t="s">
        <v>2757</v>
      </c>
      <c r="D623" s="22" t="s">
        <v>2758</v>
      </c>
      <c r="E623" s="23" t="s">
        <v>84</v>
      </c>
      <c r="F623" s="23" t="s">
        <v>92</v>
      </c>
      <c r="G623" s="23" t="s">
        <v>26</v>
      </c>
      <c r="H623" s="23" t="s">
        <v>2759</v>
      </c>
      <c r="I623" s="23" t="s">
        <v>2760</v>
      </c>
      <c r="J623" s="34" t="s">
        <v>34</v>
      </c>
      <c r="K623" s="23" t="s">
        <v>19</v>
      </c>
      <c r="L623" s="23" t="s">
        <v>16</v>
      </c>
      <c r="M623" s="24"/>
    </row>
    <row r="624" spans="1:13">
      <c r="A624" s="22">
        <v>2525064</v>
      </c>
      <c r="B624" s="23" t="s">
        <v>2761</v>
      </c>
      <c r="C624" s="22" t="s">
        <v>2762</v>
      </c>
      <c r="D624" s="22" t="s">
        <v>2763</v>
      </c>
      <c r="E624" s="23" t="s">
        <v>127</v>
      </c>
      <c r="F624" s="23" t="s">
        <v>85</v>
      </c>
      <c r="G624" s="23" t="s">
        <v>26</v>
      </c>
      <c r="H624" s="23" t="s">
        <v>2764</v>
      </c>
      <c r="I624" s="23" t="s">
        <v>2765</v>
      </c>
      <c r="J624" s="23">
        <v>1</v>
      </c>
      <c r="K624" s="23" t="s">
        <v>2071</v>
      </c>
      <c r="L624" s="23" t="s">
        <v>16</v>
      </c>
      <c r="M624" s="24"/>
    </row>
    <row r="625" spans="1:13">
      <c r="A625" s="19">
        <v>2525064</v>
      </c>
      <c r="B625" s="20" t="s">
        <v>2761</v>
      </c>
      <c r="C625" s="19" t="s">
        <v>2762</v>
      </c>
      <c r="D625" s="19" t="s">
        <v>2763</v>
      </c>
      <c r="E625" s="20" t="s">
        <v>127</v>
      </c>
      <c r="F625" s="20" t="s">
        <v>85</v>
      </c>
      <c r="G625" s="20" t="s">
        <v>26</v>
      </c>
      <c r="H625" s="20" t="s">
        <v>2764</v>
      </c>
      <c r="I625" s="20" t="s">
        <v>2766</v>
      </c>
      <c r="J625" s="23">
        <v>1</v>
      </c>
      <c r="K625" s="20" t="s">
        <v>2071</v>
      </c>
      <c r="L625" s="20" t="s">
        <v>16</v>
      </c>
      <c r="M625" s="21"/>
    </row>
    <row r="626" spans="1:13">
      <c r="A626" s="22">
        <v>2533041</v>
      </c>
      <c r="B626" s="23" t="s">
        <v>2767</v>
      </c>
      <c r="C626" s="22" t="s">
        <v>2768</v>
      </c>
      <c r="D626" s="22" t="s">
        <v>2769</v>
      </c>
      <c r="E626" s="23" t="s">
        <v>84</v>
      </c>
      <c r="F626" s="23" t="s">
        <v>85</v>
      </c>
      <c r="G626" s="23" t="s">
        <v>25</v>
      </c>
      <c r="H626" s="23" t="s">
        <v>2770</v>
      </c>
      <c r="I626" s="23" t="s">
        <v>2771</v>
      </c>
      <c r="J626" s="23">
        <v>1</v>
      </c>
      <c r="K626" s="23" t="s">
        <v>2088</v>
      </c>
      <c r="L626" s="23" t="s">
        <v>18</v>
      </c>
      <c r="M626" s="24"/>
    </row>
    <row r="627" spans="1:13">
      <c r="A627" s="22">
        <v>2481184</v>
      </c>
      <c r="B627" s="23" t="s">
        <v>2772</v>
      </c>
      <c r="C627" s="22" t="s">
        <v>2773</v>
      </c>
      <c r="D627" s="22" t="s">
        <v>2774</v>
      </c>
      <c r="E627" s="23" t="s">
        <v>127</v>
      </c>
      <c r="F627" s="23" t="s">
        <v>92</v>
      </c>
      <c r="G627" s="23" t="s">
        <v>25</v>
      </c>
      <c r="H627" s="23" t="s">
        <v>2775</v>
      </c>
      <c r="I627" s="23" t="s">
        <v>2776</v>
      </c>
      <c r="J627" s="22" t="s">
        <v>94</v>
      </c>
      <c r="K627" s="23" t="s">
        <v>2777</v>
      </c>
      <c r="L627" s="23" t="s">
        <v>16</v>
      </c>
      <c r="M627" s="24"/>
    </row>
    <row r="628" spans="1:13">
      <c r="A628" s="22">
        <v>2512306</v>
      </c>
      <c r="B628" s="23" t="s">
        <v>2778</v>
      </c>
      <c r="C628" s="22" t="s">
        <v>2779</v>
      </c>
      <c r="D628" s="22" t="s">
        <v>2780</v>
      </c>
      <c r="E628" s="23" t="s">
        <v>84</v>
      </c>
      <c r="F628" s="23" t="s">
        <v>85</v>
      </c>
      <c r="G628" s="23" t="s">
        <v>26</v>
      </c>
      <c r="H628" s="23" t="s">
        <v>2781</v>
      </c>
      <c r="I628" s="23" t="s">
        <v>2782</v>
      </c>
      <c r="J628" s="23">
        <v>3</v>
      </c>
      <c r="K628" s="23" t="s">
        <v>206</v>
      </c>
      <c r="L628" s="23" t="s">
        <v>16</v>
      </c>
      <c r="M628" s="24"/>
    </row>
    <row r="629" spans="1:13">
      <c r="A629" s="22">
        <v>2524489</v>
      </c>
      <c r="B629" s="23" t="s">
        <v>2783</v>
      </c>
      <c r="C629" s="22" t="s">
        <v>2784</v>
      </c>
      <c r="D629" s="22" t="s">
        <v>2785</v>
      </c>
      <c r="E629" s="23" t="s">
        <v>84</v>
      </c>
      <c r="F629" s="23" t="s">
        <v>85</v>
      </c>
      <c r="G629" s="23" t="s">
        <v>28</v>
      </c>
      <c r="H629" s="23" t="s">
        <v>2786</v>
      </c>
      <c r="I629" s="23" t="s">
        <v>2787</v>
      </c>
      <c r="J629" s="23">
        <v>2</v>
      </c>
      <c r="K629" s="23" t="s">
        <v>17</v>
      </c>
      <c r="L629" s="23" t="s">
        <v>18</v>
      </c>
      <c r="M629" s="24"/>
    </row>
    <row r="630" spans="1:13">
      <c r="A630" s="19">
        <v>2512316</v>
      </c>
      <c r="B630" s="20" t="s">
        <v>2788</v>
      </c>
      <c r="C630" s="19" t="s">
        <v>2789</v>
      </c>
      <c r="D630" s="19" t="s">
        <v>2790</v>
      </c>
      <c r="E630" s="20" t="s">
        <v>84</v>
      </c>
      <c r="F630" s="20" t="s">
        <v>85</v>
      </c>
      <c r="G630" s="20" t="s">
        <v>27</v>
      </c>
      <c r="H630" s="20" t="s">
        <v>2791</v>
      </c>
      <c r="I630" s="20" t="s">
        <v>2792</v>
      </c>
      <c r="J630" s="34">
        <v>7</v>
      </c>
      <c r="K630" s="20" t="s">
        <v>15</v>
      </c>
      <c r="L630" s="20" t="s">
        <v>18</v>
      </c>
      <c r="M630" s="21"/>
    </row>
    <row r="631" spans="1:13">
      <c r="A631" s="22">
        <v>2521802</v>
      </c>
      <c r="B631" s="23" t="s">
        <v>1402</v>
      </c>
      <c r="C631" s="22" t="s">
        <v>1403</v>
      </c>
      <c r="D631" s="22" t="s">
        <v>1404</v>
      </c>
      <c r="E631" s="23" t="s">
        <v>84</v>
      </c>
      <c r="F631" s="23" t="s">
        <v>92</v>
      </c>
      <c r="G631" s="23" t="s">
        <v>26</v>
      </c>
      <c r="H631" s="23" t="s">
        <v>2793</v>
      </c>
      <c r="I631" s="23" t="s">
        <v>2794</v>
      </c>
      <c r="J631" s="23">
        <v>1</v>
      </c>
      <c r="K631" s="23" t="s">
        <v>19</v>
      </c>
      <c r="L631" s="23" t="s">
        <v>16</v>
      </c>
      <c r="M631" s="24"/>
    </row>
    <row r="632" spans="1:13">
      <c r="A632" s="19">
        <v>2522851</v>
      </c>
      <c r="B632" s="20" t="s">
        <v>2795</v>
      </c>
      <c r="C632" s="19" t="s">
        <v>2796</v>
      </c>
      <c r="D632" s="19" t="s">
        <v>2797</v>
      </c>
      <c r="E632" s="20" t="s">
        <v>84</v>
      </c>
      <c r="F632" s="20" t="s">
        <v>85</v>
      </c>
      <c r="G632" s="20" t="s">
        <v>27</v>
      </c>
      <c r="H632" s="20" t="s">
        <v>2798</v>
      </c>
      <c r="I632" s="20" t="s">
        <v>2799</v>
      </c>
      <c r="J632" s="20">
        <v>2</v>
      </c>
      <c r="K632" s="20" t="s">
        <v>19</v>
      </c>
      <c r="L632" s="20" t="s">
        <v>18</v>
      </c>
      <c r="M632" s="21"/>
    </row>
    <row r="633" spans="1:13">
      <c r="A633" s="19">
        <v>2511317</v>
      </c>
      <c r="B633" s="20" t="s">
        <v>2800</v>
      </c>
      <c r="C633" s="19" t="s">
        <v>2801</v>
      </c>
      <c r="D633" s="19" t="s">
        <v>2802</v>
      </c>
      <c r="E633" s="20" t="s">
        <v>84</v>
      </c>
      <c r="F633" s="20" t="s">
        <v>85</v>
      </c>
      <c r="G633" s="20" t="s">
        <v>26</v>
      </c>
      <c r="H633" s="20" t="s">
        <v>2803</v>
      </c>
      <c r="I633" s="20" t="s">
        <v>2803</v>
      </c>
      <c r="J633" s="20">
        <v>2</v>
      </c>
      <c r="K633" s="20" t="s">
        <v>206</v>
      </c>
      <c r="L633" s="20" t="s">
        <v>16</v>
      </c>
      <c r="M633" s="21"/>
    </row>
    <row r="634" spans="1:13">
      <c r="A634" s="19">
        <v>2529779</v>
      </c>
      <c r="B634" s="20" t="s">
        <v>2804</v>
      </c>
      <c r="C634" s="19" t="s">
        <v>2805</v>
      </c>
      <c r="D634" s="19" t="s">
        <v>2806</v>
      </c>
      <c r="E634" s="20" t="s">
        <v>127</v>
      </c>
      <c r="F634" s="20" t="s">
        <v>85</v>
      </c>
      <c r="G634" s="20" t="s">
        <v>26</v>
      </c>
      <c r="H634" s="20" t="s">
        <v>2807</v>
      </c>
      <c r="I634" s="20" t="s">
        <v>2808</v>
      </c>
      <c r="J634" s="33">
        <v>1</v>
      </c>
      <c r="K634" s="20" t="s">
        <v>967</v>
      </c>
      <c r="L634" s="20" t="s">
        <v>16</v>
      </c>
      <c r="M634" s="21" t="s">
        <v>864</v>
      </c>
    </row>
    <row r="635" spans="1:13">
      <c r="A635" s="22">
        <v>2530176</v>
      </c>
      <c r="B635" s="23" t="s">
        <v>2809</v>
      </c>
      <c r="C635" s="22" t="s">
        <v>2810</v>
      </c>
      <c r="D635" s="22" t="s">
        <v>2811</v>
      </c>
      <c r="E635" s="23" t="s">
        <v>84</v>
      </c>
      <c r="F635" s="23" t="s">
        <v>112</v>
      </c>
      <c r="G635" s="23" t="s">
        <v>26</v>
      </c>
      <c r="H635" s="23" t="s">
        <v>2812</v>
      </c>
      <c r="I635" s="23" t="s">
        <v>2813</v>
      </c>
      <c r="J635" s="23">
        <v>1</v>
      </c>
      <c r="K635" s="23" t="s">
        <v>206</v>
      </c>
      <c r="L635" s="23" t="s">
        <v>16</v>
      </c>
      <c r="M635" s="24"/>
    </row>
    <row r="636" spans="1:13">
      <c r="A636" s="19">
        <v>2530176</v>
      </c>
      <c r="B636" s="20" t="s">
        <v>2814</v>
      </c>
      <c r="C636" s="19" t="s">
        <v>2810</v>
      </c>
      <c r="D636" s="19" t="s">
        <v>2811</v>
      </c>
      <c r="E636" s="20" t="s">
        <v>84</v>
      </c>
      <c r="F636" s="20" t="s">
        <v>112</v>
      </c>
      <c r="G636" s="20" t="s">
        <v>26</v>
      </c>
      <c r="H636" s="20" t="s">
        <v>2812</v>
      </c>
      <c r="I636" s="20" t="s">
        <v>2815</v>
      </c>
      <c r="J636" s="23">
        <v>1</v>
      </c>
      <c r="K636" s="20" t="s">
        <v>206</v>
      </c>
      <c r="L636" s="20" t="s">
        <v>16</v>
      </c>
      <c r="M636" s="21"/>
    </row>
    <row r="637" spans="1:13">
      <c r="A637" s="19">
        <v>2530176</v>
      </c>
      <c r="B637" s="20" t="s">
        <v>2814</v>
      </c>
      <c r="C637" s="19" t="s">
        <v>2810</v>
      </c>
      <c r="D637" s="19" t="s">
        <v>2811</v>
      </c>
      <c r="E637" s="20" t="s">
        <v>84</v>
      </c>
      <c r="F637" s="20" t="s">
        <v>112</v>
      </c>
      <c r="G637" s="20" t="s">
        <v>26</v>
      </c>
      <c r="H637" s="20" t="s">
        <v>2812</v>
      </c>
      <c r="I637" s="20" t="s">
        <v>2815</v>
      </c>
      <c r="J637" s="34">
        <v>1</v>
      </c>
      <c r="K637" s="20" t="s">
        <v>206</v>
      </c>
      <c r="L637" s="20" t="s">
        <v>16</v>
      </c>
      <c r="M637" s="21"/>
    </row>
    <row r="638" spans="1:13">
      <c r="A638" s="19">
        <v>2530176</v>
      </c>
      <c r="B638" s="20" t="s">
        <v>2814</v>
      </c>
      <c r="C638" s="19" t="s">
        <v>2810</v>
      </c>
      <c r="D638" s="19" t="s">
        <v>2811</v>
      </c>
      <c r="E638" s="20" t="s">
        <v>84</v>
      </c>
      <c r="F638" s="20" t="s">
        <v>112</v>
      </c>
      <c r="G638" s="20" t="s">
        <v>26</v>
      </c>
      <c r="H638" s="20" t="s">
        <v>2812</v>
      </c>
      <c r="I638" s="20" t="s">
        <v>2815</v>
      </c>
      <c r="J638" s="20">
        <v>1</v>
      </c>
      <c r="K638" s="20" t="s">
        <v>206</v>
      </c>
      <c r="L638" s="20" t="s">
        <v>16</v>
      </c>
      <c r="M638" s="21"/>
    </row>
    <row r="639" spans="1:13">
      <c r="A639" s="19">
        <v>2530206</v>
      </c>
      <c r="B639" s="20" t="s">
        <v>2816</v>
      </c>
      <c r="C639" s="19" t="s">
        <v>2817</v>
      </c>
      <c r="D639" s="19" t="s">
        <v>2818</v>
      </c>
      <c r="E639" s="20" t="s">
        <v>84</v>
      </c>
      <c r="F639" s="20" t="s">
        <v>112</v>
      </c>
      <c r="G639" s="20" t="s">
        <v>26</v>
      </c>
      <c r="H639" s="20" t="s">
        <v>2819</v>
      </c>
      <c r="I639" s="20" t="s">
        <v>2820</v>
      </c>
      <c r="J639" s="20">
        <v>1</v>
      </c>
      <c r="K639" s="20" t="s">
        <v>206</v>
      </c>
      <c r="L639" s="20" t="s">
        <v>18</v>
      </c>
      <c r="M639" s="21"/>
    </row>
    <row r="640" spans="1:13">
      <c r="A640" s="22">
        <v>2512287</v>
      </c>
      <c r="B640" s="23" t="s">
        <v>2821</v>
      </c>
      <c r="C640" s="22" t="s">
        <v>2822</v>
      </c>
      <c r="D640" s="22" t="s">
        <v>2823</v>
      </c>
      <c r="E640" s="23" t="s">
        <v>84</v>
      </c>
      <c r="F640" s="23" t="s">
        <v>85</v>
      </c>
      <c r="G640" s="23" t="s">
        <v>26</v>
      </c>
      <c r="H640" s="23" t="s">
        <v>2824</v>
      </c>
      <c r="I640" s="23" t="s">
        <v>2825</v>
      </c>
      <c r="J640" s="23">
        <v>3</v>
      </c>
      <c r="K640" s="23" t="s">
        <v>206</v>
      </c>
      <c r="L640" s="23" t="s">
        <v>18</v>
      </c>
      <c r="M640" s="24"/>
    </row>
    <row r="641" spans="1:13">
      <c r="A641" s="22">
        <v>2531833</v>
      </c>
      <c r="B641" s="23" t="s">
        <v>2826</v>
      </c>
      <c r="C641" s="22" t="s">
        <v>2827</v>
      </c>
      <c r="D641" s="22" t="s">
        <v>2828</v>
      </c>
      <c r="E641" s="23" t="s">
        <v>84</v>
      </c>
      <c r="F641" s="23" t="s">
        <v>92</v>
      </c>
      <c r="G641" s="23" t="s">
        <v>26</v>
      </c>
      <c r="H641" s="23" t="s">
        <v>2829</v>
      </c>
      <c r="I641" s="23" t="s">
        <v>2830</v>
      </c>
      <c r="J641" s="23">
        <v>1</v>
      </c>
      <c r="K641" s="23" t="s">
        <v>206</v>
      </c>
      <c r="L641" s="23" t="s">
        <v>16</v>
      </c>
      <c r="M641" s="24"/>
    </row>
    <row r="642" spans="1:13">
      <c r="A642" s="19">
        <v>2530137</v>
      </c>
      <c r="B642" s="20" t="s">
        <v>2831</v>
      </c>
      <c r="C642" s="19" t="s">
        <v>2832</v>
      </c>
      <c r="D642" s="19" t="s">
        <v>2833</v>
      </c>
      <c r="E642" s="20" t="s">
        <v>127</v>
      </c>
      <c r="F642" s="20" t="s">
        <v>92</v>
      </c>
      <c r="G642" s="20" t="s">
        <v>26</v>
      </c>
      <c r="H642" s="20" t="s">
        <v>2834</v>
      </c>
      <c r="I642" s="20" t="s">
        <v>2835</v>
      </c>
      <c r="J642" s="23">
        <v>3</v>
      </c>
      <c r="K642" s="20" t="s">
        <v>107</v>
      </c>
      <c r="L642" s="20" t="s">
        <v>16</v>
      </c>
      <c r="M642" s="21"/>
    </row>
    <row r="643" spans="1:13">
      <c r="A643" s="19">
        <v>2523391</v>
      </c>
      <c r="B643" s="20" t="s">
        <v>2836</v>
      </c>
      <c r="C643" s="19" t="s">
        <v>2837</v>
      </c>
      <c r="D643" s="19" t="s">
        <v>2838</v>
      </c>
      <c r="E643" s="20" t="s">
        <v>127</v>
      </c>
      <c r="F643" s="20" t="s">
        <v>92</v>
      </c>
      <c r="G643" s="20" t="s">
        <v>26</v>
      </c>
      <c r="H643" s="20" t="s">
        <v>2839</v>
      </c>
      <c r="I643" s="20" t="s">
        <v>2840</v>
      </c>
      <c r="J643" s="23">
        <v>3</v>
      </c>
      <c r="K643" s="20" t="s">
        <v>206</v>
      </c>
      <c r="L643" s="20" t="s">
        <v>16</v>
      </c>
      <c r="M643" s="21" t="s">
        <v>455</v>
      </c>
    </row>
    <row r="644" spans="1:13">
      <c r="A644" s="19">
        <v>2520951</v>
      </c>
      <c r="B644" s="20" t="s">
        <v>2841</v>
      </c>
      <c r="C644" s="19" t="s">
        <v>2842</v>
      </c>
      <c r="D644" s="19" t="s">
        <v>2843</v>
      </c>
      <c r="E644" s="20" t="s">
        <v>127</v>
      </c>
      <c r="F644" s="20" t="s">
        <v>112</v>
      </c>
      <c r="G644" s="20" t="s">
        <v>26</v>
      </c>
      <c r="H644" s="20" t="s">
        <v>2844</v>
      </c>
      <c r="I644" s="20" t="s">
        <v>2845</v>
      </c>
      <c r="J644" s="23">
        <v>3</v>
      </c>
      <c r="K644" s="20" t="s">
        <v>206</v>
      </c>
      <c r="L644" s="20" t="s">
        <v>16</v>
      </c>
      <c r="M644" s="21"/>
    </row>
    <row r="645" spans="1:13">
      <c r="A645" s="22">
        <v>2521845</v>
      </c>
      <c r="B645" s="23" t="s">
        <v>2846</v>
      </c>
      <c r="C645" s="22" t="s">
        <v>2847</v>
      </c>
      <c r="D645" s="22" t="s">
        <v>2848</v>
      </c>
      <c r="E645" s="23" t="s">
        <v>127</v>
      </c>
      <c r="F645" s="23" t="s">
        <v>92</v>
      </c>
      <c r="G645" s="23" t="s">
        <v>26</v>
      </c>
      <c r="H645" s="23" t="s">
        <v>2849</v>
      </c>
      <c r="I645" s="23" t="s">
        <v>2850</v>
      </c>
      <c r="J645" s="34" t="s">
        <v>34</v>
      </c>
      <c r="K645" s="23" t="s">
        <v>206</v>
      </c>
      <c r="L645" s="23" t="s">
        <v>16</v>
      </c>
      <c r="M645" s="24"/>
    </row>
    <row r="646" spans="1:13">
      <c r="A646" s="22">
        <v>2521841</v>
      </c>
      <c r="B646" s="23" t="s">
        <v>2851</v>
      </c>
      <c r="C646" s="22" t="s">
        <v>2848</v>
      </c>
      <c r="D646" s="22" t="s">
        <v>2847</v>
      </c>
      <c r="E646" s="23" t="s">
        <v>127</v>
      </c>
      <c r="F646" s="23" t="s">
        <v>92</v>
      </c>
      <c r="G646" s="23" t="s">
        <v>26</v>
      </c>
      <c r="H646" s="23" t="s">
        <v>2852</v>
      </c>
      <c r="I646" s="23" t="s">
        <v>2853</v>
      </c>
      <c r="J646" s="34" t="s">
        <v>34</v>
      </c>
      <c r="K646" s="23" t="s">
        <v>107</v>
      </c>
      <c r="L646" s="23" t="s">
        <v>16</v>
      </c>
      <c r="M646" s="24"/>
    </row>
    <row r="647" spans="1:13">
      <c r="A647" s="19">
        <v>2531838</v>
      </c>
      <c r="B647" s="20" t="s">
        <v>2854</v>
      </c>
      <c r="C647" s="19" t="s">
        <v>2855</v>
      </c>
      <c r="D647" s="19" t="s">
        <v>2856</v>
      </c>
      <c r="E647" s="20" t="s">
        <v>84</v>
      </c>
      <c r="F647" s="20" t="s">
        <v>92</v>
      </c>
      <c r="G647" s="20" t="s">
        <v>26</v>
      </c>
      <c r="H647" s="20" t="s">
        <v>2857</v>
      </c>
      <c r="I647" s="20" t="s">
        <v>2858</v>
      </c>
      <c r="J647" s="23">
        <v>1</v>
      </c>
      <c r="K647" s="20" t="s">
        <v>206</v>
      </c>
      <c r="L647" s="20" t="s">
        <v>16</v>
      </c>
      <c r="M647" s="21"/>
    </row>
    <row r="648" spans="1:13">
      <c r="A648" s="19">
        <v>2521753</v>
      </c>
      <c r="B648" s="20" t="s">
        <v>2859</v>
      </c>
      <c r="C648" s="19" t="s">
        <v>2860</v>
      </c>
      <c r="D648" s="19" t="s">
        <v>2861</v>
      </c>
      <c r="E648" s="20" t="s">
        <v>127</v>
      </c>
      <c r="F648" s="20" t="s">
        <v>112</v>
      </c>
      <c r="G648" s="20" t="s">
        <v>26</v>
      </c>
      <c r="H648" s="20" t="s">
        <v>2862</v>
      </c>
      <c r="I648" s="20" t="s">
        <v>2863</v>
      </c>
      <c r="J648" s="23">
        <v>1</v>
      </c>
      <c r="K648" s="20" t="s">
        <v>206</v>
      </c>
      <c r="L648" s="20" t="s">
        <v>16</v>
      </c>
      <c r="M648" s="21"/>
    </row>
    <row r="649" spans="1:13">
      <c r="A649" s="19">
        <v>2523383</v>
      </c>
      <c r="B649" s="20" t="s">
        <v>2864</v>
      </c>
      <c r="C649" s="19" t="s">
        <v>2865</v>
      </c>
      <c r="D649" s="19" t="s">
        <v>2866</v>
      </c>
      <c r="E649" s="20" t="s">
        <v>84</v>
      </c>
      <c r="F649" s="20" t="s">
        <v>92</v>
      </c>
      <c r="G649" s="20" t="s">
        <v>26</v>
      </c>
      <c r="H649" s="20" t="s">
        <v>2867</v>
      </c>
      <c r="I649" s="20" t="s">
        <v>2867</v>
      </c>
      <c r="J649" s="20">
        <v>4</v>
      </c>
      <c r="K649" s="20" t="s">
        <v>107</v>
      </c>
      <c r="L649" s="20" t="s">
        <v>18</v>
      </c>
      <c r="M649" s="21"/>
    </row>
    <row r="650" spans="1:13">
      <c r="A650" s="22">
        <v>2529513</v>
      </c>
      <c r="B650" s="23" t="s">
        <v>2868</v>
      </c>
      <c r="C650" s="22" t="s">
        <v>2869</v>
      </c>
      <c r="D650" s="22" t="s">
        <v>2870</v>
      </c>
      <c r="E650" s="23" t="s">
        <v>127</v>
      </c>
      <c r="F650" s="23" t="s">
        <v>92</v>
      </c>
      <c r="G650" s="23" t="s">
        <v>26</v>
      </c>
      <c r="H650" s="23" t="s">
        <v>2871</v>
      </c>
      <c r="I650" s="23" t="s">
        <v>2872</v>
      </c>
      <c r="J650" s="23">
        <v>3</v>
      </c>
      <c r="K650" s="23" t="s">
        <v>107</v>
      </c>
      <c r="L650" s="23" t="s">
        <v>16</v>
      </c>
      <c r="M650" s="24" t="s">
        <v>16</v>
      </c>
    </row>
    <row r="651" spans="1:13">
      <c r="A651" s="22">
        <v>2512341</v>
      </c>
      <c r="B651" s="23" t="s">
        <v>2873</v>
      </c>
      <c r="C651" s="22" t="s">
        <v>2874</v>
      </c>
      <c r="D651" s="22" t="s">
        <v>2875</v>
      </c>
      <c r="E651" s="23" t="s">
        <v>127</v>
      </c>
      <c r="F651" s="23" t="s">
        <v>85</v>
      </c>
      <c r="G651" s="23" t="s">
        <v>26</v>
      </c>
      <c r="H651" s="23" t="s">
        <v>2876</v>
      </c>
      <c r="I651" s="23" t="s">
        <v>2877</v>
      </c>
      <c r="J651" s="20">
        <v>2</v>
      </c>
      <c r="K651" s="23" t="s">
        <v>206</v>
      </c>
      <c r="L651" s="23" t="s">
        <v>16</v>
      </c>
      <c r="M651" s="24"/>
    </row>
    <row r="652" spans="1:13">
      <c r="A652" s="19">
        <v>2512301</v>
      </c>
      <c r="B652" s="20" t="s">
        <v>2878</v>
      </c>
      <c r="C652" s="19" t="s">
        <v>2879</v>
      </c>
      <c r="D652" s="19" t="s">
        <v>2880</v>
      </c>
      <c r="E652" s="20" t="s">
        <v>84</v>
      </c>
      <c r="F652" s="20" t="s">
        <v>85</v>
      </c>
      <c r="G652" s="20" t="s">
        <v>26</v>
      </c>
      <c r="H652" s="20" t="s">
        <v>2881</v>
      </c>
      <c r="I652" s="20" t="s">
        <v>2882</v>
      </c>
      <c r="J652" s="20">
        <v>2</v>
      </c>
      <c r="K652" s="20" t="s">
        <v>206</v>
      </c>
      <c r="L652" s="20" t="s">
        <v>16</v>
      </c>
      <c r="M652" s="21"/>
    </row>
    <row r="653" spans="1:13">
      <c r="A653" s="19">
        <v>2507493</v>
      </c>
      <c r="B653" s="20" t="s">
        <v>2883</v>
      </c>
      <c r="C653" s="19" t="s">
        <v>2884</v>
      </c>
      <c r="D653" s="19" t="s">
        <v>2885</v>
      </c>
      <c r="E653" s="20" t="s">
        <v>84</v>
      </c>
      <c r="F653" s="20" t="s">
        <v>85</v>
      </c>
      <c r="G653" s="20" t="s">
        <v>26</v>
      </c>
      <c r="H653" s="20" t="s">
        <v>2886</v>
      </c>
      <c r="I653" s="20" t="s">
        <v>2887</v>
      </c>
      <c r="J653" s="19">
        <v>3</v>
      </c>
      <c r="K653" s="20" t="s">
        <v>19</v>
      </c>
      <c r="L653" s="20" t="s">
        <v>16</v>
      </c>
      <c r="M653" s="21"/>
    </row>
    <row r="654" spans="1:13">
      <c r="A654" s="19">
        <v>2516873</v>
      </c>
      <c r="B654" s="20" t="s">
        <v>2888</v>
      </c>
      <c r="C654" s="19" t="s">
        <v>2889</v>
      </c>
      <c r="D654" s="19" t="s">
        <v>2890</v>
      </c>
      <c r="E654" s="20" t="s">
        <v>84</v>
      </c>
      <c r="F654" s="20" t="s">
        <v>92</v>
      </c>
      <c r="G654" s="20" t="s">
        <v>26</v>
      </c>
      <c r="H654" s="20" t="s">
        <v>2891</v>
      </c>
      <c r="I654" s="20" t="s">
        <v>2892</v>
      </c>
      <c r="J654" s="23">
        <v>1</v>
      </c>
      <c r="K654" s="20" t="s">
        <v>19</v>
      </c>
      <c r="L654" s="20" t="s">
        <v>16</v>
      </c>
      <c r="M654" s="21" t="s">
        <v>49</v>
      </c>
    </row>
    <row r="655" spans="1:13">
      <c r="A655" s="22">
        <v>2516873</v>
      </c>
      <c r="B655" s="23" t="s">
        <v>2888</v>
      </c>
      <c r="C655" s="22" t="s">
        <v>2889</v>
      </c>
      <c r="D655" s="22" t="s">
        <v>2890</v>
      </c>
      <c r="E655" s="23" t="s">
        <v>84</v>
      </c>
      <c r="F655" s="23" t="s">
        <v>92</v>
      </c>
      <c r="G655" s="23" t="s">
        <v>26</v>
      </c>
      <c r="H655" s="23" t="s">
        <v>2893</v>
      </c>
      <c r="I655" s="23" t="s">
        <v>2894</v>
      </c>
      <c r="J655" s="23">
        <v>1</v>
      </c>
      <c r="K655" s="23" t="s">
        <v>19</v>
      </c>
      <c r="L655" s="23" t="s">
        <v>16</v>
      </c>
      <c r="M655" s="24" t="s">
        <v>49</v>
      </c>
    </row>
    <row r="656" spans="1:13">
      <c r="A656" s="19">
        <v>2523387</v>
      </c>
      <c r="B656" s="20" t="s">
        <v>2895</v>
      </c>
      <c r="C656" s="19" t="s">
        <v>2896</v>
      </c>
      <c r="D656" s="19" t="s">
        <v>2897</v>
      </c>
      <c r="E656" s="20" t="s">
        <v>84</v>
      </c>
      <c r="F656" s="20" t="s">
        <v>92</v>
      </c>
      <c r="G656" s="20" t="s">
        <v>26</v>
      </c>
      <c r="H656" s="20" t="s">
        <v>2898</v>
      </c>
      <c r="I656" s="20" t="s">
        <v>2899</v>
      </c>
      <c r="J656" s="23">
        <v>3</v>
      </c>
      <c r="K656" s="20" t="s">
        <v>107</v>
      </c>
      <c r="L656" s="20" t="s">
        <v>16</v>
      </c>
      <c r="M656" s="21"/>
    </row>
    <row r="657" spans="1:13">
      <c r="A657" s="22">
        <v>2533043</v>
      </c>
      <c r="B657" s="23" t="s">
        <v>2900</v>
      </c>
      <c r="C657" s="22" t="s">
        <v>2901</v>
      </c>
      <c r="D657" s="22" t="s">
        <v>2902</v>
      </c>
      <c r="E657" s="23" t="s">
        <v>84</v>
      </c>
      <c r="F657" s="23" t="s">
        <v>92</v>
      </c>
      <c r="G657" s="23" t="s">
        <v>26</v>
      </c>
      <c r="H657" s="23" t="s">
        <v>2898</v>
      </c>
      <c r="I657" s="23" t="s">
        <v>2903</v>
      </c>
      <c r="J657" s="20">
        <v>5</v>
      </c>
      <c r="K657" s="23" t="s">
        <v>107</v>
      </c>
      <c r="L657" s="23" t="s">
        <v>16</v>
      </c>
      <c r="M657" s="24"/>
    </row>
    <row r="658" spans="1:13">
      <c r="A658" s="19">
        <v>2524632</v>
      </c>
      <c r="B658" s="20" t="s">
        <v>2904</v>
      </c>
      <c r="C658" s="19" t="s">
        <v>2905</v>
      </c>
      <c r="D658" s="19" t="s">
        <v>2906</v>
      </c>
      <c r="E658" s="20" t="s">
        <v>84</v>
      </c>
      <c r="F658" s="20" t="s">
        <v>92</v>
      </c>
      <c r="G658" s="20" t="s">
        <v>26</v>
      </c>
      <c r="H658" s="20" t="s">
        <v>2907</v>
      </c>
      <c r="I658" s="20" t="s">
        <v>2908</v>
      </c>
      <c r="J658" s="20">
        <v>4</v>
      </c>
      <c r="K658" s="20" t="s">
        <v>107</v>
      </c>
      <c r="L658" s="20" t="s">
        <v>16</v>
      </c>
      <c r="M658" s="21"/>
    </row>
    <row r="659" spans="1:13">
      <c r="A659" s="22">
        <v>2531449</v>
      </c>
      <c r="B659" s="23" t="s">
        <v>2909</v>
      </c>
      <c r="C659" s="22" t="s">
        <v>2910</v>
      </c>
      <c r="D659" s="22" t="s">
        <v>2911</v>
      </c>
      <c r="E659" s="23" t="s">
        <v>84</v>
      </c>
      <c r="F659" s="23" t="s">
        <v>92</v>
      </c>
      <c r="G659" s="23" t="s">
        <v>26</v>
      </c>
      <c r="H659" s="23" t="s">
        <v>2912</v>
      </c>
      <c r="I659" s="23" t="s">
        <v>2913</v>
      </c>
      <c r="J659" s="23">
        <v>1</v>
      </c>
      <c r="K659" s="23" t="s">
        <v>19</v>
      </c>
      <c r="L659" s="23" t="s">
        <v>18</v>
      </c>
      <c r="M659" s="24"/>
    </row>
    <row r="660" spans="1:13">
      <c r="A660" s="22">
        <v>2533048</v>
      </c>
      <c r="B660" s="23" t="s">
        <v>2914</v>
      </c>
      <c r="C660" s="22" t="s">
        <v>2915</v>
      </c>
      <c r="D660" s="22" t="s">
        <v>2916</v>
      </c>
      <c r="E660" s="23" t="s">
        <v>84</v>
      </c>
      <c r="F660" s="23" t="s">
        <v>92</v>
      </c>
      <c r="G660" s="23" t="s">
        <v>26</v>
      </c>
      <c r="H660" s="23" t="s">
        <v>2917</v>
      </c>
      <c r="I660" s="23" t="s">
        <v>2918</v>
      </c>
      <c r="J660" s="20">
        <v>5</v>
      </c>
      <c r="K660" s="23" t="s">
        <v>107</v>
      </c>
      <c r="L660" s="23" t="s">
        <v>16</v>
      </c>
      <c r="M660" s="24"/>
    </row>
    <row r="661" spans="1:13">
      <c r="A661" s="19">
        <v>2531449</v>
      </c>
      <c r="B661" s="20" t="s">
        <v>2919</v>
      </c>
      <c r="C661" s="19" t="s">
        <v>2910</v>
      </c>
      <c r="D661" s="19" t="s">
        <v>2911</v>
      </c>
      <c r="E661" s="20" t="s">
        <v>84</v>
      </c>
      <c r="F661" s="20" t="s">
        <v>172</v>
      </c>
      <c r="G661" s="20" t="s">
        <v>26</v>
      </c>
      <c r="H661" s="20" t="s">
        <v>2920</v>
      </c>
      <c r="I661" s="20" t="s">
        <v>2921</v>
      </c>
      <c r="J661" s="23">
        <v>1</v>
      </c>
      <c r="K661" s="20" t="s">
        <v>19</v>
      </c>
      <c r="L661" s="20" t="s">
        <v>18</v>
      </c>
      <c r="M661" s="21"/>
    </row>
    <row r="662" spans="1:13">
      <c r="A662" s="19">
        <v>2531449</v>
      </c>
      <c r="B662" s="20" t="s">
        <v>2909</v>
      </c>
      <c r="C662" s="19" t="s">
        <v>2910</v>
      </c>
      <c r="D662" s="19" t="s">
        <v>2911</v>
      </c>
      <c r="E662" s="20" t="s">
        <v>84</v>
      </c>
      <c r="F662" s="20" t="s">
        <v>92</v>
      </c>
      <c r="G662" s="20" t="s">
        <v>26</v>
      </c>
      <c r="H662" s="20" t="s">
        <v>2922</v>
      </c>
      <c r="I662" s="20" t="s">
        <v>2923</v>
      </c>
      <c r="J662" s="23">
        <v>1</v>
      </c>
      <c r="K662" s="20" t="s">
        <v>19</v>
      </c>
      <c r="L662" s="20" t="s">
        <v>18</v>
      </c>
      <c r="M662" s="21"/>
    </row>
    <row r="663" spans="1:13">
      <c r="A663" s="19">
        <v>2521663</v>
      </c>
      <c r="B663" s="20" t="s">
        <v>2924</v>
      </c>
      <c r="C663" s="19" t="s">
        <v>2925</v>
      </c>
      <c r="D663" s="19" t="s">
        <v>2926</v>
      </c>
      <c r="E663" s="20" t="s">
        <v>84</v>
      </c>
      <c r="F663" s="20" t="s">
        <v>172</v>
      </c>
      <c r="G663" s="20" t="s">
        <v>26</v>
      </c>
      <c r="H663" s="20" t="s">
        <v>2927</v>
      </c>
      <c r="I663" s="20" t="s">
        <v>2928</v>
      </c>
      <c r="J663" s="20">
        <v>4</v>
      </c>
      <c r="K663" s="20" t="s">
        <v>107</v>
      </c>
      <c r="L663" s="20" t="s">
        <v>18</v>
      </c>
      <c r="M663" s="21"/>
    </row>
    <row r="664" spans="1:13">
      <c r="A664" s="22">
        <v>2521651</v>
      </c>
      <c r="B664" s="23" t="s">
        <v>2929</v>
      </c>
      <c r="C664" s="22" t="s">
        <v>2930</v>
      </c>
      <c r="D664" s="22" t="s">
        <v>2931</v>
      </c>
      <c r="E664" s="23" t="s">
        <v>127</v>
      </c>
      <c r="F664" s="23" t="s">
        <v>172</v>
      </c>
      <c r="G664" s="23" t="s">
        <v>26</v>
      </c>
      <c r="H664" s="23" t="s">
        <v>2932</v>
      </c>
      <c r="I664" s="23" t="s">
        <v>2928</v>
      </c>
      <c r="J664" s="20">
        <v>4</v>
      </c>
      <c r="K664" s="23" t="s">
        <v>107</v>
      </c>
      <c r="L664" s="23" t="s">
        <v>16</v>
      </c>
      <c r="M664" s="24"/>
    </row>
    <row r="665" spans="1:13">
      <c r="A665" s="19">
        <v>2529586</v>
      </c>
      <c r="B665" s="20" t="s">
        <v>2933</v>
      </c>
      <c r="C665" s="19" t="s">
        <v>2934</v>
      </c>
      <c r="D665" s="19" t="s">
        <v>2935</v>
      </c>
      <c r="E665" s="20" t="s">
        <v>127</v>
      </c>
      <c r="F665" s="20" t="s">
        <v>92</v>
      </c>
      <c r="G665" s="20" t="s">
        <v>26</v>
      </c>
      <c r="H665" s="20" t="s">
        <v>2936</v>
      </c>
      <c r="I665" s="20" t="s">
        <v>2937</v>
      </c>
      <c r="J665" s="23">
        <v>1</v>
      </c>
      <c r="K665" s="20" t="s">
        <v>19</v>
      </c>
      <c r="L665" s="20" t="s">
        <v>16</v>
      </c>
      <c r="M665" s="21" t="s">
        <v>49</v>
      </c>
    </row>
    <row r="666" spans="1:13">
      <c r="A666" s="19">
        <v>2519688</v>
      </c>
      <c r="B666" s="20" t="s">
        <v>2938</v>
      </c>
      <c r="C666" s="19" t="s">
        <v>2939</v>
      </c>
      <c r="D666" s="19" t="s">
        <v>2940</v>
      </c>
      <c r="E666" s="20" t="s">
        <v>84</v>
      </c>
      <c r="F666" s="20" t="s">
        <v>92</v>
      </c>
      <c r="G666" s="20" t="s">
        <v>24</v>
      </c>
      <c r="H666" s="20" t="s">
        <v>2941</v>
      </c>
      <c r="I666" s="20" t="s">
        <v>2942</v>
      </c>
      <c r="J666" s="20">
        <v>2</v>
      </c>
      <c r="K666" s="20" t="s">
        <v>19</v>
      </c>
      <c r="L666" s="20" t="s">
        <v>16</v>
      </c>
      <c r="M666" s="21"/>
    </row>
    <row r="667" spans="1:13">
      <c r="A667" s="19">
        <v>2525082</v>
      </c>
      <c r="B667" s="20" t="s">
        <v>2943</v>
      </c>
      <c r="C667" s="19" t="s">
        <v>2944</v>
      </c>
      <c r="D667" s="19" t="s">
        <v>2945</v>
      </c>
      <c r="E667" s="20" t="s">
        <v>84</v>
      </c>
      <c r="F667" s="20" t="s">
        <v>92</v>
      </c>
      <c r="G667" s="20" t="s">
        <v>26</v>
      </c>
      <c r="H667" s="20" t="s">
        <v>2946</v>
      </c>
      <c r="I667" s="20" t="s">
        <v>2947</v>
      </c>
      <c r="J667" s="20">
        <v>5</v>
      </c>
      <c r="K667" s="20" t="s">
        <v>19</v>
      </c>
      <c r="L667" s="20" t="s">
        <v>16</v>
      </c>
      <c r="M667" s="21"/>
    </row>
    <row r="668" spans="1:13">
      <c r="A668" s="19">
        <v>2521711</v>
      </c>
      <c r="B668" s="20" t="s">
        <v>2948</v>
      </c>
      <c r="C668" s="19" t="s">
        <v>2949</v>
      </c>
      <c r="D668" s="19" t="s">
        <v>2950</v>
      </c>
      <c r="E668" s="20" t="s">
        <v>84</v>
      </c>
      <c r="F668" s="20" t="s">
        <v>172</v>
      </c>
      <c r="G668" s="20" t="s">
        <v>26</v>
      </c>
      <c r="H668" s="20" t="s">
        <v>2951</v>
      </c>
      <c r="I668" s="20" t="s">
        <v>2952</v>
      </c>
      <c r="J668" s="33">
        <v>1</v>
      </c>
      <c r="K668" s="20" t="s">
        <v>19</v>
      </c>
      <c r="L668" s="20" t="s">
        <v>18</v>
      </c>
      <c r="M668" s="21" t="s">
        <v>2953</v>
      </c>
    </row>
    <row r="669" spans="1:13">
      <c r="A669" s="19">
        <v>2521707</v>
      </c>
      <c r="B669" s="20" t="s">
        <v>2954</v>
      </c>
      <c r="C669" s="19" t="s">
        <v>2955</v>
      </c>
      <c r="D669" s="19" t="s">
        <v>2956</v>
      </c>
      <c r="E669" s="20" t="s">
        <v>127</v>
      </c>
      <c r="F669" s="20" t="s">
        <v>92</v>
      </c>
      <c r="G669" s="20" t="s">
        <v>26</v>
      </c>
      <c r="H669" s="20" t="s">
        <v>2957</v>
      </c>
      <c r="I669" s="20" t="s">
        <v>2957</v>
      </c>
      <c r="J669" s="23">
        <v>1</v>
      </c>
      <c r="K669" s="20" t="s">
        <v>107</v>
      </c>
      <c r="L669" s="20" t="s">
        <v>18</v>
      </c>
      <c r="M669" s="21"/>
    </row>
    <row r="670" spans="1:13">
      <c r="A670" s="22">
        <v>2521707</v>
      </c>
      <c r="B670" s="23" t="s">
        <v>2954</v>
      </c>
      <c r="C670" s="22" t="s">
        <v>2955</v>
      </c>
      <c r="D670" s="22" t="s">
        <v>2956</v>
      </c>
      <c r="E670" s="23" t="s">
        <v>127</v>
      </c>
      <c r="F670" s="23" t="s">
        <v>92</v>
      </c>
      <c r="G670" s="23" t="s">
        <v>26</v>
      </c>
      <c r="H670" s="23" t="s">
        <v>2958</v>
      </c>
      <c r="I670" s="23" t="s">
        <v>2959</v>
      </c>
      <c r="J670" s="23">
        <v>1</v>
      </c>
      <c r="K670" s="23" t="s">
        <v>107</v>
      </c>
      <c r="L670" s="23" t="s">
        <v>18</v>
      </c>
      <c r="M670" s="24"/>
    </row>
    <row r="671" spans="1:13">
      <c r="A671" s="19">
        <v>2516758</v>
      </c>
      <c r="B671" s="20" t="s">
        <v>2960</v>
      </c>
      <c r="C671" s="19" t="s">
        <v>2961</v>
      </c>
      <c r="D671" s="19" t="s">
        <v>2962</v>
      </c>
      <c r="E671" s="20" t="s">
        <v>84</v>
      </c>
      <c r="F671" s="20" t="s">
        <v>92</v>
      </c>
      <c r="G671" s="20" t="s">
        <v>26</v>
      </c>
      <c r="H671" s="20" t="s">
        <v>2963</v>
      </c>
      <c r="I671" s="20" t="s">
        <v>2964</v>
      </c>
      <c r="J671" s="20">
        <v>2</v>
      </c>
      <c r="K671" s="20" t="s">
        <v>107</v>
      </c>
      <c r="L671" s="20" t="s">
        <v>16</v>
      </c>
      <c r="M671" s="21"/>
    </row>
    <row r="672" spans="1:13">
      <c r="A672" s="19">
        <v>2521119</v>
      </c>
      <c r="B672" s="20" t="s">
        <v>2965</v>
      </c>
      <c r="C672" s="19" t="s">
        <v>2966</v>
      </c>
      <c r="D672" s="19" t="s">
        <v>2967</v>
      </c>
      <c r="E672" s="20" t="s">
        <v>84</v>
      </c>
      <c r="F672" s="20" t="s">
        <v>92</v>
      </c>
      <c r="G672" s="20" t="s">
        <v>26</v>
      </c>
      <c r="H672" s="20" t="s">
        <v>2968</v>
      </c>
      <c r="I672" s="20" t="s">
        <v>2969</v>
      </c>
      <c r="J672" s="34" t="s">
        <v>34</v>
      </c>
      <c r="K672" s="20" t="s">
        <v>19</v>
      </c>
      <c r="L672" s="20" t="s">
        <v>16</v>
      </c>
      <c r="M672" s="21"/>
    </row>
    <row r="673" spans="1:13">
      <c r="A673" s="22">
        <v>2529609</v>
      </c>
      <c r="B673" s="23" t="s">
        <v>2970</v>
      </c>
      <c r="C673" s="22" t="s">
        <v>2971</v>
      </c>
      <c r="D673" s="22" t="s">
        <v>2972</v>
      </c>
      <c r="E673" s="23" t="s">
        <v>84</v>
      </c>
      <c r="F673" s="23" t="s">
        <v>92</v>
      </c>
      <c r="G673" s="23" t="s">
        <v>26</v>
      </c>
      <c r="H673" s="23" t="s">
        <v>2973</v>
      </c>
      <c r="I673" s="23" t="s">
        <v>2974</v>
      </c>
      <c r="J673" s="23">
        <v>1</v>
      </c>
      <c r="K673" s="23" t="s">
        <v>107</v>
      </c>
      <c r="L673" s="23" t="s">
        <v>16</v>
      </c>
      <c r="M673" s="24"/>
    </row>
    <row r="674" spans="1:13">
      <c r="A674" s="22">
        <v>2523454</v>
      </c>
      <c r="B674" s="23" t="s">
        <v>2975</v>
      </c>
      <c r="C674" s="22" t="s">
        <v>2976</v>
      </c>
      <c r="D674" s="22" t="s">
        <v>2977</v>
      </c>
      <c r="E674" s="23" t="s">
        <v>84</v>
      </c>
      <c r="F674" s="23" t="s">
        <v>85</v>
      </c>
      <c r="G674" s="23" t="s">
        <v>26</v>
      </c>
      <c r="H674" s="23" t="s">
        <v>2978</v>
      </c>
      <c r="I674" s="23" t="s">
        <v>2979</v>
      </c>
      <c r="J674" s="20">
        <v>2</v>
      </c>
      <c r="K674" s="23" t="s">
        <v>206</v>
      </c>
      <c r="L674" s="23" t="s">
        <v>16</v>
      </c>
      <c r="M674" s="24" t="s">
        <v>49</v>
      </c>
    </row>
    <row r="675" spans="1:13">
      <c r="A675" s="19">
        <v>2522861</v>
      </c>
      <c r="B675" s="20" t="s">
        <v>2980</v>
      </c>
      <c r="C675" s="19" t="s">
        <v>2981</v>
      </c>
      <c r="D675" s="19" t="s">
        <v>2982</v>
      </c>
      <c r="E675" s="20" t="s">
        <v>84</v>
      </c>
      <c r="F675" s="20" t="s">
        <v>92</v>
      </c>
      <c r="G675" s="20" t="s">
        <v>26</v>
      </c>
      <c r="H675" s="20" t="s">
        <v>2983</v>
      </c>
      <c r="I675" s="20" t="s">
        <v>2984</v>
      </c>
      <c r="J675" s="23">
        <v>1</v>
      </c>
      <c r="K675" s="20" t="s">
        <v>19</v>
      </c>
      <c r="L675" s="20" t="s">
        <v>18</v>
      </c>
      <c r="M675" s="21" t="s">
        <v>1898</v>
      </c>
    </row>
    <row r="676" spans="1:13">
      <c r="A676" s="19">
        <v>2529533</v>
      </c>
      <c r="B676" s="20" t="s">
        <v>2985</v>
      </c>
      <c r="C676" s="19" t="s">
        <v>2986</v>
      </c>
      <c r="D676" s="19" t="s">
        <v>2987</v>
      </c>
      <c r="E676" s="20" t="s">
        <v>127</v>
      </c>
      <c r="F676" s="20" t="s">
        <v>92</v>
      </c>
      <c r="G676" s="20" t="s">
        <v>26</v>
      </c>
      <c r="H676" s="20" t="s">
        <v>2988</v>
      </c>
      <c r="I676" s="20" t="s">
        <v>2989</v>
      </c>
      <c r="J676" s="23">
        <v>1</v>
      </c>
      <c r="K676" s="20" t="s">
        <v>19</v>
      </c>
      <c r="L676" s="20" t="s">
        <v>16</v>
      </c>
      <c r="M676" s="21"/>
    </row>
    <row r="677" spans="1:13">
      <c r="A677" s="22">
        <v>2522824</v>
      </c>
      <c r="B677" s="23" t="s">
        <v>2990</v>
      </c>
      <c r="C677" s="22" t="s">
        <v>2991</v>
      </c>
      <c r="D677" s="22" t="s">
        <v>2992</v>
      </c>
      <c r="E677" s="23" t="s">
        <v>127</v>
      </c>
      <c r="F677" s="23" t="s">
        <v>92</v>
      </c>
      <c r="G677" s="23" t="s">
        <v>26</v>
      </c>
      <c r="H677" s="23" t="s">
        <v>2993</v>
      </c>
      <c r="I677" s="23" t="s">
        <v>2994</v>
      </c>
      <c r="J677" s="20">
        <v>2</v>
      </c>
      <c r="K677" s="23" t="s">
        <v>107</v>
      </c>
      <c r="L677" s="23" t="s">
        <v>16</v>
      </c>
      <c r="M677" s="24" t="s">
        <v>1812</v>
      </c>
    </row>
    <row r="678" spans="1:13">
      <c r="A678" s="19">
        <v>2524549</v>
      </c>
      <c r="B678" s="20" t="s">
        <v>2995</v>
      </c>
      <c r="C678" s="19" t="s">
        <v>2996</v>
      </c>
      <c r="D678" s="19" t="s">
        <v>2997</v>
      </c>
      <c r="E678" s="20" t="s">
        <v>127</v>
      </c>
      <c r="F678" s="20" t="s">
        <v>92</v>
      </c>
      <c r="G678" s="20" t="s">
        <v>26</v>
      </c>
      <c r="H678" s="20" t="s">
        <v>2998</v>
      </c>
      <c r="I678" s="20" t="s">
        <v>2998</v>
      </c>
      <c r="J678" s="23">
        <v>1</v>
      </c>
      <c r="K678" s="20" t="s">
        <v>107</v>
      </c>
      <c r="L678" s="20" t="s">
        <v>16</v>
      </c>
      <c r="M678" s="21"/>
    </row>
    <row r="679" spans="1:13">
      <c r="A679" s="19">
        <v>2524549</v>
      </c>
      <c r="B679" s="20" t="s">
        <v>2999</v>
      </c>
      <c r="C679" s="19" t="s">
        <v>3000</v>
      </c>
      <c r="D679" s="19" t="s">
        <v>2997</v>
      </c>
      <c r="E679" s="20" t="s">
        <v>127</v>
      </c>
      <c r="F679" s="20" t="s">
        <v>92</v>
      </c>
      <c r="G679" s="20" t="s">
        <v>26</v>
      </c>
      <c r="H679" s="20" t="s">
        <v>3001</v>
      </c>
      <c r="I679" s="20" t="s">
        <v>3002</v>
      </c>
      <c r="J679" s="23">
        <v>1</v>
      </c>
      <c r="K679" s="20" t="s">
        <v>107</v>
      </c>
      <c r="L679" s="20" t="s">
        <v>16</v>
      </c>
      <c r="M679" s="21"/>
    </row>
    <row r="680" spans="1:13">
      <c r="A680" s="19">
        <v>2525062</v>
      </c>
      <c r="B680" s="20" t="s">
        <v>3003</v>
      </c>
      <c r="C680" s="19" t="s">
        <v>3004</v>
      </c>
      <c r="D680" s="19" t="s">
        <v>3005</v>
      </c>
      <c r="E680" s="20" t="s">
        <v>127</v>
      </c>
      <c r="F680" s="20" t="s">
        <v>92</v>
      </c>
      <c r="G680" s="20" t="s">
        <v>24</v>
      </c>
      <c r="H680" s="20" t="s">
        <v>3006</v>
      </c>
      <c r="I680" s="20" t="s">
        <v>3007</v>
      </c>
      <c r="J680" s="34" t="s">
        <v>34</v>
      </c>
      <c r="K680" s="20" t="s">
        <v>107</v>
      </c>
      <c r="L680" s="20" t="s">
        <v>16</v>
      </c>
      <c r="M680" s="21"/>
    </row>
    <row r="681" spans="1:13">
      <c r="A681" s="22">
        <v>2531804</v>
      </c>
      <c r="B681" s="23" t="s">
        <v>3008</v>
      </c>
      <c r="C681" s="22" t="s">
        <v>3009</v>
      </c>
      <c r="D681" s="22" t="s">
        <v>3010</v>
      </c>
      <c r="E681" s="23" t="s">
        <v>84</v>
      </c>
      <c r="F681" s="23" t="s">
        <v>92</v>
      </c>
      <c r="G681" s="23" t="s">
        <v>26</v>
      </c>
      <c r="H681" s="23" t="s">
        <v>3011</v>
      </c>
      <c r="I681" s="23" t="s">
        <v>3012</v>
      </c>
      <c r="J681" s="23">
        <v>1</v>
      </c>
      <c r="K681" s="23" t="s">
        <v>107</v>
      </c>
      <c r="L681" s="23" t="s">
        <v>16</v>
      </c>
      <c r="M681" s="24"/>
    </row>
    <row r="682" spans="1:13">
      <c r="A682" s="19">
        <v>2520922</v>
      </c>
      <c r="B682" s="20" t="s">
        <v>3013</v>
      </c>
      <c r="C682" s="19" t="s">
        <v>3014</v>
      </c>
      <c r="D682" s="19" t="s">
        <v>3015</v>
      </c>
      <c r="E682" s="20" t="s">
        <v>84</v>
      </c>
      <c r="F682" s="20" t="s">
        <v>92</v>
      </c>
      <c r="G682" s="20" t="s">
        <v>26</v>
      </c>
      <c r="H682" s="20" t="s">
        <v>3016</v>
      </c>
      <c r="I682" s="20" t="s">
        <v>3017</v>
      </c>
      <c r="J682" s="20">
        <v>2</v>
      </c>
      <c r="K682" s="20" t="s">
        <v>107</v>
      </c>
      <c r="L682" s="20" t="s">
        <v>16</v>
      </c>
      <c r="M682" s="21" t="s">
        <v>49</v>
      </c>
    </row>
    <row r="683" spans="1:13">
      <c r="A683" s="22">
        <v>2532950</v>
      </c>
      <c r="B683" s="23" t="s">
        <v>3018</v>
      </c>
      <c r="C683" s="22" t="s">
        <v>3019</v>
      </c>
      <c r="D683" s="22" t="s">
        <v>3020</v>
      </c>
      <c r="E683" s="23" t="s">
        <v>127</v>
      </c>
      <c r="F683" s="23" t="s">
        <v>92</v>
      </c>
      <c r="G683" s="23" t="s">
        <v>26</v>
      </c>
      <c r="H683" s="23" t="s">
        <v>3021</v>
      </c>
      <c r="I683" s="23" t="s">
        <v>3022</v>
      </c>
      <c r="J683" s="34" t="s">
        <v>34</v>
      </c>
      <c r="K683" s="23" t="s">
        <v>107</v>
      </c>
      <c r="L683" s="23" t="s">
        <v>16</v>
      </c>
      <c r="M683" s="24"/>
    </row>
    <row r="684" spans="1:13">
      <c r="A684" s="19">
        <v>2529577</v>
      </c>
      <c r="B684" s="20" t="s">
        <v>3023</v>
      </c>
      <c r="C684" s="19" t="s">
        <v>3024</v>
      </c>
      <c r="D684" s="19" t="s">
        <v>3025</v>
      </c>
      <c r="E684" s="20" t="s">
        <v>127</v>
      </c>
      <c r="F684" s="20" t="s">
        <v>92</v>
      </c>
      <c r="G684" s="20" t="s">
        <v>26</v>
      </c>
      <c r="H684" s="20" t="s">
        <v>3026</v>
      </c>
      <c r="I684" s="20" t="s">
        <v>3027</v>
      </c>
      <c r="J684" s="23">
        <v>1</v>
      </c>
      <c r="K684" s="20" t="s">
        <v>19</v>
      </c>
      <c r="L684" s="20" t="s">
        <v>16</v>
      </c>
      <c r="M684" s="21" t="s">
        <v>455</v>
      </c>
    </row>
    <row r="685" spans="1:13">
      <c r="A685" s="22">
        <v>2524642</v>
      </c>
      <c r="B685" s="23" t="s">
        <v>3028</v>
      </c>
      <c r="C685" s="22" t="s">
        <v>3029</v>
      </c>
      <c r="D685" s="22" t="s">
        <v>3030</v>
      </c>
      <c r="E685" s="23" t="s">
        <v>84</v>
      </c>
      <c r="F685" s="23" t="s">
        <v>92</v>
      </c>
      <c r="G685" s="23" t="s">
        <v>26</v>
      </c>
      <c r="H685" s="23" t="s">
        <v>3031</v>
      </c>
      <c r="I685" s="23" t="s">
        <v>3031</v>
      </c>
      <c r="J685" s="23">
        <v>1</v>
      </c>
      <c r="K685" s="23" t="s">
        <v>107</v>
      </c>
      <c r="L685" s="23" t="s">
        <v>16</v>
      </c>
      <c r="M685" s="24"/>
    </row>
    <row r="686" spans="1:13">
      <c r="A686" s="19">
        <v>2522849</v>
      </c>
      <c r="B686" s="20" t="s">
        <v>3032</v>
      </c>
      <c r="C686" s="19" t="s">
        <v>3033</v>
      </c>
      <c r="D686" s="19" t="s">
        <v>3034</v>
      </c>
      <c r="E686" s="20" t="s">
        <v>415</v>
      </c>
      <c r="F686" s="20" t="s">
        <v>112</v>
      </c>
      <c r="G686" s="20" t="s">
        <v>26</v>
      </c>
      <c r="H686" s="20" t="s">
        <v>3035</v>
      </c>
      <c r="I686" s="20" t="s">
        <v>3036</v>
      </c>
      <c r="J686" s="34" t="s">
        <v>34</v>
      </c>
      <c r="K686" s="20" t="s">
        <v>19</v>
      </c>
      <c r="L686" s="20" t="s">
        <v>18</v>
      </c>
      <c r="M686" s="21"/>
    </row>
    <row r="687" spans="1:13">
      <c r="A687" s="22">
        <v>2532970</v>
      </c>
      <c r="B687" s="23" t="s">
        <v>3037</v>
      </c>
      <c r="C687" s="22" t="s">
        <v>3038</v>
      </c>
      <c r="D687" s="22" t="s">
        <v>3039</v>
      </c>
      <c r="E687" s="23" t="s">
        <v>84</v>
      </c>
      <c r="F687" s="23" t="s">
        <v>92</v>
      </c>
      <c r="G687" s="23" t="s">
        <v>26</v>
      </c>
      <c r="H687" s="23" t="s">
        <v>3040</v>
      </c>
      <c r="I687" s="23" t="s">
        <v>3040</v>
      </c>
      <c r="J687" s="23">
        <v>3</v>
      </c>
      <c r="K687" s="23" t="s">
        <v>107</v>
      </c>
      <c r="L687" s="23" t="s">
        <v>16</v>
      </c>
      <c r="M687" s="24" t="s">
        <v>49</v>
      </c>
    </row>
    <row r="688" spans="1:13">
      <c r="A688" s="22">
        <v>2532970</v>
      </c>
      <c r="B688" s="23" t="s">
        <v>3037</v>
      </c>
      <c r="C688" s="22" t="s">
        <v>3038</v>
      </c>
      <c r="D688" s="22" t="s">
        <v>3039</v>
      </c>
      <c r="E688" s="23" t="s">
        <v>84</v>
      </c>
      <c r="F688" s="23" t="s">
        <v>85</v>
      </c>
      <c r="G688" s="23" t="s">
        <v>26</v>
      </c>
      <c r="H688" s="23" t="s">
        <v>3041</v>
      </c>
      <c r="I688" s="23" t="s">
        <v>3041</v>
      </c>
      <c r="J688" s="23">
        <v>3</v>
      </c>
      <c r="K688" s="23" t="s">
        <v>19</v>
      </c>
      <c r="L688" s="23" t="s">
        <v>16</v>
      </c>
      <c r="M688" s="24" t="s">
        <v>49</v>
      </c>
    </row>
    <row r="689" spans="1:13">
      <c r="A689" s="19">
        <v>2531981</v>
      </c>
      <c r="B689" s="20" t="s">
        <v>3042</v>
      </c>
      <c r="C689" s="19" t="s">
        <v>3043</v>
      </c>
      <c r="D689" s="19" t="s">
        <v>3044</v>
      </c>
      <c r="E689" s="20" t="s">
        <v>219</v>
      </c>
      <c r="F689" s="20" t="s">
        <v>92</v>
      </c>
      <c r="G689" s="20" t="s">
        <v>26</v>
      </c>
      <c r="H689" s="20" t="s">
        <v>3045</v>
      </c>
      <c r="I689" s="20" t="s">
        <v>3046</v>
      </c>
      <c r="J689" s="20">
        <v>2</v>
      </c>
      <c r="K689" s="20" t="s">
        <v>19</v>
      </c>
      <c r="L689" s="20" t="s">
        <v>16</v>
      </c>
      <c r="M689" s="21"/>
    </row>
    <row r="690" spans="1:13">
      <c r="A690" s="22">
        <v>2533155</v>
      </c>
      <c r="B690" s="23" t="s">
        <v>3047</v>
      </c>
      <c r="C690" s="22" t="s">
        <v>3048</v>
      </c>
      <c r="D690" s="22" t="s">
        <v>3049</v>
      </c>
      <c r="E690" s="23" t="s">
        <v>84</v>
      </c>
      <c r="F690" s="23" t="s">
        <v>92</v>
      </c>
      <c r="G690" s="23" t="s">
        <v>26</v>
      </c>
      <c r="H690" s="23" t="s">
        <v>3050</v>
      </c>
      <c r="I690" s="23" t="s">
        <v>3051</v>
      </c>
      <c r="J690" s="34" t="s">
        <v>34</v>
      </c>
      <c r="K690" s="23" t="s">
        <v>107</v>
      </c>
      <c r="L690" s="23" t="s">
        <v>16</v>
      </c>
      <c r="M690" s="24"/>
    </row>
    <row r="691" spans="1:13">
      <c r="A691" s="19">
        <v>2531845</v>
      </c>
      <c r="B691" s="20" t="s">
        <v>3052</v>
      </c>
      <c r="C691" s="19" t="s">
        <v>3053</v>
      </c>
      <c r="D691" s="19" t="s">
        <v>3054</v>
      </c>
      <c r="E691" s="20" t="s">
        <v>84</v>
      </c>
      <c r="F691" s="20" t="s">
        <v>92</v>
      </c>
      <c r="G691" s="20" t="s">
        <v>26</v>
      </c>
      <c r="H691" s="20" t="s">
        <v>3055</v>
      </c>
      <c r="I691" s="20" t="s">
        <v>3056</v>
      </c>
      <c r="J691" s="34" t="s">
        <v>34</v>
      </c>
      <c r="K691" s="20" t="s">
        <v>19</v>
      </c>
      <c r="L691" s="20" t="s">
        <v>16</v>
      </c>
      <c r="M691" s="21"/>
    </row>
    <row r="692" spans="1:13">
      <c r="A692" s="19">
        <v>2524558</v>
      </c>
      <c r="B692" s="20" t="s">
        <v>3057</v>
      </c>
      <c r="C692" s="19" t="s">
        <v>3058</v>
      </c>
      <c r="D692" s="19" t="s">
        <v>3059</v>
      </c>
      <c r="E692" s="20" t="s">
        <v>127</v>
      </c>
      <c r="F692" s="20" t="s">
        <v>92</v>
      </c>
      <c r="G692" s="20" t="s">
        <v>26</v>
      </c>
      <c r="H692" s="20" t="s">
        <v>3060</v>
      </c>
      <c r="I692" s="20" t="s">
        <v>3060</v>
      </c>
      <c r="J692" s="23">
        <v>1</v>
      </c>
      <c r="K692" s="20" t="s">
        <v>19</v>
      </c>
      <c r="L692" s="20" t="s">
        <v>16</v>
      </c>
      <c r="M692" s="21"/>
    </row>
    <row r="693" spans="1:13">
      <c r="A693" s="22">
        <v>2533184</v>
      </c>
      <c r="B693" s="23" t="s">
        <v>3061</v>
      </c>
      <c r="C693" s="22" t="s">
        <v>3062</v>
      </c>
      <c r="D693" s="22" t="s">
        <v>3063</v>
      </c>
      <c r="E693" s="23" t="s">
        <v>84</v>
      </c>
      <c r="F693" s="23" t="s">
        <v>92</v>
      </c>
      <c r="G693" s="23" t="s">
        <v>26</v>
      </c>
      <c r="H693" s="23" t="s">
        <v>3064</v>
      </c>
      <c r="I693" s="23" t="s">
        <v>3065</v>
      </c>
      <c r="J693" s="34" t="s">
        <v>34</v>
      </c>
      <c r="K693" s="23" t="s">
        <v>107</v>
      </c>
      <c r="L693" s="23" t="s">
        <v>16</v>
      </c>
      <c r="M693" s="24"/>
    </row>
    <row r="694" spans="1:13">
      <c r="A694" s="19">
        <v>2529650</v>
      </c>
      <c r="B694" s="20" t="s">
        <v>3066</v>
      </c>
      <c r="C694" s="19" t="s">
        <v>3067</v>
      </c>
      <c r="D694" s="19" t="s">
        <v>3068</v>
      </c>
      <c r="E694" s="20" t="s">
        <v>84</v>
      </c>
      <c r="F694" s="20" t="s">
        <v>92</v>
      </c>
      <c r="G694" s="20" t="s">
        <v>26</v>
      </c>
      <c r="H694" s="20" t="s">
        <v>3069</v>
      </c>
      <c r="I694" s="20" t="s">
        <v>3070</v>
      </c>
      <c r="J694" s="20">
        <v>2</v>
      </c>
      <c r="K694" s="20" t="s">
        <v>107</v>
      </c>
      <c r="L694" s="20" t="s">
        <v>16</v>
      </c>
      <c r="M694" s="21"/>
    </row>
    <row r="695" spans="1:13">
      <c r="A695" s="22">
        <v>2529508</v>
      </c>
      <c r="B695" s="23" t="s">
        <v>3071</v>
      </c>
      <c r="C695" s="22" t="s">
        <v>3072</v>
      </c>
      <c r="D695" s="22" t="s">
        <v>3073</v>
      </c>
      <c r="E695" s="23" t="s">
        <v>84</v>
      </c>
      <c r="F695" s="23" t="s">
        <v>92</v>
      </c>
      <c r="G695" s="23" t="s">
        <v>26</v>
      </c>
      <c r="H695" s="23" t="s">
        <v>3074</v>
      </c>
      <c r="I695" s="23" t="s">
        <v>3075</v>
      </c>
      <c r="J695" s="34" t="s">
        <v>34</v>
      </c>
      <c r="K695" s="23" t="s">
        <v>19</v>
      </c>
      <c r="L695" s="23" t="s">
        <v>16</v>
      </c>
      <c r="M695" s="24" t="s">
        <v>16</v>
      </c>
    </row>
    <row r="696" spans="1:13">
      <c r="A696" s="22">
        <v>2511249</v>
      </c>
      <c r="B696" s="23" t="s">
        <v>3076</v>
      </c>
      <c r="C696" s="22" t="s">
        <v>3077</v>
      </c>
      <c r="D696" s="22" t="s">
        <v>3078</v>
      </c>
      <c r="E696" s="23" t="s">
        <v>84</v>
      </c>
      <c r="F696" s="23" t="s">
        <v>92</v>
      </c>
      <c r="G696" s="23" t="s">
        <v>26</v>
      </c>
      <c r="H696" s="23" t="s">
        <v>3079</v>
      </c>
      <c r="I696" s="23" t="s">
        <v>3080</v>
      </c>
      <c r="J696" s="23">
        <v>1</v>
      </c>
      <c r="K696" s="23" t="s">
        <v>107</v>
      </c>
      <c r="L696" s="23" t="s">
        <v>16</v>
      </c>
      <c r="M696" s="24"/>
    </row>
    <row r="697" spans="1:13">
      <c r="A697" s="19">
        <v>2523385</v>
      </c>
      <c r="B697" s="20" t="s">
        <v>3081</v>
      </c>
      <c r="C697" s="19" t="s">
        <v>3082</v>
      </c>
      <c r="D697" s="19" t="s">
        <v>3083</v>
      </c>
      <c r="E697" s="20" t="s">
        <v>84</v>
      </c>
      <c r="F697" s="20" t="s">
        <v>92</v>
      </c>
      <c r="G697" s="20" t="s">
        <v>26</v>
      </c>
      <c r="H697" s="20" t="s">
        <v>3084</v>
      </c>
      <c r="I697" s="20" t="s">
        <v>3085</v>
      </c>
      <c r="J697" s="23">
        <v>3</v>
      </c>
      <c r="K697" s="20" t="s">
        <v>107</v>
      </c>
      <c r="L697" s="20" t="s">
        <v>16</v>
      </c>
      <c r="M697" s="21"/>
    </row>
    <row r="698" spans="1:13">
      <c r="A698" s="19">
        <v>2525058</v>
      </c>
      <c r="B698" s="20" t="s">
        <v>3086</v>
      </c>
      <c r="C698" s="19" t="s">
        <v>3087</v>
      </c>
      <c r="D698" s="19" t="s">
        <v>3088</v>
      </c>
      <c r="E698" s="20" t="s">
        <v>84</v>
      </c>
      <c r="F698" s="20" t="s">
        <v>92</v>
      </c>
      <c r="G698" s="20" t="s">
        <v>26</v>
      </c>
      <c r="H698" s="20" t="s">
        <v>3089</v>
      </c>
      <c r="I698" s="20" t="s">
        <v>3090</v>
      </c>
      <c r="J698" s="23">
        <v>1</v>
      </c>
      <c r="K698" s="20" t="s">
        <v>19</v>
      </c>
      <c r="L698" s="20" t="s">
        <v>16</v>
      </c>
      <c r="M698" s="21"/>
    </row>
    <row r="699" spans="1:13">
      <c r="A699" s="22">
        <v>2522858</v>
      </c>
      <c r="B699" s="23" t="s">
        <v>3091</v>
      </c>
      <c r="C699" s="22" t="s">
        <v>3092</v>
      </c>
      <c r="D699" s="22" t="s">
        <v>3093</v>
      </c>
      <c r="E699" s="23" t="s">
        <v>84</v>
      </c>
      <c r="F699" s="23" t="s">
        <v>92</v>
      </c>
      <c r="G699" s="23" t="s">
        <v>26</v>
      </c>
      <c r="H699" s="23" t="s">
        <v>3089</v>
      </c>
      <c r="I699" s="23" t="s">
        <v>3094</v>
      </c>
      <c r="J699" s="34" t="s">
        <v>34</v>
      </c>
      <c r="K699" s="23" t="s">
        <v>107</v>
      </c>
      <c r="L699" s="23" t="s">
        <v>16</v>
      </c>
      <c r="M699" s="24"/>
    </row>
    <row r="700" spans="1:13">
      <c r="A700" s="22">
        <v>2512295</v>
      </c>
      <c r="B700" s="23" t="s">
        <v>3095</v>
      </c>
      <c r="C700" s="22" t="s">
        <v>3096</v>
      </c>
      <c r="D700" s="22" t="s">
        <v>3097</v>
      </c>
      <c r="E700" s="23" t="s">
        <v>84</v>
      </c>
      <c r="F700" s="23" t="s">
        <v>92</v>
      </c>
      <c r="G700" s="23" t="s">
        <v>26</v>
      </c>
      <c r="H700" s="23" t="s">
        <v>3098</v>
      </c>
      <c r="I700" s="23" t="s">
        <v>3099</v>
      </c>
      <c r="J700" s="20">
        <v>2</v>
      </c>
      <c r="K700" s="23" t="s">
        <v>19</v>
      </c>
      <c r="L700" s="23" t="s">
        <v>16</v>
      </c>
      <c r="M700" s="24" t="s">
        <v>1323</v>
      </c>
    </row>
    <row r="701" spans="1:13">
      <c r="A701" s="19">
        <v>2525062</v>
      </c>
      <c r="B701" s="20" t="s">
        <v>3003</v>
      </c>
      <c r="C701" s="19" t="s">
        <v>3004</v>
      </c>
      <c r="D701" s="19" t="s">
        <v>3005</v>
      </c>
      <c r="E701" s="20" t="s">
        <v>127</v>
      </c>
      <c r="F701" s="20" t="s">
        <v>172</v>
      </c>
      <c r="G701" s="20" t="s">
        <v>24</v>
      </c>
      <c r="H701" s="20" t="s">
        <v>3100</v>
      </c>
      <c r="I701" s="20" t="s">
        <v>3101</v>
      </c>
      <c r="J701" s="34" t="s">
        <v>34</v>
      </c>
      <c r="K701" s="20" t="s">
        <v>107</v>
      </c>
      <c r="L701" s="20" t="s">
        <v>16</v>
      </c>
      <c r="M701" s="21" t="s">
        <v>3102</v>
      </c>
    </row>
    <row r="702" spans="1:13">
      <c r="A702" s="19">
        <v>2529560</v>
      </c>
      <c r="B702" s="20" t="s">
        <v>3103</v>
      </c>
      <c r="C702" s="19" t="s">
        <v>3104</v>
      </c>
      <c r="D702" s="19" t="s">
        <v>3105</v>
      </c>
      <c r="E702" s="20" t="s">
        <v>127</v>
      </c>
      <c r="F702" s="20" t="s">
        <v>92</v>
      </c>
      <c r="G702" s="20" t="s">
        <v>24</v>
      </c>
      <c r="H702" s="20" t="s">
        <v>3106</v>
      </c>
      <c r="I702" s="20" t="s">
        <v>3107</v>
      </c>
      <c r="J702" s="23">
        <v>1</v>
      </c>
      <c r="K702" s="20" t="s">
        <v>19</v>
      </c>
      <c r="L702" s="20" t="s">
        <v>16</v>
      </c>
      <c r="M702" s="21"/>
    </row>
    <row r="703" spans="1:13">
      <c r="A703" s="19">
        <v>2521749</v>
      </c>
      <c r="B703" s="20" t="s">
        <v>3108</v>
      </c>
      <c r="C703" s="19" t="s">
        <v>3109</v>
      </c>
      <c r="D703" s="19" t="s">
        <v>3110</v>
      </c>
      <c r="E703" s="20" t="s">
        <v>84</v>
      </c>
      <c r="F703" s="20" t="s">
        <v>92</v>
      </c>
      <c r="G703" s="20" t="s">
        <v>26</v>
      </c>
      <c r="H703" s="20" t="s">
        <v>3111</v>
      </c>
      <c r="I703" s="20" t="s">
        <v>3112</v>
      </c>
      <c r="J703" s="20">
        <v>2</v>
      </c>
      <c r="K703" s="20" t="s">
        <v>107</v>
      </c>
      <c r="L703" s="20" t="s">
        <v>16</v>
      </c>
      <c r="M703" s="21"/>
    </row>
    <row r="704" spans="1:13">
      <c r="A704" s="22">
        <v>2512314</v>
      </c>
      <c r="B704" s="23" t="s">
        <v>3113</v>
      </c>
      <c r="C704" s="22" t="s">
        <v>3114</v>
      </c>
      <c r="D704" s="22" t="s">
        <v>3115</v>
      </c>
      <c r="E704" s="23" t="s">
        <v>84</v>
      </c>
      <c r="F704" s="23" t="s">
        <v>92</v>
      </c>
      <c r="G704" s="23" t="s">
        <v>26</v>
      </c>
      <c r="H704" s="23" t="s">
        <v>3116</v>
      </c>
      <c r="I704" s="23" t="s">
        <v>3117</v>
      </c>
      <c r="J704" s="20">
        <v>2</v>
      </c>
      <c r="K704" s="23" t="s">
        <v>19</v>
      </c>
      <c r="L704" s="23" t="s">
        <v>16</v>
      </c>
      <c r="M704" s="24"/>
    </row>
    <row r="705" spans="1:13">
      <c r="A705" s="22">
        <v>2511225</v>
      </c>
      <c r="B705" s="23" t="s">
        <v>3118</v>
      </c>
      <c r="C705" s="22" t="s">
        <v>1683</v>
      </c>
      <c r="D705" s="22" t="s">
        <v>3119</v>
      </c>
      <c r="E705" s="23" t="s">
        <v>127</v>
      </c>
      <c r="F705" s="23" t="s">
        <v>92</v>
      </c>
      <c r="G705" s="23" t="s">
        <v>26</v>
      </c>
      <c r="H705" s="23" t="s">
        <v>3120</v>
      </c>
      <c r="I705" s="23" t="s">
        <v>3121</v>
      </c>
      <c r="J705" s="34" t="s">
        <v>34</v>
      </c>
      <c r="K705" s="23" t="s">
        <v>19</v>
      </c>
      <c r="L705" s="23" t="s">
        <v>18</v>
      </c>
      <c r="M705" s="24" t="s">
        <v>330</v>
      </c>
    </row>
    <row r="706" spans="1:13">
      <c r="A706" s="22">
        <v>2511314</v>
      </c>
      <c r="B706" s="23" t="s">
        <v>3122</v>
      </c>
      <c r="C706" s="22" t="s">
        <v>3123</v>
      </c>
      <c r="D706" s="22" t="s">
        <v>3124</v>
      </c>
      <c r="E706" s="23" t="s">
        <v>84</v>
      </c>
      <c r="F706" s="23" t="s">
        <v>92</v>
      </c>
      <c r="G706" s="23" t="s">
        <v>26</v>
      </c>
      <c r="H706" s="23" t="s">
        <v>3125</v>
      </c>
      <c r="I706" s="23" t="s">
        <v>3126</v>
      </c>
      <c r="J706" s="20">
        <v>4</v>
      </c>
      <c r="K706" s="23" t="s">
        <v>19</v>
      </c>
      <c r="L706" s="23" t="s">
        <v>16</v>
      </c>
      <c r="M706" s="24"/>
    </row>
    <row r="707" spans="1:13">
      <c r="A707" s="22">
        <v>2531281</v>
      </c>
      <c r="B707" s="23" t="s">
        <v>3127</v>
      </c>
      <c r="C707" s="22" t="s">
        <v>3128</v>
      </c>
      <c r="D707" s="22" t="s">
        <v>3129</v>
      </c>
      <c r="E707" s="23" t="s">
        <v>84</v>
      </c>
      <c r="F707" s="23" t="s">
        <v>92</v>
      </c>
      <c r="G707" s="23" t="s">
        <v>26</v>
      </c>
      <c r="H707" s="23" t="s">
        <v>3130</v>
      </c>
      <c r="I707" s="23" t="s">
        <v>3131</v>
      </c>
      <c r="J707" s="23">
        <v>3</v>
      </c>
      <c r="K707" s="23" t="s">
        <v>19</v>
      </c>
      <c r="L707" s="23" t="s">
        <v>18</v>
      </c>
      <c r="M707" s="24"/>
    </row>
    <row r="708" spans="1:13">
      <c r="A708" s="22">
        <v>2533014</v>
      </c>
      <c r="B708" s="23" t="s">
        <v>3132</v>
      </c>
      <c r="C708" s="22" t="s">
        <v>3133</v>
      </c>
      <c r="D708" s="22" t="s">
        <v>3134</v>
      </c>
      <c r="E708" s="23" t="s">
        <v>84</v>
      </c>
      <c r="F708" s="23" t="s">
        <v>172</v>
      </c>
      <c r="G708" s="23" t="s">
        <v>26</v>
      </c>
      <c r="H708" s="23" t="s">
        <v>3135</v>
      </c>
      <c r="I708" s="23" t="s">
        <v>3135</v>
      </c>
      <c r="J708" s="34" t="s">
        <v>34</v>
      </c>
      <c r="K708" s="23" t="s">
        <v>107</v>
      </c>
      <c r="L708" s="23" t="s">
        <v>16</v>
      </c>
      <c r="M708" s="24"/>
    </row>
    <row r="709" spans="1:13">
      <c r="A709" s="22">
        <v>2532976</v>
      </c>
      <c r="B709" s="23" t="s">
        <v>3136</v>
      </c>
      <c r="C709" s="22" t="s">
        <v>3137</v>
      </c>
      <c r="D709" s="22" t="s">
        <v>3138</v>
      </c>
      <c r="E709" s="23" t="s">
        <v>84</v>
      </c>
      <c r="F709" s="23" t="s">
        <v>92</v>
      </c>
      <c r="G709" s="23" t="s">
        <v>26</v>
      </c>
      <c r="H709" s="23" t="s">
        <v>3139</v>
      </c>
      <c r="I709" s="23" t="s">
        <v>3140</v>
      </c>
      <c r="J709" s="23">
        <v>1</v>
      </c>
      <c r="K709" s="23" t="s">
        <v>107</v>
      </c>
      <c r="L709" s="23" t="s">
        <v>16</v>
      </c>
      <c r="M709" s="24"/>
    </row>
    <row r="710" spans="1:13">
      <c r="A710" s="22">
        <v>2521266</v>
      </c>
      <c r="B710" s="23" t="s">
        <v>3141</v>
      </c>
      <c r="C710" s="22" t="s">
        <v>3142</v>
      </c>
      <c r="D710" s="22" t="s">
        <v>3143</v>
      </c>
      <c r="E710" s="23" t="s">
        <v>84</v>
      </c>
      <c r="F710" s="23" t="s">
        <v>92</v>
      </c>
      <c r="G710" s="23" t="s">
        <v>26</v>
      </c>
      <c r="H710" s="23" t="s">
        <v>3144</v>
      </c>
      <c r="I710" s="23" t="s">
        <v>3145</v>
      </c>
      <c r="J710" s="23">
        <v>3</v>
      </c>
      <c r="K710" s="23" t="s">
        <v>19</v>
      </c>
      <c r="L710" s="23" t="s">
        <v>16</v>
      </c>
      <c r="M710" s="24"/>
    </row>
    <row r="711" spans="1:13">
      <c r="A711" s="19">
        <v>2521047</v>
      </c>
      <c r="B711" s="20" t="s">
        <v>3146</v>
      </c>
      <c r="C711" s="19" t="s">
        <v>3147</v>
      </c>
      <c r="D711" s="19" t="s">
        <v>3148</v>
      </c>
      <c r="E711" s="20" t="s">
        <v>84</v>
      </c>
      <c r="F711" s="20" t="s">
        <v>92</v>
      </c>
      <c r="G711" s="20" t="s">
        <v>26</v>
      </c>
      <c r="H711" s="20" t="s">
        <v>3149</v>
      </c>
      <c r="I711" s="20" t="s">
        <v>3150</v>
      </c>
      <c r="J711" s="34" t="s">
        <v>34</v>
      </c>
      <c r="K711" s="20" t="s">
        <v>107</v>
      </c>
      <c r="L711" s="20" t="s">
        <v>16</v>
      </c>
      <c r="M711" s="21"/>
    </row>
    <row r="712" spans="1:13">
      <c r="A712" s="22">
        <v>2325232</v>
      </c>
      <c r="B712" s="23" t="s">
        <v>3151</v>
      </c>
      <c r="C712" s="22" t="s">
        <v>3152</v>
      </c>
      <c r="D712" s="22" t="s">
        <v>3153</v>
      </c>
      <c r="E712" s="23" t="s">
        <v>127</v>
      </c>
      <c r="F712" s="23" t="s">
        <v>112</v>
      </c>
      <c r="G712" s="23" t="s">
        <v>26</v>
      </c>
      <c r="H712" s="23" t="s">
        <v>3154</v>
      </c>
      <c r="I712" s="23" t="s">
        <v>3155</v>
      </c>
      <c r="J712" s="22" t="s">
        <v>94</v>
      </c>
      <c r="K712" s="23" t="s">
        <v>19</v>
      </c>
      <c r="L712" s="23" t="s">
        <v>16</v>
      </c>
      <c r="M712" s="24"/>
    </row>
    <row r="713" spans="1:13">
      <c r="A713" s="22">
        <v>2521038</v>
      </c>
      <c r="B713" s="23" t="s">
        <v>3156</v>
      </c>
      <c r="C713" s="22" t="s">
        <v>3157</v>
      </c>
      <c r="D713" s="22" t="s">
        <v>3158</v>
      </c>
      <c r="E713" s="23" t="s">
        <v>84</v>
      </c>
      <c r="F713" s="23" t="s">
        <v>92</v>
      </c>
      <c r="G713" s="23" t="s">
        <v>26</v>
      </c>
      <c r="H713" s="23" t="s">
        <v>3159</v>
      </c>
      <c r="I713" s="23" t="s">
        <v>3159</v>
      </c>
      <c r="J713" s="34" t="s">
        <v>34</v>
      </c>
      <c r="K713" s="23" t="s">
        <v>107</v>
      </c>
      <c r="L713" s="23" t="s">
        <v>16</v>
      </c>
      <c r="M713" s="24"/>
    </row>
    <row r="714" spans="1:13">
      <c r="A714" s="19">
        <v>2521037</v>
      </c>
      <c r="B714" s="20" t="s">
        <v>3160</v>
      </c>
      <c r="C714" s="19" t="s">
        <v>3161</v>
      </c>
      <c r="D714" s="19" t="s">
        <v>3162</v>
      </c>
      <c r="E714" s="20" t="s">
        <v>84</v>
      </c>
      <c r="F714" s="20" t="s">
        <v>92</v>
      </c>
      <c r="G714" s="20" t="s">
        <v>26</v>
      </c>
      <c r="H714" s="20" t="s">
        <v>3163</v>
      </c>
      <c r="I714" s="20" t="s">
        <v>3164</v>
      </c>
      <c r="J714" s="34" t="s">
        <v>34</v>
      </c>
      <c r="K714" s="20" t="s">
        <v>107</v>
      </c>
      <c r="L714" s="20" t="s">
        <v>16</v>
      </c>
      <c r="M714" s="21"/>
    </row>
    <row r="715" spans="1:13">
      <c r="A715" s="22">
        <v>2529535</v>
      </c>
      <c r="B715" s="23" t="s">
        <v>3165</v>
      </c>
      <c r="C715" s="22" t="s">
        <v>3166</v>
      </c>
      <c r="D715" s="22" t="s">
        <v>3167</v>
      </c>
      <c r="E715" s="23" t="s">
        <v>84</v>
      </c>
      <c r="F715" s="23" t="s">
        <v>92</v>
      </c>
      <c r="G715" s="23" t="s">
        <v>26</v>
      </c>
      <c r="H715" s="23" t="s">
        <v>3163</v>
      </c>
      <c r="I715" s="23" t="s">
        <v>3168</v>
      </c>
      <c r="J715" s="34" t="s">
        <v>34</v>
      </c>
      <c r="K715" s="23" t="s">
        <v>19</v>
      </c>
      <c r="L715" s="23" t="s">
        <v>18</v>
      </c>
      <c r="M715" s="24" t="s">
        <v>1812</v>
      </c>
    </row>
    <row r="716" spans="1:13">
      <c r="A716" s="22">
        <v>2521037</v>
      </c>
      <c r="B716" s="23" t="s">
        <v>3160</v>
      </c>
      <c r="C716" s="22" t="s">
        <v>3161</v>
      </c>
      <c r="D716" s="22" t="s">
        <v>3162</v>
      </c>
      <c r="E716" s="23" t="s">
        <v>84</v>
      </c>
      <c r="F716" s="23" t="s">
        <v>92</v>
      </c>
      <c r="G716" s="23" t="s">
        <v>26</v>
      </c>
      <c r="H716" s="23" t="s">
        <v>3163</v>
      </c>
      <c r="I716" s="23" t="s">
        <v>3169</v>
      </c>
      <c r="J716" s="34" t="s">
        <v>34</v>
      </c>
      <c r="K716" s="23" t="s">
        <v>107</v>
      </c>
      <c r="L716" s="23" t="s">
        <v>16</v>
      </c>
      <c r="M716" s="24"/>
    </row>
    <row r="717" spans="1:13">
      <c r="A717" s="19">
        <v>2531840</v>
      </c>
      <c r="B717" s="20" t="s">
        <v>3170</v>
      </c>
      <c r="C717" s="19" t="s">
        <v>3171</v>
      </c>
      <c r="D717" s="19" t="s">
        <v>3172</v>
      </c>
      <c r="E717" s="20" t="s">
        <v>84</v>
      </c>
      <c r="F717" s="20" t="s">
        <v>92</v>
      </c>
      <c r="G717" s="20" t="s">
        <v>26</v>
      </c>
      <c r="H717" s="20" t="s">
        <v>3173</v>
      </c>
      <c r="I717" s="20" t="s">
        <v>3174</v>
      </c>
      <c r="J717" s="34" t="s">
        <v>34</v>
      </c>
      <c r="K717" s="20" t="s">
        <v>19</v>
      </c>
      <c r="L717" s="20" t="s">
        <v>16</v>
      </c>
      <c r="M717" s="21"/>
    </row>
    <row r="718" spans="1:13">
      <c r="A718" s="22">
        <v>2533149</v>
      </c>
      <c r="B718" s="23" t="s">
        <v>3175</v>
      </c>
      <c r="C718" s="22" t="s">
        <v>3176</v>
      </c>
      <c r="D718" s="22" t="s">
        <v>3177</v>
      </c>
      <c r="E718" s="23" t="s">
        <v>84</v>
      </c>
      <c r="F718" s="23" t="s">
        <v>92</v>
      </c>
      <c r="G718" s="23" t="s">
        <v>26</v>
      </c>
      <c r="H718" s="23" t="s">
        <v>3178</v>
      </c>
      <c r="I718" s="23" t="s">
        <v>3179</v>
      </c>
      <c r="J718" s="23">
        <v>1</v>
      </c>
      <c r="K718" s="23" t="s">
        <v>19</v>
      </c>
      <c r="L718" s="23" t="s">
        <v>18</v>
      </c>
      <c r="M718" s="24"/>
    </row>
    <row r="719" spans="1:13">
      <c r="A719" s="22">
        <v>2521725</v>
      </c>
      <c r="B719" s="23" t="s">
        <v>3180</v>
      </c>
      <c r="C719" s="22" t="s">
        <v>3181</v>
      </c>
      <c r="D719" s="22" t="s">
        <v>3182</v>
      </c>
      <c r="E719" s="23" t="s">
        <v>127</v>
      </c>
      <c r="F719" s="23" t="s">
        <v>92</v>
      </c>
      <c r="G719" s="23" t="s">
        <v>26</v>
      </c>
      <c r="H719" s="23" t="s">
        <v>3183</v>
      </c>
      <c r="I719" s="23" t="s">
        <v>3184</v>
      </c>
      <c r="J719" s="23">
        <v>3</v>
      </c>
      <c r="K719" s="23" t="s">
        <v>19</v>
      </c>
      <c r="L719" s="23" t="s">
        <v>18</v>
      </c>
      <c r="M719" s="24"/>
    </row>
    <row r="720" spans="1:13">
      <c r="A720" s="22">
        <v>2522902</v>
      </c>
      <c r="B720" s="23" t="s">
        <v>3185</v>
      </c>
      <c r="C720" s="22" t="s">
        <v>3186</v>
      </c>
      <c r="D720" s="22" t="s">
        <v>3187</v>
      </c>
      <c r="E720" s="23" t="s">
        <v>84</v>
      </c>
      <c r="F720" s="23" t="s">
        <v>92</v>
      </c>
      <c r="G720" s="23" t="s">
        <v>26</v>
      </c>
      <c r="H720" s="23" t="s">
        <v>3188</v>
      </c>
      <c r="I720" s="23" t="s">
        <v>3189</v>
      </c>
      <c r="J720" s="20">
        <v>2</v>
      </c>
      <c r="K720" s="23" t="s">
        <v>19</v>
      </c>
      <c r="L720" s="23" t="s">
        <v>16</v>
      </c>
      <c r="M720" s="24"/>
    </row>
    <row r="721" spans="1:13">
      <c r="A721" s="22">
        <v>2531993</v>
      </c>
      <c r="B721" s="23" t="s">
        <v>3190</v>
      </c>
      <c r="C721" s="22" t="s">
        <v>3191</v>
      </c>
      <c r="D721" s="22" t="s">
        <v>3192</v>
      </c>
      <c r="E721" s="23" t="s">
        <v>84</v>
      </c>
      <c r="F721" s="23" t="s">
        <v>92</v>
      </c>
      <c r="G721" s="23" t="s">
        <v>26</v>
      </c>
      <c r="H721" s="23" t="s">
        <v>3193</v>
      </c>
      <c r="I721" s="23" t="s">
        <v>3194</v>
      </c>
      <c r="J721" s="20">
        <v>2</v>
      </c>
      <c r="K721" s="23" t="s">
        <v>19</v>
      </c>
      <c r="L721" s="23" t="s">
        <v>16</v>
      </c>
      <c r="M721" s="24"/>
    </row>
    <row r="722" spans="1:13">
      <c r="A722" s="19">
        <v>2521740</v>
      </c>
      <c r="B722" s="20" t="s">
        <v>3195</v>
      </c>
      <c r="C722" s="19" t="s">
        <v>3196</v>
      </c>
      <c r="D722" s="19" t="s">
        <v>3197</v>
      </c>
      <c r="E722" s="20" t="s">
        <v>84</v>
      </c>
      <c r="F722" s="20" t="s">
        <v>92</v>
      </c>
      <c r="G722" s="20" t="s">
        <v>26</v>
      </c>
      <c r="H722" s="20" t="s">
        <v>3198</v>
      </c>
      <c r="I722" s="20" t="s">
        <v>3199</v>
      </c>
      <c r="J722" s="20">
        <v>2</v>
      </c>
      <c r="K722" s="20" t="s">
        <v>107</v>
      </c>
      <c r="L722" s="20" t="s">
        <v>16</v>
      </c>
      <c r="M722" s="21"/>
    </row>
    <row r="723" spans="1:13">
      <c r="A723" s="22">
        <v>2533020</v>
      </c>
      <c r="B723" s="23" t="s">
        <v>3200</v>
      </c>
      <c r="C723" s="22" t="s">
        <v>3201</v>
      </c>
      <c r="D723" s="22" t="s">
        <v>3202</v>
      </c>
      <c r="E723" s="23" t="s">
        <v>127</v>
      </c>
      <c r="F723" s="23" t="s">
        <v>172</v>
      </c>
      <c r="G723" s="23" t="s">
        <v>26</v>
      </c>
      <c r="H723" s="23" t="s">
        <v>3203</v>
      </c>
      <c r="I723" s="23" t="s">
        <v>3204</v>
      </c>
      <c r="J723" s="20">
        <v>2</v>
      </c>
      <c r="K723" s="23" t="s">
        <v>107</v>
      </c>
      <c r="L723" s="23" t="s">
        <v>18</v>
      </c>
      <c r="M723" s="24"/>
    </row>
    <row r="724" spans="1:13">
      <c r="A724" s="22">
        <v>2521747</v>
      </c>
      <c r="B724" s="23" t="s">
        <v>3205</v>
      </c>
      <c r="C724" s="22" t="s">
        <v>3206</v>
      </c>
      <c r="D724" s="22" t="s">
        <v>3207</v>
      </c>
      <c r="E724" s="23" t="s">
        <v>127</v>
      </c>
      <c r="F724" s="23" t="s">
        <v>92</v>
      </c>
      <c r="G724" s="23" t="s">
        <v>26</v>
      </c>
      <c r="H724" s="23" t="s">
        <v>3208</v>
      </c>
      <c r="I724" s="23" t="s">
        <v>3209</v>
      </c>
      <c r="J724" s="20">
        <v>2</v>
      </c>
      <c r="K724" s="23" t="s">
        <v>107</v>
      </c>
      <c r="L724" s="23" t="s">
        <v>18</v>
      </c>
      <c r="M724" s="24"/>
    </row>
    <row r="725" spans="1:13">
      <c r="A725" s="22">
        <v>2532933</v>
      </c>
      <c r="B725" s="23" t="s">
        <v>3210</v>
      </c>
      <c r="C725" s="22" t="s">
        <v>3211</v>
      </c>
      <c r="D725" s="22" t="s">
        <v>3212</v>
      </c>
      <c r="E725" s="23" t="s">
        <v>84</v>
      </c>
      <c r="F725" s="23" t="s">
        <v>92</v>
      </c>
      <c r="G725" s="23" t="s">
        <v>26</v>
      </c>
      <c r="H725" s="23" t="s">
        <v>3213</v>
      </c>
      <c r="I725" s="23" t="s">
        <v>3214</v>
      </c>
      <c r="J725" s="20">
        <v>2</v>
      </c>
      <c r="K725" s="23" t="s">
        <v>19</v>
      </c>
      <c r="L725" s="23" t="s">
        <v>18</v>
      </c>
      <c r="M725" s="24"/>
    </row>
    <row r="726" spans="1:13">
      <c r="A726" s="19">
        <v>2524478</v>
      </c>
      <c r="B726" s="20" t="s">
        <v>3215</v>
      </c>
      <c r="C726" s="19" t="s">
        <v>3216</v>
      </c>
      <c r="D726" s="19" t="s">
        <v>3217</v>
      </c>
      <c r="E726" s="20" t="s">
        <v>84</v>
      </c>
      <c r="F726" s="20" t="s">
        <v>92</v>
      </c>
      <c r="G726" s="20" t="s">
        <v>26</v>
      </c>
      <c r="H726" s="20" t="s">
        <v>3218</v>
      </c>
      <c r="I726" s="20" t="s">
        <v>3218</v>
      </c>
      <c r="J726" s="23">
        <v>3</v>
      </c>
      <c r="K726" s="20" t="s">
        <v>19</v>
      </c>
      <c r="L726" s="20" t="s">
        <v>16</v>
      </c>
      <c r="M726" s="21"/>
    </row>
    <row r="727" spans="1:13">
      <c r="A727" s="22">
        <v>2521069</v>
      </c>
      <c r="B727" s="23" t="s">
        <v>3219</v>
      </c>
      <c r="C727" s="22" t="s">
        <v>3220</v>
      </c>
      <c r="D727" s="22" t="s">
        <v>3221</v>
      </c>
      <c r="E727" s="23" t="s">
        <v>84</v>
      </c>
      <c r="F727" s="23" t="s">
        <v>92</v>
      </c>
      <c r="G727" s="23" t="s">
        <v>26</v>
      </c>
      <c r="H727" s="23" t="s">
        <v>3222</v>
      </c>
      <c r="I727" s="23" t="s">
        <v>3223</v>
      </c>
      <c r="J727" s="20">
        <v>2</v>
      </c>
      <c r="K727" s="23" t="s">
        <v>107</v>
      </c>
      <c r="L727" s="23" t="s">
        <v>16</v>
      </c>
      <c r="M727" s="24"/>
    </row>
    <row r="728" spans="1:13">
      <c r="A728" s="19">
        <v>2518813</v>
      </c>
      <c r="B728" s="20" t="s">
        <v>3224</v>
      </c>
      <c r="C728" s="19" t="s">
        <v>3225</v>
      </c>
      <c r="D728" s="19" t="s">
        <v>3226</v>
      </c>
      <c r="E728" s="20" t="s">
        <v>84</v>
      </c>
      <c r="F728" s="20" t="s">
        <v>92</v>
      </c>
      <c r="G728" s="20" t="s">
        <v>26</v>
      </c>
      <c r="H728" s="20" t="s">
        <v>3227</v>
      </c>
      <c r="I728" s="20" t="s">
        <v>3228</v>
      </c>
      <c r="J728" s="23">
        <v>3</v>
      </c>
      <c r="K728" s="20" t="s">
        <v>107</v>
      </c>
      <c r="L728" s="20" t="s">
        <v>16</v>
      </c>
      <c r="M728" s="21"/>
    </row>
    <row r="729" spans="1:13">
      <c r="A729" s="19">
        <v>2521055</v>
      </c>
      <c r="B729" s="20" t="s">
        <v>3229</v>
      </c>
      <c r="C729" s="19" t="s">
        <v>3230</v>
      </c>
      <c r="D729" s="19" t="s">
        <v>3231</v>
      </c>
      <c r="E729" s="20" t="s">
        <v>84</v>
      </c>
      <c r="F729" s="20" t="s">
        <v>92</v>
      </c>
      <c r="G729" s="20" t="s">
        <v>25</v>
      </c>
      <c r="H729" s="20" t="s">
        <v>3227</v>
      </c>
      <c r="I729" s="20" t="s">
        <v>3232</v>
      </c>
      <c r="J729" s="23">
        <v>3</v>
      </c>
      <c r="K729" s="20" t="s">
        <v>107</v>
      </c>
      <c r="L729" s="20" t="s">
        <v>16</v>
      </c>
      <c r="M729" s="21"/>
    </row>
    <row r="730" spans="1:13">
      <c r="A730" s="22">
        <v>2521093</v>
      </c>
      <c r="B730" s="23" t="s">
        <v>3233</v>
      </c>
      <c r="C730" s="22" t="s">
        <v>3234</v>
      </c>
      <c r="D730" s="22" t="s">
        <v>3235</v>
      </c>
      <c r="E730" s="23" t="s">
        <v>84</v>
      </c>
      <c r="F730" s="23" t="s">
        <v>92</v>
      </c>
      <c r="G730" s="23" t="s">
        <v>26</v>
      </c>
      <c r="H730" s="23" t="s">
        <v>3236</v>
      </c>
      <c r="I730" s="23" t="s">
        <v>3237</v>
      </c>
      <c r="J730" s="23">
        <v>1</v>
      </c>
      <c r="K730" s="23" t="s">
        <v>107</v>
      </c>
      <c r="L730" s="23" t="s">
        <v>16</v>
      </c>
      <c r="M730" s="24"/>
    </row>
    <row r="731" spans="1:13">
      <c r="A731" s="19">
        <v>2521319</v>
      </c>
      <c r="B731" s="20" t="s">
        <v>3238</v>
      </c>
      <c r="C731" s="19" t="s">
        <v>3239</v>
      </c>
      <c r="D731" s="19" t="s">
        <v>3240</v>
      </c>
      <c r="E731" s="20" t="s">
        <v>127</v>
      </c>
      <c r="F731" s="20" t="s">
        <v>92</v>
      </c>
      <c r="G731" s="20" t="s">
        <v>26</v>
      </c>
      <c r="H731" s="20" t="s">
        <v>3241</v>
      </c>
      <c r="I731" s="20" t="s">
        <v>3242</v>
      </c>
      <c r="J731" s="20">
        <v>2</v>
      </c>
      <c r="K731" s="20" t="s">
        <v>19</v>
      </c>
      <c r="L731" s="20" t="s">
        <v>16</v>
      </c>
      <c r="M731" s="21"/>
    </row>
    <row r="732" spans="1:13">
      <c r="A732" s="22">
        <v>2529592</v>
      </c>
      <c r="B732" s="23" t="s">
        <v>3243</v>
      </c>
      <c r="C732" s="22" t="s">
        <v>3244</v>
      </c>
      <c r="D732" s="22" t="s">
        <v>3245</v>
      </c>
      <c r="E732" s="23" t="s">
        <v>127</v>
      </c>
      <c r="F732" s="23" t="s">
        <v>92</v>
      </c>
      <c r="G732" s="23" t="s">
        <v>26</v>
      </c>
      <c r="H732" s="23" t="s">
        <v>3246</v>
      </c>
      <c r="I732" s="23" t="s">
        <v>3247</v>
      </c>
      <c r="J732" s="23">
        <v>1</v>
      </c>
      <c r="K732" s="23" t="s">
        <v>2071</v>
      </c>
      <c r="L732" s="23" t="s">
        <v>18</v>
      </c>
      <c r="M732" s="24" t="s">
        <v>16</v>
      </c>
    </row>
    <row r="733" spans="1:13">
      <c r="A733" s="22">
        <v>2521728</v>
      </c>
      <c r="B733" s="23" t="s">
        <v>3248</v>
      </c>
      <c r="C733" s="22" t="s">
        <v>3249</v>
      </c>
      <c r="D733" s="22" t="s">
        <v>3250</v>
      </c>
      <c r="E733" s="23" t="s">
        <v>84</v>
      </c>
      <c r="F733" s="23" t="s">
        <v>92</v>
      </c>
      <c r="G733" s="23" t="s">
        <v>26</v>
      </c>
      <c r="H733" s="23" t="s">
        <v>3251</v>
      </c>
      <c r="I733" s="23" t="s">
        <v>3252</v>
      </c>
      <c r="J733" s="20">
        <v>2</v>
      </c>
      <c r="K733" s="23" t="s">
        <v>107</v>
      </c>
      <c r="L733" s="23" t="s">
        <v>16</v>
      </c>
      <c r="M733" s="24"/>
    </row>
    <row r="734" spans="1:13">
      <c r="A734" s="22">
        <v>2521720</v>
      </c>
      <c r="B734" s="23" t="s">
        <v>3253</v>
      </c>
      <c r="C734" s="22" t="s">
        <v>3254</v>
      </c>
      <c r="D734" s="22" t="s">
        <v>3255</v>
      </c>
      <c r="E734" s="23" t="s">
        <v>84</v>
      </c>
      <c r="F734" s="23" t="s">
        <v>92</v>
      </c>
      <c r="G734" s="23" t="s">
        <v>26</v>
      </c>
      <c r="H734" s="23" t="s">
        <v>3256</v>
      </c>
      <c r="I734" s="23" t="s">
        <v>3257</v>
      </c>
      <c r="J734" s="34" t="s">
        <v>34</v>
      </c>
      <c r="K734" s="23" t="s">
        <v>19</v>
      </c>
      <c r="L734" s="23" t="s">
        <v>16</v>
      </c>
      <c r="M734" s="24"/>
    </row>
    <row r="735" spans="1:13">
      <c r="A735" s="19">
        <v>2521038</v>
      </c>
      <c r="B735" s="20" t="s">
        <v>3156</v>
      </c>
      <c r="C735" s="19" t="s">
        <v>3157</v>
      </c>
      <c r="D735" s="19" t="s">
        <v>3158</v>
      </c>
      <c r="E735" s="20" t="s">
        <v>84</v>
      </c>
      <c r="F735" s="20" t="s">
        <v>92</v>
      </c>
      <c r="G735" s="20" t="s">
        <v>26</v>
      </c>
      <c r="H735" s="20" t="s">
        <v>3258</v>
      </c>
      <c r="I735" s="20" t="s">
        <v>3259</v>
      </c>
      <c r="J735" s="34" t="s">
        <v>34</v>
      </c>
      <c r="K735" s="20" t="s">
        <v>107</v>
      </c>
      <c r="L735" s="20" t="s">
        <v>16</v>
      </c>
      <c r="M735" s="21"/>
    </row>
    <row r="736" spans="1:13">
      <c r="A736" s="19">
        <v>2521745</v>
      </c>
      <c r="B736" s="20" t="s">
        <v>3260</v>
      </c>
      <c r="C736" s="19" t="s">
        <v>3261</v>
      </c>
      <c r="D736" s="19" t="s">
        <v>3262</v>
      </c>
      <c r="E736" s="20" t="s">
        <v>84</v>
      </c>
      <c r="F736" s="20" t="s">
        <v>92</v>
      </c>
      <c r="G736" s="20" t="s">
        <v>26</v>
      </c>
      <c r="H736" s="20" t="s">
        <v>3263</v>
      </c>
      <c r="I736" s="20" t="s">
        <v>3264</v>
      </c>
      <c r="J736" s="23">
        <v>3</v>
      </c>
      <c r="K736" s="20" t="s">
        <v>107</v>
      </c>
      <c r="L736" s="20" t="s">
        <v>16</v>
      </c>
      <c r="M736" s="21"/>
    </row>
    <row r="737" spans="1:13">
      <c r="A737" s="19">
        <v>2531820</v>
      </c>
      <c r="B737" s="20" t="s">
        <v>3265</v>
      </c>
      <c r="C737" s="19" t="s">
        <v>3266</v>
      </c>
      <c r="D737" s="19" t="s">
        <v>3267</v>
      </c>
      <c r="E737" s="20" t="s">
        <v>127</v>
      </c>
      <c r="F737" s="20" t="s">
        <v>92</v>
      </c>
      <c r="G737" s="20" t="s">
        <v>26</v>
      </c>
      <c r="H737" s="20" t="s">
        <v>3268</v>
      </c>
      <c r="I737" s="20" t="s">
        <v>3269</v>
      </c>
      <c r="J737" s="23">
        <v>3</v>
      </c>
      <c r="K737" s="20" t="s">
        <v>19</v>
      </c>
      <c r="L737" s="20" t="s">
        <v>16</v>
      </c>
      <c r="M737" s="21"/>
    </row>
    <row r="738" spans="1:13">
      <c r="A738" s="22">
        <v>2519640</v>
      </c>
      <c r="B738" s="23" t="s">
        <v>3270</v>
      </c>
      <c r="C738" s="22" t="s">
        <v>3271</v>
      </c>
      <c r="D738" s="22" t="s">
        <v>3272</v>
      </c>
      <c r="E738" s="23" t="s">
        <v>84</v>
      </c>
      <c r="F738" s="23" t="s">
        <v>92</v>
      </c>
      <c r="G738" s="23" t="s">
        <v>26</v>
      </c>
      <c r="H738" s="23" t="s">
        <v>3273</v>
      </c>
      <c r="I738" s="23" t="s">
        <v>3274</v>
      </c>
      <c r="J738" s="20">
        <v>2</v>
      </c>
      <c r="K738" s="23" t="s">
        <v>107</v>
      </c>
      <c r="L738" s="23" t="s">
        <v>16</v>
      </c>
      <c r="M738" s="24"/>
    </row>
    <row r="739" spans="1:13">
      <c r="A739" s="22">
        <v>2519623</v>
      </c>
      <c r="B739" s="23" t="s">
        <v>3275</v>
      </c>
      <c r="C739" s="22" t="s">
        <v>3276</v>
      </c>
      <c r="D739" s="22" t="s">
        <v>3277</v>
      </c>
      <c r="E739" s="23" t="s">
        <v>84</v>
      </c>
      <c r="F739" s="23" t="s">
        <v>92</v>
      </c>
      <c r="G739" s="23" t="s">
        <v>26</v>
      </c>
      <c r="H739" s="23" t="s">
        <v>3278</v>
      </c>
      <c r="I739" s="23" t="s">
        <v>3279</v>
      </c>
      <c r="J739" s="23">
        <v>1</v>
      </c>
      <c r="K739" s="23" t="s">
        <v>19</v>
      </c>
      <c r="L739" s="23" t="s">
        <v>18</v>
      </c>
      <c r="M739" s="24" t="s">
        <v>49</v>
      </c>
    </row>
    <row r="740" spans="1:13">
      <c r="A740" s="22">
        <v>2519705</v>
      </c>
      <c r="B740" s="23" t="s">
        <v>3280</v>
      </c>
      <c r="C740" s="22" t="s">
        <v>3281</v>
      </c>
      <c r="D740" s="22" t="s">
        <v>3282</v>
      </c>
      <c r="E740" s="23" t="s">
        <v>84</v>
      </c>
      <c r="F740" s="23" t="s">
        <v>92</v>
      </c>
      <c r="G740" s="23" t="s">
        <v>26</v>
      </c>
      <c r="H740" s="23" t="s">
        <v>3283</v>
      </c>
      <c r="I740" s="23" t="s">
        <v>3284</v>
      </c>
      <c r="J740" s="23">
        <v>1</v>
      </c>
      <c r="K740" s="23" t="s">
        <v>19</v>
      </c>
      <c r="L740" s="23" t="s">
        <v>16</v>
      </c>
      <c r="M740" s="24"/>
    </row>
    <row r="741" spans="1:13">
      <c r="A741" s="19">
        <v>2532920</v>
      </c>
      <c r="B741" s="20" t="s">
        <v>3285</v>
      </c>
      <c r="C741" s="19" t="s">
        <v>3286</v>
      </c>
      <c r="D741" s="19" t="s">
        <v>3287</v>
      </c>
      <c r="E741" s="20" t="s">
        <v>84</v>
      </c>
      <c r="F741" s="20" t="s">
        <v>92</v>
      </c>
      <c r="G741" s="20" t="s">
        <v>26</v>
      </c>
      <c r="H741" s="20" t="s">
        <v>3288</v>
      </c>
      <c r="I741" s="20" t="s">
        <v>3289</v>
      </c>
      <c r="J741" s="20">
        <v>2</v>
      </c>
      <c r="K741" s="20" t="s">
        <v>19</v>
      </c>
      <c r="L741" s="20" t="s">
        <v>18</v>
      </c>
      <c r="M741" s="21"/>
    </row>
    <row r="742" spans="1:13">
      <c r="A742" s="19">
        <v>2532958</v>
      </c>
      <c r="B742" s="20" t="s">
        <v>3290</v>
      </c>
      <c r="C742" s="19" t="s">
        <v>3291</v>
      </c>
      <c r="D742" s="19" t="s">
        <v>3292</v>
      </c>
      <c r="E742" s="20" t="s">
        <v>84</v>
      </c>
      <c r="F742" s="20" t="s">
        <v>92</v>
      </c>
      <c r="G742" s="20" t="s">
        <v>26</v>
      </c>
      <c r="H742" s="20" t="s">
        <v>3293</v>
      </c>
      <c r="I742" s="20" t="s">
        <v>3294</v>
      </c>
      <c r="J742" s="23">
        <v>3</v>
      </c>
      <c r="K742" s="20" t="s">
        <v>19</v>
      </c>
      <c r="L742" s="20" t="s">
        <v>16</v>
      </c>
      <c r="M742" s="21" t="s">
        <v>864</v>
      </c>
    </row>
    <row r="743" spans="1:13">
      <c r="A743" s="22">
        <v>2533020</v>
      </c>
      <c r="B743" s="23" t="s">
        <v>3200</v>
      </c>
      <c r="C743" s="22" t="s">
        <v>3201</v>
      </c>
      <c r="D743" s="22" t="s">
        <v>3202</v>
      </c>
      <c r="E743" s="23" t="s">
        <v>127</v>
      </c>
      <c r="F743" s="23" t="s">
        <v>92</v>
      </c>
      <c r="G743" s="23" t="s">
        <v>26</v>
      </c>
      <c r="H743" s="23" t="s">
        <v>3295</v>
      </c>
      <c r="I743" s="23" t="s">
        <v>3296</v>
      </c>
      <c r="J743" s="20">
        <v>2</v>
      </c>
      <c r="K743" s="23" t="s">
        <v>107</v>
      </c>
      <c r="L743" s="23" t="s">
        <v>18</v>
      </c>
      <c r="M743" s="24"/>
    </row>
    <row r="744" spans="1:13">
      <c r="A744" s="19">
        <v>2533016</v>
      </c>
      <c r="B744" s="20" t="s">
        <v>3297</v>
      </c>
      <c r="C744" s="19" t="s">
        <v>3298</v>
      </c>
      <c r="D744" s="19" t="s">
        <v>3299</v>
      </c>
      <c r="E744" s="20" t="s">
        <v>84</v>
      </c>
      <c r="F744" s="20" t="s">
        <v>92</v>
      </c>
      <c r="G744" s="20" t="s">
        <v>26</v>
      </c>
      <c r="H744" s="20" t="s">
        <v>3300</v>
      </c>
      <c r="I744" s="20" t="s">
        <v>3300</v>
      </c>
      <c r="J744" s="23">
        <v>1</v>
      </c>
      <c r="K744" s="20" t="s">
        <v>107</v>
      </c>
      <c r="L744" s="20" t="s">
        <v>16</v>
      </c>
      <c r="M744" s="21"/>
    </row>
    <row r="745" spans="1:13">
      <c r="A745" s="22">
        <v>2533016</v>
      </c>
      <c r="B745" s="23" t="s">
        <v>3301</v>
      </c>
      <c r="C745" s="22" t="s">
        <v>3298</v>
      </c>
      <c r="D745" s="22" t="s">
        <v>3299</v>
      </c>
      <c r="E745" s="23" t="s">
        <v>84</v>
      </c>
      <c r="F745" s="23" t="s">
        <v>172</v>
      </c>
      <c r="G745" s="23" t="s">
        <v>26</v>
      </c>
      <c r="H745" s="23" t="s">
        <v>3302</v>
      </c>
      <c r="I745" s="23" t="s">
        <v>3302</v>
      </c>
      <c r="J745" s="23">
        <v>1</v>
      </c>
      <c r="K745" s="23" t="s">
        <v>107</v>
      </c>
      <c r="L745" s="23" t="s">
        <v>16</v>
      </c>
      <c r="M745" s="24"/>
    </row>
    <row r="746" spans="1:13">
      <c r="A746" s="19">
        <v>2533586</v>
      </c>
      <c r="B746" s="20" t="s">
        <v>3303</v>
      </c>
      <c r="C746" s="19" t="s">
        <v>3304</v>
      </c>
      <c r="D746" s="19" t="s">
        <v>3305</v>
      </c>
      <c r="E746" s="20" t="s">
        <v>84</v>
      </c>
      <c r="F746" s="20" t="s">
        <v>92</v>
      </c>
      <c r="G746" s="20" t="s">
        <v>26</v>
      </c>
      <c r="H746" s="20" t="s">
        <v>3306</v>
      </c>
      <c r="I746" s="20" t="s">
        <v>3307</v>
      </c>
      <c r="J746" s="23">
        <v>1</v>
      </c>
      <c r="K746" s="20" t="s">
        <v>107</v>
      </c>
      <c r="L746" s="20" t="s">
        <v>16</v>
      </c>
      <c r="M746" s="21"/>
    </row>
    <row r="747" spans="1:13">
      <c r="A747" s="19">
        <v>2531794</v>
      </c>
      <c r="B747" s="20" t="s">
        <v>3308</v>
      </c>
      <c r="C747" s="19" t="s">
        <v>3309</v>
      </c>
      <c r="D747" s="19" t="s">
        <v>3310</v>
      </c>
      <c r="E747" s="20" t="s">
        <v>84</v>
      </c>
      <c r="F747" s="20" t="s">
        <v>92</v>
      </c>
      <c r="G747" s="20" t="s">
        <v>26</v>
      </c>
      <c r="H747" s="20" t="s">
        <v>3311</v>
      </c>
      <c r="I747" s="20" t="s">
        <v>3312</v>
      </c>
      <c r="J747" s="23">
        <v>1</v>
      </c>
      <c r="K747" s="20" t="s">
        <v>107</v>
      </c>
      <c r="L747" s="20" t="s">
        <v>16</v>
      </c>
      <c r="M747" s="21"/>
    </row>
    <row r="748" spans="1:13">
      <c r="A748" s="19">
        <v>2521724</v>
      </c>
      <c r="B748" s="20" t="s">
        <v>3313</v>
      </c>
      <c r="C748" s="19" t="s">
        <v>3314</v>
      </c>
      <c r="D748" s="19" t="s">
        <v>3315</v>
      </c>
      <c r="E748" s="20" t="s">
        <v>84</v>
      </c>
      <c r="F748" s="20" t="s">
        <v>92</v>
      </c>
      <c r="G748" s="20" t="s">
        <v>26</v>
      </c>
      <c r="H748" s="20" t="s">
        <v>3316</v>
      </c>
      <c r="I748" s="20" t="s">
        <v>3317</v>
      </c>
      <c r="J748" s="23">
        <v>3</v>
      </c>
      <c r="K748" s="20" t="s">
        <v>19</v>
      </c>
      <c r="L748" s="20" t="s">
        <v>18</v>
      </c>
      <c r="M748" s="21"/>
    </row>
    <row r="749" spans="1:13">
      <c r="A749" s="22">
        <v>2522853</v>
      </c>
      <c r="B749" s="23" t="s">
        <v>3318</v>
      </c>
      <c r="C749" s="22" t="s">
        <v>3319</v>
      </c>
      <c r="D749" s="22" t="s">
        <v>3320</v>
      </c>
      <c r="E749" s="23" t="s">
        <v>127</v>
      </c>
      <c r="F749" s="23" t="s">
        <v>92</v>
      </c>
      <c r="G749" s="23" t="s">
        <v>26</v>
      </c>
      <c r="H749" s="23" t="s">
        <v>3321</v>
      </c>
      <c r="I749" s="23" t="s">
        <v>3322</v>
      </c>
      <c r="J749" s="34" t="s">
        <v>34</v>
      </c>
      <c r="K749" s="23" t="s">
        <v>19</v>
      </c>
      <c r="L749" s="23" t="s">
        <v>16</v>
      </c>
      <c r="M749" s="24"/>
    </row>
    <row r="750" spans="1:13">
      <c r="A750" s="22">
        <v>2521768</v>
      </c>
      <c r="B750" s="23" t="s">
        <v>3323</v>
      </c>
      <c r="C750" s="22" t="s">
        <v>3324</v>
      </c>
      <c r="D750" s="22" t="s">
        <v>3325</v>
      </c>
      <c r="E750" s="23" t="s">
        <v>415</v>
      </c>
      <c r="F750" s="23" t="s">
        <v>92</v>
      </c>
      <c r="G750" s="23" t="s">
        <v>26</v>
      </c>
      <c r="H750" s="23" t="s">
        <v>3326</v>
      </c>
      <c r="I750" s="23" t="s">
        <v>3327</v>
      </c>
      <c r="J750" s="20">
        <v>4</v>
      </c>
      <c r="K750" s="23" t="s">
        <v>107</v>
      </c>
      <c r="L750" s="23" t="s">
        <v>16</v>
      </c>
      <c r="M750" s="24"/>
    </row>
    <row r="751" spans="1:13">
      <c r="A751" s="22">
        <v>2531281</v>
      </c>
      <c r="B751" s="23" t="s">
        <v>3127</v>
      </c>
      <c r="C751" s="22" t="s">
        <v>3128</v>
      </c>
      <c r="D751" s="22" t="s">
        <v>3129</v>
      </c>
      <c r="E751" s="23" t="s">
        <v>84</v>
      </c>
      <c r="F751" s="23" t="s">
        <v>92</v>
      </c>
      <c r="G751" s="23" t="s">
        <v>26</v>
      </c>
      <c r="H751" s="23" t="s">
        <v>3328</v>
      </c>
      <c r="I751" s="23" t="s">
        <v>3329</v>
      </c>
      <c r="J751" s="23">
        <v>3</v>
      </c>
      <c r="K751" s="23" t="s">
        <v>19</v>
      </c>
      <c r="L751" s="23" t="s">
        <v>18</v>
      </c>
      <c r="M751" s="24"/>
    </row>
    <row r="752" spans="1:13">
      <c r="A752" s="22">
        <v>2519671</v>
      </c>
      <c r="B752" s="23" t="s">
        <v>3330</v>
      </c>
      <c r="C752" s="22" t="s">
        <v>3331</v>
      </c>
      <c r="D752" s="22" t="s">
        <v>3332</v>
      </c>
      <c r="E752" s="23" t="s">
        <v>84</v>
      </c>
      <c r="F752" s="23" t="s">
        <v>92</v>
      </c>
      <c r="G752" s="23" t="s">
        <v>26</v>
      </c>
      <c r="H752" s="23" t="s">
        <v>3333</v>
      </c>
      <c r="I752" s="23" t="s">
        <v>3334</v>
      </c>
      <c r="J752" s="20">
        <v>2</v>
      </c>
      <c r="K752" s="23" t="s">
        <v>19</v>
      </c>
      <c r="L752" s="23" t="s">
        <v>16</v>
      </c>
      <c r="M752" s="24"/>
    </row>
    <row r="753" spans="1:13">
      <c r="A753" s="19">
        <v>2522863</v>
      </c>
      <c r="B753" s="20" t="s">
        <v>3335</v>
      </c>
      <c r="C753" s="19" t="s">
        <v>3336</v>
      </c>
      <c r="D753" s="19" t="s">
        <v>3337</v>
      </c>
      <c r="E753" s="20" t="s">
        <v>84</v>
      </c>
      <c r="F753" s="20" t="s">
        <v>92</v>
      </c>
      <c r="G753" s="20" t="s">
        <v>26</v>
      </c>
      <c r="H753" s="20" t="s">
        <v>3338</v>
      </c>
      <c r="I753" s="20" t="s">
        <v>3339</v>
      </c>
      <c r="J753" s="20">
        <v>2</v>
      </c>
      <c r="K753" s="20" t="s">
        <v>19</v>
      </c>
      <c r="L753" s="20" t="s">
        <v>18</v>
      </c>
      <c r="M753" s="21"/>
    </row>
    <row r="754" spans="1:13">
      <c r="A754" s="19">
        <v>2519701</v>
      </c>
      <c r="B754" s="20" t="s">
        <v>3340</v>
      </c>
      <c r="C754" s="19" t="s">
        <v>3341</v>
      </c>
      <c r="D754" s="19" t="s">
        <v>3342</v>
      </c>
      <c r="E754" s="20" t="s">
        <v>84</v>
      </c>
      <c r="F754" s="20" t="s">
        <v>92</v>
      </c>
      <c r="G754" s="20" t="s">
        <v>26</v>
      </c>
      <c r="H754" s="20" t="s">
        <v>3343</v>
      </c>
      <c r="I754" s="20" t="s">
        <v>3343</v>
      </c>
      <c r="J754" s="20">
        <v>2</v>
      </c>
      <c r="K754" s="20" t="s">
        <v>206</v>
      </c>
      <c r="L754" s="20" t="s">
        <v>16</v>
      </c>
      <c r="M754" s="21"/>
    </row>
    <row r="755" spans="1:13">
      <c r="A755" s="19">
        <v>2512319</v>
      </c>
      <c r="B755" s="20" t="s">
        <v>3344</v>
      </c>
      <c r="C755" s="19" t="s">
        <v>3345</v>
      </c>
      <c r="D755" s="19" t="s">
        <v>3346</v>
      </c>
      <c r="E755" s="20" t="s">
        <v>84</v>
      </c>
      <c r="F755" s="20" t="s">
        <v>85</v>
      </c>
      <c r="G755" s="20" t="s">
        <v>27</v>
      </c>
      <c r="H755" s="20" t="s">
        <v>38</v>
      </c>
      <c r="I755" s="20" t="s">
        <v>3347</v>
      </c>
      <c r="J755" s="34" t="s">
        <v>34</v>
      </c>
      <c r="K755" s="20" t="s">
        <v>215</v>
      </c>
      <c r="L755" s="20" t="s">
        <v>18</v>
      </c>
      <c r="M755" s="21"/>
    </row>
    <row r="756" spans="1:13">
      <c r="A756" s="19">
        <v>2525043</v>
      </c>
      <c r="B756" s="20" t="s">
        <v>3348</v>
      </c>
      <c r="C756" s="19" t="s">
        <v>3349</v>
      </c>
      <c r="D756" s="19" t="s">
        <v>3350</v>
      </c>
      <c r="E756" s="20" t="s">
        <v>84</v>
      </c>
      <c r="F756" s="20" t="s">
        <v>112</v>
      </c>
      <c r="G756" s="20" t="s">
        <v>25</v>
      </c>
      <c r="H756" s="20" t="s">
        <v>49</v>
      </c>
      <c r="I756" s="20" t="s">
        <v>3351</v>
      </c>
      <c r="J756" s="23">
        <v>1</v>
      </c>
      <c r="K756" s="20" t="s">
        <v>1674</v>
      </c>
      <c r="L756" s="20" t="s">
        <v>18</v>
      </c>
      <c r="M756" s="21" t="s">
        <v>49</v>
      </c>
    </row>
    <row r="757" spans="1:13">
      <c r="A757" s="19">
        <v>2533128</v>
      </c>
      <c r="B757" s="20" t="s">
        <v>3352</v>
      </c>
      <c r="C757" s="19" t="s">
        <v>3353</v>
      </c>
      <c r="D757" s="19" t="s">
        <v>3354</v>
      </c>
      <c r="E757" s="20" t="s">
        <v>84</v>
      </c>
      <c r="F757" s="20" t="s">
        <v>85</v>
      </c>
      <c r="G757" s="20" t="s">
        <v>25</v>
      </c>
      <c r="H757" s="20" t="s">
        <v>49</v>
      </c>
      <c r="I757" s="20" t="s">
        <v>3355</v>
      </c>
      <c r="J757" s="23">
        <v>1</v>
      </c>
      <c r="K757" s="20" t="s">
        <v>3356</v>
      </c>
      <c r="L757" s="20" t="s">
        <v>18</v>
      </c>
      <c r="M757" s="21" t="s">
        <v>1898</v>
      </c>
    </row>
    <row r="758" spans="1:13">
      <c r="A758" s="19">
        <v>2512359</v>
      </c>
      <c r="B758" s="20" t="s">
        <v>3357</v>
      </c>
      <c r="C758" s="19" t="s">
        <v>3358</v>
      </c>
      <c r="D758" s="19" t="s">
        <v>3359</v>
      </c>
      <c r="E758" s="20" t="s">
        <v>127</v>
      </c>
      <c r="F758" s="20" t="s">
        <v>112</v>
      </c>
      <c r="G758" s="20" t="s">
        <v>25</v>
      </c>
      <c r="H758" s="20" t="s">
        <v>49</v>
      </c>
      <c r="I758" s="20" t="s">
        <v>3360</v>
      </c>
      <c r="J758" s="20">
        <v>2</v>
      </c>
      <c r="K758" s="20" t="s">
        <v>2088</v>
      </c>
      <c r="L758" s="20" t="s">
        <v>18</v>
      </c>
      <c r="M758" s="21"/>
    </row>
    <row r="759" spans="1:13">
      <c r="A759" s="22">
        <v>2533131</v>
      </c>
      <c r="B759" s="23" t="s">
        <v>3361</v>
      </c>
      <c r="C759" s="22" t="s">
        <v>3362</v>
      </c>
      <c r="D759" s="22" t="s">
        <v>3363</v>
      </c>
      <c r="E759" s="23" t="s">
        <v>84</v>
      </c>
      <c r="F759" s="23" t="s">
        <v>85</v>
      </c>
      <c r="G759" s="23" t="s">
        <v>25</v>
      </c>
      <c r="H759" s="23" t="s">
        <v>49</v>
      </c>
      <c r="I759" s="23" t="s">
        <v>3364</v>
      </c>
      <c r="J759" s="20">
        <v>2</v>
      </c>
      <c r="K759" s="23" t="s">
        <v>3365</v>
      </c>
      <c r="L759" s="23" t="s">
        <v>18</v>
      </c>
      <c r="M759" s="24"/>
    </row>
    <row r="760" spans="1:13">
      <c r="A760" s="22">
        <v>2529742</v>
      </c>
      <c r="B760" s="23" t="s">
        <v>3366</v>
      </c>
      <c r="C760" s="22" t="s">
        <v>3367</v>
      </c>
      <c r="D760" s="22" t="s">
        <v>3368</v>
      </c>
      <c r="E760" s="23" t="s">
        <v>84</v>
      </c>
      <c r="F760" s="23" t="s">
        <v>85</v>
      </c>
      <c r="G760" s="23" t="s">
        <v>27</v>
      </c>
      <c r="H760" s="23" t="s">
        <v>49</v>
      </c>
      <c r="I760" s="23" t="s">
        <v>3369</v>
      </c>
      <c r="J760" s="23">
        <v>3</v>
      </c>
      <c r="K760" s="23" t="s">
        <v>221</v>
      </c>
      <c r="L760" s="23" t="s">
        <v>18</v>
      </c>
      <c r="M760" s="24"/>
    </row>
    <row r="761" spans="1:13">
      <c r="A761" s="22">
        <v>2533206</v>
      </c>
      <c r="B761" s="23" t="s">
        <v>3370</v>
      </c>
      <c r="C761" s="22" t="s">
        <v>3371</v>
      </c>
      <c r="D761" s="22" t="s">
        <v>3372</v>
      </c>
      <c r="E761" s="23" t="s">
        <v>415</v>
      </c>
      <c r="F761" s="23" t="s">
        <v>85</v>
      </c>
      <c r="G761" s="23" t="s">
        <v>28</v>
      </c>
      <c r="H761" s="23" t="s">
        <v>49</v>
      </c>
      <c r="I761" s="23" t="s">
        <v>3373</v>
      </c>
      <c r="J761" s="34" t="s">
        <v>34</v>
      </c>
      <c r="K761" s="23" t="s">
        <v>3374</v>
      </c>
      <c r="L761" s="23" t="s">
        <v>18</v>
      </c>
      <c r="M761" s="24"/>
    </row>
    <row r="762" spans="1:13">
      <c r="A762" s="19">
        <v>2525043</v>
      </c>
      <c r="B762" s="20" t="s">
        <v>3375</v>
      </c>
      <c r="C762" s="19" t="s">
        <v>3349</v>
      </c>
      <c r="D762" s="19" t="s">
        <v>3350</v>
      </c>
      <c r="E762" s="20" t="s">
        <v>84</v>
      </c>
      <c r="F762" s="20" t="s">
        <v>112</v>
      </c>
      <c r="G762" s="20" t="s">
        <v>25</v>
      </c>
      <c r="H762" s="20" t="s">
        <v>631</v>
      </c>
      <c r="I762" s="20" t="s">
        <v>3376</v>
      </c>
      <c r="J762" s="34" t="s">
        <v>34</v>
      </c>
      <c r="K762" s="20" t="s">
        <v>1674</v>
      </c>
      <c r="L762" s="20" t="s">
        <v>18</v>
      </c>
      <c r="M762" s="21" t="s">
        <v>631</v>
      </c>
    </row>
    <row r="763" spans="1:13">
      <c r="A763" s="19">
        <v>2529608</v>
      </c>
      <c r="B763" s="20" t="s">
        <v>3377</v>
      </c>
      <c r="C763" s="19" t="s">
        <v>3378</v>
      </c>
      <c r="D763" s="19" t="s">
        <v>3379</v>
      </c>
      <c r="E763" s="20" t="s">
        <v>84</v>
      </c>
      <c r="F763" s="20" t="s">
        <v>112</v>
      </c>
      <c r="G763" s="20" t="s">
        <v>28</v>
      </c>
      <c r="H763" s="20" t="s">
        <v>49</v>
      </c>
      <c r="I763" s="20" t="s">
        <v>3380</v>
      </c>
      <c r="J763" s="36" t="s">
        <v>34</v>
      </c>
      <c r="K763" s="20" t="s">
        <v>221</v>
      </c>
      <c r="L763" s="20" t="s">
        <v>18</v>
      </c>
      <c r="M763" s="21"/>
    </row>
    <row r="764" spans="1:13">
      <c r="A764" s="19">
        <v>896164</v>
      </c>
      <c r="B764" s="20" t="s">
        <v>3381</v>
      </c>
      <c r="C764" s="19" t="s">
        <v>3382</v>
      </c>
      <c r="D764" s="19" t="s">
        <v>3383</v>
      </c>
      <c r="E764" s="20" t="s">
        <v>219</v>
      </c>
      <c r="F764" s="20" t="s">
        <v>112</v>
      </c>
      <c r="G764" s="20" t="s">
        <v>27</v>
      </c>
      <c r="H764" s="20" t="s">
        <v>49</v>
      </c>
      <c r="I764" s="20" t="s">
        <v>3384</v>
      </c>
      <c r="J764" s="19" t="s">
        <v>94</v>
      </c>
      <c r="K764" s="20" t="s">
        <v>15</v>
      </c>
      <c r="L764" s="20" t="s">
        <v>18</v>
      </c>
      <c r="M764" s="21"/>
    </row>
    <row r="765" spans="1:13">
      <c r="A765" s="22">
        <v>2529742</v>
      </c>
      <c r="B765" s="23" t="s">
        <v>3366</v>
      </c>
      <c r="C765" s="22" t="s">
        <v>3367</v>
      </c>
      <c r="D765" s="22" t="s">
        <v>3367</v>
      </c>
      <c r="E765" s="23" t="s">
        <v>84</v>
      </c>
      <c r="F765" s="23" t="s">
        <v>85</v>
      </c>
      <c r="G765" s="23" t="s">
        <v>27</v>
      </c>
      <c r="H765" s="23" t="s">
        <v>1892</v>
      </c>
      <c r="I765" s="23" t="s">
        <v>3385</v>
      </c>
      <c r="J765" s="23">
        <v>3</v>
      </c>
      <c r="K765" s="23" t="s">
        <v>221</v>
      </c>
      <c r="L765" s="23" t="s">
        <v>18</v>
      </c>
      <c r="M765" s="24"/>
    </row>
    <row r="766" spans="1:13">
      <c r="A766" s="19">
        <v>2531990</v>
      </c>
      <c r="B766" s="20" t="s">
        <v>3386</v>
      </c>
      <c r="C766" s="19" t="s">
        <v>3387</v>
      </c>
      <c r="D766" s="19" t="s">
        <v>3388</v>
      </c>
      <c r="E766" s="20" t="s">
        <v>127</v>
      </c>
      <c r="F766" s="20" t="s">
        <v>85</v>
      </c>
      <c r="G766" s="20" t="s">
        <v>26</v>
      </c>
      <c r="H766" s="20" t="s">
        <v>3389</v>
      </c>
      <c r="I766" s="20" t="s">
        <v>3390</v>
      </c>
      <c r="J766" s="20">
        <v>4</v>
      </c>
      <c r="K766" s="20" t="s">
        <v>206</v>
      </c>
      <c r="L766" s="20" t="s">
        <v>16</v>
      </c>
      <c r="M766" s="21"/>
    </row>
    <row r="767" spans="1:13">
      <c r="A767" s="22">
        <v>2531386</v>
      </c>
      <c r="B767" s="23" t="s">
        <v>3391</v>
      </c>
      <c r="C767" s="22" t="s">
        <v>3392</v>
      </c>
      <c r="D767" s="22" t="s">
        <v>3393</v>
      </c>
      <c r="E767" s="23" t="s">
        <v>84</v>
      </c>
      <c r="F767" s="23" t="s">
        <v>85</v>
      </c>
      <c r="G767" s="23" t="s">
        <v>26</v>
      </c>
      <c r="H767" s="23" t="s">
        <v>3394</v>
      </c>
      <c r="I767" s="23" t="s">
        <v>3395</v>
      </c>
      <c r="J767" s="23">
        <v>3</v>
      </c>
      <c r="K767" s="23" t="s">
        <v>206</v>
      </c>
      <c r="L767" s="23" t="s">
        <v>18</v>
      </c>
      <c r="M767" s="24" t="s">
        <v>864</v>
      </c>
    </row>
    <row r="768" spans="1:13">
      <c r="A768" s="19">
        <v>2478572</v>
      </c>
      <c r="B768" s="20" t="s">
        <v>3396</v>
      </c>
      <c r="C768" s="19" t="s">
        <v>3397</v>
      </c>
      <c r="D768" s="19" t="s">
        <v>3398</v>
      </c>
      <c r="E768" s="20" t="s">
        <v>84</v>
      </c>
      <c r="F768" s="20" t="s">
        <v>85</v>
      </c>
      <c r="G768" s="20" t="s">
        <v>26</v>
      </c>
      <c r="H768" s="20" t="s">
        <v>3399</v>
      </c>
      <c r="I768" s="20" t="s">
        <v>3400</v>
      </c>
      <c r="J768" s="23">
        <v>1</v>
      </c>
      <c r="K768" s="20" t="s">
        <v>3401</v>
      </c>
      <c r="L768" s="20" t="s">
        <v>16</v>
      </c>
      <c r="M768" s="21" t="s">
        <v>49</v>
      </c>
    </row>
    <row r="769" spans="1:13">
      <c r="A769" s="22">
        <v>2523396</v>
      </c>
      <c r="B769" s="23" t="s">
        <v>3402</v>
      </c>
      <c r="C769" s="22" t="s">
        <v>3403</v>
      </c>
      <c r="D769" s="22" t="s">
        <v>3404</v>
      </c>
      <c r="E769" s="23" t="s">
        <v>84</v>
      </c>
      <c r="F769" s="23" t="s">
        <v>112</v>
      </c>
      <c r="G769" s="23" t="s">
        <v>26</v>
      </c>
      <c r="H769" s="23" t="s">
        <v>3405</v>
      </c>
      <c r="I769" s="23" t="s">
        <v>3406</v>
      </c>
      <c r="J769" s="23">
        <v>3</v>
      </c>
      <c r="K769" s="23" t="s">
        <v>206</v>
      </c>
      <c r="L769" s="23" t="s">
        <v>18</v>
      </c>
      <c r="M769" s="24"/>
    </row>
    <row r="770" spans="1:13">
      <c r="A770" s="22">
        <v>2531421</v>
      </c>
      <c r="B770" s="23" t="s">
        <v>3407</v>
      </c>
      <c r="C770" s="22" t="s">
        <v>3408</v>
      </c>
      <c r="D770" s="22" t="s">
        <v>3409</v>
      </c>
      <c r="E770" s="23" t="s">
        <v>84</v>
      </c>
      <c r="F770" s="23" t="s">
        <v>112</v>
      </c>
      <c r="G770" s="23" t="s">
        <v>26</v>
      </c>
      <c r="H770" s="23" t="s">
        <v>3410</v>
      </c>
      <c r="I770" s="23" t="s">
        <v>3411</v>
      </c>
      <c r="J770" s="20">
        <v>4</v>
      </c>
      <c r="K770" s="23" t="s">
        <v>206</v>
      </c>
      <c r="L770" s="23" t="s">
        <v>18</v>
      </c>
      <c r="M770" s="24"/>
    </row>
    <row r="771" spans="1:13">
      <c r="A771" s="19">
        <v>2531357</v>
      </c>
      <c r="B771" s="20" t="s">
        <v>3412</v>
      </c>
      <c r="C771" s="19" t="s">
        <v>3413</v>
      </c>
      <c r="D771" s="19" t="s">
        <v>3414</v>
      </c>
      <c r="E771" s="20" t="s">
        <v>84</v>
      </c>
      <c r="F771" s="20" t="s">
        <v>112</v>
      </c>
      <c r="G771" s="20" t="s">
        <v>26</v>
      </c>
      <c r="H771" s="20" t="s">
        <v>3415</v>
      </c>
      <c r="I771" s="20" t="s">
        <v>3416</v>
      </c>
      <c r="J771" s="20">
        <v>4</v>
      </c>
      <c r="K771" s="20" t="s">
        <v>206</v>
      </c>
      <c r="L771" s="20" t="s">
        <v>18</v>
      </c>
      <c r="M771" s="21"/>
    </row>
    <row r="772" spans="1:13">
      <c r="A772" s="22">
        <v>2521104</v>
      </c>
      <c r="B772" s="23" t="s">
        <v>3417</v>
      </c>
      <c r="C772" s="22" t="s">
        <v>3418</v>
      </c>
      <c r="D772" s="22" t="s">
        <v>3419</v>
      </c>
      <c r="E772" s="23" t="s">
        <v>84</v>
      </c>
      <c r="F772" s="23" t="s">
        <v>112</v>
      </c>
      <c r="G772" s="23" t="s">
        <v>26</v>
      </c>
      <c r="H772" s="23" t="s">
        <v>3420</v>
      </c>
      <c r="I772" s="23" t="s">
        <v>3421</v>
      </c>
      <c r="J772" s="23">
        <v>1</v>
      </c>
      <c r="K772" s="23" t="s">
        <v>206</v>
      </c>
      <c r="L772" s="23" t="s">
        <v>18</v>
      </c>
      <c r="M772" s="24"/>
    </row>
    <row r="773" spans="1:13">
      <c r="A773" s="19">
        <v>2521104</v>
      </c>
      <c r="B773" s="20" t="s">
        <v>3417</v>
      </c>
      <c r="C773" s="19" t="s">
        <v>3418</v>
      </c>
      <c r="D773" s="19" t="s">
        <v>3419</v>
      </c>
      <c r="E773" s="20" t="s">
        <v>84</v>
      </c>
      <c r="F773" s="20" t="s">
        <v>112</v>
      </c>
      <c r="G773" s="20" t="s">
        <v>26</v>
      </c>
      <c r="H773" s="20" t="s">
        <v>3420</v>
      </c>
      <c r="I773" s="20" t="s">
        <v>3422</v>
      </c>
      <c r="J773" s="23">
        <v>1</v>
      </c>
      <c r="K773" s="20" t="s">
        <v>206</v>
      </c>
      <c r="L773" s="20" t="s">
        <v>18</v>
      </c>
      <c r="M773" s="21"/>
    </row>
    <row r="774" spans="1:13">
      <c r="A774" s="19">
        <v>2523453</v>
      </c>
      <c r="B774" s="20" t="s">
        <v>3423</v>
      </c>
      <c r="C774" s="19" t="s">
        <v>3424</v>
      </c>
      <c r="D774" s="19" t="s">
        <v>3425</v>
      </c>
      <c r="E774" s="20" t="s">
        <v>127</v>
      </c>
      <c r="F774" s="20" t="s">
        <v>85</v>
      </c>
      <c r="G774" s="20" t="s">
        <v>26</v>
      </c>
      <c r="H774" s="20" t="s">
        <v>3426</v>
      </c>
      <c r="I774" s="20" t="s">
        <v>3427</v>
      </c>
      <c r="J774" s="23">
        <v>1</v>
      </c>
      <c r="K774" s="20" t="s">
        <v>206</v>
      </c>
      <c r="L774" s="20" t="s">
        <v>16</v>
      </c>
      <c r="M774" s="21"/>
    </row>
    <row r="775" spans="1:13">
      <c r="A775" s="19">
        <v>2521132</v>
      </c>
      <c r="B775" s="20" t="s">
        <v>3428</v>
      </c>
      <c r="C775" s="19" t="s">
        <v>3429</v>
      </c>
      <c r="D775" s="19" t="s">
        <v>3430</v>
      </c>
      <c r="E775" s="20" t="s">
        <v>84</v>
      </c>
      <c r="F775" s="20" t="s">
        <v>112</v>
      </c>
      <c r="G775" s="20" t="s">
        <v>26</v>
      </c>
      <c r="H775" s="20" t="s">
        <v>3431</v>
      </c>
      <c r="I775" s="20" t="s">
        <v>3432</v>
      </c>
      <c r="J775" s="23">
        <v>3</v>
      </c>
      <c r="K775" s="20" t="s">
        <v>206</v>
      </c>
      <c r="L775" s="20" t="s">
        <v>18</v>
      </c>
      <c r="M775" s="21"/>
    </row>
    <row r="776" spans="1:13">
      <c r="A776" s="19">
        <v>2521132</v>
      </c>
      <c r="B776" s="20" t="s">
        <v>3428</v>
      </c>
      <c r="C776" s="19" t="s">
        <v>3429</v>
      </c>
      <c r="D776" s="19" t="s">
        <v>3430</v>
      </c>
      <c r="E776" s="20" t="s">
        <v>84</v>
      </c>
      <c r="F776" s="20" t="s">
        <v>112</v>
      </c>
      <c r="G776" s="20" t="s">
        <v>26</v>
      </c>
      <c r="H776" s="20" t="s">
        <v>3431</v>
      </c>
      <c r="I776" s="20" t="s">
        <v>3433</v>
      </c>
      <c r="J776" s="23">
        <v>3</v>
      </c>
      <c r="K776" s="20" t="s">
        <v>206</v>
      </c>
      <c r="L776" s="20" t="s">
        <v>18</v>
      </c>
      <c r="M776" s="21"/>
    </row>
    <row r="777" spans="1:13">
      <c r="A777" s="19">
        <v>2533029</v>
      </c>
      <c r="B777" s="20" t="s">
        <v>3434</v>
      </c>
      <c r="C777" s="19" t="s">
        <v>3435</v>
      </c>
      <c r="D777" s="19" t="s">
        <v>3436</v>
      </c>
      <c r="E777" s="20" t="s">
        <v>384</v>
      </c>
      <c r="F777" s="20" t="s">
        <v>85</v>
      </c>
      <c r="G777" s="20" t="s">
        <v>26</v>
      </c>
      <c r="H777" s="20" t="s">
        <v>3437</v>
      </c>
      <c r="I777" s="20" t="s">
        <v>3437</v>
      </c>
      <c r="J777" s="20">
        <v>4</v>
      </c>
      <c r="K777" s="20" t="s">
        <v>206</v>
      </c>
      <c r="L777" s="20" t="s">
        <v>16</v>
      </c>
      <c r="M777" s="21"/>
    </row>
    <row r="778" spans="1:13">
      <c r="A778" s="22">
        <v>2531401</v>
      </c>
      <c r="B778" s="23" t="s">
        <v>3438</v>
      </c>
      <c r="C778" s="22" t="s">
        <v>3439</v>
      </c>
      <c r="D778" s="22" t="s">
        <v>3440</v>
      </c>
      <c r="E778" s="23" t="s">
        <v>84</v>
      </c>
      <c r="F778" s="23" t="s">
        <v>85</v>
      </c>
      <c r="G778" s="23" t="s">
        <v>26</v>
      </c>
      <c r="H778" s="23" t="s">
        <v>3441</v>
      </c>
      <c r="I778" s="23" t="s">
        <v>3442</v>
      </c>
      <c r="J778" s="20">
        <v>2</v>
      </c>
      <c r="K778" s="23" t="s">
        <v>206</v>
      </c>
      <c r="L778" s="23" t="s">
        <v>16</v>
      </c>
      <c r="M778" s="24"/>
    </row>
    <row r="779" spans="1:13">
      <c r="A779" s="19">
        <v>2531403</v>
      </c>
      <c r="B779" s="20" t="s">
        <v>3443</v>
      </c>
      <c r="C779" s="19" t="s">
        <v>3444</v>
      </c>
      <c r="D779" s="19" t="s">
        <v>3445</v>
      </c>
      <c r="E779" s="20" t="s">
        <v>84</v>
      </c>
      <c r="F779" s="20" t="s">
        <v>85</v>
      </c>
      <c r="G779" s="20" t="s">
        <v>26</v>
      </c>
      <c r="H779" s="20" t="s">
        <v>3441</v>
      </c>
      <c r="I779" s="20" t="s">
        <v>3395</v>
      </c>
      <c r="J779" s="23">
        <v>3</v>
      </c>
      <c r="K779" s="20" t="s">
        <v>206</v>
      </c>
      <c r="L779" s="20" t="s">
        <v>18</v>
      </c>
      <c r="M779" s="21"/>
    </row>
    <row r="780" spans="1:13">
      <c r="A780" s="22">
        <v>2531384</v>
      </c>
      <c r="B780" s="23" t="s">
        <v>3446</v>
      </c>
      <c r="C780" s="22" t="s">
        <v>3447</v>
      </c>
      <c r="D780" s="22" t="s">
        <v>3448</v>
      </c>
      <c r="E780" s="23" t="s">
        <v>84</v>
      </c>
      <c r="F780" s="23" t="s">
        <v>112</v>
      </c>
      <c r="G780" s="23" t="s">
        <v>25</v>
      </c>
      <c r="H780" s="23" t="s">
        <v>3449</v>
      </c>
      <c r="I780" s="23" t="s">
        <v>3450</v>
      </c>
      <c r="J780" s="23">
        <v>3</v>
      </c>
      <c r="K780" s="23" t="s">
        <v>206</v>
      </c>
      <c r="L780" s="23" t="s">
        <v>18</v>
      </c>
      <c r="M780" s="24"/>
    </row>
    <row r="781" spans="1:13">
      <c r="A781" s="19">
        <v>2533078</v>
      </c>
      <c r="B781" s="20" t="s">
        <v>3451</v>
      </c>
      <c r="C781" s="19" t="s">
        <v>3452</v>
      </c>
      <c r="D781" s="19" t="s">
        <v>3453</v>
      </c>
      <c r="E781" s="20" t="s">
        <v>127</v>
      </c>
      <c r="F781" s="20" t="s">
        <v>85</v>
      </c>
      <c r="G781" s="20" t="s">
        <v>27</v>
      </c>
      <c r="H781" s="20" t="s">
        <v>3454</v>
      </c>
      <c r="I781" s="20" t="s">
        <v>3455</v>
      </c>
      <c r="J781" s="20">
        <v>17</v>
      </c>
      <c r="K781" s="20" t="s">
        <v>19</v>
      </c>
      <c r="L781" s="20" t="s">
        <v>18</v>
      </c>
      <c r="M781" s="21"/>
    </row>
    <row r="782" spans="1:13">
      <c r="A782" s="22">
        <v>2443977</v>
      </c>
      <c r="B782" s="23" t="s">
        <v>3456</v>
      </c>
      <c r="C782" s="22" t="s">
        <v>3457</v>
      </c>
      <c r="D782" s="22" t="s">
        <v>3458</v>
      </c>
      <c r="E782" s="23" t="s">
        <v>219</v>
      </c>
      <c r="F782" s="23" t="s">
        <v>92</v>
      </c>
      <c r="G782" s="23" t="s">
        <v>27</v>
      </c>
      <c r="H782" s="23" t="s">
        <v>3459</v>
      </c>
      <c r="I782" s="23" t="s">
        <v>3460</v>
      </c>
      <c r="J782" s="22" t="s">
        <v>94</v>
      </c>
      <c r="K782" s="23" t="s">
        <v>2699</v>
      </c>
      <c r="L782" s="23" t="s">
        <v>18</v>
      </c>
      <c r="M782" s="24" t="s">
        <v>3461</v>
      </c>
    </row>
    <row r="783" spans="1:13">
      <c r="A783" s="19">
        <v>2512321</v>
      </c>
      <c r="B783" s="20" t="s">
        <v>3462</v>
      </c>
      <c r="C783" s="19" t="s">
        <v>3463</v>
      </c>
      <c r="D783" s="19" t="s">
        <v>3464</v>
      </c>
      <c r="E783" s="20" t="s">
        <v>84</v>
      </c>
      <c r="F783" s="20" t="s">
        <v>85</v>
      </c>
      <c r="G783" s="20" t="s">
        <v>26</v>
      </c>
      <c r="H783" s="20" t="s">
        <v>3465</v>
      </c>
      <c r="I783" s="20" t="s">
        <v>3466</v>
      </c>
      <c r="J783" s="20">
        <v>4</v>
      </c>
      <c r="K783" s="20" t="s">
        <v>19</v>
      </c>
      <c r="L783" s="20" t="s">
        <v>16</v>
      </c>
      <c r="M783" s="21"/>
    </row>
    <row r="784" spans="1:13">
      <c r="A784" s="22">
        <v>2525084</v>
      </c>
      <c r="B784" s="23" t="s">
        <v>3467</v>
      </c>
      <c r="C784" s="22" t="s">
        <v>3468</v>
      </c>
      <c r="D784" s="22" t="s">
        <v>3469</v>
      </c>
      <c r="E784" s="23" t="s">
        <v>84</v>
      </c>
      <c r="F784" s="23" t="s">
        <v>85</v>
      </c>
      <c r="G784" s="23" t="s">
        <v>26</v>
      </c>
      <c r="H784" s="23" t="s">
        <v>3470</v>
      </c>
      <c r="I784" s="23" t="s">
        <v>3471</v>
      </c>
      <c r="J784" s="20">
        <v>2</v>
      </c>
      <c r="K784" s="23" t="s">
        <v>19</v>
      </c>
      <c r="L784" s="23" t="s">
        <v>16</v>
      </c>
      <c r="M784" s="24"/>
    </row>
    <row r="785" spans="1:13">
      <c r="A785" s="22">
        <v>2521254</v>
      </c>
      <c r="B785" s="23" t="s">
        <v>3472</v>
      </c>
      <c r="C785" s="22" t="s">
        <v>3473</v>
      </c>
      <c r="D785" s="22" t="s">
        <v>3474</v>
      </c>
      <c r="E785" s="23" t="s">
        <v>84</v>
      </c>
      <c r="F785" s="23" t="s">
        <v>112</v>
      </c>
      <c r="G785" s="23" t="s">
        <v>26</v>
      </c>
      <c r="H785" s="23" t="s">
        <v>3475</v>
      </c>
      <c r="I785" s="23" t="s">
        <v>3476</v>
      </c>
      <c r="J785" s="23">
        <v>3</v>
      </c>
      <c r="K785" s="23" t="s">
        <v>107</v>
      </c>
      <c r="L785" s="23" t="s">
        <v>16</v>
      </c>
      <c r="M785" s="24" t="s">
        <v>3477</v>
      </c>
    </row>
    <row r="786" spans="1:13">
      <c r="A786" s="19">
        <v>2521250</v>
      </c>
      <c r="B786" s="20" t="s">
        <v>3478</v>
      </c>
      <c r="C786" s="19" t="s">
        <v>3479</v>
      </c>
      <c r="D786" s="19" t="s">
        <v>3480</v>
      </c>
      <c r="E786" s="20" t="s">
        <v>84</v>
      </c>
      <c r="F786" s="20" t="s">
        <v>112</v>
      </c>
      <c r="G786" s="20" t="s">
        <v>26</v>
      </c>
      <c r="H786" s="20" t="s">
        <v>3475</v>
      </c>
      <c r="I786" s="20" t="s">
        <v>3481</v>
      </c>
      <c r="J786" s="23">
        <v>3</v>
      </c>
      <c r="K786" s="20" t="s">
        <v>107</v>
      </c>
      <c r="L786" s="20" t="s">
        <v>16</v>
      </c>
      <c r="M786" s="21" t="s">
        <v>1812</v>
      </c>
    </row>
    <row r="787" spans="1:13">
      <c r="A787" s="22">
        <v>2531958</v>
      </c>
      <c r="B787" s="23" t="s">
        <v>3482</v>
      </c>
      <c r="C787" s="22" t="s">
        <v>3483</v>
      </c>
      <c r="D787" s="22" t="s">
        <v>3484</v>
      </c>
      <c r="E787" s="23" t="s">
        <v>84</v>
      </c>
      <c r="F787" s="23" t="s">
        <v>85</v>
      </c>
      <c r="G787" s="23" t="s">
        <v>26</v>
      </c>
      <c r="H787" s="23" t="s">
        <v>3485</v>
      </c>
      <c r="I787" s="23" t="s">
        <v>3486</v>
      </c>
      <c r="J787" s="20">
        <v>2</v>
      </c>
      <c r="K787" s="23" t="s">
        <v>19</v>
      </c>
      <c r="L787" s="23" t="s">
        <v>18</v>
      </c>
      <c r="M787" s="24"/>
    </row>
    <row r="788" spans="1:13">
      <c r="A788" s="22">
        <v>2529633</v>
      </c>
      <c r="B788" s="23" t="s">
        <v>3487</v>
      </c>
      <c r="C788" s="22" t="s">
        <v>3488</v>
      </c>
      <c r="D788" s="22" t="s">
        <v>3489</v>
      </c>
      <c r="E788" s="23" t="s">
        <v>84</v>
      </c>
      <c r="F788" s="23" t="s">
        <v>85</v>
      </c>
      <c r="G788" s="23" t="s">
        <v>26</v>
      </c>
      <c r="H788" s="23" t="s">
        <v>3490</v>
      </c>
      <c r="I788" s="23" t="s">
        <v>3491</v>
      </c>
      <c r="J788" s="23">
        <v>1</v>
      </c>
      <c r="K788" s="23" t="s">
        <v>3492</v>
      </c>
      <c r="L788" s="23" t="s">
        <v>18</v>
      </c>
      <c r="M788" s="24" t="s">
        <v>864</v>
      </c>
    </row>
    <row r="789" spans="1:13">
      <c r="A789" s="22">
        <v>2516878</v>
      </c>
      <c r="B789" s="23" t="s">
        <v>3493</v>
      </c>
      <c r="C789" s="22" t="s">
        <v>3494</v>
      </c>
      <c r="D789" s="22" t="s">
        <v>3495</v>
      </c>
      <c r="E789" s="23" t="s">
        <v>127</v>
      </c>
      <c r="F789" s="23" t="s">
        <v>112</v>
      </c>
      <c r="G789" s="23" t="s">
        <v>26</v>
      </c>
      <c r="H789" s="23" t="s">
        <v>3496</v>
      </c>
      <c r="I789" s="23" t="s">
        <v>3497</v>
      </c>
      <c r="J789" s="20">
        <v>2</v>
      </c>
      <c r="K789" s="23" t="s">
        <v>19</v>
      </c>
      <c r="L789" s="23" t="s">
        <v>16</v>
      </c>
      <c r="M789" s="24"/>
    </row>
    <row r="790" spans="1:13">
      <c r="A790" s="22">
        <v>2512308</v>
      </c>
      <c r="B790" s="23" t="s">
        <v>3498</v>
      </c>
      <c r="C790" s="22" t="s">
        <v>3499</v>
      </c>
      <c r="D790" s="22" t="s">
        <v>3500</v>
      </c>
      <c r="E790" s="23" t="s">
        <v>84</v>
      </c>
      <c r="F790" s="23" t="s">
        <v>85</v>
      </c>
      <c r="G790" s="23" t="s">
        <v>26</v>
      </c>
      <c r="H790" s="23" t="s">
        <v>3501</v>
      </c>
      <c r="I790" s="23" t="s">
        <v>3502</v>
      </c>
      <c r="J790" s="20">
        <v>4</v>
      </c>
      <c r="K790" s="23" t="s">
        <v>19</v>
      </c>
      <c r="L790" s="23" t="s">
        <v>18</v>
      </c>
      <c r="M790" s="24"/>
    </row>
    <row r="791" spans="1:13">
      <c r="A791" s="19">
        <v>2532974</v>
      </c>
      <c r="B791" s="20" t="s">
        <v>3503</v>
      </c>
      <c r="C791" s="19" t="s">
        <v>3504</v>
      </c>
      <c r="D791" s="19" t="s">
        <v>3505</v>
      </c>
      <c r="E791" s="20" t="s">
        <v>84</v>
      </c>
      <c r="F791" s="20" t="s">
        <v>85</v>
      </c>
      <c r="G791" s="20" t="s">
        <v>26</v>
      </c>
      <c r="H791" s="20" t="s">
        <v>3506</v>
      </c>
      <c r="I791" s="20" t="s">
        <v>3507</v>
      </c>
      <c r="J791" s="20">
        <v>1</v>
      </c>
      <c r="K791" s="20" t="s">
        <v>3508</v>
      </c>
      <c r="L791" s="20" t="s">
        <v>16</v>
      </c>
      <c r="M791" s="21"/>
    </row>
    <row r="792" spans="1:13">
      <c r="A792" s="19">
        <v>2531862</v>
      </c>
      <c r="B792" s="20" t="s">
        <v>3509</v>
      </c>
      <c r="C792" s="19" t="s">
        <v>3510</v>
      </c>
      <c r="D792" s="19" t="s">
        <v>3511</v>
      </c>
      <c r="E792" s="20" t="s">
        <v>84</v>
      </c>
      <c r="F792" s="20" t="s">
        <v>112</v>
      </c>
      <c r="G792" s="20" t="s">
        <v>24</v>
      </c>
      <c r="H792" s="20" t="s">
        <v>3512</v>
      </c>
      <c r="I792" s="20" t="s">
        <v>3513</v>
      </c>
      <c r="J792" s="20">
        <v>5</v>
      </c>
      <c r="K792" s="20" t="s">
        <v>19</v>
      </c>
      <c r="L792" s="20" t="s">
        <v>18</v>
      </c>
      <c r="M792" s="21" t="s">
        <v>1812</v>
      </c>
    </row>
    <row r="793" spans="1:13">
      <c r="A793" s="19">
        <v>2525060</v>
      </c>
      <c r="B793" s="20" t="s">
        <v>3514</v>
      </c>
      <c r="C793" s="19" t="s">
        <v>3515</v>
      </c>
      <c r="D793" s="19" t="s">
        <v>3516</v>
      </c>
      <c r="E793" s="20" t="s">
        <v>84</v>
      </c>
      <c r="F793" s="20" t="s">
        <v>92</v>
      </c>
      <c r="G793" s="20" t="s">
        <v>26</v>
      </c>
      <c r="H793" s="20" t="s">
        <v>3517</v>
      </c>
      <c r="I793" s="20" t="s">
        <v>3518</v>
      </c>
      <c r="J793" s="20">
        <v>5</v>
      </c>
      <c r="K793" s="20" t="s">
        <v>19</v>
      </c>
      <c r="L793" s="20" t="s">
        <v>16</v>
      </c>
      <c r="M793" s="21" t="s">
        <v>49</v>
      </c>
    </row>
    <row r="794" spans="1:13">
      <c r="A794" s="22">
        <v>2522866</v>
      </c>
      <c r="B794" s="23" t="s">
        <v>3519</v>
      </c>
      <c r="C794" s="22" t="s">
        <v>3520</v>
      </c>
      <c r="D794" s="22" t="s">
        <v>3521</v>
      </c>
      <c r="E794" s="23" t="s">
        <v>84</v>
      </c>
      <c r="F794" s="23" t="s">
        <v>92</v>
      </c>
      <c r="G794" s="23" t="s">
        <v>26</v>
      </c>
      <c r="H794" s="23" t="s">
        <v>3522</v>
      </c>
      <c r="I794" s="23" t="s">
        <v>3523</v>
      </c>
      <c r="J794" s="23">
        <v>1</v>
      </c>
      <c r="K794" s="23" t="s">
        <v>19</v>
      </c>
      <c r="L794" s="23" t="s">
        <v>18</v>
      </c>
      <c r="M794" s="24"/>
    </row>
    <row r="795" spans="1:13">
      <c r="A795" s="22">
        <v>2507505</v>
      </c>
      <c r="B795" s="23" t="s">
        <v>3524</v>
      </c>
      <c r="C795" s="22" t="s">
        <v>3525</v>
      </c>
      <c r="D795" s="22" t="s">
        <v>3526</v>
      </c>
      <c r="E795" s="23" t="s">
        <v>84</v>
      </c>
      <c r="F795" s="23" t="s">
        <v>112</v>
      </c>
      <c r="G795" s="23" t="s">
        <v>26</v>
      </c>
      <c r="H795" s="23" t="s">
        <v>3527</v>
      </c>
      <c r="I795" s="23" t="s">
        <v>3528</v>
      </c>
      <c r="J795" s="23">
        <v>1</v>
      </c>
      <c r="K795" s="23" t="s">
        <v>107</v>
      </c>
      <c r="L795" s="23" t="s">
        <v>16</v>
      </c>
      <c r="M795" s="24"/>
    </row>
    <row r="796" spans="1:13">
      <c r="A796" s="22">
        <v>2512293</v>
      </c>
      <c r="B796" s="23" t="s">
        <v>3529</v>
      </c>
      <c r="C796" s="22" t="s">
        <v>3530</v>
      </c>
      <c r="D796" s="22" t="s">
        <v>3531</v>
      </c>
      <c r="E796" s="23" t="s">
        <v>127</v>
      </c>
      <c r="F796" s="23" t="s">
        <v>92</v>
      </c>
      <c r="G796" s="23" t="s">
        <v>24</v>
      </c>
      <c r="H796" s="23" t="s">
        <v>3532</v>
      </c>
      <c r="I796" s="23" t="s">
        <v>3533</v>
      </c>
      <c r="J796" s="20">
        <v>2</v>
      </c>
      <c r="K796" s="23" t="s">
        <v>19</v>
      </c>
      <c r="L796" s="23" t="s">
        <v>16</v>
      </c>
      <c r="M796" s="24" t="s">
        <v>1898</v>
      </c>
    </row>
    <row r="797" spans="1:13">
      <c r="A797" s="22">
        <v>2512322</v>
      </c>
      <c r="B797" s="23" t="s">
        <v>3534</v>
      </c>
      <c r="C797" s="22" t="s">
        <v>3535</v>
      </c>
      <c r="D797" s="22" t="s">
        <v>3536</v>
      </c>
      <c r="E797" s="23" t="s">
        <v>127</v>
      </c>
      <c r="F797" s="23" t="s">
        <v>85</v>
      </c>
      <c r="G797" s="23" t="s">
        <v>26</v>
      </c>
      <c r="H797" s="23" t="s">
        <v>3537</v>
      </c>
      <c r="I797" s="23" t="s">
        <v>3538</v>
      </c>
      <c r="J797" s="20">
        <v>4</v>
      </c>
      <c r="K797" s="23" t="s">
        <v>19</v>
      </c>
      <c r="L797" s="23" t="s">
        <v>18</v>
      </c>
      <c r="M797" s="24" t="s">
        <v>2032</v>
      </c>
    </row>
    <row r="798" spans="1:13">
      <c r="A798" s="19">
        <v>2533207</v>
      </c>
      <c r="B798" s="20" t="s">
        <v>3539</v>
      </c>
      <c r="C798" s="19" t="s">
        <v>3540</v>
      </c>
      <c r="D798" s="19" t="s">
        <v>3541</v>
      </c>
      <c r="E798" s="20" t="s">
        <v>127</v>
      </c>
      <c r="F798" s="20" t="s">
        <v>112</v>
      </c>
      <c r="G798" s="20" t="s">
        <v>26</v>
      </c>
      <c r="H798" s="20" t="s">
        <v>3542</v>
      </c>
      <c r="I798" s="20" t="s">
        <v>3542</v>
      </c>
      <c r="J798" s="34" t="s">
        <v>34</v>
      </c>
      <c r="K798" s="20" t="s">
        <v>107</v>
      </c>
      <c r="L798" s="20" t="s">
        <v>16</v>
      </c>
      <c r="M798" s="21" t="s">
        <v>864</v>
      </c>
    </row>
    <row r="799" spans="1:13">
      <c r="A799" s="22">
        <v>2512322</v>
      </c>
      <c r="B799" s="23" t="s">
        <v>3534</v>
      </c>
      <c r="C799" s="22" t="s">
        <v>3535</v>
      </c>
      <c r="D799" s="22" t="s">
        <v>3536</v>
      </c>
      <c r="E799" s="23" t="s">
        <v>127</v>
      </c>
      <c r="F799" s="23" t="s">
        <v>85</v>
      </c>
      <c r="G799" s="23" t="s">
        <v>26</v>
      </c>
      <c r="H799" s="23" t="s">
        <v>3543</v>
      </c>
      <c r="I799" s="23" t="s">
        <v>3544</v>
      </c>
      <c r="J799" s="20">
        <v>4</v>
      </c>
      <c r="K799" s="23" t="s">
        <v>19</v>
      </c>
      <c r="L799" s="23" t="s">
        <v>18</v>
      </c>
      <c r="M799" s="24"/>
    </row>
    <row r="800" spans="1:13">
      <c r="A800" s="19">
        <v>2516878</v>
      </c>
      <c r="B800" s="20" t="s">
        <v>3493</v>
      </c>
      <c r="C800" s="19" t="s">
        <v>3494</v>
      </c>
      <c r="D800" s="19" t="s">
        <v>3495</v>
      </c>
      <c r="E800" s="20" t="s">
        <v>127</v>
      </c>
      <c r="F800" s="20" t="s">
        <v>112</v>
      </c>
      <c r="G800" s="20" t="s">
        <v>26</v>
      </c>
      <c r="H800" s="20" t="s">
        <v>3545</v>
      </c>
      <c r="I800" s="20" t="s">
        <v>3546</v>
      </c>
      <c r="J800" s="20">
        <v>2</v>
      </c>
      <c r="K800" s="20" t="s">
        <v>19</v>
      </c>
      <c r="L800" s="20" t="s">
        <v>16</v>
      </c>
      <c r="M800" s="21"/>
    </row>
    <row r="801" spans="1:13">
      <c r="A801" s="19">
        <v>2531984</v>
      </c>
      <c r="B801" s="20" t="s">
        <v>3547</v>
      </c>
      <c r="C801" s="19" t="s">
        <v>3548</v>
      </c>
      <c r="D801" s="19" t="s">
        <v>3549</v>
      </c>
      <c r="E801" s="20" t="s">
        <v>84</v>
      </c>
      <c r="F801" s="20" t="s">
        <v>112</v>
      </c>
      <c r="G801" s="20" t="s">
        <v>26</v>
      </c>
      <c r="H801" s="20" t="s">
        <v>3550</v>
      </c>
      <c r="I801" s="20" t="s">
        <v>3551</v>
      </c>
      <c r="J801" s="20">
        <v>5</v>
      </c>
      <c r="K801" s="20" t="s">
        <v>19</v>
      </c>
      <c r="L801" s="20" t="s">
        <v>18</v>
      </c>
      <c r="M801" s="21" t="s">
        <v>1812</v>
      </c>
    </row>
    <row r="802" spans="1:13">
      <c r="A802" s="22">
        <v>2531971</v>
      </c>
      <c r="B802" s="23" t="s">
        <v>3552</v>
      </c>
      <c r="C802" s="22" t="s">
        <v>3553</v>
      </c>
      <c r="D802" s="22" t="s">
        <v>3554</v>
      </c>
      <c r="E802" s="23" t="s">
        <v>84</v>
      </c>
      <c r="F802" s="23" t="s">
        <v>85</v>
      </c>
      <c r="G802" s="23" t="s">
        <v>24</v>
      </c>
      <c r="H802" s="23" t="s">
        <v>3555</v>
      </c>
      <c r="I802" s="23" t="s">
        <v>3555</v>
      </c>
      <c r="J802" s="34" t="s">
        <v>34</v>
      </c>
      <c r="K802" s="23" t="s">
        <v>206</v>
      </c>
      <c r="L802" s="23" t="s">
        <v>16</v>
      </c>
      <c r="M802" s="24"/>
    </row>
    <row r="803" spans="1:13">
      <c r="A803" s="19">
        <v>2521305</v>
      </c>
      <c r="B803" s="20" t="s">
        <v>3556</v>
      </c>
      <c r="C803" s="19" t="s">
        <v>3557</v>
      </c>
      <c r="D803" s="19" t="s">
        <v>3558</v>
      </c>
      <c r="E803" s="20" t="s">
        <v>84</v>
      </c>
      <c r="F803" s="20" t="s">
        <v>112</v>
      </c>
      <c r="G803" s="20" t="s">
        <v>26</v>
      </c>
      <c r="H803" s="20" t="s">
        <v>3559</v>
      </c>
      <c r="I803" s="20" t="s">
        <v>3476</v>
      </c>
      <c r="J803" s="23">
        <v>3</v>
      </c>
      <c r="K803" s="20" t="s">
        <v>107</v>
      </c>
      <c r="L803" s="20" t="s">
        <v>16</v>
      </c>
      <c r="M803" s="21" t="s">
        <v>222</v>
      </c>
    </row>
    <row r="804" spans="1:13">
      <c r="A804" s="22">
        <v>2521245</v>
      </c>
      <c r="B804" s="23" t="s">
        <v>3560</v>
      </c>
      <c r="C804" s="22" t="s">
        <v>3561</v>
      </c>
      <c r="D804" s="22" t="s">
        <v>3562</v>
      </c>
      <c r="E804" s="23" t="s">
        <v>84</v>
      </c>
      <c r="F804" s="23" t="s">
        <v>112</v>
      </c>
      <c r="G804" s="23" t="s">
        <v>26</v>
      </c>
      <c r="H804" s="23" t="s">
        <v>3563</v>
      </c>
      <c r="I804" s="23" t="s">
        <v>3564</v>
      </c>
      <c r="J804" s="23">
        <v>3</v>
      </c>
      <c r="K804" s="23" t="s">
        <v>107</v>
      </c>
      <c r="L804" s="23" t="s">
        <v>16</v>
      </c>
      <c r="M804" s="24" t="s">
        <v>1812</v>
      </c>
    </row>
    <row r="805" spans="1:13">
      <c r="A805" s="22">
        <v>2521767</v>
      </c>
      <c r="B805" s="23" t="s">
        <v>3565</v>
      </c>
      <c r="C805" s="22" t="s">
        <v>3566</v>
      </c>
      <c r="D805" s="22" t="s">
        <v>3567</v>
      </c>
      <c r="E805" s="23" t="s">
        <v>84</v>
      </c>
      <c r="F805" s="23" t="s">
        <v>85</v>
      </c>
      <c r="G805" s="23" t="s">
        <v>26</v>
      </c>
      <c r="H805" s="23" t="s">
        <v>3568</v>
      </c>
      <c r="I805" s="23" t="s">
        <v>3569</v>
      </c>
      <c r="J805" s="23">
        <v>1</v>
      </c>
      <c r="K805" s="23" t="s">
        <v>19</v>
      </c>
      <c r="L805" s="23" t="s">
        <v>18</v>
      </c>
      <c r="M805" s="24"/>
    </row>
    <row r="806" spans="1:13">
      <c r="A806" s="22">
        <v>2521723</v>
      </c>
      <c r="B806" s="23" t="s">
        <v>3570</v>
      </c>
      <c r="C806" s="22" t="s">
        <v>3571</v>
      </c>
      <c r="D806" s="22" t="s">
        <v>3572</v>
      </c>
      <c r="E806" s="23" t="s">
        <v>84</v>
      </c>
      <c r="F806" s="23" t="s">
        <v>85</v>
      </c>
      <c r="G806" s="23" t="s">
        <v>26</v>
      </c>
      <c r="H806" s="23" t="s">
        <v>3573</v>
      </c>
      <c r="I806" s="23" t="s">
        <v>3574</v>
      </c>
      <c r="J806" s="23">
        <v>1</v>
      </c>
      <c r="K806" s="23" t="s">
        <v>19</v>
      </c>
      <c r="L806" s="23" t="s">
        <v>18</v>
      </c>
      <c r="M806" s="24" t="s">
        <v>885</v>
      </c>
    </row>
    <row r="807" spans="1:13">
      <c r="A807" s="19">
        <v>2521727</v>
      </c>
      <c r="B807" s="20" t="s">
        <v>3575</v>
      </c>
      <c r="C807" s="19" t="s">
        <v>3576</v>
      </c>
      <c r="D807" s="19" t="s">
        <v>3577</v>
      </c>
      <c r="E807" s="20" t="s">
        <v>84</v>
      </c>
      <c r="F807" s="20" t="s">
        <v>85</v>
      </c>
      <c r="G807" s="20" t="s">
        <v>26</v>
      </c>
      <c r="H807" s="20" t="s">
        <v>3578</v>
      </c>
      <c r="I807" s="20" t="s">
        <v>3579</v>
      </c>
      <c r="J807" s="33">
        <v>1</v>
      </c>
      <c r="K807" s="20" t="s">
        <v>19</v>
      </c>
      <c r="L807" s="20" t="s">
        <v>16</v>
      </c>
      <c r="M807" s="21"/>
    </row>
    <row r="808" spans="1:13">
      <c r="A808" s="19">
        <v>2532968</v>
      </c>
      <c r="B808" s="20" t="s">
        <v>3580</v>
      </c>
      <c r="C808" s="19" t="s">
        <v>3581</v>
      </c>
      <c r="D808" s="19" t="s">
        <v>3582</v>
      </c>
      <c r="E808" s="20" t="s">
        <v>84</v>
      </c>
      <c r="F808" s="20" t="s">
        <v>85</v>
      </c>
      <c r="G808" s="20" t="s">
        <v>26</v>
      </c>
      <c r="H808" s="20" t="s">
        <v>3583</v>
      </c>
      <c r="I808" s="20" t="s">
        <v>3584</v>
      </c>
      <c r="J808" s="23">
        <v>1</v>
      </c>
      <c r="K808" s="20" t="s">
        <v>19</v>
      </c>
      <c r="L808" s="20" t="s">
        <v>18</v>
      </c>
      <c r="M808" s="21" t="s">
        <v>222</v>
      </c>
    </row>
    <row r="809" spans="1:13">
      <c r="A809" s="19">
        <v>2531860</v>
      </c>
      <c r="B809" s="20" t="s">
        <v>3585</v>
      </c>
      <c r="C809" s="19" t="s">
        <v>3586</v>
      </c>
      <c r="D809" s="19" t="s">
        <v>3587</v>
      </c>
      <c r="E809" s="20" t="s">
        <v>84</v>
      </c>
      <c r="F809" s="20" t="s">
        <v>112</v>
      </c>
      <c r="G809" s="20" t="s">
        <v>26</v>
      </c>
      <c r="H809" s="20" t="s">
        <v>3588</v>
      </c>
      <c r="I809" s="20" t="s">
        <v>3589</v>
      </c>
      <c r="J809" s="20">
        <v>5</v>
      </c>
      <c r="K809" s="20" t="s">
        <v>19</v>
      </c>
      <c r="L809" s="20" t="s">
        <v>16</v>
      </c>
      <c r="M809" s="21"/>
    </row>
    <row r="810" spans="1:13">
      <c r="A810" s="19">
        <v>2521630</v>
      </c>
      <c r="B810" s="20" t="s">
        <v>3590</v>
      </c>
      <c r="C810" s="19" t="s">
        <v>3591</v>
      </c>
      <c r="D810" s="19" t="s">
        <v>3592</v>
      </c>
      <c r="E810" s="20" t="s">
        <v>84</v>
      </c>
      <c r="F810" s="20" t="s">
        <v>172</v>
      </c>
      <c r="G810" s="20" t="s">
        <v>26</v>
      </c>
      <c r="H810" s="20" t="s">
        <v>3593</v>
      </c>
      <c r="I810" s="20" t="s">
        <v>3594</v>
      </c>
      <c r="J810" s="23">
        <v>3</v>
      </c>
      <c r="K810" s="20" t="s">
        <v>107</v>
      </c>
      <c r="L810" s="20" t="s">
        <v>16</v>
      </c>
      <c r="M810" s="21" t="s">
        <v>222</v>
      </c>
    </row>
    <row r="811" spans="1:13">
      <c r="A811" s="19">
        <v>2512324</v>
      </c>
      <c r="B811" s="20" t="s">
        <v>3595</v>
      </c>
      <c r="C811" s="19" t="s">
        <v>3596</v>
      </c>
      <c r="D811" s="19" t="s">
        <v>3597</v>
      </c>
      <c r="E811" s="20" t="s">
        <v>84</v>
      </c>
      <c r="F811" s="20" t="s">
        <v>85</v>
      </c>
      <c r="G811" s="20" t="s">
        <v>24</v>
      </c>
      <c r="H811" s="20" t="s">
        <v>3598</v>
      </c>
      <c r="I811" s="20" t="s">
        <v>3599</v>
      </c>
      <c r="J811" s="23">
        <v>3</v>
      </c>
      <c r="K811" s="20" t="s">
        <v>206</v>
      </c>
      <c r="L811" s="20" t="s">
        <v>16</v>
      </c>
      <c r="M811" s="21"/>
    </row>
    <row r="812" spans="1:13">
      <c r="A812" s="22">
        <v>2531995</v>
      </c>
      <c r="B812" s="23" t="s">
        <v>3600</v>
      </c>
      <c r="C812" s="22" t="s">
        <v>3601</v>
      </c>
      <c r="D812" s="22" t="s">
        <v>3602</v>
      </c>
      <c r="E812" s="23" t="s">
        <v>84</v>
      </c>
      <c r="F812" s="23" t="s">
        <v>112</v>
      </c>
      <c r="G812" s="23" t="s">
        <v>26</v>
      </c>
      <c r="H812" s="23" t="s">
        <v>3603</v>
      </c>
      <c r="I812" s="23" t="s">
        <v>3604</v>
      </c>
      <c r="J812" s="20">
        <v>5</v>
      </c>
      <c r="K812" s="23" t="s">
        <v>19</v>
      </c>
      <c r="L812" s="23" t="s">
        <v>16</v>
      </c>
      <c r="M812" s="24"/>
    </row>
    <row r="813" spans="1:13">
      <c r="A813" s="22">
        <v>2520959</v>
      </c>
      <c r="B813" s="23" t="s">
        <v>3605</v>
      </c>
      <c r="C813" s="22" t="s">
        <v>3606</v>
      </c>
      <c r="D813" s="22" t="s">
        <v>3607</v>
      </c>
      <c r="E813" s="23" t="s">
        <v>84</v>
      </c>
      <c r="F813" s="23" t="s">
        <v>85</v>
      </c>
      <c r="G813" s="23" t="s">
        <v>26</v>
      </c>
      <c r="H813" s="23" t="s">
        <v>3608</v>
      </c>
      <c r="I813" s="23" t="s">
        <v>3609</v>
      </c>
      <c r="J813" s="20">
        <v>2</v>
      </c>
      <c r="K813" s="23" t="s">
        <v>19</v>
      </c>
      <c r="L813" s="23" t="s">
        <v>16</v>
      </c>
      <c r="M813" s="24"/>
    </row>
    <row r="814" spans="1:13">
      <c r="A814" s="19">
        <v>2524508</v>
      </c>
      <c r="B814" s="20" t="s">
        <v>3610</v>
      </c>
      <c r="C814" s="19" t="s">
        <v>3611</v>
      </c>
      <c r="D814" s="19" t="s">
        <v>3612</v>
      </c>
      <c r="E814" s="20" t="s">
        <v>84</v>
      </c>
      <c r="F814" s="20" t="s">
        <v>85</v>
      </c>
      <c r="G814" s="20" t="s">
        <v>26</v>
      </c>
      <c r="H814" s="20" t="s">
        <v>3613</v>
      </c>
      <c r="I814" s="20" t="s">
        <v>3613</v>
      </c>
      <c r="J814" s="33">
        <v>1</v>
      </c>
      <c r="K814" s="20" t="s">
        <v>19</v>
      </c>
      <c r="L814" s="20" t="s">
        <v>16</v>
      </c>
      <c r="M814" s="21" t="s">
        <v>3614</v>
      </c>
    </row>
    <row r="815" spans="1:13">
      <c r="A815" s="22">
        <v>2479361</v>
      </c>
      <c r="B815" s="23" t="s">
        <v>3615</v>
      </c>
      <c r="C815" s="22" t="s">
        <v>3616</v>
      </c>
      <c r="D815" s="22" t="s">
        <v>3617</v>
      </c>
      <c r="E815" s="23" t="s">
        <v>84</v>
      </c>
      <c r="F815" s="23" t="s">
        <v>112</v>
      </c>
      <c r="G815" s="23" t="s">
        <v>26</v>
      </c>
      <c r="H815" s="23" t="s">
        <v>3618</v>
      </c>
      <c r="I815" s="23" t="s">
        <v>3619</v>
      </c>
      <c r="J815" s="23">
        <v>1</v>
      </c>
      <c r="K815" s="23" t="s">
        <v>19</v>
      </c>
      <c r="L815" s="23" t="s">
        <v>18</v>
      </c>
      <c r="M815" s="24"/>
    </row>
    <row r="816" spans="1:13">
      <c r="A816" s="22">
        <v>2521721</v>
      </c>
      <c r="B816" s="23" t="s">
        <v>3620</v>
      </c>
      <c r="C816" s="22" t="s">
        <v>3621</v>
      </c>
      <c r="D816" s="22" t="s">
        <v>3622</v>
      </c>
      <c r="E816" s="23" t="s">
        <v>84</v>
      </c>
      <c r="F816" s="23" t="s">
        <v>85</v>
      </c>
      <c r="G816" s="23" t="s">
        <v>26</v>
      </c>
      <c r="H816" s="23" t="s">
        <v>3623</v>
      </c>
      <c r="I816" s="23" t="s">
        <v>3624</v>
      </c>
      <c r="J816" s="34" t="s">
        <v>34</v>
      </c>
      <c r="K816" s="23" t="s">
        <v>19</v>
      </c>
      <c r="L816" s="23" t="s">
        <v>16</v>
      </c>
      <c r="M816" s="24"/>
    </row>
    <row r="817" spans="1:13">
      <c r="A817" s="19">
        <v>2512342</v>
      </c>
      <c r="B817" s="20" t="s">
        <v>3625</v>
      </c>
      <c r="C817" s="19" t="s">
        <v>3626</v>
      </c>
      <c r="D817" s="19" t="s">
        <v>3627</v>
      </c>
      <c r="E817" s="20" t="s">
        <v>84</v>
      </c>
      <c r="F817" s="20" t="s">
        <v>85</v>
      </c>
      <c r="G817" s="20" t="s">
        <v>26</v>
      </c>
      <c r="H817" s="20" t="s">
        <v>3628</v>
      </c>
      <c r="I817" s="20" t="s">
        <v>3628</v>
      </c>
      <c r="J817" s="34" t="s">
        <v>34</v>
      </c>
      <c r="K817" s="20" t="s">
        <v>206</v>
      </c>
      <c r="L817" s="20" t="s">
        <v>18</v>
      </c>
      <c r="M817" s="21" t="s">
        <v>1812</v>
      </c>
    </row>
    <row r="818" spans="1:13">
      <c r="A818" s="19">
        <v>2512342</v>
      </c>
      <c r="B818" s="20" t="s">
        <v>3625</v>
      </c>
      <c r="C818" s="19" t="s">
        <v>3626</v>
      </c>
      <c r="D818" s="19" t="s">
        <v>3627</v>
      </c>
      <c r="E818" s="20" t="s">
        <v>84</v>
      </c>
      <c r="F818" s="20" t="s">
        <v>85</v>
      </c>
      <c r="G818" s="20" t="s">
        <v>26</v>
      </c>
      <c r="H818" s="20" t="s">
        <v>3628</v>
      </c>
      <c r="I818" s="20" t="s">
        <v>3628</v>
      </c>
      <c r="J818" s="34" t="s">
        <v>34</v>
      </c>
      <c r="K818" s="20" t="s">
        <v>206</v>
      </c>
      <c r="L818" s="20" t="s">
        <v>18</v>
      </c>
      <c r="M818" s="21" t="s">
        <v>1812</v>
      </c>
    </row>
    <row r="819" spans="1:13">
      <c r="A819" s="19">
        <v>2512342</v>
      </c>
      <c r="B819" s="20" t="s">
        <v>3625</v>
      </c>
      <c r="C819" s="19" t="s">
        <v>3626</v>
      </c>
      <c r="D819" s="19" t="s">
        <v>3627</v>
      </c>
      <c r="E819" s="20" t="s">
        <v>84</v>
      </c>
      <c r="F819" s="20" t="s">
        <v>85</v>
      </c>
      <c r="G819" s="20" t="s">
        <v>26</v>
      </c>
      <c r="H819" s="20" t="s">
        <v>3628</v>
      </c>
      <c r="I819" s="20" t="s">
        <v>3628</v>
      </c>
      <c r="J819" s="34" t="s">
        <v>34</v>
      </c>
      <c r="K819" s="20" t="s">
        <v>206</v>
      </c>
      <c r="L819" s="20" t="s">
        <v>18</v>
      </c>
      <c r="M819" s="21" t="s">
        <v>1812</v>
      </c>
    </row>
    <row r="820" spans="1:13">
      <c r="A820" s="19">
        <v>2533167</v>
      </c>
      <c r="B820" s="20" t="s">
        <v>3629</v>
      </c>
      <c r="C820" s="19" t="s">
        <v>3630</v>
      </c>
      <c r="D820" s="19" t="s">
        <v>3631</v>
      </c>
      <c r="E820" s="20" t="s">
        <v>84</v>
      </c>
      <c r="F820" s="20" t="s">
        <v>85</v>
      </c>
      <c r="G820" s="20" t="s">
        <v>24</v>
      </c>
      <c r="H820" s="20" t="s">
        <v>3632</v>
      </c>
      <c r="I820" s="20" t="s">
        <v>3633</v>
      </c>
      <c r="J820" s="23">
        <v>1</v>
      </c>
      <c r="K820" s="20" t="s">
        <v>19</v>
      </c>
      <c r="L820" s="20" t="s">
        <v>16</v>
      </c>
      <c r="M820" s="21"/>
    </row>
    <row r="821" spans="1:13">
      <c r="A821" s="19">
        <v>2533200</v>
      </c>
      <c r="B821" s="20" t="s">
        <v>3634</v>
      </c>
      <c r="C821" s="19" t="s">
        <v>3635</v>
      </c>
      <c r="D821" s="19" t="s">
        <v>3636</v>
      </c>
      <c r="E821" s="20" t="s">
        <v>84</v>
      </c>
      <c r="F821" s="20" t="s">
        <v>112</v>
      </c>
      <c r="G821" s="20" t="s">
        <v>26</v>
      </c>
      <c r="H821" s="20" t="s">
        <v>3637</v>
      </c>
      <c r="I821" s="20" t="s">
        <v>3638</v>
      </c>
      <c r="J821" s="34" t="s">
        <v>34</v>
      </c>
      <c r="K821" s="20" t="s">
        <v>107</v>
      </c>
      <c r="L821" s="20" t="s">
        <v>16</v>
      </c>
      <c r="M821" s="21"/>
    </row>
    <row r="822" spans="1:13">
      <c r="A822" s="19">
        <v>2533200</v>
      </c>
      <c r="B822" s="20" t="s">
        <v>3634</v>
      </c>
      <c r="C822" s="19" t="s">
        <v>3635</v>
      </c>
      <c r="D822" s="19" t="s">
        <v>3636</v>
      </c>
      <c r="E822" s="20" t="s">
        <v>84</v>
      </c>
      <c r="F822" s="20" t="s">
        <v>112</v>
      </c>
      <c r="G822" s="20" t="s">
        <v>26</v>
      </c>
      <c r="H822" s="20" t="s">
        <v>3637</v>
      </c>
      <c r="I822" s="20" t="s">
        <v>3639</v>
      </c>
      <c r="J822" s="34" t="s">
        <v>34</v>
      </c>
      <c r="K822" s="20" t="s">
        <v>107</v>
      </c>
      <c r="L822" s="20" t="s">
        <v>16</v>
      </c>
      <c r="M822" s="21"/>
    </row>
    <row r="823" spans="1:13">
      <c r="A823" s="22">
        <v>2519684</v>
      </c>
      <c r="B823" s="23" t="s">
        <v>3640</v>
      </c>
      <c r="C823" s="22" t="s">
        <v>3641</v>
      </c>
      <c r="D823" s="22" t="s">
        <v>3642</v>
      </c>
      <c r="E823" s="23" t="s">
        <v>84</v>
      </c>
      <c r="F823" s="23" t="s">
        <v>92</v>
      </c>
      <c r="G823" s="23" t="s">
        <v>26</v>
      </c>
      <c r="H823" s="23" t="s">
        <v>3643</v>
      </c>
      <c r="I823" s="23" t="s">
        <v>3644</v>
      </c>
      <c r="J823" s="34" t="s">
        <v>34</v>
      </c>
      <c r="K823" s="23" t="s">
        <v>19</v>
      </c>
      <c r="L823" s="23" t="s">
        <v>18</v>
      </c>
      <c r="M823" s="24"/>
    </row>
    <row r="824" spans="1:13">
      <c r="A824" s="22">
        <v>2527077</v>
      </c>
      <c r="B824" s="23" t="s">
        <v>3645</v>
      </c>
      <c r="C824" s="22" t="s">
        <v>3646</v>
      </c>
      <c r="D824" s="22" t="s">
        <v>3647</v>
      </c>
      <c r="E824" s="23" t="s">
        <v>127</v>
      </c>
      <c r="F824" s="23" t="s">
        <v>112</v>
      </c>
      <c r="G824" s="23" t="s">
        <v>26</v>
      </c>
      <c r="H824" s="23" t="s">
        <v>3648</v>
      </c>
      <c r="I824" s="23" t="s">
        <v>3649</v>
      </c>
      <c r="J824" s="34" t="s">
        <v>34</v>
      </c>
      <c r="K824" s="23" t="s">
        <v>19</v>
      </c>
      <c r="L824" s="23" t="s">
        <v>18</v>
      </c>
      <c r="M824" s="24"/>
    </row>
    <row r="825" spans="1:13">
      <c r="A825" s="22">
        <v>2531377</v>
      </c>
      <c r="B825" s="23" t="s">
        <v>3650</v>
      </c>
      <c r="C825" s="22" t="s">
        <v>3651</v>
      </c>
      <c r="D825" s="22" t="s">
        <v>3652</v>
      </c>
      <c r="E825" s="23" t="s">
        <v>84</v>
      </c>
      <c r="F825" s="23" t="s">
        <v>85</v>
      </c>
      <c r="G825" s="23" t="s">
        <v>25</v>
      </c>
      <c r="H825" s="23" t="s">
        <v>222</v>
      </c>
      <c r="I825" s="23" t="s">
        <v>3653</v>
      </c>
      <c r="J825" s="23">
        <v>1</v>
      </c>
      <c r="K825" s="23" t="s">
        <v>3654</v>
      </c>
      <c r="L825" s="23" t="s">
        <v>18</v>
      </c>
      <c r="M825" s="24"/>
    </row>
    <row r="826" spans="1:13">
      <c r="A826" s="22">
        <v>2526594</v>
      </c>
      <c r="B826" s="23" t="s">
        <v>3655</v>
      </c>
      <c r="C826" s="22" t="s">
        <v>3656</v>
      </c>
      <c r="D826" s="22" t="s">
        <v>3657</v>
      </c>
      <c r="E826" s="23" t="s">
        <v>84</v>
      </c>
      <c r="F826" s="23" t="s">
        <v>85</v>
      </c>
      <c r="G826" s="23" t="s">
        <v>25</v>
      </c>
      <c r="H826" s="23" t="s">
        <v>222</v>
      </c>
      <c r="I826" s="23" t="s">
        <v>3658</v>
      </c>
      <c r="J826" s="23">
        <v>2</v>
      </c>
      <c r="K826" s="23" t="s">
        <v>1674</v>
      </c>
      <c r="L826" s="23" t="s">
        <v>18</v>
      </c>
      <c r="M826" s="24" t="s">
        <v>222</v>
      </c>
    </row>
    <row r="827" spans="1:13">
      <c r="A827" s="19">
        <v>2531847</v>
      </c>
      <c r="B827" s="20" t="s">
        <v>3659</v>
      </c>
      <c r="C827" s="19" t="s">
        <v>3660</v>
      </c>
      <c r="D827" s="19" t="s">
        <v>3661</v>
      </c>
      <c r="E827" s="20" t="s">
        <v>84</v>
      </c>
      <c r="F827" s="20" t="s">
        <v>85</v>
      </c>
      <c r="G827" s="20" t="s">
        <v>27</v>
      </c>
      <c r="H827" s="20" t="s">
        <v>1898</v>
      </c>
      <c r="I827" s="20" t="s">
        <v>3662</v>
      </c>
      <c r="J827" s="33">
        <v>1</v>
      </c>
      <c r="K827" s="20" t="s">
        <v>3663</v>
      </c>
      <c r="L827" s="20" t="s">
        <v>18</v>
      </c>
      <c r="M827" s="21"/>
    </row>
    <row r="828" spans="1:13">
      <c r="A828" s="19">
        <v>2532923</v>
      </c>
      <c r="B828" s="20" t="s">
        <v>3664</v>
      </c>
      <c r="C828" s="19" t="s">
        <v>3665</v>
      </c>
      <c r="D828" s="19" t="s">
        <v>3666</v>
      </c>
      <c r="E828" s="20" t="s">
        <v>84</v>
      </c>
      <c r="F828" s="20" t="s">
        <v>112</v>
      </c>
      <c r="G828" s="20" t="s">
        <v>25</v>
      </c>
      <c r="H828" s="20" t="s">
        <v>1898</v>
      </c>
      <c r="I828" s="20" t="s">
        <v>3667</v>
      </c>
      <c r="J828" s="34" t="s">
        <v>34</v>
      </c>
      <c r="K828" s="20" t="s">
        <v>1674</v>
      </c>
      <c r="L828" s="20" t="s">
        <v>18</v>
      </c>
      <c r="M828" s="21"/>
    </row>
    <row r="829" spans="1:13">
      <c r="A829" s="22">
        <v>2532923</v>
      </c>
      <c r="B829" s="23" t="s">
        <v>3664</v>
      </c>
      <c r="C829" s="22" t="s">
        <v>3665</v>
      </c>
      <c r="D829" s="22" t="s">
        <v>3666</v>
      </c>
      <c r="E829" s="23" t="s">
        <v>84</v>
      </c>
      <c r="F829" s="23" t="s">
        <v>112</v>
      </c>
      <c r="G829" s="23" t="s">
        <v>25</v>
      </c>
      <c r="H829" s="23" t="s">
        <v>1898</v>
      </c>
      <c r="I829" s="23" t="s">
        <v>3668</v>
      </c>
      <c r="J829" s="34" t="s">
        <v>34</v>
      </c>
      <c r="K829" s="23" t="s">
        <v>1674</v>
      </c>
      <c r="L829" s="23" t="s">
        <v>18</v>
      </c>
      <c r="M829" s="24"/>
    </row>
    <row r="830" spans="1:13">
      <c r="A830" s="22">
        <v>2529629</v>
      </c>
      <c r="B830" s="23" t="s">
        <v>3669</v>
      </c>
      <c r="C830" s="22" t="s">
        <v>3670</v>
      </c>
      <c r="D830" s="22" t="s">
        <v>3671</v>
      </c>
      <c r="E830" s="23" t="s">
        <v>84</v>
      </c>
      <c r="F830" s="23" t="s">
        <v>112</v>
      </c>
      <c r="G830" s="23" t="s">
        <v>25</v>
      </c>
      <c r="H830" s="23" t="s">
        <v>3672</v>
      </c>
      <c r="I830" s="23" t="s">
        <v>3673</v>
      </c>
      <c r="J830" s="20">
        <v>2</v>
      </c>
      <c r="K830" s="23" t="s">
        <v>2777</v>
      </c>
      <c r="L830" s="23" t="s">
        <v>18</v>
      </c>
      <c r="M830" s="24" t="s">
        <v>3674</v>
      </c>
    </row>
    <row r="831" spans="1:13">
      <c r="A831" s="22">
        <v>2530203</v>
      </c>
      <c r="B831" s="23" t="s">
        <v>3675</v>
      </c>
      <c r="C831" s="22" t="s">
        <v>3676</v>
      </c>
      <c r="D831" s="22" t="s">
        <v>3677</v>
      </c>
      <c r="E831" s="23" t="s">
        <v>84</v>
      </c>
      <c r="F831" s="23" t="s">
        <v>172</v>
      </c>
      <c r="G831" s="23" t="s">
        <v>26</v>
      </c>
      <c r="H831" s="23" t="s">
        <v>3678</v>
      </c>
      <c r="I831" s="23" t="s">
        <v>3679</v>
      </c>
      <c r="J831" s="23">
        <v>3</v>
      </c>
      <c r="K831" s="23" t="s">
        <v>19</v>
      </c>
      <c r="L831" s="23" t="s">
        <v>18</v>
      </c>
      <c r="M831" s="24"/>
    </row>
    <row r="832" spans="1:13">
      <c r="A832" s="19">
        <v>2531961</v>
      </c>
      <c r="B832" s="20" t="s">
        <v>3680</v>
      </c>
      <c r="C832" s="19" t="s">
        <v>3681</v>
      </c>
      <c r="D832" s="19" t="s">
        <v>3682</v>
      </c>
      <c r="E832" s="20" t="s">
        <v>84</v>
      </c>
      <c r="F832" s="20" t="s">
        <v>172</v>
      </c>
      <c r="G832" s="20" t="s">
        <v>26</v>
      </c>
      <c r="H832" s="20" t="s">
        <v>3683</v>
      </c>
      <c r="I832" s="20" t="s">
        <v>3684</v>
      </c>
      <c r="J832" s="20">
        <v>4</v>
      </c>
      <c r="K832" s="20" t="s">
        <v>19</v>
      </c>
      <c r="L832" s="20" t="s">
        <v>16</v>
      </c>
      <c r="M832" s="21"/>
    </row>
    <row r="833" spans="1:13">
      <c r="A833" s="22">
        <v>2529656</v>
      </c>
      <c r="B833" s="23" t="s">
        <v>3685</v>
      </c>
      <c r="C833" s="22" t="s">
        <v>3686</v>
      </c>
      <c r="D833" s="22" t="s">
        <v>3687</v>
      </c>
      <c r="E833" s="23" t="s">
        <v>84</v>
      </c>
      <c r="F833" s="23" t="s">
        <v>92</v>
      </c>
      <c r="G833" s="23" t="s">
        <v>26</v>
      </c>
      <c r="H833" s="23" t="s">
        <v>3688</v>
      </c>
      <c r="I833" s="23" t="s">
        <v>3689</v>
      </c>
      <c r="J833" s="20">
        <v>4</v>
      </c>
      <c r="K833" s="23" t="s">
        <v>107</v>
      </c>
      <c r="L833" s="23" t="s">
        <v>18</v>
      </c>
      <c r="M833" s="24"/>
    </row>
    <row r="834" spans="1:13">
      <c r="A834" s="22">
        <v>2531854</v>
      </c>
      <c r="B834" s="23" t="s">
        <v>3690</v>
      </c>
      <c r="C834" s="22" t="s">
        <v>3691</v>
      </c>
      <c r="D834" s="22" t="s">
        <v>3692</v>
      </c>
      <c r="E834" s="23" t="s">
        <v>127</v>
      </c>
      <c r="F834" s="23" t="s">
        <v>92</v>
      </c>
      <c r="G834" s="23" t="s">
        <v>26</v>
      </c>
      <c r="H834" s="23" t="s">
        <v>3678</v>
      </c>
      <c r="I834" s="23" t="s">
        <v>3693</v>
      </c>
      <c r="J834" s="20">
        <v>4</v>
      </c>
      <c r="K834" s="23" t="s">
        <v>19</v>
      </c>
      <c r="L834" s="23" t="s">
        <v>18</v>
      </c>
      <c r="M834" s="24"/>
    </row>
    <row r="835" spans="1:13">
      <c r="A835" s="19">
        <v>2531985</v>
      </c>
      <c r="B835" s="20" t="s">
        <v>3694</v>
      </c>
      <c r="C835" s="19" t="s">
        <v>3695</v>
      </c>
      <c r="D835" s="19" t="s">
        <v>3696</v>
      </c>
      <c r="E835" s="20" t="s">
        <v>415</v>
      </c>
      <c r="F835" s="20" t="s">
        <v>92</v>
      </c>
      <c r="G835" s="20" t="s">
        <v>26</v>
      </c>
      <c r="H835" s="20" t="s">
        <v>3688</v>
      </c>
      <c r="I835" s="20" t="s">
        <v>3697</v>
      </c>
      <c r="J835" s="20">
        <v>4</v>
      </c>
      <c r="K835" s="20" t="s">
        <v>19</v>
      </c>
      <c r="L835" s="20" t="s">
        <v>16</v>
      </c>
      <c r="M835" s="21" t="s">
        <v>108</v>
      </c>
    </row>
    <row r="836" spans="1:13">
      <c r="A836" s="22">
        <v>2531961</v>
      </c>
      <c r="B836" s="23" t="s">
        <v>3698</v>
      </c>
      <c r="C836" s="22" t="s">
        <v>3681</v>
      </c>
      <c r="D836" s="22" t="s">
        <v>3682</v>
      </c>
      <c r="E836" s="23" t="s">
        <v>84</v>
      </c>
      <c r="F836" s="23" t="s">
        <v>92</v>
      </c>
      <c r="G836" s="23" t="s">
        <v>26</v>
      </c>
      <c r="H836" s="23" t="s">
        <v>3683</v>
      </c>
      <c r="I836" s="23" t="s">
        <v>3699</v>
      </c>
      <c r="J836" s="20">
        <v>4</v>
      </c>
      <c r="K836" s="23" t="s">
        <v>19</v>
      </c>
      <c r="L836" s="23" t="s">
        <v>18</v>
      </c>
      <c r="M836" s="24"/>
    </row>
    <row r="837" spans="1:13">
      <c r="A837" s="19">
        <v>2521224</v>
      </c>
      <c r="B837" s="20" t="s">
        <v>3700</v>
      </c>
      <c r="C837" s="19" t="s">
        <v>3701</v>
      </c>
      <c r="D837" s="19" t="s">
        <v>3702</v>
      </c>
      <c r="E837" s="20" t="s">
        <v>84</v>
      </c>
      <c r="F837" s="20" t="s">
        <v>92</v>
      </c>
      <c r="G837" s="20" t="s">
        <v>26</v>
      </c>
      <c r="H837" s="20" t="s">
        <v>3678</v>
      </c>
      <c r="I837" s="20" t="s">
        <v>3703</v>
      </c>
      <c r="J837" s="20">
        <v>5</v>
      </c>
      <c r="K837" s="20" t="s">
        <v>19</v>
      </c>
      <c r="L837" s="20" t="s">
        <v>16</v>
      </c>
      <c r="M837" s="21"/>
    </row>
    <row r="838" spans="1:13">
      <c r="A838" s="19">
        <v>2530204</v>
      </c>
      <c r="B838" s="20" t="s">
        <v>3704</v>
      </c>
      <c r="C838" s="19" t="s">
        <v>3705</v>
      </c>
      <c r="D838" s="19" t="s">
        <v>3706</v>
      </c>
      <c r="E838" s="20" t="s">
        <v>84</v>
      </c>
      <c r="F838" s="20" t="s">
        <v>172</v>
      </c>
      <c r="G838" s="20" t="s">
        <v>26</v>
      </c>
      <c r="H838" s="20" t="s">
        <v>3707</v>
      </c>
      <c r="I838" s="20" t="s">
        <v>3708</v>
      </c>
      <c r="J838" s="20">
        <v>4</v>
      </c>
      <c r="K838" s="20" t="s">
        <v>206</v>
      </c>
      <c r="L838" s="20" t="s">
        <v>18</v>
      </c>
      <c r="M838" s="21"/>
    </row>
    <row r="839" spans="1:13">
      <c r="A839" s="19">
        <v>2531979</v>
      </c>
      <c r="B839" s="20" t="s">
        <v>3709</v>
      </c>
      <c r="C839" s="19" t="s">
        <v>3710</v>
      </c>
      <c r="D839" s="19" t="s">
        <v>3711</v>
      </c>
      <c r="E839" s="20" t="s">
        <v>84</v>
      </c>
      <c r="F839" s="20" t="s">
        <v>92</v>
      </c>
      <c r="G839" s="20" t="s">
        <v>26</v>
      </c>
      <c r="H839" s="20" t="s">
        <v>3712</v>
      </c>
      <c r="I839" s="20" t="s">
        <v>3713</v>
      </c>
      <c r="J839" s="20">
        <v>4</v>
      </c>
      <c r="K839" s="20" t="s">
        <v>107</v>
      </c>
      <c r="L839" s="20" t="s">
        <v>16</v>
      </c>
      <c r="M839" s="21"/>
    </row>
    <row r="840" spans="1:13">
      <c r="A840" s="22">
        <v>2529655</v>
      </c>
      <c r="B840" s="23" t="s">
        <v>3714</v>
      </c>
      <c r="C840" s="22" t="s">
        <v>3715</v>
      </c>
      <c r="D840" s="22" t="s">
        <v>3716</v>
      </c>
      <c r="E840" s="23" t="s">
        <v>84</v>
      </c>
      <c r="F840" s="23" t="s">
        <v>172</v>
      </c>
      <c r="G840" s="23" t="s">
        <v>26</v>
      </c>
      <c r="H840" s="23" t="s">
        <v>3717</v>
      </c>
      <c r="I840" s="23" t="s">
        <v>3718</v>
      </c>
      <c r="J840" s="23">
        <v>1</v>
      </c>
      <c r="K840" s="23" t="s">
        <v>19</v>
      </c>
      <c r="L840" s="23" t="s">
        <v>16</v>
      </c>
      <c r="M840" s="24" t="s">
        <v>1898</v>
      </c>
    </row>
    <row r="841" spans="1:13">
      <c r="A841" s="19">
        <v>2521197</v>
      </c>
      <c r="B841" s="20" t="s">
        <v>3719</v>
      </c>
      <c r="C841" s="19" t="s">
        <v>3720</v>
      </c>
      <c r="D841" s="19" t="s">
        <v>3721</v>
      </c>
      <c r="E841" s="20" t="s">
        <v>84</v>
      </c>
      <c r="F841" s="20" t="s">
        <v>92</v>
      </c>
      <c r="G841" s="20" t="s">
        <v>26</v>
      </c>
      <c r="H841" s="20" t="s">
        <v>3722</v>
      </c>
      <c r="I841" s="20" t="s">
        <v>3723</v>
      </c>
      <c r="J841" s="20">
        <v>2</v>
      </c>
      <c r="K841" s="20" t="s">
        <v>19</v>
      </c>
      <c r="L841" s="20" t="s">
        <v>16</v>
      </c>
      <c r="M841" s="21"/>
    </row>
    <row r="842" spans="1:13">
      <c r="A842" s="22">
        <v>2530203</v>
      </c>
      <c r="B842" s="23" t="s">
        <v>3675</v>
      </c>
      <c r="C842" s="22" t="s">
        <v>3676</v>
      </c>
      <c r="D842" s="22" t="s">
        <v>3677</v>
      </c>
      <c r="E842" s="23" t="s">
        <v>84</v>
      </c>
      <c r="F842" s="23" t="s">
        <v>92</v>
      </c>
      <c r="G842" s="23" t="s">
        <v>26</v>
      </c>
      <c r="H842" s="23" t="s">
        <v>3724</v>
      </c>
      <c r="I842" s="23" t="s">
        <v>3725</v>
      </c>
      <c r="J842" s="23">
        <v>3</v>
      </c>
      <c r="K842" s="23" t="s">
        <v>19</v>
      </c>
      <c r="L842" s="23" t="s">
        <v>18</v>
      </c>
      <c r="M842" s="24"/>
    </row>
    <row r="843" spans="1:13">
      <c r="A843" s="22">
        <v>2521112</v>
      </c>
      <c r="B843" s="23" t="s">
        <v>3726</v>
      </c>
      <c r="C843" s="22" t="s">
        <v>3727</v>
      </c>
      <c r="D843" s="22" t="s">
        <v>3728</v>
      </c>
      <c r="E843" s="23" t="s">
        <v>84</v>
      </c>
      <c r="F843" s="23" t="s">
        <v>92</v>
      </c>
      <c r="G843" s="23" t="s">
        <v>26</v>
      </c>
      <c r="H843" s="23" t="s">
        <v>3729</v>
      </c>
      <c r="I843" s="23" t="s">
        <v>3730</v>
      </c>
      <c r="J843" s="20">
        <v>2</v>
      </c>
      <c r="K843" s="23" t="s">
        <v>19</v>
      </c>
      <c r="L843" s="23" t="s">
        <v>16</v>
      </c>
      <c r="M843" s="24"/>
    </row>
    <row r="844" spans="1:13">
      <c r="A844" s="22">
        <v>2529655</v>
      </c>
      <c r="B844" s="23" t="s">
        <v>3714</v>
      </c>
      <c r="C844" s="22" t="s">
        <v>3715</v>
      </c>
      <c r="D844" s="22" t="s">
        <v>3716</v>
      </c>
      <c r="E844" s="23" t="s">
        <v>84</v>
      </c>
      <c r="F844" s="23" t="s">
        <v>92</v>
      </c>
      <c r="G844" s="23" t="s">
        <v>26</v>
      </c>
      <c r="H844" s="23" t="s">
        <v>3731</v>
      </c>
      <c r="I844" s="23" t="s">
        <v>3732</v>
      </c>
      <c r="J844" s="23">
        <v>1</v>
      </c>
      <c r="K844" s="23" t="s">
        <v>107</v>
      </c>
      <c r="L844" s="23" t="s">
        <v>16</v>
      </c>
      <c r="M844" s="24" t="s">
        <v>1898</v>
      </c>
    </row>
    <row r="845" spans="1:13">
      <c r="A845" s="19">
        <v>2521123</v>
      </c>
      <c r="B845" s="20" t="s">
        <v>3733</v>
      </c>
      <c r="C845" s="19" t="s">
        <v>3734</v>
      </c>
      <c r="D845" s="19" t="s">
        <v>3735</v>
      </c>
      <c r="E845" s="20" t="s">
        <v>84</v>
      </c>
      <c r="F845" s="20" t="s">
        <v>92</v>
      </c>
      <c r="G845" s="20" t="s">
        <v>26</v>
      </c>
      <c r="H845" s="20" t="s">
        <v>3736</v>
      </c>
      <c r="I845" s="20" t="s">
        <v>3737</v>
      </c>
      <c r="J845" s="20">
        <v>2</v>
      </c>
      <c r="K845" s="20" t="s">
        <v>19</v>
      </c>
      <c r="L845" s="20" t="s">
        <v>16</v>
      </c>
      <c r="M845" s="21"/>
    </row>
    <row r="846" spans="1:13">
      <c r="A846" s="19">
        <v>2521840</v>
      </c>
      <c r="B846" s="20" t="s">
        <v>3738</v>
      </c>
      <c r="C846" s="19" t="s">
        <v>3739</v>
      </c>
      <c r="D846" s="19" t="s">
        <v>3740</v>
      </c>
      <c r="E846" s="20" t="s">
        <v>84</v>
      </c>
      <c r="F846" s="20" t="s">
        <v>92</v>
      </c>
      <c r="G846" s="20" t="s">
        <v>26</v>
      </c>
      <c r="H846" s="20" t="s">
        <v>3741</v>
      </c>
      <c r="I846" s="20" t="s">
        <v>3742</v>
      </c>
      <c r="J846" s="23">
        <v>1</v>
      </c>
      <c r="K846" s="20" t="s">
        <v>19</v>
      </c>
      <c r="L846" s="20" t="s">
        <v>16</v>
      </c>
      <c r="M846" s="21"/>
    </row>
    <row r="847" spans="1:13">
      <c r="A847" s="22">
        <v>2526147</v>
      </c>
      <c r="B847" s="23" t="s">
        <v>3743</v>
      </c>
      <c r="C847" s="22" t="s">
        <v>3744</v>
      </c>
      <c r="D847" s="22" t="s">
        <v>3745</v>
      </c>
      <c r="E847" s="23" t="s">
        <v>84</v>
      </c>
      <c r="F847" s="23" t="s">
        <v>92</v>
      </c>
      <c r="G847" s="23" t="s">
        <v>26</v>
      </c>
      <c r="H847" s="23" t="s">
        <v>3741</v>
      </c>
      <c r="I847" s="23" t="s">
        <v>3742</v>
      </c>
      <c r="J847" s="23">
        <v>3</v>
      </c>
      <c r="K847" s="23" t="s">
        <v>19</v>
      </c>
      <c r="L847" s="23" t="s">
        <v>16</v>
      </c>
      <c r="M847" s="24"/>
    </row>
    <row r="848" spans="1:13">
      <c r="A848" s="22">
        <v>2526147</v>
      </c>
      <c r="B848" s="23" t="s">
        <v>3743</v>
      </c>
      <c r="C848" s="22" t="s">
        <v>3744</v>
      </c>
      <c r="D848" s="22" t="s">
        <v>3745</v>
      </c>
      <c r="E848" s="23" t="s">
        <v>84</v>
      </c>
      <c r="F848" s="23" t="s">
        <v>92</v>
      </c>
      <c r="G848" s="23" t="s">
        <v>26</v>
      </c>
      <c r="H848" s="23" t="s">
        <v>3741</v>
      </c>
      <c r="I848" s="23" t="s">
        <v>3742</v>
      </c>
      <c r="J848" s="23">
        <v>3</v>
      </c>
      <c r="K848" s="23" t="s">
        <v>19</v>
      </c>
      <c r="L848" s="23" t="s">
        <v>16</v>
      </c>
      <c r="M848" s="24"/>
    </row>
    <row r="849" spans="1:13">
      <c r="A849" s="22">
        <v>2521197</v>
      </c>
      <c r="B849" s="23" t="s">
        <v>3719</v>
      </c>
      <c r="C849" s="22" t="s">
        <v>3720</v>
      </c>
      <c r="D849" s="22" t="s">
        <v>3721</v>
      </c>
      <c r="E849" s="23" t="s">
        <v>84</v>
      </c>
      <c r="F849" s="23" t="s">
        <v>92</v>
      </c>
      <c r="G849" s="23" t="s">
        <v>26</v>
      </c>
      <c r="H849" s="23" t="s">
        <v>3746</v>
      </c>
      <c r="I849" s="23" t="s">
        <v>3747</v>
      </c>
      <c r="J849" s="20">
        <v>2</v>
      </c>
      <c r="K849" s="23" t="s">
        <v>19</v>
      </c>
      <c r="L849" s="23" t="s">
        <v>16</v>
      </c>
      <c r="M849" s="24"/>
    </row>
    <row r="850" spans="1:13">
      <c r="A850" s="19">
        <v>2526146</v>
      </c>
      <c r="B850" s="20" t="s">
        <v>3748</v>
      </c>
      <c r="C850" s="19" t="s">
        <v>3749</v>
      </c>
      <c r="D850" s="19" t="s">
        <v>3750</v>
      </c>
      <c r="E850" s="20" t="s">
        <v>84</v>
      </c>
      <c r="F850" s="20" t="s">
        <v>92</v>
      </c>
      <c r="G850" s="20" t="s">
        <v>26</v>
      </c>
      <c r="H850" s="20" t="s">
        <v>3751</v>
      </c>
      <c r="I850" s="20" t="s">
        <v>3752</v>
      </c>
      <c r="J850" s="20">
        <v>2</v>
      </c>
      <c r="K850" s="20" t="s">
        <v>19</v>
      </c>
      <c r="L850" s="20" t="s">
        <v>18</v>
      </c>
      <c r="M850" s="21"/>
    </row>
    <row r="851" spans="1:13">
      <c r="A851" s="22">
        <v>2526591</v>
      </c>
      <c r="B851" s="23" t="s">
        <v>3753</v>
      </c>
      <c r="C851" s="22" t="s">
        <v>3754</v>
      </c>
      <c r="D851" s="22" t="s">
        <v>3755</v>
      </c>
      <c r="E851" s="23" t="s">
        <v>127</v>
      </c>
      <c r="F851" s="23" t="s">
        <v>92</v>
      </c>
      <c r="G851" s="23" t="s">
        <v>26</v>
      </c>
      <c r="H851" s="23" t="s">
        <v>3751</v>
      </c>
      <c r="I851" s="23" t="s">
        <v>3756</v>
      </c>
      <c r="J851" s="20">
        <v>2</v>
      </c>
      <c r="K851" s="23" t="s">
        <v>107</v>
      </c>
      <c r="L851" s="23" t="s">
        <v>16</v>
      </c>
      <c r="M851" s="24" t="s">
        <v>49</v>
      </c>
    </row>
    <row r="852" spans="1:13">
      <c r="A852" s="22">
        <v>2524540</v>
      </c>
      <c r="B852" s="23" t="s">
        <v>3757</v>
      </c>
      <c r="C852" s="22" t="s">
        <v>3758</v>
      </c>
      <c r="D852" s="22" t="s">
        <v>3759</v>
      </c>
      <c r="E852" s="23" t="s">
        <v>127</v>
      </c>
      <c r="F852" s="23" t="s">
        <v>92</v>
      </c>
      <c r="G852" s="23" t="s">
        <v>26</v>
      </c>
      <c r="H852" s="23" t="s">
        <v>3760</v>
      </c>
      <c r="I852" s="23" t="s">
        <v>3761</v>
      </c>
      <c r="J852" s="20">
        <v>2</v>
      </c>
      <c r="K852" s="23" t="s">
        <v>19</v>
      </c>
      <c r="L852" s="23" t="s">
        <v>18</v>
      </c>
      <c r="M852" s="24"/>
    </row>
    <row r="853" spans="1:13">
      <c r="A853" s="22">
        <v>2519710</v>
      </c>
      <c r="B853" s="23" t="s">
        <v>3762</v>
      </c>
      <c r="C853" s="22" t="s">
        <v>3763</v>
      </c>
      <c r="D853" s="22" t="s">
        <v>3764</v>
      </c>
      <c r="E853" s="23" t="s">
        <v>84</v>
      </c>
      <c r="F853" s="23" t="s">
        <v>92</v>
      </c>
      <c r="G853" s="23" t="s">
        <v>26</v>
      </c>
      <c r="H853" s="23" t="s">
        <v>3765</v>
      </c>
      <c r="I853" s="23" t="s">
        <v>3766</v>
      </c>
      <c r="J853" s="20">
        <v>4</v>
      </c>
      <c r="K853" s="23" t="s">
        <v>19</v>
      </c>
      <c r="L853" s="23" t="s">
        <v>16</v>
      </c>
      <c r="M853" s="24"/>
    </row>
    <row r="854" spans="1:13">
      <c r="A854" s="22">
        <v>2529563</v>
      </c>
      <c r="B854" s="23" t="s">
        <v>3767</v>
      </c>
      <c r="C854" s="22" t="s">
        <v>3768</v>
      </c>
      <c r="D854" s="22" t="s">
        <v>3769</v>
      </c>
      <c r="E854" s="23" t="s">
        <v>84</v>
      </c>
      <c r="F854" s="23" t="s">
        <v>92</v>
      </c>
      <c r="G854" s="23" t="s">
        <v>26</v>
      </c>
      <c r="H854" s="23" t="s">
        <v>3770</v>
      </c>
      <c r="I854" s="23" t="s">
        <v>3771</v>
      </c>
      <c r="J854" s="20">
        <v>4</v>
      </c>
      <c r="K854" s="23" t="s">
        <v>19</v>
      </c>
      <c r="L854" s="23" t="s">
        <v>16</v>
      </c>
      <c r="M854" s="24"/>
    </row>
    <row r="855" spans="1:13">
      <c r="A855" s="22">
        <v>2530204</v>
      </c>
      <c r="B855" s="23" t="s">
        <v>3704</v>
      </c>
      <c r="C855" s="22" t="s">
        <v>3705</v>
      </c>
      <c r="D855" s="22" t="s">
        <v>3706</v>
      </c>
      <c r="E855" s="23" t="s">
        <v>84</v>
      </c>
      <c r="F855" s="23" t="s">
        <v>92</v>
      </c>
      <c r="G855" s="23" t="s">
        <v>26</v>
      </c>
      <c r="H855" s="23" t="s">
        <v>3772</v>
      </c>
      <c r="I855" s="23" t="s">
        <v>3773</v>
      </c>
      <c r="J855" s="20">
        <v>4</v>
      </c>
      <c r="K855" s="23" t="s">
        <v>206</v>
      </c>
      <c r="L855" s="23" t="s">
        <v>18</v>
      </c>
      <c r="M855" s="24"/>
    </row>
    <row r="856" spans="1:13">
      <c r="A856" s="19">
        <v>2523455</v>
      </c>
      <c r="B856" s="20" t="s">
        <v>3774</v>
      </c>
      <c r="C856" s="19" t="s">
        <v>3775</v>
      </c>
      <c r="D856" s="19" t="s">
        <v>3776</v>
      </c>
      <c r="E856" s="20" t="s">
        <v>84</v>
      </c>
      <c r="F856" s="20" t="s">
        <v>92</v>
      </c>
      <c r="G856" s="20" t="s">
        <v>26</v>
      </c>
      <c r="H856" s="20" t="s">
        <v>3777</v>
      </c>
      <c r="I856" s="20" t="s">
        <v>3777</v>
      </c>
      <c r="J856" s="20">
        <v>4</v>
      </c>
      <c r="K856" s="20" t="s">
        <v>107</v>
      </c>
      <c r="L856" s="20" t="s">
        <v>18</v>
      </c>
      <c r="M856" s="21"/>
    </row>
    <row r="857" spans="1:13">
      <c r="A857" s="19">
        <v>2531393</v>
      </c>
      <c r="B857" s="20" t="s">
        <v>3778</v>
      </c>
      <c r="C857" s="19" t="s">
        <v>3779</v>
      </c>
      <c r="D857" s="19" t="s">
        <v>3780</v>
      </c>
      <c r="E857" s="20" t="s">
        <v>84</v>
      </c>
      <c r="F857" s="20" t="s">
        <v>85</v>
      </c>
      <c r="G857" s="20" t="s">
        <v>25</v>
      </c>
      <c r="H857" s="20" t="s">
        <v>3781</v>
      </c>
      <c r="I857" s="20" t="s">
        <v>3781</v>
      </c>
      <c r="J857" s="23">
        <v>1</v>
      </c>
      <c r="K857" s="20" t="s">
        <v>3782</v>
      </c>
      <c r="L857" s="20" t="s">
        <v>16</v>
      </c>
      <c r="M857" s="21"/>
    </row>
    <row r="858" spans="1:13">
      <c r="A858" s="19">
        <v>2529518</v>
      </c>
      <c r="B858" s="20" t="s">
        <v>3783</v>
      </c>
      <c r="C858" s="19" t="s">
        <v>3784</v>
      </c>
      <c r="D858" s="19" t="s">
        <v>3785</v>
      </c>
      <c r="E858" s="20" t="s">
        <v>127</v>
      </c>
      <c r="F858" s="20" t="s">
        <v>85</v>
      </c>
      <c r="G858" s="20" t="s">
        <v>25</v>
      </c>
      <c r="H858" s="20" t="s">
        <v>3786</v>
      </c>
      <c r="I858" s="20" t="s">
        <v>3787</v>
      </c>
      <c r="J858" s="33">
        <v>1</v>
      </c>
      <c r="K858" s="20" t="s">
        <v>3788</v>
      </c>
      <c r="L858" s="20" t="s">
        <v>18</v>
      </c>
      <c r="M858" s="21"/>
    </row>
    <row r="859" spans="1:13">
      <c r="A859" s="22">
        <v>2529518</v>
      </c>
      <c r="B859" s="23" t="s">
        <v>3783</v>
      </c>
      <c r="C859" s="22" t="s">
        <v>3784</v>
      </c>
      <c r="D859" s="22" t="s">
        <v>3785</v>
      </c>
      <c r="E859" s="23" t="s">
        <v>127</v>
      </c>
      <c r="F859" s="23" t="s">
        <v>85</v>
      </c>
      <c r="G859" s="23" t="s">
        <v>25</v>
      </c>
      <c r="H859" s="23" t="s">
        <v>3789</v>
      </c>
      <c r="I859" s="23" t="s">
        <v>3789</v>
      </c>
      <c r="J859" s="33">
        <v>1</v>
      </c>
      <c r="K859" s="23" t="s">
        <v>3788</v>
      </c>
      <c r="L859" s="23" t="s">
        <v>18</v>
      </c>
      <c r="M859" s="24"/>
    </row>
    <row r="860" spans="1:13">
      <c r="A860" s="19">
        <v>2526141</v>
      </c>
      <c r="B860" s="20" t="s">
        <v>3790</v>
      </c>
      <c r="C860" s="19" t="s">
        <v>3791</v>
      </c>
      <c r="D860" s="19" t="s">
        <v>3792</v>
      </c>
      <c r="E860" s="20" t="s">
        <v>84</v>
      </c>
      <c r="F860" s="20" t="s">
        <v>112</v>
      </c>
      <c r="G860" s="20" t="s">
        <v>25</v>
      </c>
      <c r="H860" s="20" t="s">
        <v>3793</v>
      </c>
      <c r="I860" s="20" t="s">
        <v>3793</v>
      </c>
      <c r="J860" s="34">
        <v>1</v>
      </c>
      <c r="K860" s="20" t="s">
        <v>2071</v>
      </c>
      <c r="L860" s="20" t="s">
        <v>18</v>
      </c>
      <c r="M860" s="21" t="s">
        <v>3794</v>
      </c>
    </row>
    <row r="861" spans="1:13">
      <c r="A861" s="19">
        <v>2521689</v>
      </c>
      <c r="B861" s="20" t="s">
        <v>3795</v>
      </c>
      <c r="C861" s="19" t="s">
        <v>3796</v>
      </c>
      <c r="D861" s="19" t="s">
        <v>3797</v>
      </c>
      <c r="E861" s="20" t="s">
        <v>84</v>
      </c>
      <c r="F861" s="20" t="s">
        <v>172</v>
      </c>
      <c r="G861" s="20" t="s">
        <v>26</v>
      </c>
      <c r="H861" s="20" t="s">
        <v>3798</v>
      </c>
      <c r="I861" s="20" t="s">
        <v>3798</v>
      </c>
      <c r="J861" s="20">
        <v>2</v>
      </c>
      <c r="K861" s="20" t="s">
        <v>107</v>
      </c>
      <c r="L861" s="20" t="s">
        <v>16</v>
      </c>
      <c r="M861" s="21"/>
    </row>
    <row r="862" spans="1:13">
      <c r="A862" s="19">
        <v>2523377</v>
      </c>
      <c r="B862" s="20" t="s">
        <v>3799</v>
      </c>
      <c r="C862" s="19" t="s">
        <v>3800</v>
      </c>
      <c r="D862" s="19" t="s">
        <v>3801</v>
      </c>
      <c r="E862" s="20" t="s">
        <v>84</v>
      </c>
      <c r="F862" s="20" t="s">
        <v>85</v>
      </c>
      <c r="G862" s="20" t="s">
        <v>27</v>
      </c>
      <c r="H862" s="20" t="s">
        <v>3802</v>
      </c>
      <c r="I862" s="20" t="s">
        <v>3802</v>
      </c>
      <c r="J862" s="23">
        <v>1</v>
      </c>
      <c r="K862" s="20" t="s">
        <v>215</v>
      </c>
      <c r="L862" s="20" t="s">
        <v>18</v>
      </c>
      <c r="M862" s="21"/>
    </row>
    <row r="863" spans="1:13">
      <c r="A863" s="22">
        <v>2521631</v>
      </c>
      <c r="B863" s="23" t="s">
        <v>130</v>
      </c>
      <c r="C863" s="22" t="s">
        <v>131</v>
      </c>
      <c r="D863" s="22" t="s">
        <v>132</v>
      </c>
      <c r="E863" s="23" t="s">
        <v>84</v>
      </c>
      <c r="F863" s="23" t="s">
        <v>92</v>
      </c>
      <c r="G863" s="23" t="s">
        <v>26</v>
      </c>
      <c r="H863" s="23" t="s">
        <v>3803</v>
      </c>
      <c r="I863" s="23" t="s">
        <v>3803</v>
      </c>
      <c r="J863" s="20">
        <v>4</v>
      </c>
      <c r="K863" s="23" t="s">
        <v>19</v>
      </c>
      <c r="L863" s="23" t="s">
        <v>16</v>
      </c>
      <c r="M863" s="24" t="s">
        <v>3804</v>
      </c>
    </row>
    <row r="864" spans="1:13">
      <c r="A864" s="19">
        <v>2522857</v>
      </c>
      <c r="B864" s="20" t="s">
        <v>3805</v>
      </c>
      <c r="C864" s="19" t="s">
        <v>3806</v>
      </c>
      <c r="D864" s="19" t="s">
        <v>3807</v>
      </c>
      <c r="E864" s="20" t="s">
        <v>84</v>
      </c>
      <c r="F864" s="20" t="s">
        <v>85</v>
      </c>
      <c r="G864" s="20" t="s">
        <v>25</v>
      </c>
      <c r="H864" s="20" t="s">
        <v>3808</v>
      </c>
      <c r="I864" s="20" t="s">
        <v>3809</v>
      </c>
      <c r="J864" s="23">
        <v>1</v>
      </c>
      <c r="K864" s="20" t="s">
        <v>3810</v>
      </c>
      <c r="L864" s="20" t="s">
        <v>18</v>
      </c>
      <c r="M864" s="21"/>
    </row>
    <row r="865" spans="1:13">
      <c r="A865" s="19">
        <v>2531348</v>
      </c>
      <c r="B865" s="20" t="s">
        <v>3811</v>
      </c>
      <c r="C865" s="19" t="s">
        <v>3812</v>
      </c>
      <c r="D865" s="19" t="s">
        <v>3813</v>
      </c>
      <c r="E865" s="20" t="s">
        <v>84</v>
      </c>
      <c r="F865" s="20" t="s">
        <v>85</v>
      </c>
      <c r="G865" s="20" t="s">
        <v>25</v>
      </c>
      <c r="H865" s="20" t="s">
        <v>3814</v>
      </c>
      <c r="I865" s="20" t="s">
        <v>3814</v>
      </c>
      <c r="J865" s="34" t="s">
        <v>34</v>
      </c>
      <c r="K865" s="20" t="s">
        <v>3815</v>
      </c>
      <c r="L865" s="20" t="s">
        <v>18</v>
      </c>
      <c r="M865" s="21"/>
    </row>
    <row r="866" spans="1:13">
      <c r="A866" s="19">
        <v>2529580</v>
      </c>
      <c r="B866" s="20" t="s">
        <v>3816</v>
      </c>
      <c r="C866" s="19" t="s">
        <v>3817</v>
      </c>
      <c r="D866" s="19" t="s">
        <v>3818</v>
      </c>
      <c r="E866" s="20" t="s">
        <v>84</v>
      </c>
      <c r="F866" s="20" t="s">
        <v>112</v>
      </c>
      <c r="G866" s="20" t="s">
        <v>26</v>
      </c>
      <c r="H866" s="20" t="s">
        <v>3819</v>
      </c>
      <c r="I866" s="20" t="s">
        <v>3819</v>
      </c>
      <c r="J866" s="20">
        <v>2</v>
      </c>
      <c r="K866" s="20" t="s">
        <v>19</v>
      </c>
      <c r="L866" s="20" t="s">
        <v>16</v>
      </c>
      <c r="M866" s="21"/>
    </row>
    <row r="867" spans="1:13">
      <c r="A867" s="22">
        <v>2524517</v>
      </c>
      <c r="B867" s="23" t="s">
        <v>3820</v>
      </c>
      <c r="C867" s="22" t="s">
        <v>3821</v>
      </c>
      <c r="D867" s="22" t="s">
        <v>3822</v>
      </c>
      <c r="E867" s="23" t="s">
        <v>84</v>
      </c>
      <c r="F867" s="23" t="s">
        <v>112</v>
      </c>
      <c r="G867" s="23" t="s">
        <v>27</v>
      </c>
      <c r="H867" s="23" t="s">
        <v>3823</v>
      </c>
      <c r="I867" s="23" t="s">
        <v>3823</v>
      </c>
      <c r="J867" s="23">
        <v>1</v>
      </c>
      <c r="K867" s="23" t="s">
        <v>19</v>
      </c>
      <c r="L867" s="23" t="s">
        <v>18</v>
      </c>
      <c r="M867" s="24"/>
    </row>
    <row r="868" spans="1:13">
      <c r="A868" s="19">
        <v>2531391</v>
      </c>
      <c r="B868" s="20" t="s">
        <v>3824</v>
      </c>
      <c r="C868" s="19" t="s">
        <v>3825</v>
      </c>
      <c r="D868" s="19" t="s">
        <v>3826</v>
      </c>
      <c r="E868" s="20" t="s">
        <v>84</v>
      </c>
      <c r="F868" s="20" t="s">
        <v>85</v>
      </c>
      <c r="G868" s="20" t="s">
        <v>25</v>
      </c>
      <c r="H868" s="20" t="s">
        <v>3827</v>
      </c>
      <c r="I868" s="20" t="s">
        <v>3828</v>
      </c>
      <c r="J868" s="34" t="s">
        <v>34</v>
      </c>
      <c r="K868" s="20" t="s">
        <v>3829</v>
      </c>
      <c r="L868" s="20" t="s">
        <v>16</v>
      </c>
      <c r="M868" s="21"/>
    </row>
    <row r="869" spans="1:13">
      <c r="A869" s="19">
        <v>2531956</v>
      </c>
      <c r="B869" s="20" t="s">
        <v>3830</v>
      </c>
      <c r="C869" s="19" t="s">
        <v>3831</v>
      </c>
      <c r="D869" s="19" t="s">
        <v>3832</v>
      </c>
      <c r="E869" s="20" t="s">
        <v>127</v>
      </c>
      <c r="F869" s="20" t="s">
        <v>85</v>
      </c>
      <c r="G869" s="20" t="s">
        <v>25</v>
      </c>
      <c r="H869" s="20" t="s">
        <v>3833</v>
      </c>
      <c r="I869" s="20" t="s">
        <v>3834</v>
      </c>
      <c r="J869" s="23">
        <v>1</v>
      </c>
      <c r="K869" s="20" t="s">
        <v>3835</v>
      </c>
      <c r="L869" s="20" t="s">
        <v>18</v>
      </c>
      <c r="M869" s="21" t="s">
        <v>222</v>
      </c>
    </row>
    <row r="870" spans="1:13">
      <c r="A870" s="22">
        <v>2470064</v>
      </c>
      <c r="B870" s="23" t="s">
        <v>3836</v>
      </c>
      <c r="C870" s="22" t="s">
        <v>3837</v>
      </c>
      <c r="D870" s="22" t="s">
        <v>3838</v>
      </c>
      <c r="E870" s="23" t="s">
        <v>219</v>
      </c>
      <c r="F870" s="23" t="s">
        <v>92</v>
      </c>
      <c r="G870" s="23" t="s">
        <v>27</v>
      </c>
      <c r="H870" s="23" t="s">
        <v>3839</v>
      </c>
      <c r="I870" s="23" t="s">
        <v>3839</v>
      </c>
      <c r="J870" s="22" t="s">
        <v>94</v>
      </c>
      <c r="K870" s="23" t="s">
        <v>3840</v>
      </c>
      <c r="L870" s="23" t="s">
        <v>16</v>
      </c>
      <c r="M870" s="24" t="s">
        <v>38</v>
      </c>
    </row>
    <row r="871" spans="1:13">
      <c r="A871" s="19">
        <v>2531416</v>
      </c>
      <c r="B871" s="20" t="s">
        <v>3841</v>
      </c>
      <c r="C871" s="19" t="s">
        <v>3842</v>
      </c>
      <c r="D871" s="19" t="s">
        <v>3843</v>
      </c>
      <c r="E871" s="20" t="s">
        <v>84</v>
      </c>
      <c r="F871" s="20" t="s">
        <v>85</v>
      </c>
      <c r="G871" s="20" t="s">
        <v>25</v>
      </c>
      <c r="H871" s="20" t="s">
        <v>3844</v>
      </c>
      <c r="I871" s="20" t="s">
        <v>3845</v>
      </c>
      <c r="J871" s="34" t="s">
        <v>34</v>
      </c>
      <c r="K871" s="20" t="s">
        <v>3846</v>
      </c>
      <c r="L871" s="20" t="s">
        <v>18</v>
      </c>
      <c r="M871" s="21"/>
    </row>
    <row r="872" spans="1:13">
      <c r="A872" s="19">
        <v>2521243</v>
      </c>
      <c r="B872" s="20" t="s">
        <v>3847</v>
      </c>
      <c r="C872" s="19" t="s">
        <v>3848</v>
      </c>
      <c r="D872" s="19" t="s">
        <v>3849</v>
      </c>
      <c r="E872" s="20" t="s">
        <v>84</v>
      </c>
      <c r="F872" s="20" t="s">
        <v>92</v>
      </c>
      <c r="G872" s="20" t="s">
        <v>26</v>
      </c>
      <c r="H872" s="20" t="s">
        <v>3850</v>
      </c>
      <c r="I872" s="20" t="s">
        <v>3850</v>
      </c>
      <c r="J872" s="20">
        <v>2</v>
      </c>
      <c r="K872" s="20" t="s">
        <v>19</v>
      </c>
      <c r="L872" s="20" t="s">
        <v>16</v>
      </c>
      <c r="M872" s="21"/>
    </row>
    <row r="873" spans="1:13">
      <c r="A873" s="22">
        <v>2521244</v>
      </c>
      <c r="B873" s="23" t="s">
        <v>3851</v>
      </c>
      <c r="C873" s="22" t="s">
        <v>3852</v>
      </c>
      <c r="D873" s="22" t="s">
        <v>3853</v>
      </c>
      <c r="E873" s="23" t="s">
        <v>84</v>
      </c>
      <c r="F873" s="23" t="s">
        <v>92</v>
      </c>
      <c r="G873" s="23" t="s">
        <v>26</v>
      </c>
      <c r="H873" s="23" t="s">
        <v>3850</v>
      </c>
      <c r="I873" s="23" t="s">
        <v>3850</v>
      </c>
      <c r="J873" s="20">
        <v>2</v>
      </c>
      <c r="K873" s="23" t="s">
        <v>107</v>
      </c>
      <c r="L873" s="23" t="s">
        <v>16</v>
      </c>
      <c r="M873" s="24"/>
    </row>
    <row r="874" spans="1:13">
      <c r="A874" s="19">
        <v>2531361</v>
      </c>
      <c r="B874" s="20" t="s">
        <v>3854</v>
      </c>
      <c r="C874" s="19" t="s">
        <v>3855</v>
      </c>
      <c r="D874" s="19" t="s">
        <v>3856</v>
      </c>
      <c r="E874" s="20" t="s">
        <v>127</v>
      </c>
      <c r="F874" s="20" t="s">
        <v>85</v>
      </c>
      <c r="G874" s="20" t="s">
        <v>25</v>
      </c>
      <c r="H874" s="20" t="s">
        <v>3857</v>
      </c>
      <c r="I874" s="20" t="s">
        <v>3857</v>
      </c>
      <c r="J874" s="34" t="s">
        <v>34</v>
      </c>
      <c r="K874" s="20" t="s">
        <v>3858</v>
      </c>
      <c r="L874" s="20" t="s">
        <v>18</v>
      </c>
      <c r="M874" s="21"/>
    </row>
    <row r="875" spans="1:13">
      <c r="A875" s="22">
        <v>2522859</v>
      </c>
      <c r="B875" s="23" t="s">
        <v>3859</v>
      </c>
      <c r="C875" s="22" t="s">
        <v>3860</v>
      </c>
      <c r="D875" s="22" t="s">
        <v>3861</v>
      </c>
      <c r="E875" s="23" t="s">
        <v>84</v>
      </c>
      <c r="F875" s="23" t="s">
        <v>85</v>
      </c>
      <c r="G875" s="23" t="s">
        <v>25</v>
      </c>
      <c r="H875" s="23" t="s">
        <v>3862</v>
      </c>
      <c r="I875" s="23" t="s">
        <v>3862</v>
      </c>
      <c r="J875" s="34" t="s">
        <v>34</v>
      </c>
      <c r="K875" s="23" t="s">
        <v>3863</v>
      </c>
      <c r="L875" s="23" t="s">
        <v>16</v>
      </c>
      <c r="M875" s="24"/>
    </row>
    <row r="876" spans="1:13">
      <c r="A876" s="19">
        <v>2414892</v>
      </c>
      <c r="B876" s="20" t="s">
        <v>3864</v>
      </c>
      <c r="C876" s="19" t="s">
        <v>3865</v>
      </c>
      <c r="D876" s="19" t="s">
        <v>3866</v>
      </c>
      <c r="E876" s="20" t="s">
        <v>84</v>
      </c>
      <c r="F876" s="20" t="s">
        <v>112</v>
      </c>
      <c r="G876" s="20" t="s">
        <v>25</v>
      </c>
      <c r="H876" s="20" t="s">
        <v>3867</v>
      </c>
      <c r="I876" s="20" t="s">
        <v>3868</v>
      </c>
      <c r="J876" s="19" t="s">
        <v>94</v>
      </c>
      <c r="K876" s="20" t="s">
        <v>15</v>
      </c>
      <c r="L876" s="20" t="s">
        <v>16</v>
      </c>
      <c r="M876" s="21"/>
    </row>
    <row r="877" spans="1:13">
      <c r="A877" s="19">
        <v>2512327</v>
      </c>
      <c r="B877" s="20" t="s">
        <v>3869</v>
      </c>
      <c r="C877" s="19" t="s">
        <v>3870</v>
      </c>
      <c r="D877" s="19" t="s">
        <v>3871</v>
      </c>
      <c r="E877" s="20" t="s">
        <v>127</v>
      </c>
      <c r="F877" s="20" t="s">
        <v>112</v>
      </c>
      <c r="G877" s="20" t="s">
        <v>25</v>
      </c>
      <c r="H877" s="20" t="s">
        <v>3872</v>
      </c>
      <c r="I877" s="20" t="s">
        <v>3872</v>
      </c>
      <c r="J877" s="34" t="s">
        <v>34</v>
      </c>
      <c r="K877" s="20" t="s">
        <v>3356</v>
      </c>
      <c r="L877" s="20" t="s">
        <v>18</v>
      </c>
      <c r="M877" s="21"/>
    </row>
    <row r="878" spans="1:13">
      <c r="A878" s="19">
        <v>2512327</v>
      </c>
      <c r="B878" s="20" t="s">
        <v>3869</v>
      </c>
      <c r="C878" s="19" t="s">
        <v>3870</v>
      </c>
      <c r="D878" s="19" t="s">
        <v>3871</v>
      </c>
      <c r="E878" s="20" t="s">
        <v>127</v>
      </c>
      <c r="F878" s="20" t="s">
        <v>112</v>
      </c>
      <c r="G878" s="20" t="s">
        <v>25</v>
      </c>
      <c r="H878" s="20" t="s">
        <v>3872</v>
      </c>
      <c r="I878" s="20" t="s">
        <v>3872</v>
      </c>
      <c r="J878" s="34" t="s">
        <v>34</v>
      </c>
      <c r="K878" s="20" t="s">
        <v>3356</v>
      </c>
      <c r="L878" s="20" t="s">
        <v>18</v>
      </c>
      <c r="M878" s="21"/>
    </row>
    <row r="879" spans="1:13">
      <c r="A879" s="22">
        <v>2524492</v>
      </c>
      <c r="B879" s="23" t="s">
        <v>3873</v>
      </c>
      <c r="C879" s="22" t="s">
        <v>3874</v>
      </c>
      <c r="D879" s="22" t="s">
        <v>3875</v>
      </c>
      <c r="E879" s="23" t="s">
        <v>84</v>
      </c>
      <c r="F879" s="23" t="s">
        <v>85</v>
      </c>
      <c r="G879" s="23" t="s">
        <v>27</v>
      </c>
      <c r="H879" s="23" t="s">
        <v>3876</v>
      </c>
      <c r="I879" s="23" t="s">
        <v>3876</v>
      </c>
      <c r="J879" s="34" t="s">
        <v>34</v>
      </c>
      <c r="K879" s="23" t="s">
        <v>3877</v>
      </c>
      <c r="L879" s="23" t="s">
        <v>18</v>
      </c>
      <c r="M879" s="24"/>
    </row>
    <row r="880" spans="1:13">
      <c r="A880" s="22">
        <v>2524492</v>
      </c>
      <c r="B880" s="23" t="s">
        <v>3873</v>
      </c>
      <c r="C880" s="22" t="s">
        <v>3874</v>
      </c>
      <c r="D880" s="22" t="s">
        <v>3875</v>
      </c>
      <c r="E880" s="23" t="s">
        <v>84</v>
      </c>
      <c r="F880" s="23" t="s">
        <v>85</v>
      </c>
      <c r="G880" s="23" t="s">
        <v>27</v>
      </c>
      <c r="H880" s="23" t="s">
        <v>3878</v>
      </c>
      <c r="I880" s="23" t="s">
        <v>3878</v>
      </c>
      <c r="J880" s="34" t="s">
        <v>34</v>
      </c>
      <c r="K880" s="23" t="s">
        <v>3877</v>
      </c>
      <c r="L880" s="23" t="s">
        <v>18</v>
      </c>
      <c r="M880" s="24" t="s">
        <v>5</v>
      </c>
    </row>
    <row r="881" spans="1:13">
      <c r="A881" s="22">
        <v>2397043</v>
      </c>
      <c r="B881" s="23" t="s">
        <v>3879</v>
      </c>
      <c r="C881" s="22" t="s">
        <v>3880</v>
      </c>
      <c r="D881" s="22" t="s">
        <v>3881</v>
      </c>
      <c r="E881" s="23" t="s">
        <v>127</v>
      </c>
      <c r="F881" s="23" t="s">
        <v>92</v>
      </c>
      <c r="G881" s="23" t="s">
        <v>27</v>
      </c>
      <c r="H881" s="23" t="s">
        <v>3882</v>
      </c>
      <c r="I881" s="23" t="s">
        <v>3882</v>
      </c>
      <c r="J881" s="22" t="s">
        <v>283</v>
      </c>
      <c r="K881" s="23" t="s">
        <v>3883</v>
      </c>
      <c r="L881" s="23" t="s">
        <v>16</v>
      </c>
      <c r="M881" s="24"/>
    </row>
    <row r="882" spans="1:13">
      <c r="A882" s="19">
        <v>2525027</v>
      </c>
      <c r="B882" s="20" t="s">
        <v>3884</v>
      </c>
      <c r="C882" s="19" t="s">
        <v>3885</v>
      </c>
      <c r="D882" s="19" t="s">
        <v>3886</v>
      </c>
      <c r="E882" s="20" t="s">
        <v>84</v>
      </c>
      <c r="F882" s="20" t="s">
        <v>85</v>
      </c>
      <c r="G882" s="20" t="s">
        <v>25</v>
      </c>
      <c r="H882" s="20" t="s">
        <v>3887</v>
      </c>
      <c r="I882" s="20" t="s">
        <v>3888</v>
      </c>
      <c r="J882" s="34" t="s">
        <v>34</v>
      </c>
      <c r="K882" s="20" t="s">
        <v>19</v>
      </c>
      <c r="L882" s="20" t="s">
        <v>18</v>
      </c>
      <c r="M882" s="21"/>
    </row>
    <row r="883" spans="1:13">
      <c r="A883" s="22">
        <v>2525027</v>
      </c>
      <c r="B883" s="23" t="s">
        <v>3884</v>
      </c>
      <c r="C883" s="22" t="s">
        <v>3885</v>
      </c>
      <c r="D883" s="22" t="s">
        <v>3886</v>
      </c>
      <c r="E883" s="23" t="s">
        <v>84</v>
      </c>
      <c r="F883" s="23" t="s">
        <v>85</v>
      </c>
      <c r="G883" s="23" t="s">
        <v>25</v>
      </c>
      <c r="H883" s="23" t="s">
        <v>3887</v>
      </c>
      <c r="I883" s="23" t="s">
        <v>3889</v>
      </c>
      <c r="J883" s="34" t="s">
        <v>34</v>
      </c>
      <c r="K883" s="23" t="s">
        <v>19</v>
      </c>
      <c r="L883" s="23" t="s">
        <v>18</v>
      </c>
      <c r="M883" s="24"/>
    </row>
    <row r="884" spans="1:13">
      <c r="A884" s="19">
        <v>2530185</v>
      </c>
      <c r="B884" s="20" t="s">
        <v>3890</v>
      </c>
      <c r="C884" s="19" t="s">
        <v>3891</v>
      </c>
      <c r="D884" s="19" t="s">
        <v>3892</v>
      </c>
      <c r="E884" s="20" t="s">
        <v>84</v>
      </c>
      <c r="F884" s="20" t="s">
        <v>85</v>
      </c>
      <c r="G884" s="20" t="s">
        <v>26</v>
      </c>
      <c r="H884" s="20" t="s">
        <v>3893</v>
      </c>
      <c r="I884" s="20" t="s">
        <v>3894</v>
      </c>
      <c r="J884" s="23">
        <v>1</v>
      </c>
      <c r="K884" s="20" t="s">
        <v>17</v>
      </c>
      <c r="L884" s="20" t="s">
        <v>16</v>
      </c>
      <c r="M884" s="25" t="s">
        <v>86</v>
      </c>
    </row>
    <row r="885" spans="1:13">
      <c r="A885" s="22">
        <v>2519632</v>
      </c>
      <c r="B885" s="23" t="s">
        <v>3895</v>
      </c>
      <c r="C885" s="22" t="s">
        <v>3896</v>
      </c>
      <c r="D885" s="22" t="s">
        <v>3897</v>
      </c>
      <c r="E885" s="23" t="s">
        <v>84</v>
      </c>
      <c r="F885" s="23" t="s">
        <v>92</v>
      </c>
      <c r="G885" s="23" t="s">
        <v>26</v>
      </c>
      <c r="H885" s="23" t="s">
        <v>3898</v>
      </c>
      <c r="I885" s="23" t="s">
        <v>3899</v>
      </c>
      <c r="J885" s="34" t="s">
        <v>34</v>
      </c>
      <c r="K885" s="23" t="s">
        <v>19</v>
      </c>
      <c r="L885" s="23" t="s">
        <v>16</v>
      </c>
      <c r="M885" s="24" t="s">
        <v>49</v>
      </c>
    </row>
    <row r="886" spans="1:13">
      <c r="A886" s="22">
        <v>2533003</v>
      </c>
      <c r="B886" s="23" t="s">
        <v>3900</v>
      </c>
      <c r="C886" s="22" t="s">
        <v>3901</v>
      </c>
      <c r="D886" s="22" t="s">
        <v>3902</v>
      </c>
      <c r="E886" s="23" t="s">
        <v>84</v>
      </c>
      <c r="F886" s="23" t="s">
        <v>85</v>
      </c>
      <c r="G886" s="23" t="s">
        <v>27</v>
      </c>
      <c r="H886" s="23" t="s">
        <v>3903</v>
      </c>
      <c r="I886" s="23" t="s">
        <v>3904</v>
      </c>
      <c r="J886" s="20">
        <v>5</v>
      </c>
      <c r="K886" s="23" t="s">
        <v>206</v>
      </c>
      <c r="L886" s="23" t="s">
        <v>16</v>
      </c>
      <c r="M886" s="24"/>
    </row>
    <row r="887" spans="1:13">
      <c r="A887" s="19">
        <v>2511240</v>
      </c>
      <c r="B887" s="20" t="s">
        <v>3905</v>
      </c>
      <c r="C887" s="19" t="s">
        <v>3906</v>
      </c>
      <c r="D887" s="19" t="s">
        <v>3907</v>
      </c>
      <c r="E887" s="20" t="s">
        <v>415</v>
      </c>
      <c r="F887" s="20" t="s">
        <v>85</v>
      </c>
      <c r="G887" s="20" t="s">
        <v>27</v>
      </c>
      <c r="H887" s="20" t="s">
        <v>3908</v>
      </c>
      <c r="I887" s="20" t="s">
        <v>3909</v>
      </c>
      <c r="J887" s="23">
        <v>1</v>
      </c>
      <c r="K887" s="20" t="s">
        <v>19</v>
      </c>
      <c r="L887" s="20" t="s">
        <v>18</v>
      </c>
      <c r="M887" s="21"/>
    </row>
    <row r="888" spans="1:13">
      <c r="A888" s="19">
        <v>2533005</v>
      </c>
      <c r="B888" s="20" t="s">
        <v>3910</v>
      </c>
      <c r="C888" s="19" t="s">
        <v>3911</v>
      </c>
      <c r="D888" s="19" t="s">
        <v>3912</v>
      </c>
      <c r="E888" s="20" t="s">
        <v>84</v>
      </c>
      <c r="F888" s="20" t="s">
        <v>85</v>
      </c>
      <c r="G888" s="20" t="s">
        <v>26</v>
      </c>
      <c r="H888" s="20" t="s">
        <v>3913</v>
      </c>
      <c r="I888" s="20" t="s">
        <v>3914</v>
      </c>
      <c r="J888" s="20">
        <v>5</v>
      </c>
      <c r="K888" s="20" t="s">
        <v>206</v>
      </c>
      <c r="L888" s="20" t="s">
        <v>16</v>
      </c>
      <c r="M888" s="21" t="s">
        <v>108</v>
      </c>
    </row>
    <row r="889" spans="1:13">
      <c r="A889" s="22">
        <v>2533056</v>
      </c>
      <c r="B889" s="23" t="s">
        <v>3915</v>
      </c>
      <c r="C889" s="22" t="s">
        <v>3916</v>
      </c>
      <c r="D889" s="22" t="s">
        <v>3917</v>
      </c>
      <c r="E889" s="23" t="s">
        <v>84</v>
      </c>
      <c r="F889" s="23" t="s">
        <v>112</v>
      </c>
      <c r="G889" s="23" t="s">
        <v>27</v>
      </c>
      <c r="H889" s="23" t="s">
        <v>3918</v>
      </c>
      <c r="I889" s="23" t="s">
        <v>3919</v>
      </c>
      <c r="J889" s="20">
        <v>5</v>
      </c>
      <c r="K889" s="23" t="s">
        <v>206</v>
      </c>
      <c r="L889" s="23" t="s">
        <v>16</v>
      </c>
      <c r="M889" s="24"/>
    </row>
    <row r="890" spans="1:13">
      <c r="A890" s="22">
        <v>2521213</v>
      </c>
      <c r="B890" s="23" t="s">
        <v>3920</v>
      </c>
      <c r="C890" s="22" t="s">
        <v>3921</v>
      </c>
      <c r="D890" s="22" t="s">
        <v>3922</v>
      </c>
      <c r="E890" s="23" t="s">
        <v>127</v>
      </c>
      <c r="F890" s="23" t="s">
        <v>85</v>
      </c>
      <c r="G890" s="23" t="s">
        <v>28</v>
      </c>
      <c r="H890" s="23" t="s">
        <v>3923</v>
      </c>
      <c r="I890" s="23" t="s">
        <v>3924</v>
      </c>
      <c r="J890" s="23">
        <v>18</v>
      </c>
      <c r="K890" s="23" t="s">
        <v>206</v>
      </c>
      <c r="L890" s="23" t="s">
        <v>18</v>
      </c>
      <c r="M890" s="24"/>
    </row>
    <row r="891" spans="1:13">
      <c r="A891" s="22">
        <v>2480307</v>
      </c>
      <c r="B891" s="23" t="s">
        <v>3925</v>
      </c>
      <c r="C891" s="22" t="s">
        <v>3926</v>
      </c>
      <c r="D891" s="22" t="s">
        <v>3927</v>
      </c>
      <c r="E891" s="23" t="s">
        <v>127</v>
      </c>
      <c r="F891" s="23" t="s">
        <v>85</v>
      </c>
      <c r="G891" s="23" t="s">
        <v>25</v>
      </c>
      <c r="H891" s="23" t="s">
        <v>3928</v>
      </c>
      <c r="I891" s="23" t="s">
        <v>3929</v>
      </c>
      <c r="J891" s="23">
        <v>1</v>
      </c>
      <c r="K891" s="23" t="s">
        <v>1674</v>
      </c>
      <c r="L891" s="23" t="s">
        <v>18</v>
      </c>
      <c r="M891" s="24" t="s">
        <v>49</v>
      </c>
    </row>
    <row r="892" spans="1:13">
      <c r="A892" s="22">
        <v>2531377</v>
      </c>
      <c r="B892" s="23" t="s">
        <v>3650</v>
      </c>
      <c r="C892" s="22" t="s">
        <v>3651</v>
      </c>
      <c r="D892" s="22" t="s">
        <v>3652</v>
      </c>
      <c r="E892" s="23" t="s">
        <v>84</v>
      </c>
      <c r="F892" s="23" t="s">
        <v>85</v>
      </c>
      <c r="G892" s="23" t="s">
        <v>25</v>
      </c>
      <c r="H892" s="23" t="s">
        <v>3930</v>
      </c>
      <c r="I892" s="23" t="s">
        <v>3931</v>
      </c>
      <c r="J892" s="34" t="s">
        <v>34</v>
      </c>
      <c r="K892" s="23" t="s">
        <v>3932</v>
      </c>
      <c r="L892" s="23" t="s">
        <v>18</v>
      </c>
      <c r="M892" s="24"/>
    </row>
    <row r="893" spans="1:13">
      <c r="A893" s="19">
        <v>2484070</v>
      </c>
      <c r="B893" s="20" t="s">
        <v>3933</v>
      </c>
      <c r="C893" s="19" t="s">
        <v>3934</v>
      </c>
      <c r="D893" s="19" t="s">
        <v>3935</v>
      </c>
      <c r="E893" s="20" t="s">
        <v>84</v>
      </c>
      <c r="F893" s="20" t="s">
        <v>112</v>
      </c>
      <c r="G893" s="20" t="s">
        <v>25</v>
      </c>
      <c r="H893" s="20" t="s">
        <v>3936</v>
      </c>
      <c r="I893" s="20" t="s">
        <v>3937</v>
      </c>
      <c r="J893" s="34" t="s">
        <v>34</v>
      </c>
      <c r="K893" s="20" t="s">
        <v>2071</v>
      </c>
      <c r="L893" s="20" t="s">
        <v>18</v>
      </c>
      <c r="M893" s="21"/>
    </row>
    <row r="894" spans="1:13">
      <c r="A894" s="22">
        <v>2511315</v>
      </c>
      <c r="B894" s="23" t="s">
        <v>3938</v>
      </c>
      <c r="C894" s="22" t="s">
        <v>3939</v>
      </c>
      <c r="D894" s="22" t="s">
        <v>3940</v>
      </c>
      <c r="E894" s="23" t="s">
        <v>84</v>
      </c>
      <c r="F894" s="23" t="s">
        <v>112</v>
      </c>
      <c r="G894" s="23" t="s">
        <v>25</v>
      </c>
      <c r="H894" s="23" t="s">
        <v>3941</v>
      </c>
      <c r="I894" s="23" t="s">
        <v>3942</v>
      </c>
      <c r="J894" s="34" t="s">
        <v>34</v>
      </c>
      <c r="K894" s="23" t="s">
        <v>221</v>
      </c>
      <c r="L894" s="23" t="s">
        <v>18</v>
      </c>
      <c r="M894" s="24"/>
    </row>
    <row r="895" spans="1:13">
      <c r="A895" s="19">
        <v>2484070</v>
      </c>
      <c r="B895" s="20" t="s">
        <v>3933</v>
      </c>
      <c r="C895" s="19" t="s">
        <v>3934</v>
      </c>
      <c r="D895" s="19" t="s">
        <v>3935</v>
      </c>
      <c r="E895" s="20" t="s">
        <v>84</v>
      </c>
      <c r="F895" s="20" t="s">
        <v>112</v>
      </c>
      <c r="G895" s="20" t="s">
        <v>25</v>
      </c>
      <c r="H895" s="20" t="s">
        <v>3943</v>
      </c>
      <c r="I895" s="20" t="s">
        <v>3944</v>
      </c>
      <c r="J895" s="34" t="s">
        <v>34</v>
      </c>
      <c r="K895" s="20" t="s">
        <v>2071</v>
      </c>
      <c r="L895" s="20" t="s">
        <v>18</v>
      </c>
      <c r="M895" s="21"/>
    </row>
    <row r="896" spans="1:13">
      <c r="A896" s="19">
        <v>2484070</v>
      </c>
      <c r="B896" s="20" t="s">
        <v>3933</v>
      </c>
      <c r="C896" s="19" t="s">
        <v>3934</v>
      </c>
      <c r="D896" s="19" t="s">
        <v>3935</v>
      </c>
      <c r="E896" s="20" t="s">
        <v>84</v>
      </c>
      <c r="F896" s="20" t="s">
        <v>112</v>
      </c>
      <c r="G896" s="20" t="s">
        <v>25</v>
      </c>
      <c r="H896" s="20" t="s">
        <v>3943</v>
      </c>
      <c r="I896" s="20" t="s">
        <v>3945</v>
      </c>
      <c r="J896" s="34" t="s">
        <v>34</v>
      </c>
      <c r="K896" s="20" t="s">
        <v>2071</v>
      </c>
      <c r="L896" s="20" t="s">
        <v>18</v>
      </c>
      <c r="M896" s="21"/>
    </row>
    <row r="897" spans="1:13">
      <c r="A897" s="19">
        <v>2520948</v>
      </c>
      <c r="B897" s="20" t="s">
        <v>3946</v>
      </c>
      <c r="C897" s="19" t="s">
        <v>3947</v>
      </c>
      <c r="D897" s="19" t="s">
        <v>3948</v>
      </c>
      <c r="E897" s="20" t="s">
        <v>84</v>
      </c>
      <c r="F897" s="20" t="s">
        <v>85</v>
      </c>
      <c r="G897" s="20" t="s">
        <v>26</v>
      </c>
      <c r="H897" s="20" t="s">
        <v>3949</v>
      </c>
      <c r="I897" s="20" t="s">
        <v>3949</v>
      </c>
      <c r="J897" s="23">
        <v>1</v>
      </c>
      <c r="K897" s="20" t="s">
        <v>206</v>
      </c>
      <c r="L897" s="20" t="s">
        <v>16</v>
      </c>
      <c r="M897" s="21"/>
    </row>
    <row r="898" spans="1:13">
      <c r="A898" s="22">
        <v>2531973</v>
      </c>
      <c r="B898" s="23" t="s">
        <v>3950</v>
      </c>
      <c r="C898" s="22" t="s">
        <v>3951</v>
      </c>
      <c r="D898" s="22" t="s">
        <v>3952</v>
      </c>
      <c r="E898" s="23" t="s">
        <v>84</v>
      </c>
      <c r="F898" s="23" t="s">
        <v>85</v>
      </c>
      <c r="G898" s="23" t="s">
        <v>27</v>
      </c>
      <c r="H898" s="23" t="s">
        <v>3953</v>
      </c>
      <c r="I898" s="23" t="s">
        <v>3954</v>
      </c>
      <c r="J898" s="34" t="s">
        <v>34</v>
      </c>
      <c r="K898" s="23" t="s">
        <v>3955</v>
      </c>
      <c r="L898" s="23" t="s">
        <v>18</v>
      </c>
      <c r="M898" s="24"/>
    </row>
    <row r="899" spans="1:13">
      <c r="A899" s="19">
        <v>2524557</v>
      </c>
      <c r="B899" s="20" t="s">
        <v>3956</v>
      </c>
      <c r="C899" s="19" t="s">
        <v>3957</v>
      </c>
      <c r="D899" s="19" t="s">
        <v>3958</v>
      </c>
      <c r="E899" s="20" t="s">
        <v>127</v>
      </c>
      <c r="F899" s="20" t="s">
        <v>85</v>
      </c>
      <c r="G899" s="20" t="s">
        <v>26</v>
      </c>
      <c r="H899" s="20" t="s">
        <v>3959</v>
      </c>
      <c r="I899" s="20" t="s">
        <v>3960</v>
      </c>
      <c r="J899" s="23">
        <v>1</v>
      </c>
      <c r="K899" s="20" t="s">
        <v>107</v>
      </c>
      <c r="L899" s="20" t="s">
        <v>16</v>
      </c>
      <c r="M899" s="21" t="s">
        <v>49</v>
      </c>
    </row>
    <row r="900" spans="1:13">
      <c r="A900" s="22">
        <v>2524542</v>
      </c>
      <c r="B900" s="23" t="s">
        <v>3961</v>
      </c>
      <c r="C900" s="22" t="s">
        <v>3962</v>
      </c>
      <c r="D900" s="22" t="s">
        <v>3963</v>
      </c>
      <c r="E900" s="23" t="s">
        <v>127</v>
      </c>
      <c r="F900" s="23" t="s">
        <v>85</v>
      </c>
      <c r="G900" s="23" t="s">
        <v>26</v>
      </c>
      <c r="H900" s="23" t="s">
        <v>3964</v>
      </c>
      <c r="I900" s="23" t="s">
        <v>3965</v>
      </c>
      <c r="J900" s="23">
        <v>1</v>
      </c>
      <c r="K900" s="23" t="s">
        <v>107</v>
      </c>
      <c r="L900" s="23" t="s">
        <v>16</v>
      </c>
      <c r="M900" s="24" t="s">
        <v>16</v>
      </c>
    </row>
    <row r="901" spans="1:13">
      <c r="A901" s="19">
        <v>2525037</v>
      </c>
      <c r="B901" s="20" t="s">
        <v>3966</v>
      </c>
      <c r="C901" s="19" t="s">
        <v>3967</v>
      </c>
      <c r="D901" s="19" t="s">
        <v>3968</v>
      </c>
      <c r="E901" s="20" t="s">
        <v>84</v>
      </c>
      <c r="F901" s="20" t="s">
        <v>85</v>
      </c>
      <c r="G901" s="20" t="s">
        <v>26</v>
      </c>
      <c r="H901" s="20" t="s">
        <v>3969</v>
      </c>
      <c r="I901" s="20" t="s">
        <v>3970</v>
      </c>
      <c r="J901" s="23">
        <v>1</v>
      </c>
      <c r="K901" s="20" t="s">
        <v>107</v>
      </c>
      <c r="L901" s="20" t="s">
        <v>16</v>
      </c>
      <c r="M901" s="21"/>
    </row>
    <row r="902" spans="1:13">
      <c r="A902" s="22">
        <v>2525037</v>
      </c>
      <c r="B902" s="23" t="s">
        <v>3966</v>
      </c>
      <c r="C902" s="22" t="s">
        <v>3967</v>
      </c>
      <c r="D902" s="22" t="s">
        <v>3968</v>
      </c>
      <c r="E902" s="23" t="s">
        <v>84</v>
      </c>
      <c r="F902" s="23" t="s">
        <v>85</v>
      </c>
      <c r="G902" s="23" t="s">
        <v>26</v>
      </c>
      <c r="H902" s="23" t="s">
        <v>3971</v>
      </c>
      <c r="I902" s="23" t="s">
        <v>3972</v>
      </c>
      <c r="J902" s="23">
        <v>1</v>
      </c>
      <c r="K902" s="23" t="s">
        <v>107</v>
      </c>
      <c r="L902" s="23" t="s">
        <v>16</v>
      </c>
      <c r="M902" s="24"/>
    </row>
    <row r="903" spans="1:13">
      <c r="A903" s="22">
        <v>2512333</v>
      </c>
      <c r="B903" s="23" t="s">
        <v>3973</v>
      </c>
      <c r="C903" s="22" t="s">
        <v>3974</v>
      </c>
      <c r="D903" s="22" t="s">
        <v>3975</v>
      </c>
      <c r="E903" s="23" t="s">
        <v>127</v>
      </c>
      <c r="F903" s="23" t="s">
        <v>92</v>
      </c>
      <c r="G903" s="23" t="s">
        <v>26</v>
      </c>
      <c r="H903" s="23" t="s">
        <v>3969</v>
      </c>
      <c r="I903" s="23" t="s">
        <v>3976</v>
      </c>
      <c r="J903" s="23">
        <v>1</v>
      </c>
      <c r="K903" s="23" t="s">
        <v>107</v>
      </c>
      <c r="L903" s="23" t="s">
        <v>16</v>
      </c>
      <c r="M903" s="24" t="s">
        <v>49</v>
      </c>
    </row>
    <row r="904" spans="1:13">
      <c r="A904" s="22">
        <v>2525037</v>
      </c>
      <c r="B904" s="23" t="s">
        <v>3966</v>
      </c>
      <c r="C904" s="22" t="s">
        <v>3967</v>
      </c>
      <c r="D904" s="22" t="s">
        <v>3968</v>
      </c>
      <c r="E904" s="23" t="s">
        <v>84</v>
      </c>
      <c r="F904" s="23" t="s">
        <v>85</v>
      </c>
      <c r="G904" s="23" t="s">
        <v>26</v>
      </c>
      <c r="H904" s="23" t="s">
        <v>3977</v>
      </c>
      <c r="I904" s="23" t="s">
        <v>3978</v>
      </c>
      <c r="J904" s="23">
        <v>1</v>
      </c>
      <c r="K904" s="23" t="s">
        <v>107</v>
      </c>
      <c r="L904" s="23" t="s">
        <v>16</v>
      </c>
      <c r="M904" s="24"/>
    </row>
    <row r="905" spans="1:13">
      <c r="A905" s="22">
        <v>2519580</v>
      </c>
      <c r="B905" s="23" t="s">
        <v>3979</v>
      </c>
      <c r="C905" s="22" t="s">
        <v>3980</v>
      </c>
      <c r="D905" s="22" t="s">
        <v>3981</v>
      </c>
      <c r="E905" s="23" t="s">
        <v>84</v>
      </c>
      <c r="F905" s="23" t="s">
        <v>92</v>
      </c>
      <c r="G905" s="23" t="s">
        <v>26</v>
      </c>
      <c r="H905" s="23" t="s">
        <v>3982</v>
      </c>
      <c r="I905" s="23" t="s">
        <v>3983</v>
      </c>
      <c r="J905" s="23">
        <v>3</v>
      </c>
      <c r="K905" s="23" t="s">
        <v>107</v>
      </c>
      <c r="L905" s="23" t="s">
        <v>16</v>
      </c>
      <c r="M905" s="24" t="s">
        <v>49</v>
      </c>
    </row>
    <row r="906" spans="1:13">
      <c r="A906" s="22">
        <v>2524970</v>
      </c>
      <c r="B906" s="23" t="s">
        <v>3984</v>
      </c>
      <c r="C906" s="22" t="s">
        <v>3985</v>
      </c>
      <c r="D906" s="22" t="s">
        <v>3986</v>
      </c>
      <c r="E906" s="23" t="s">
        <v>84</v>
      </c>
      <c r="F906" s="23" t="s">
        <v>92</v>
      </c>
      <c r="G906" s="23" t="s">
        <v>26</v>
      </c>
      <c r="H906" s="23" t="s">
        <v>3987</v>
      </c>
      <c r="I906" s="23" t="s">
        <v>3988</v>
      </c>
      <c r="J906" s="20">
        <v>4</v>
      </c>
      <c r="K906" s="23" t="s">
        <v>19</v>
      </c>
      <c r="L906" s="23" t="s">
        <v>18</v>
      </c>
      <c r="M906" s="24"/>
    </row>
    <row r="907" spans="1:13">
      <c r="A907" s="19">
        <v>2529564</v>
      </c>
      <c r="B907" s="20" t="s">
        <v>3989</v>
      </c>
      <c r="C907" s="19" t="s">
        <v>3990</v>
      </c>
      <c r="D907" s="19" t="s">
        <v>3991</v>
      </c>
      <c r="E907" s="20" t="s">
        <v>84</v>
      </c>
      <c r="F907" s="20" t="s">
        <v>92</v>
      </c>
      <c r="G907" s="20" t="s">
        <v>26</v>
      </c>
      <c r="H907" s="20" t="s">
        <v>3992</v>
      </c>
      <c r="I907" s="20" t="s">
        <v>3992</v>
      </c>
      <c r="J907" s="23">
        <v>1</v>
      </c>
      <c r="K907" s="20" t="s">
        <v>107</v>
      </c>
      <c r="L907" s="20" t="s">
        <v>16</v>
      </c>
      <c r="M907" s="21"/>
    </row>
    <row r="908" spans="1:13">
      <c r="A908" s="19">
        <v>2519655</v>
      </c>
      <c r="B908" s="20" t="s">
        <v>3993</v>
      </c>
      <c r="C908" s="19" t="s">
        <v>3994</v>
      </c>
      <c r="D908" s="19" t="s">
        <v>3995</v>
      </c>
      <c r="E908" s="20" t="s">
        <v>127</v>
      </c>
      <c r="F908" s="20" t="s">
        <v>92</v>
      </c>
      <c r="G908" s="20" t="s">
        <v>26</v>
      </c>
      <c r="H908" s="20" t="s">
        <v>3996</v>
      </c>
      <c r="I908" s="20" t="s">
        <v>3997</v>
      </c>
      <c r="J908" s="23">
        <v>3</v>
      </c>
      <c r="K908" s="20" t="s">
        <v>107</v>
      </c>
      <c r="L908" s="20" t="s">
        <v>16</v>
      </c>
      <c r="M908" s="21"/>
    </row>
    <row r="909" spans="1:13">
      <c r="A909" s="22">
        <v>2525098</v>
      </c>
      <c r="B909" s="23" t="s">
        <v>3998</v>
      </c>
      <c r="C909" s="22" t="s">
        <v>3999</v>
      </c>
      <c r="D909" s="22" t="s">
        <v>4000</v>
      </c>
      <c r="E909" s="23" t="s">
        <v>84</v>
      </c>
      <c r="F909" s="23" t="s">
        <v>92</v>
      </c>
      <c r="G909" s="23" t="s">
        <v>26</v>
      </c>
      <c r="H909" s="23" t="s">
        <v>4001</v>
      </c>
      <c r="I909" s="23" t="s">
        <v>4002</v>
      </c>
      <c r="J909" s="20">
        <v>4</v>
      </c>
      <c r="K909" s="23" t="s">
        <v>107</v>
      </c>
      <c r="L909" s="23" t="s">
        <v>18</v>
      </c>
      <c r="M909" s="24"/>
    </row>
    <row r="910" spans="1:13">
      <c r="A910" s="19">
        <v>2521701</v>
      </c>
      <c r="B910" s="20" t="s">
        <v>4003</v>
      </c>
      <c r="C910" s="19" t="s">
        <v>4004</v>
      </c>
      <c r="D910" s="19" t="s">
        <v>4005</v>
      </c>
      <c r="E910" s="20" t="s">
        <v>84</v>
      </c>
      <c r="F910" s="20" t="s">
        <v>172</v>
      </c>
      <c r="G910" s="20" t="s">
        <v>26</v>
      </c>
      <c r="H910" s="20" t="s">
        <v>4006</v>
      </c>
      <c r="I910" s="20" t="s">
        <v>4007</v>
      </c>
      <c r="J910" s="23">
        <v>3</v>
      </c>
      <c r="K910" s="20" t="s">
        <v>107</v>
      </c>
      <c r="L910" s="20" t="s">
        <v>16</v>
      </c>
      <c r="M910" s="21" t="s">
        <v>455</v>
      </c>
    </row>
    <row r="911" spans="1:13">
      <c r="A911" s="19">
        <v>2529694</v>
      </c>
      <c r="B911" s="20" t="s">
        <v>4008</v>
      </c>
      <c r="C911" s="19" t="s">
        <v>4009</v>
      </c>
      <c r="D911" s="19" t="s">
        <v>4010</v>
      </c>
      <c r="E911" s="20" t="s">
        <v>84</v>
      </c>
      <c r="F911" s="20" t="s">
        <v>112</v>
      </c>
      <c r="G911" s="20" t="s">
        <v>26</v>
      </c>
      <c r="H911" s="20" t="s">
        <v>4011</v>
      </c>
      <c r="I911" s="20" t="s">
        <v>129</v>
      </c>
      <c r="J911" s="23">
        <v>1</v>
      </c>
      <c r="K911" s="20" t="s">
        <v>107</v>
      </c>
      <c r="L911" s="20" t="s">
        <v>16</v>
      </c>
      <c r="M911" s="21"/>
    </row>
    <row r="912" spans="1:13">
      <c r="A912" s="22">
        <v>2511227</v>
      </c>
      <c r="B912" s="23" t="s">
        <v>4012</v>
      </c>
      <c r="C912" s="22" t="s">
        <v>4013</v>
      </c>
      <c r="D912" s="22" t="s">
        <v>4014</v>
      </c>
      <c r="E912" s="23" t="s">
        <v>127</v>
      </c>
      <c r="F912" s="23" t="s">
        <v>92</v>
      </c>
      <c r="G912" s="23" t="s">
        <v>26</v>
      </c>
      <c r="H912" s="23" t="s">
        <v>4011</v>
      </c>
      <c r="I912" s="23" t="s">
        <v>129</v>
      </c>
      <c r="J912" s="23">
        <v>1</v>
      </c>
      <c r="K912" s="23" t="s">
        <v>107</v>
      </c>
      <c r="L912" s="23" t="s">
        <v>18</v>
      </c>
      <c r="M912" s="24" t="s">
        <v>108</v>
      </c>
    </row>
    <row r="913" spans="1:13">
      <c r="A913" s="22">
        <v>2511227</v>
      </c>
      <c r="B913" s="23" t="s">
        <v>4012</v>
      </c>
      <c r="C913" s="22" t="s">
        <v>4013</v>
      </c>
      <c r="D913" s="22" t="s">
        <v>4014</v>
      </c>
      <c r="E913" s="23" t="s">
        <v>127</v>
      </c>
      <c r="F913" s="23" t="s">
        <v>92</v>
      </c>
      <c r="G913" s="23" t="s">
        <v>26</v>
      </c>
      <c r="H913" s="23" t="s">
        <v>4011</v>
      </c>
      <c r="I913" s="23" t="s">
        <v>129</v>
      </c>
      <c r="J913" s="23">
        <v>1</v>
      </c>
      <c r="K913" s="23" t="s">
        <v>107</v>
      </c>
      <c r="L913" s="23" t="s">
        <v>18</v>
      </c>
      <c r="M913" s="24" t="s">
        <v>1016</v>
      </c>
    </row>
    <row r="914" spans="1:13">
      <c r="A914" s="19">
        <v>2532938</v>
      </c>
      <c r="B914" s="20" t="s">
        <v>4015</v>
      </c>
      <c r="C914" s="19" t="s">
        <v>4016</v>
      </c>
      <c r="D914" s="19" t="s">
        <v>4017</v>
      </c>
      <c r="E914" s="20" t="s">
        <v>84</v>
      </c>
      <c r="F914" s="20" t="s">
        <v>92</v>
      </c>
      <c r="G914" s="20" t="s">
        <v>26</v>
      </c>
      <c r="H914" s="20" t="s">
        <v>4011</v>
      </c>
      <c r="I914" s="20" t="s">
        <v>129</v>
      </c>
      <c r="J914" s="20">
        <v>2</v>
      </c>
      <c r="K914" s="20" t="s">
        <v>107</v>
      </c>
      <c r="L914" s="20" t="s">
        <v>16</v>
      </c>
      <c r="M914" s="21"/>
    </row>
    <row r="915" spans="1:13">
      <c r="A915" s="19">
        <v>2521800</v>
      </c>
      <c r="B915" s="20" t="s">
        <v>4018</v>
      </c>
      <c r="C915" s="19" t="s">
        <v>4019</v>
      </c>
      <c r="D915" s="19" t="s">
        <v>4020</v>
      </c>
      <c r="E915" s="20" t="s">
        <v>84</v>
      </c>
      <c r="F915" s="20" t="s">
        <v>92</v>
      </c>
      <c r="G915" s="20" t="s">
        <v>26</v>
      </c>
      <c r="H915" s="20" t="s">
        <v>4011</v>
      </c>
      <c r="I915" s="20" t="s">
        <v>129</v>
      </c>
      <c r="J915" s="23">
        <v>3</v>
      </c>
      <c r="K915" s="20" t="s">
        <v>107</v>
      </c>
      <c r="L915" s="20" t="s">
        <v>16</v>
      </c>
      <c r="M915" s="21" t="s">
        <v>864</v>
      </c>
    </row>
    <row r="916" spans="1:13">
      <c r="A916" s="19">
        <v>2519642</v>
      </c>
      <c r="B916" s="20" t="s">
        <v>4021</v>
      </c>
      <c r="C916" s="19" t="s">
        <v>4022</v>
      </c>
      <c r="D916" s="19" t="s">
        <v>4023</v>
      </c>
      <c r="E916" s="20" t="s">
        <v>84</v>
      </c>
      <c r="F916" s="20" t="s">
        <v>92</v>
      </c>
      <c r="G916" s="20" t="s">
        <v>26</v>
      </c>
      <c r="H916" s="20" t="s">
        <v>4011</v>
      </c>
      <c r="I916" s="20" t="s">
        <v>4024</v>
      </c>
      <c r="J916" s="20">
        <v>4</v>
      </c>
      <c r="K916" s="20" t="s">
        <v>19</v>
      </c>
      <c r="L916" s="20" t="s">
        <v>18</v>
      </c>
      <c r="M916" s="21"/>
    </row>
    <row r="917" spans="1:13">
      <c r="A917" s="19">
        <v>2524603</v>
      </c>
      <c r="B917" s="20" t="s">
        <v>4025</v>
      </c>
      <c r="C917" s="19" t="s">
        <v>4026</v>
      </c>
      <c r="D917" s="19" t="s">
        <v>4027</v>
      </c>
      <c r="E917" s="20" t="s">
        <v>84</v>
      </c>
      <c r="F917" s="20" t="s">
        <v>92</v>
      </c>
      <c r="G917" s="20" t="s">
        <v>26</v>
      </c>
      <c r="H917" s="20" t="s">
        <v>4011</v>
      </c>
      <c r="I917" s="20" t="s">
        <v>4028</v>
      </c>
      <c r="J917" s="20">
        <v>4</v>
      </c>
      <c r="K917" s="20" t="s">
        <v>19</v>
      </c>
      <c r="L917" s="20" t="s">
        <v>16</v>
      </c>
      <c r="M917" s="21"/>
    </row>
    <row r="918" spans="1:13">
      <c r="A918" s="19">
        <v>2522807</v>
      </c>
      <c r="B918" s="20" t="s">
        <v>4029</v>
      </c>
      <c r="C918" s="19" t="s">
        <v>4030</v>
      </c>
      <c r="D918" s="19" t="s">
        <v>4031</v>
      </c>
      <c r="E918" s="20" t="s">
        <v>84</v>
      </c>
      <c r="F918" s="20" t="s">
        <v>92</v>
      </c>
      <c r="G918" s="20" t="s">
        <v>26</v>
      </c>
      <c r="H918" s="20" t="s">
        <v>4011</v>
      </c>
      <c r="I918" s="20" t="s">
        <v>129</v>
      </c>
      <c r="J918" s="34" t="s">
        <v>34</v>
      </c>
      <c r="K918" s="20" t="s">
        <v>107</v>
      </c>
      <c r="L918" s="20" t="s">
        <v>18</v>
      </c>
      <c r="M918" s="21"/>
    </row>
    <row r="919" spans="1:13">
      <c r="A919" s="19">
        <v>896485</v>
      </c>
      <c r="B919" s="20" t="s">
        <v>4032</v>
      </c>
      <c r="C919" s="19" t="s">
        <v>4033</v>
      </c>
      <c r="D919" s="19" t="s">
        <v>4034</v>
      </c>
      <c r="E919" s="20" t="s">
        <v>127</v>
      </c>
      <c r="F919" s="20" t="s">
        <v>92</v>
      </c>
      <c r="G919" s="20" t="s">
        <v>26</v>
      </c>
      <c r="H919" s="20" t="s">
        <v>4011</v>
      </c>
      <c r="I919" s="20" t="s">
        <v>129</v>
      </c>
      <c r="J919" s="19" t="s">
        <v>1088</v>
      </c>
      <c r="K919" s="20" t="s">
        <v>19</v>
      </c>
      <c r="L919" s="20" t="s">
        <v>16</v>
      </c>
      <c r="M919" s="21" t="s">
        <v>16</v>
      </c>
    </row>
    <row r="920" spans="1:13">
      <c r="A920" s="19">
        <v>2518816</v>
      </c>
      <c r="B920" s="20" t="s">
        <v>4035</v>
      </c>
      <c r="C920" s="19" t="s">
        <v>4036</v>
      </c>
      <c r="D920" s="19" t="s">
        <v>4037</v>
      </c>
      <c r="E920" s="20" t="s">
        <v>84</v>
      </c>
      <c r="F920" s="20" t="s">
        <v>92</v>
      </c>
      <c r="G920" s="20" t="s">
        <v>26</v>
      </c>
      <c r="H920" s="20" t="s">
        <v>4038</v>
      </c>
      <c r="I920" s="20" t="s">
        <v>4039</v>
      </c>
      <c r="J920" s="20">
        <v>4</v>
      </c>
      <c r="K920" s="20" t="s">
        <v>107</v>
      </c>
      <c r="L920" s="20" t="s">
        <v>18</v>
      </c>
      <c r="M920" s="21" t="s">
        <v>49</v>
      </c>
    </row>
    <row r="921" spans="1:13">
      <c r="A921" s="19">
        <v>2445499</v>
      </c>
      <c r="B921" s="20" t="s">
        <v>4040</v>
      </c>
      <c r="C921" s="19" t="s">
        <v>4041</v>
      </c>
      <c r="D921" s="19" t="s">
        <v>4042</v>
      </c>
      <c r="E921" s="20" t="s">
        <v>127</v>
      </c>
      <c r="F921" s="20" t="s">
        <v>112</v>
      </c>
      <c r="G921" s="20" t="s">
        <v>26</v>
      </c>
      <c r="H921" s="20" t="s">
        <v>4043</v>
      </c>
      <c r="I921" s="20" t="s">
        <v>4044</v>
      </c>
      <c r="J921" s="19" t="s">
        <v>4045</v>
      </c>
      <c r="K921" s="20" t="s">
        <v>206</v>
      </c>
      <c r="L921" s="20" t="s">
        <v>16</v>
      </c>
      <c r="M921" s="21"/>
    </row>
    <row r="922" spans="1:13">
      <c r="A922" s="22">
        <v>2511302</v>
      </c>
      <c r="B922" s="23" t="s">
        <v>4046</v>
      </c>
      <c r="C922" s="22" t="s">
        <v>4047</v>
      </c>
      <c r="D922" s="22" t="s">
        <v>4048</v>
      </c>
      <c r="E922" s="23" t="s">
        <v>84</v>
      </c>
      <c r="F922" s="23" t="s">
        <v>85</v>
      </c>
      <c r="G922" s="23" t="s">
        <v>25</v>
      </c>
      <c r="H922" s="23" t="s">
        <v>4049</v>
      </c>
      <c r="I922" s="23" t="s">
        <v>4050</v>
      </c>
      <c r="J922" s="23">
        <v>1</v>
      </c>
      <c r="K922" s="23" t="s">
        <v>19</v>
      </c>
      <c r="L922" s="23" t="s">
        <v>18</v>
      </c>
      <c r="M922" s="24"/>
    </row>
    <row r="923" spans="1:13">
      <c r="A923" s="19">
        <v>2531313</v>
      </c>
      <c r="B923" s="20" t="s">
        <v>4051</v>
      </c>
      <c r="C923" s="19" t="s">
        <v>4052</v>
      </c>
      <c r="D923" s="19" t="s">
        <v>4053</v>
      </c>
      <c r="E923" s="20" t="s">
        <v>84</v>
      </c>
      <c r="F923" s="20" t="s">
        <v>85</v>
      </c>
      <c r="G923" s="20" t="s">
        <v>25</v>
      </c>
      <c r="H923" s="20" t="s">
        <v>4054</v>
      </c>
      <c r="I923" s="20" t="s">
        <v>4055</v>
      </c>
      <c r="J923" s="23">
        <v>1</v>
      </c>
      <c r="K923" s="20" t="s">
        <v>4056</v>
      </c>
      <c r="L923" s="20" t="s">
        <v>16</v>
      </c>
      <c r="M923" s="21" t="s">
        <v>4057</v>
      </c>
    </row>
    <row r="924" spans="1:13">
      <c r="A924" s="19">
        <v>2520986</v>
      </c>
      <c r="B924" s="20" t="s">
        <v>4058</v>
      </c>
      <c r="C924" s="19" t="s">
        <v>4059</v>
      </c>
      <c r="D924" s="19" t="s">
        <v>4060</v>
      </c>
      <c r="E924" s="20" t="s">
        <v>84</v>
      </c>
      <c r="F924" s="20" t="s">
        <v>92</v>
      </c>
      <c r="G924" s="20" t="s">
        <v>26</v>
      </c>
      <c r="H924" s="20" t="s">
        <v>4061</v>
      </c>
      <c r="I924" s="20" t="s">
        <v>4062</v>
      </c>
      <c r="J924" s="23">
        <v>1</v>
      </c>
      <c r="K924" s="20" t="s">
        <v>107</v>
      </c>
      <c r="L924" s="20" t="s">
        <v>16</v>
      </c>
      <c r="M924" s="21"/>
    </row>
    <row r="925" spans="1:13">
      <c r="A925" s="22">
        <v>2520986</v>
      </c>
      <c r="B925" s="23" t="s">
        <v>4058</v>
      </c>
      <c r="C925" s="22" t="s">
        <v>4059</v>
      </c>
      <c r="D925" s="22" t="s">
        <v>4060</v>
      </c>
      <c r="E925" s="23" t="s">
        <v>84</v>
      </c>
      <c r="F925" s="23" t="s">
        <v>92</v>
      </c>
      <c r="G925" s="23" t="s">
        <v>26</v>
      </c>
      <c r="H925" s="23" t="s">
        <v>4063</v>
      </c>
      <c r="I925" s="23" t="s">
        <v>4062</v>
      </c>
      <c r="J925" s="23">
        <v>1</v>
      </c>
      <c r="K925" s="23" t="s">
        <v>107</v>
      </c>
      <c r="L925" s="23" t="s">
        <v>16</v>
      </c>
      <c r="M925" s="24"/>
    </row>
    <row r="926" spans="1:13">
      <c r="A926" s="19">
        <v>2519669</v>
      </c>
      <c r="B926" s="20" t="s">
        <v>4064</v>
      </c>
      <c r="C926" s="19" t="s">
        <v>4065</v>
      </c>
      <c r="D926" s="19" t="s">
        <v>4066</v>
      </c>
      <c r="E926" s="20" t="s">
        <v>84</v>
      </c>
      <c r="F926" s="20" t="s">
        <v>92</v>
      </c>
      <c r="G926" s="20" t="s">
        <v>26</v>
      </c>
      <c r="H926" s="20" t="s">
        <v>4067</v>
      </c>
      <c r="I926" s="20" t="s">
        <v>4067</v>
      </c>
      <c r="J926" s="23">
        <v>1</v>
      </c>
      <c r="K926" s="20" t="s">
        <v>107</v>
      </c>
      <c r="L926" s="20" t="s">
        <v>16</v>
      </c>
      <c r="M926" s="21"/>
    </row>
    <row r="927" spans="1:13">
      <c r="A927" s="19">
        <v>2521659</v>
      </c>
      <c r="B927" s="20" t="s">
        <v>4068</v>
      </c>
      <c r="C927" s="19" t="s">
        <v>4069</v>
      </c>
      <c r="D927" s="19" t="s">
        <v>4070</v>
      </c>
      <c r="E927" s="20" t="s">
        <v>127</v>
      </c>
      <c r="F927" s="20" t="s">
        <v>85</v>
      </c>
      <c r="G927" s="20" t="s">
        <v>27</v>
      </c>
      <c r="H927" s="20" t="s">
        <v>4071</v>
      </c>
      <c r="I927" s="20" t="s">
        <v>4072</v>
      </c>
      <c r="J927" s="20">
        <v>4</v>
      </c>
      <c r="K927" s="20" t="s">
        <v>2699</v>
      </c>
      <c r="L927" s="20" t="s">
        <v>18</v>
      </c>
      <c r="M927" s="21"/>
    </row>
    <row r="928" spans="1:13">
      <c r="A928" s="19">
        <v>2521846</v>
      </c>
      <c r="B928" s="20" t="s">
        <v>4073</v>
      </c>
      <c r="C928" s="19" t="s">
        <v>4074</v>
      </c>
      <c r="D928" s="19" t="s">
        <v>4075</v>
      </c>
      <c r="E928" s="20" t="s">
        <v>84</v>
      </c>
      <c r="F928" s="20" t="s">
        <v>112</v>
      </c>
      <c r="G928" s="20" t="s">
        <v>26</v>
      </c>
      <c r="H928" s="20" t="s">
        <v>4076</v>
      </c>
      <c r="I928" s="20" t="s">
        <v>4077</v>
      </c>
      <c r="J928" s="23">
        <v>3</v>
      </c>
      <c r="K928" s="20" t="s">
        <v>19</v>
      </c>
      <c r="L928" s="20" t="s">
        <v>16</v>
      </c>
      <c r="M928" s="21"/>
    </row>
    <row r="929" spans="1:13">
      <c r="A929" s="19">
        <v>2521846</v>
      </c>
      <c r="B929" s="20" t="s">
        <v>4073</v>
      </c>
      <c r="C929" s="19" t="s">
        <v>4074</v>
      </c>
      <c r="D929" s="19" t="s">
        <v>4075</v>
      </c>
      <c r="E929" s="20" t="s">
        <v>84</v>
      </c>
      <c r="F929" s="20" t="s">
        <v>112</v>
      </c>
      <c r="G929" s="20" t="s">
        <v>26</v>
      </c>
      <c r="H929" s="20" t="s">
        <v>1912</v>
      </c>
      <c r="I929" s="20" t="s">
        <v>1912</v>
      </c>
      <c r="J929" s="23">
        <v>3</v>
      </c>
      <c r="K929" s="20" t="s">
        <v>19</v>
      </c>
      <c r="L929" s="20" t="s">
        <v>18</v>
      </c>
      <c r="M929" s="21"/>
    </row>
    <row r="930" spans="1:13">
      <c r="A930" s="19">
        <v>2521094</v>
      </c>
      <c r="B930" s="20" t="s">
        <v>4078</v>
      </c>
      <c r="C930" s="19" t="s">
        <v>4079</v>
      </c>
      <c r="D930" s="19" t="s">
        <v>4080</v>
      </c>
      <c r="E930" s="20" t="s">
        <v>84</v>
      </c>
      <c r="F930" s="20" t="s">
        <v>92</v>
      </c>
      <c r="G930" s="20" t="s">
        <v>26</v>
      </c>
      <c r="H930" s="20" t="s">
        <v>4081</v>
      </c>
      <c r="I930" s="20" t="s">
        <v>4081</v>
      </c>
      <c r="J930" s="20">
        <v>2</v>
      </c>
      <c r="K930" s="20" t="s">
        <v>206</v>
      </c>
      <c r="L930" s="20" t="s">
        <v>16</v>
      </c>
      <c r="M930" s="21"/>
    </row>
    <row r="931" spans="1:13">
      <c r="A931" s="19">
        <v>2523425</v>
      </c>
      <c r="B931" s="20" t="s">
        <v>4082</v>
      </c>
      <c r="C931" s="19" t="s">
        <v>4083</v>
      </c>
      <c r="D931" s="19" t="s">
        <v>4084</v>
      </c>
      <c r="E931" s="20" t="s">
        <v>84</v>
      </c>
      <c r="F931" s="20" t="s">
        <v>112</v>
      </c>
      <c r="G931" s="20" t="s">
        <v>25</v>
      </c>
      <c r="H931" s="20" t="s">
        <v>4085</v>
      </c>
      <c r="I931" s="20" t="s">
        <v>4085</v>
      </c>
      <c r="J931" s="34" t="s">
        <v>34</v>
      </c>
      <c r="K931" s="20" t="s">
        <v>215</v>
      </c>
      <c r="L931" s="20" t="s">
        <v>18</v>
      </c>
      <c r="M931" s="21"/>
    </row>
    <row r="932" spans="1:13">
      <c r="A932" s="19">
        <v>2511269</v>
      </c>
      <c r="B932" s="20" t="s">
        <v>4086</v>
      </c>
      <c r="C932" s="19" t="s">
        <v>4087</v>
      </c>
      <c r="D932" s="19" t="s">
        <v>4088</v>
      </c>
      <c r="E932" s="20" t="s">
        <v>127</v>
      </c>
      <c r="F932" s="20" t="s">
        <v>112</v>
      </c>
      <c r="G932" s="20" t="s">
        <v>27</v>
      </c>
      <c r="H932" s="20" t="s">
        <v>4089</v>
      </c>
      <c r="I932" s="20" t="s">
        <v>4090</v>
      </c>
      <c r="J932" s="34" t="s">
        <v>34</v>
      </c>
      <c r="K932" s="20" t="s">
        <v>4091</v>
      </c>
      <c r="L932" s="20" t="s">
        <v>18</v>
      </c>
      <c r="M932" s="21"/>
    </row>
    <row r="933" spans="1:13">
      <c r="A933" s="22">
        <v>2532946</v>
      </c>
      <c r="B933" s="23" t="s">
        <v>4092</v>
      </c>
      <c r="C933" s="22" t="s">
        <v>4093</v>
      </c>
      <c r="D933" s="22" t="s">
        <v>4094</v>
      </c>
      <c r="E933" s="23" t="s">
        <v>84</v>
      </c>
      <c r="F933" s="23" t="s">
        <v>85</v>
      </c>
      <c r="G933" s="23" t="s">
        <v>25</v>
      </c>
      <c r="H933" s="23" t="s">
        <v>4095</v>
      </c>
      <c r="I933" s="23" t="s">
        <v>4096</v>
      </c>
      <c r="J933" s="23">
        <v>2</v>
      </c>
      <c r="K933" s="23" t="s">
        <v>4097</v>
      </c>
      <c r="L933" s="23" t="s">
        <v>18</v>
      </c>
      <c r="M933" s="24" t="s">
        <v>1898</v>
      </c>
    </row>
    <row r="934" spans="1:13">
      <c r="A934" s="19">
        <v>2532946</v>
      </c>
      <c r="B934" s="20" t="s">
        <v>4092</v>
      </c>
      <c r="C934" s="19" t="s">
        <v>4093</v>
      </c>
      <c r="D934" s="19" t="s">
        <v>4094</v>
      </c>
      <c r="E934" s="20" t="s">
        <v>84</v>
      </c>
      <c r="F934" s="20" t="s">
        <v>85</v>
      </c>
      <c r="G934" s="20" t="s">
        <v>25</v>
      </c>
      <c r="H934" s="20" t="s">
        <v>4098</v>
      </c>
      <c r="I934" s="20" t="s">
        <v>4099</v>
      </c>
      <c r="J934" s="20">
        <v>2</v>
      </c>
      <c r="K934" s="20" t="s">
        <v>4097</v>
      </c>
      <c r="L934" s="20" t="s">
        <v>18</v>
      </c>
      <c r="M934" s="21"/>
    </row>
    <row r="935" spans="1:13">
      <c r="A935" s="19">
        <v>2529622</v>
      </c>
      <c r="B935" s="20" t="s">
        <v>4100</v>
      </c>
      <c r="C935" s="19" t="s">
        <v>4101</v>
      </c>
      <c r="D935" s="19" t="s">
        <v>4102</v>
      </c>
      <c r="E935" s="20" t="s">
        <v>84</v>
      </c>
      <c r="F935" s="20" t="s">
        <v>85</v>
      </c>
      <c r="G935" s="20" t="s">
        <v>27</v>
      </c>
      <c r="H935" s="20" t="s">
        <v>196</v>
      </c>
      <c r="I935" s="20" t="s">
        <v>4103</v>
      </c>
      <c r="J935" s="34" t="s">
        <v>34</v>
      </c>
      <c r="K935" s="20" t="s">
        <v>4104</v>
      </c>
      <c r="L935" s="20" t="s">
        <v>18</v>
      </c>
      <c r="M935" s="21"/>
    </row>
    <row r="936" spans="1:13">
      <c r="A936" s="19">
        <v>2518819</v>
      </c>
      <c r="B936" s="20" t="s">
        <v>4105</v>
      </c>
      <c r="C936" s="19" t="s">
        <v>4106</v>
      </c>
      <c r="D936" s="19" t="s">
        <v>4107</v>
      </c>
      <c r="E936" s="20" t="s">
        <v>84</v>
      </c>
      <c r="F936" s="20" t="s">
        <v>85</v>
      </c>
      <c r="G936" s="20" t="s">
        <v>25</v>
      </c>
      <c r="H936" s="20" t="s">
        <v>4108</v>
      </c>
      <c r="I936" s="20" t="s">
        <v>4109</v>
      </c>
      <c r="J936" s="23">
        <v>1</v>
      </c>
      <c r="K936" s="20" t="s">
        <v>19</v>
      </c>
      <c r="L936" s="20" t="s">
        <v>18</v>
      </c>
      <c r="M936" s="21"/>
    </row>
    <row r="937" spans="1:13">
      <c r="A937" s="22">
        <v>2531348</v>
      </c>
      <c r="B937" s="23" t="s">
        <v>3811</v>
      </c>
      <c r="C937" s="22" t="s">
        <v>3812</v>
      </c>
      <c r="D937" s="22" t="s">
        <v>3813</v>
      </c>
      <c r="E937" s="23" t="s">
        <v>84</v>
      </c>
      <c r="F937" s="23" t="s">
        <v>112</v>
      </c>
      <c r="G937" s="23" t="s">
        <v>25</v>
      </c>
      <c r="H937" s="23" t="s">
        <v>4110</v>
      </c>
      <c r="I937" s="23" t="s">
        <v>4111</v>
      </c>
      <c r="J937" s="36" t="s">
        <v>34</v>
      </c>
      <c r="K937" s="23" t="s">
        <v>4112</v>
      </c>
      <c r="L937" s="23" t="s">
        <v>18</v>
      </c>
      <c r="M937" s="24" t="s">
        <v>3815</v>
      </c>
    </row>
    <row r="938" spans="1:13">
      <c r="A938" s="22">
        <v>2516875</v>
      </c>
      <c r="B938" s="23" t="s">
        <v>4113</v>
      </c>
      <c r="C938" s="22" t="s">
        <v>4114</v>
      </c>
      <c r="D938" s="22" t="s">
        <v>4115</v>
      </c>
      <c r="E938" s="23" t="s">
        <v>84</v>
      </c>
      <c r="F938" s="23" t="s">
        <v>92</v>
      </c>
      <c r="G938" s="23" t="s">
        <v>26</v>
      </c>
      <c r="H938" s="23" t="s">
        <v>4116</v>
      </c>
      <c r="I938" s="23" t="s">
        <v>4117</v>
      </c>
      <c r="J938" s="20">
        <v>2</v>
      </c>
      <c r="K938" s="23" t="s">
        <v>19</v>
      </c>
      <c r="L938" s="23" t="s">
        <v>16</v>
      </c>
      <c r="M938" s="24" t="s">
        <v>38</v>
      </c>
    </row>
    <row r="939" spans="1:13">
      <c r="A939" s="19">
        <v>2516851</v>
      </c>
      <c r="B939" s="20" t="s">
        <v>4118</v>
      </c>
      <c r="C939" s="19" t="s">
        <v>4119</v>
      </c>
      <c r="D939" s="19" t="s">
        <v>4120</v>
      </c>
      <c r="E939" s="20" t="s">
        <v>84</v>
      </c>
      <c r="F939" s="20" t="s">
        <v>92</v>
      </c>
      <c r="G939" s="20" t="s">
        <v>26</v>
      </c>
      <c r="H939" s="20" t="s">
        <v>4121</v>
      </c>
      <c r="I939" s="20" t="s">
        <v>4122</v>
      </c>
      <c r="J939" s="23">
        <v>3</v>
      </c>
      <c r="K939" s="20" t="s">
        <v>107</v>
      </c>
      <c r="L939" s="20" t="s">
        <v>16</v>
      </c>
      <c r="M939" s="21" t="s">
        <v>16</v>
      </c>
    </row>
    <row r="940" spans="1:13">
      <c r="A940" s="19">
        <v>2516872</v>
      </c>
      <c r="B940" s="20" t="s">
        <v>4123</v>
      </c>
      <c r="C940" s="19" t="s">
        <v>4124</v>
      </c>
      <c r="D940" s="19" t="s">
        <v>4125</v>
      </c>
      <c r="E940" s="20" t="s">
        <v>415</v>
      </c>
      <c r="F940" s="20" t="s">
        <v>92</v>
      </c>
      <c r="G940" s="20" t="s">
        <v>26</v>
      </c>
      <c r="H940" s="20" t="s">
        <v>4126</v>
      </c>
      <c r="I940" s="20" t="s">
        <v>4127</v>
      </c>
      <c r="J940" s="20">
        <v>2</v>
      </c>
      <c r="K940" s="20" t="s">
        <v>19</v>
      </c>
      <c r="L940" s="20" t="s">
        <v>16</v>
      </c>
      <c r="M940" s="21" t="s">
        <v>49</v>
      </c>
    </row>
    <row r="941" spans="1:13">
      <c r="A941" s="22">
        <v>2529736</v>
      </c>
      <c r="B941" s="23" t="s">
        <v>4128</v>
      </c>
      <c r="C941" s="22" t="s">
        <v>4129</v>
      </c>
      <c r="D941" s="22" t="s">
        <v>4130</v>
      </c>
      <c r="E941" s="23" t="s">
        <v>84</v>
      </c>
      <c r="F941" s="23" t="s">
        <v>172</v>
      </c>
      <c r="G941" s="23" t="s">
        <v>26</v>
      </c>
      <c r="H941" s="23" t="s">
        <v>4131</v>
      </c>
      <c r="I941" s="23" t="s">
        <v>4132</v>
      </c>
      <c r="J941" s="23">
        <v>1</v>
      </c>
      <c r="K941" s="23" t="s">
        <v>19</v>
      </c>
      <c r="L941" s="23" t="s">
        <v>16</v>
      </c>
      <c r="M941" s="24"/>
    </row>
    <row r="942" spans="1:13">
      <c r="A942" s="22">
        <v>2529736</v>
      </c>
      <c r="B942" s="23" t="s">
        <v>4128</v>
      </c>
      <c r="C942" s="22" t="s">
        <v>4129</v>
      </c>
      <c r="D942" s="22" t="s">
        <v>4130</v>
      </c>
      <c r="E942" s="23" t="s">
        <v>84</v>
      </c>
      <c r="F942" s="23" t="s">
        <v>92</v>
      </c>
      <c r="G942" s="23" t="s">
        <v>26</v>
      </c>
      <c r="H942" s="23" t="s">
        <v>4131</v>
      </c>
      <c r="I942" s="23" t="s">
        <v>4132</v>
      </c>
      <c r="J942" s="23">
        <v>1</v>
      </c>
      <c r="K942" s="23" t="s">
        <v>19</v>
      </c>
      <c r="L942" s="23" t="s">
        <v>16</v>
      </c>
      <c r="M942" s="24"/>
    </row>
    <row r="943" spans="1:13">
      <c r="A943" s="22">
        <v>2512370</v>
      </c>
      <c r="B943" s="23" t="s">
        <v>4133</v>
      </c>
      <c r="C943" s="22" t="s">
        <v>4134</v>
      </c>
      <c r="D943" s="22" t="s">
        <v>4135</v>
      </c>
      <c r="E943" s="23" t="s">
        <v>127</v>
      </c>
      <c r="F943" s="23" t="s">
        <v>92</v>
      </c>
      <c r="G943" s="23" t="s">
        <v>26</v>
      </c>
      <c r="H943" s="23" t="s">
        <v>4131</v>
      </c>
      <c r="I943" s="23" t="s">
        <v>4136</v>
      </c>
      <c r="J943" s="20">
        <v>2</v>
      </c>
      <c r="K943" s="23" t="s">
        <v>107</v>
      </c>
      <c r="L943" s="23" t="s">
        <v>16</v>
      </c>
      <c r="M943" s="24"/>
    </row>
    <row r="944" spans="1:13">
      <c r="A944" s="22">
        <v>2512370</v>
      </c>
      <c r="B944" s="23" t="s">
        <v>4133</v>
      </c>
      <c r="C944" s="22" t="s">
        <v>4134</v>
      </c>
      <c r="D944" s="22" t="s">
        <v>4135</v>
      </c>
      <c r="E944" s="23" t="s">
        <v>127</v>
      </c>
      <c r="F944" s="23" t="s">
        <v>92</v>
      </c>
      <c r="G944" s="23" t="s">
        <v>26</v>
      </c>
      <c r="H944" s="23" t="s">
        <v>4131</v>
      </c>
      <c r="I944" s="23" t="s">
        <v>4137</v>
      </c>
      <c r="J944" s="20">
        <v>2</v>
      </c>
      <c r="K944" s="23" t="s">
        <v>107</v>
      </c>
      <c r="L944" s="23" t="s">
        <v>16</v>
      </c>
      <c r="M944" s="24"/>
    </row>
    <row r="945" spans="1:13">
      <c r="A945" s="22">
        <v>2521099</v>
      </c>
      <c r="B945" s="23" t="s">
        <v>4138</v>
      </c>
      <c r="C945" s="22" t="s">
        <v>4139</v>
      </c>
      <c r="D945" s="22" t="s">
        <v>4140</v>
      </c>
      <c r="E945" s="23" t="s">
        <v>127</v>
      </c>
      <c r="F945" s="23" t="s">
        <v>92</v>
      </c>
      <c r="G945" s="23" t="s">
        <v>26</v>
      </c>
      <c r="H945" s="23" t="s">
        <v>4131</v>
      </c>
      <c r="I945" s="23" t="s">
        <v>4141</v>
      </c>
      <c r="J945" s="23">
        <v>3</v>
      </c>
      <c r="K945" s="23" t="s">
        <v>19</v>
      </c>
      <c r="L945" s="23" t="s">
        <v>16</v>
      </c>
      <c r="M945" s="24"/>
    </row>
    <row r="946" spans="1:13">
      <c r="A946" s="19">
        <v>2521128</v>
      </c>
      <c r="B946" s="20" t="s">
        <v>4142</v>
      </c>
      <c r="C946" s="19" t="s">
        <v>4143</v>
      </c>
      <c r="D946" s="19" t="s">
        <v>4144</v>
      </c>
      <c r="E946" s="20" t="s">
        <v>84</v>
      </c>
      <c r="F946" s="20" t="s">
        <v>92</v>
      </c>
      <c r="G946" s="20" t="s">
        <v>26</v>
      </c>
      <c r="H946" s="20" t="s">
        <v>4131</v>
      </c>
      <c r="I946" s="20" t="s">
        <v>4145</v>
      </c>
      <c r="J946" s="20">
        <v>4</v>
      </c>
      <c r="K946" s="20" t="s">
        <v>19</v>
      </c>
      <c r="L946" s="20" t="s">
        <v>16</v>
      </c>
      <c r="M946" s="21"/>
    </row>
    <row r="947" spans="1:13">
      <c r="A947" s="22">
        <v>2521128</v>
      </c>
      <c r="B947" s="23" t="s">
        <v>4142</v>
      </c>
      <c r="C947" s="22" t="s">
        <v>4143</v>
      </c>
      <c r="D947" s="22" t="s">
        <v>4144</v>
      </c>
      <c r="E947" s="23" t="s">
        <v>84</v>
      </c>
      <c r="F947" s="23" t="s">
        <v>92</v>
      </c>
      <c r="G947" s="23" t="s">
        <v>26</v>
      </c>
      <c r="H947" s="23" t="s">
        <v>4131</v>
      </c>
      <c r="I947" s="23" t="s">
        <v>4146</v>
      </c>
      <c r="J947" s="20">
        <v>4</v>
      </c>
      <c r="K947" s="23" t="s">
        <v>19</v>
      </c>
      <c r="L947" s="23" t="s">
        <v>16</v>
      </c>
      <c r="M947" s="24"/>
    </row>
    <row r="948" spans="1:13">
      <c r="A948" s="19">
        <v>2521113</v>
      </c>
      <c r="B948" s="20" t="s">
        <v>4147</v>
      </c>
      <c r="C948" s="19" t="s">
        <v>4148</v>
      </c>
      <c r="D948" s="19" t="s">
        <v>4149</v>
      </c>
      <c r="E948" s="20" t="s">
        <v>84</v>
      </c>
      <c r="F948" s="20" t="s">
        <v>92</v>
      </c>
      <c r="G948" s="20" t="s">
        <v>26</v>
      </c>
      <c r="H948" s="20" t="s">
        <v>4150</v>
      </c>
      <c r="I948" s="20" t="s">
        <v>4151</v>
      </c>
      <c r="J948" s="20">
        <v>4</v>
      </c>
      <c r="K948" s="20" t="s">
        <v>206</v>
      </c>
      <c r="L948" s="20" t="s">
        <v>16</v>
      </c>
      <c r="M948" s="21"/>
    </row>
    <row r="949" spans="1:13">
      <c r="A949" s="22">
        <v>2530180</v>
      </c>
      <c r="B949" s="23" t="s">
        <v>4152</v>
      </c>
      <c r="C949" s="22" t="s">
        <v>4153</v>
      </c>
      <c r="D949" s="22" t="s">
        <v>4154</v>
      </c>
      <c r="E949" s="23" t="s">
        <v>84</v>
      </c>
      <c r="F949" s="23" t="s">
        <v>92</v>
      </c>
      <c r="G949" s="23" t="s">
        <v>26</v>
      </c>
      <c r="H949" s="23" t="s">
        <v>4155</v>
      </c>
      <c r="I949" s="23" t="s">
        <v>4156</v>
      </c>
      <c r="J949" s="23">
        <v>1</v>
      </c>
      <c r="K949" s="23" t="s">
        <v>19</v>
      </c>
      <c r="L949" s="23" t="s">
        <v>16</v>
      </c>
      <c r="M949" s="24"/>
    </row>
    <row r="950" spans="1:13">
      <c r="A950" s="19">
        <v>2529722</v>
      </c>
      <c r="B950" s="20" t="s">
        <v>4157</v>
      </c>
      <c r="C950" s="19" t="s">
        <v>4158</v>
      </c>
      <c r="D950" s="19" t="s">
        <v>4159</v>
      </c>
      <c r="E950" s="20" t="s">
        <v>84</v>
      </c>
      <c r="F950" s="20" t="s">
        <v>92</v>
      </c>
      <c r="G950" s="20" t="s">
        <v>26</v>
      </c>
      <c r="H950" s="20" t="s">
        <v>4155</v>
      </c>
      <c r="I950" s="20" t="s">
        <v>4160</v>
      </c>
      <c r="J950" s="23">
        <v>1</v>
      </c>
      <c r="K950" s="20" t="s">
        <v>19</v>
      </c>
      <c r="L950" s="20" t="s">
        <v>16</v>
      </c>
      <c r="M950" s="21"/>
    </row>
    <row r="951" spans="1:13">
      <c r="A951" s="22">
        <v>2529683</v>
      </c>
      <c r="B951" s="23" t="s">
        <v>4161</v>
      </c>
      <c r="C951" s="22" t="s">
        <v>4162</v>
      </c>
      <c r="D951" s="22" t="s">
        <v>4163</v>
      </c>
      <c r="E951" s="23" t="s">
        <v>84</v>
      </c>
      <c r="F951" s="23" t="s">
        <v>92</v>
      </c>
      <c r="G951" s="23" t="s">
        <v>26</v>
      </c>
      <c r="H951" s="23" t="s">
        <v>4164</v>
      </c>
      <c r="I951" s="23" t="s">
        <v>4165</v>
      </c>
      <c r="J951" s="23">
        <v>1</v>
      </c>
      <c r="K951" s="23" t="s">
        <v>107</v>
      </c>
      <c r="L951" s="23" t="s">
        <v>16</v>
      </c>
      <c r="M951" s="24" t="s">
        <v>864</v>
      </c>
    </row>
    <row r="952" spans="1:13">
      <c r="A952" s="22">
        <v>2524657</v>
      </c>
      <c r="B952" s="23" t="s">
        <v>4166</v>
      </c>
      <c r="C952" s="22" t="s">
        <v>4167</v>
      </c>
      <c r="D952" s="22" t="s">
        <v>4168</v>
      </c>
      <c r="E952" s="23" t="s">
        <v>384</v>
      </c>
      <c r="F952" s="23" t="s">
        <v>92</v>
      </c>
      <c r="G952" s="23" t="s">
        <v>26</v>
      </c>
      <c r="H952" s="23" t="s">
        <v>4169</v>
      </c>
      <c r="I952" s="23" t="s">
        <v>4170</v>
      </c>
      <c r="J952" s="23">
        <v>1</v>
      </c>
      <c r="K952" s="23" t="s">
        <v>107</v>
      </c>
      <c r="L952" s="23" t="s">
        <v>16</v>
      </c>
      <c r="M952" s="24"/>
    </row>
    <row r="953" spans="1:13">
      <c r="A953" s="19">
        <v>2516807</v>
      </c>
      <c r="B953" s="20" t="s">
        <v>268</v>
      </c>
      <c r="C953" s="19" t="s">
        <v>265</v>
      </c>
      <c r="D953" s="19" t="s">
        <v>266</v>
      </c>
      <c r="E953" s="20" t="s">
        <v>84</v>
      </c>
      <c r="F953" s="20" t="s">
        <v>92</v>
      </c>
      <c r="G953" s="20" t="s">
        <v>26</v>
      </c>
      <c r="H953" s="20" t="s">
        <v>4171</v>
      </c>
      <c r="I953" s="20" t="s">
        <v>4172</v>
      </c>
      <c r="J953" s="34">
        <v>3</v>
      </c>
      <c r="K953" s="20" t="s">
        <v>19</v>
      </c>
      <c r="L953" s="20" t="s">
        <v>16</v>
      </c>
      <c r="M953" s="21"/>
    </row>
    <row r="954" spans="1:13">
      <c r="A954" s="19">
        <v>2516807</v>
      </c>
      <c r="B954" s="20" t="s">
        <v>268</v>
      </c>
      <c r="C954" s="19" t="s">
        <v>265</v>
      </c>
      <c r="D954" s="19" t="s">
        <v>266</v>
      </c>
      <c r="E954" s="20" t="s">
        <v>84</v>
      </c>
      <c r="F954" s="20" t="s">
        <v>92</v>
      </c>
      <c r="G954" s="20" t="s">
        <v>26</v>
      </c>
      <c r="H954" s="20" t="s">
        <v>4173</v>
      </c>
      <c r="I954" s="20" t="s">
        <v>4172</v>
      </c>
      <c r="J954" s="20">
        <v>3</v>
      </c>
      <c r="K954" s="20" t="s">
        <v>19</v>
      </c>
      <c r="L954" s="20" t="s">
        <v>16</v>
      </c>
      <c r="M954" s="21"/>
    </row>
    <row r="955" spans="1:13">
      <c r="A955" s="19">
        <v>2521095</v>
      </c>
      <c r="B955" s="20" t="s">
        <v>4174</v>
      </c>
      <c r="C955" s="19" t="s">
        <v>4175</v>
      </c>
      <c r="D955" s="19" t="s">
        <v>4176</v>
      </c>
      <c r="E955" s="20" t="s">
        <v>84</v>
      </c>
      <c r="F955" s="20" t="s">
        <v>92</v>
      </c>
      <c r="G955" s="20" t="s">
        <v>26</v>
      </c>
      <c r="H955" s="20" t="s">
        <v>4177</v>
      </c>
      <c r="I955" s="20" t="s">
        <v>4178</v>
      </c>
      <c r="J955" s="23">
        <v>3</v>
      </c>
      <c r="K955" s="20" t="s">
        <v>19</v>
      </c>
      <c r="L955" s="20" t="s">
        <v>16</v>
      </c>
      <c r="M955" s="21"/>
    </row>
    <row r="956" spans="1:13">
      <c r="A956" s="19">
        <v>2521253</v>
      </c>
      <c r="B956" s="20" t="s">
        <v>4179</v>
      </c>
      <c r="C956" s="19" t="s">
        <v>4180</v>
      </c>
      <c r="D956" s="19" t="s">
        <v>4181</v>
      </c>
      <c r="E956" s="20" t="s">
        <v>127</v>
      </c>
      <c r="F956" s="20" t="s">
        <v>92</v>
      </c>
      <c r="G956" s="20" t="s">
        <v>26</v>
      </c>
      <c r="H956" s="20" t="s">
        <v>4182</v>
      </c>
      <c r="I956" s="20" t="s">
        <v>4183</v>
      </c>
      <c r="J956" s="34" t="s">
        <v>34</v>
      </c>
      <c r="K956" s="20" t="s">
        <v>107</v>
      </c>
      <c r="L956" s="20" t="s">
        <v>16</v>
      </c>
      <c r="M956" s="21"/>
    </row>
    <row r="957" spans="1:13">
      <c r="A957" s="22">
        <v>2533022</v>
      </c>
      <c r="B957" s="23" t="s">
        <v>4184</v>
      </c>
      <c r="C957" s="22" t="s">
        <v>4185</v>
      </c>
      <c r="D957" s="22" t="s">
        <v>4186</v>
      </c>
      <c r="E957" s="23" t="s">
        <v>84</v>
      </c>
      <c r="F957" s="23" t="s">
        <v>92</v>
      </c>
      <c r="G957" s="23" t="s">
        <v>26</v>
      </c>
      <c r="H957" s="23" t="s">
        <v>4187</v>
      </c>
      <c r="I957" s="23" t="s">
        <v>4188</v>
      </c>
      <c r="J957" s="23">
        <v>1</v>
      </c>
      <c r="K957" s="23" t="s">
        <v>107</v>
      </c>
      <c r="L957" s="23" t="s">
        <v>16</v>
      </c>
      <c r="M957" s="24"/>
    </row>
    <row r="958" spans="1:13">
      <c r="A958" s="19">
        <v>2531396</v>
      </c>
      <c r="B958" s="20" t="s">
        <v>4189</v>
      </c>
      <c r="C958" s="19" t="s">
        <v>4190</v>
      </c>
      <c r="D958" s="19" t="s">
        <v>4191</v>
      </c>
      <c r="E958" s="20" t="s">
        <v>84</v>
      </c>
      <c r="F958" s="20" t="s">
        <v>92</v>
      </c>
      <c r="G958" s="20" t="s">
        <v>26</v>
      </c>
      <c r="H958" s="20" t="s">
        <v>4192</v>
      </c>
      <c r="I958" s="20" t="s">
        <v>4193</v>
      </c>
      <c r="J958" s="23">
        <v>1</v>
      </c>
      <c r="K958" s="20" t="s">
        <v>107</v>
      </c>
      <c r="L958" s="20" t="s">
        <v>16</v>
      </c>
      <c r="M958" s="21" t="s">
        <v>16</v>
      </c>
    </row>
    <row r="959" spans="1:13">
      <c r="A959" s="22">
        <v>2533594</v>
      </c>
      <c r="B959" s="23" t="s">
        <v>4194</v>
      </c>
      <c r="C959" s="22" t="s">
        <v>4195</v>
      </c>
      <c r="D959" s="22" t="s">
        <v>4196</v>
      </c>
      <c r="E959" s="23" t="s">
        <v>84</v>
      </c>
      <c r="F959" s="23" t="s">
        <v>92</v>
      </c>
      <c r="G959" s="23" t="s">
        <v>26</v>
      </c>
      <c r="H959" s="23" t="s">
        <v>4192</v>
      </c>
      <c r="I959" s="23" t="s">
        <v>4197</v>
      </c>
      <c r="J959" s="23">
        <v>1</v>
      </c>
      <c r="K959" s="23" t="s">
        <v>19</v>
      </c>
      <c r="L959" s="23" t="s">
        <v>16</v>
      </c>
      <c r="M959" s="24"/>
    </row>
    <row r="960" spans="1:13">
      <c r="A960" s="22">
        <v>2520941</v>
      </c>
      <c r="B960" s="23" t="s">
        <v>4198</v>
      </c>
      <c r="C960" s="22" t="s">
        <v>4199</v>
      </c>
      <c r="D960" s="22" t="s">
        <v>4200</v>
      </c>
      <c r="E960" s="23" t="s">
        <v>84</v>
      </c>
      <c r="F960" s="23" t="s">
        <v>92</v>
      </c>
      <c r="G960" s="23" t="s">
        <v>26</v>
      </c>
      <c r="H960" s="23" t="s">
        <v>4201</v>
      </c>
      <c r="I960" s="23" t="s">
        <v>4202</v>
      </c>
      <c r="J960" s="23">
        <v>3</v>
      </c>
      <c r="K960" s="23" t="s">
        <v>19</v>
      </c>
      <c r="L960" s="23" t="s">
        <v>18</v>
      </c>
      <c r="M960" s="24"/>
    </row>
    <row r="961" spans="1:13">
      <c r="A961" s="19">
        <v>2526161</v>
      </c>
      <c r="B961" s="20" t="s">
        <v>4203</v>
      </c>
      <c r="C961" s="19" t="s">
        <v>4204</v>
      </c>
      <c r="D961" s="19" t="s">
        <v>4205</v>
      </c>
      <c r="E961" s="20" t="s">
        <v>84</v>
      </c>
      <c r="F961" s="20" t="s">
        <v>92</v>
      </c>
      <c r="G961" s="20" t="s">
        <v>24</v>
      </c>
      <c r="H961" s="20" t="s">
        <v>4206</v>
      </c>
      <c r="I961" s="20" t="s">
        <v>4207</v>
      </c>
      <c r="J961" s="34" t="s">
        <v>34</v>
      </c>
      <c r="K961" s="20" t="s">
        <v>107</v>
      </c>
      <c r="L961" s="20" t="s">
        <v>18</v>
      </c>
      <c r="M961" s="21"/>
    </row>
    <row r="962" spans="1:13">
      <c r="A962" s="19">
        <v>2526161</v>
      </c>
      <c r="B962" s="20" t="s">
        <v>4203</v>
      </c>
      <c r="C962" s="19" t="s">
        <v>4204</v>
      </c>
      <c r="D962" s="19" t="s">
        <v>4205</v>
      </c>
      <c r="E962" s="20" t="s">
        <v>84</v>
      </c>
      <c r="F962" s="20" t="s">
        <v>92</v>
      </c>
      <c r="G962" s="20" t="s">
        <v>24</v>
      </c>
      <c r="H962" s="20" t="s">
        <v>4206</v>
      </c>
      <c r="I962" s="20" t="s">
        <v>4207</v>
      </c>
      <c r="J962" s="34" t="s">
        <v>34</v>
      </c>
      <c r="K962" s="20" t="s">
        <v>107</v>
      </c>
      <c r="L962" s="20" t="s">
        <v>18</v>
      </c>
      <c r="M962" s="21"/>
    </row>
    <row r="963" spans="1:13">
      <c r="A963" s="19">
        <v>2526161</v>
      </c>
      <c r="B963" s="20" t="s">
        <v>4203</v>
      </c>
      <c r="C963" s="19" t="s">
        <v>4204</v>
      </c>
      <c r="D963" s="19" t="s">
        <v>4205</v>
      </c>
      <c r="E963" s="20" t="s">
        <v>84</v>
      </c>
      <c r="F963" s="20" t="s">
        <v>92</v>
      </c>
      <c r="G963" s="20" t="s">
        <v>24</v>
      </c>
      <c r="H963" s="20" t="s">
        <v>4208</v>
      </c>
      <c r="I963" s="20" t="s">
        <v>4209</v>
      </c>
      <c r="J963" s="20" t="s">
        <v>34</v>
      </c>
      <c r="K963" s="20" t="s">
        <v>107</v>
      </c>
      <c r="L963" s="20" t="s">
        <v>18</v>
      </c>
      <c r="M963" s="21"/>
    </row>
    <row r="964" spans="1:13">
      <c r="A964" s="19">
        <v>2533594</v>
      </c>
      <c r="B964" s="20" t="s">
        <v>4194</v>
      </c>
      <c r="C964" s="19" t="s">
        <v>4195</v>
      </c>
      <c r="D964" s="19" t="s">
        <v>4196</v>
      </c>
      <c r="E964" s="20" t="s">
        <v>84</v>
      </c>
      <c r="F964" s="20" t="s">
        <v>92</v>
      </c>
      <c r="G964" s="20" t="s">
        <v>26</v>
      </c>
      <c r="H964" s="20" t="s">
        <v>4210</v>
      </c>
      <c r="I964" s="20" t="s">
        <v>4211</v>
      </c>
      <c r="J964" s="23">
        <v>1</v>
      </c>
      <c r="K964" s="20" t="s">
        <v>19</v>
      </c>
      <c r="L964" s="20" t="s">
        <v>16</v>
      </c>
      <c r="M964" s="21"/>
    </row>
    <row r="965" spans="1:13">
      <c r="A965" s="19">
        <v>2524520</v>
      </c>
      <c r="B965" s="20" t="s">
        <v>4212</v>
      </c>
      <c r="C965" s="19" t="s">
        <v>4213</v>
      </c>
      <c r="D965" s="19" t="s">
        <v>4214</v>
      </c>
      <c r="E965" s="20" t="s">
        <v>84</v>
      </c>
      <c r="F965" s="20" t="s">
        <v>92</v>
      </c>
      <c r="G965" s="20" t="s">
        <v>26</v>
      </c>
      <c r="H965" s="20" t="s">
        <v>4215</v>
      </c>
      <c r="I965" s="20" t="s">
        <v>4216</v>
      </c>
      <c r="J965" s="20">
        <v>4</v>
      </c>
      <c r="K965" s="20" t="s">
        <v>19</v>
      </c>
      <c r="L965" s="20" t="s">
        <v>16</v>
      </c>
      <c r="M965" s="21"/>
    </row>
    <row r="966" spans="1:13">
      <c r="A966" s="19">
        <v>2521306</v>
      </c>
      <c r="B966" s="20" t="s">
        <v>4217</v>
      </c>
      <c r="C966" s="19" t="s">
        <v>4218</v>
      </c>
      <c r="D966" s="19" t="s">
        <v>4219</v>
      </c>
      <c r="E966" s="20" t="s">
        <v>84</v>
      </c>
      <c r="F966" s="20" t="s">
        <v>92</v>
      </c>
      <c r="G966" s="20" t="s">
        <v>26</v>
      </c>
      <c r="H966" s="20" t="s">
        <v>4220</v>
      </c>
      <c r="I966" s="20" t="s">
        <v>4221</v>
      </c>
      <c r="J966" s="34" t="s">
        <v>34</v>
      </c>
      <c r="K966" s="20" t="s">
        <v>19</v>
      </c>
      <c r="L966" s="20" t="s">
        <v>18</v>
      </c>
      <c r="M966" s="21"/>
    </row>
    <row r="967" spans="1:13">
      <c r="A967" s="19">
        <v>2532964</v>
      </c>
      <c r="B967" s="20" t="s">
        <v>4222</v>
      </c>
      <c r="C967" s="19" t="s">
        <v>4223</v>
      </c>
      <c r="D967" s="19" t="s">
        <v>4224</v>
      </c>
      <c r="E967" s="20" t="s">
        <v>127</v>
      </c>
      <c r="F967" s="20" t="s">
        <v>92</v>
      </c>
      <c r="G967" s="20" t="s">
        <v>26</v>
      </c>
      <c r="H967" s="20" t="s">
        <v>4225</v>
      </c>
      <c r="I967" s="20" t="s">
        <v>4226</v>
      </c>
      <c r="J967" s="23">
        <v>3</v>
      </c>
      <c r="K967" s="20" t="s">
        <v>107</v>
      </c>
      <c r="L967" s="20" t="s">
        <v>16</v>
      </c>
      <c r="M967" s="21"/>
    </row>
    <row r="968" spans="1:13">
      <c r="A968" s="19">
        <v>2529515</v>
      </c>
      <c r="B968" s="20" t="s">
        <v>4227</v>
      </c>
      <c r="C968" s="19" t="s">
        <v>4228</v>
      </c>
      <c r="D968" s="19" t="s">
        <v>4229</v>
      </c>
      <c r="E968" s="20" t="s">
        <v>84</v>
      </c>
      <c r="F968" s="20" t="s">
        <v>92</v>
      </c>
      <c r="G968" s="20" t="s">
        <v>26</v>
      </c>
      <c r="H968" s="20" t="s">
        <v>4230</v>
      </c>
      <c r="I968" s="20" t="s">
        <v>267</v>
      </c>
      <c r="J968" s="20">
        <v>4</v>
      </c>
      <c r="K968" s="20" t="s">
        <v>107</v>
      </c>
      <c r="L968" s="20" t="s">
        <v>16</v>
      </c>
      <c r="M968" s="21"/>
    </row>
    <row r="969" spans="1:13">
      <c r="A969" s="22">
        <v>2531282</v>
      </c>
      <c r="B969" s="23" t="s">
        <v>4231</v>
      </c>
      <c r="C969" s="22" t="s">
        <v>4232</v>
      </c>
      <c r="D969" s="22" t="s">
        <v>4233</v>
      </c>
      <c r="E969" s="23" t="s">
        <v>84</v>
      </c>
      <c r="F969" s="23" t="s">
        <v>92</v>
      </c>
      <c r="G969" s="23" t="s">
        <v>26</v>
      </c>
      <c r="H969" s="23" t="s">
        <v>4234</v>
      </c>
      <c r="I969" s="23" t="s">
        <v>4235</v>
      </c>
      <c r="J969" s="23">
        <v>1</v>
      </c>
      <c r="K969" s="23" t="s">
        <v>107</v>
      </c>
      <c r="L969" s="23" t="s">
        <v>18</v>
      </c>
      <c r="M969" s="24"/>
    </row>
    <row r="970" spans="1:13">
      <c r="A970" s="19">
        <v>2531388</v>
      </c>
      <c r="B970" s="20" t="s">
        <v>4236</v>
      </c>
      <c r="C970" s="19" t="s">
        <v>4237</v>
      </c>
      <c r="D970" s="19" t="s">
        <v>4238</v>
      </c>
      <c r="E970" s="20" t="s">
        <v>84</v>
      </c>
      <c r="F970" s="20" t="s">
        <v>92</v>
      </c>
      <c r="G970" s="20" t="s">
        <v>26</v>
      </c>
      <c r="H970" s="20" t="s">
        <v>4239</v>
      </c>
      <c r="I970" s="20" t="s">
        <v>4240</v>
      </c>
      <c r="J970" s="23">
        <v>1</v>
      </c>
      <c r="K970" s="20" t="s">
        <v>107</v>
      </c>
      <c r="L970" s="20" t="s">
        <v>16</v>
      </c>
      <c r="M970" s="21"/>
    </row>
    <row r="971" spans="1:13">
      <c r="A971" s="19">
        <v>2533171</v>
      </c>
      <c r="B971" s="20" t="s">
        <v>4241</v>
      </c>
      <c r="C971" s="19" t="s">
        <v>4242</v>
      </c>
      <c r="D971" s="19" t="s">
        <v>4243</v>
      </c>
      <c r="E971" s="20" t="s">
        <v>84</v>
      </c>
      <c r="F971" s="20" t="s">
        <v>92</v>
      </c>
      <c r="G971" s="20" t="s">
        <v>26</v>
      </c>
      <c r="H971" s="20" t="s">
        <v>4244</v>
      </c>
      <c r="I971" s="20" t="s">
        <v>4245</v>
      </c>
      <c r="J971" s="23">
        <v>1</v>
      </c>
      <c r="K971" s="20" t="s">
        <v>19</v>
      </c>
      <c r="L971" s="20" t="s">
        <v>16</v>
      </c>
      <c r="M971" s="21"/>
    </row>
    <row r="972" spans="1:13">
      <c r="A972" s="22">
        <v>2533171</v>
      </c>
      <c r="B972" s="23" t="s">
        <v>4241</v>
      </c>
      <c r="C972" s="22" t="s">
        <v>4242</v>
      </c>
      <c r="D972" s="22" t="s">
        <v>4243</v>
      </c>
      <c r="E972" s="23" t="s">
        <v>84</v>
      </c>
      <c r="F972" s="23" t="s">
        <v>92</v>
      </c>
      <c r="G972" s="23" t="s">
        <v>26</v>
      </c>
      <c r="H972" s="23" t="s">
        <v>4244</v>
      </c>
      <c r="I972" s="23" t="s">
        <v>4246</v>
      </c>
      <c r="J972" s="23">
        <v>1</v>
      </c>
      <c r="K972" s="23" t="s">
        <v>19</v>
      </c>
      <c r="L972" s="23" t="s">
        <v>16</v>
      </c>
      <c r="M972" s="24"/>
    </row>
    <row r="973" spans="1:13">
      <c r="A973" s="19">
        <v>2524647</v>
      </c>
      <c r="B973" s="20" t="s">
        <v>4247</v>
      </c>
      <c r="C973" s="19" t="s">
        <v>4248</v>
      </c>
      <c r="D973" s="19" t="s">
        <v>4249</v>
      </c>
      <c r="E973" s="20" t="s">
        <v>84</v>
      </c>
      <c r="F973" s="20" t="s">
        <v>92</v>
      </c>
      <c r="G973" s="20" t="s">
        <v>26</v>
      </c>
      <c r="H973" s="20" t="s">
        <v>4250</v>
      </c>
      <c r="I973" s="20" t="s">
        <v>4251</v>
      </c>
      <c r="J973" s="20">
        <v>4</v>
      </c>
      <c r="K973" s="20" t="s">
        <v>19</v>
      </c>
      <c r="L973" s="20" t="s">
        <v>16</v>
      </c>
      <c r="M973" s="21"/>
    </row>
    <row r="974" spans="1:13">
      <c r="A974" s="19">
        <v>339353873025</v>
      </c>
      <c r="B974" s="20" t="s">
        <v>4252</v>
      </c>
      <c r="C974" s="19" t="s">
        <v>4253</v>
      </c>
      <c r="D974" s="19" t="s">
        <v>4254</v>
      </c>
      <c r="E974" s="20" t="s">
        <v>178</v>
      </c>
      <c r="F974" s="20" t="s">
        <v>85</v>
      </c>
      <c r="G974" s="20" t="s">
        <v>26</v>
      </c>
      <c r="H974" s="20" t="s">
        <v>4255</v>
      </c>
      <c r="I974" s="20" t="s">
        <v>4256</v>
      </c>
      <c r="J974" s="20">
        <v>5</v>
      </c>
      <c r="K974" s="20" t="s">
        <v>107</v>
      </c>
      <c r="L974" s="20" t="s">
        <v>18</v>
      </c>
      <c r="M974" s="21" t="s">
        <v>4057</v>
      </c>
    </row>
    <row r="975" spans="1:13">
      <c r="A975" s="22">
        <v>2519735</v>
      </c>
      <c r="B975" s="23" t="s">
        <v>4257</v>
      </c>
      <c r="C975" s="22" t="s">
        <v>4258</v>
      </c>
      <c r="D975" s="22" t="s">
        <v>4259</v>
      </c>
      <c r="E975" s="23" t="s">
        <v>127</v>
      </c>
      <c r="F975" s="23" t="s">
        <v>92</v>
      </c>
      <c r="G975" s="23" t="s">
        <v>26</v>
      </c>
      <c r="H975" s="23" t="s">
        <v>4260</v>
      </c>
      <c r="I975" s="23" t="s">
        <v>4261</v>
      </c>
      <c r="J975" s="23">
        <v>3</v>
      </c>
      <c r="K975" s="23" t="s">
        <v>19</v>
      </c>
      <c r="L975" s="23" t="s">
        <v>18</v>
      </c>
      <c r="M975" s="24"/>
    </row>
    <row r="976" spans="1:13">
      <c r="A976" s="19">
        <v>2531863</v>
      </c>
      <c r="B976" s="20" t="s">
        <v>4262</v>
      </c>
      <c r="C976" s="19" t="s">
        <v>4263</v>
      </c>
      <c r="D976" s="19" t="s">
        <v>4264</v>
      </c>
      <c r="E976" s="20" t="s">
        <v>84</v>
      </c>
      <c r="F976" s="20" t="s">
        <v>92</v>
      </c>
      <c r="G976" s="20" t="s">
        <v>26</v>
      </c>
      <c r="H976" s="20" t="s">
        <v>4265</v>
      </c>
      <c r="I976" s="20" t="s">
        <v>4266</v>
      </c>
      <c r="J976" s="20">
        <v>2</v>
      </c>
      <c r="K976" s="20" t="s">
        <v>19</v>
      </c>
      <c r="L976" s="20" t="s">
        <v>16</v>
      </c>
      <c r="M976" s="21" t="s">
        <v>4267</v>
      </c>
    </row>
    <row r="977" spans="1:13">
      <c r="A977" s="22">
        <v>2531372</v>
      </c>
      <c r="B977" s="23" t="s">
        <v>4268</v>
      </c>
      <c r="C977" s="22" t="s">
        <v>4269</v>
      </c>
      <c r="D977" s="22" t="s">
        <v>4270</v>
      </c>
      <c r="E977" s="23" t="s">
        <v>84</v>
      </c>
      <c r="F977" s="23" t="s">
        <v>92</v>
      </c>
      <c r="G977" s="23" t="s">
        <v>26</v>
      </c>
      <c r="H977" s="23" t="s">
        <v>4271</v>
      </c>
      <c r="I977" s="23" t="s">
        <v>4272</v>
      </c>
      <c r="J977" s="20">
        <v>2</v>
      </c>
      <c r="K977" s="23" t="s">
        <v>107</v>
      </c>
      <c r="L977" s="23" t="s">
        <v>16</v>
      </c>
      <c r="M977" s="24"/>
    </row>
    <row r="978" spans="1:13">
      <c r="A978" s="19">
        <v>2533166</v>
      </c>
      <c r="B978" s="20" t="s">
        <v>4273</v>
      </c>
      <c r="C978" s="19" t="s">
        <v>4274</v>
      </c>
      <c r="D978" s="19" t="s">
        <v>4275</v>
      </c>
      <c r="E978" s="20" t="s">
        <v>127</v>
      </c>
      <c r="F978" s="20" t="s">
        <v>92</v>
      </c>
      <c r="G978" s="20" t="s">
        <v>26</v>
      </c>
      <c r="H978" s="20" t="s">
        <v>4276</v>
      </c>
      <c r="I978" s="20" t="s">
        <v>4277</v>
      </c>
      <c r="J978" s="20">
        <v>2</v>
      </c>
      <c r="K978" s="20" t="s">
        <v>107</v>
      </c>
      <c r="L978" s="20" t="s">
        <v>16</v>
      </c>
      <c r="M978" s="21"/>
    </row>
    <row r="979" spans="1:13">
      <c r="A979" s="19">
        <v>2519596</v>
      </c>
      <c r="B979" s="20" t="s">
        <v>4278</v>
      </c>
      <c r="C979" s="19" t="s">
        <v>4279</v>
      </c>
      <c r="D979" s="19" t="s">
        <v>4280</v>
      </c>
      <c r="E979" s="20" t="s">
        <v>84</v>
      </c>
      <c r="F979" s="20" t="s">
        <v>92</v>
      </c>
      <c r="G979" s="20" t="s">
        <v>26</v>
      </c>
      <c r="H979" s="20" t="s">
        <v>4281</v>
      </c>
      <c r="I979" s="20" t="s">
        <v>4282</v>
      </c>
      <c r="J979" s="23">
        <v>3</v>
      </c>
      <c r="K979" s="20" t="s">
        <v>107</v>
      </c>
      <c r="L979" s="20" t="s">
        <v>18</v>
      </c>
      <c r="M979" s="21"/>
    </row>
    <row r="980" spans="1:13">
      <c r="A980" s="22">
        <v>2521704</v>
      </c>
      <c r="B980" s="23" t="s">
        <v>4283</v>
      </c>
      <c r="C980" s="22" t="s">
        <v>4284</v>
      </c>
      <c r="D980" s="22" t="s">
        <v>4285</v>
      </c>
      <c r="E980" s="23" t="s">
        <v>84</v>
      </c>
      <c r="F980" s="23" t="s">
        <v>92</v>
      </c>
      <c r="G980" s="23" t="s">
        <v>26</v>
      </c>
      <c r="H980" s="23" t="s">
        <v>4286</v>
      </c>
      <c r="I980" s="23" t="s">
        <v>4287</v>
      </c>
      <c r="J980" s="34" t="s">
        <v>34</v>
      </c>
      <c r="K980" s="23" t="s">
        <v>107</v>
      </c>
      <c r="L980" s="23" t="s">
        <v>16</v>
      </c>
      <c r="M980" s="24"/>
    </row>
    <row r="981" spans="1:13">
      <c r="A981" s="22">
        <v>2531425</v>
      </c>
      <c r="B981" s="23" t="s">
        <v>4288</v>
      </c>
      <c r="C981" s="22" t="s">
        <v>4289</v>
      </c>
      <c r="D981" s="22" t="s">
        <v>4290</v>
      </c>
      <c r="E981" s="23" t="s">
        <v>84</v>
      </c>
      <c r="F981" s="23" t="s">
        <v>85</v>
      </c>
      <c r="G981" s="23" t="s">
        <v>26</v>
      </c>
      <c r="H981" s="23" t="s">
        <v>4291</v>
      </c>
      <c r="I981" s="23" t="s">
        <v>4291</v>
      </c>
      <c r="J981" s="20">
        <v>5</v>
      </c>
      <c r="K981" s="23" t="s">
        <v>206</v>
      </c>
      <c r="L981" s="23" t="s">
        <v>16</v>
      </c>
      <c r="M981" s="24" t="s">
        <v>1016</v>
      </c>
    </row>
    <row r="982" spans="1:13">
      <c r="A982" s="19">
        <v>2531425</v>
      </c>
      <c r="B982" s="20" t="s">
        <v>4288</v>
      </c>
      <c r="C982" s="19" t="s">
        <v>4289</v>
      </c>
      <c r="D982" s="19" t="s">
        <v>4290</v>
      </c>
      <c r="E982" s="20" t="s">
        <v>84</v>
      </c>
      <c r="F982" s="20" t="s">
        <v>85</v>
      </c>
      <c r="G982" s="20" t="s">
        <v>26</v>
      </c>
      <c r="H982" s="20" t="s">
        <v>4291</v>
      </c>
      <c r="I982" s="20" t="s">
        <v>4292</v>
      </c>
      <c r="J982" s="20">
        <v>5</v>
      </c>
      <c r="K982" s="20" t="s">
        <v>206</v>
      </c>
      <c r="L982" s="20" t="s">
        <v>18</v>
      </c>
      <c r="M982" s="21" t="s">
        <v>631</v>
      </c>
    </row>
    <row r="983" spans="1:13">
      <c r="A983" s="22">
        <v>2533203</v>
      </c>
      <c r="B983" s="23" t="s">
        <v>4293</v>
      </c>
      <c r="C983" s="22" t="s">
        <v>4294</v>
      </c>
      <c r="D983" s="22" t="s">
        <v>4295</v>
      </c>
      <c r="E983" s="23" t="s">
        <v>84</v>
      </c>
      <c r="F983" s="23" t="s">
        <v>92</v>
      </c>
      <c r="G983" s="23" t="s">
        <v>26</v>
      </c>
      <c r="H983" s="23" t="s">
        <v>4296</v>
      </c>
      <c r="I983" s="23" t="s">
        <v>4297</v>
      </c>
      <c r="J983" s="34" t="s">
        <v>34</v>
      </c>
      <c r="K983" s="23" t="s">
        <v>19</v>
      </c>
      <c r="L983" s="23" t="s">
        <v>16</v>
      </c>
      <c r="M983" s="24"/>
    </row>
    <row r="984" spans="1:13">
      <c r="A984" s="19">
        <v>2530200</v>
      </c>
      <c r="B984" s="20" t="s">
        <v>4298</v>
      </c>
      <c r="C984" s="19" t="s">
        <v>4299</v>
      </c>
      <c r="D984" s="19" t="s">
        <v>4300</v>
      </c>
      <c r="E984" s="20" t="s">
        <v>84</v>
      </c>
      <c r="F984" s="20" t="s">
        <v>92</v>
      </c>
      <c r="G984" s="20" t="s">
        <v>25</v>
      </c>
      <c r="H984" s="20" t="s">
        <v>4301</v>
      </c>
      <c r="I984" s="20" t="s">
        <v>4302</v>
      </c>
      <c r="J984" s="23">
        <v>1</v>
      </c>
      <c r="K984" s="20" t="s">
        <v>4303</v>
      </c>
      <c r="L984" s="20" t="s">
        <v>18</v>
      </c>
      <c r="M984" s="21"/>
    </row>
    <row r="985" spans="1:13">
      <c r="A985" s="19">
        <v>2529652</v>
      </c>
      <c r="B985" s="20" t="s">
        <v>4304</v>
      </c>
      <c r="C985" s="19" t="s">
        <v>4305</v>
      </c>
      <c r="D985" s="19" t="s">
        <v>4306</v>
      </c>
      <c r="E985" s="20" t="s">
        <v>84</v>
      </c>
      <c r="F985" s="20" t="s">
        <v>92</v>
      </c>
      <c r="G985" s="20" t="s">
        <v>26</v>
      </c>
      <c r="H985" s="20" t="s">
        <v>4307</v>
      </c>
      <c r="I985" s="20" t="s">
        <v>4307</v>
      </c>
      <c r="J985" s="34" t="s">
        <v>34</v>
      </c>
      <c r="K985" s="20" t="s">
        <v>107</v>
      </c>
      <c r="L985" s="20" t="s">
        <v>16</v>
      </c>
      <c r="M985" s="21" t="s">
        <v>4308</v>
      </c>
    </row>
    <row r="986" spans="1:13">
      <c r="A986" s="22">
        <v>2521704</v>
      </c>
      <c r="B986" s="23" t="s">
        <v>4283</v>
      </c>
      <c r="C986" s="22" t="s">
        <v>4284</v>
      </c>
      <c r="D986" s="22" t="s">
        <v>4285</v>
      </c>
      <c r="E986" s="23" t="s">
        <v>84</v>
      </c>
      <c r="F986" s="23" t="s">
        <v>92</v>
      </c>
      <c r="G986" s="23" t="s">
        <v>26</v>
      </c>
      <c r="H986" s="23" t="s">
        <v>4309</v>
      </c>
      <c r="I986" s="23" t="s">
        <v>4310</v>
      </c>
      <c r="J986" s="34" t="s">
        <v>34</v>
      </c>
      <c r="K986" s="23" t="s">
        <v>107</v>
      </c>
      <c r="L986" s="23" t="s">
        <v>16</v>
      </c>
      <c r="M986" s="24"/>
    </row>
    <row r="987" spans="1:13">
      <c r="A987" s="19">
        <v>2519595</v>
      </c>
      <c r="B987" s="20" t="s">
        <v>4311</v>
      </c>
      <c r="C987" s="19" t="s">
        <v>4312</v>
      </c>
      <c r="D987" s="19" t="s">
        <v>4313</v>
      </c>
      <c r="E987" s="20" t="s">
        <v>84</v>
      </c>
      <c r="F987" s="20" t="s">
        <v>92</v>
      </c>
      <c r="G987" s="20" t="s">
        <v>26</v>
      </c>
      <c r="H987" s="20" t="s">
        <v>4314</v>
      </c>
      <c r="I987" s="20" t="s">
        <v>4315</v>
      </c>
      <c r="J987" s="23">
        <v>1</v>
      </c>
      <c r="K987" s="20" t="s">
        <v>107</v>
      </c>
      <c r="L987" s="20" t="s">
        <v>16</v>
      </c>
      <c r="M987" s="21"/>
    </row>
    <row r="988" spans="1:13">
      <c r="A988" s="19">
        <v>2531404</v>
      </c>
      <c r="B988" s="20" t="s">
        <v>4316</v>
      </c>
      <c r="C988" s="19" t="s">
        <v>4317</v>
      </c>
      <c r="D988" s="19" t="s">
        <v>4318</v>
      </c>
      <c r="E988" s="20" t="s">
        <v>84</v>
      </c>
      <c r="F988" s="20" t="s">
        <v>92</v>
      </c>
      <c r="G988" s="20" t="s">
        <v>26</v>
      </c>
      <c r="H988" s="20" t="s">
        <v>4319</v>
      </c>
      <c r="I988" s="20" t="s">
        <v>4319</v>
      </c>
      <c r="J988" s="20">
        <v>2</v>
      </c>
      <c r="K988" s="20" t="s">
        <v>19</v>
      </c>
      <c r="L988" s="20" t="s">
        <v>18</v>
      </c>
      <c r="M988" s="21"/>
    </row>
    <row r="989" spans="1:13">
      <c r="A989" s="22">
        <v>2512328</v>
      </c>
      <c r="B989" s="23" t="s">
        <v>4320</v>
      </c>
      <c r="C989" s="22" t="s">
        <v>4321</v>
      </c>
      <c r="D989" s="22" t="s">
        <v>4322</v>
      </c>
      <c r="E989" s="23" t="s">
        <v>84</v>
      </c>
      <c r="F989" s="23" t="s">
        <v>92</v>
      </c>
      <c r="G989" s="23" t="s">
        <v>26</v>
      </c>
      <c r="H989" s="23" t="s">
        <v>4323</v>
      </c>
      <c r="I989" s="23" t="s">
        <v>4323</v>
      </c>
      <c r="J989" s="20">
        <v>2</v>
      </c>
      <c r="K989" s="23" t="s">
        <v>107</v>
      </c>
      <c r="L989" s="23" t="s">
        <v>16</v>
      </c>
      <c r="M989" s="24"/>
    </row>
    <row r="990" spans="1:13">
      <c r="A990" s="22">
        <v>339353873025</v>
      </c>
      <c r="B990" s="23" t="s">
        <v>4252</v>
      </c>
      <c r="C990" s="22" t="s">
        <v>4253</v>
      </c>
      <c r="D990" s="22" t="s">
        <v>4254</v>
      </c>
      <c r="E990" s="23" t="s">
        <v>84</v>
      </c>
      <c r="F990" s="23" t="s">
        <v>85</v>
      </c>
      <c r="G990" s="23" t="s">
        <v>26</v>
      </c>
      <c r="H990" s="23" t="s">
        <v>4324</v>
      </c>
      <c r="I990" s="23" t="s">
        <v>4325</v>
      </c>
      <c r="J990" s="20">
        <v>5</v>
      </c>
      <c r="K990" s="23" t="s">
        <v>107</v>
      </c>
      <c r="L990" s="23" t="s">
        <v>16</v>
      </c>
      <c r="M990" s="24" t="s">
        <v>4326</v>
      </c>
    </row>
    <row r="991" spans="1:13">
      <c r="A991" s="19">
        <v>2512328</v>
      </c>
      <c r="B991" s="20" t="s">
        <v>4320</v>
      </c>
      <c r="C991" s="19" t="s">
        <v>4321</v>
      </c>
      <c r="D991" s="19" t="s">
        <v>4322</v>
      </c>
      <c r="E991" s="20" t="s">
        <v>84</v>
      </c>
      <c r="F991" s="20" t="s">
        <v>92</v>
      </c>
      <c r="G991" s="20" t="s">
        <v>26</v>
      </c>
      <c r="H991" s="20" t="s">
        <v>4327</v>
      </c>
      <c r="I991" s="20" t="s">
        <v>4328</v>
      </c>
      <c r="J991" s="20">
        <v>2</v>
      </c>
      <c r="K991" s="20" t="s">
        <v>107</v>
      </c>
      <c r="L991" s="20" t="s">
        <v>16</v>
      </c>
      <c r="M991" s="21"/>
    </row>
    <row r="992" spans="1:13">
      <c r="A992" s="19">
        <v>339353873025</v>
      </c>
      <c r="B992" s="20" t="s">
        <v>4329</v>
      </c>
      <c r="C992" s="19" t="s">
        <v>4253</v>
      </c>
      <c r="D992" s="19" t="s">
        <v>4254</v>
      </c>
      <c r="E992" s="20" t="s">
        <v>84</v>
      </c>
      <c r="F992" s="20" t="s">
        <v>85</v>
      </c>
      <c r="G992" s="20" t="s">
        <v>26</v>
      </c>
      <c r="H992" s="20" t="s">
        <v>4330</v>
      </c>
      <c r="I992" s="20" t="s">
        <v>4331</v>
      </c>
      <c r="J992" s="20">
        <v>5</v>
      </c>
      <c r="K992" s="20" t="s">
        <v>107</v>
      </c>
      <c r="L992" s="20" t="s">
        <v>16</v>
      </c>
      <c r="M992" s="21" t="s">
        <v>4057</v>
      </c>
    </row>
    <row r="993" spans="1:13">
      <c r="A993" s="19">
        <v>2511276</v>
      </c>
      <c r="B993" s="20" t="s">
        <v>4332</v>
      </c>
      <c r="C993" s="19" t="s">
        <v>4333</v>
      </c>
      <c r="D993" s="19" t="s">
        <v>4334</v>
      </c>
      <c r="E993" s="20" t="s">
        <v>127</v>
      </c>
      <c r="F993" s="20" t="s">
        <v>92</v>
      </c>
      <c r="G993" s="20" t="s">
        <v>26</v>
      </c>
      <c r="H993" s="20" t="s">
        <v>4335</v>
      </c>
      <c r="I993" s="20" t="s">
        <v>4336</v>
      </c>
      <c r="J993" s="23">
        <v>1</v>
      </c>
      <c r="K993" s="20" t="s">
        <v>19</v>
      </c>
      <c r="L993" s="20" t="s">
        <v>16</v>
      </c>
      <c r="M993" s="21"/>
    </row>
    <row r="994" spans="1:13">
      <c r="A994" s="22">
        <v>2531427</v>
      </c>
      <c r="B994" s="23" t="s">
        <v>4337</v>
      </c>
      <c r="C994" s="22" t="s">
        <v>4253</v>
      </c>
      <c r="D994" s="22" t="s">
        <v>4254</v>
      </c>
      <c r="E994" s="23" t="s">
        <v>84</v>
      </c>
      <c r="F994" s="23" t="s">
        <v>85</v>
      </c>
      <c r="G994" s="23" t="s">
        <v>26</v>
      </c>
      <c r="H994" s="23" t="s">
        <v>4338</v>
      </c>
      <c r="I994" s="23" t="s">
        <v>4339</v>
      </c>
      <c r="J994" s="20">
        <v>5</v>
      </c>
      <c r="K994" s="23" t="s">
        <v>107</v>
      </c>
      <c r="L994" s="23" t="s">
        <v>16</v>
      </c>
      <c r="M994" s="24" t="s">
        <v>4340</v>
      </c>
    </row>
    <row r="995" spans="1:13">
      <c r="A995" s="22">
        <v>2531427</v>
      </c>
      <c r="B995" s="23" t="s">
        <v>4337</v>
      </c>
      <c r="C995" s="22" t="s">
        <v>4253</v>
      </c>
      <c r="D995" s="22" t="s">
        <v>4254</v>
      </c>
      <c r="E995" s="23" t="s">
        <v>84</v>
      </c>
      <c r="F995" s="23" t="s">
        <v>85</v>
      </c>
      <c r="G995" s="23" t="s">
        <v>26</v>
      </c>
      <c r="H995" s="23" t="s">
        <v>4338</v>
      </c>
      <c r="I995" s="23" t="s">
        <v>4339</v>
      </c>
      <c r="J995" s="36">
        <v>5</v>
      </c>
      <c r="K995" s="23" t="s">
        <v>107</v>
      </c>
      <c r="L995" s="23" t="s">
        <v>16</v>
      </c>
      <c r="M995" s="24" t="s">
        <v>4340</v>
      </c>
    </row>
    <row r="996" spans="1:13">
      <c r="A996" s="22">
        <v>2531427</v>
      </c>
      <c r="B996" s="23" t="s">
        <v>4337</v>
      </c>
      <c r="C996" s="22" t="s">
        <v>4253</v>
      </c>
      <c r="D996" s="22" t="s">
        <v>4254</v>
      </c>
      <c r="E996" s="23" t="s">
        <v>84</v>
      </c>
      <c r="F996" s="23" t="s">
        <v>85</v>
      </c>
      <c r="G996" s="23" t="s">
        <v>26</v>
      </c>
      <c r="H996" s="23" t="s">
        <v>4338</v>
      </c>
      <c r="I996" s="23" t="s">
        <v>4339</v>
      </c>
      <c r="J996" s="23">
        <v>5</v>
      </c>
      <c r="K996" s="23" t="s">
        <v>107</v>
      </c>
      <c r="L996" s="23" t="s">
        <v>16</v>
      </c>
      <c r="M996" s="24" t="s">
        <v>4340</v>
      </c>
    </row>
    <row r="997" spans="1:13">
      <c r="A997" s="19">
        <v>2533169</v>
      </c>
      <c r="B997" s="20" t="s">
        <v>4341</v>
      </c>
      <c r="C997" s="19" t="s">
        <v>4342</v>
      </c>
      <c r="D997" s="19" t="s">
        <v>4343</v>
      </c>
      <c r="E997" s="20" t="s">
        <v>84</v>
      </c>
      <c r="F997" s="20" t="s">
        <v>92</v>
      </c>
      <c r="G997" s="20" t="s">
        <v>26</v>
      </c>
      <c r="H997" s="20" t="s">
        <v>4344</v>
      </c>
      <c r="I997" s="20" t="s">
        <v>4345</v>
      </c>
      <c r="J997" s="34" t="s">
        <v>34</v>
      </c>
      <c r="K997" s="20" t="s">
        <v>107</v>
      </c>
      <c r="L997" s="20" t="s">
        <v>18</v>
      </c>
      <c r="M997" s="21"/>
    </row>
    <row r="998" spans="1:13">
      <c r="A998" s="19">
        <v>2492364</v>
      </c>
      <c r="B998" s="20" t="s">
        <v>4346</v>
      </c>
      <c r="C998" s="19" t="s">
        <v>4347</v>
      </c>
      <c r="D998" s="19" t="s">
        <v>4348</v>
      </c>
      <c r="E998" s="20" t="s">
        <v>84</v>
      </c>
      <c r="F998" s="20" t="s">
        <v>92</v>
      </c>
      <c r="G998" s="20" t="s">
        <v>26</v>
      </c>
      <c r="H998" s="20" t="s">
        <v>4349</v>
      </c>
      <c r="I998" s="20" t="s">
        <v>4350</v>
      </c>
      <c r="J998" s="23">
        <v>3</v>
      </c>
      <c r="K998" s="20" t="s">
        <v>206</v>
      </c>
      <c r="L998" s="20" t="s">
        <v>16</v>
      </c>
      <c r="M998" s="21"/>
    </row>
    <row r="999" spans="1:13">
      <c r="A999" s="19">
        <v>2512348</v>
      </c>
      <c r="B999" s="20" t="s">
        <v>4351</v>
      </c>
      <c r="C999" s="19" t="s">
        <v>4352</v>
      </c>
      <c r="D999" s="19" t="s">
        <v>4353</v>
      </c>
      <c r="E999" s="20" t="s">
        <v>415</v>
      </c>
      <c r="F999" s="20" t="s">
        <v>85</v>
      </c>
      <c r="G999" s="20" t="s">
        <v>27</v>
      </c>
      <c r="H999" s="20" t="s">
        <v>4354</v>
      </c>
      <c r="I999" s="20" t="s">
        <v>4355</v>
      </c>
      <c r="J999" s="20">
        <v>5</v>
      </c>
      <c r="K999" s="20" t="s">
        <v>107</v>
      </c>
      <c r="L999" s="20" t="s">
        <v>16</v>
      </c>
      <c r="M999" s="21"/>
    </row>
    <row r="1000" spans="1:13">
      <c r="A1000" s="19">
        <v>2521090</v>
      </c>
      <c r="B1000" s="20" t="s">
        <v>4356</v>
      </c>
      <c r="C1000" s="19" t="s">
        <v>4357</v>
      </c>
      <c r="D1000" s="19" t="s">
        <v>4358</v>
      </c>
      <c r="E1000" s="20" t="s">
        <v>84</v>
      </c>
      <c r="F1000" s="20" t="s">
        <v>92</v>
      </c>
      <c r="G1000" s="20" t="s">
        <v>26</v>
      </c>
      <c r="H1000" s="20" t="s">
        <v>4359</v>
      </c>
      <c r="I1000" s="20" t="s">
        <v>4360</v>
      </c>
      <c r="J1000" s="20">
        <v>10</v>
      </c>
      <c r="K1000" s="20" t="s">
        <v>3492</v>
      </c>
      <c r="L1000" s="20" t="s">
        <v>16</v>
      </c>
      <c r="M1000" s="21"/>
    </row>
    <row r="1001" spans="1:13">
      <c r="A1001" s="22">
        <v>2521085</v>
      </c>
      <c r="B1001" s="23" t="s">
        <v>4361</v>
      </c>
      <c r="C1001" s="22" t="s">
        <v>4362</v>
      </c>
      <c r="D1001" s="22" t="s">
        <v>4363</v>
      </c>
      <c r="E1001" s="23" t="s">
        <v>84</v>
      </c>
      <c r="F1001" s="23" t="s">
        <v>92</v>
      </c>
      <c r="G1001" s="23" t="s">
        <v>27</v>
      </c>
      <c r="H1001" s="23" t="s">
        <v>4359</v>
      </c>
      <c r="I1001" s="23" t="s">
        <v>4364</v>
      </c>
      <c r="J1001" s="20">
        <v>10</v>
      </c>
      <c r="K1001" s="23" t="s">
        <v>19</v>
      </c>
      <c r="L1001" s="23" t="s">
        <v>16</v>
      </c>
      <c r="M1001" s="24"/>
    </row>
    <row r="1002" spans="1:13">
      <c r="A1002" s="22">
        <v>2521085</v>
      </c>
      <c r="B1002" s="23" t="s">
        <v>4361</v>
      </c>
      <c r="C1002" s="22" t="s">
        <v>4362</v>
      </c>
      <c r="D1002" s="22" t="s">
        <v>4363</v>
      </c>
      <c r="E1002" s="23" t="s">
        <v>84</v>
      </c>
      <c r="F1002" s="23" t="s">
        <v>92</v>
      </c>
      <c r="G1002" s="23" t="s">
        <v>27</v>
      </c>
      <c r="H1002" s="23" t="s">
        <v>4359</v>
      </c>
      <c r="I1002" s="23" t="s">
        <v>4364</v>
      </c>
      <c r="J1002" s="20">
        <v>10</v>
      </c>
      <c r="K1002" s="23" t="s">
        <v>19</v>
      </c>
      <c r="L1002" s="23" t="s">
        <v>16</v>
      </c>
      <c r="M1002" s="24" t="s">
        <v>16</v>
      </c>
    </row>
    <row r="1003" spans="1:13">
      <c r="A1003" s="19">
        <v>2531856</v>
      </c>
      <c r="B1003" s="20" t="s">
        <v>4365</v>
      </c>
      <c r="C1003" s="19" t="s">
        <v>4366</v>
      </c>
      <c r="D1003" s="19" t="s">
        <v>4367</v>
      </c>
      <c r="E1003" s="20" t="s">
        <v>127</v>
      </c>
      <c r="F1003" s="20" t="s">
        <v>85</v>
      </c>
      <c r="G1003" s="20" t="s">
        <v>26</v>
      </c>
      <c r="H1003" s="20" t="s">
        <v>4368</v>
      </c>
      <c r="I1003" s="20" t="s">
        <v>4369</v>
      </c>
      <c r="J1003" s="20">
        <v>10</v>
      </c>
      <c r="K1003" s="20" t="s">
        <v>19</v>
      </c>
      <c r="L1003" s="20" t="s">
        <v>16</v>
      </c>
      <c r="M1003" s="21"/>
    </row>
    <row r="1004" spans="1:13">
      <c r="A1004" s="22">
        <v>2516888</v>
      </c>
      <c r="B1004" s="23" t="s">
        <v>4370</v>
      </c>
      <c r="C1004" s="22" t="s">
        <v>4371</v>
      </c>
      <c r="D1004" s="22" t="s">
        <v>4372</v>
      </c>
      <c r="E1004" s="23" t="s">
        <v>127</v>
      </c>
      <c r="F1004" s="23" t="s">
        <v>112</v>
      </c>
      <c r="G1004" s="23" t="s">
        <v>27</v>
      </c>
      <c r="H1004" s="23" t="s">
        <v>4373</v>
      </c>
      <c r="I1004" s="23" t="s">
        <v>4373</v>
      </c>
      <c r="J1004" s="36">
        <v>11</v>
      </c>
      <c r="K1004" s="23" t="s">
        <v>19</v>
      </c>
      <c r="L1004" s="23" t="s">
        <v>16</v>
      </c>
      <c r="M1004" s="24"/>
    </row>
    <row r="1005" spans="1:13">
      <c r="A1005" s="19">
        <v>2531846</v>
      </c>
      <c r="B1005" s="20" t="s">
        <v>4374</v>
      </c>
      <c r="C1005" s="19" t="s">
        <v>4375</v>
      </c>
      <c r="D1005" s="19" t="s">
        <v>4376</v>
      </c>
      <c r="E1005" s="20" t="s">
        <v>84</v>
      </c>
      <c r="F1005" s="20" t="s">
        <v>92</v>
      </c>
      <c r="G1005" s="20" t="s">
        <v>27</v>
      </c>
      <c r="H1005" s="20" t="s">
        <v>4377</v>
      </c>
      <c r="I1005" s="20" t="s">
        <v>4378</v>
      </c>
      <c r="J1005" s="23">
        <v>3</v>
      </c>
      <c r="K1005" s="20" t="s">
        <v>4379</v>
      </c>
      <c r="L1005" s="20" t="s">
        <v>16</v>
      </c>
      <c r="M1005" s="21"/>
    </row>
    <row r="1006" spans="1:13">
      <c r="A1006" s="22">
        <v>2531836</v>
      </c>
      <c r="B1006" s="23" t="s">
        <v>4380</v>
      </c>
      <c r="C1006" s="22" t="s">
        <v>4381</v>
      </c>
      <c r="D1006" s="22" t="s">
        <v>4382</v>
      </c>
      <c r="E1006" s="23" t="s">
        <v>84</v>
      </c>
      <c r="F1006" s="23" t="s">
        <v>92</v>
      </c>
      <c r="G1006" s="23" t="s">
        <v>27</v>
      </c>
      <c r="H1006" s="23" t="s">
        <v>4383</v>
      </c>
      <c r="I1006" s="23" t="s">
        <v>4383</v>
      </c>
      <c r="J1006" s="23">
        <v>3</v>
      </c>
      <c r="K1006" s="23" t="s">
        <v>19</v>
      </c>
      <c r="L1006" s="23" t="s">
        <v>16</v>
      </c>
      <c r="M1006" s="24"/>
    </row>
    <row r="1007" spans="1:13">
      <c r="A1007" s="19">
        <v>2507397</v>
      </c>
      <c r="B1007" s="20" t="s">
        <v>4384</v>
      </c>
      <c r="C1007" s="19" t="s">
        <v>4385</v>
      </c>
      <c r="D1007" s="19" t="s">
        <v>4386</v>
      </c>
      <c r="E1007" s="20" t="s">
        <v>84</v>
      </c>
      <c r="F1007" s="20" t="s">
        <v>85</v>
      </c>
      <c r="G1007" s="20" t="s">
        <v>27</v>
      </c>
      <c r="H1007" s="20" t="s">
        <v>4387</v>
      </c>
      <c r="I1007" s="20" t="s">
        <v>4388</v>
      </c>
      <c r="J1007" s="19">
        <v>1</v>
      </c>
      <c r="K1007" s="20" t="s">
        <v>4389</v>
      </c>
      <c r="L1007" s="20" t="s">
        <v>18</v>
      </c>
      <c r="M1007" s="21" t="s">
        <v>49</v>
      </c>
    </row>
    <row r="1008" spans="1:13">
      <c r="A1008" s="22">
        <v>2524500</v>
      </c>
      <c r="B1008" s="23" t="s">
        <v>4390</v>
      </c>
      <c r="C1008" s="22" t="s">
        <v>4391</v>
      </c>
      <c r="D1008" s="22" t="s">
        <v>4392</v>
      </c>
      <c r="E1008" s="23" t="s">
        <v>84</v>
      </c>
      <c r="F1008" s="23" t="s">
        <v>92</v>
      </c>
      <c r="G1008" s="23" t="s">
        <v>26</v>
      </c>
      <c r="H1008" s="23" t="s">
        <v>4393</v>
      </c>
      <c r="I1008" s="23" t="s">
        <v>4394</v>
      </c>
      <c r="J1008" s="23">
        <v>3</v>
      </c>
      <c r="K1008" s="23" t="s">
        <v>107</v>
      </c>
      <c r="L1008" s="23" t="s">
        <v>16</v>
      </c>
      <c r="M1008" s="24"/>
    </row>
    <row r="1009" spans="1:13">
      <c r="A1009" s="22">
        <v>2529585</v>
      </c>
      <c r="B1009" s="23" t="s">
        <v>4395</v>
      </c>
      <c r="C1009" s="22" t="s">
        <v>4396</v>
      </c>
      <c r="D1009" s="22" t="s">
        <v>4397</v>
      </c>
      <c r="E1009" s="23" t="s">
        <v>84</v>
      </c>
      <c r="F1009" s="23" t="s">
        <v>112</v>
      </c>
      <c r="G1009" s="23" t="s">
        <v>26</v>
      </c>
      <c r="H1009" s="23" t="s">
        <v>4398</v>
      </c>
      <c r="I1009" s="23" t="s">
        <v>4399</v>
      </c>
      <c r="J1009" s="23">
        <v>1</v>
      </c>
      <c r="K1009" s="23" t="s">
        <v>19</v>
      </c>
      <c r="L1009" s="23" t="s">
        <v>16</v>
      </c>
      <c r="M1009" s="24"/>
    </row>
    <row r="1010" spans="1:13">
      <c r="A1010" s="19">
        <v>2475722</v>
      </c>
      <c r="B1010" s="20" t="s">
        <v>4400</v>
      </c>
      <c r="C1010" s="19" t="s">
        <v>4401</v>
      </c>
      <c r="D1010" s="19" t="s">
        <v>4402</v>
      </c>
      <c r="E1010" s="20" t="s">
        <v>84</v>
      </c>
      <c r="F1010" s="20" t="s">
        <v>92</v>
      </c>
      <c r="G1010" s="20" t="s">
        <v>27</v>
      </c>
      <c r="H1010" s="20" t="s">
        <v>4403</v>
      </c>
      <c r="I1010" s="20" t="s">
        <v>4404</v>
      </c>
      <c r="J1010" s="19" t="s">
        <v>195</v>
      </c>
      <c r="K1010" s="20" t="s">
        <v>4405</v>
      </c>
      <c r="L1010" s="20" t="s">
        <v>18</v>
      </c>
      <c r="M1010" s="21"/>
    </row>
    <row r="1011" spans="1:13">
      <c r="A1011" s="19">
        <v>2521320</v>
      </c>
      <c r="B1011" s="20" t="s">
        <v>4406</v>
      </c>
      <c r="C1011" s="19" t="s">
        <v>4407</v>
      </c>
      <c r="D1011" s="19" t="s">
        <v>4408</v>
      </c>
      <c r="E1011" s="20" t="s">
        <v>84</v>
      </c>
      <c r="F1011" s="20" t="s">
        <v>92</v>
      </c>
      <c r="G1011" s="20" t="s">
        <v>26</v>
      </c>
      <c r="H1011" s="20" t="s">
        <v>4409</v>
      </c>
      <c r="I1011" s="20" t="s">
        <v>4410</v>
      </c>
      <c r="J1011" s="34" t="s">
        <v>34</v>
      </c>
      <c r="K1011" s="20" t="s">
        <v>206</v>
      </c>
      <c r="L1011" s="20" t="s">
        <v>16</v>
      </c>
      <c r="M1011" s="21"/>
    </row>
    <row r="1012" spans="1:13">
      <c r="A1012" s="22">
        <v>2520965</v>
      </c>
      <c r="B1012" s="23" t="s">
        <v>4411</v>
      </c>
      <c r="C1012" s="22" t="s">
        <v>4412</v>
      </c>
      <c r="D1012" s="22" t="s">
        <v>4413</v>
      </c>
      <c r="E1012" s="23" t="s">
        <v>84</v>
      </c>
      <c r="F1012" s="23" t="s">
        <v>92</v>
      </c>
      <c r="G1012" s="23" t="s">
        <v>26</v>
      </c>
      <c r="H1012" s="23" t="s">
        <v>4414</v>
      </c>
      <c r="I1012" s="23" t="s">
        <v>4415</v>
      </c>
      <c r="J1012" s="23">
        <v>1</v>
      </c>
      <c r="K1012" s="23" t="s">
        <v>19</v>
      </c>
      <c r="L1012" s="23" t="s">
        <v>16</v>
      </c>
      <c r="M1012" s="24"/>
    </row>
    <row r="1013" spans="1:13">
      <c r="A1013" s="22">
        <v>2520940</v>
      </c>
      <c r="B1013" s="23" t="s">
        <v>4416</v>
      </c>
      <c r="C1013" s="22" t="s">
        <v>4417</v>
      </c>
      <c r="D1013" s="22" t="s">
        <v>4418</v>
      </c>
      <c r="E1013" s="23" t="s">
        <v>84</v>
      </c>
      <c r="F1013" s="23" t="s">
        <v>92</v>
      </c>
      <c r="G1013" s="23" t="s">
        <v>26</v>
      </c>
      <c r="H1013" s="23" t="s">
        <v>4414</v>
      </c>
      <c r="I1013" s="23" t="s">
        <v>4415</v>
      </c>
      <c r="J1013" s="23">
        <v>1</v>
      </c>
      <c r="K1013" s="23" t="s">
        <v>19</v>
      </c>
      <c r="L1013" s="23" t="s">
        <v>16</v>
      </c>
      <c r="M1013" s="24"/>
    </row>
    <row r="1014" spans="1:13">
      <c r="A1014" s="22">
        <v>2521320</v>
      </c>
      <c r="B1014" s="23" t="s">
        <v>4419</v>
      </c>
      <c r="C1014" s="22" t="s">
        <v>4407</v>
      </c>
      <c r="D1014" s="22" t="s">
        <v>4408</v>
      </c>
      <c r="E1014" s="23" t="s">
        <v>84</v>
      </c>
      <c r="F1014" s="23" t="s">
        <v>172</v>
      </c>
      <c r="G1014" s="23" t="s">
        <v>26</v>
      </c>
      <c r="H1014" s="23" t="s">
        <v>4420</v>
      </c>
      <c r="I1014" s="23" t="s">
        <v>4421</v>
      </c>
      <c r="J1014" s="34" t="s">
        <v>34</v>
      </c>
      <c r="K1014" s="23" t="s">
        <v>206</v>
      </c>
      <c r="L1014" s="23" t="s">
        <v>16</v>
      </c>
      <c r="M1014" s="24"/>
    </row>
    <row r="1015" spans="1:13">
      <c r="A1015" s="19">
        <v>2516829</v>
      </c>
      <c r="B1015" s="20" t="s">
        <v>4422</v>
      </c>
      <c r="C1015" s="19" t="s">
        <v>4423</v>
      </c>
      <c r="D1015" s="19" t="s">
        <v>4424</v>
      </c>
      <c r="E1015" s="20" t="s">
        <v>84</v>
      </c>
      <c r="F1015" s="20" t="s">
        <v>92</v>
      </c>
      <c r="G1015" s="20" t="s">
        <v>26</v>
      </c>
      <c r="H1015" s="20" t="s">
        <v>4425</v>
      </c>
      <c r="I1015" s="20" t="s">
        <v>4426</v>
      </c>
      <c r="J1015" s="23">
        <v>1</v>
      </c>
      <c r="K1015" s="20" t="s">
        <v>19</v>
      </c>
      <c r="L1015" s="20" t="s">
        <v>16</v>
      </c>
      <c r="M1015" s="21"/>
    </row>
    <row r="1016" spans="1:13">
      <c r="A1016" s="22">
        <v>2523374</v>
      </c>
      <c r="B1016" s="23" t="s">
        <v>4427</v>
      </c>
      <c r="C1016" s="22" t="s">
        <v>4428</v>
      </c>
      <c r="D1016" s="22" t="s">
        <v>4429</v>
      </c>
      <c r="E1016" s="23" t="s">
        <v>127</v>
      </c>
      <c r="F1016" s="23" t="s">
        <v>92</v>
      </c>
      <c r="G1016" s="23" t="s">
        <v>26</v>
      </c>
      <c r="H1016" s="23" t="s">
        <v>4430</v>
      </c>
      <c r="I1016" s="23" t="s">
        <v>4430</v>
      </c>
      <c r="J1016" s="20">
        <v>2</v>
      </c>
      <c r="K1016" s="23" t="s">
        <v>19</v>
      </c>
      <c r="L1016" s="23" t="s">
        <v>16</v>
      </c>
      <c r="M1016" s="24" t="s">
        <v>49</v>
      </c>
    </row>
    <row r="1017" spans="1:13">
      <c r="A1017" s="19">
        <v>2521034</v>
      </c>
      <c r="B1017" s="20" t="s">
        <v>4431</v>
      </c>
      <c r="C1017" s="19" t="s">
        <v>4432</v>
      </c>
      <c r="D1017" s="19" t="s">
        <v>4433</v>
      </c>
      <c r="E1017" s="20" t="s">
        <v>84</v>
      </c>
      <c r="F1017" s="20" t="s">
        <v>85</v>
      </c>
      <c r="G1017" s="20" t="s">
        <v>26</v>
      </c>
      <c r="H1017" s="20" t="s">
        <v>4434</v>
      </c>
      <c r="I1017" s="20" t="s">
        <v>4435</v>
      </c>
      <c r="J1017" s="23">
        <v>1</v>
      </c>
      <c r="K1017" s="20" t="s">
        <v>107</v>
      </c>
      <c r="L1017" s="20" t="s">
        <v>16</v>
      </c>
      <c r="M1017" s="21"/>
    </row>
    <row r="1018" spans="1:13">
      <c r="A1018" s="22">
        <v>2529591</v>
      </c>
      <c r="B1018" s="23" t="s">
        <v>4436</v>
      </c>
      <c r="C1018" s="22" t="s">
        <v>4437</v>
      </c>
      <c r="D1018" s="22" t="s">
        <v>4438</v>
      </c>
      <c r="E1018" s="23" t="s">
        <v>84</v>
      </c>
      <c r="F1018" s="23" t="s">
        <v>92</v>
      </c>
      <c r="G1018" s="23" t="s">
        <v>26</v>
      </c>
      <c r="H1018" s="23" t="s">
        <v>4439</v>
      </c>
      <c r="I1018" s="23" t="s">
        <v>4439</v>
      </c>
      <c r="J1018" s="20">
        <v>4</v>
      </c>
      <c r="K1018" s="23" t="s">
        <v>107</v>
      </c>
      <c r="L1018" s="23" t="s">
        <v>16</v>
      </c>
      <c r="M1018" s="24"/>
    </row>
    <row r="1019" spans="1:13">
      <c r="A1019" s="22">
        <v>2521293</v>
      </c>
      <c r="B1019" s="23" t="s">
        <v>4440</v>
      </c>
      <c r="C1019" s="22" t="s">
        <v>4441</v>
      </c>
      <c r="D1019" s="22" t="s">
        <v>4442</v>
      </c>
      <c r="E1019" s="23" t="s">
        <v>84</v>
      </c>
      <c r="F1019" s="23" t="s">
        <v>92</v>
      </c>
      <c r="G1019" s="23" t="s">
        <v>26</v>
      </c>
      <c r="H1019" s="23" t="s">
        <v>4443</v>
      </c>
      <c r="I1019" s="23" t="s">
        <v>4443</v>
      </c>
      <c r="J1019" s="23">
        <v>3</v>
      </c>
      <c r="K1019" s="23" t="s">
        <v>107</v>
      </c>
      <c r="L1019" s="23" t="s">
        <v>16</v>
      </c>
      <c r="M1019" s="24"/>
    </row>
    <row r="1020" spans="1:13">
      <c r="A1020" s="19">
        <v>2530196</v>
      </c>
      <c r="B1020" s="20" t="s">
        <v>4444</v>
      </c>
      <c r="C1020" s="19" t="s">
        <v>4445</v>
      </c>
      <c r="D1020" s="19" t="s">
        <v>4446</v>
      </c>
      <c r="E1020" s="20" t="s">
        <v>84</v>
      </c>
      <c r="F1020" s="20" t="s">
        <v>112</v>
      </c>
      <c r="G1020" s="20" t="s">
        <v>26</v>
      </c>
      <c r="H1020" s="20" t="s">
        <v>4447</v>
      </c>
      <c r="I1020" s="20" t="s">
        <v>4447</v>
      </c>
      <c r="J1020" s="20">
        <v>4</v>
      </c>
      <c r="K1020" s="20" t="s">
        <v>19</v>
      </c>
      <c r="L1020" s="20" t="s">
        <v>16</v>
      </c>
      <c r="M1020" s="21"/>
    </row>
    <row r="1021" spans="1:13">
      <c r="A1021" s="22">
        <v>2516859</v>
      </c>
      <c r="B1021" s="23" t="s">
        <v>4448</v>
      </c>
      <c r="C1021" s="22" t="s">
        <v>4449</v>
      </c>
      <c r="D1021" s="22" t="s">
        <v>4450</v>
      </c>
      <c r="E1021" s="23" t="s">
        <v>84</v>
      </c>
      <c r="F1021" s="23" t="s">
        <v>92</v>
      </c>
      <c r="G1021" s="23" t="s">
        <v>26</v>
      </c>
      <c r="H1021" s="23" t="s">
        <v>4451</v>
      </c>
      <c r="I1021" s="23" t="s">
        <v>4451</v>
      </c>
      <c r="J1021" s="33">
        <v>1</v>
      </c>
      <c r="K1021" s="23" t="s">
        <v>206</v>
      </c>
      <c r="L1021" s="23" t="s">
        <v>16</v>
      </c>
      <c r="M1021" s="24" t="s">
        <v>631</v>
      </c>
    </row>
    <row r="1022" spans="1:13">
      <c r="A1022" s="22">
        <v>2521688</v>
      </c>
      <c r="B1022" s="23" t="s">
        <v>4452</v>
      </c>
      <c r="C1022" s="22" t="s">
        <v>4453</v>
      </c>
      <c r="D1022" s="22" t="s">
        <v>541</v>
      </c>
      <c r="E1022" s="23" t="s">
        <v>415</v>
      </c>
      <c r="F1022" s="23" t="s">
        <v>92</v>
      </c>
      <c r="G1022" s="23" t="s">
        <v>26</v>
      </c>
      <c r="H1022" s="23" t="s">
        <v>4454</v>
      </c>
      <c r="I1022" s="23" t="s">
        <v>4455</v>
      </c>
      <c r="J1022" s="23">
        <v>1</v>
      </c>
      <c r="K1022" s="23" t="s">
        <v>107</v>
      </c>
      <c r="L1022" s="23" t="s">
        <v>16</v>
      </c>
      <c r="M1022" s="24"/>
    </row>
    <row r="1023" spans="1:13">
      <c r="A1023" s="22">
        <v>2521688</v>
      </c>
      <c r="B1023" s="23" t="s">
        <v>4452</v>
      </c>
      <c r="C1023" s="22" t="s">
        <v>4453</v>
      </c>
      <c r="D1023" s="22" t="s">
        <v>541</v>
      </c>
      <c r="E1023" s="23" t="s">
        <v>415</v>
      </c>
      <c r="F1023" s="23" t="s">
        <v>92</v>
      </c>
      <c r="G1023" s="23" t="s">
        <v>26</v>
      </c>
      <c r="H1023" s="23" t="s">
        <v>4454</v>
      </c>
      <c r="I1023" s="23" t="s">
        <v>4456</v>
      </c>
      <c r="J1023" s="23">
        <v>1</v>
      </c>
      <c r="K1023" s="23" t="s">
        <v>107</v>
      </c>
      <c r="L1023" s="23" t="s">
        <v>16</v>
      </c>
      <c r="M1023" s="24"/>
    </row>
    <row r="1024" spans="1:13">
      <c r="A1024" s="19">
        <v>2521129</v>
      </c>
      <c r="B1024" s="20" t="s">
        <v>4457</v>
      </c>
      <c r="C1024" s="19" t="s">
        <v>4458</v>
      </c>
      <c r="D1024" s="19" t="s">
        <v>4459</v>
      </c>
      <c r="E1024" s="20" t="s">
        <v>84</v>
      </c>
      <c r="F1024" s="20" t="s">
        <v>112</v>
      </c>
      <c r="G1024" s="20" t="s">
        <v>25</v>
      </c>
      <c r="H1024" s="20" t="s">
        <v>4460</v>
      </c>
      <c r="I1024" s="20" t="s">
        <v>4461</v>
      </c>
      <c r="J1024" s="34" t="s">
        <v>34</v>
      </c>
      <c r="K1024" s="20" t="s">
        <v>4462</v>
      </c>
      <c r="L1024" s="20" t="s">
        <v>18</v>
      </c>
      <c r="M1024" s="21"/>
    </row>
    <row r="1025" spans="1:13">
      <c r="A1025" s="22">
        <v>2529643</v>
      </c>
      <c r="B1025" s="23" t="s">
        <v>4463</v>
      </c>
      <c r="C1025" s="22" t="s">
        <v>4464</v>
      </c>
      <c r="D1025" s="22" t="s">
        <v>4465</v>
      </c>
      <c r="E1025" s="23" t="s">
        <v>84</v>
      </c>
      <c r="F1025" s="23" t="s">
        <v>92</v>
      </c>
      <c r="G1025" s="23" t="s">
        <v>26</v>
      </c>
      <c r="H1025" s="23" t="s">
        <v>4466</v>
      </c>
      <c r="I1025" s="23" t="s">
        <v>4467</v>
      </c>
      <c r="J1025" s="23">
        <v>1</v>
      </c>
      <c r="K1025" s="23" t="s">
        <v>19</v>
      </c>
      <c r="L1025" s="23" t="s">
        <v>18</v>
      </c>
      <c r="M1025" s="24"/>
    </row>
    <row r="1026" spans="1:13">
      <c r="A1026" s="19">
        <v>2529643</v>
      </c>
      <c r="B1026" s="20" t="s">
        <v>4463</v>
      </c>
      <c r="C1026" s="19" t="s">
        <v>4464</v>
      </c>
      <c r="D1026" s="19" t="s">
        <v>4465</v>
      </c>
      <c r="E1026" s="20" t="s">
        <v>84</v>
      </c>
      <c r="F1026" s="20" t="s">
        <v>92</v>
      </c>
      <c r="G1026" s="20" t="s">
        <v>26</v>
      </c>
      <c r="H1026" s="20" t="s">
        <v>4466</v>
      </c>
      <c r="I1026" s="20" t="s">
        <v>4468</v>
      </c>
      <c r="J1026" s="23">
        <v>1</v>
      </c>
      <c r="K1026" s="20" t="s">
        <v>19</v>
      </c>
      <c r="L1026" s="20" t="s">
        <v>18</v>
      </c>
      <c r="M1026" s="21"/>
    </row>
    <row r="1027" spans="1:13">
      <c r="A1027" s="19">
        <v>2521769</v>
      </c>
      <c r="B1027" s="20" t="s">
        <v>4469</v>
      </c>
      <c r="C1027" s="19" t="s">
        <v>4470</v>
      </c>
      <c r="D1027" s="19" t="s">
        <v>4471</v>
      </c>
      <c r="E1027" s="20" t="s">
        <v>84</v>
      </c>
      <c r="F1027" s="20" t="s">
        <v>85</v>
      </c>
      <c r="G1027" s="20" t="s">
        <v>26</v>
      </c>
      <c r="H1027" s="20" t="s">
        <v>4472</v>
      </c>
      <c r="I1027" s="20" t="s">
        <v>4473</v>
      </c>
      <c r="J1027" s="23">
        <v>1</v>
      </c>
      <c r="K1027" s="20" t="s">
        <v>206</v>
      </c>
      <c r="L1027" s="20" t="s">
        <v>18</v>
      </c>
      <c r="M1027" s="21"/>
    </row>
    <row r="1028" spans="1:13">
      <c r="A1028" s="22">
        <v>2511271</v>
      </c>
      <c r="B1028" s="23" t="s">
        <v>4474</v>
      </c>
      <c r="C1028" s="22" t="s">
        <v>4475</v>
      </c>
      <c r="D1028" s="22" t="s">
        <v>4476</v>
      </c>
      <c r="E1028" s="23" t="s">
        <v>84</v>
      </c>
      <c r="F1028" s="23" t="s">
        <v>112</v>
      </c>
      <c r="G1028" s="23" t="s">
        <v>26</v>
      </c>
      <c r="H1028" s="23" t="s">
        <v>4477</v>
      </c>
      <c r="I1028" s="23" t="s">
        <v>4477</v>
      </c>
      <c r="J1028" s="23">
        <v>3</v>
      </c>
      <c r="K1028" s="23" t="s">
        <v>206</v>
      </c>
      <c r="L1028" s="23" t="s">
        <v>18</v>
      </c>
      <c r="M1028" s="24"/>
    </row>
    <row r="1029" spans="1:13">
      <c r="A1029" s="22">
        <v>2524534</v>
      </c>
      <c r="B1029" s="23" t="s">
        <v>4478</v>
      </c>
      <c r="C1029" s="22" t="s">
        <v>4479</v>
      </c>
      <c r="D1029" s="22" t="s">
        <v>4480</v>
      </c>
      <c r="E1029" s="23" t="s">
        <v>415</v>
      </c>
      <c r="F1029" s="23" t="s">
        <v>85</v>
      </c>
      <c r="G1029" s="23" t="s">
        <v>26</v>
      </c>
      <c r="H1029" s="23" t="s">
        <v>4481</v>
      </c>
      <c r="I1029" s="23" t="s">
        <v>4481</v>
      </c>
      <c r="J1029" s="23">
        <v>1</v>
      </c>
      <c r="K1029" s="23" t="s">
        <v>19</v>
      </c>
      <c r="L1029" s="23" t="s">
        <v>18</v>
      </c>
      <c r="M1029" s="24"/>
    </row>
    <row r="1030" spans="1:13">
      <c r="A1030" s="22">
        <v>2522894</v>
      </c>
      <c r="B1030" s="23" t="s">
        <v>4482</v>
      </c>
      <c r="C1030" s="22" t="s">
        <v>4483</v>
      </c>
      <c r="D1030" s="22" t="s">
        <v>4484</v>
      </c>
      <c r="E1030" s="23" t="s">
        <v>84</v>
      </c>
      <c r="F1030" s="23" t="s">
        <v>112</v>
      </c>
      <c r="G1030" s="23" t="s">
        <v>26</v>
      </c>
      <c r="H1030" s="23" t="s">
        <v>4485</v>
      </c>
      <c r="I1030" s="23" t="s">
        <v>4486</v>
      </c>
      <c r="J1030" s="20">
        <v>2</v>
      </c>
      <c r="K1030" s="23" t="s">
        <v>107</v>
      </c>
      <c r="L1030" s="23" t="s">
        <v>16</v>
      </c>
      <c r="M1030" s="24"/>
    </row>
    <row r="1031" spans="1:13">
      <c r="A1031" s="22">
        <v>2523420</v>
      </c>
      <c r="B1031" s="23" t="s">
        <v>4487</v>
      </c>
      <c r="C1031" s="22" t="s">
        <v>4488</v>
      </c>
      <c r="D1031" s="22" t="s">
        <v>4489</v>
      </c>
      <c r="E1031" s="23" t="s">
        <v>127</v>
      </c>
      <c r="F1031" s="23" t="s">
        <v>92</v>
      </c>
      <c r="G1031" s="23" t="s">
        <v>26</v>
      </c>
      <c r="H1031" s="23" t="s">
        <v>4490</v>
      </c>
      <c r="I1031" s="23" t="s">
        <v>4491</v>
      </c>
      <c r="J1031" s="20">
        <v>2</v>
      </c>
      <c r="K1031" s="23" t="s">
        <v>107</v>
      </c>
      <c r="L1031" s="23" t="s">
        <v>18</v>
      </c>
      <c r="M1031" s="24"/>
    </row>
    <row r="1032" spans="1:13">
      <c r="A1032" s="22">
        <v>2524653</v>
      </c>
      <c r="B1032" s="23" t="s">
        <v>4492</v>
      </c>
      <c r="C1032" s="22" t="s">
        <v>4493</v>
      </c>
      <c r="D1032" s="22" t="s">
        <v>4494</v>
      </c>
      <c r="E1032" s="23" t="s">
        <v>84</v>
      </c>
      <c r="F1032" s="23" t="s">
        <v>92</v>
      </c>
      <c r="G1032" s="23" t="s">
        <v>26</v>
      </c>
      <c r="H1032" s="23" t="s">
        <v>4495</v>
      </c>
      <c r="I1032" s="23" t="s">
        <v>4496</v>
      </c>
      <c r="J1032" s="34" t="s">
        <v>34</v>
      </c>
      <c r="K1032" s="23" t="s">
        <v>107</v>
      </c>
      <c r="L1032" s="23" t="s">
        <v>16</v>
      </c>
      <c r="M1032" s="30" t="s">
        <v>4497</v>
      </c>
    </row>
    <row r="1033" spans="1:13">
      <c r="A1033" s="22">
        <v>2533145</v>
      </c>
      <c r="B1033" s="23" t="s">
        <v>4498</v>
      </c>
      <c r="C1033" s="22" t="s">
        <v>4499</v>
      </c>
      <c r="D1033" s="22" t="s">
        <v>4500</v>
      </c>
      <c r="E1033" s="23" t="s">
        <v>84</v>
      </c>
      <c r="F1033" s="23" t="s">
        <v>85</v>
      </c>
      <c r="G1033" s="23" t="s">
        <v>26</v>
      </c>
      <c r="H1033" s="23" t="s">
        <v>4501</v>
      </c>
      <c r="I1033" s="23" t="s">
        <v>4502</v>
      </c>
      <c r="J1033" s="23">
        <v>1</v>
      </c>
      <c r="K1033" s="23" t="s">
        <v>107</v>
      </c>
      <c r="L1033" s="23" t="s">
        <v>16</v>
      </c>
      <c r="M1033" s="24"/>
    </row>
    <row r="1034" spans="1:13">
      <c r="A1034" s="19">
        <v>2533204</v>
      </c>
      <c r="B1034" s="20" t="s">
        <v>4503</v>
      </c>
      <c r="C1034" s="19" t="s">
        <v>4504</v>
      </c>
      <c r="D1034" s="19" t="s">
        <v>4505</v>
      </c>
      <c r="E1034" s="20" t="s">
        <v>84</v>
      </c>
      <c r="F1034" s="20" t="s">
        <v>85</v>
      </c>
      <c r="G1034" s="20" t="s">
        <v>26</v>
      </c>
      <c r="H1034" s="20" t="s">
        <v>4501</v>
      </c>
      <c r="I1034" s="20" t="s">
        <v>4506</v>
      </c>
      <c r="J1034" s="23">
        <v>1</v>
      </c>
      <c r="K1034" s="20" t="s">
        <v>107</v>
      </c>
      <c r="L1034" s="20" t="s">
        <v>18</v>
      </c>
      <c r="M1034" s="21"/>
    </row>
    <row r="1035" spans="1:13">
      <c r="A1035" s="19">
        <v>2526149</v>
      </c>
      <c r="B1035" s="20" t="s">
        <v>4507</v>
      </c>
      <c r="C1035" s="19" t="s">
        <v>4508</v>
      </c>
      <c r="D1035" s="19" t="s">
        <v>4509</v>
      </c>
      <c r="E1035" s="20" t="s">
        <v>127</v>
      </c>
      <c r="F1035" s="20" t="s">
        <v>92</v>
      </c>
      <c r="G1035" s="20" t="s">
        <v>26</v>
      </c>
      <c r="H1035" s="20" t="s">
        <v>4510</v>
      </c>
      <c r="I1035" s="20" t="s">
        <v>4511</v>
      </c>
      <c r="J1035" s="34" t="s">
        <v>34</v>
      </c>
      <c r="K1035" s="20" t="s">
        <v>19</v>
      </c>
      <c r="L1035" s="20" t="s">
        <v>16</v>
      </c>
      <c r="M1035" s="21"/>
    </row>
    <row r="1036" spans="1:13">
      <c r="A1036" s="22">
        <v>2533591</v>
      </c>
      <c r="B1036" s="23" t="s">
        <v>4512</v>
      </c>
      <c r="C1036" s="22" t="s">
        <v>4513</v>
      </c>
      <c r="D1036" s="22" t="s">
        <v>4514</v>
      </c>
      <c r="E1036" s="23" t="s">
        <v>127</v>
      </c>
      <c r="F1036" s="23" t="s">
        <v>92</v>
      </c>
      <c r="G1036" s="23" t="s">
        <v>26</v>
      </c>
      <c r="H1036" s="23" t="s">
        <v>4515</v>
      </c>
      <c r="I1036" s="23" t="s">
        <v>4516</v>
      </c>
      <c r="J1036" s="23">
        <v>1</v>
      </c>
      <c r="K1036" s="23" t="s">
        <v>107</v>
      </c>
      <c r="L1036" s="23" t="s">
        <v>16</v>
      </c>
      <c r="M1036" s="24"/>
    </row>
    <row r="1037" spans="1:13">
      <c r="A1037" s="19">
        <v>2531974</v>
      </c>
      <c r="B1037" s="20" t="s">
        <v>4517</v>
      </c>
      <c r="C1037" s="19" t="s">
        <v>4518</v>
      </c>
      <c r="D1037" s="19" t="s">
        <v>4519</v>
      </c>
      <c r="E1037" s="20" t="s">
        <v>84</v>
      </c>
      <c r="F1037" s="20" t="s">
        <v>112</v>
      </c>
      <c r="G1037" s="20" t="s">
        <v>26</v>
      </c>
      <c r="H1037" s="20" t="s">
        <v>4520</v>
      </c>
      <c r="I1037" s="20" t="s">
        <v>4521</v>
      </c>
      <c r="J1037" s="34" t="s">
        <v>34</v>
      </c>
      <c r="K1037" s="20" t="s">
        <v>19</v>
      </c>
      <c r="L1037" s="20" t="s">
        <v>16</v>
      </c>
      <c r="M1037" s="21"/>
    </row>
    <row r="1038" spans="1:13">
      <c r="A1038" s="22">
        <v>2520931</v>
      </c>
      <c r="B1038" s="23" t="s">
        <v>4522</v>
      </c>
      <c r="C1038" s="22" t="s">
        <v>4523</v>
      </c>
      <c r="D1038" s="22" t="s">
        <v>4524</v>
      </c>
      <c r="E1038" s="23" t="s">
        <v>84</v>
      </c>
      <c r="F1038" s="23" t="s">
        <v>85</v>
      </c>
      <c r="G1038" s="23" t="s">
        <v>26</v>
      </c>
      <c r="H1038" s="23" t="s">
        <v>4525</v>
      </c>
      <c r="I1038" s="23" t="s">
        <v>4526</v>
      </c>
      <c r="J1038" s="36" t="s">
        <v>34</v>
      </c>
      <c r="K1038" s="23" t="s">
        <v>19</v>
      </c>
      <c r="L1038" s="23" t="s">
        <v>16</v>
      </c>
      <c r="M1038" s="24" t="s">
        <v>49</v>
      </c>
    </row>
    <row r="1039" spans="1:13">
      <c r="A1039" s="19">
        <v>2523380</v>
      </c>
      <c r="B1039" s="20" t="s">
        <v>4527</v>
      </c>
      <c r="C1039" s="19" t="s">
        <v>4528</v>
      </c>
      <c r="D1039" s="19" t="s">
        <v>4529</v>
      </c>
      <c r="E1039" s="20" t="s">
        <v>127</v>
      </c>
      <c r="F1039" s="20" t="s">
        <v>112</v>
      </c>
      <c r="G1039" s="20" t="s">
        <v>26</v>
      </c>
      <c r="H1039" s="20" t="s">
        <v>4530</v>
      </c>
      <c r="I1039" s="20" t="s">
        <v>4531</v>
      </c>
      <c r="J1039" s="34" t="s">
        <v>34</v>
      </c>
      <c r="K1039" s="20" t="s">
        <v>19</v>
      </c>
      <c r="L1039" s="20" t="s">
        <v>18</v>
      </c>
      <c r="M1039" s="21"/>
    </row>
    <row r="1040" spans="1:13">
      <c r="A1040" s="19">
        <v>2533133</v>
      </c>
      <c r="B1040" s="20" t="s">
        <v>4532</v>
      </c>
      <c r="C1040" s="19" t="s">
        <v>4533</v>
      </c>
      <c r="D1040" s="19" t="s">
        <v>4534</v>
      </c>
      <c r="E1040" s="20" t="s">
        <v>127</v>
      </c>
      <c r="F1040" s="20" t="s">
        <v>92</v>
      </c>
      <c r="G1040" s="20" t="s">
        <v>26</v>
      </c>
      <c r="H1040" s="20" t="s">
        <v>4535</v>
      </c>
      <c r="I1040" s="20" t="s">
        <v>4536</v>
      </c>
      <c r="J1040" s="23">
        <v>1</v>
      </c>
      <c r="K1040" s="20" t="s">
        <v>107</v>
      </c>
      <c r="L1040" s="20" t="s">
        <v>16</v>
      </c>
      <c r="M1040" s="21"/>
    </row>
    <row r="1041" spans="1:13">
      <c r="A1041" s="22">
        <v>2521030</v>
      </c>
      <c r="B1041" s="23" t="s">
        <v>4537</v>
      </c>
      <c r="C1041" s="22" t="s">
        <v>4538</v>
      </c>
      <c r="D1041" s="22" t="s">
        <v>4539</v>
      </c>
      <c r="E1041" s="23" t="s">
        <v>84</v>
      </c>
      <c r="F1041" s="23" t="s">
        <v>92</v>
      </c>
      <c r="G1041" s="23" t="s">
        <v>26</v>
      </c>
      <c r="H1041" s="23" t="s">
        <v>4540</v>
      </c>
      <c r="I1041" s="23" t="s">
        <v>4541</v>
      </c>
      <c r="J1041" s="23">
        <v>1</v>
      </c>
      <c r="K1041" s="23" t="s">
        <v>107</v>
      </c>
      <c r="L1041" s="23" t="s">
        <v>16</v>
      </c>
      <c r="M1041" s="24"/>
    </row>
    <row r="1042" spans="1:13">
      <c r="A1042" s="19">
        <v>2521092</v>
      </c>
      <c r="B1042" s="20" t="s">
        <v>4542</v>
      </c>
      <c r="C1042" s="19" t="s">
        <v>4543</v>
      </c>
      <c r="D1042" s="19" t="s">
        <v>4544</v>
      </c>
      <c r="E1042" s="20" t="s">
        <v>84</v>
      </c>
      <c r="F1042" s="20" t="s">
        <v>92</v>
      </c>
      <c r="G1042" s="20" t="s">
        <v>26</v>
      </c>
      <c r="H1042" s="20" t="s">
        <v>4540</v>
      </c>
      <c r="I1042" s="20" t="s">
        <v>4545</v>
      </c>
      <c r="J1042" s="23">
        <v>1</v>
      </c>
      <c r="K1042" s="20" t="s">
        <v>107</v>
      </c>
      <c r="L1042" s="20" t="s">
        <v>16</v>
      </c>
      <c r="M1042" s="21"/>
    </row>
    <row r="1043" spans="1:13">
      <c r="A1043" s="22">
        <v>2533009</v>
      </c>
      <c r="B1043" s="23" t="s">
        <v>4546</v>
      </c>
      <c r="C1043" s="22" t="s">
        <v>4547</v>
      </c>
      <c r="D1043" s="22" t="s">
        <v>4548</v>
      </c>
      <c r="E1043" s="23" t="s">
        <v>84</v>
      </c>
      <c r="F1043" s="23" t="s">
        <v>112</v>
      </c>
      <c r="G1043" s="23" t="s">
        <v>26</v>
      </c>
      <c r="H1043" s="23" t="s">
        <v>4549</v>
      </c>
      <c r="I1043" s="23" t="s">
        <v>4550</v>
      </c>
      <c r="J1043" s="23">
        <v>1</v>
      </c>
      <c r="K1043" s="23" t="s">
        <v>107</v>
      </c>
      <c r="L1043" s="23" t="s">
        <v>18</v>
      </c>
      <c r="M1043" s="24" t="s">
        <v>49</v>
      </c>
    </row>
    <row r="1044" spans="1:13">
      <c r="A1044" s="19">
        <v>2533064</v>
      </c>
      <c r="B1044" s="20" t="s">
        <v>4551</v>
      </c>
      <c r="C1044" s="19" t="s">
        <v>4552</v>
      </c>
      <c r="D1044" s="19" t="s">
        <v>4553</v>
      </c>
      <c r="E1044" s="20" t="s">
        <v>84</v>
      </c>
      <c r="F1044" s="20" t="s">
        <v>92</v>
      </c>
      <c r="G1044" s="20" t="s">
        <v>26</v>
      </c>
      <c r="H1044" s="20" t="s">
        <v>4549</v>
      </c>
      <c r="I1044" s="20" t="s">
        <v>4550</v>
      </c>
      <c r="J1044" s="23">
        <v>1</v>
      </c>
      <c r="K1044" s="20" t="s">
        <v>107</v>
      </c>
      <c r="L1044" s="20" t="s">
        <v>16</v>
      </c>
      <c r="M1044" s="21"/>
    </row>
    <row r="1045" spans="1:13">
      <c r="A1045" s="22">
        <v>2519585</v>
      </c>
      <c r="B1045" s="23" t="s">
        <v>4554</v>
      </c>
      <c r="C1045" s="22" t="s">
        <v>4555</v>
      </c>
      <c r="D1045" s="22" t="s">
        <v>4556</v>
      </c>
      <c r="E1045" s="23" t="s">
        <v>84</v>
      </c>
      <c r="F1045" s="23" t="s">
        <v>92</v>
      </c>
      <c r="G1045" s="23" t="s">
        <v>26</v>
      </c>
      <c r="H1045" s="23" t="s">
        <v>4549</v>
      </c>
      <c r="I1045" s="23" t="s">
        <v>4557</v>
      </c>
      <c r="J1045" s="23">
        <v>1</v>
      </c>
      <c r="K1045" s="23" t="s">
        <v>107</v>
      </c>
      <c r="L1045" s="23" t="s">
        <v>16</v>
      </c>
      <c r="M1045" s="24"/>
    </row>
    <row r="1046" spans="1:13">
      <c r="A1046" s="22">
        <v>2529632</v>
      </c>
      <c r="B1046" s="23" t="s">
        <v>4558</v>
      </c>
      <c r="C1046" s="22" t="s">
        <v>4559</v>
      </c>
      <c r="D1046" s="22" t="s">
        <v>4560</v>
      </c>
      <c r="E1046" s="23" t="s">
        <v>127</v>
      </c>
      <c r="F1046" s="23" t="s">
        <v>92</v>
      </c>
      <c r="G1046" s="23" t="s">
        <v>26</v>
      </c>
      <c r="H1046" s="23" t="s">
        <v>4540</v>
      </c>
      <c r="I1046" s="23" t="s">
        <v>4561</v>
      </c>
      <c r="J1046" s="23">
        <v>1</v>
      </c>
      <c r="K1046" s="23" t="s">
        <v>107</v>
      </c>
      <c r="L1046" s="23" t="s">
        <v>16</v>
      </c>
      <c r="M1046" s="24"/>
    </row>
    <row r="1047" spans="1:13">
      <c r="A1047" s="19">
        <v>2521041</v>
      </c>
      <c r="B1047" s="20" t="s">
        <v>4562</v>
      </c>
      <c r="C1047" s="19" t="s">
        <v>4563</v>
      </c>
      <c r="D1047" s="19" t="s">
        <v>4564</v>
      </c>
      <c r="E1047" s="20" t="s">
        <v>84</v>
      </c>
      <c r="F1047" s="20" t="s">
        <v>92</v>
      </c>
      <c r="G1047" s="20" t="s">
        <v>26</v>
      </c>
      <c r="H1047" s="20" t="s">
        <v>4549</v>
      </c>
      <c r="I1047" s="20" t="s">
        <v>4565</v>
      </c>
      <c r="J1047" s="23">
        <v>1</v>
      </c>
      <c r="K1047" s="20" t="s">
        <v>107</v>
      </c>
      <c r="L1047" s="20" t="s">
        <v>18</v>
      </c>
      <c r="M1047" s="21"/>
    </row>
    <row r="1048" spans="1:13">
      <c r="A1048" s="19">
        <v>2519598</v>
      </c>
      <c r="B1048" s="20" t="s">
        <v>4566</v>
      </c>
      <c r="C1048" s="19" t="s">
        <v>4567</v>
      </c>
      <c r="D1048" s="19" t="s">
        <v>4568</v>
      </c>
      <c r="E1048" s="20" t="s">
        <v>84</v>
      </c>
      <c r="F1048" s="20" t="s">
        <v>92</v>
      </c>
      <c r="G1048" s="20" t="s">
        <v>26</v>
      </c>
      <c r="H1048" s="20" t="s">
        <v>4549</v>
      </c>
      <c r="I1048" s="20" t="s">
        <v>4569</v>
      </c>
      <c r="J1048" s="23">
        <v>1</v>
      </c>
      <c r="K1048" s="20" t="s">
        <v>19</v>
      </c>
      <c r="L1048" s="20" t="s">
        <v>16</v>
      </c>
      <c r="M1048" s="21"/>
    </row>
    <row r="1049" spans="1:13">
      <c r="A1049" s="19">
        <v>2519680</v>
      </c>
      <c r="B1049" s="20" t="s">
        <v>4570</v>
      </c>
      <c r="C1049" s="19" t="s">
        <v>4571</v>
      </c>
      <c r="D1049" s="19" t="s">
        <v>4572</v>
      </c>
      <c r="E1049" s="20" t="s">
        <v>84</v>
      </c>
      <c r="F1049" s="20" t="s">
        <v>92</v>
      </c>
      <c r="G1049" s="20" t="s">
        <v>26</v>
      </c>
      <c r="H1049" s="20" t="s">
        <v>4549</v>
      </c>
      <c r="I1049" s="20" t="s">
        <v>4573</v>
      </c>
      <c r="J1049" s="23">
        <v>1</v>
      </c>
      <c r="K1049" s="20" t="s">
        <v>107</v>
      </c>
      <c r="L1049" s="20" t="s">
        <v>16</v>
      </c>
      <c r="M1049" s="21"/>
    </row>
    <row r="1050" spans="1:13">
      <c r="A1050" s="19">
        <v>2529803</v>
      </c>
      <c r="B1050" s="20" t="s">
        <v>4574</v>
      </c>
      <c r="C1050" s="19" t="s">
        <v>4575</v>
      </c>
      <c r="D1050" s="19" t="s">
        <v>4576</v>
      </c>
      <c r="E1050" s="20" t="s">
        <v>84</v>
      </c>
      <c r="F1050" s="20" t="s">
        <v>112</v>
      </c>
      <c r="G1050" s="20" t="s">
        <v>26</v>
      </c>
      <c r="H1050" s="20" t="s">
        <v>4549</v>
      </c>
      <c r="I1050" s="20" t="s">
        <v>4577</v>
      </c>
      <c r="J1050" s="34" t="s">
        <v>34</v>
      </c>
      <c r="K1050" s="20" t="s">
        <v>107</v>
      </c>
      <c r="L1050" s="20" t="s">
        <v>16</v>
      </c>
      <c r="M1050" s="21"/>
    </row>
    <row r="1051" spans="1:13">
      <c r="A1051" s="22">
        <v>2529548</v>
      </c>
      <c r="B1051" s="23" t="s">
        <v>4578</v>
      </c>
      <c r="C1051" s="22" t="s">
        <v>4579</v>
      </c>
      <c r="D1051" s="22" t="s">
        <v>4580</v>
      </c>
      <c r="E1051" s="23" t="s">
        <v>84</v>
      </c>
      <c r="F1051" s="23" t="s">
        <v>92</v>
      </c>
      <c r="G1051" s="23" t="s">
        <v>26</v>
      </c>
      <c r="H1051" s="23" t="s">
        <v>4540</v>
      </c>
      <c r="I1051" s="23" t="s">
        <v>4581</v>
      </c>
      <c r="J1051" s="34" t="s">
        <v>34</v>
      </c>
      <c r="K1051" s="23" t="s">
        <v>107</v>
      </c>
      <c r="L1051" s="23" t="s">
        <v>16</v>
      </c>
      <c r="M1051" s="24"/>
    </row>
    <row r="1052" spans="1:13">
      <c r="A1052" s="22">
        <v>2529582</v>
      </c>
      <c r="B1052" s="23" t="s">
        <v>4582</v>
      </c>
      <c r="C1052" s="22" t="s">
        <v>4583</v>
      </c>
      <c r="D1052" s="22" t="s">
        <v>4584</v>
      </c>
      <c r="E1052" s="23" t="s">
        <v>84</v>
      </c>
      <c r="F1052" s="23" t="s">
        <v>112</v>
      </c>
      <c r="G1052" s="23" t="s">
        <v>26</v>
      </c>
      <c r="H1052" s="23" t="s">
        <v>4585</v>
      </c>
      <c r="I1052" s="23" t="s">
        <v>4586</v>
      </c>
      <c r="J1052" s="34" t="s">
        <v>34</v>
      </c>
      <c r="K1052" s="23" t="s">
        <v>107</v>
      </c>
      <c r="L1052" s="23" t="s">
        <v>16</v>
      </c>
      <c r="M1052" s="24"/>
    </row>
    <row r="1053" spans="1:13">
      <c r="A1053" s="22">
        <v>2516865</v>
      </c>
      <c r="B1053" s="23" t="s">
        <v>4587</v>
      </c>
      <c r="C1053" s="22" t="s">
        <v>4588</v>
      </c>
      <c r="D1053" s="22" t="s">
        <v>4589</v>
      </c>
      <c r="E1053" s="23" t="s">
        <v>84</v>
      </c>
      <c r="F1053" s="23" t="s">
        <v>85</v>
      </c>
      <c r="G1053" s="23" t="s">
        <v>26</v>
      </c>
      <c r="H1053" s="23" t="s">
        <v>4590</v>
      </c>
      <c r="I1053" s="23" t="s">
        <v>4591</v>
      </c>
      <c r="J1053" s="23">
        <v>1</v>
      </c>
      <c r="K1053" s="23" t="s">
        <v>107</v>
      </c>
      <c r="L1053" s="23" t="s">
        <v>16</v>
      </c>
      <c r="M1053" s="24"/>
    </row>
    <row r="1054" spans="1:13">
      <c r="A1054" s="19">
        <v>2531965</v>
      </c>
      <c r="B1054" s="20" t="s">
        <v>4592</v>
      </c>
      <c r="C1054" s="19" t="s">
        <v>4593</v>
      </c>
      <c r="D1054" s="19" t="s">
        <v>4594</v>
      </c>
      <c r="E1054" s="20" t="s">
        <v>84</v>
      </c>
      <c r="F1054" s="20" t="s">
        <v>92</v>
      </c>
      <c r="G1054" s="20" t="s">
        <v>26</v>
      </c>
      <c r="H1054" s="20" t="s">
        <v>4595</v>
      </c>
      <c r="I1054" s="20" t="s">
        <v>4596</v>
      </c>
      <c r="J1054" s="33">
        <v>1</v>
      </c>
      <c r="K1054" s="20" t="s">
        <v>107</v>
      </c>
      <c r="L1054" s="20" t="s">
        <v>16</v>
      </c>
      <c r="M1054" s="21"/>
    </row>
    <row r="1055" spans="1:13">
      <c r="A1055" s="22">
        <v>2521145</v>
      </c>
      <c r="B1055" s="23" t="s">
        <v>4597</v>
      </c>
      <c r="C1055" s="22" t="s">
        <v>4598</v>
      </c>
      <c r="D1055" s="22" t="s">
        <v>4599</v>
      </c>
      <c r="E1055" s="23" t="s">
        <v>127</v>
      </c>
      <c r="F1055" s="23" t="s">
        <v>92</v>
      </c>
      <c r="G1055" s="23" t="s">
        <v>26</v>
      </c>
      <c r="H1055" s="23" t="s">
        <v>4600</v>
      </c>
      <c r="I1055" s="23" t="s">
        <v>4601</v>
      </c>
      <c r="J1055" s="23">
        <v>1</v>
      </c>
      <c r="K1055" s="23" t="s">
        <v>107</v>
      </c>
      <c r="L1055" s="23" t="s">
        <v>16</v>
      </c>
      <c r="M1055" s="24"/>
    </row>
    <row r="1056" spans="1:13">
      <c r="A1056" s="22">
        <v>2516755</v>
      </c>
      <c r="B1056" s="23" t="s">
        <v>4602</v>
      </c>
      <c r="C1056" s="22" t="s">
        <v>4603</v>
      </c>
      <c r="D1056" s="22" t="s">
        <v>4604</v>
      </c>
      <c r="E1056" s="23" t="s">
        <v>84</v>
      </c>
      <c r="F1056" s="23" t="s">
        <v>92</v>
      </c>
      <c r="G1056" s="23" t="s">
        <v>26</v>
      </c>
      <c r="H1056" s="23" t="s">
        <v>4605</v>
      </c>
      <c r="I1056" s="23" t="s">
        <v>4606</v>
      </c>
      <c r="J1056" s="23">
        <v>1</v>
      </c>
      <c r="K1056" s="23" t="s">
        <v>107</v>
      </c>
      <c r="L1056" s="23" t="s">
        <v>16</v>
      </c>
      <c r="M1056" s="24"/>
    </row>
    <row r="1057" spans="1:13">
      <c r="A1057" s="19">
        <v>2531972</v>
      </c>
      <c r="B1057" s="20" t="s">
        <v>4607</v>
      </c>
      <c r="C1057" s="19" t="s">
        <v>4608</v>
      </c>
      <c r="D1057" s="19" t="s">
        <v>4609</v>
      </c>
      <c r="E1057" s="20" t="s">
        <v>84</v>
      </c>
      <c r="F1057" s="20" t="s">
        <v>92</v>
      </c>
      <c r="G1057" s="20" t="s">
        <v>26</v>
      </c>
      <c r="H1057" s="20" t="s">
        <v>4610</v>
      </c>
      <c r="I1057" s="20" t="s">
        <v>4611</v>
      </c>
      <c r="J1057" s="34" t="s">
        <v>34</v>
      </c>
      <c r="K1057" s="20" t="s">
        <v>107</v>
      </c>
      <c r="L1057" s="20" t="s">
        <v>16</v>
      </c>
      <c r="M1057" s="21"/>
    </row>
    <row r="1058" spans="1:13">
      <c r="A1058" s="19">
        <v>2521278</v>
      </c>
      <c r="B1058" s="20" t="s">
        <v>4612</v>
      </c>
      <c r="C1058" s="19" t="s">
        <v>4613</v>
      </c>
      <c r="D1058" s="19" t="s">
        <v>4614</v>
      </c>
      <c r="E1058" s="20" t="s">
        <v>84</v>
      </c>
      <c r="F1058" s="20" t="s">
        <v>92</v>
      </c>
      <c r="G1058" s="20" t="s">
        <v>26</v>
      </c>
      <c r="H1058" s="20" t="s">
        <v>4615</v>
      </c>
      <c r="I1058" s="20" t="s">
        <v>4615</v>
      </c>
      <c r="J1058" s="34" t="s">
        <v>34</v>
      </c>
      <c r="K1058" s="20" t="s">
        <v>107</v>
      </c>
      <c r="L1058" s="20" t="s">
        <v>16</v>
      </c>
      <c r="M1058" s="21" t="s">
        <v>49</v>
      </c>
    </row>
    <row r="1059" spans="1:13">
      <c r="A1059" s="22">
        <v>2519665</v>
      </c>
      <c r="B1059" s="23" t="s">
        <v>4616</v>
      </c>
      <c r="C1059" s="22" t="s">
        <v>4617</v>
      </c>
      <c r="D1059" s="22" t="s">
        <v>4618</v>
      </c>
      <c r="E1059" s="23" t="s">
        <v>84</v>
      </c>
      <c r="F1059" s="23" t="s">
        <v>92</v>
      </c>
      <c r="G1059" s="23" t="s">
        <v>26</v>
      </c>
      <c r="H1059" s="23" t="s">
        <v>4619</v>
      </c>
      <c r="I1059" s="23" t="s">
        <v>4620</v>
      </c>
      <c r="J1059" s="23">
        <v>1</v>
      </c>
      <c r="K1059" s="23" t="s">
        <v>107</v>
      </c>
      <c r="L1059" s="23" t="s">
        <v>16</v>
      </c>
      <c r="M1059" s="24"/>
    </row>
    <row r="1060" spans="1:13">
      <c r="A1060" s="22">
        <v>2516864</v>
      </c>
      <c r="B1060" s="23" t="s">
        <v>4621</v>
      </c>
      <c r="C1060" s="22" t="s">
        <v>4622</v>
      </c>
      <c r="D1060" s="22" t="s">
        <v>4623</v>
      </c>
      <c r="E1060" s="23" t="s">
        <v>84</v>
      </c>
      <c r="F1060" s="23" t="s">
        <v>92</v>
      </c>
      <c r="G1060" s="23" t="s">
        <v>26</v>
      </c>
      <c r="H1060" s="23" t="s">
        <v>4624</v>
      </c>
      <c r="I1060" s="23" t="s">
        <v>4625</v>
      </c>
      <c r="J1060" s="23">
        <v>1</v>
      </c>
      <c r="K1060" s="23" t="s">
        <v>107</v>
      </c>
      <c r="L1060" s="23" t="s">
        <v>16</v>
      </c>
      <c r="M1060" s="24"/>
    </row>
    <row r="1061" spans="1:13">
      <c r="A1061" s="19">
        <v>2529801</v>
      </c>
      <c r="B1061" s="20" t="s">
        <v>4626</v>
      </c>
      <c r="C1061" s="19" t="s">
        <v>4627</v>
      </c>
      <c r="D1061" s="19" t="s">
        <v>4628</v>
      </c>
      <c r="E1061" s="20" t="s">
        <v>84</v>
      </c>
      <c r="F1061" s="20" t="s">
        <v>112</v>
      </c>
      <c r="G1061" s="20" t="s">
        <v>26</v>
      </c>
      <c r="H1061" s="20" t="s">
        <v>4624</v>
      </c>
      <c r="I1061" s="20" t="s">
        <v>4629</v>
      </c>
      <c r="J1061" s="34" t="s">
        <v>34</v>
      </c>
      <c r="K1061" s="20" t="s">
        <v>107</v>
      </c>
      <c r="L1061" s="20" t="s">
        <v>16</v>
      </c>
      <c r="M1061" s="21"/>
    </row>
    <row r="1062" spans="1:13">
      <c r="A1062" s="22">
        <v>2521053</v>
      </c>
      <c r="B1062" s="23" t="s">
        <v>4630</v>
      </c>
      <c r="C1062" s="22" t="s">
        <v>4631</v>
      </c>
      <c r="D1062" s="22" t="s">
        <v>4632</v>
      </c>
      <c r="E1062" s="23" t="s">
        <v>84</v>
      </c>
      <c r="F1062" s="23" t="s">
        <v>92</v>
      </c>
      <c r="G1062" s="23" t="s">
        <v>26</v>
      </c>
      <c r="H1062" s="23" t="s">
        <v>4633</v>
      </c>
      <c r="I1062" s="23" t="s">
        <v>4536</v>
      </c>
      <c r="J1062" s="34" t="s">
        <v>34</v>
      </c>
      <c r="K1062" s="23" t="s">
        <v>107</v>
      </c>
      <c r="L1062" s="23" t="s">
        <v>16</v>
      </c>
      <c r="M1062" s="24"/>
    </row>
    <row r="1063" spans="1:13">
      <c r="A1063" s="19">
        <v>2521053</v>
      </c>
      <c r="B1063" s="20" t="s">
        <v>4630</v>
      </c>
      <c r="C1063" s="19" t="s">
        <v>4631</v>
      </c>
      <c r="D1063" s="19" t="s">
        <v>4632</v>
      </c>
      <c r="E1063" s="20" t="s">
        <v>84</v>
      </c>
      <c r="F1063" s="20" t="s">
        <v>92</v>
      </c>
      <c r="G1063" s="20" t="s">
        <v>26</v>
      </c>
      <c r="H1063" s="20" t="s">
        <v>4633</v>
      </c>
      <c r="I1063" s="20" t="s">
        <v>4634</v>
      </c>
      <c r="J1063" s="34" t="s">
        <v>34</v>
      </c>
      <c r="K1063" s="20" t="s">
        <v>107</v>
      </c>
      <c r="L1063" s="20" t="s">
        <v>16</v>
      </c>
      <c r="M1063" s="21"/>
    </row>
    <row r="1064" spans="1:13">
      <c r="A1064" s="19">
        <v>2529540</v>
      </c>
      <c r="B1064" s="20" t="s">
        <v>4635</v>
      </c>
      <c r="C1064" s="19" t="s">
        <v>4636</v>
      </c>
      <c r="D1064" s="19" t="s">
        <v>4637</v>
      </c>
      <c r="E1064" s="20" t="s">
        <v>127</v>
      </c>
      <c r="F1064" s="20" t="s">
        <v>92</v>
      </c>
      <c r="G1064" s="20" t="s">
        <v>26</v>
      </c>
      <c r="H1064" s="20" t="s">
        <v>4638</v>
      </c>
      <c r="I1064" s="20" t="s">
        <v>4639</v>
      </c>
      <c r="J1064" s="20">
        <v>1</v>
      </c>
      <c r="K1064" s="20" t="s">
        <v>107</v>
      </c>
      <c r="L1064" s="20" t="s">
        <v>16</v>
      </c>
      <c r="M1064" s="21" t="s">
        <v>4640</v>
      </c>
    </row>
    <row r="1065" spans="1:13">
      <c r="A1065" s="19">
        <v>2529697</v>
      </c>
      <c r="B1065" s="20" t="s">
        <v>4641</v>
      </c>
      <c r="C1065" s="19" t="s">
        <v>4642</v>
      </c>
      <c r="D1065" s="19" t="s">
        <v>4643</v>
      </c>
      <c r="E1065" s="20" t="s">
        <v>84</v>
      </c>
      <c r="F1065" s="20" t="s">
        <v>85</v>
      </c>
      <c r="G1065" s="20" t="s">
        <v>26</v>
      </c>
      <c r="H1065" s="20" t="s">
        <v>4644</v>
      </c>
      <c r="I1065" s="20" t="s">
        <v>4645</v>
      </c>
      <c r="J1065" s="34" t="s">
        <v>34</v>
      </c>
      <c r="K1065" s="20" t="s">
        <v>107</v>
      </c>
      <c r="L1065" s="20" t="s">
        <v>18</v>
      </c>
      <c r="M1065" s="21"/>
    </row>
    <row r="1066" spans="1:13">
      <c r="A1066" s="22">
        <v>2533042</v>
      </c>
      <c r="B1066" s="23" t="s">
        <v>4646</v>
      </c>
      <c r="C1066" s="22" t="s">
        <v>4647</v>
      </c>
      <c r="D1066" s="22" t="s">
        <v>4648</v>
      </c>
      <c r="E1066" s="23" t="s">
        <v>415</v>
      </c>
      <c r="F1066" s="23" t="s">
        <v>112</v>
      </c>
      <c r="G1066" s="23" t="s">
        <v>26</v>
      </c>
      <c r="H1066" s="23" t="s">
        <v>4550</v>
      </c>
      <c r="I1066" s="23" t="s">
        <v>4550</v>
      </c>
      <c r="J1066" s="23">
        <v>1</v>
      </c>
      <c r="K1066" s="23" t="s">
        <v>107</v>
      </c>
      <c r="L1066" s="23" t="s">
        <v>16</v>
      </c>
      <c r="M1066" s="24" t="s">
        <v>49</v>
      </c>
    </row>
    <row r="1067" spans="1:13">
      <c r="A1067" s="22">
        <v>2533010</v>
      </c>
      <c r="B1067" s="23" t="s">
        <v>4649</v>
      </c>
      <c r="C1067" s="22" t="s">
        <v>4650</v>
      </c>
      <c r="D1067" s="22" t="s">
        <v>4651</v>
      </c>
      <c r="E1067" s="23" t="s">
        <v>84</v>
      </c>
      <c r="F1067" s="23" t="s">
        <v>172</v>
      </c>
      <c r="G1067" s="23" t="s">
        <v>26</v>
      </c>
      <c r="H1067" s="23" t="s">
        <v>4652</v>
      </c>
      <c r="I1067" s="23" t="s">
        <v>4653</v>
      </c>
      <c r="J1067" s="23">
        <v>1</v>
      </c>
      <c r="K1067" s="23" t="s">
        <v>107</v>
      </c>
      <c r="L1067" s="23" t="s">
        <v>16</v>
      </c>
      <c r="M1067" s="24"/>
    </row>
    <row r="1068" spans="1:13">
      <c r="A1068" s="19">
        <v>2516868</v>
      </c>
      <c r="B1068" s="20" t="s">
        <v>4654</v>
      </c>
      <c r="C1068" s="19" t="s">
        <v>4655</v>
      </c>
      <c r="D1068" s="19" t="s">
        <v>4656</v>
      </c>
      <c r="E1068" s="20" t="s">
        <v>84</v>
      </c>
      <c r="F1068" s="20" t="s">
        <v>92</v>
      </c>
      <c r="G1068" s="20" t="s">
        <v>26</v>
      </c>
      <c r="H1068" s="20" t="s">
        <v>4657</v>
      </c>
      <c r="I1068" s="20" t="s">
        <v>4657</v>
      </c>
      <c r="J1068" s="23">
        <v>1</v>
      </c>
      <c r="K1068" s="20" t="s">
        <v>107</v>
      </c>
      <c r="L1068" s="20" t="s">
        <v>16</v>
      </c>
      <c r="M1068" s="21"/>
    </row>
    <row r="1069" spans="1:13">
      <c r="A1069" s="19">
        <v>2507425</v>
      </c>
      <c r="B1069" s="20" t="s">
        <v>4658</v>
      </c>
      <c r="C1069" s="19" t="s">
        <v>4659</v>
      </c>
      <c r="D1069" s="19" t="s">
        <v>4660</v>
      </c>
      <c r="E1069" s="20" t="s">
        <v>84</v>
      </c>
      <c r="F1069" s="20" t="s">
        <v>85</v>
      </c>
      <c r="G1069" s="20" t="s">
        <v>26</v>
      </c>
      <c r="H1069" s="20" t="s">
        <v>4661</v>
      </c>
      <c r="I1069" s="20" t="s">
        <v>4661</v>
      </c>
      <c r="J1069" s="19">
        <v>1</v>
      </c>
      <c r="K1069" s="20" t="s">
        <v>206</v>
      </c>
      <c r="L1069" s="20" t="s">
        <v>16</v>
      </c>
      <c r="M1069" s="21" t="s">
        <v>4662</v>
      </c>
    </row>
    <row r="1070" spans="1:13">
      <c r="A1070" s="22">
        <v>2519591</v>
      </c>
      <c r="B1070" s="23" t="s">
        <v>4663</v>
      </c>
      <c r="C1070" s="22" t="s">
        <v>4664</v>
      </c>
      <c r="D1070" s="22" t="s">
        <v>4665</v>
      </c>
      <c r="E1070" s="23" t="s">
        <v>84</v>
      </c>
      <c r="F1070" s="23" t="s">
        <v>85</v>
      </c>
      <c r="G1070" s="23" t="s">
        <v>26</v>
      </c>
      <c r="H1070" s="23" t="s">
        <v>4666</v>
      </c>
      <c r="I1070" s="23" t="s">
        <v>4667</v>
      </c>
      <c r="J1070" s="23">
        <v>3</v>
      </c>
      <c r="K1070" s="23" t="s">
        <v>206</v>
      </c>
      <c r="L1070" s="23" t="s">
        <v>18</v>
      </c>
      <c r="M1070" s="24"/>
    </row>
    <row r="1071" spans="1:13">
      <c r="A1071" s="19">
        <v>2521242</v>
      </c>
      <c r="B1071" s="20" t="s">
        <v>4668</v>
      </c>
      <c r="C1071" s="19" t="s">
        <v>4669</v>
      </c>
      <c r="D1071" s="19" t="s">
        <v>4670</v>
      </c>
      <c r="E1071" s="20" t="s">
        <v>84</v>
      </c>
      <c r="F1071" s="20" t="s">
        <v>92</v>
      </c>
      <c r="G1071" s="20" t="s">
        <v>26</v>
      </c>
      <c r="H1071" s="20" t="s">
        <v>4671</v>
      </c>
      <c r="I1071" s="20" t="s">
        <v>4672</v>
      </c>
      <c r="J1071" s="34" t="s">
        <v>34</v>
      </c>
      <c r="K1071" s="20" t="s">
        <v>107</v>
      </c>
      <c r="L1071" s="20" t="s">
        <v>16</v>
      </c>
      <c r="M1071" s="21"/>
    </row>
    <row r="1072" spans="1:13">
      <c r="A1072" s="19">
        <v>2520948</v>
      </c>
      <c r="B1072" s="20" t="s">
        <v>3946</v>
      </c>
      <c r="C1072" s="19" t="s">
        <v>3947</v>
      </c>
      <c r="D1072" s="19" t="s">
        <v>3948</v>
      </c>
      <c r="E1072" s="20" t="s">
        <v>84</v>
      </c>
      <c r="F1072" s="20" t="s">
        <v>85</v>
      </c>
      <c r="G1072" s="20" t="s">
        <v>26</v>
      </c>
      <c r="H1072" s="20" t="s">
        <v>4673</v>
      </c>
      <c r="I1072" s="20" t="s">
        <v>4673</v>
      </c>
      <c r="J1072" s="23">
        <v>1</v>
      </c>
      <c r="K1072" s="20" t="s">
        <v>206</v>
      </c>
      <c r="L1072" s="20" t="s">
        <v>16</v>
      </c>
      <c r="M1072" s="21"/>
    </row>
    <row r="1073" spans="1:13">
      <c r="A1073" s="19">
        <v>2521670</v>
      </c>
      <c r="B1073" s="20" t="s">
        <v>4674</v>
      </c>
      <c r="C1073" s="19" t="s">
        <v>4675</v>
      </c>
      <c r="D1073" s="19" t="s">
        <v>4676</v>
      </c>
      <c r="E1073" s="20" t="s">
        <v>127</v>
      </c>
      <c r="F1073" s="20" t="s">
        <v>172</v>
      </c>
      <c r="G1073" s="20" t="s">
        <v>24</v>
      </c>
      <c r="H1073" s="20" t="s">
        <v>4677</v>
      </c>
      <c r="I1073" s="20" t="s">
        <v>4678</v>
      </c>
      <c r="J1073" s="35">
        <v>3</v>
      </c>
      <c r="K1073" s="20" t="s">
        <v>19</v>
      </c>
      <c r="L1073" s="20" t="s">
        <v>16</v>
      </c>
      <c r="M1073" s="21" t="s">
        <v>49</v>
      </c>
    </row>
    <row r="1074" spans="1:13">
      <c r="A1074" s="19">
        <v>2521789</v>
      </c>
      <c r="B1074" s="20" t="s">
        <v>4679</v>
      </c>
      <c r="C1074" s="19" t="s">
        <v>4680</v>
      </c>
      <c r="D1074" s="19" t="s">
        <v>4681</v>
      </c>
      <c r="E1074" s="20" t="s">
        <v>127</v>
      </c>
      <c r="F1074" s="20" t="s">
        <v>85</v>
      </c>
      <c r="G1074" s="20" t="s">
        <v>26</v>
      </c>
      <c r="H1074" s="20" t="s">
        <v>4682</v>
      </c>
      <c r="I1074" s="20" t="s">
        <v>4683</v>
      </c>
      <c r="J1074" s="23">
        <v>3</v>
      </c>
      <c r="K1074" s="20" t="s">
        <v>206</v>
      </c>
      <c r="L1074" s="20" t="s">
        <v>16</v>
      </c>
      <c r="M1074" s="21"/>
    </row>
    <row r="1075" spans="1:13">
      <c r="A1075" s="22">
        <v>2531799</v>
      </c>
      <c r="B1075" s="23" t="s">
        <v>4684</v>
      </c>
      <c r="C1075" s="22" t="s">
        <v>4685</v>
      </c>
      <c r="D1075" s="22" t="s">
        <v>4686</v>
      </c>
      <c r="E1075" s="23" t="s">
        <v>127</v>
      </c>
      <c r="F1075" s="23" t="s">
        <v>92</v>
      </c>
      <c r="G1075" s="23" t="s">
        <v>26</v>
      </c>
      <c r="H1075" s="23" t="s">
        <v>4687</v>
      </c>
      <c r="I1075" s="23" t="s">
        <v>4688</v>
      </c>
      <c r="J1075" s="20">
        <v>5</v>
      </c>
      <c r="K1075" s="23" t="s">
        <v>19</v>
      </c>
      <c r="L1075" s="23" t="s">
        <v>16</v>
      </c>
      <c r="M1075" s="24"/>
    </row>
    <row r="1076" spans="1:13">
      <c r="A1076" s="22">
        <v>2511281</v>
      </c>
      <c r="B1076" s="23" t="s">
        <v>4689</v>
      </c>
      <c r="C1076" s="22" t="s">
        <v>4690</v>
      </c>
      <c r="D1076" s="22" t="s">
        <v>4691</v>
      </c>
      <c r="E1076" s="23" t="s">
        <v>84</v>
      </c>
      <c r="F1076" s="23" t="s">
        <v>92</v>
      </c>
      <c r="G1076" s="23" t="s">
        <v>26</v>
      </c>
      <c r="H1076" s="23" t="s">
        <v>4692</v>
      </c>
      <c r="I1076" s="23" t="s">
        <v>4693</v>
      </c>
      <c r="J1076" s="20">
        <v>4</v>
      </c>
      <c r="K1076" s="23" t="s">
        <v>107</v>
      </c>
      <c r="L1076" s="23" t="s">
        <v>16</v>
      </c>
      <c r="M1076" s="24"/>
    </row>
    <row r="1077" spans="1:13">
      <c r="A1077" s="19">
        <v>2521699</v>
      </c>
      <c r="B1077" s="20" t="s">
        <v>4694</v>
      </c>
      <c r="C1077" s="19" t="s">
        <v>4695</v>
      </c>
      <c r="D1077" s="19" t="s">
        <v>4696</v>
      </c>
      <c r="E1077" s="20" t="s">
        <v>384</v>
      </c>
      <c r="F1077" s="20" t="s">
        <v>172</v>
      </c>
      <c r="G1077" s="20" t="s">
        <v>24</v>
      </c>
      <c r="H1077" s="20" t="s">
        <v>4697</v>
      </c>
      <c r="I1077" s="20" t="s">
        <v>4698</v>
      </c>
      <c r="J1077" s="23">
        <v>1</v>
      </c>
      <c r="K1077" s="20" t="s">
        <v>107</v>
      </c>
      <c r="L1077" s="20" t="s">
        <v>16</v>
      </c>
      <c r="M1077" s="21"/>
    </row>
    <row r="1078" spans="1:13">
      <c r="A1078" s="22">
        <v>2521666</v>
      </c>
      <c r="B1078" s="23" t="s">
        <v>4699</v>
      </c>
      <c r="C1078" s="22" t="s">
        <v>4700</v>
      </c>
      <c r="D1078" s="22" t="s">
        <v>4701</v>
      </c>
      <c r="E1078" s="23" t="s">
        <v>127</v>
      </c>
      <c r="F1078" s="23" t="s">
        <v>92</v>
      </c>
      <c r="G1078" s="23" t="s">
        <v>26</v>
      </c>
      <c r="H1078" s="23" t="s">
        <v>4697</v>
      </c>
      <c r="I1078" s="23" t="s">
        <v>4702</v>
      </c>
      <c r="J1078" s="23">
        <v>1</v>
      </c>
      <c r="K1078" s="23" t="s">
        <v>107</v>
      </c>
      <c r="L1078" s="23" t="s">
        <v>16</v>
      </c>
      <c r="M1078" s="24"/>
    </row>
    <row r="1079" spans="1:13">
      <c r="A1079" s="19">
        <v>2523398</v>
      </c>
      <c r="B1079" s="20" t="s">
        <v>4703</v>
      </c>
      <c r="C1079" s="19" t="s">
        <v>4704</v>
      </c>
      <c r="D1079" s="19" t="s">
        <v>4705</v>
      </c>
      <c r="E1079" s="20" t="s">
        <v>84</v>
      </c>
      <c r="F1079" s="20" t="s">
        <v>92</v>
      </c>
      <c r="G1079" s="20" t="s">
        <v>24</v>
      </c>
      <c r="H1079" s="20" t="s">
        <v>4697</v>
      </c>
      <c r="I1079" s="20" t="s">
        <v>4706</v>
      </c>
      <c r="J1079" s="23">
        <v>1</v>
      </c>
      <c r="K1079" s="20" t="s">
        <v>107</v>
      </c>
      <c r="L1079" s="20" t="s">
        <v>16</v>
      </c>
      <c r="M1079" s="21"/>
    </row>
    <row r="1080" spans="1:13">
      <c r="A1080" s="19">
        <v>2531823</v>
      </c>
      <c r="B1080" s="20" t="s">
        <v>4707</v>
      </c>
      <c r="C1080" s="19" t="s">
        <v>4708</v>
      </c>
      <c r="D1080" s="19" t="s">
        <v>4709</v>
      </c>
      <c r="E1080" s="20" t="s">
        <v>84</v>
      </c>
      <c r="F1080" s="20" t="s">
        <v>92</v>
      </c>
      <c r="G1080" s="20" t="s">
        <v>24</v>
      </c>
      <c r="H1080" s="20" t="s">
        <v>4697</v>
      </c>
      <c r="I1080" s="20" t="s">
        <v>4710</v>
      </c>
      <c r="J1080" s="34" t="s">
        <v>34</v>
      </c>
      <c r="K1080" s="20" t="s">
        <v>107</v>
      </c>
      <c r="L1080" s="20" t="s">
        <v>16</v>
      </c>
      <c r="M1080" s="21"/>
    </row>
    <row r="1081" spans="1:13">
      <c r="A1081" s="22">
        <v>2518831</v>
      </c>
      <c r="B1081" s="23" t="s">
        <v>4711</v>
      </c>
      <c r="C1081" s="22" t="s">
        <v>4712</v>
      </c>
      <c r="D1081" s="22" t="s">
        <v>4713</v>
      </c>
      <c r="E1081" s="23" t="s">
        <v>384</v>
      </c>
      <c r="F1081" s="23" t="s">
        <v>92</v>
      </c>
      <c r="G1081" s="23" t="s">
        <v>26</v>
      </c>
      <c r="H1081" s="23" t="s">
        <v>4714</v>
      </c>
      <c r="I1081" s="23" t="s">
        <v>4715</v>
      </c>
      <c r="J1081" s="23">
        <v>1</v>
      </c>
      <c r="K1081" s="23" t="s">
        <v>19</v>
      </c>
      <c r="L1081" s="23" t="s">
        <v>16</v>
      </c>
      <c r="M1081" s="24"/>
    </row>
    <row r="1082" spans="1:13">
      <c r="A1082" s="22">
        <v>2521660</v>
      </c>
      <c r="B1082" s="23" t="s">
        <v>4716</v>
      </c>
      <c r="C1082" s="22" t="s">
        <v>4717</v>
      </c>
      <c r="D1082" s="22" t="s">
        <v>4718</v>
      </c>
      <c r="E1082" s="23" t="s">
        <v>384</v>
      </c>
      <c r="F1082" s="23" t="s">
        <v>172</v>
      </c>
      <c r="G1082" s="23" t="s">
        <v>24</v>
      </c>
      <c r="H1082" s="23" t="s">
        <v>4719</v>
      </c>
      <c r="I1082" s="23" t="s">
        <v>4720</v>
      </c>
      <c r="J1082" s="23">
        <v>1</v>
      </c>
      <c r="K1082" s="23" t="s">
        <v>19</v>
      </c>
      <c r="L1082" s="23" t="s">
        <v>16</v>
      </c>
      <c r="M1082" s="24"/>
    </row>
    <row r="1083" spans="1:13">
      <c r="A1083" s="19">
        <v>2518822</v>
      </c>
      <c r="B1083" s="20" t="s">
        <v>4721</v>
      </c>
      <c r="C1083" s="19" t="s">
        <v>4713</v>
      </c>
      <c r="D1083" s="19" t="s">
        <v>4712</v>
      </c>
      <c r="E1083" s="20" t="s">
        <v>384</v>
      </c>
      <c r="F1083" s="20" t="s">
        <v>92</v>
      </c>
      <c r="G1083" s="20" t="s">
        <v>26</v>
      </c>
      <c r="H1083" s="20" t="s">
        <v>4722</v>
      </c>
      <c r="I1083" s="20" t="s">
        <v>4714</v>
      </c>
      <c r="J1083" s="23">
        <v>1</v>
      </c>
      <c r="K1083" s="20" t="s">
        <v>107</v>
      </c>
      <c r="L1083" s="20" t="s">
        <v>16</v>
      </c>
      <c r="M1083" s="21"/>
    </row>
    <row r="1084" spans="1:13">
      <c r="A1084" s="22">
        <v>2519711</v>
      </c>
      <c r="B1084" s="23" t="s">
        <v>4723</v>
      </c>
      <c r="C1084" s="22" t="s">
        <v>4724</v>
      </c>
      <c r="D1084" s="22" t="s">
        <v>4725</v>
      </c>
      <c r="E1084" s="23" t="s">
        <v>84</v>
      </c>
      <c r="F1084" s="23" t="s">
        <v>92</v>
      </c>
      <c r="G1084" s="23" t="s">
        <v>26</v>
      </c>
      <c r="H1084" s="23" t="s">
        <v>4726</v>
      </c>
      <c r="I1084" s="23" t="s">
        <v>4727</v>
      </c>
      <c r="J1084" s="23">
        <v>3</v>
      </c>
      <c r="K1084" s="23" t="s">
        <v>19</v>
      </c>
      <c r="L1084" s="23" t="s">
        <v>16</v>
      </c>
      <c r="M1084" s="24"/>
    </row>
    <row r="1085" spans="1:13">
      <c r="A1085" s="22">
        <v>2531373</v>
      </c>
      <c r="B1085" s="23" t="s">
        <v>4728</v>
      </c>
      <c r="C1085" s="22" t="s">
        <v>4729</v>
      </c>
      <c r="D1085" s="22" t="s">
        <v>4730</v>
      </c>
      <c r="E1085" s="23" t="s">
        <v>127</v>
      </c>
      <c r="F1085" s="23" t="s">
        <v>92</v>
      </c>
      <c r="G1085" s="23" t="s">
        <v>26</v>
      </c>
      <c r="H1085" s="23" t="s">
        <v>4731</v>
      </c>
      <c r="I1085" s="23" t="s">
        <v>4732</v>
      </c>
      <c r="J1085" s="20">
        <v>5</v>
      </c>
      <c r="K1085" s="23" t="s">
        <v>107</v>
      </c>
      <c r="L1085" s="23" t="s">
        <v>16</v>
      </c>
      <c r="M1085" s="24"/>
    </row>
    <row r="1086" spans="1:13">
      <c r="A1086" s="19">
        <v>2532955</v>
      </c>
      <c r="B1086" s="20" t="s">
        <v>4733</v>
      </c>
      <c r="C1086" s="19" t="s">
        <v>4734</v>
      </c>
      <c r="D1086" s="19" t="s">
        <v>4735</v>
      </c>
      <c r="E1086" s="20" t="s">
        <v>84</v>
      </c>
      <c r="F1086" s="20" t="s">
        <v>92</v>
      </c>
      <c r="G1086" s="20" t="s">
        <v>26</v>
      </c>
      <c r="H1086" s="20" t="s">
        <v>4736</v>
      </c>
      <c r="I1086" s="20" t="s">
        <v>4737</v>
      </c>
      <c r="J1086" s="23">
        <v>3</v>
      </c>
      <c r="K1086" s="20" t="s">
        <v>107</v>
      </c>
      <c r="L1086" s="20" t="s">
        <v>16</v>
      </c>
      <c r="M1086" s="21"/>
    </row>
    <row r="1087" spans="1:13">
      <c r="A1087" s="19">
        <v>2524509</v>
      </c>
      <c r="B1087" s="20" t="s">
        <v>4738</v>
      </c>
      <c r="C1087" s="19" t="s">
        <v>4739</v>
      </c>
      <c r="D1087" s="19" t="s">
        <v>4740</v>
      </c>
      <c r="E1087" s="20" t="s">
        <v>84</v>
      </c>
      <c r="F1087" s="20" t="s">
        <v>92</v>
      </c>
      <c r="G1087" s="20" t="s">
        <v>26</v>
      </c>
      <c r="H1087" s="20" t="s">
        <v>4741</v>
      </c>
      <c r="I1087" s="20" t="s">
        <v>4742</v>
      </c>
      <c r="J1087" s="23">
        <v>3</v>
      </c>
      <c r="K1087" s="20" t="s">
        <v>19</v>
      </c>
      <c r="L1087" s="20" t="s">
        <v>16</v>
      </c>
      <c r="M1087" s="25" t="s">
        <v>86</v>
      </c>
    </row>
    <row r="1088" spans="1:13">
      <c r="A1088" s="19">
        <v>2524509</v>
      </c>
      <c r="B1088" s="20" t="s">
        <v>4738</v>
      </c>
      <c r="C1088" s="19" t="s">
        <v>4739</v>
      </c>
      <c r="D1088" s="19" t="s">
        <v>4740</v>
      </c>
      <c r="E1088" s="20" t="s">
        <v>84</v>
      </c>
      <c r="F1088" s="20" t="s">
        <v>92</v>
      </c>
      <c r="G1088" s="20" t="s">
        <v>26</v>
      </c>
      <c r="H1088" s="20" t="s">
        <v>4741</v>
      </c>
      <c r="I1088" s="20" t="s">
        <v>4742</v>
      </c>
      <c r="J1088" s="34">
        <v>3</v>
      </c>
      <c r="K1088" s="20" t="s">
        <v>19</v>
      </c>
      <c r="L1088" s="20" t="s">
        <v>16</v>
      </c>
      <c r="M1088" s="25" t="s">
        <v>86</v>
      </c>
    </row>
    <row r="1089" spans="1:13">
      <c r="A1089" s="19">
        <v>2516796</v>
      </c>
      <c r="B1089" s="20" t="s">
        <v>4743</v>
      </c>
      <c r="C1089" s="19" t="s">
        <v>4744</v>
      </c>
      <c r="D1089" s="19" t="s">
        <v>4745</v>
      </c>
      <c r="E1089" s="20" t="s">
        <v>84</v>
      </c>
      <c r="F1089" s="20" t="s">
        <v>92</v>
      </c>
      <c r="G1089" s="20" t="s">
        <v>26</v>
      </c>
      <c r="H1089" s="20" t="s">
        <v>4746</v>
      </c>
      <c r="I1089" s="20" t="s">
        <v>4746</v>
      </c>
      <c r="J1089" s="23">
        <v>1</v>
      </c>
      <c r="K1089" s="20" t="s">
        <v>107</v>
      </c>
      <c r="L1089" s="20" t="s">
        <v>16</v>
      </c>
      <c r="M1089" s="21"/>
    </row>
    <row r="1090" spans="1:13">
      <c r="A1090" s="22">
        <v>2529521</v>
      </c>
      <c r="B1090" s="23" t="s">
        <v>4747</v>
      </c>
      <c r="C1090" s="22" t="s">
        <v>4748</v>
      </c>
      <c r="D1090" s="22" t="s">
        <v>4749</v>
      </c>
      <c r="E1090" s="23" t="s">
        <v>84</v>
      </c>
      <c r="F1090" s="23" t="s">
        <v>92</v>
      </c>
      <c r="G1090" s="23" t="s">
        <v>26</v>
      </c>
      <c r="H1090" s="23" t="s">
        <v>4750</v>
      </c>
      <c r="I1090" s="23" t="s">
        <v>4751</v>
      </c>
      <c r="J1090" s="23">
        <v>1</v>
      </c>
      <c r="K1090" s="23" t="s">
        <v>107</v>
      </c>
      <c r="L1090" s="23" t="s">
        <v>16</v>
      </c>
      <c r="M1090" s="24"/>
    </row>
    <row r="1091" spans="1:13">
      <c r="A1091" s="19">
        <v>2521198</v>
      </c>
      <c r="B1091" s="20" t="s">
        <v>4752</v>
      </c>
      <c r="C1091" s="19" t="s">
        <v>4753</v>
      </c>
      <c r="D1091" s="19" t="s">
        <v>4754</v>
      </c>
      <c r="E1091" s="20" t="s">
        <v>84</v>
      </c>
      <c r="F1091" s="20" t="s">
        <v>172</v>
      </c>
      <c r="G1091" s="20" t="s">
        <v>24</v>
      </c>
      <c r="H1091" s="20" t="s">
        <v>4755</v>
      </c>
      <c r="I1091" s="20" t="s">
        <v>4756</v>
      </c>
      <c r="J1091" s="23">
        <v>3</v>
      </c>
      <c r="K1091" s="20" t="s">
        <v>19</v>
      </c>
      <c r="L1091" s="20" t="s">
        <v>16</v>
      </c>
      <c r="M1091" s="21"/>
    </row>
    <row r="1092" spans="1:13">
      <c r="A1092" s="22">
        <v>2524481</v>
      </c>
      <c r="B1092" s="23" t="s">
        <v>4757</v>
      </c>
      <c r="C1092" s="22" t="s">
        <v>4758</v>
      </c>
      <c r="D1092" s="22" t="s">
        <v>4759</v>
      </c>
      <c r="E1092" s="23" t="s">
        <v>84</v>
      </c>
      <c r="F1092" s="23" t="s">
        <v>92</v>
      </c>
      <c r="G1092" s="23" t="s">
        <v>26</v>
      </c>
      <c r="H1092" s="23" t="s">
        <v>4760</v>
      </c>
      <c r="I1092" s="23" t="s">
        <v>4761</v>
      </c>
      <c r="J1092" s="20">
        <v>4</v>
      </c>
      <c r="K1092" s="23" t="s">
        <v>107</v>
      </c>
      <c r="L1092" s="23" t="s">
        <v>16</v>
      </c>
      <c r="M1092" s="24"/>
    </row>
    <row r="1093" spans="1:13">
      <c r="A1093" s="19">
        <v>2524641</v>
      </c>
      <c r="B1093" s="20" t="s">
        <v>4762</v>
      </c>
      <c r="C1093" s="19" t="s">
        <v>4763</v>
      </c>
      <c r="D1093" s="19" t="s">
        <v>1326</v>
      </c>
      <c r="E1093" s="20" t="s">
        <v>415</v>
      </c>
      <c r="F1093" s="20" t="s">
        <v>92</v>
      </c>
      <c r="G1093" s="20" t="s">
        <v>26</v>
      </c>
      <c r="H1093" s="20" t="s">
        <v>4764</v>
      </c>
      <c r="I1093" s="20" t="s">
        <v>4765</v>
      </c>
      <c r="J1093" s="20">
        <v>1</v>
      </c>
      <c r="K1093" s="20" t="s">
        <v>19</v>
      </c>
      <c r="L1093" s="20" t="s">
        <v>16</v>
      </c>
      <c r="M1093" s="21"/>
    </row>
    <row r="1094" spans="1:13">
      <c r="A1094" s="19">
        <v>2529675</v>
      </c>
      <c r="B1094" s="20" t="s">
        <v>4766</v>
      </c>
      <c r="C1094" s="19" t="s">
        <v>4767</v>
      </c>
      <c r="D1094" s="19" t="s">
        <v>4768</v>
      </c>
      <c r="E1094" s="20" t="s">
        <v>84</v>
      </c>
      <c r="F1094" s="20" t="s">
        <v>92</v>
      </c>
      <c r="G1094" s="20" t="s">
        <v>26</v>
      </c>
      <c r="H1094" s="20" t="s">
        <v>4769</v>
      </c>
      <c r="I1094" s="20" t="s">
        <v>4770</v>
      </c>
      <c r="J1094" s="20">
        <v>5</v>
      </c>
      <c r="K1094" s="20" t="s">
        <v>19</v>
      </c>
      <c r="L1094" s="20" t="s">
        <v>16</v>
      </c>
      <c r="M1094" s="21"/>
    </row>
    <row r="1095" spans="1:13">
      <c r="A1095" s="22">
        <v>2521138</v>
      </c>
      <c r="B1095" s="23" t="s">
        <v>4771</v>
      </c>
      <c r="C1095" s="22" t="s">
        <v>4772</v>
      </c>
      <c r="D1095" s="22" t="s">
        <v>4773</v>
      </c>
      <c r="E1095" s="23" t="s">
        <v>127</v>
      </c>
      <c r="F1095" s="23" t="s">
        <v>92</v>
      </c>
      <c r="G1095" s="23" t="s">
        <v>26</v>
      </c>
      <c r="H1095" s="23" t="s">
        <v>4774</v>
      </c>
      <c r="I1095" s="23" t="s">
        <v>4775</v>
      </c>
      <c r="J1095" s="20">
        <v>5</v>
      </c>
      <c r="K1095" s="23" t="s">
        <v>107</v>
      </c>
      <c r="L1095" s="23" t="s">
        <v>18</v>
      </c>
      <c r="M1095" s="24"/>
    </row>
    <row r="1096" spans="1:13">
      <c r="A1096" s="19">
        <v>2521048</v>
      </c>
      <c r="B1096" s="20" t="s">
        <v>4776</v>
      </c>
      <c r="C1096" s="19" t="s">
        <v>4777</v>
      </c>
      <c r="D1096" s="19" t="s">
        <v>4778</v>
      </c>
      <c r="E1096" s="20" t="s">
        <v>84</v>
      </c>
      <c r="F1096" s="20" t="s">
        <v>92</v>
      </c>
      <c r="G1096" s="20" t="s">
        <v>26</v>
      </c>
      <c r="H1096" s="20" t="s">
        <v>4779</v>
      </c>
      <c r="I1096" s="20" t="s">
        <v>4780</v>
      </c>
      <c r="J1096" s="20">
        <v>5</v>
      </c>
      <c r="K1096" s="20" t="s">
        <v>107</v>
      </c>
      <c r="L1096" s="20" t="s">
        <v>16</v>
      </c>
      <c r="M1096" s="21"/>
    </row>
    <row r="1097" spans="1:13">
      <c r="A1097" s="22">
        <v>2516823</v>
      </c>
      <c r="B1097" s="23" t="s">
        <v>4781</v>
      </c>
      <c r="C1097" s="22" t="s">
        <v>4782</v>
      </c>
      <c r="D1097" s="22" t="s">
        <v>4783</v>
      </c>
      <c r="E1097" s="23" t="s">
        <v>84</v>
      </c>
      <c r="F1097" s="23" t="s">
        <v>92</v>
      </c>
      <c r="G1097" s="23" t="s">
        <v>26</v>
      </c>
      <c r="H1097" s="23" t="s">
        <v>4784</v>
      </c>
      <c r="I1097" s="23" t="s">
        <v>4784</v>
      </c>
      <c r="J1097" s="23">
        <v>1</v>
      </c>
      <c r="K1097" s="23" t="s">
        <v>107</v>
      </c>
      <c r="L1097" s="23" t="s">
        <v>16</v>
      </c>
      <c r="M1097" s="24"/>
    </row>
    <row r="1098" spans="1:13">
      <c r="A1098" s="22">
        <v>2516823</v>
      </c>
      <c r="B1098" s="23" t="s">
        <v>4781</v>
      </c>
      <c r="C1098" s="22" t="s">
        <v>4782</v>
      </c>
      <c r="D1098" s="22" t="s">
        <v>4783</v>
      </c>
      <c r="E1098" s="23" t="s">
        <v>84</v>
      </c>
      <c r="F1098" s="23" t="s">
        <v>92</v>
      </c>
      <c r="G1098" s="23" t="s">
        <v>26</v>
      </c>
      <c r="H1098" s="23" t="s">
        <v>4784</v>
      </c>
      <c r="I1098" s="23" t="s">
        <v>4784</v>
      </c>
      <c r="J1098" s="23">
        <v>1</v>
      </c>
      <c r="K1098" s="23" t="s">
        <v>107</v>
      </c>
      <c r="L1098" s="23" t="s">
        <v>16</v>
      </c>
      <c r="M1098" s="24"/>
    </row>
    <row r="1099" spans="1:13">
      <c r="A1099" s="19">
        <v>2524633</v>
      </c>
      <c r="B1099" s="20" t="s">
        <v>4785</v>
      </c>
      <c r="C1099" s="19" t="s">
        <v>4786</v>
      </c>
      <c r="D1099" s="19" t="s">
        <v>4787</v>
      </c>
      <c r="E1099" s="20" t="s">
        <v>84</v>
      </c>
      <c r="F1099" s="20" t="s">
        <v>92</v>
      </c>
      <c r="G1099" s="20" t="s">
        <v>26</v>
      </c>
      <c r="H1099" s="20" t="s">
        <v>4788</v>
      </c>
      <c r="I1099" s="20" t="s">
        <v>4789</v>
      </c>
      <c r="J1099" s="23">
        <v>1</v>
      </c>
      <c r="K1099" s="20" t="s">
        <v>19</v>
      </c>
      <c r="L1099" s="20" t="s">
        <v>18</v>
      </c>
      <c r="M1099" s="21" t="s">
        <v>330</v>
      </c>
    </row>
    <row r="1100" spans="1:13">
      <c r="A1100" s="22">
        <v>2521736</v>
      </c>
      <c r="B1100" s="23" t="s">
        <v>4790</v>
      </c>
      <c r="C1100" s="22" t="s">
        <v>4791</v>
      </c>
      <c r="D1100" s="22" t="s">
        <v>4792</v>
      </c>
      <c r="E1100" s="23" t="s">
        <v>84</v>
      </c>
      <c r="F1100" s="23" t="s">
        <v>92</v>
      </c>
      <c r="G1100" s="23" t="s">
        <v>26</v>
      </c>
      <c r="H1100" s="23" t="s">
        <v>4793</v>
      </c>
      <c r="I1100" s="23" t="s">
        <v>4794</v>
      </c>
      <c r="J1100" s="23">
        <v>1</v>
      </c>
      <c r="K1100" s="23" t="s">
        <v>19</v>
      </c>
      <c r="L1100" s="23" t="s">
        <v>16</v>
      </c>
      <c r="M1100" s="24"/>
    </row>
    <row r="1101" spans="1:13">
      <c r="A1101" s="22">
        <v>2521179</v>
      </c>
      <c r="B1101" s="23" t="s">
        <v>4795</v>
      </c>
      <c r="C1101" s="22" t="s">
        <v>4796</v>
      </c>
      <c r="D1101" s="22" t="s">
        <v>4797</v>
      </c>
      <c r="E1101" s="23" t="s">
        <v>84</v>
      </c>
      <c r="F1101" s="23" t="s">
        <v>92</v>
      </c>
      <c r="G1101" s="23" t="s">
        <v>26</v>
      </c>
      <c r="H1101" s="23" t="s">
        <v>4798</v>
      </c>
      <c r="I1101" s="23" t="s">
        <v>4799</v>
      </c>
      <c r="J1101" s="20">
        <v>2</v>
      </c>
      <c r="K1101" s="23" t="s">
        <v>107</v>
      </c>
      <c r="L1101" s="23" t="s">
        <v>18</v>
      </c>
      <c r="M1101" s="24"/>
    </row>
    <row r="1102" spans="1:13">
      <c r="A1102" s="22">
        <v>2533058</v>
      </c>
      <c r="B1102" s="23" t="s">
        <v>4800</v>
      </c>
      <c r="C1102" s="22" t="s">
        <v>4801</v>
      </c>
      <c r="D1102" s="22" t="s">
        <v>4802</v>
      </c>
      <c r="E1102" s="23" t="s">
        <v>84</v>
      </c>
      <c r="F1102" s="23" t="s">
        <v>92</v>
      </c>
      <c r="G1102" s="23" t="s">
        <v>26</v>
      </c>
      <c r="H1102" s="23" t="s">
        <v>4798</v>
      </c>
      <c r="I1102" s="23" t="s">
        <v>4803</v>
      </c>
      <c r="J1102" s="20">
        <v>4</v>
      </c>
      <c r="K1102" s="23" t="s">
        <v>19</v>
      </c>
      <c r="L1102" s="23" t="s">
        <v>16</v>
      </c>
      <c r="M1102" s="24"/>
    </row>
    <row r="1103" spans="1:13">
      <c r="A1103" s="19">
        <v>2518824</v>
      </c>
      <c r="B1103" s="20" t="s">
        <v>4804</v>
      </c>
      <c r="C1103" s="19" t="s">
        <v>4805</v>
      </c>
      <c r="D1103" s="19" t="s">
        <v>4806</v>
      </c>
      <c r="E1103" s="20" t="s">
        <v>127</v>
      </c>
      <c r="F1103" s="20" t="s">
        <v>92</v>
      </c>
      <c r="G1103" s="20" t="s">
        <v>26</v>
      </c>
      <c r="H1103" s="20" t="s">
        <v>4807</v>
      </c>
      <c r="I1103" s="20" t="s">
        <v>258</v>
      </c>
      <c r="J1103" s="20">
        <v>2</v>
      </c>
      <c r="K1103" s="20" t="s">
        <v>107</v>
      </c>
      <c r="L1103" s="20" t="s">
        <v>16</v>
      </c>
      <c r="M1103" s="21"/>
    </row>
    <row r="1104" spans="1:13">
      <c r="A1104" s="19">
        <v>2532905</v>
      </c>
      <c r="B1104" s="20" t="s">
        <v>4808</v>
      </c>
      <c r="C1104" s="19" t="s">
        <v>4809</v>
      </c>
      <c r="D1104" s="19" t="s">
        <v>4810</v>
      </c>
      <c r="E1104" s="20" t="s">
        <v>84</v>
      </c>
      <c r="F1104" s="20" t="s">
        <v>92</v>
      </c>
      <c r="G1104" s="20" t="s">
        <v>24</v>
      </c>
      <c r="H1104" s="20" t="s">
        <v>4811</v>
      </c>
      <c r="I1104" s="20" t="s">
        <v>4812</v>
      </c>
      <c r="J1104" s="23">
        <v>3</v>
      </c>
      <c r="K1104" s="20" t="s">
        <v>107</v>
      </c>
      <c r="L1104" s="20" t="s">
        <v>16</v>
      </c>
      <c r="M1104" s="21"/>
    </row>
    <row r="1105" spans="1:13">
      <c r="A1105" s="19">
        <v>2533058</v>
      </c>
      <c r="B1105" s="20" t="s">
        <v>4800</v>
      </c>
      <c r="C1105" s="19" t="s">
        <v>4801</v>
      </c>
      <c r="D1105" s="19" t="s">
        <v>4802</v>
      </c>
      <c r="E1105" s="20" t="s">
        <v>84</v>
      </c>
      <c r="F1105" s="20" t="s">
        <v>172</v>
      </c>
      <c r="G1105" s="20" t="s">
        <v>26</v>
      </c>
      <c r="H1105" s="20" t="s">
        <v>4813</v>
      </c>
      <c r="I1105" s="20" t="s">
        <v>4814</v>
      </c>
      <c r="J1105" s="20">
        <v>4</v>
      </c>
      <c r="K1105" s="20" t="s">
        <v>107</v>
      </c>
      <c r="L1105" s="20" t="s">
        <v>16</v>
      </c>
      <c r="M1105" s="21"/>
    </row>
    <row r="1106" spans="1:13">
      <c r="A1106" s="19">
        <v>2522856</v>
      </c>
      <c r="B1106" s="20" t="s">
        <v>4815</v>
      </c>
      <c r="C1106" s="19" t="s">
        <v>4816</v>
      </c>
      <c r="D1106" s="19" t="s">
        <v>4817</v>
      </c>
      <c r="E1106" s="20" t="s">
        <v>84</v>
      </c>
      <c r="F1106" s="20" t="s">
        <v>92</v>
      </c>
      <c r="G1106" s="20" t="s">
        <v>26</v>
      </c>
      <c r="H1106" s="20" t="s">
        <v>4818</v>
      </c>
      <c r="I1106" s="20" t="s">
        <v>4819</v>
      </c>
      <c r="J1106" s="23">
        <v>1</v>
      </c>
      <c r="K1106" s="20" t="s">
        <v>19</v>
      </c>
      <c r="L1106" s="20" t="s">
        <v>16</v>
      </c>
      <c r="M1106" s="21"/>
    </row>
    <row r="1107" spans="1:13">
      <c r="A1107" s="19">
        <v>2522856</v>
      </c>
      <c r="B1107" s="20" t="s">
        <v>4815</v>
      </c>
      <c r="C1107" s="19" t="s">
        <v>4816</v>
      </c>
      <c r="D1107" s="19" t="s">
        <v>4817</v>
      </c>
      <c r="E1107" s="20" t="s">
        <v>84</v>
      </c>
      <c r="F1107" s="20" t="s">
        <v>92</v>
      </c>
      <c r="G1107" s="20" t="s">
        <v>26</v>
      </c>
      <c r="H1107" s="20" t="s">
        <v>4818</v>
      </c>
      <c r="I1107" s="20" t="s">
        <v>4819</v>
      </c>
      <c r="J1107" s="23">
        <v>1</v>
      </c>
      <c r="K1107" s="20" t="s">
        <v>19</v>
      </c>
      <c r="L1107" s="20" t="s">
        <v>16</v>
      </c>
      <c r="M1107" s="21"/>
    </row>
    <row r="1108" spans="1:13">
      <c r="A1108" s="22">
        <v>2531963</v>
      </c>
      <c r="B1108" s="23" t="s">
        <v>4820</v>
      </c>
      <c r="C1108" s="22" t="s">
        <v>4821</v>
      </c>
      <c r="D1108" s="22" t="s">
        <v>4822</v>
      </c>
      <c r="E1108" s="23" t="s">
        <v>84</v>
      </c>
      <c r="F1108" s="23" t="s">
        <v>92</v>
      </c>
      <c r="G1108" s="23" t="s">
        <v>26</v>
      </c>
      <c r="H1108" s="23" t="s">
        <v>4823</v>
      </c>
      <c r="I1108" s="23" t="s">
        <v>4824</v>
      </c>
      <c r="J1108" s="23">
        <v>3</v>
      </c>
      <c r="K1108" s="23" t="s">
        <v>19</v>
      </c>
      <c r="L1108" s="23" t="s">
        <v>16</v>
      </c>
      <c r="M1108" s="24"/>
    </row>
    <row r="1109" spans="1:13">
      <c r="A1109" s="22">
        <v>2521627</v>
      </c>
      <c r="B1109" s="23" t="s">
        <v>4825</v>
      </c>
      <c r="C1109" s="22" t="s">
        <v>4826</v>
      </c>
      <c r="D1109" s="22" t="s">
        <v>4827</v>
      </c>
      <c r="E1109" s="23" t="s">
        <v>127</v>
      </c>
      <c r="F1109" s="23" t="s">
        <v>92</v>
      </c>
      <c r="G1109" s="23" t="s">
        <v>26</v>
      </c>
      <c r="H1109" s="23" t="s">
        <v>4828</v>
      </c>
      <c r="I1109" s="23" t="s">
        <v>4829</v>
      </c>
      <c r="J1109" s="23">
        <v>3</v>
      </c>
      <c r="K1109" s="23" t="s">
        <v>19</v>
      </c>
      <c r="L1109" s="23" t="s">
        <v>18</v>
      </c>
      <c r="M1109" s="24"/>
    </row>
    <row r="1110" spans="1:13">
      <c r="A1110" s="19">
        <v>2512340</v>
      </c>
      <c r="B1110" s="20" t="s">
        <v>4830</v>
      </c>
      <c r="C1110" s="19" t="s">
        <v>4831</v>
      </c>
      <c r="D1110" s="19" t="s">
        <v>4832</v>
      </c>
      <c r="E1110" s="20" t="s">
        <v>127</v>
      </c>
      <c r="F1110" s="20" t="s">
        <v>92</v>
      </c>
      <c r="G1110" s="20" t="s">
        <v>26</v>
      </c>
      <c r="H1110" s="20" t="s">
        <v>4818</v>
      </c>
      <c r="I1110" s="20" t="s">
        <v>4833</v>
      </c>
      <c r="J1110" s="34" t="s">
        <v>34</v>
      </c>
      <c r="K1110" s="20" t="s">
        <v>107</v>
      </c>
      <c r="L1110" s="20" t="s">
        <v>16</v>
      </c>
      <c r="M1110" s="21"/>
    </row>
    <row r="1111" spans="1:13">
      <c r="A1111" s="22">
        <v>2532961</v>
      </c>
      <c r="B1111" s="23" t="s">
        <v>4834</v>
      </c>
      <c r="C1111" s="22" t="s">
        <v>4835</v>
      </c>
      <c r="D1111" s="22" t="s">
        <v>4836</v>
      </c>
      <c r="E1111" s="23" t="s">
        <v>84</v>
      </c>
      <c r="F1111" s="23" t="s">
        <v>92</v>
      </c>
      <c r="G1111" s="23" t="s">
        <v>26</v>
      </c>
      <c r="H1111" s="23" t="s">
        <v>4837</v>
      </c>
      <c r="I1111" s="23" t="s">
        <v>258</v>
      </c>
      <c r="J1111" s="23">
        <v>1</v>
      </c>
      <c r="K1111" s="23" t="s">
        <v>107</v>
      </c>
      <c r="L1111" s="23" t="s">
        <v>16</v>
      </c>
      <c r="M1111" s="24"/>
    </row>
    <row r="1112" spans="1:13">
      <c r="A1112" s="22">
        <v>2479899</v>
      </c>
      <c r="B1112" s="23" t="s">
        <v>4838</v>
      </c>
      <c r="C1112" s="22" t="s">
        <v>4839</v>
      </c>
      <c r="D1112" s="22" t="s">
        <v>4840</v>
      </c>
      <c r="E1112" s="23" t="s">
        <v>84</v>
      </c>
      <c r="F1112" s="23" t="s">
        <v>92</v>
      </c>
      <c r="G1112" s="23" t="s">
        <v>26</v>
      </c>
      <c r="H1112" s="23" t="s">
        <v>4841</v>
      </c>
      <c r="I1112" s="23" t="s">
        <v>4842</v>
      </c>
      <c r="J1112" s="23">
        <v>3</v>
      </c>
      <c r="K1112" s="23" t="s">
        <v>19</v>
      </c>
      <c r="L1112" s="23" t="s">
        <v>16</v>
      </c>
      <c r="M1112" s="24"/>
    </row>
    <row r="1113" spans="1:13">
      <c r="A1113" s="19">
        <v>2521135</v>
      </c>
      <c r="B1113" s="20" t="s">
        <v>4843</v>
      </c>
      <c r="C1113" s="19" t="s">
        <v>4844</v>
      </c>
      <c r="D1113" s="19" t="s">
        <v>4845</v>
      </c>
      <c r="E1113" s="20" t="s">
        <v>127</v>
      </c>
      <c r="F1113" s="20" t="s">
        <v>92</v>
      </c>
      <c r="G1113" s="20" t="s">
        <v>26</v>
      </c>
      <c r="H1113" s="20" t="s">
        <v>4846</v>
      </c>
      <c r="I1113" s="20" t="s">
        <v>4847</v>
      </c>
      <c r="J1113" s="20">
        <v>4</v>
      </c>
      <c r="K1113" s="20" t="s">
        <v>19</v>
      </c>
      <c r="L1113" s="20" t="s">
        <v>16</v>
      </c>
      <c r="M1113" s="21"/>
    </row>
    <row r="1114" spans="1:13">
      <c r="A1114" s="22">
        <v>2521625</v>
      </c>
      <c r="B1114" s="23" t="s">
        <v>4848</v>
      </c>
      <c r="C1114" s="22" t="s">
        <v>4849</v>
      </c>
      <c r="D1114" s="22" t="s">
        <v>4850</v>
      </c>
      <c r="E1114" s="23" t="s">
        <v>127</v>
      </c>
      <c r="F1114" s="23" t="s">
        <v>92</v>
      </c>
      <c r="G1114" s="23" t="s">
        <v>26</v>
      </c>
      <c r="H1114" s="23" t="s">
        <v>4851</v>
      </c>
      <c r="I1114" s="23" t="s">
        <v>4852</v>
      </c>
      <c r="J1114" s="20">
        <v>2</v>
      </c>
      <c r="K1114" s="23" t="s">
        <v>107</v>
      </c>
      <c r="L1114" s="23" t="s">
        <v>16</v>
      </c>
      <c r="M1114" s="24" t="s">
        <v>2032</v>
      </c>
    </row>
    <row r="1115" spans="1:13">
      <c r="A1115" s="22">
        <v>2516760</v>
      </c>
      <c r="B1115" s="23" t="s">
        <v>4853</v>
      </c>
      <c r="C1115" s="22" t="s">
        <v>4854</v>
      </c>
      <c r="D1115" s="22" t="s">
        <v>4855</v>
      </c>
      <c r="E1115" s="23" t="s">
        <v>84</v>
      </c>
      <c r="F1115" s="23" t="s">
        <v>92</v>
      </c>
      <c r="G1115" s="23" t="s">
        <v>26</v>
      </c>
      <c r="H1115" s="23" t="s">
        <v>4856</v>
      </c>
      <c r="I1115" s="23" t="s">
        <v>4857</v>
      </c>
      <c r="J1115" s="36">
        <v>1</v>
      </c>
      <c r="K1115" s="23" t="s">
        <v>19</v>
      </c>
      <c r="L1115" s="23" t="s">
        <v>16</v>
      </c>
      <c r="M1115" s="24"/>
    </row>
    <row r="1116" spans="1:13">
      <c r="A1116" s="22">
        <v>2531955</v>
      </c>
      <c r="B1116" s="23" t="s">
        <v>4858</v>
      </c>
      <c r="C1116" s="22" t="s">
        <v>4859</v>
      </c>
      <c r="D1116" s="22" t="s">
        <v>4860</v>
      </c>
      <c r="E1116" s="23" t="s">
        <v>84</v>
      </c>
      <c r="F1116" s="23" t="s">
        <v>92</v>
      </c>
      <c r="G1116" s="23" t="s">
        <v>26</v>
      </c>
      <c r="H1116" s="23" t="s">
        <v>4861</v>
      </c>
      <c r="I1116" s="23" t="s">
        <v>4862</v>
      </c>
      <c r="J1116" s="23">
        <v>3</v>
      </c>
      <c r="K1116" s="23" t="s">
        <v>19</v>
      </c>
      <c r="L1116" s="23" t="s">
        <v>16</v>
      </c>
      <c r="M1116" s="24"/>
    </row>
    <row r="1117" spans="1:13">
      <c r="A1117" s="22">
        <v>2521694</v>
      </c>
      <c r="B1117" s="23" t="s">
        <v>4863</v>
      </c>
      <c r="C1117" s="22" t="s">
        <v>4864</v>
      </c>
      <c r="D1117" s="22" t="s">
        <v>4865</v>
      </c>
      <c r="E1117" s="23" t="s">
        <v>84</v>
      </c>
      <c r="F1117" s="23" t="s">
        <v>92</v>
      </c>
      <c r="G1117" s="23" t="s">
        <v>26</v>
      </c>
      <c r="H1117" s="23" t="s">
        <v>4866</v>
      </c>
      <c r="I1117" s="23" t="s">
        <v>4867</v>
      </c>
      <c r="J1117" s="20">
        <v>4</v>
      </c>
      <c r="K1117" s="23" t="s">
        <v>107</v>
      </c>
      <c r="L1117" s="23" t="s">
        <v>16</v>
      </c>
      <c r="M1117" s="24"/>
    </row>
    <row r="1118" spans="1:13">
      <c r="A1118" s="22">
        <v>2521625</v>
      </c>
      <c r="B1118" s="23" t="s">
        <v>4848</v>
      </c>
      <c r="C1118" s="22" t="s">
        <v>4849</v>
      </c>
      <c r="D1118" s="22" t="s">
        <v>4850</v>
      </c>
      <c r="E1118" s="23" t="s">
        <v>127</v>
      </c>
      <c r="F1118" s="23" t="s">
        <v>92</v>
      </c>
      <c r="G1118" s="23" t="s">
        <v>26</v>
      </c>
      <c r="H1118" s="23" t="s">
        <v>4868</v>
      </c>
      <c r="I1118" s="23" t="s">
        <v>4869</v>
      </c>
      <c r="J1118" s="20">
        <v>2</v>
      </c>
      <c r="K1118" s="23" t="s">
        <v>107</v>
      </c>
      <c r="L1118" s="23" t="s">
        <v>16</v>
      </c>
      <c r="M1118" s="24" t="s">
        <v>2032</v>
      </c>
    </row>
    <row r="1119" spans="1:13">
      <c r="A1119" s="19">
        <v>2516858</v>
      </c>
      <c r="B1119" s="20" t="s">
        <v>4870</v>
      </c>
      <c r="C1119" s="19" t="s">
        <v>4871</v>
      </c>
      <c r="D1119" s="19" t="s">
        <v>4872</v>
      </c>
      <c r="E1119" s="20" t="s">
        <v>384</v>
      </c>
      <c r="F1119" s="20" t="s">
        <v>92</v>
      </c>
      <c r="G1119" s="20" t="s">
        <v>26</v>
      </c>
      <c r="H1119" s="20" t="s">
        <v>4873</v>
      </c>
      <c r="I1119" s="20" t="s">
        <v>4874</v>
      </c>
      <c r="J1119" s="23">
        <v>1</v>
      </c>
      <c r="K1119" s="20" t="s">
        <v>107</v>
      </c>
      <c r="L1119" s="20" t="s">
        <v>16</v>
      </c>
      <c r="M1119" s="21"/>
    </row>
    <row r="1120" spans="1:13">
      <c r="A1120" s="19">
        <v>2532931</v>
      </c>
      <c r="B1120" s="20" t="s">
        <v>4875</v>
      </c>
      <c r="C1120" s="19" t="s">
        <v>4876</v>
      </c>
      <c r="D1120" s="19" t="s">
        <v>4877</v>
      </c>
      <c r="E1120" s="20" t="s">
        <v>127</v>
      </c>
      <c r="F1120" s="20" t="s">
        <v>85</v>
      </c>
      <c r="G1120" s="20" t="s">
        <v>26</v>
      </c>
      <c r="H1120" s="20" t="s">
        <v>4878</v>
      </c>
      <c r="I1120" s="20" t="s">
        <v>4879</v>
      </c>
      <c r="J1120" s="23">
        <v>1</v>
      </c>
      <c r="K1120" s="20" t="s">
        <v>206</v>
      </c>
      <c r="L1120" s="20" t="s">
        <v>18</v>
      </c>
      <c r="M1120" s="21"/>
    </row>
    <row r="1121" spans="1:13">
      <c r="A1121" s="19">
        <v>2521281</v>
      </c>
      <c r="B1121" s="20" t="s">
        <v>4880</v>
      </c>
      <c r="C1121" s="19" t="s">
        <v>4881</v>
      </c>
      <c r="D1121" s="19" t="s">
        <v>4882</v>
      </c>
      <c r="E1121" s="20" t="s">
        <v>84</v>
      </c>
      <c r="F1121" s="20" t="s">
        <v>92</v>
      </c>
      <c r="G1121" s="20" t="s">
        <v>26</v>
      </c>
      <c r="H1121" s="20" t="s">
        <v>4883</v>
      </c>
      <c r="I1121" s="20" t="s">
        <v>4884</v>
      </c>
      <c r="J1121" s="20">
        <v>4</v>
      </c>
      <c r="K1121" s="20" t="s">
        <v>19</v>
      </c>
      <c r="L1121" s="20" t="s">
        <v>16</v>
      </c>
      <c r="M1121" s="21"/>
    </row>
    <row r="1122" spans="1:13">
      <c r="A1122" s="22">
        <v>2521285</v>
      </c>
      <c r="B1122" s="23" t="s">
        <v>4885</v>
      </c>
      <c r="C1122" s="22" t="s">
        <v>4886</v>
      </c>
      <c r="D1122" s="22" t="s">
        <v>4887</v>
      </c>
      <c r="E1122" s="23" t="s">
        <v>84</v>
      </c>
      <c r="F1122" s="23" t="s">
        <v>92</v>
      </c>
      <c r="G1122" s="23" t="s">
        <v>26</v>
      </c>
      <c r="H1122" s="23" t="s">
        <v>4888</v>
      </c>
      <c r="I1122" s="23" t="s">
        <v>4889</v>
      </c>
      <c r="J1122" s="20">
        <v>4</v>
      </c>
      <c r="K1122" s="23" t="s">
        <v>19</v>
      </c>
      <c r="L1122" s="23" t="s">
        <v>16</v>
      </c>
      <c r="M1122" s="24" t="s">
        <v>49</v>
      </c>
    </row>
    <row r="1123" spans="1:13">
      <c r="A1123" s="19">
        <v>2521300</v>
      </c>
      <c r="B1123" s="20" t="s">
        <v>4890</v>
      </c>
      <c r="C1123" s="19" t="s">
        <v>4891</v>
      </c>
      <c r="D1123" s="19" t="s">
        <v>4892</v>
      </c>
      <c r="E1123" s="20" t="s">
        <v>127</v>
      </c>
      <c r="F1123" s="20" t="s">
        <v>92</v>
      </c>
      <c r="G1123" s="20" t="s">
        <v>26</v>
      </c>
      <c r="H1123" s="20" t="s">
        <v>4888</v>
      </c>
      <c r="I1123" s="20" t="s">
        <v>4893</v>
      </c>
      <c r="J1123" s="20">
        <v>4</v>
      </c>
      <c r="K1123" s="20" t="s">
        <v>19</v>
      </c>
      <c r="L1123" s="20" t="s">
        <v>16</v>
      </c>
      <c r="M1123" s="21"/>
    </row>
    <row r="1124" spans="1:13">
      <c r="A1124" s="19">
        <v>2524513</v>
      </c>
      <c r="B1124" s="20" t="s">
        <v>4894</v>
      </c>
      <c r="C1124" s="19" t="s">
        <v>4895</v>
      </c>
      <c r="D1124" s="19" t="s">
        <v>4896</v>
      </c>
      <c r="E1124" s="20" t="s">
        <v>127</v>
      </c>
      <c r="F1124" s="20" t="s">
        <v>92</v>
      </c>
      <c r="G1124" s="20" t="s">
        <v>26</v>
      </c>
      <c r="H1124" s="20" t="s">
        <v>4897</v>
      </c>
      <c r="I1124" s="20" t="s">
        <v>4898</v>
      </c>
      <c r="J1124" s="20">
        <v>5</v>
      </c>
      <c r="K1124" s="20" t="s">
        <v>107</v>
      </c>
      <c r="L1124" s="20" t="s">
        <v>16</v>
      </c>
      <c r="M1124" s="21"/>
    </row>
    <row r="1125" spans="1:13">
      <c r="A1125" s="19">
        <v>2521709</v>
      </c>
      <c r="B1125" s="20" t="s">
        <v>4899</v>
      </c>
      <c r="C1125" s="19" t="s">
        <v>4900</v>
      </c>
      <c r="D1125" s="19" t="s">
        <v>4901</v>
      </c>
      <c r="E1125" s="20" t="s">
        <v>84</v>
      </c>
      <c r="F1125" s="20" t="s">
        <v>92</v>
      </c>
      <c r="G1125" s="20" t="s">
        <v>26</v>
      </c>
      <c r="H1125" s="20" t="s">
        <v>4902</v>
      </c>
      <c r="I1125" s="20" t="s">
        <v>4852</v>
      </c>
      <c r="J1125" s="23">
        <v>3</v>
      </c>
      <c r="K1125" s="20" t="s">
        <v>107</v>
      </c>
      <c r="L1125" s="20" t="s">
        <v>16</v>
      </c>
      <c r="M1125" s="21"/>
    </row>
    <row r="1126" spans="1:13">
      <c r="A1126" s="19">
        <v>2521044</v>
      </c>
      <c r="B1126" s="20" t="s">
        <v>4903</v>
      </c>
      <c r="C1126" s="19" t="s">
        <v>4904</v>
      </c>
      <c r="D1126" s="19" t="s">
        <v>4905</v>
      </c>
      <c r="E1126" s="20" t="s">
        <v>219</v>
      </c>
      <c r="F1126" s="20" t="s">
        <v>92</v>
      </c>
      <c r="G1126" s="20" t="s">
        <v>26</v>
      </c>
      <c r="H1126" s="20" t="s">
        <v>4906</v>
      </c>
      <c r="I1126" s="20" t="s">
        <v>4907</v>
      </c>
      <c r="J1126" s="20">
        <v>4</v>
      </c>
      <c r="K1126" s="20" t="s">
        <v>107</v>
      </c>
      <c r="L1126" s="20" t="s">
        <v>16</v>
      </c>
      <c r="M1126" s="21"/>
    </row>
    <row r="1127" spans="1:13">
      <c r="A1127" s="19">
        <v>2531964</v>
      </c>
      <c r="B1127" s="20" t="s">
        <v>4908</v>
      </c>
      <c r="C1127" s="19" t="s">
        <v>4909</v>
      </c>
      <c r="D1127" s="19" t="s">
        <v>4910</v>
      </c>
      <c r="E1127" s="20" t="s">
        <v>84</v>
      </c>
      <c r="F1127" s="20" t="s">
        <v>92</v>
      </c>
      <c r="G1127" s="20" t="s">
        <v>26</v>
      </c>
      <c r="H1127" s="20" t="s">
        <v>4911</v>
      </c>
      <c r="I1127" s="20" t="s">
        <v>4912</v>
      </c>
      <c r="J1127" s="23">
        <v>1</v>
      </c>
      <c r="K1127" s="20" t="s">
        <v>19</v>
      </c>
      <c r="L1127" s="20" t="s">
        <v>16</v>
      </c>
      <c r="M1127" s="21"/>
    </row>
    <row r="1128" spans="1:13">
      <c r="A1128" s="22">
        <v>2518820</v>
      </c>
      <c r="B1128" s="23" t="s">
        <v>4913</v>
      </c>
      <c r="C1128" s="22" t="s">
        <v>4914</v>
      </c>
      <c r="D1128" s="22" t="s">
        <v>4915</v>
      </c>
      <c r="E1128" s="23" t="s">
        <v>84</v>
      </c>
      <c r="F1128" s="23" t="s">
        <v>92</v>
      </c>
      <c r="G1128" s="23" t="s">
        <v>26</v>
      </c>
      <c r="H1128" s="23" t="s">
        <v>4911</v>
      </c>
      <c r="I1128" s="23" t="s">
        <v>4829</v>
      </c>
      <c r="J1128" s="20">
        <v>2</v>
      </c>
      <c r="K1128" s="23" t="s">
        <v>107</v>
      </c>
      <c r="L1128" s="23" t="s">
        <v>16</v>
      </c>
      <c r="M1128" s="24"/>
    </row>
    <row r="1129" spans="1:13">
      <c r="A1129" s="22">
        <v>2523384</v>
      </c>
      <c r="B1129" s="23" t="s">
        <v>4916</v>
      </c>
      <c r="C1129" s="22" t="s">
        <v>4917</v>
      </c>
      <c r="D1129" s="22" t="s">
        <v>4918</v>
      </c>
      <c r="E1129" s="23" t="s">
        <v>84</v>
      </c>
      <c r="F1129" s="23" t="s">
        <v>92</v>
      </c>
      <c r="G1129" s="23" t="s">
        <v>26</v>
      </c>
      <c r="H1129" s="23" t="s">
        <v>4919</v>
      </c>
      <c r="I1129" s="23" t="s">
        <v>4919</v>
      </c>
      <c r="J1129" s="34" t="s">
        <v>34</v>
      </c>
      <c r="K1129" s="23" t="s">
        <v>107</v>
      </c>
      <c r="L1129" s="23" t="s">
        <v>18</v>
      </c>
      <c r="M1129" s="24"/>
    </row>
    <row r="1130" spans="1:13">
      <c r="A1130" s="19">
        <v>2529604</v>
      </c>
      <c r="B1130" s="20" t="s">
        <v>4920</v>
      </c>
      <c r="C1130" s="19" t="s">
        <v>4921</v>
      </c>
      <c r="D1130" s="19" t="s">
        <v>4922</v>
      </c>
      <c r="E1130" s="20" t="s">
        <v>84</v>
      </c>
      <c r="F1130" s="20" t="s">
        <v>92</v>
      </c>
      <c r="G1130" s="20" t="s">
        <v>26</v>
      </c>
      <c r="H1130" s="20" t="s">
        <v>4923</v>
      </c>
      <c r="I1130" s="20" t="s">
        <v>4829</v>
      </c>
      <c r="J1130" s="20">
        <v>2</v>
      </c>
      <c r="K1130" s="20" t="s">
        <v>107</v>
      </c>
      <c r="L1130" s="20" t="s">
        <v>18</v>
      </c>
      <c r="M1130" s="21"/>
    </row>
    <row r="1131" spans="1:13">
      <c r="A1131" s="19">
        <v>2524548</v>
      </c>
      <c r="B1131" s="20" t="s">
        <v>4924</v>
      </c>
      <c r="C1131" s="19" t="s">
        <v>4925</v>
      </c>
      <c r="D1131" s="19" t="s">
        <v>4926</v>
      </c>
      <c r="E1131" s="20" t="s">
        <v>127</v>
      </c>
      <c r="F1131" s="20" t="s">
        <v>92</v>
      </c>
      <c r="G1131" s="20" t="s">
        <v>26</v>
      </c>
      <c r="H1131" s="20" t="s">
        <v>4927</v>
      </c>
      <c r="I1131" s="20" t="s">
        <v>4928</v>
      </c>
      <c r="J1131" s="23">
        <v>3</v>
      </c>
      <c r="K1131" s="20" t="s">
        <v>107</v>
      </c>
      <c r="L1131" s="20" t="s">
        <v>16</v>
      </c>
      <c r="M1131" s="21"/>
    </row>
    <row r="1132" spans="1:13">
      <c r="A1132" s="19">
        <v>2532997</v>
      </c>
      <c r="B1132" s="20" t="s">
        <v>4929</v>
      </c>
      <c r="C1132" s="19" t="s">
        <v>4930</v>
      </c>
      <c r="D1132" s="19" t="s">
        <v>4931</v>
      </c>
      <c r="E1132" s="20" t="s">
        <v>84</v>
      </c>
      <c r="F1132" s="20" t="s">
        <v>92</v>
      </c>
      <c r="G1132" s="20" t="s">
        <v>26</v>
      </c>
      <c r="H1132" s="20" t="s">
        <v>4932</v>
      </c>
      <c r="I1132" s="20" t="s">
        <v>4932</v>
      </c>
      <c r="J1132" s="23">
        <v>1</v>
      </c>
      <c r="K1132" s="20" t="s">
        <v>19</v>
      </c>
      <c r="L1132" s="20" t="s">
        <v>16</v>
      </c>
      <c r="M1132" s="21"/>
    </row>
    <row r="1133" spans="1:13">
      <c r="A1133" s="19">
        <v>2531821</v>
      </c>
      <c r="B1133" s="20" t="s">
        <v>4933</v>
      </c>
      <c r="C1133" s="19" t="s">
        <v>4934</v>
      </c>
      <c r="D1133" s="19" t="s">
        <v>4935</v>
      </c>
      <c r="E1133" s="20" t="s">
        <v>127</v>
      </c>
      <c r="F1133" s="20" t="s">
        <v>92</v>
      </c>
      <c r="G1133" s="20" t="s">
        <v>26</v>
      </c>
      <c r="H1133" s="20" t="s">
        <v>4936</v>
      </c>
      <c r="I1133" s="20" t="s">
        <v>4937</v>
      </c>
      <c r="J1133" s="20">
        <v>2</v>
      </c>
      <c r="K1133" s="20" t="s">
        <v>19</v>
      </c>
      <c r="L1133" s="20" t="s">
        <v>16</v>
      </c>
      <c r="M1133" s="21"/>
    </row>
    <row r="1134" spans="1:13">
      <c r="A1134" s="19">
        <v>2531828</v>
      </c>
      <c r="B1134" s="20" t="s">
        <v>4938</v>
      </c>
      <c r="C1134" s="19" t="s">
        <v>4939</v>
      </c>
      <c r="D1134" s="19" t="s">
        <v>4940</v>
      </c>
      <c r="E1134" s="20" t="s">
        <v>84</v>
      </c>
      <c r="F1134" s="20" t="s">
        <v>92</v>
      </c>
      <c r="G1134" s="20" t="s">
        <v>26</v>
      </c>
      <c r="H1134" s="20" t="s">
        <v>4941</v>
      </c>
      <c r="I1134" s="20" t="s">
        <v>4942</v>
      </c>
      <c r="J1134" s="20">
        <v>2</v>
      </c>
      <c r="K1134" s="20" t="s">
        <v>107</v>
      </c>
      <c r="L1134" s="20" t="s">
        <v>16</v>
      </c>
      <c r="M1134" s="21"/>
    </row>
    <row r="1135" spans="1:13">
      <c r="A1135" s="22">
        <v>2531828</v>
      </c>
      <c r="B1135" s="23" t="s">
        <v>4938</v>
      </c>
      <c r="C1135" s="22" t="s">
        <v>4939</v>
      </c>
      <c r="D1135" s="22" t="s">
        <v>4940</v>
      </c>
      <c r="E1135" s="23" t="s">
        <v>84</v>
      </c>
      <c r="F1135" s="23" t="s">
        <v>92</v>
      </c>
      <c r="G1135" s="23" t="s">
        <v>26</v>
      </c>
      <c r="H1135" s="23" t="s">
        <v>4943</v>
      </c>
      <c r="I1135" s="23" t="s">
        <v>4937</v>
      </c>
      <c r="J1135" s="20">
        <v>2</v>
      </c>
      <c r="K1135" s="23" t="s">
        <v>107</v>
      </c>
      <c r="L1135" s="23" t="s">
        <v>16</v>
      </c>
      <c r="M1135" s="24"/>
    </row>
    <row r="1136" spans="1:13">
      <c r="A1136" s="19">
        <v>2516852</v>
      </c>
      <c r="B1136" s="20" t="s">
        <v>4944</v>
      </c>
      <c r="C1136" s="19" t="s">
        <v>4945</v>
      </c>
      <c r="D1136" s="19" t="s">
        <v>4946</v>
      </c>
      <c r="E1136" s="20" t="s">
        <v>84</v>
      </c>
      <c r="F1136" s="20" t="s">
        <v>92</v>
      </c>
      <c r="G1136" s="20" t="s">
        <v>26</v>
      </c>
      <c r="H1136" s="20" t="s">
        <v>4947</v>
      </c>
      <c r="I1136" s="20" t="s">
        <v>4947</v>
      </c>
      <c r="J1136" s="19">
        <v>1</v>
      </c>
      <c r="K1136" s="20" t="s">
        <v>19</v>
      </c>
      <c r="L1136" s="20" t="s">
        <v>16</v>
      </c>
      <c r="M1136" s="24"/>
    </row>
    <row r="1137" spans="1:13">
      <c r="A1137" s="19">
        <v>2529726</v>
      </c>
      <c r="B1137" s="20" t="s">
        <v>4948</v>
      </c>
      <c r="C1137" s="19" t="s">
        <v>4949</v>
      </c>
      <c r="D1137" s="19" t="s">
        <v>4950</v>
      </c>
      <c r="E1137" s="20" t="s">
        <v>84</v>
      </c>
      <c r="F1137" s="20" t="s">
        <v>92</v>
      </c>
      <c r="G1137" s="20" t="s">
        <v>26</v>
      </c>
      <c r="H1137" s="20" t="s">
        <v>4951</v>
      </c>
      <c r="I1137" s="20" t="s">
        <v>4952</v>
      </c>
      <c r="J1137" s="20">
        <v>4</v>
      </c>
      <c r="K1137" s="20" t="s">
        <v>107</v>
      </c>
      <c r="L1137" s="20" t="s">
        <v>18</v>
      </c>
      <c r="M1137" s="21" t="s">
        <v>1016</v>
      </c>
    </row>
    <row r="1138" spans="1:13">
      <c r="A1138" s="22">
        <v>2521709</v>
      </c>
      <c r="B1138" s="23" t="s">
        <v>4899</v>
      </c>
      <c r="C1138" s="22" t="s">
        <v>4900</v>
      </c>
      <c r="D1138" s="22" t="s">
        <v>4901</v>
      </c>
      <c r="E1138" s="23" t="s">
        <v>84</v>
      </c>
      <c r="F1138" s="23" t="s">
        <v>92</v>
      </c>
      <c r="G1138" s="23" t="s">
        <v>26</v>
      </c>
      <c r="H1138" s="23" t="s">
        <v>4953</v>
      </c>
      <c r="I1138" s="23" t="s">
        <v>4852</v>
      </c>
      <c r="J1138" s="23">
        <v>3</v>
      </c>
      <c r="K1138" s="23" t="s">
        <v>107</v>
      </c>
      <c r="L1138" s="23" t="s">
        <v>16</v>
      </c>
      <c r="M1138" s="24"/>
    </row>
    <row r="1139" spans="1:13">
      <c r="A1139" s="22">
        <v>2532921</v>
      </c>
      <c r="B1139" s="23" t="s">
        <v>4954</v>
      </c>
      <c r="C1139" s="22" t="s">
        <v>4955</v>
      </c>
      <c r="D1139" s="22" t="s">
        <v>4956</v>
      </c>
      <c r="E1139" s="23" t="s">
        <v>84</v>
      </c>
      <c r="F1139" s="23" t="s">
        <v>172</v>
      </c>
      <c r="G1139" s="23" t="s">
        <v>26</v>
      </c>
      <c r="H1139" s="23" t="s">
        <v>4957</v>
      </c>
      <c r="I1139" s="23" t="s">
        <v>4957</v>
      </c>
      <c r="J1139" s="20">
        <v>4</v>
      </c>
      <c r="K1139" s="23" t="s">
        <v>19</v>
      </c>
      <c r="L1139" s="23" t="s">
        <v>16</v>
      </c>
      <c r="M1139" s="24"/>
    </row>
    <row r="1140" spans="1:13">
      <c r="A1140" s="19">
        <v>2521122</v>
      </c>
      <c r="B1140" s="20" t="s">
        <v>4958</v>
      </c>
      <c r="C1140" s="19" t="s">
        <v>4959</v>
      </c>
      <c r="D1140" s="19" t="s">
        <v>4960</v>
      </c>
      <c r="E1140" s="20" t="s">
        <v>84</v>
      </c>
      <c r="F1140" s="20" t="s">
        <v>92</v>
      </c>
      <c r="G1140" s="20" t="s">
        <v>26</v>
      </c>
      <c r="H1140" s="20" t="s">
        <v>4961</v>
      </c>
      <c r="I1140" s="20" t="s">
        <v>4962</v>
      </c>
      <c r="J1140" s="20">
        <v>4</v>
      </c>
      <c r="K1140" s="20" t="s">
        <v>19</v>
      </c>
      <c r="L1140" s="20" t="s">
        <v>16</v>
      </c>
      <c r="M1140" s="21"/>
    </row>
    <row r="1141" spans="1:13">
      <c r="A1141" s="22">
        <v>2527075</v>
      </c>
      <c r="B1141" s="23" t="s">
        <v>4963</v>
      </c>
      <c r="C1141" s="22" t="s">
        <v>4964</v>
      </c>
      <c r="D1141" s="22" t="s">
        <v>4965</v>
      </c>
      <c r="E1141" s="23" t="s">
        <v>84</v>
      </c>
      <c r="F1141" s="23" t="s">
        <v>92</v>
      </c>
      <c r="G1141" s="23" t="s">
        <v>26</v>
      </c>
      <c r="H1141" s="23" t="s">
        <v>4961</v>
      </c>
      <c r="I1141" s="23" t="s">
        <v>4966</v>
      </c>
      <c r="J1141" s="20">
        <v>4</v>
      </c>
      <c r="K1141" s="23" t="s">
        <v>19</v>
      </c>
      <c r="L1141" s="23" t="s">
        <v>16</v>
      </c>
      <c r="M1141" s="24"/>
    </row>
    <row r="1142" spans="1:13">
      <c r="A1142" s="19">
        <v>2521167</v>
      </c>
      <c r="B1142" s="20" t="s">
        <v>4967</v>
      </c>
      <c r="C1142" s="19" t="s">
        <v>4968</v>
      </c>
      <c r="D1142" s="19" t="s">
        <v>4969</v>
      </c>
      <c r="E1142" s="20" t="s">
        <v>84</v>
      </c>
      <c r="F1142" s="20" t="s">
        <v>92</v>
      </c>
      <c r="G1142" s="20" t="s">
        <v>26</v>
      </c>
      <c r="H1142" s="20" t="s">
        <v>4970</v>
      </c>
      <c r="I1142" s="20" t="s">
        <v>4971</v>
      </c>
      <c r="J1142" s="23">
        <v>3</v>
      </c>
      <c r="K1142" s="20" t="s">
        <v>19</v>
      </c>
      <c r="L1142" s="20" t="s">
        <v>16</v>
      </c>
      <c r="M1142" s="21"/>
    </row>
    <row r="1143" spans="1:13">
      <c r="A1143" s="22">
        <v>2524488</v>
      </c>
      <c r="B1143" s="23" t="s">
        <v>4972</v>
      </c>
      <c r="C1143" s="22" t="s">
        <v>4973</v>
      </c>
      <c r="D1143" s="22" t="s">
        <v>4974</v>
      </c>
      <c r="E1143" s="23" t="s">
        <v>84</v>
      </c>
      <c r="F1143" s="23" t="s">
        <v>92</v>
      </c>
      <c r="G1143" s="23" t="s">
        <v>26</v>
      </c>
      <c r="H1143" s="23" t="s">
        <v>4975</v>
      </c>
      <c r="I1143" s="23" t="s">
        <v>4975</v>
      </c>
      <c r="J1143" s="20">
        <v>2</v>
      </c>
      <c r="K1143" s="23" t="s">
        <v>19</v>
      </c>
      <c r="L1143" s="23" t="s">
        <v>18</v>
      </c>
      <c r="M1143" s="24" t="s">
        <v>49</v>
      </c>
    </row>
    <row r="1144" spans="1:13">
      <c r="A1144" s="23">
        <v>2532894</v>
      </c>
      <c r="B1144" s="23" t="s">
        <v>4976</v>
      </c>
      <c r="C1144" s="23">
        <v>8309338738</v>
      </c>
      <c r="D1144" s="23">
        <v>9398466519</v>
      </c>
      <c r="E1144" s="23" t="s">
        <v>4977</v>
      </c>
      <c r="F1144" s="23" t="s">
        <v>4978</v>
      </c>
      <c r="G1144" s="20" t="s">
        <v>26</v>
      </c>
      <c r="H1144" s="23" t="s">
        <v>4979</v>
      </c>
      <c r="I1144" s="23" t="s">
        <v>4980</v>
      </c>
      <c r="J1144" s="23">
        <v>3</v>
      </c>
      <c r="K1144" s="23" t="s">
        <v>107</v>
      </c>
      <c r="L1144" s="23" t="s">
        <v>16</v>
      </c>
      <c r="M1144" s="24"/>
    </row>
    <row r="1145" spans="1:13">
      <c r="A1145" s="22">
        <v>2479396</v>
      </c>
      <c r="B1145" s="23" t="s">
        <v>4981</v>
      </c>
      <c r="C1145" s="22" t="s">
        <v>4982</v>
      </c>
      <c r="D1145" s="22" t="s">
        <v>4983</v>
      </c>
      <c r="E1145" s="23" t="s">
        <v>84</v>
      </c>
      <c r="F1145" s="23" t="s">
        <v>92</v>
      </c>
      <c r="G1145" s="23" t="s">
        <v>26</v>
      </c>
      <c r="H1145" s="23" t="s">
        <v>4984</v>
      </c>
      <c r="I1145" s="23" t="s">
        <v>4985</v>
      </c>
      <c r="J1145" s="20">
        <v>5</v>
      </c>
      <c r="K1145" s="23" t="s">
        <v>19</v>
      </c>
      <c r="L1145" s="23" t="s">
        <v>16</v>
      </c>
      <c r="M1145" s="24"/>
    </row>
    <row r="1146" spans="1:13">
      <c r="A1146" s="22">
        <v>2524477</v>
      </c>
      <c r="B1146" s="23" t="s">
        <v>4986</v>
      </c>
      <c r="C1146" s="22" t="s">
        <v>4987</v>
      </c>
      <c r="D1146" s="22" t="s">
        <v>4988</v>
      </c>
      <c r="E1146" s="23" t="s">
        <v>127</v>
      </c>
      <c r="F1146" s="23" t="s">
        <v>92</v>
      </c>
      <c r="G1146" s="23" t="s">
        <v>26</v>
      </c>
      <c r="H1146" s="23" t="s">
        <v>4989</v>
      </c>
      <c r="I1146" s="23" t="s">
        <v>4990</v>
      </c>
      <c r="J1146" s="23">
        <v>1</v>
      </c>
      <c r="K1146" s="23" t="s">
        <v>19</v>
      </c>
      <c r="L1146" s="23" t="s">
        <v>16</v>
      </c>
      <c r="M1146" s="24"/>
    </row>
    <row r="1147" spans="1:13">
      <c r="A1147" s="22">
        <v>2521625</v>
      </c>
      <c r="B1147" s="23" t="s">
        <v>4848</v>
      </c>
      <c r="C1147" s="22" t="s">
        <v>4849</v>
      </c>
      <c r="D1147" s="22" t="s">
        <v>4850</v>
      </c>
      <c r="E1147" s="23" t="s">
        <v>127</v>
      </c>
      <c r="F1147" s="23" t="s">
        <v>92</v>
      </c>
      <c r="G1147" s="23" t="s">
        <v>26</v>
      </c>
      <c r="H1147" s="23" t="s">
        <v>4991</v>
      </c>
      <c r="I1147" s="23" t="s">
        <v>4992</v>
      </c>
      <c r="J1147" s="20">
        <v>2</v>
      </c>
      <c r="K1147" s="23" t="s">
        <v>107</v>
      </c>
      <c r="L1147" s="23" t="s">
        <v>16</v>
      </c>
      <c r="M1147" s="24" t="s">
        <v>2032</v>
      </c>
    </row>
    <row r="1148" spans="1:13">
      <c r="A1148" s="22">
        <v>2507435</v>
      </c>
      <c r="B1148" s="23" t="s">
        <v>4993</v>
      </c>
      <c r="C1148" s="22" t="s">
        <v>4994</v>
      </c>
      <c r="D1148" s="22" t="s">
        <v>4995</v>
      </c>
      <c r="E1148" s="23" t="s">
        <v>127</v>
      </c>
      <c r="F1148" s="23" t="s">
        <v>85</v>
      </c>
      <c r="G1148" s="23" t="s">
        <v>26</v>
      </c>
      <c r="H1148" s="23" t="s">
        <v>4996</v>
      </c>
      <c r="I1148" s="23" t="s">
        <v>4997</v>
      </c>
      <c r="J1148" s="23">
        <v>3</v>
      </c>
      <c r="K1148" s="23" t="s">
        <v>17</v>
      </c>
      <c r="L1148" s="23" t="s">
        <v>16</v>
      </c>
      <c r="M1148" s="24" t="s">
        <v>2032</v>
      </c>
    </row>
    <row r="1149" spans="1:13">
      <c r="A1149" s="19">
        <v>2531271</v>
      </c>
      <c r="B1149" s="20" t="s">
        <v>4998</v>
      </c>
      <c r="C1149" s="19" t="s">
        <v>4999</v>
      </c>
      <c r="D1149" s="19" t="s">
        <v>5000</v>
      </c>
      <c r="E1149" s="20" t="s">
        <v>127</v>
      </c>
      <c r="F1149" s="20" t="s">
        <v>92</v>
      </c>
      <c r="G1149" s="20" t="s">
        <v>26</v>
      </c>
      <c r="H1149" s="20" t="s">
        <v>5001</v>
      </c>
      <c r="I1149" s="20" t="s">
        <v>5002</v>
      </c>
      <c r="J1149" s="23">
        <v>1</v>
      </c>
      <c r="K1149" s="20" t="s">
        <v>19</v>
      </c>
      <c r="L1149" s="20" t="s">
        <v>16</v>
      </c>
      <c r="M1149" s="21"/>
    </row>
    <row r="1150" spans="1:13">
      <c r="A1150" s="19">
        <v>2529492</v>
      </c>
      <c r="B1150" s="20" t="s">
        <v>5003</v>
      </c>
      <c r="C1150" s="19" t="s">
        <v>5004</v>
      </c>
      <c r="D1150" s="19" t="s">
        <v>5005</v>
      </c>
      <c r="E1150" s="20" t="s">
        <v>127</v>
      </c>
      <c r="F1150" s="20" t="s">
        <v>92</v>
      </c>
      <c r="G1150" s="20" t="s">
        <v>26</v>
      </c>
      <c r="H1150" s="20" t="s">
        <v>5006</v>
      </c>
      <c r="I1150" s="20" t="s">
        <v>5007</v>
      </c>
      <c r="J1150" s="23">
        <v>1</v>
      </c>
      <c r="K1150" s="20" t="s">
        <v>19</v>
      </c>
      <c r="L1150" s="20" t="s">
        <v>16</v>
      </c>
      <c r="M1150" s="21" t="s">
        <v>16</v>
      </c>
    </row>
    <row r="1151" spans="1:13">
      <c r="A1151" s="22">
        <v>2521051</v>
      </c>
      <c r="B1151" s="23" t="s">
        <v>5008</v>
      </c>
      <c r="C1151" s="22" t="s">
        <v>5009</v>
      </c>
      <c r="D1151" s="22" t="s">
        <v>5010</v>
      </c>
      <c r="E1151" s="23" t="s">
        <v>84</v>
      </c>
      <c r="F1151" s="23" t="s">
        <v>92</v>
      </c>
      <c r="G1151" s="23" t="s">
        <v>26</v>
      </c>
      <c r="H1151" s="23" t="s">
        <v>5011</v>
      </c>
      <c r="I1151" s="23" t="s">
        <v>5012</v>
      </c>
      <c r="J1151" s="20">
        <v>4</v>
      </c>
      <c r="K1151" s="23" t="s">
        <v>19</v>
      </c>
      <c r="L1151" s="23" t="s">
        <v>16</v>
      </c>
      <c r="M1151" s="24"/>
    </row>
    <row r="1152" spans="1:13">
      <c r="A1152" s="19">
        <v>2525033</v>
      </c>
      <c r="B1152" s="20" t="s">
        <v>5013</v>
      </c>
      <c r="C1152" s="19" t="s">
        <v>5014</v>
      </c>
      <c r="D1152" s="19" t="s">
        <v>5015</v>
      </c>
      <c r="E1152" s="20" t="s">
        <v>84</v>
      </c>
      <c r="F1152" s="20" t="s">
        <v>92</v>
      </c>
      <c r="G1152" s="20" t="s">
        <v>24</v>
      </c>
      <c r="H1152" s="20" t="s">
        <v>5016</v>
      </c>
      <c r="I1152" s="20" t="s">
        <v>5017</v>
      </c>
      <c r="J1152" s="23">
        <v>3</v>
      </c>
      <c r="K1152" s="20" t="s">
        <v>107</v>
      </c>
      <c r="L1152" s="20" t="s">
        <v>16</v>
      </c>
      <c r="M1152" s="21" t="s">
        <v>49</v>
      </c>
    </row>
    <row r="1153" spans="1:13">
      <c r="A1153" s="22">
        <v>2525033</v>
      </c>
      <c r="B1153" s="23" t="s">
        <v>5013</v>
      </c>
      <c r="C1153" s="22" t="s">
        <v>5014</v>
      </c>
      <c r="D1153" s="22" t="s">
        <v>5015</v>
      </c>
      <c r="E1153" s="23" t="s">
        <v>84</v>
      </c>
      <c r="F1153" s="23" t="s">
        <v>92</v>
      </c>
      <c r="G1153" s="23" t="s">
        <v>24</v>
      </c>
      <c r="H1153" s="23" t="s">
        <v>5016</v>
      </c>
      <c r="I1153" s="23" t="s">
        <v>5018</v>
      </c>
      <c r="J1153" s="23">
        <v>3</v>
      </c>
      <c r="K1153" s="23" t="s">
        <v>107</v>
      </c>
      <c r="L1153" s="23" t="s">
        <v>16</v>
      </c>
      <c r="M1153" s="24" t="s">
        <v>49</v>
      </c>
    </row>
    <row r="1154" spans="1:13">
      <c r="A1154" s="22">
        <v>2521693</v>
      </c>
      <c r="B1154" s="23" t="s">
        <v>5019</v>
      </c>
      <c r="C1154" s="22" t="s">
        <v>5020</v>
      </c>
      <c r="D1154" s="22" t="s">
        <v>5021</v>
      </c>
      <c r="E1154" s="23" t="s">
        <v>127</v>
      </c>
      <c r="F1154" s="23" t="s">
        <v>92</v>
      </c>
      <c r="G1154" s="23" t="s">
        <v>26</v>
      </c>
      <c r="H1154" s="23" t="s">
        <v>5022</v>
      </c>
      <c r="I1154" s="23" t="s">
        <v>5023</v>
      </c>
      <c r="J1154" s="20">
        <v>2</v>
      </c>
      <c r="K1154" s="23" t="s">
        <v>19</v>
      </c>
      <c r="L1154" s="23" t="s">
        <v>18</v>
      </c>
      <c r="M1154" s="24"/>
    </row>
    <row r="1155" spans="1:13">
      <c r="A1155" s="22">
        <v>2521122</v>
      </c>
      <c r="B1155" s="23" t="s">
        <v>4958</v>
      </c>
      <c r="C1155" s="22" t="s">
        <v>4959</v>
      </c>
      <c r="D1155" s="22" t="s">
        <v>4960</v>
      </c>
      <c r="E1155" s="23" t="s">
        <v>84</v>
      </c>
      <c r="F1155" s="23" t="s">
        <v>92</v>
      </c>
      <c r="G1155" s="23" t="s">
        <v>26</v>
      </c>
      <c r="H1155" s="23" t="s">
        <v>5024</v>
      </c>
      <c r="I1155" s="23" t="s">
        <v>5025</v>
      </c>
      <c r="J1155" s="20">
        <v>4</v>
      </c>
      <c r="K1155" s="23" t="s">
        <v>19</v>
      </c>
      <c r="L1155" s="23" t="s">
        <v>16</v>
      </c>
      <c r="M1155" s="24"/>
    </row>
    <row r="1156" spans="1:13">
      <c r="A1156" s="19">
        <v>2516871</v>
      </c>
      <c r="B1156" s="20" t="s">
        <v>5026</v>
      </c>
      <c r="C1156" s="19" t="s">
        <v>5027</v>
      </c>
      <c r="D1156" s="19" t="s">
        <v>5028</v>
      </c>
      <c r="E1156" s="20" t="s">
        <v>127</v>
      </c>
      <c r="F1156" s="20" t="s">
        <v>92</v>
      </c>
      <c r="G1156" s="20" t="s">
        <v>26</v>
      </c>
      <c r="H1156" s="20" t="s">
        <v>5029</v>
      </c>
      <c r="I1156" s="20" t="s">
        <v>5030</v>
      </c>
      <c r="J1156" s="20">
        <v>2</v>
      </c>
      <c r="K1156" s="20" t="s">
        <v>107</v>
      </c>
      <c r="L1156" s="20" t="s">
        <v>16</v>
      </c>
      <c r="M1156" s="21"/>
    </row>
    <row r="1157" spans="1:13">
      <c r="A1157" s="22">
        <v>2521647</v>
      </c>
      <c r="B1157" s="23" t="s">
        <v>5031</v>
      </c>
      <c r="C1157" s="22" t="s">
        <v>5032</v>
      </c>
      <c r="D1157" s="22" t="s">
        <v>5033</v>
      </c>
      <c r="E1157" s="23" t="s">
        <v>84</v>
      </c>
      <c r="F1157" s="23" t="s">
        <v>92</v>
      </c>
      <c r="G1157" s="23" t="s">
        <v>26</v>
      </c>
      <c r="H1157" s="23" t="s">
        <v>5034</v>
      </c>
      <c r="I1157" s="23" t="s">
        <v>5035</v>
      </c>
      <c r="J1157" s="20">
        <v>2</v>
      </c>
      <c r="K1157" s="23" t="s">
        <v>206</v>
      </c>
      <c r="L1157" s="23" t="s">
        <v>16</v>
      </c>
      <c r="M1157" s="24" t="s">
        <v>49</v>
      </c>
    </row>
    <row r="1158" spans="1:13">
      <c r="A1158" s="19">
        <v>2521647</v>
      </c>
      <c r="B1158" s="20" t="s">
        <v>5031</v>
      </c>
      <c r="C1158" s="19" t="s">
        <v>5033</v>
      </c>
      <c r="D1158" s="19" t="s">
        <v>5036</v>
      </c>
      <c r="E1158" s="20" t="s">
        <v>178</v>
      </c>
      <c r="F1158" s="20" t="s">
        <v>172</v>
      </c>
      <c r="G1158" s="20" t="s">
        <v>26</v>
      </c>
      <c r="H1158" s="20" t="s">
        <v>5037</v>
      </c>
      <c r="I1158" s="20" t="s">
        <v>5038</v>
      </c>
      <c r="J1158" s="20">
        <v>2</v>
      </c>
      <c r="K1158" s="20" t="s">
        <v>206</v>
      </c>
      <c r="L1158" s="20" t="s">
        <v>16</v>
      </c>
      <c r="M1158" s="21" t="s">
        <v>330</v>
      </c>
    </row>
    <row r="1159" spans="1:13">
      <c r="A1159" s="22">
        <v>2522864</v>
      </c>
      <c r="B1159" s="23" t="s">
        <v>5039</v>
      </c>
      <c r="C1159" s="22" t="s">
        <v>5040</v>
      </c>
      <c r="D1159" s="22" t="s">
        <v>5041</v>
      </c>
      <c r="E1159" s="23" t="s">
        <v>127</v>
      </c>
      <c r="F1159" s="23" t="s">
        <v>92</v>
      </c>
      <c r="G1159" s="23" t="s">
        <v>24</v>
      </c>
      <c r="H1159" s="23" t="s">
        <v>5042</v>
      </c>
      <c r="I1159" s="23" t="s">
        <v>5043</v>
      </c>
      <c r="J1159" s="20">
        <v>2</v>
      </c>
      <c r="K1159" s="23" t="s">
        <v>107</v>
      </c>
      <c r="L1159" s="23" t="s">
        <v>16</v>
      </c>
      <c r="M1159" s="24"/>
    </row>
    <row r="1160" spans="1:13">
      <c r="A1160" s="19">
        <v>2521692</v>
      </c>
      <c r="B1160" s="20" t="s">
        <v>5044</v>
      </c>
      <c r="C1160" s="19" t="s">
        <v>5045</v>
      </c>
      <c r="D1160" s="19" t="s">
        <v>5046</v>
      </c>
      <c r="E1160" s="20" t="s">
        <v>127</v>
      </c>
      <c r="F1160" s="20" t="s">
        <v>172</v>
      </c>
      <c r="G1160" s="20" t="s">
        <v>26</v>
      </c>
      <c r="H1160" s="20" t="s">
        <v>5047</v>
      </c>
      <c r="I1160" s="20" t="s">
        <v>5048</v>
      </c>
      <c r="J1160" s="34" t="s">
        <v>34</v>
      </c>
      <c r="K1160" s="20" t="s">
        <v>107</v>
      </c>
      <c r="L1160" s="20" t="s">
        <v>16</v>
      </c>
      <c r="M1160" s="21"/>
    </row>
    <row r="1161" spans="1:13">
      <c r="A1161" s="19">
        <v>2521692</v>
      </c>
      <c r="B1161" s="20" t="s">
        <v>5044</v>
      </c>
      <c r="C1161" s="19" t="s">
        <v>5045</v>
      </c>
      <c r="D1161" s="19" t="s">
        <v>5046</v>
      </c>
      <c r="E1161" s="20" t="s">
        <v>127</v>
      </c>
      <c r="F1161" s="20" t="s">
        <v>92</v>
      </c>
      <c r="G1161" s="20" t="s">
        <v>26</v>
      </c>
      <c r="H1161" s="20" t="s">
        <v>5049</v>
      </c>
      <c r="I1161" s="20" t="s">
        <v>5050</v>
      </c>
      <c r="J1161" s="34" t="s">
        <v>34</v>
      </c>
      <c r="K1161" s="20" t="s">
        <v>107</v>
      </c>
      <c r="L1161" s="20" t="s">
        <v>16</v>
      </c>
      <c r="M1161" s="21" t="s">
        <v>661</v>
      </c>
    </row>
    <row r="1162" spans="1:13">
      <c r="A1162" s="22">
        <v>2511244</v>
      </c>
      <c r="B1162" s="23" t="s">
        <v>5051</v>
      </c>
      <c r="C1162" s="22" t="s">
        <v>2563</v>
      </c>
      <c r="D1162" s="22" t="s">
        <v>5052</v>
      </c>
      <c r="E1162" s="23" t="s">
        <v>384</v>
      </c>
      <c r="F1162" s="23" t="s">
        <v>92</v>
      </c>
      <c r="G1162" s="23" t="s">
        <v>26</v>
      </c>
      <c r="H1162" s="23" t="s">
        <v>5053</v>
      </c>
      <c r="I1162" s="23" t="s">
        <v>5054</v>
      </c>
      <c r="J1162" s="23">
        <v>3</v>
      </c>
      <c r="K1162" s="23" t="s">
        <v>19</v>
      </c>
      <c r="L1162" s="23" t="s">
        <v>16</v>
      </c>
      <c r="M1162" s="24" t="s">
        <v>49</v>
      </c>
    </row>
    <row r="1163" spans="1:13">
      <c r="A1163" s="22">
        <v>2529739</v>
      </c>
      <c r="B1163" s="23" t="s">
        <v>5055</v>
      </c>
      <c r="C1163" s="22" t="s">
        <v>5056</v>
      </c>
      <c r="D1163" s="22" t="s">
        <v>5057</v>
      </c>
      <c r="E1163" s="23" t="s">
        <v>84</v>
      </c>
      <c r="F1163" s="23" t="s">
        <v>92</v>
      </c>
      <c r="G1163" s="23" t="s">
        <v>26</v>
      </c>
      <c r="H1163" s="23" t="s">
        <v>5058</v>
      </c>
      <c r="I1163" s="23" t="s">
        <v>5059</v>
      </c>
      <c r="J1163" s="33">
        <v>1</v>
      </c>
      <c r="K1163" s="23" t="s">
        <v>107</v>
      </c>
      <c r="L1163" s="23" t="s">
        <v>16</v>
      </c>
      <c r="M1163" s="24"/>
    </row>
    <row r="1164" spans="1:13">
      <c r="A1164" s="22">
        <v>2511250</v>
      </c>
      <c r="B1164" s="23" t="s">
        <v>5060</v>
      </c>
      <c r="C1164" s="22" t="s">
        <v>5061</v>
      </c>
      <c r="D1164" s="22" t="s">
        <v>5062</v>
      </c>
      <c r="E1164" s="23" t="s">
        <v>127</v>
      </c>
      <c r="F1164" s="23" t="s">
        <v>92</v>
      </c>
      <c r="G1164" s="23" t="s">
        <v>26</v>
      </c>
      <c r="H1164" s="23" t="s">
        <v>5063</v>
      </c>
      <c r="I1164" s="23" t="s">
        <v>5064</v>
      </c>
      <c r="J1164" s="23">
        <v>3</v>
      </c>
      <c r="K1164" s="23" t="s">
        <v>107</v>
      </c>
      <c r="L1164" s="23" t="s">
        <v>16</v>
      </c>
      <c r="M1164" s="24"/>
    </row>
    <row r="1165" spans="1:13">
      <c r="A1165" s="19">
        <v>2531420</v>
      </c>
      <c r="B1165" s="20" t="s">
        <v>5065</v>
      </c>
      <c r="C1165" s="19" t="s">
        <v>5066</v>
      </c>
      <c r="D1165" s="19" t="s">
        <v>5067</v>
      </c>
      <c r="E1165" s="20" t="s">
        <v>127</v>
      </c>
      <c r="F1165" s="20" t="s">
        <v>92</v>
      </c>
      <c r="G1165" s="20" t="s">
        <v>26</v>
      </c>
      <c r="H1165" s="20" t="s">
        <v>5068</v>
      </c>
      <c r="I1165" s="20" t="s">
        <v>5069</v>
      </c>
      <c r="J1165" s="20">
        <v>2</v>
      </c>
      <c r="K1165" s="20" t="s">
        <v>19</v>
      </c>
      <c r="L1165" s="20" t="s">
        <v>16</v>
      </c>
      <c r="M1165" s="21"/>
    </row>
    <row r="1166" spans="1:13">
      <c r="A1166" s="22">
        <v>2531411</v>
      </c>
      <c r="B1166" s="23" t="s">
        <v>5070</v>
      </c>
      <c r="C1166" s="22" t="s">
        <v>5071</v>
      </c>
      <c r="D1166" s="22" t="s">
        <v>5072</v>
      </c>
      <c r="E1166" s="23" t="s">
        <v>127</v>
      </c>
      <c r="F1166" s="23" t="s">
        <v>92</v>
      </c>
      <c r="G1166" s="23" t="s">
        <v>26</v>
      </c>
      <c r="H1166" s="23" t="s">
        <v>5073</v>
      </c>
      <c r="I1166" s="23" t="s">
        <v>5073</v>
      </c>
      <c r="J1166" s="20">
        <v>2</v>
      </c>
      <c r="K1166" s="23" t="s">
        <v>19</v>
      </c>
      <c r="L1166" s="23" t="s">
        <v>16</v>
      </c>
      <c r="M1166" s="24"/>
    </row>
    <row r="1167" spans="1:13">
      <c r="A1167" s="19">
        <v>2529626</v>
      </c>
      <c r="B1167" s="20" t="s">
        <v>5074</v>
      </c>
      <c r="C1167" s="19" t="s">
        <v>5075</v>
      </c>
      <c r="D1167" s="19" t="s">
        <v>5076</v>
      </c>
      <c r="E1167" s="20" t="s">
        <v>84</v>
      </c>
      <c r="F1167" s="20" t="s">
        <v>92</v>
      </c>
      <c r="G1167" s="20" t="s">
        <v>26</v>
      </c>
      <c r="H1167" s="20" t="s">
        <v>5077</v>
      </c>
      <c r="I1167" s="20" t="s">
        <v>5078</v>
      </c>
      <c r="J1167" s="20">
        <v>4</v>
      </c>
      <c r="K1167" s="20" t="s">
        <v>19</v>
      </c>
      <c r="L1167" s="20" t="s">
        <v>18</v>
      </c>
      <c r="M1167" s="21"/>
    </row>
    <row r="1168" spans="1:13">
      <c r="A1168" s="19">
        <v>2529579</v>
      </c>
      <c r="B1168" s="20" t="s">
        <v>5079</v>
      </c>
      <c r="C1168" s="19" t="s">
        <v>5080</v>
      </c>
      <c r="D1168" s="19" t="s">
        <v>5081</v>
      </c>
      <c r="E1168" s="20" t="s">
        <v>84</v>
      </c>
      <c r="F1168" s="20" t="s">
        <v>92</v>
      </c>
      <c r="G1168" s="20" t="s">
        <v>26</v>
      </c>
      <c r="H1168" s="20" t="s">
        <v>5082</v>
      </c>
      <c r="I1168" s="20" t="s">
        <v>5083</v>
      </c>
      <c r="J1168" s="20">
        <v>4</v>
      </c>
      <c r="K1168" s="20" t="s">
        <v>107</v>
      </c>
      <c r="L1168" s="20" t="s">
        <v>18</v>
      </c>
      <c r="M1168" s="21"/>
    </row>
    <row r="1169" spans="1:13">
      <c r="A1169" s="19">
        <v>2531418</v>
      </c>
      <c r="B1169" s="20" t="s">
        <v>5084</v>
      </c>
      <c r="C1169" s="19" t="s">
        <v>5085</v>
      </c>
      <c r="D1169" s="19" t="s">
        <v>5086</v>
      </c>
      <c r="E1169" s="20" t="s">
        <v>84</v>
      </c>
      <c r="F1169" s="20" t="s">
        <v>92</v>
      </c>
      <c r="G1169" s="20" t="s">
        <v>26</v>
      </c>
      <c r="H1169" s="20" t="s">
        <v>5087</v>
      </c>
      <c r="I1169" s="20" t="s">
        <v>5088</v>
      </c>
      <c r="J1169" s="20">
        <v>2</v>
      </c>
      <c r="K1169" s="20" t="s">
        <v>19</v>
      </c>
      <c r="L1169" s="20" t="s">
        <v>16</v>
      </c>
      <c r="M1169" s="21"/>
    </row>
    <row r="1170" spans="1:13">
      <c r="A1170" s="19">
        <v>2516797</v>
      </c>
      <c r="B1170" s="20" t="s">
        <v>5089</v>
      </c>
      <c r="C1170" s="19" t="s">
        <v>5090</v>
      </c>
      <c r="D1170" s="19" t="s">
        <v>5091</v>
      </c>
      <c r="E1170" s="20" t="s">
        <v>84</v>
      </c>
      <c r="F1170" s="20" t="s">
        <v>92</v>
      </c>
      <c r="G1170" s="20" t="s">
        <v>26</v>
      </c>
      <c r="H1170" s="20" t="s">
        <v>5092</v>
      </c>
      <c r="I1170" s="20" t="s">
        <v>5093</v>
      </c>
      <c r="J1170" s="20">
        <v>4</v>
      </c>
      <c r="K1170" s="20" t="s">
        <v>19</v>
      </c>
      <c r="L1170" s="20" t="s">
        <v>16</v>
      </c>
      <c r="M1170" s="21" t="s">
        <v>1561</v>
      </c>
    </row>
    <row r="1171" spans="1:13">
      <c r="A1171" s="22">
        <v>2519578</v>
      </c>
      <c r="B1171" s="23" t="s">
        <v>5094</v>
      </c>
      <c r="C1171" s="22" t="s">
        <v>5095</v>
      </c>
      <c r="D1171" s="22" t="s">
        <v>5096</v>
      </c>
      <c r="E1171" s="23" t="s">
        <v>384</v>
      </c>
      <c r="F1171" s="23" t="s">
        <v>112</v>
      </c>
      <c r="G1171" s="23" t="s">
        <v>26</v>
      </c>
      <c r="H1171" s="23" t="s">
        <v>5097</v>
      </c>
      <c r="I1171" s="23" t="s">
        <v>5098</v>
      </c>
      <c r="J1171" s="23">
        <v>1</v>
      </c>
      <c r="K1171" s="23" t="s">
        <v>107</v>
      </c>
      <c r="L1171" s="23" t="s">
        <v>16</v>
      </c>
      <c r="M1171" s="24"/>
    </row>
    <row r="1172" spans="1:13">
      <c r="A1172" s="19">
        <v>2521807</v>
      </c>
      <c r="B1172" s="20" t="s">
        <v>5099</v>
      </c>
      <c r="C1172" s="19" t="s">
        <v>5100</v>
      </c>
      <c r="D1172" s="19" t="s">
        <v>5101</v>
      </c>
      <c r="E1172" s="20" t="s">
        <v>84</v>
      </c>
      <c r="F1172" s="20" t="s">
        <v>85</v>
      </c>
      <c r="G1172" s="20" t="s">
        <v>26</v>
      </c>
      <c r="H1172" s="20" t="s">
        <v>5102</v>
      </c>
      <c r="I1172" s="20" t="s">
        <v>5103</v>
      </c>
      <c r="J1172" s="34" t="s">
        <v>34</v>
      </c>
      <c r="K1172" s="20" t="s">
        <v>107</v>
      </c>
      <c r="L1172" s="20" t="s">
        <v>18</v>
      </c>
      <c r="M1172" s="21" t="s">
        <v>38</v>
      </c>
    </row>
    <row r="1173" spans="1:13">
      <c r="A1173" s="22">
        <v>2530135</v>
      </c>
      <c r="B1173" s="23" t="s">
        <v>5104</v>
      </c>
      <c r="C1173" s="22" t="s">
        <v>5105</v>
      </c>
      <c r="D1173" s="22" t="s">
        <v>5106</v>
      </c>
      <c r="E1173" s="23" t="s">
        <v>84</v>
      </c>
      <c r="F1173" s="23" t="s">
        <v>92</v>
      </c>
      <c r="G1173" s="23" t="s">
        <v>26</v>
      </c>
      <c r="H1173" s="23" t="s">
        <v>5107</v>
      </c>
      <c r="I1173" s="23" t="s">
        <v>5108</v>
      </c>
      <c r="J1173" s="23">
        <v>3</v>
      </c>
      <c r="K1173" s="23" t="s">
        <v>107</v>
      </c>
      <c r="L1173" s="23" t="s">
        <v>16</v>
      </c>
      <c r="M1173" s="24"/>
    </row>
    <row r="1174" spans="1:13">
      <c r="A1174" s="22">
        <v>2533060</v>
      </c>
      <c r="B1174" s="23" t="s">
        <v>5109</v>
      </c>
      <c r="C1174" s="22" t="s">
        <v>5110</v>
      </c>
      <c r="D1174" s="22" t="s">
        <v>5111</v>
      </c>
      <c r="E1174" s="23" t="s">
        <v>84</v>
      </c>
      <c r="F1174" s="23" t="s">
        <v>172</v>
      </c>
      <c r="G1174" s="23" t="s">
        <v>26</v>
      </c>
      <c r="H1174" s="23" t="s">
        <v>5112</v>
      </c>
      <c r="I1174" s="23" t="s">
        <v>5112</v>
      </c>
      <c r="J1174" s="33">
        <v>1</v>
      </c>
      <c r="K1174" s="23" t="s">
        <v>19</v>
      </c>
      <c r="L1174" s="23" t="s">
        <v>16</v>
      </c>
      <c r="M1174" s="24"/>
    </row>
    <row r="1175" spans="1:13">
      <c r="A1175" s="19">
        <v>2525069</v>
      </c>
      <c r="B1175" s="20" t="s">
        <v>5113</v>
      </c>
      <c r="C1175" s="19" t="s">
        <v>5114</v>
      </c>
      <c r="D1175" s="19" t="s">
        <v>5115</v>
      </c>
      <c r="E1175" s="20" t="s">
        <v>127</v>
      </c>
      <c r="F1175" s="20" t="s">
        <v>85</v>
      </c>
      <c r="G1175" s="20" t="s">
        <v>24</v>
      </c>
      <c r="H1175" s="20" t="s">
        <v>5116</v>
      </c>
      <c r="I1175" s="20" t="s">
        <v>5117</v>
      </c>
      <c r="J1175" s="23">
        <v>3</v>
      </c>
      <c r="K1175" s="20" t="s">
        <v>206</v>
      </c>
      <c r="L1175" s="20" t="s">
        <v>16</v>
      </c>
      <c r="M1175" s="21"/>
    </row>
    <row r="1176" spans="1:13">
      <c r="A1176" s="22">
        <v>2525069</v>
      </c>
      <c r="B1176" s="23" t="s">
        <v>5113</v>
      </c>
      <c r="C1176" s="22" t="s">
        <v>5114</v>
      </c>
      <c r="D1176" s="22" t="s">
        <v>5115</v>
      </c>
      <c r="E1176" s="23" t="s">
        <v>127</v>
      </c>
      <c r="F1176" s="23" t="s">
        <v>85</v>
      </c>
      <c r="G1176" s="23" t="s">
        <v>24</v>
      </c>
      <c r="H1176" s="23" t="s">
        <v>5116</v>
      </c>
      <c r="I1176" s="23" t="s">
        <v>5118</v>
      </c>
      <c r="J1176" s="23">
        <v>3</v>
      </c>
      <c r="K1176" s="23" t="s">
        <v>206</v>
      </c>
      <c r="L1176" s="23" t="s">
        <v>16</v>
      </c>
      <c r="M1176" s="24"/>
    </row>
    <row r="1177" spans="1:13">
      <c r="A1177" s="22">
        <v>2525069</v>
      </c>
      <c r="B1177" s="23" t="s">
        <v>5113</v>
      </c>
      <c r="C1177" s="22" t="s">
        <v>5114</v>
      </c>
      <c r="D1177" s="22" t="s">
        <v>5115</v>
      </c>
      <c r="E1177" s="23" t="s">
        <v>127</v>
      </c>
      <c r="F1177" s="23" t="s">
        <v>85</v>
      </c>
      <c r="G1177" s="23" t="s">
        <v>24</v>
      </c>
      <c r="H1177" s="23" t="s">
        <v>5116</v>
      </c>
      <c r="I1177" s="23" t="s">
        <v>5118</v>
      </c>
      <c r="J1177" s="23">
        <v>3</v>
      </c>
      <c r="K1177" s="23" t="s">
        <v>206</v>
      </c>
      <c r="L1177" s="23" t="s">
        <v>16</v>
      </c>
      <c r="M1177" s="24"/>
    </row>
    <row r="1178" spans="1:13">
      <c r="A1178" s="22">
        <v>2519689</v>
      </c>
      <c r="B1178" s="23" t="s">
        <v>5119</v>
      </c>
      <c r="C1178" s="22" t="s">
        <v>5120</v>
      </c>
      <c r="D1178" s="22" t="s">
        <v>5121</v>
      </c>
      <c r="E1178" s="23" t="s">
        <v>84</v>
      </c>
      <c r="F1178" s="23" t="s">
        <v>85</v>
      </c>
      <c r="G1178" s="23" t="s">
        <v>27</v>
      </c>
      <c r="H1178" s="23" t="s">
        <v>5122</v>
      </c>
      <c r="I1178" s="23" t="s">
        <v>5123</v>
      </c>
      <c r="J1178" s="34" t="s">
        <v>34</v>
      </c>
      <c r="K1178" s="23" t="s">
        <v>5124</v>
      </c>
      <c r="L1178" s="23" t="s">
        <v>16</v>
      </c>
      <c r="M1178" s="24"/>
    </row>
    <row r="1179" spans="1:13">
      <c r="A1179" s="22">
        <v>2525022</v>
      </c>
      <c r="B1179" s="23" t="s">
        <v>5125</v>
      </c>
      <c r="C1179" s="22" t="s">
        <v>5126</v>
      </c>
      <c r="D1179" s="22" t="s">
        <v>5127</v>
      </c>
      <c r="E1179" s="23" t="s">
        <v>84</v>
      </c>
      <c r="F1179" s="23" t="s">
        <v>85</v>
      </c>
      <c r="G1179" s="23" t="s">
        <v>27</v>
      </c>
      <c r="H1179" s="23" t="s">
        <v>5128</v>
      </c>
      <c r="I1179" s="23" t="s">
        <v>5129</v>
      </c>
      <c r="J1179" s="20">
        <v>2</v>
      </c>
      <c r="K1179" s="23" t="s">
        <v>5130</v>
      </c>
      <c r="L1179" s="23" t="s">
        <v>18</v>
      </c>
      <c r="M1179" s="24"/>
    </row>
    <row r="1180" spans="1:13">
      <c r="A1180" s="19">
        <v>2525022</v>
      </c>
      <c r="B1180" s="20" t="s">
        <v>5125</v>
      </c>
      <c r="C1180" s="19" t="s">
        <v>5126</v>
      </c>
      <c r="D1180" s="19" t="s">
        <v>5127</v>
      </c>
      <c r="E1180" s="20" t="s">
        <v>84</v>
      </c>
      <c r="F1180" s="20" t="s">
        <v>85</v>
      </c>
      <c r="G1180" s="20" t="s">
        <v>27</v>
      </c>
      <c r="H1180" s="20" t="s">
        <v>5131</v>
      </c>
      <c r="I1180" s="20" t="s">
        <v>5132</v>
      </c>
      <c r="J1180" s="20">
        <v>2</v>
      </c>
      <c r="K1180" s="20" t="s">
        <v>5130</v>
      </c>
      <c r="L1180" s="20" t="s">
        <v>18</v>
      </c>
      <c r="M1180" s="21"/>
    </row>
    <row r="1181" spans="1:13">
      <c r="A1181" s="22">
        <v>2531407</v>
      </c>
      <c r="B1181" s="23" t="s">
        <v>5133</v>
      </c>
      <c r="C1181" s="22" t="s">
        <v>5134</v>
      </c>
      <c r="D1181" s="22" t="s">
        <v>5135</v>
      </c>
      <c r="E1181" s="23" t="s">
        <v>415</v>
      </c>
      <c r="F1181" s="23" t="s">
        <v>85</v>
      </c>
      <c r="G1181" s="23" t="s">
        <v>28</v>
      </c>
      <c r="H1181" s="23" t="s">
        <v>5136</v>
      </c>
      <c r="I1181" s="23" t="s">
        <v>5137</v>
      </c>
      <c r="J1181" s="20">
        <v>4</v>
      </c>
      <c r="K1181" s="23" t="s">
        <v>5138</v>
      </c>
      <c r="L1181" s="23" t="s">
        <v>18</v>
      </c>
      <c r="M1181" s="24"/>
    </row>
    <row r="1182" spans="1:13">
      <c r="A1182" s="22">
        <v>2523381</v>
      </c>
      <c r="B1182" s="23" t="s">
        <v>5139</v>
      </c>
      <c r="C1182" s="22" t="s">
        <v>5140</v>
      </c>
      <c r="D1182" s="22" t="s">
        <v>5141</v>
      </c>
      <c r="E1182" s="23" t="s">
        <v>84</v>
      </c>
      <c r="F1182" s="23" t="s">
        <v>92</v>
      </c>
      <c r="G1182" s="23" t="s">
        <v>26</v>
      </c>
      <c r="H1182" s="23" t="s">
        <v>5142</v>
      </c>
      <c r="I1182" s="23" t="s">
        <v>5143</v>
      </c>
      <c r="J1182" s="20">
        <v>4</v>
      </c>
      <c r="K1182" s="23" t="s">
        <v>107</v>
      </c>
      <c r="L1182" s="23" t="s">
        <v>18</v>
      </c>
      <c r="M1182" s="24"/>
    </row>
    <row r="1183" spans="1:13">
      <c r="A1183" s="22">
        <v>2512291</v>
      </c>
      <c r="B1183" s="23" t="s">
        <v>5144</v>
      </c>
      <c r="C1183" s="22" t="s">
        <v>5145</v>
      </c>
      <c r="D1183" s="22" t="s">
        <v>5146</v>
      </c>
      <c r="E1183" s="23" t="s">
        <v>415</v>
      </c>
      <c r="F1183" s="23" t="s">
        <v>92</v>
      </c>
      <c r="G1183" s="23" t="s">
        <v>26</v>
      </c>
      <c r="H1183" s="23" t="s">
        <v>5147</v>
      </c>
      <c r="I1183" s="23" t="s">
        <v>5148</v>
      </c>
      <c r="J1183" s="20">
        <v>2</v>
      </c>
      <c r="K1183" s="23" t="s">
        <v>107</v>
      </c>
      <c r="L1183" s="23" t="s">
        <v>16</v>
      </c>
      <c r="M1183" s="24"/>
    </row>
    <row r="1184" spans="1:13">
      <c r="A1184" s="22">
        <v>2511291</v>
      </c>
      <c r="B1184" s="23" t="s">
        <v>5149</v>
      </c>
      <c r="C1184" s="22" t="s">
        <v>5150</v>
      </c>
      <c r="D1184" s="22" t="s">
        <v>5151</v>
      </c>
      <c r="E1184" s="23" t="s">
        <v>84</v>
      </c>
      <c r="F1184" s="23" t="s">
        <v>92</v>
      </c>
      <c r="G1184" s="23" t="s">
        <v>26</v>
      </c>
      <c r="H1184" s="23" t="s">
        <v>5152</v>
      </c>
      <c r="I1184" s="23" t="s">
        <v>5153</v>
      </c>
      <c r="J1184" s="23">
        <v>1</v>
      </c>
      <c r="K1184" s="23" t="s">
        <v>107</v>
      </c>
      <c r="L1184" s="23" t="s">
        <v>16</v>
      </c>
      <c r="M1184" s="24"/>
    </row>
    <row r="1185" spans="1:13">
      <c r="A1185" s="22">
        <v>2511279</v>
      </c>
      <c r="B1185" s="23" t="s">
        <v>5154</v>
      </c>
      <c r="C1185" s="22" t="s">
        <v>5155</v>
      </c>
      <c r="D1185" s="22" t="s">
        <v>5156</v>
      </c>
      <c r="E1185" s="23" t="s">
        <v>384</v>
      </c>
      <c r="F1185" s="23" t="s">
        <v>92</v>
      </c>
      <c r="G1185" s="23" t="s">
        <v>26</v>
      </c>
      <c r="H1185" s="23" t="s">
        <v>5157</v>
      </c>
      <c r="I1185" s="23" t="s">
        <v>5158</v>
      </c>
      <c r="J1185" s="20">
        <v>2</v>
      </c>
      <c r="K1185" s="23" t="s">
        <v>19</v>
      </c>
      <c r="L1185" s="23" t="s">
        <v>16</v>
      </c>
      <c r="M1185" s="24"/>
    </row>
    <row r="1186" spans="1:13">
      <c r="A1186" s="22">
        <v>2511272</v>
      </c>
      <c r="B1186" s="23" t="s">
        <v>5159</v>
      </c>
      <c r="C1186" s="22" t="s">
        <v>5156</v>
      </c>
      <c r="D1186" s="22" t="s">
        <v>5160</v>
      </c>
      <c r="E1186" s="23" t="s">
        <v>84</v>
      </c>
      <c r="F1186" s="23" t="s">
        <v>92</v>
      </c>
      <c r="G1186" s="23" t="s">
        <v>26</v>
      </c>
      <c r="H1186" s="23" t="s">
        <v>5161</v>
      </c>
      <c r="I1186" s="23" t="s">
        <v>5162</v>
      </c>
      <c r="J1186" s="20">
        <v>2</v>
      </c>
      <c r="K1186" s="23" t="s">
        <v>19</v>
      </c>
      <c r="L1186" s="23" t="s">
        <v>16</v>
      </c>
      <c r="M1186" s="24"/>
    </row>
    <row r="1187" spans="1:13">
      <c r="A1187" s="22">
        <v>2511292</v>
      </c>
      <c r="B1187" s="23" t="s">
        <v>5163</v>
      </c>
      <c r="C1187" s="22" t="s">
        <v>5164</v>
      </c>
      <c r="D1187" s="22" t="s">
        <v>5165</v>
      </c>
      <c r="E1187" s="23" t="s">
        <v>84</v>
      </c>
      <c r="F1187" s="23" t="s">
        <v>92</v>
      </c>
      <c r="G1187" s="23" t="s">
        <v>26</v>
      </c>
      <c r="H1187" s="23" t="s">
        <v>5166</v>
      </c>
      <c r="I1187" s="23" t="s">
        <v>5167</v>
      </c>
      <c r="J1187" s="23">
        <v>1</v>
      </c>
      <c r="K1187" s="23" t="s">
        <v>107</v>
      </c>
      <c r="L1187" s="23" t="s">
        <v>16</v>
      </c>
      <c r="M1187" s="24" t="s">
        <v>5168</v>
      </c>
    </row>
    <row r="1188" spans="1:13">
      <c r="A1188" s="22">
        <v>2511247</v>
      </c>
      <c r="B1188" s="23" t="s">
        <v>5169</v>
      </c>
      <c r="C1188" s="22" t="s">
        <v>5170</v>
      </c>
      <c r="D1188" s="22" t="s">
        <v>5171</v>
      </c>
      <c r="E1188" s="23" t="s">
        <v>415</v>
      </c>
      <c r="F1188" s="23" t="s">
        <v>85</v>
      </c>
      <c r="G1188" s="23" t="s">
        <v>26</v>
      </c>
      <c r="H1188" s="23" t="s">
        <v>5172</v>
      </c>
      <c r="I1188" s="23" t="s">
        <v>5173</v>
      </c>
      <c r="J1188" s="23">
        <v>1</v>
      </c>
      <c r="K1188" s="23" t="s">
        <v>88</v>
      </c>
      <c r="L1188" s="23" t="s">
        <v>16</v>
      </c>
      <c r="M1188" s="24"/>
    </row>
    <row r="1189" spans="1:13">
      <c r="A1189" s="22">
        <v>2523399</v>
      </c>
      <c r="B1189" s="23" t="s">
        <v>5174</v>
      </c>
      <c r="C1189" s="22" t="s">
        <v>5175</v>
      </c>
      <c r="D1189" s="22" t="s">
        <v>5176</v>
      </c>
      <c r="E1189" s="23" t="s">
        <v>84</v>
      </c>
      <c r="F1189" s="23" t="s">
        <v>85</v>
      </c>
      <c r="G1189" s="23" t="s">
        <v>26</v>
      </c>
      <c r="H1189" s="23" t="s">
        <v>5177</v>
      </c>
      <c r="I1189" s="23" t="s">
        <v>5178</v>
      </c>
      <c r="J1189" s="20">
        <v>2</v>
      </c>
      <c r="K1189" s="23" t="s">
        <v>206</v>
      </c>
      <c r="L1189" s="23" t="s">
        <v>16</v>
      </c>
      <c r="M1189" s="24"/>
    </row>
    <row r="1190" spans="1:13">
      <c r="A1190" s="22">
        <v>654163</v>
      </c>
      <c r="B1190" s="23" t="s">
        <v>5179</v>
      </c>
      <c r="C1190" s="22" t="s">
        <v>5180</v>
      </c>
      <c r="D1190" s="22" t="s">
        <v>5181</v>
      </c>
      <c r="E1190" s="23" t="s">
        <v>127</v>
      </c>
      <c r="F1190" s="23" t="s">
        <v>92</v>
      </c>
      <c r="G1190" s="23" t="s">
        <v>25</v>
      </c>
      <c r="H1190" s="23" t="s">
        <v>5182</v>
      </c>
      <c r="I1190" s="23" t="s">
        <v>5183</v>
      </c>
      <c r="J1190" s="22" t="s">
        <v>283</v>
      </c>
      <c r="K1190" s="23" t="s">
        <v>5184</v>
      </c>
      <c r="L1190" s="23" t="s">
        <v>18</v>
      </c>
      <c r="M1190" s="24" t="s">
        <v>222</v>
      </c>
    </row>
    <row r="1191" spans="1:13">
      <c r="A1191" s="22">
        <v>2521752</v>
      </c>
      <c r="B1191" s="23" t="s">
        <v>5185</v>
      </c>
      <c r="C1191" s="22" t="s">
        <v>5186</v>
      </c>
      <c r="D1191" s="22" t="s">
        <v>5187</v>
      </c>
      <c r="E1191" s="23" t="s">
        <v>127</v>
      </c>
      <c r="F1191" s="23" t="s">
        <v>92</v>
      </c>
      <c r="G1191" s="23" t="s">
        <v>26</v>
      </c>
      <c r="H1191" s="23" t="s">
        <v>5188</v>
      </c>
      <c r="I1191" s="23" t="s">
        <v>5189</v>
      </c>
      <c r="J1191" s="23">
        <v>3</v>
      </c>
      <c r="K1191" s="23" t="s">
        <v>107</v>
      </c>
      <c r="L1191" s="23" t="s">
        <v>16</v>
      </c>
      <c r="M1191" s="24"/>
    </row>
    <row r="1192" spans="1:13">
      <c r="A1192" s="22">
        <v>2524504</v>
      </c>
      <c r="B1192" s="23" t="s">
        <v>5190</v>
      </c>
      <c r="C1192" s="22" t="s">
        <v>5191</v>
      </c>
      <c r="D1192" s="22" t="s">
        <v>5192</v>
      </c>
      <c r="E1192" s="23" t="s">
        <v>127</v>
      </c>
      <c r="F1192" s="23" t="s">
        <v>92</v>
      </c>
      <c r="G1192" s="23" t="s">
        <v>26</v>
      </c>
      <c r="H1192" s="23" t="s">
        <v>5193</v>
      </c>
      <c r="I1192" s="23" t="s">
        <v>5194</v>
      </c>
      <c r="J1192" s="20">
        <v>2</v>
      </c>
      <c r="K1192" s="23" t="s">
        <v>107</v>
      </c>
      <c r="L1192" s="23" t="s">
        <v>16</v>
      </c>
      <c r="M1192" s="24" t="s">
        <v>5195</v>
      </c>
    </row>
    <row r="1193" spans="1:13">
      <c r="A1193" s="19">
        <v>2523375</v>
      </c>
      <c r="B1193" s="20" t="s">
        <v>5196</v>
      </c>
      <c r="C1193" s="19" t="s">
        <v>5197</v>
      </c>
      <c r="D1193" s="19" t="s">
        <v>5198</v>
      </c>
      <c r="E1193" s="20" t="s">
        <v>84</v>
      </c>
      <c r="F1193" s="20" t="s">
        <v>112</v>
      </c>
      <c r="G1193" s="20" t="s">
        <v>26</v>
      </c>
      <c r="H1193" s="20" t="s">
        <v>5199</v>
      </c>
      <c r="I1193" s="20" t="s">
        <v>5200</v>
      </c>
      <c r="J1193" s="23">
        <v>3</v>
      </c>
      <c r="K1193" s="20" t="s">
        <v>206</v>
      </c>
      <c r="L1193" s="20" t="s">
        <v>16</v>
      </c>
      <c r="M1193" s="21"/>
    </row>
    <row r="1194" spans="1:13">
      <c r="A1194" s="19">
        <v>2521621</v>
      </c>
      <c r="B1194" s="20" t="s">
        <v>5201</v>
      </c>
      <c r="C1194" s="19" t="s">
        <v>5202</v>
      </c>
      <c r="D1194" s="19" t="s">
        <v>5203</v>
      </c>
      <c r="E1194" s="20" t="s">
        <v>127</v>
      </c>
      <c r="F1194" s="20" t="s">
        <v>172</v>
      </c>
      <c r="G1194" s="20" t="s">
        <v>26</v>
      </c>
      <c r="H1194" s="20" t="s">
        <v>5204</v>
      </c>
      <c r="I1194" s="20" t="s">
        <v>5204</v>
      </c>
      <c r="J1194" s="20">
        <v>4</v>
      </c>
      <c r="K1194" s="20" t="s">
        <v>107</v>
      </c>
      <c r="L1194" s="20" t="s">
        <v>16</v>
      </c>
      <c r="M1194" s="21"/>
    </row>
    <row r="1195" spans="1:13">
      <c r="A1195" s="19">
        <v>2511259</v>
      </c>
      <c r="B1195" s="20" t="s">
        <v>5205</v>
      </c>
      <c r="C1195" s="19" t="s">
        <v>5206</v>
      </c>
      <c r="D1195" s="19" t="s">
        <v>5207</v>
      </c>
      <c r="E1195" s="20" t="s">
        <v>127</v>
      </c>
      <c r="F1195" s="20" t="s">
        <v>92</v>
      </c>
      <c r="G1195" s="20" t="s">
        <v>26</v>
      </c>
      <c r="H1195" s="20" t="s">
        <v>5208</v>
      </c>
      <c r="I1195" s="20" t="s">
        <v>5209</v>
      </c>
      <c r="J1195" s="23">
        <v>3</v>
      </c>
      <c r="K1195" s="20" t="s">
        <v>19</v>
      </c>
      <c r="L1195" s="20" t="s">
        <v>16</v>
      </c>
      <c r="M1195" s="21"/>
    </row>
    <row r="1196" spans="1:13">
      <c r="A1196" s="19">
        <v>2511259</v>
      </c>
      <c r="B1196" s="20" t="s">
        <v>5205</v>
      </c>
      <c r="C1196" s="19" t="s">
        <v>5206</v>
      </c>
      <c r="D1196" s="19" t="s">
        <v>5207</v>
      </c>
      <c r="E1196" s="20" t="s">
        <v>127</v>
      </c>
      <c r="F1196" s="20" t="s">
        <v>92</v>
      </c>
      <c r="G1196" s="20" t="s">
        <v>26</v>
      </c>
      <c r="H1196" s="20" t="s">
        <v>5208</v>
      </c>
      <c r="I1196" s="20" t="s">
        <v>5209</v>
      </c>
      <c r="J1196" s="23">
        <v>3</v>
      </c>
      <c r="K1196" s="20" t="s">
        <v>19</v>
      </c>
      <c r="L1196" s="20" t="s">
        <v>16</v>
      </c>
      <c r="M1196" s="21"/>
    </row>
    <row r="1197" spans="1:13">
      <c r="A1197" s="19">
        <v>2511259</v>
      </c>
      <c r="B1197" s="20" t="s">
        <v>5205</v>
      </c>
      <c r="C1197" s="19" t="s">
        <v>5206</v>
      </c>
      <c r="D1197" s="19" t="s">
        <v>5207</v>
      </c>
      <c r="E1197" s="20" t="s">
        <v>127</v>
      </c>
      <c r="F1197" s="20" t="s">
        <v>92</v>
      </c>
      <c r="G1197" s="20" t="s">
        <v>26</v>
      </c>
      <c r="H1197" s="20" t="s">
        <v>5208</v>
      </c>
      <c r="I1197" s="20" t="s">
        <v>5210</v>
      </c>
      <c r="J1197" s="23">
        <v>3</v>
      </c>
      <c r="K1197" s="20" t="s">
        <v>19</v>
      </c>
      <c r="L1197" s="20" t="s">
        <v>16</v>
      </c>
      <c r="M1197" s="21"/>
    </row>
    <row r="1198" spans="1:13">
      <c r="A1198" s="22">
        <v>2521621</v>
      </c>
      <c r="B1198" s="23" t="s">
        <v>5201</v>
      </c>
      <c r="C1198" s="22" t="s">
        <v>5202</v>
      </c>
      <c r="D1198" s="22" t="s">
        <v>5203</v>
      </c>
      <c r="E1198" s="23" t="s">
        <v>127</v>
      </c>
      <c r="F1198" s="23" t="s">
        <v>92</v>
      </c>
      <c r="G1198" s="23" t="s">
        <v>26</v>
      </c>
      <c r="H1198" s="23" t="s">
        <v>5211</v>
      </c>
      <c r="I1198" s="23" t="s">
        <v>5211</v>
      </c>
      <c r="J1198" s="20">
        <v>4</v>
      </c>
      <c r="K1198" s="23" t="s">
        <v>107</v>
      </c>
      <c r="L1198" s="23" t="s">
        <v>16</v>
      </c>
      <c r="M1198" s="24" t="s">
        <v>864</v>
      </c>
    </row>
    <row r="1199" spans="1:13">
      <c r="A1199" s="19">
        <v>2531803</v>
      </c>
      <c r="B1199" s="20" t="s">
        <v>5212</v>
      </c>
      <c r="C1199" s="19" t="s">
        <v>5213</v>
      </c>
      <c r="D1199" s="19" t="s">
        <v>5214</v>
      </c>
      <c r="E1199" s="20" t="s">
        <v>84</v>
      </c>
      <c r="F1199" s="20" t="s">
        <v>92</v>
      </c>
      <c r="G1199" s="20" t="s">
        <v>26</v>
      </c>
      <c r="H1199" s="20" t="s">
        <v>5215</v>
      </c>
      <c r="I1199" s="20" t="s">
        <v>5216</v>
      </c>
      <c r="J1199" s="20">
        <v>5</v>
      </c>
      <c r="K1199" s="20" t="s">
        <v>107</v>
      </c>
      <c r="L1199" s="20" t="s">
        <v>18</v>
      </c>
      <c r="M1199" s="21" t="s">
        <v>222</v>
      </c>
    </row>
    <row r="1200" spans="1:13">
      <c r="A1200" s="22">
        <v>2531795</v>
      </c>
      <c r="B1200" s="23" t="s">
        <v>5217</v>
      </c>
      <c r="C1200" s="22" t="s">
        <v>5218</v>
      </c>
      <c r="D1200" s="22" t="s">
        <v>5219</v>
      </c>
      <c r="E1200" s="23" t="s">
        <v>84</v>
      </c>
      <c r="F1200" s="23" t="s">
        <v>92</v>
      </c>
      <c r="G1200" s="23" t="s">
        <v>26</v>
      </c>
      <c r="H1200" s="23" t="s">
        <v>5220</v>
      </c>
      <c r="I1200" s="23" t="s">
        <v>5221</v>
      </c>
      <c r="J1200" s="20">
        <v>5</v>
      </c>
      <c r="K1200" s="23" t="s">
        <v>107</v>
      </c>
      <c r="L1200" s="23" t="s">
        <v>18</v>
      </c>
      <c r="M1200" s="24"/>
    </row>
    <row r="1201" spans="1:13">
      <c r="A1201" s="19">
        <v>2529526</v>
      </c>
      <c r="B1201" s="20" t="s">
        <v>5222</v>
      </c>
      <c r="C1201" s="19" t="s">
        <v>5223</v>
      </c>
      <c r="D1201" s="19" t="s">
        <v>5224</v>
      </c>
      <c r="E1201" s="20" t="s">
        <v>84</v>
      </c>
      <c r="F1201" s="20" t="s">
        <v>85</v>
      </c>
      <c r="G1201" s="20" t="s">
        <v>26</v>
      </c>
      <c r="H1201" s="20" t="s">
        <v>5225</v>
      </c>
      <c r="I1201" s="20" t="s">
        <v>5226</v>
      </c>
      <c r="J1201" s="23">
        <v>3</v>
      </c>
      <c r="K1201" s="20" t="s">
        <v>107</v>
      </c>
      <c r="L1201" s="20" t="s">
        <v>16</v>
      </c>
      <c r="M1201" s="21"/>
    </row>
    <row r="1202" spans="1:13">
      <c r="A1202" s="19">
        <v>2529603</v>
      </c>
      <c r="B1202" s="20" t="s">
        <v>5227</v>
      </c>
      <c r="C1202" s="19" t="s">
        <v>5228</v>
      </c>
      <c r="D1202" s="19" t="s">
        <v>5229</v>
      </c>
      <c r="E1202" s="20" t="s">
        <v>415</v>
      </c>
      <c r="F1202" s="20" t="s">
        <v>112</v>
      </c>
      <c r="G1202" s="20" t="s">
        <v>27</v>
      </c>
      <c r="H1202" s="20" t="s">
        <v>5230</v>
      </c>
      <c r="I1202" s="20" t="s">
        <v>5231</v>
      </c>
      <c r="J1202" s="34">
        <v>18</v>
      </c>
      <c r="K1202" s="20" t="s">
        <v>2699</v>
      </c>
      <c r="L1202" s="20" t="s">
        <v>16</v>
      </c>
      <c r="M1202" s="21" t="s">
        <v>49</v>
      </c>
    </row>
    <row r="1203" spans="1:13">
      <c r="A1203" s="22">
        <v>2520950</v>
      </c>
      <c r="B1203" s="23" t="s">
        <v>5232</v>
      </c>
      <c r="C1203" s="22" t="s">
        <v>5233</v>
      </c>
      <c r="D1203" s="22" t="s">
        <v>5234</v>
      </c>
      <c r="E1203" s="23" t="s">
        <v>127</v>
      </c>
      <c r="F1203" s="23" t="s">
        <v>92</v>
      </c>
      <c r="G1203" s="23" t="s">
        <v>26</v>
      </c>
      <c r="H1203" s="23" t="s">
        <v>5235</v>
      </c>
      <c r="I1203" s="23" t="s">
        <v>5236</v>
      </c>
      <c r="J1203" s="20">
        <v>2</v>
      </c>
      <c r="K1203" s="23" t="s">
        <v>107</v>
      </c>
      <c r="L1203" s="23" t="s">
        <v>16</v>
      </c>
      <c r="M1203" s="24"/>
    </row>
    <row r="1204" spans="1:13">
      <c r="A1204" s="19">
        <v>2512310</v>
      </c>
      <c r="B1204" s="20" t="s">
        <v>5237</v>
      </c>
      <c r="C1204" s="19" t="s">
        <v>5238</v>
      </c>
      <c r="D1204" s="19" t="s">
        <v>5239</v>
      </c>
      <c r="E1204" s="20" t="s">
        <v>415</v>
      </c>
      <c r="F1204" s="20" t="s">
        <v>85</v>
      </c>
      <c r="G1204" s="20" t="s">
        <v>26</v>
      </c>
      <c r="H1204" s="20" t="s">
        <v>5240</v>
      </c>
      <c r="I1204" s="20" t="s">
        <v>5240</v>
      </c>
      <c r="J1204" s="20">
        <v>2</v>
      </c>
      <c r="K1204" s="20" t="s">
        <v>206</v>
      </c>
      <c r="L1204" s="20" t="s">
        <v>16</v>
      </c>
      <c r="M1204" s="21"/>
    </row>
    <row r="1205" spans="1:13">
      <c r="A1205" s="22">
        <v>2521683</v>
      </c>
      <c r="B1205" s="23" t="s">
        <v>5241</v>
      </c>
      <c r="C1205" s="22" t="s">
        <v>5239</v>
      </c>
      <c r="D1205" s="22" t="s">
        <v>5242</v>
      </c>
      <c r="E1205" s="23" t="s">
        <v>84</v>
      </c>
      <c r="F1205" s="23" t="s">
        <v>85</v>
      </c>
      <c r="G1205" s="23" t="s">
        <v>26</v>
      </c>
      <c r="H1205" s="23" t="s">
        <v>5243</v>
      </c>
      <c r="I1205" s="23" t="s">
        <v>5244</v>
      </c>
      <c r="J1205" s="23">
        <v>1</v>
      </c>
      <c r="K1205" s="23" t="s">
        <v>206</v>
      </c>
      <c r="L1205" s="23" t="s">
        <v>16</v>
      </c>
      <c r="M1205" s="24"/>
    </row>
    <row r="1206" spans="1:13">
      <c r="A1206" s="22">
        <v>2512298</v>
      </c>
      <c r="B1206" s="23" t="s">
        <v>5245</v>
      </c>
      <c r="C1206" s="22" t="s">
        <v>5246</v>
      </c>
      <c r="D1206" s="22" t="s">
        <v>5247</v>
      </c>
      <c r="E1206" s="23" t="s">
        <v>84</v>
      </c>
      <c r="F1206" s="23" t="s">
        <v>85</v>
      </c>
      <c r="G1206" s="23" t="s">
        <v>26</v>
      </c>
      <c r="H1206" s="23" t="s">
        <v>5248</v>
      </c>
      <c r="I1206" s="23" t="s">
        <v>5249</v>
      </c>
      <c r="J1206" s="20">
        <v>4</v>
      </c>
      <c r="K1206" s="23" t="s">
        <v>206</v>
      </c>
      <c r="L1206" s="23" t="s">
        <v>16</v>
      </c>
      <c r="M1206" s="24"/>
    </row>
    <row r="1207" spans="1:13">
      <c r="A1207" s="19">
        <v>211284</v>
      </c>
      <c r="B1207" s="20" t="s">
        <v>5250</v>
      </c>
      <c r="C1207" s="19" t="s">
        <v>5251</v>
      </c>
      <c r="D1207" s="19" t="s">
        <v>5252</v>
      </c>
      <c r="E1207" s="20" t="s">
        <v>84</v>
      </c>
      <c r="F1207" s="20" t="s">
        <v>92</v>
      </c>
      <c r="G1207" s="20" t="s">
        <v>26</v>
      </c>
      <c r="H1207" s="20" t="s">
        <v>5253</v>
      </c>
      <c r="I1207" s="20" t="s">
        <v>5254</v>
      </c>
      <c r="J1207" s="23">
        <v>1</v>
      </c>
      <c r="K1207" s="20" t="s">
        <v>107</v>
      </c>
      <c r="L1207" s="20" t="s">
        <v>16</v>
      </c>
      <c r="M1207" s="21"/>
    </row>
    <row r="1208" spans="1:13">
      <c r="A1208" s="19">
        <v>2511284</v>
      </c>
      <c r="B1208" s="20" t="s">
        <v>5250</v>
      </c>
      <c r="C1208" s="19" t="s">
        <v>5251</v>
      </c>
      <c r="D1208" s="19" t="s">
        <v>5252</v>
      </c>
      <c r="E1208" s="20" t="s">
        <v>84</v>
      </c>
      <c r="F1208" s="20" t="s">
        <v>92</v>
      </c>
      <c r="G1208" s="20" t="s">
        <v>26</v>
      </c>
      <c r="H1208" s="20" t="s">
        <v>5255</v>
      </c>
      <c r="I1208" s="20" t="s">
        <v>5256</v>
      </c>
      <c r="J1208" s="23">
        <v>1</v>
      </c>
      <c r="K1208" s="20" t="s">
        <v>107</v>
      </c>
      <c r="L1208" s="20" t="s">
        <v>16</v>
      </c>
      <c r="M1208" s="21"/>
    </row>
    <row r="1209" spans="1:13">
      <c r="A1209" s="22">
        <v>2511284</v>
      </c>
      <c r="B1209" s="23" t="s">
        <v>5250</v>
      </c>
      <c r="C1209" s="22" t="s">
        <v>5251</v>
      </c>
      <c r="D1209" s="22" t="s">
        <v>5252</v>
      </c>
      <c r="E1209" s="23" t="s">
        <v>84</v>
      </c>
      <c r="F1209" s="23" t="s">
        <v>92</v>
      </c>
      <c r="G1209" s="23" t="s">
        <v>26</v>
      </c>
      <c r="H1209" s="23" t="s">
        <v>5255</v>
      </c>
      <c r="I1209" s="23" t="s">
        <v>5257</v>
      </c>
      <c r="J1209" s="23">
        <v>1</v>
      </c>
      <c r="K1209" s="23" t="s">
        <v>107</v>
      </c>
      <c r="L1209" s="23" t="s">
        <v>16</v>
      </c>
      <c r="M1209" s="24"/>
    </row>
    <row r="1210" spans="1:13">
      <c r="A1210" s="22">
        <v>2512303</v>
      </c>
      <c r="B1210" s="23" t="s">
        <v>5258</v>
      </c>
      <c r="C1210" s="22" t="s">
        <v>5259</v>
      </c>
      <c r="D1210" s="22" t="s">
        <v>5260</v>
      </c>
      <c r="E1210" s="23" t="s">
        <v>415</v>
      </c>
      <c r="F1210" s="23" t="s">
        <v>85</v>
      </c>
      <c r="G1210" s="23" t="s">
        <v>26</v>
      </c>
      <c r="H1210" s="23" t="s">
        <v>5261</v>
      </c>
      <c r="I1210" s="23" t="s">
        <v>5262</v>
      </c>
      <c r="J1210" s="20">
        <v>4</v>
      </c>
      <c r="K1210" s="23" t="s">
        <v>206</v>
      </c>
      <c r="L1210" s="23" t="s">
        <v>16</v>
      </c>
      <c r="M1210" s="24" t="s">
        <v>49</v>
      </c>
    </row>
    <row r="1211" spans="1:13">
      <c r="A1211" s="19">
        <v>2512307</v>
      </c>
      <c r="B1211" s="20" t="s">
        <v>5263</v>
      </c>
      <c r="C1211" s="19" t="s">
        <v>5264</v>
      </c>
      <c r="D1211" s="19" t="s">
        <v>5265</v>
      </c>
      <c r="E1211" s="20" t="s">
        <v>84</v>
      </c>
      <c r="F1211" s="20" t="s">
        <v>85</v>
      </c>
      <c r="G1211" s="20" t="s">
        <v>26</v>
      </c>
      <c r="H1211" s="20" t="s">
        <v>5266</v>
      </c>
      <c r="I1211" s="20" t="s">
        <v>5267</v>
      </c>
      <c r="J1211" s="20">
        <v>4</v>
      </c>
      <c r="K1211" s="20" t="s">
        <v>206</v>
      </c>
      <c r="L1211" s="20" t="s">
        <v>16</v>
      </c>
      <c r="M1211" s="21"/>
    </row>
    <row r="1212" spans="1:13">
      <c r="A1212" s="19">
        <v>2529788</v>
      </c>
      <c r="B1212" s="20" t="s">
        <v>5268</v>
      </c>
      <c r="C1212" s="19" t="s">
        <v>5269</v>
      </c>
      <c r="D1212" s="19" t="s">
        <v>5270</v>
      </c>
      <c r="E1212" s="20" t="s">
        <v>84</v>
      </c>
      <c r="F1212" s="20" t="s">
        <v>85</v>
      </c>
      <c r="G1212" s="20" t="s">
        <v>26</v>
      </c>
      <c r="H1212" s="20" t="s">
        <v>5271</v>
      </c>
      <c r="I1212" s="20" t="s">
        <v>5272</v>
      </c>
      <c r="J1212" s="20">
        <v>4</v>
      </c>
      <c r="K1212" s="20" t="s">
        <v>206</v>
      </c>
      <c r="L1212" s="20" t="s">
        <v>16</v>
      </c>
      <c r="M1212" s="21" t="s">
        <v>49</v>
      </c>
    </row>
    <row r="1213" spans="1:13">
      <c r="A1213" s="19">
        <v>2529785</v>
      </c>
      <c r="B1213" s="20" t="s">
        <v>5273</v>
      </c>
      <c r="C1213" s="19" t="s">
        <v>5274</v>
      </c>
      <c r="D1213" s="19" t="s">
        <v>5275</v>
      </c>
      <c r="E1213" s="20" t="s">
        <v>384</v>
      </c>
      <c r="F1213" s="20" t="s">
        <v>85</v>
      </c>
      <c r="G1213" s="20" t="s">
        <v>26</v>
      </c>
      <c r="H1213" s="20" t="s">
        <v>5276</v>
      </c>
      <c r="I1213" s="20" t="s">
        <v>5277</v>
      </c>
      <c r="J1213" s="20">
        <v>4</v>
      </c>
      <c r="K1213" s="20" t="s">
        <v>206</v>
      </c>
      <c r="L1213" s="20" t="s">
        <v>16</v>
      </c>
      <c r="M1213" s="21"/>
    </row>
    <row r="1214" spans="1:13">
      <c r="A1214" s="19">
        <v>2529771</v>
      </c>
      <c r="B1214" s="20" t="s">
        <v>5278</v>
      </c>
      <c r="C1214" s="19" t="s">
        <v>5279</v>
      </c>
      <c r="D1214" s="19" t="s">
        <v>5280</v>
      </c>
      <c r="E1214" s="20" t="s">
        <v>84</v>
      </c>
      <c r="F1214" s="20" t="s">
        <v>85</v>
      </c>
      <c r="G1214" s="20" t="s">
        <v>26</v>
      </c>
      <c r="H1214" s="20" t="s">
        <v>5281</v>
      </c>
      <c r="I1214" s="20" t="s">
        <v>5281</v>
      </c>
      <c r="J1214" s="20">
        <v>4</v>
      </c>
      <c r="K1214" s="20" t="s">
        <v>206</v>
      </c>
      <c r="L1214" s="20" t="s">
        <v>16</v>
      </c>
      <c r="M1214" s="21"/>
    </row>
    <row r="1215" spans="1:13">
      <c r="A1215" s="19">
        <v>2524645</v>
      </c>
      <c r="B1215" s="20" t="s">
        <v>5282</v>
      </c>
      <c r="C1215" s="19" t="s">
        <v>5283</v>
      </c>
      <c r="D1215" s="19" t="s">
        <v>5284</v>
      </c>
      <c r="E1215" s="20" t="s">
        <v>127</v>
      </c>
      <c r="F1215" s="20" t="s">
        <v>85</v>
      </c>
      <c r="G1215" s="20" t="s">
        <v>26</v>
      </c>
      <c r="H1215" s="20" t="s">
        <v>5285</v>
      </c>
      <c r="I1215" s="20" t="s">
        <v>5286</v>
      </c>
      <c r="J1215" s="23">
        <v>3</v>
      </c>
      <c r="K1215" s="20" t="s">
        <v>206</v>
      </c>
      <c r="L1215" s="20" t="s">
        <v>16</v>
      </c>
      <c r="M1215" s="21"/>
    </row>
    <row r="1216" spans="1:13">
      <c r="A1216" s="22">
        <v>2533019</v>
      </c>
      <c r="B1216" s="23" t="s">
        <v>5287</v>
      </c>
      <c r="C1216" s="22" t="s">
        <v>5288</v>
      </c>
      <c r="D1216" s="22" t="s">
        <v>5289</v>
      </c>
      <c r="E1216" s="23" t="s">
        <v>84</v>
      </c>
      <c r="F1216" s="23" t="s">
        <v>85</v>
      </c>
      <c r="G1216" s="23" t="s">
        <v>26</v>
      </c>
      <c r="H1216" s="23" t="s">
        <v>5290</v>
      </c>
      <c r="I1216" s="23" t="s">
        <v>5290</v>
      </c>
      <c r="J1216" s="23">
        <v>1</v>
      </c>
      <c r="K1216" s="23" t="s">
        <v>206</v>
      </c>
      <c r="L1216" s="23" t="s">
        <v>18</v>
      </c>
      <c r="M1216" s="24"/>
    </row>
    <row r="1217" spans="1:13">
      <c r="A1217" s="19">
        <v>2520969</v>
      </c>
      <c r="B1217" s="20" t="s">
        <v>5291</v>
      </c>
      <c r="C1217" s="19" t="s">
        <v>5292</v>
      </c>
      <c r="D1217" s="19" t="s">
        <v>5293</v>
      </c>
      <c r="E1217" s="20" t="s">
        <v>84</v>
      </c>
      <c r="F1217" s="20" t="s">
        <v>92</v>
      </c>
      <c r="G1217" s="20" t="s">
        <v>26</v>
      </c>
      <c r="H1217" s="20" t="s">
        <v>5294</v>
      </c>
      <c r="I1217" s="20" t="s">
        <v>5295</v>
      </c>
      <c r="J1217" s="23">
        <v>1</v>
      </c>
      <c r="K1217" s="20" t="s">
        <v>19</v>
      </c>
      <c r="L1217" s="20" t="s">
        <v>16</v>
      </c>
      <c r="M1217" s="21"/>
    </row>
    <row r="1218" spans="1:13">
      <c r="A1218" s="19">
        <v>2520964</v>
      </c>
      <c r="B1218" s="20" t="s">
        <v>5296</v>
      </c>
      <c r="C1218" s="19" t="s">
        <v>5297</v>
      </c>
      <c r="D1218" s="19" t="s">
        <v>5298</v>
      </c>
      <c r="E1218" s="20" t="s">
        <v>84</v>
      </c>
      <c r="F1218" s="20" t="s">
        <v>92</v>
      </c>
      <c r="G1218" s="20" t="s">
        <v>26</v>
      </c>
      <c r="H1218" s="20" t="s">
        <v>5294</v>
      </c>
      <c r="I1218" s="20" t="s">
        <v>5299</v>
      </c>
      <c r="J1218" s="23">
        <v>1</v>
      </c>
      <c r="K1218" s="20" t="s">
        <v>19</v>
      </c>
      <c r="L1218" s="20" t="s">
        <v>16</v>
      </c>
      <c r="M1218" s="21"/>
    </row>
    <row r="1219" spans="1:13">
      <c r="A1219" s="22">
        <v>2512331</v>
      </c>
      <c r="B1219" s="23" t="s">
        <v>5300</v>
      </c>
      <c r="C1219" s="22" t="s">
        <v>5301</v>
      </c>
      <c r="D1219" s="22" t="s">
        <v>5302</v>
      </c>
      <c r="E1219" s="23" t="s">
        <v>84</v>
      </c>
      <c r="F1219" s="23" t="s">
        <v>85</v>
      </c>
      <c r="G1219" s="23" t="s">
        <v>26</v>
      </c>
      <c r="H1219" s="23" t="s">
        <v>5303</v>
      </c>
      <c r="I1219" s="23" t="s">
        <v>5304</v>
      </c>
      <c r="J1219" s="20">
        <v>2</v>
      </c>
      <c r="K1219" s="23" t="s">
        <v>206</v>
      </c>
      <c r="L1219" s="23" t="s">
        <v>16</v>
      </c>
      <c r="M1219" s="24"/>
    </row>
    <row r="1220" spans="1:13">
      <c r="A1220" s="19">
        <v>2521010</v>
      </c>
      <c r="B1220" s="20" t="s">
        <v>5305</v>
      </c>
      <c r="C1220" s="19" t="s">
        <v>5306</v>
      </c>
      <c r="D1220" s="19" t="s">
        <v>5307</v>
      </c>
      <c r="E1220" s="20" t="s">
        <v>84</v>
      </c>
      <c r="F1220" s="20" t="s">
        <v>85</v>
      </c>
      <c r="G1220" s="20" t="s">
        <v>26</v>
      </c>
      <c r="H1220" s="20" t="s">
        <v>5308</v>
      </c>
      <c r="I1220" s="20" t="s">
        <v>5309</v>
      </c>
      <c r="J1220" s="20">
        <v>2</v>
      </c>
      <c r="K1220" s="20" t="s">
        <v>206</v>
      </c>
      <c r="L1220" s="20" t="s">
        <v>16</v>
      </c>
      <c r="M1220" s="21" t="s">
        <v>49</v>
      </c>
    </row>
    <row r="1221" spans="1:13">
      <c r="A1221" s="19">
        <v>2526590</v>
      </c>
      <c r="B1221" s="20" t="s">
        <v>5310</v>
      </c>
      <c r="C1221" s="19" t="s">
        <v>5311</v>
      </c>
      <c r="D1221" s="19" t="s">
        <v>5312</v>
      </c>
      <c r="E1221" s="20" t="s">
        <v>84</v>
      </c>
      <c r="F1221" s="20" t="s">
        <v>92</v>
      </c>
      <c r="G1221" s="20" t="s">
        <v>26</v>
      </c>
      <c r="H1221" s="20" t="s">
        <v>5313</v>
      </c>
      <c r="I1221" s="20" t="s">
        <v>5314</v>
      </c>
      <c r="J1221" s="20">
        <v>2</v>
      </c>
      <c r="K1221" s="20" t="s">
        <v>107</v>
      </c>
      <c r="L1221" s="20" t="s">
        <v>16</v>
      </c>
      <c r="M1221" s="21" t="s">
        <v>330</v>
      </c>
    </row>
    <row r="1222" spans="1:13">
      <c r="A1222" s="19">
        <v>252963</v>
      </c>
      <c r="B1222" s="20" t="s">
        <v>5315</v>
      </c>
      <c r="C1222" s="19" t="s">
        <v>5316</v>
      </c>
      <c r="D1222" s="19" t="s">
        <v>5317</v>
      </c>
      <c r="E1222" s="20" t="s">
        <v>127</v>
      </c>
      <c r="F1222" s="20" t="s">
        <v>92</v>
      </c>
      <c r="G1222" s="20" t="s">
        <v>26</v>
      </c>
      <c r="H1222" s="20" t="s">
        <v>5318</v>
      </c>
      <c r="I1222" s="20" t="s">
        <v>5319</v>
      </c>
      <c r="J1222" s="20">
        <v>4</v>
      </c>
      <c r="K1222" s="20" t="s">
        <v>107</v>
      </c>
      <c r="L1222" s="20" t="s">
        <v>16</v>
      </c>
      <c r="M1222" s="21" t="s">
        <v>631</v>
      </c>
    </row>
    <row r="1223" spans="1:13">
      <c r="A1223" s="22">
        <v>2529639</v>
      </c>
      <c r="B1223" s="23" t="s">
        <v>5320</v>
      </c>
      <c r="C1223" s="22" t="s">
        <v>5316</v>
      </c>
      <c r="D1223" s="22" t="s">
        <v>5317</v>
      </c>
      <c r="E1223" s="23" t="s">
        <v>127</v>
      </c>
      <c r="F1223" s="23" t="s">
        <v>92</v>
      </c>
      <c r="G1223" s="23" t="s">
        <v>26</v>
      </c>
      <c r="H1223" s="23" t="s">
        <v>5321</v>
      </c>
      <c r="I1223" s="23" t="s">
        <v>5322</v>
      </c>
      <c r="J1223" s="20">
        <v>4</v>
      </c>
      <c r="K1223" s="23" t="s">
        <v>107</v>
      </c>
      <c r="L1223" s="23" t="s">
        <v>16</v>
      </c>
      <c r="M1223" s="24" t="s">
        <v>5323</v>
      </c>
    </row>
    <row r="1224" spans="1:13">
      <c r="A1224" s="19">
        <v>896245</v>
      </c>
      <c r="B1224" s="20" t="s">
        <v>5324</v>
      </c>
      <c r="C1224" s="19" t="s">
        <v>5325</v>
      </c>
      <c r="D1224" s="19" t="s">
        <v>5326</v>
      </c>
      <c r="E1224" s="20" t="s">
        <v>219</v>
      </c>
      <c r="F1224" s="20" t="s">
        <v>112</v>
      </c>
      <c r="G1224" s="20" t="s">
        <v>27</v>
      </c>
      <c r="H1224" s="20" t="s">
        <v>5327</v>
      </c>
      <c r="I1224" s="20" t="s">
        <v>5328</v>
      </c>
      <c r="J1224" s="19" t="s">
        <v>1088</v>
      </c>
      <c r="K1224" s="20" t="s">
        <v>967</v>
      </c>
      <c r="L1224" s="20" t="s">
        <v>16</v>
      </c>
      <c r="M1224" s="21"/>
    </row>
    <row r="1225" spans="1:13">
      <c r="A1225" s="19">
        <v>2525151</v>
      </c>
      <c r="B1225" s="20" t="s">
        <v>5329</v>
      </c>
      <c r="C1225" s="19" t="s">
        <v>5330</v>
      </c>
      <c r="D1225" s="19" t="s">
        <v>5331</v>
      </c>
      <c r="E1225" s="20" t="s">
        <v>84</v>
      </c>
      <c r="F1225" s="20" t="s">
        <v>92</v>
      </c>
      <c r="G1225" s="20" t="s">
        <v>26</v>
      </c>
      <c r="H1225" s="20" t="s">
        <v>5332</v>
      </c>
      <c r="I1225" s="20" t="s">
        <v>5333</v>
      </c>
      <c r="J1225" s="20">
        <v>5</v>
      </c>
      <c r="K1225" s="20" t="s">
        <v>107</v>
      </c>
      <c r="L1225" s="20" t="s">
        <v>16</v>
      </c>
      <c r="M1225" s="21"/>
    </row>
    <row r="1226" spans="1:13">
      <c r="A1226" s="22">
        <v>2533147</v>
      </c>
      <c r="B1226" s="23" t="s">
        <v>5334</v>
      </c>
      <c r="C1226" s="22" t="s">
        <v>5335</v>
      </c>
      <c r="D1226" s="22" t="s">
        <v>5336</v>
      </c>
      <c r="E1226" s="23" t="s">
        <v>84</v>
      </c>
      <c r="F1226" s="23" t="s">
        <v>92</v>
      </c>
      <c r="G1226" s="23" t="s">
        <v>26</v>
      </c>
      <c r="H1226" s="23" t="s">
        <v>5337</v>
      </c>
      <c r="I1226" s="23" t="s">
        <v>5338</v>
      </c>
      <c r="J1226" s="20">
        <v>2</v>
      </c>
      <c r="K1226" s="23" t="s">
        <v>107</v>
      </c>
      <c r="L1226" s="23" t="s">
        <v>16</v>
      </c>
      <c r="M1226" s="24"/>
    </row>
    <row r="1227" spans="1:13">
      <c r="A1227" s="22">
        <v>2525101</v>
      </c>
      <c r="B1227" s="23" t="s">
        <v>5339</v>
      </c>
      <c r="C1227" s="22" t="s">
        <v>5340</v>
      </c>
      <c r="D1227" s="22" t="s">
        <v>5341</v>
      </c>
      <c r="E1227" s="23" t="s">
        <v>84</v>
      </c>
      <c r="F1227" s="23" t="s">
        <v>92</v>
      </c>
      <c r="G1227" s="23" t="s">
        <v>26</v>
      </c>
      <c r="H1227" s="23" t="s">
        <v>5342</v>
      </c>
      <c r="I1227" s="23" t="s">
        <v>5343</v>
      </c>
      <c r="J1227" s="20">
        <v>4</v>
      </c>
      <c r="K1227" s="23" t="s">
        <v>19</v>
      </c>
      <c r="L1227" s="23" t="s">
        <v>16</v>
      </c>
      <c r="M1227" s="24"/>
    </row>
    <row r="1228" spans="1:13">
      <c r="A1228" s="19">
        <v>2529538</v>
      </c>
      <c r="B1228" s="20" t="s">
        <v>5344</v>
      </c>
      <c r="C1228" s="19" t="s">
        <v>5345</v>
      </c>
      <c r="D1228" s="19" t="s">
        <v>5346</v>
      </c>
      <c r="E1228" s="20" t="s">
        <v>127</v>
      </c>
      <c r="F1228" s="20" t="s">
        <v>92</v>
      </c>
      <c r="G1228" s="20" t="s">
        <v>26</v>
      </c>
      <c r="H1228" s="20" t="s">
        <v>5347</v>
      </c>
      <c r="I1228" s="20" t="s">
        <v>5347</v>
      </c>
      <c r="J1228" s="23">
        <v>1</v>
      </c>
      <c r="K1228" s="20" t="s">
        <v>19</v>
      </c>
      <c r="L1228" s="20" t="s">
        <v>16</v>
      </c>
      <c r="M1228" s="21"/>
    </row>
    <row r="1229" spans="1:13">
      <c r="A1229" s="19">
        <v>2521168</v>
      </c>
      <c r="B1229" s="20" t="s">
        <v>5348</v>
      </c>
      <c r="C1229" s="19" t="s">
        <v>5349</v>
      </c>
      <c r="D1229" s="19" t="s">
        <v>5350</v>
      </c>
      <c r="E1229" s="20" t="s">
        <v>84</v>
      </c>
      <c r="F1229" s="20" t="s">
        <v>85</v>
      </c>
      <c r="G1229" s="20" t="s">
        <v>26</v>
      </c>
      <c r="H1229" s="20" t="s">
        <v>5351</v>
      </c>
      <c r="I1229" s="20" t="s">
        <v>5352</v>
      </c>
      <c r="J1229" s="33">
        <v>1</v>
      </c>
      <c r="K1229" s="20" t="s">
        <v>206</v>
      </c>
      <c r="L1229" s="20" t="s">
        <v>16</v>
      </c>
      <c r="M1229" s="21"/>
    </row>
    <row r="1230" spans="1:13">
      <c r="A1230" s="19">
        <v>2524646</v>
      </c>
      <c r="B1230" s="20" t="s">
        <v>5353</v>
      </c>
      <c r="C1230" s="19" t="s">
        <v>5354</v>
      </c>
      <c r="D1230" s="19" t="s">
        <v>5355</v>
      </c>
      <c r="E1230" s="20" t="s">
        <v>84</v>
      </c>
      <c r="F1230" s="20" t="s">
        <v>92</v>
      </c>
      <c r="G1230" s="20" t="s">
        <v>27</v>
      </c>
      <c r="H1230" s="20" t="s">
        <v>5356</v>
      </c>
      <c r="I1230" s="20" t="s">
        <v>5357</v>
      </c>
      <c r="J1230" s="23">
        <v>3</v>
      </c>
      <c r="K1230" s="20" t="s">
        <v>15</v>
      </c>
      <c r="L1230" s="20" t="s">
        <v>16</v>
      </c>
      <c r="M1230" s="21"/>
    </row>
    <row r="1231" spans="1:13">
      <c r="A1231" s="22">
        <v>2533186</v>
      </c>
      <c r="B1231" s="23" t="s">
        <v>5358</v>
      </c>
      <c r="C1231" s="22" t="s">
        <v>5359</v>
      </c>
      <c r="D1231" s="22" t="s">
        <v>5360</v>
      </c>
      <c r="E1231" s="23" t="s">
        <v>127</v>
      </c>
      <c r="F1231" s="23" t="s">
        <v>92</v>
      </c>
      <c r="G1231" s="23" t="s">
        <v>26</v>
      </c>
      <c r="H1231" s="23" t="s">
        <v>5361</v>
      </c>
      <c r="I1231" s="23" t="s">
        <v>5362</v>
      </c>
      <c r="J1231" s="23">
        <v>1</v>
      </c>
      <c r="K1231" s="23" t="s">
        <v>19</v>
      </c>
      <c r="L1231" s="23" t="s">
        <v>16</v>
      </c>
      <c r="M1231" s="24"/>
    </row>
    <row r="1232" spans="1:13">
      <c r="A1232" s="22">
        <v>2532939</v>
      </c>
      <c r="B1232" s="23" t="s">
        <v>5363</v>
      </c>
      <c r="C1232" s="22" t="s">
        <v>5364</v>
      </c>
      <c r="D1232" s="22" t="s">
        <v>5365</v>
      </c>
      <c r="E1232" s="23" t="s">
        <v>84</v>
      </c>
      <c r="F1232" s="23" t="s">
        <v>92</v>
      </c>
      <c r="G1232" s="23" t="s">
        <v>26</v>
      </c>
      <c r="H1232" s="23" t="s">
        <v>5366</v>
      </c>
      <c r="I1232" s="23" t="s">
        <v>5366</v>
      </c>
      <c r="J1232" s="20">
        <v>2</v>
      </c>
      <c r="K1232" s="23" t="s">
        <v>19</v>
      </c>
      <c r="L1232" s="23" t="s">
        <v>16</v>
      </c>
      <c r="M1232" s="24"/>
    </row>
    <row r="1233" spans="1:13">
      <c r="A1233" s="22">
        <v>2532973</v>
      </c>
      <c r="B1233" s="23" t="s">
        <v>5367</v>
      </c>
      <c r="C1233" s="22" t="s">
        <v>5368</v>
      </c>
      <c r="D1233" s="22" t="s">
        <v>5369</v>
      </c>
      <c r="E1233" s="23" t="s">
        <v>84</v>
      </c>
      <c r="F1233" s="23" t="s">
        <v>92</v>
      </c>
      <c r="G1233" s="23" t="s">
        <v>26</v>
      </c>
      <c r="H1233" s="23" t="s">
        <v>5370</v>
      </c>
      <c r="I1233" s="23" t="s">
        <v>5371</v>
      </c>
      <c r="J1233" s="23">
        <v>3</v>
      </c>
      <c r="K1233" s="23" t="s">
        <v>19</v>
      </c>
      <c r="L1233" s="23" t="s">
        <v>16</v>
      </c>
      <c r="M1233" s="24"/>
    </row>
    <row r="1234" spans="1:13">
      <c r="A1234" s="19">
        <v>2533065</v>
      </c>
      <c r="B1234" s="20" t="s">
        <v>136</v>
      </c>
      <c r="C1234" s="19" t="s">
        <v>137</v>
      </c>
      <c r="D1234" s="19" t="s">
        <v>138</v>
      </c>
      <c r="E1234" s="20" t="s">
        <v>84</v>
      </c>
      <c r="F1234" s="20" t="s">
        <v>92</v>
      </c>
      <c r="G1234" s="20" t="s">
        <v>26</v>
      </c>
      <c r="H1234" s="20" t="s">
        <v>5372</v>
      </c>
      <c r="I1234" s="20" t="s">
        <v>5373</v>
      </c>
      <c r="J1234" s="20">
        <v>4</v>
      </c>
      <c r="K1234" s="20" t="s">
        <v>107</v>
      </c>
      <c r="L1234" s="20" t="s">
        <v>18</v>
      </c>
      <c r="M1234" s="21"/>
    </row>
    <row r="1235" spans="1:13">
      <c r="A1235" s="19">
        <v>2524529</v>
      </c>
      <c r="B1235" s="20" t="s">
        <v>5374</v>
      </c>
      <c r="C1235" s="19" t="s">
        <v>5375</v>
      </c>
      <c r="D1235" s="19" t="s">
        <v>5376</v>
      </c>
      <c r="E1235" s="20" t="s">
        <v>127</v>
      </c>
      <c r="F1235" s="20" t="s">
        <v>92</v>
      </c>
      <c r="G1235" s="20" t="s">
        <v>26</v>
      </c>
      <c r="H1235" s="20" t="s">
        <v>5377</v>
      </c>
      <c r="I1235" s="20" t="s">
        <v>5378</v>
      </c>
      <c r="J1235" s="23">
        <v>1</v>
      </c>
      <c r="K1235" s="20" t="s">
        <v>19</v>
      </c>
      <c r="L1235" s="20" t="s">
        <v>16</v>
      </c>
      <c r="M1235" s="21"/>
    </row>
    <row r="1236" spans="1:13">
      <c r="A1236" s="19">
        <v>2520935</v>
      </c>
      <c r="B1236" s="20" t="s">
        <v>5379</v>
      </c>
      <c r="C1236" s="19" t="s">
        <v>5380</v>
      </c>
      <c r="D1236" s="19" t="s">
        <v>5381</v>
      </c>
      <c r="E1236" s="20" t="s">
        <v>84</v>
      </c>
      <c r="F1236" s="20" t="s">
        <v>172</v>
      </c>
      <c r="G1236" s="20" t="s">
        <v>26</v>
      </c>
      <c r="H1236" s="20" t="s">
        <v>5382</v>
      </c>
      <c r="I1236" s="20" t="s">
        <v>5383</v>
      </c>
      <c r="J1236" s="20">
        <v>4</v>
      </c>
      <c r="K1236" s="20" t="s">
        <v>19</v>
      </c>
      <c r="L1236" s="20" t="s">
        <v>16</v>
      </c>
      <c r="M1236" s="21"/>
    </row>
    <row r="1237" spans="1:13">
      <c r="A1237" s="19">
        <v>2524650</v>
      </c>
      <c r="B1237" s="20" t="s">
        <v>5384</v>
      </c>
      <c r="C1237" s="19" t="s">
        <v>5385</v>
      </c>
      <c r="D1237" s="19" t="s">
        <v>5386</v>
      </c>
      <c r="E1237" s="20" t="s">
        <v>84</v>
      </c>
      <c r="F1237" s="20" t="s">
        <v>92</v>
      </c>
      <c r="G1237" s="20" t="s">
        <v>26</v>
      </c>
      <c r="H1237" s="20" t="s">
        <v>5387</v>
      </c>
      <c r="I1237" s="20" t="s">
        <v>3798</v>
      </c>
      <c r="J1237" s="23">
        <v>3</v>
      </c>
      <c r="K1237" s="20" t="s">
        <v>19</v>
      </c>
      <c r="L1237" s="20" t="s">
        <v>16</v>
      </c>
      <c r="M1237" s="21"/>
    </row>
    <row r="1238" spans="1:13">
      <c r="A1238" s="22">
        <v>2531805</v>
      </c>
      <c r="B1238" s="23" t="s">
        <v>5388</v>
      </c>
      <c r="C1238" s="22" t="s">
        <v>5389</v>
      </c>
      <c r="D1238" s="22" t="s">
        <v>5390</v>
      </c>
      <c r="E1238" s="23" t="s">
        <v>84</v>
      </c>
      <c r="F1238" s="23" t="s">
        <v>92</v>
      </c>
      <c r="G1238" s="23" t="s">
        <v>26</v>
      </c>
      <c r="H1238" s="23" t="s">
        <v>5391</v>
      </c>
      <c r="I1238" s="23" t="s">
        <v>5392</v>
      </c>
      <c r="J1238" s="23">
        <v>3</v>
      </c>
      <c r="K1238" s="23" t="s">
        <v>19</v>
      </c>
      <c r="L1238" s="23" t="s">
        <v>16</v>
      </c>
      <c r="M1238" s="24"/>
    </row>
    <row r="1239" spans="1:13">
      <c r="A1239" s="22">
        <v>2533047</v>
      </c>
      <c r="B1239" s="23" t="s">
        <v>5393</v>
      </c>
      <c r="C1239" s="22" t="s">
        <v>5394</v>
      </c>
      <c r="D1239" s="22" t="s">
        <v>5395</v>
      </c>
      <c r="E1239" s="23" t="s">
        <v>84</v>
      </c>
      <c r="F1239" s="23" t="s">
        <v>92</v>
      </c>
      <c r="G1239" s="23" t="s">
        <v>24</v>
      </c>
      <c r="H1239" s="23" t="s">
        <v>5396</v>
      </c>
      <c r="I1239" s="23" t="s">
        <v>5397</v>
      </c>
      <c r="J1239" s="23">
        <v>3</v>
      </c>
      <c r="K1239" s="23" t="s">
        <v>19</v>
      </c>
      <c r="L1239" s="23" t="s">
        <v>16</v>
      </c>
      <c r="M1239" s="24"/>
    </row>
    <row r="1240" spans="1:13">
      <c r="A1240" s="22">
        <v>2532919</v>
      </c>
      <c r="B1240" s="23" t="s">
        <v>5398</v>
      </c>
      <c r="C1240" s="22" t="s">
        <v>5399</v>
      </c>
      <c r="D1240" s="22" t="s">
        <v>5400</v>
      </c>
      <c r="E1240" s="23" t="s">
        <v>84</v>
      </c>
      <c r="F1240" s="23" t="s">
        <v>172</v>
      </c>
      <c r="G1240" s="23" t="s">
        <v>26</v>
      </c>
      <c r="H1240" s="23" t="s">
        <v>5401</v>
      </c>
      <c r="I1240" s="23" t="s">
        <v>5402</v>
      </c>
      <c r="J1240" s="23">
        <v>3</v>
      </c>
      <c r="K1240" s="23" t="s">
        <v>107</v>
      </c>
      <c r="L1240" s="23" t="s">
        <v>16</v>
      </c>
      <c r="M1240" s="24"/>
    </row>
    <row r="1241" spans="1:13">
      <c r="A1241" s="19">
        <v>2521125</v>
      </c>
      <c r="B1241" s="20" t="s">
        <v>5403</v>
      </c>
      <c r="C1241" s="19" t="s">
        <v>5404</v>
      </c>
      <c r="D1241" s="19" t="s">
        <v>5405</v>
      </c>
      <c r="E1241" s="20" t="s">
        <v>84</v>
      </c>
      <c r="F1241" s="20" t="s">
        <v>92</v>
      </c>
      <c r="G1241" s="20" t="s">
        <v>26</v>
      </c>
      <c r="H1241" s="20" t="s">
        <v>5406</v>
      </c>
      <c r="I1241" s="20" t="s">
        <v>3798</v>
      </c>
      <c r="J1241" s="20">
        <v>2</v>
      </c>
      <c r="K1241" s="20" t="s">
        <v>107</v>
      </c>
      <c r="L1241" s="20" t="s">
        <v>16</v>
      </c>
      <c r="M1241" s="21"/>
    </row>
    <row r="1242" spans="1:13">
      <c r="A1242" s="19">
        <v>2531861</v>
      </c>
      <c r="B1242" s="20" t="s">
        <v>5407</v>
      </c>
      <c r="C1242" s="19" t="s">
        <v>5408</v>
      </c>
      <c r="D1242" s="19" t="s">
        <v>5409</v>
      </c>
      <c r="E1242" s="20" t="s">
        <v>84</v>
      </c>
      <c r="F1242" s="20" t="s">
        <v>92</v>
      </c>
      <c r="G1242" s="20" t="s">
        <v>26</v>
      </c>
      <c r="H1242" s="20" t="s">
        <v>5406</v>
      </c>
      <c r="I1242" s="20" t="s">
        <v>3798</v>
      </c>
      <c r="J1242" s="20">
        <v>2</v>
      </c>
      <c r="K1242" s="20" t="s">
        <v>19</v>
      </c>
      <c r="L1242" s="20" t="s">
        <v>16</v>
      </c>
      <c r="M1242" s="21"/>
    </row>
    <row r="1243" spans="1:13">
      <c r="A1243" s="22">
        <v>2521121</v>
      </c>
      <c r="B1243" s="23" t="s">
        <v>5410</v>
      </c>
      <c r="C1243" s="22" t="s">
        <v>5411</v>
      </c>
      <c r="D1243" s="22" t="s">
        <v>5412</v>
      </c>
      <c r="E1243" s="23" t="s">
        <v>84</v>
      </c>
      <c r="F1243" s="23" t="s">
        <v>92</v>
      </c>
      <c r="G1243" s="23" t="s">
        <v>26</v>
      </c>
      <c r="H1243" s="23" t="s">
        <v>5406</v>
      </c>
      <c r="I1243" s="23" t="s">
        <v>3798</v>
      </c>
      <c r="J1243" s="23">
        <v>3</v>
      </c>
      <c r="K1243" s="23" t="s">
        <v>107</v>
      </c>
      <c r="L1243" s="23" t="s">
        <v>16</v>
      </c>
      <c r="M1243" s="24"/>
    </row>
    <row r="1244" spans="1:13">
      <c r="A1244" s="22">
        <v>2524559</v>
      </c>
      <c r="B1244" s="23" t="s">
        <v>5413</v>
      </c>
      <c r="C1244" s="22" t="s">
        <v>5414</v>
      </c>
      <c r="D1244" s="22" t="s">
        <v>5415</v>
      </c>
      <c r="E1244" s="23" t="s">
        <v>84</v>
      </c>
      <c r="F1244" s="23" t="s">
        <v>92</v>
      </c>
      <c r="G1244" s="23" t="s">
        <v>26</v>
      </c>
      <c r="H1244" s="23" t="s">
        <v>5416</v>
      </c>
      <c r="I1244" s="23" t="s">
        <v>3798</v>
      </c>
      <c r="J1244" s="23">
        <v>1</v>
      </c>
      <c r="K1244" s="23" t="s">
        <v>19</v>
      </c>
      <c r="L1244" s="23" t="s">
        <v>18</v>
      </c>
      <c r="M1244" s="24"/>
    </row>
    <row r="1245" spans="1:13">
      <c r="A1245" s="22">
        <v>2521120</v>
      </c>
      <c r="B1245" s="23" t="s">
        <v>5417</v>
      </c>
      <c r="C1245" s="22" t="s">
        <v>5418</v>
      </c>
      <c r="D1245" s="22" t="s">
        <v>5419</v>
      </c>
      <c r="E1245" s="23" t="s">
        <v>84</v>
      </c>
      <c r="F1245" s="23" t="s">
        <v>92</v>
      </c>
      <c r="G1245" s="23" t="s">
        <v>26</v>
      </c>
      <c r="H1245" s="23" t="s">
        <v>5420</v>
      </c>
      <c r="I1245" s="23" t="s">
        <v>3798</v>
      </c>
      <c r="J1245" s="20">
        <v>2</v>
      </c>
      <c r="K1245" s="23" t="s">
        <v>107</v>
      </c>
      <c r="L1245" s="23" t="s">
        <v>16</v>
      </c>
      <c r="M1245" s="24"/>
    </row>
    <row r="1246" spans="1:13">
      <c r="A1246" s="19">
        <v>2521116</v>
      </c>
      <c r="B1246" s="20" t="s">
        <v>5421</v>
      </c>
      <c r="C1246" s="19" t="s">
        <v>5422</v>
      </c>
      <c r="D1246" s="19" t="s">
        <v>5423</v>
      </c>
      <c r="E1246" s="20" t="s">
        <v>84</v>
      </c>
      <c r="F1246" s="20" t="s">
        <v>92</v>
      </c>
      <c r="G1246" s="20" t="s">
        <v>26</v>
      </c>
      <c r="H1246" s="20" t="s">
        <v>5420</v>
      </c>
      <c r="I1246" s="20" t="s">
        <v>5424</v>
      </c>
      <c r="J1246" s="20">
        <v>2</v>
      </c>
      <c r="K1246" s="20" t="s">
        <v>107</v>
      </c>
      <c r="L1246" s="20" t="s">
        <v>16</v>
      </c>
      <c r="M1246" s="21"/>
    </row>
    <row r="1247" spans="1:13">
      <c r="A1247" s="22">
        <v>2521120</v>
      </c>
      <c r="B1247" s="23" t="s">
        <v>5417</v>
      </c>
      <c r="C1247" s="22" t="s">
        <v>5418</v>
      </c>
      <c r="D1247" s="22" t="s">
        <v>5419</v>
      </c>
      <c r="E1247" s="23" t="s">
        <v>84</v>
      </c>
      <c r="F1247" s="23" t="s">
        <v>92</v>
      </c>
      <c r="G1247" s="23" t="s">
        <v>26</v>
      </c>
      <c r="H1247" s="23" t="s">
        <v>5420</v>
      </c>
      <c r="I1247" s="23" t="s">
        <v>3798</v>
      </c>
      <c r="J1247" s="20">
        <v>2</v>
      </c>
      <c r="K1247" s="23" t="s">
        <v>107</v>
      </c>
      <c r="L1247" s="23" t="s">
        <v>16</v>
      </c>
      <c r="M1247" s="24"/>
    </row>
    <row r="1248" spans="1:13">
      <c r="A1248" s="19">
        <v>2524522</v>
      </c>
      <c r="B1248" s="20" t="s">
        <v>5425</v>
      </c>
      <c r="C1248" s="19" t="s">
        <v>5426</v>
      </c>
      <c r="D1248" s="19" t="s">
        <v>5427</v>
      </c>
      <c r="E1248" s="20" t="s">
        <v>84</v>
      </c>
      <c r="F1248" s="20" t="s">
        <v>92</v>
      </c>
      <c r="G1248" s="20" t="s">
        <v>26</v>
      </c>
      <c r="H1248" s="20" t="s">
        <v>5420</v>
      </c>
      <c r="I1248" s="20" t="s">
        <v>5428</v>
      </c>
      <c r="J1248" s="23">
        <v>3</v>
      </c>
      <c r="K1248" s="20" t="s">
        <v>107</v>
      </c>
      <c r="L1248" s="20" t="s">
        <v>16</v>
      </c>
      <c r="M1248" s="21"/>
    </row>
    <row r="1249" spans="1:13">
      <c r="A1249" s="19">
        <v>2524522</v>
      </c>
      <c r="B1249" s="20" t="s">
        <v>5425</v>
      </c>
      <c r="C1249" s="19" t="s">
        <v>5426</v>
      </c>
      <c r="D1249" s="19" t="s">
        <v>5427</v>
      </c>
      <c r="E1249" s="20" t="s">
        <v>84</v>
      </c>
      <c r="F1249" s="20" t="s">
        <v>92</v>
      </c>
      <c r="G1249" s="20" t="s">
        <v>26</v>
      </c>
      <c r="H1249" s="20" t="s">
        <v>5420</v>
      </c>
      <c r="I1249" s="20" t="s">
        <v>5428</v>
      </c>
      <c r="J1249" s="23">
        <v>3</v>
      </c>
      <c r="K1249" s="20" t="s">
        <v>107</v>
      </c>
      <c r="L1249" s="20" t="s">
        <v>16</v>
      </c>
      <c r="M1249" s="21"/>
    </row>
    <row r="1250" spans="1:13">
      <c r="A1250" s="22">
        <v>2532982</v>
      </c>
      <c r="B1250" s="23" t="s">
        <v>5429</v>
      </c>
      <c r="C1250" s="22" t="s">
        <v>5430</v>
      </c>
      <c r="D1250" s="22" t="s">
        <v>5431</v>
      </c>
      <c r="E1250" s="23" t="s">
        <v>84</v>
      </c>
      <c r="F1250" s="23" t="s">
        <v>112</v>
      </c>
      <c r="G1250" s="23" t="s">
        <v>26</v>
      </c>
      <c r="H1250" s="23" t="s">
        <v>5420</v>
      </c>
      <c r="I1250" s="23" t="s">
        <v>3798</v>
      </c>
      <c r="J1250" s="23">
        <v>3</v>
      </c>
      <c r="K1250" s="23" t="s">
        <v>19</v>
      </c>
      <c r="L1250" s="23" t="s">
        <v>18</v>
      </c>
      <c r="M1250" s="24"/>
    </row>
    <row r="1251" spans="1:13">
      <c r="A1251" s="22">
        <v>2524644</v>
      </c>
      <c r="B1251" s="23" t="s">
        <v>5432</v>
      </c>
      <c r="C1251" s="22" t="s">
        <v>5433</v>
      </c>
      <c r="D1251" s="22" t="s">
        <v>5385</v>
      </c>
      <c r="E1251" s="23" t="s">
        <v>415</v>
      </c>
      <c r="F1251" s="23" t="s">
        <v>92</v>
      </c>
      <c r="G1251" s="23" t="s">
        <v>26</v>
      </c>
      <c r="H1251" s="23" t="s">
        <v>5434</v>
      </c>
      <c r="I1251" s="23" t="s">
        <v>5435</v>
      </c>
      <c r="J1251" s="23">
        <v>3</v>
      </c>
      <c r="K1251" s="23" t="s">
        <v>107</v>
      </c>
      <c r="L1251" s="23" t="s">
        <v>16</v>
      </c>
      <c r="M1251" s="24"/>
    </row>
    <row r="1252" spans="1:13">
      <c r="A1252" s="19">
        <v>2531834</v>
      </c>
      <c r="B1252" s="20" t="s">
        <v>5436</v>
      </c>
      <c r="C1252" s="19" t="s">
        <v>5437</v>
      </c>
      <c r="D1252" s="19" t="s">
        <v>5438</v>
      </c>
      <c r="E1252" s="20" t="s">
        <v>84</v>
      </c>
      <c r="F1252" s="20" t="s">
        <v>92</v>
      </c>
      <c r="G1252" s="20" t="s">
        <v>26</v>
      </c>
      <c r="H1252" s="20" t="s">
        <v>5439</v>
      </c>
      <c r="I1252" s="20" t="s">
        <v>5440</v>
      </c>
      <c r="J1252" s="23">
        <v>1</v>
      </c>
      <c r="K1252" s="20" t="s">
        <v>107</v>
      </c>
      <c r="L1252" s="20" t="s">
        <v>16</v>
      </c>
      <c r="M1252" s="21"/>
    </row>
    <row r="1253" spans="1:13">
      <c r="A1253" s="19">
        <v>2532977</v>
      </c>
      <c r="B1253" s="20" t="s">
        <v>5441</v>
      </c>
      <c r="C1253" s="19" t="s">
        <v>5442</v>
      </c>
      <c r="D1253" s="19" t="s">
        <v>5443</v>
      </c>
      <c r="E1253" s="20" t="s">
        <v>84</v>
      </c>
      <c r="F1253" s="20" t="s">
        <v>92</v>
      </c>
      <c r="G1253" s="20" t="s">
        <v>26</v>
      </c>
      <c r="H1253" s="20" t="s">
        <v>5444</v>
      </c>
      <c r="I1253" s="20" t="s">
        <v>5445</v>
      </c>
      <c r="J1253" s="20">
        <v>4</v>
      </c>
      <c r="K1253" s="20" t="s">
        <v>19</v>
      </c>
      <c r="L1253" s="20" t="s">
        <v>16</v>
      </c>
      <c r="M1253" s="21"/>
    </row>
    <row r="1254" spans="1:13">
      <c r="A1254" s="19">
        <v>2525149</v>
      </c>
      <c r="B1254" s="20" t="s">
        <v>5446</v>
      </c>
      <c r="C1254" s="19" t="s">
        <v>5447</v>
      </c>
      <c r="D1254" s="19" t="s">
        <v>5448</v>
      </c>
      <c r="E1254" s="20" t="s">
        <v>84</v>
      </c>
      <c r="F1254" s="20" t="s">
        <v>92</v>
      </c>
      <c r="G1254" s="20" t="s">
        <v>26</v>
      </c>
      <c r="H1254" s="20" t="s">
        <v>5449</v>
      </c>
      <c r="I1254" s="20" t="s">
        <v>5450</v>
      </c>
      <c r="J1254" s="34" t="s">
        <v>34</v>
      </c>
      <c r="K1254" s="20" t="s">
        <v>19</v>
      </c>
      <c r="L1254" s="20" t="s">
        <v>16</v>
      </c>
      <c r="M1254" s="21"/>
    </row>
    <row r="1255" spans="1:13">
      <c r="A1255" s="19">
        <v>2525148</v>
      </c>
      <c r="B1255" s="20" t="s">
        <v>5451</v>
      </c>
      <c r="C1255" s="19" t="s">
        <v>5452</v>
      </c>
      <c r="D1255" s="19" t="s">
        <v>5453</v>
      </c>
      <c r="E1255" s="20" t="s">
        <v>84</v>
      </c>
      <c r="F1255" s="20" t="s">
        <v>92</v>
      </c>
      <c r="G1255" s="20" t="s">
        <v>26</v>
      </c>
      <c r="H1255" s="20" t="s">
        <v>5454</v>
      </c>
      <c r="I1255" s="20" t="s">
        <v>5455</v>
      </c>
      <c r="J1255" s="34" t="s">
        <v>34</v>
      </c>
      <c r="K1255" s="20" t="s">
        <v>19</v>
      </c>
      <c r="L1255" s="20" t="s">
        <v>16</v>
      </c>
      <c r="M1255" s="21"/>
    </row>
    <row r="1256" spans="1:13">
      <c r="A1256" s="19">
        <v>2521733</v>
      </c>
      <c r="B1256" s="20" t="s">
        <v>5456</v>
      </c>
      <c r="C1256" s="19" t="s">
        <v>5457</v>
      </c>
      <c r="D1256" s="19" t="s">
        <v>5458</v>
      </c>
      <c r="E1256" s="20" t="s">
        <v>84</v>
      </c>
      <c r="F1256" s="20" t="s">
        <v>92</v>
      </c>
      <c r="G1256" s="20" t="s">
        <v>26</v>
      </c>
      <c r="H1256" s="20" t="s">
        <v>5459</v>
      </c>
      <c r="I1256" s="20" t="s">
        <v>5460</v>
      </c>
      <c r="J1256" s="23">
        <v>1</v>
      </c>
      <c r="K1256" s="20" t="s">
        <v>19</v>
      </c>
      <c r="L1256" s="20" t="s">
        <v>16</v>
      </c>
      <c r="M1256" s="21" t="s">
        <v>864</v>
      </c>
    </row>
    <row r="1257" spans="1:13">
      <c r="A1257" s="22">
        <v>2521803</v>
      </c>
      <c r="B1257" s="23" t="s">
        <v>5461</v>
      </c>
      <c r="C1257" s="22" t="s">
        <v>5462</v>
      </c>
      <c r="D1257" s="22" t="s">
        <v>5463</v>
      </c>
      <c r="E1257" s="23" t="s">
        <v>127</v>
      </c>
      <c r="F1257" s="23" t="s">
        <v>172</v>
      </c>
      <c r="G1257" s="23" t="s">
        <v>26</v>
      </c>
      <c r="H1257" s="23" t="s">
        <v>5464</v>
      </c>
      <c r="I1257" s="23" t="s">
        <v>5465</v>
      </c>
      <c r="J1257" s="23">
        <v>1</v>
      </c>
      <c r="K1257" s="23" t="s">
        <v>19</v>
      </c>
      <c r="L1257" s="23" t="s">
        <v>16</v>
      </c>
      <c r="M1257" s="24"/>
    </row>
    <row r="1258" spans="1:13">
      <c r="A1258" s="19">
        <v>2521764</v>
      </c>
      <c r="B1258" s="20" t="s">
        <v>5466</v>
      </c>
      <c r="C1258" s="19" t="s">
        <v>5467</v>
      </c>
      <c r="D1258" s="19" t="s">
        <v>5468</v>
      </c>
      <c r="E1258" s="20" t="s">
        <v>84</v>
      </c>
      <c r="F1258" s="20" t="s">
        <v>92</v>
      </c>
      <c r="G1258" s="20" t="s">
        <v>26</v>
      </c>
      <c r="H1258" s="20" t="s">
        <v>5469</v>
      </c>
      <c r="I1258" s="20" t="s">
        <v>5470</v>
      </c>
      <c r="J1258" s="23">
        <v>1</v>
      </c>
      <c r="K1258" s="20" t="s">
        <v>19</v>
      </c>
      <c r="L1258" s="20" t="s">
        <v>16</v>
      </c>
      <c r="M1258" s="21"/>
    </row>
    <row r="1259" spans="1:13">
      <c r="A1259" s="19">
        <v>2521748</v>
      </c>
      <c r="B1259" s="20" t="s">
        <v>5471</v>
      </c>
      <c r="C1259" s="19" t="s">
        <v>5472</v>
      </c>
      <c r="D1259" s="19" t="s">
        <v>5473</v>
      </c>
      <c r="E1259" s="20" t="s">
        <v>84</v>
      </c>
      <c r="F1259" s="20" t="s">
        <v>92</v>
      </c>
      <c r="G1259" s="20" t="s">
        <v>26</v>
      </c>
      <c r="H1259" s="20" t="s">
        <v>5474</v>
      </c>
      <c r="I1259" s="20" t="s">
        <v>5475</v>
      </c>
      <c r="J1259" s="23">
        <v>1</v>
      </c>
      <c r="K1259" s="20" t="s">
        <v>19</v>
      </c>
      <c r="L1259" s="20" t="s">
        <v>18</v>
      </c>
      <c r="M1259" s="21"/>
    </row>
    <row r="1260" spans="1:13">
      <c r="A1260" s="22">
        <v>2531796</v>
      </c>
      <c r="B1260" s="23" t="s">
        <v>5476</v>
      </c>
      <c r="C1260" s="22" t="s">
        <v>5477</v>
      </c>
      <c r="D1260" s="22" t="s">
        <v>5478</v>
      </c>
      <c r="E1260" s="23" t="s">
        <v>84</v>
      </c>
      <c r="F1260" s="23" t="s">
        <v>92</v>
      </c>
      <c r="G1260" s="23" t="s">
        <v>26</v>
      </c>
      <c r="H1260" s="23" t="s">
        <v>5479</v>
      </c>
      <c r="I1260" s="23" t="s">
        <v>5480</v>
      </c>
      <c r="J1260" s="23">
        <v>3</v>
      </c>
      <c r="K1260" s="23" t="s">
        <v>19</v>
      </c>
      <c r="L1260" s="23" t="s">
        <v>16</v>
      </c>
      <c r="M1260" s="24" t="s">
        <v>1016</v>
      </c>
    </row>
    <row r="1261" spans="1:13">
      <c r="A1261" s="22">
        <v>2531796</v>
      </c>
      <c r="B1261" s="23" t="s">
        <v>5476</v>
      </c>
      <c r="C1261" s="22" t="s">
        <v>5477</v>
      </c>
      <c r="D1261" s="22" t="s">
        <v>5478</v>
      </c>
      <c r="E1261" s="23" t="s">
        <v>84</v>
      </c>
      <c r="F1261" s="23" t="s">
        <v>92</v>
      </c>
      <c r="G1261" s="23" t="s">
        <v>26</v>
      </c>
      <c r="H1261" s="23" t="s">
        <v>5479</v>
      </c>
      <c r="I1261" s="23" t="s">
        <v>5480</v>
      </c>
      <c r="J1261" s="36">
        <v>3</v>
      </c>
      <c r="K1261" s="23" t="s">
        <v>19</v>
      </c>
      <c r="L1261" s="23" t="s">
        <v>16</v>
      </c>
      <c r="M1261" s="24" t="s">
        <v>1016</v>
      </c>
    </row>
    <row r="1262" spans="1:13">
      <c r="A1262" s="22">
        <v>2531796</v>
      </c>
      <c r="B1262" s="23" t="s">
        <v>5476</v>
      </c>
      <c r="C1262" s="22" t="s">
        <v>5477</v>
      </c>
      <c r="D1262" s="22" t="s">
        <v>5478</v>
      </c>
      <c r="E1262" s="23" t="s">
        <v>84</v>
      </c>
      <c r="F1262" s="23" t="s">
        <v>92</v>
      </c>
      <c r="G1262" s="23" t="s">
        <v>26</v>
      </c>
      <c r="H1262" s="23" t="s">
        <v>5481</v>
      </c>
      <c r="I1262" s="23" t="s">
        <v>5482</v>
      </c>
      <c r="J1262" s="23">
        <v>3</v>
      </c>
      <c r="K1262" s="23" t="s">
        <v>19</v>
      </c>
      <c r="L1262" s="23" t="s">
        <v>16</v>
      </c>
      <c r="M1262" s="24" t="s">
        <v>1016</v>
      </c>
    </row>
    <row r="1263" spans="1:13">
      <c r="A1263" s="22">
        <v>2521734</v>
      </c>
      <c r="B1263" s="23" t="s">
        <v>5483</v>
      </c>
      <c r="C1263" s="22" t="s">
        <v>5484</v>
      </c>
      <c r="D1263" s="22" t="s">
        <v>5485</v>
      </c>
      <c r="E1263" s="23" t="s">
        <v>84</v>
      </c>
      <c r="F1263" s="23" t="s">
        <v>92</v>
      </c>
      <c r="G1263" s="23" t="s">
        <v>26</v>
      </c>
      <c r="H1263" s="23" t="s">
        <v>5486</v>
      </c>
      <c r="I1263" s="23" t="s">
        <v>5487</v>
      </c>
      <c r="J1263" s="23">
        <v>1</v>
      </c>
      <c r="K1263" s="23" t="s">
        <v>19</v>
      </c>
      <c r="L1263" s="23" t="s">
        <v>16</v>
      </c>
      <c r="M1263" s="24"/>
    </row>
    <row r="1264" spans="1:13">
      <c r="A1264" s="19">
        <v>2524643</v>
      </c>
      <c r="B1264" s="20" t="s">
        <v>5488</v>
      </c>
      <c r="C1264" s="19" t="s">
        <v>5489</v>
      </c>
      <c r="D1264" s="19" t="s">
        <v>5490</v>
      </c>
      <c r="E1264" s="20" t="s">
        <v>84</v>
      </c>
      <c r="F1264" s="20" t="s">
        <v>112</v>
      </c>
      <c r="G1264" s="20" t="s">
        <v>26</v>
      </c>
      <c r="H1264" s="20" t="s">
        <v>5491</v>
      </c>
      <c r="I1264" s="20" t="s">
        <v>5492</v>
      </c>
      <c r="J1264" s="20">
        <v>2</v>
      </c>
      <c r="K1264" s="20" t="s">
        <v>19</v>
      </c>
      <c r="L1264" s="20" t="s">
        <v>16</v>
      </c>
      <c r="M1264" s="21"/>
    </row>
    <row r="1265" spans="1:13">
      <c r="A1265" s="19">
        <v>2524643</v>
      </c>
      <c r="B1265" s="20" t="s">
        <v>5488</v>
      </c>
      <c r="C1265" s="19" t="s">
        <v>5489</v>
      </c>
      <c r="D1265" s="19" t="s">
        <v>5490</v>
      </c>
      <c r="E1265" s="20" t="s">
        <v>84</v>
      </c>
      <c r="F1265" s="20" t="s">
        <v>112</v>
      </c>
      <c r="G1265" s="20" t="s">
        <v>26</v>
      </c>
      <c r="H1265" s="20" t="s">
        <v>5491</v>
      </c>
      <c r="I1265" s="20" t="s">
        <v>5493</v>
      </c>
      <c r="J1265" s="20">
        <v>2</v>
      </c>
      <c r="K1265" s="20" t="s">
        <v>19</v>
      </c>
      <c r="L1265" s="20" t="s">
        <v>16</v>
      </c>
      <c r="M1265" s="21"/>
    </row>
    <row r="1266" spans="1:13">
      <c r="A1266" s="19">
        <v>2533011</v>
      </c>
      <c r="B1266" s="20" t="s">
        <v>5494</v>
      </c>
      <c r="C1266" s="19" t="s">
        <v>5495</v>
      </c>
      <c r="D1266" s="19" t="s">
        <v>5496</v>
      </c>
      <c r="E1266" s="20" t="s">
        <v>84</v>
      </c>
      <c r="F1266" s="20" t="s">
        <v>92</v>
      </c>
      <c r="G1266" s="20" t="s">
        <v>26</v>
      </c>
      <c r="H1266" s="20" t="s">
        <v>5497</v>
      </c>
      <c r="I1266" s="20" t="s">
        <v>5498</v>
      </c>
      <c r="J1266" s="20">
        <v>2</v>
      </c>
      <c r="K1266" s="20" t="s">
        <v>19</v>
      </c>
      <c r="L1266" s="20" t="s">
        <v>16</v>
      </c>
      <c r="M1266" s="21"/>
    </row>
    <row r="1267" spans="1:13">
      <c r="A1267" s="22">
        <v>2524636</v>
      </c>
      <c r="B1267" s="23" t="s">
        <v>5499</v>
      </c>
      <c r="C1267" s="22" t="s">
        <v>5500</v>
      </c>
      <c r="D1267" s="22" t="s">
        <v>5501</v>
      </c>
      <c r="E1267" s="23" t="s">
        <v>384</v>
      </c>
      <c r="F1267" s="23" t="s">
        <v>92</v>
      </c>
      <c r="G1267" s="23" t="s">
        <v>26</v>
      </c>
      <c r="H1267" s="23" t="s">
        <v>5502</v>
      </c>
      <c r="I1267" s="23" t="s">
        <v>5503</v>
      </c>
      <c r="J1267" s="20">
        <v>5</v>
      </c>
      <c r="K1267" s="23" t="s">
        <v>19</v>
      </c>
      <c r="L1267" s="23" t="s">
        <v>16</v>
      </c>
      <c r="M1267" s="24"/>
    </row>
    <row r="1268" spans="1:13">
      <c r="A1268" s="22">
        <v>2533173</v>
      </c>
      <c r="B1268" s="23" t="s">
        <v>5504</v>
      </c>
      <c r="C1268" s="22" t="s">
        <v>5505</v>
      </c>
      <c r="D1268" s="22" t="s">
        <v>5506</v>
      </c>
      <c r="E1268" s="23" t="s">
        <v>84</v>
      </c>
      <c r="F1268" s="23" t="s">
        <v>92</v>
      </c>
      <c r="G1268" s="23" t="s">
        <v>26</v>
      </c>
      <c r="H1268" s="23" t="s">
        <v>5507</v>
      </c>
      <c r="I1268" s="23" t="s">
        <v>5508</v>
      </c>
      <c r="J1268" s="20">
        <v>2</v>
      </c>
      <c r="K1268" s="23" t="s">
        <v>19</v>
      </c>
      <c r="L1268" s="23" t="s">
        <v>16</v>
      </c>
      <c r="M1268" s="24"/>
    </row>
    <row r="1269" spans="1:13">
      <c r="A1269" s="22">
        <v>2533118</v>
      </c>
      <c r="B1269" s="23" t="s">
        <v>5509</v>
      </c>
      <c r="C1269" s="22" t="s">
        <v>5510</v>
      </c>
      <c r="D1269" s="22" t="s">
        <v>5511</v>
      </c>
      <c r="E1269" s="23" t="s">
        <v>84</v>
      </c>
      <c r="F1269" s="23" t="s">
        <v>92</v>
      </c>
      <c r="G1269" s="23" t="s">
        <v>26</v>
      </c>
      <c r="H1269" s="23" t="s">
        <v>5512</v>
      </c>
      <c r="I1269" s="23" t="s">
        <v>5512</v>
      </c>
      <c r="J1269" s="20">
        <v>2</v>
      </c>
      <c r="K1269" s="23" t="s">
        <v>19</v>
      </c>
      <c r="L1269" s="23" t="s">
        <v>16</v>
      </c>
      <c r="M1269" s="24"/>
    </row>
    <row r="1270" spans="1:13">
      <c r="A1270" s="19">
        <v>2533034</v>
      </c>
      <c r="B1270" s="20" t="s">
        <v>5513</v>
      </c>
      <c r="C1270" s="19" t="s">
        <v>5514</v>
      </c>
      <c r="D1270" s="19" t="s">
        <v>5515</v>
      </c>
      <c r="E1270" s="20" t="s">
        <v>84</v>
      </c>
      <c r="F1270" s="20" t="s">
        <v>92</v>
      </c>
      <c r="G1270" s="20" t="s">
        <v>26</v>
      </c>
      <c r="H1270" s="20" t="s">
        <v>5516</v>
      </c>
      <c r="I1270" s="20" t="s">
        <v>5517</v>
      </c>
      <c r="J1270" s="20">
        <v>2</v>
      </c>
      <c r="K1270" s="20" t="s">
        <v>19</v>
      </c>
      <c r="L1270" s="20" t="s">
        <v>16</v>
      </c>
      <c r="M1270" s="21"/>
    </row>
    <row r="1271" spans="1:13">
      <c r="A1271" s="22">
        <v>2524578</v>
      </c>
      <c r="B1271" s="23" t="s">
        <v>5518</v>
      </c>
      <c r="C1271" s="22" t="s">
        <v>5519</v>
      </c>
      <c r="D1271" s="22" t="s">
        <v>5520</v>
      </c>
      <c r="E1271" s="23" t="s">
        <v>84</v>
      </c>
      <c r="F1271" s="23" t="s">
        <v>92</v>
      </c>
      <c r="G1271" s="23" t="s">
        <v>26</v>
      </c>
      <c r="H1271" s="23" t="s">
        <v>5521</v>
      </c>
      <c r="I1271" s="23" t="s">
        <v>5522</v>
      </c>
      <c r="J1271" s="20">
        <v>5</v>
      </c>
      <c r="K1271" s="23" t="s">
        <v>107</v>
      </c>
      <c r="L1271" s="23" t="s">
        <v>16</v>
      </c>
      <c r="M1271" s="24"/>
    </row>
    <row r="1272" spans="1:13">
      <c r="A1272" s="22">
        <v>2531806</v>
      </c>
      <c r="B1272" s="23" t="s">
        <v>5523</v>
      </c>
      <c r="C1272" s="22" t="s">
        <v>5524</v>
      </c>
      <c r="D1272" s="22" t="s">
        <v>5525</v>
      </c>
      <c r="E1272" s="23" t="s">
        <v>127</v>
      </c>
      <c r="F1272" s="23" t="s">
        <v>92</v>
      </c>
      <c r="G1272" s="23" t="s">
        <v>26</v>
      </c>
      <c r="H1272" s="23" t="s">
        <v>5526</v>
      </c>
      <c r="I1272" s="23" t="s">
        <v>5527</v>
      </c>
      <c r="J1272" s="23">
        <v>3</v>
      </c>
      <c r="K1272" s="23" t="s">
        <v>19</v>
      </c>
      <c r="L1272" s="23" t="s">
        <v>16</v>
      </c>
      <c r="M1272" s="24"/>
    </row>
    <row r="1273" spans="1:13">
      <c r="A1273" s="22">
        <v>2537196</v>
      </c>
      <c r="B1273" s="23" t="s">
        <v>5476</v>
      </c>
      <c r="C1273" s="22" t="s">
        <v>5477</v>
      </c>
      <c r="D1273" s="22" t="s">
        <v>5528</v>
      </c>
      <c r="E1273" s="23" t="s">
        <v>84</v>
      </c>
      <c r="F1273" s="23" t="s">
        <v>92</v>
      </c>
      <c r="G1273" s="23" t="s">
        <v>26</v>
      </c>
      <c r="H1273" s="23" t="s">
        <v>5529</v>
      </c>
      <c r="I1273" s="23" t="s">
        <v>5530</v>
      </c>
      <c r="J1273" s="23">
        <v>3</v>
      </c>
      <c r="K1273" s="23" t="s">
        <v>19</v>
      </c>
      <c r="L1273" s="23" t="s">
        <v>16</v>
      </c>
      <c r="M1273" s="24" t="s">
        <v>1016</v>
      </c>
    </row>
    <row r="1274" spans="1:13">
      <c r="A1274" s="22">
        <v>2531997</v>
      </c>
      <c r="B1274" s="23" t="s">
        <v>5531</v>
      </c>
      <c r="C1274" s="22" t="s">
        <v>5532</v>
      </c>
      <c r="D1274" s="22" t="s">
        <v>5533</v>
      </c>
      <c r="E1274" s="23" t="s">
        <v>84</v>
      </c>
      <c r="F1274" s="23" t="s">
        <v>92</v>
      </c>
      <c r="G1274" s="23" t="s">
        <v>26</v>
      </c>
      <c r="H1274" s="23" t="s">
        <v>5534</v>
      </c>
      <c r="I1274" s="23" t="s">
        <v>5535</v>
      </c>
      <c r="J1274" s="20">
        <v>4</v>
      </c>
      <c r="K1274" s="23" t="s">
        <v>19</v>
      </c>
      <c r="L1274" s="23" t="s">
        <v>18</v>
      </c>
      <c r="M1274" s="24"/>
    </row>
    <row r="1275" spans="1:13">
      <c r="A1275" s="19">
        <v>2532919</v>
      </c>
      <c r="B1275" s="20" t="s">
        <v>5398</v>
      </c>
      <c r="C1275" s="19" t="s">
        <v>5399</v>
      </c>
      <c r="D1275" s="19" t="s">
        <v>5400</v>
      </c>
      <c r="E1275" s="20" t="s">
        <v>84</v>
      </c>
      <c r="F1275" s="20" t="s">
        <v>92</v>
      </c>
      <c r="G1275" s="20" t="s">
        <v>26</v>
      </c>
      <c r="H1275" s="20" t="s">
        <v>5536</v>
      </c>
      <c r="I1275" s="20" t="s">
        <v>5537</v>
      </c>
      <c r="J1275" s="23">
        <v>3</v>
      </c>
      <c r="K1275" s="20" t="s">
        <v>107</v>
      </c>
      <c r="L1275" s="20" t="s">
        <v>16</v>
      </c>
      <c r="M1275" s="21"/>
    </row>
    <row r="1276" spans="1:13">
      <c r="A1276" s="22">
        <v>2524499</v>
      </c>
      <c r="B1276" s="23" t="s">
        <v>5538</v>
      </c>
      <c r="C1276" s="22" t="s">
        <v>5539</v>
      </c>
      <c r="D1276" s="22" t="s">
        <v>5540</v>
      </c>
      <c r="E1276" s="23" t="s">
        <v>415</v>
      </c>
      <c r="F1276" s="23" t="s">
        <v>92</v>
      </c>
      <c r="G1276" s="23" t="s">
        <v>26</v>
      </c>
      <c r="H1276" s="23" t="s">
        <v>5541</v>
      </c>
      <c r="I1276" s="23" t="s">
        <v>5542</v>
      </c>
      <c r="J1276" s="23">
        <v>3</v>
      </c>
      <c r="K1276" s="23" t="s">
        <v>19</v>
      </c>
      <c r="L1276" s="23" t="s">
        <v>16</v>
      </c>
      <c r="M1276" s="24" t="s">
        <v>935</v>
      </c>
    </row>
    <row r="1277" spans="1:13">
      <c r="A1277" s="22">
        <v>2533139</v>
      </c>
      <c r="B1277" s="23" t="s">
        <v>5543</v>
      </c>
      <c r="C1277" s="22" t="s">
        <v>5544</v>
      </c>
      <c r="D1277" s="22" t="s">
        <v>5545</v>
      </c>
      <c r="E1277" s="23" t="s">
        <v>178</v>
      </c>
      <c r="F1277" s="23" t="s">
        <v>112</v>
      </c>
      <c r="G1277" s="23" t="s">
        <v>26</v>
      </c>
      <c r="H1277" s="23" t="s">
        <v>5546</v>
      </c>
      <c r="I1277" s="23" t="s">
        <v>5547</v>
      </c>
      <c r="J1277" s="23">
        <v>1</v>
      </c>
      <c r="K1277" s="23" t="s">
        <v>19</v>
      </c>
      <c r="L1277" s="23" t="s">
        <v>18</v>
      </c>
      <c r="M1277" s="24" t="s">
        <v>2032</v>
      </c>
    </row>
    <row r="1278" spans="1:13">
      <c r="A1278" s="22">
        <v>2524472</v>
      </c>
      <c r="B1278" s="23" t="s">
        <v>5548</v>
      </c>
      <c r="C1278" s="22" t="s">
        <v>5549</v>
      </c>
      <c r="D1278" s="22" t="s">
        <v>5550</v>
      </c>
      <c r="E1278" s="23" t="s">
        <v>84</v>
      </c>
      <c r="F1278" s="23" t="s">
        <v>92</v>
      </c>
      <c r="G1278" s="23" t="s">
        <v>26</v>
      </c>
      <c r="H1278" s="23" t="s">
        <v>5551</v>
      </c>
      <c r="I1278" s="23" t="s">
        <v>3798</v>
      </c>
      <c r="J1278" s="23">
        <v>1</v>
      </c>
      <c r="K1278" s="23" t="s">
        <v>19</v>
      </c>
      <c r="L1278" s="23" t="s">
        <v>18</v>
      </c>
      <c r="M1278" s="24" t="s">
        <v>5195</v>
      </c>
    </row>
    <row r="1279" spans="1:13">
      <c r="A1279" s="22">
        <v>2531849</v>
      </c>
      <c r="B1279" s="23" t="s">
        <v>5552</v>
      </c>
      <c r="C1279" s="22" t="s">
        <v>5553</v>
      </c>
      <c r="D1279" s="22" t="s">
        <v>5554</v>
      </c>
      <c r="E1279" s="23" t="s">
        <v>127</v>
      </c>
      <c r="F1279" s="23" t="s">
        <v>92</v>
      </c>
      <c r="G1279" s="23" t="s">
        <v>26</v>
      </c>
      <c r="H1279" s="23" t="s">
        <v>5551</v>
      </c>
      <c r="I1279" s="23" t="s">
        <v>3798</v>
      </c>
      <c r="J1279" s="23">
        <v>1</v>
      </c>
      <c r="K1279" s="23" t="s">
        <v>19</v>
      </c>
      <c r="L1279" s="23" t="s">
        <v>16</v>
      </c>
      <c r="M1279" s="24"/>
    </row>
    <row r="1280" spans="1:13">
      <c r="A1280" s="22">
        <v>2523452</v>
      </c>
      <c r="B1280" s="23" t="s">
        <v>5555</v>
      </c>
      <c r="C1280" s="22" t="s">
        <v>5556</v>
      </c>
      <c r="D1280" s="22" t="s">
        <v>5557</v>
      </c>
      <c r="E1280" s="23" t="s">
        <v>127</v>
      </c>
      <c r="F1280" s="23" t="s">
        <v>92</v>
      </c>
      <c r="G1280" s="23" t="s">
        <v>26</v>
      </c>
      <c r="H1280" s="23" t="s">
        <v>5558</v>
      </c>
      <c r="I1280" s="23" t="s">
        <v>5559</v>
      </c>
      <c r="J1280" s="23">
        <v>1</v>
      </c>
      <c r="K1280" s="23" t="s">
        <v>107</v>
      </c>
      <c r="L1280" s="23" t="s">
        <v>16</v>
      </c>
      <c r="M1280" s="24"/>
    </row>
    <row r="1281" spans="1:13">
      <c r="A1281" s="22">
        <v>2531831</v>
      </c>
      <c r="B1281" s="23" t="s">
        <v>5560</v>
      </c>
      <c r="C1281" s="22" t="s">
        <v>5561</v>
      </c>
      <c r="D1281" s="22" t="s">
        <v>5562</v>
      </c>
      <c r="E1281" s="23" t="s">
        <v>84</v>
      </c>
      <c r="F1281" s="23" t="s">
        <v>92</v>
      </c>
      <c r="G1281" s="23" t="s">
        <v>26</v>
      </c>
      <c r="H1281" s="23" t="s">
        <v>5558</v>
      </c>
      <c r="I1281" s="23" t="s">
        <v>5563</v>
      </c>
      <c r="J1281" s="23">
        <v>1</v>
      </c>
      <c r="K1281" s="23" t="s">
        <v>19</v>
      </c>
      <c r="L1281" s="23" t="s">
        <v>16</v>
      </c>
      <c r="M1281" s="24" t="s">
        <v>49</v>
      </c>
    </row>
    <row r="1282" spans="1:13">
      <c r="A1282" s="22">
        <v>2533596</v>
      </c>
      <c r="B1282" s="23" t="s">
        <v>5564</v>
      </c>
      <c r="C1282" s="22" t="s">
        <v>5565</v>
      </c>
      <c r="D1282" s="22" t="s">
        <v>5566</v>
      </c>
      <c r="E1282" s="23" t="s">
        <v>415</v>
      </c>
      <c r="F1282" s="23" t="s">
        <v>92</v>
      </c>
      <c r="G1282" s="23" t="s">
        <v>26</v>
      </c>
      <c r="H1282" s="23" t="s">
        <v>5558</v>
      </c>
      <c r="I1282" s="23" t="s">
        <v>5567</v>
      </c>
      <c r="J1282" s="20">
        <v>2</v>
      </c>
      <c r="K1282" s="23" t="s">
        <v>19</v>
      </c>
      <c r="L1282" s="23" t="s">
        <v>18</v>
      </c>
      <c r="M1282" s="24"/>
    </row>
    <row r="1283" spans="1:13">
      <c r="A1283" s="19">
        <v>2523388</v>
      </c>
      <c r="B1283" s="20" t="s">
        <v>5568</v>
      </c>
      <c r="C1283" s="19" t="s">
        <v>5569</v>
      </c>
      <c r="D1283" s="19" t="s">
        <v>5570</v>
      </c>
      <c r="E1283" s="20" t="s">
        <v>84</v>
      </c>
      <c r="F1283" s="20" t="s">
        <v>92</v>
      </c>
      <c r="G1283" s="20" t="s">
        <v>26</v>
      </c>
      <c r="H1283" s="20" t="s">
        <v>5558</v>
      </c>
      <c r="I1283" s="20" t="s">
        <v>5571</v>
      </c>
      <c r="J1283" s="20">
        <v>2</v>
      </c>
      <c r="K1283" s="20" t="s">
        <v>19</v>
      </c>
      <c r="L1283" s="20" t="s">
        <v>16</v>
      </c>
      <c r="M1283" s="21"/>
    </row>
    <row r="1284" spans="1:13">
      <c r="A1284" s="19">
        <v>2520989</v>
      </c>
      <c r="B1284" s="20" t="s">
        <v>5572</v>
      </c>
      <c r="C1284" s="19" t="s">
        <v>5573</v>
      </c>
      <c r="D1284" s="19" t="s">
        <v>5574</v>
      </c>
      <c r="E1284" s="20" t="s">
        <v>84</v>
      </c>
      <c r="F1284" s="20" t="s">
        <v>92</v>
      </c>
      <c r="G1284" s="20" t="s">
        <v>26</v>
      </c>
      <c r="H1284" s="20" t="s">
        <v>5575</v>
      </c>
      <c r="I1284" s="20" t="s">
        <v>5576</v>
      </c>
      <c r="J1284" s="20">
        <v>4</v>
      </c>
      <c r="K1284" s="20" t="s">
        <v>19</v>
      </c>
      <c r="L1284" s="20" t="s">
        <v>16</v>
      </c>
      <c r="M1284" s="21"/>
    </row>
    <row r="1285" spans="1:13">
      <c r="A1285" s="22">
        <v>2531352</v>
      </c>
      <c r="B1285" s="23" t="s">
        <v>5577</v>
      </c>
      <c r="C1285" s="22" t="s">
        <v>5578</v>
      </c>
      <c r="D1285" s="22" t="s">
        <v>5579</v>
      </c>
      <c r="E1285" s="23" t="s">
        <v>127</v>
      </c>
      <c r="F1285" s="23" t="s">
        <v>92</v>
      </c>
      <c r="G1285" s="23" t="s">
        <v>26</v>
      </c>
      <c r="H1285" s="23" t="s">
        <v>5575</v>
      </c>
      <c r="I1285" s="23" t="s">
        <v>5580</v>
      </c>
      <c r="J1285" s="20">
        <v>4</v>
      </c>
      <c r="K1285" s="23" t="s">
        <v>19</v>
      </c>
      <c r="L1285" s="23" t="s">
        <v>16</v>
      </c>
      <c r="M1285" s="24"/>
    </row>
    <row r="1286" spans="1:13">
      <c r="A1286" s="22">
        <v>2530220</v>
      </c>
      <c r="B1286" s="23" t="s">
        <v>5581</v>
      </c>
      <c r="C1286" s="22" t="s">
        <v>5582</v>
      </c>
      <c r="D1286" s="22" t="s">
        <v>5583</v>
      </c>
      <c r="E1286" s="23" t="s">
        <v>84</v>
      </c>
      <c r="F1286" s="23" t="s">
        <v>92</v>
      </c>
      <c r="G1286" s="23" t="s">
        <v>26</v>
      </c>
      <c r="H1286" s="23" t="s">
        <v>5558</v>
      </c>
      <c r="I1286" s="23" t="s">
        <v>5584</v>
      </c>
      <c r="J1286" s="23">
        <v>4</v>
      </c>
      <c r="K1286" s="23" t="s">
        <v>107</v>
      </c>
      <c r="L1286" s="23" t="s">
        <v>16</v>
      </c>
      <c r="M1286" s="24"/>
    </row>
    <row r="1287" spans="1:13">
      <c r="A1287" s="22">
        <v>2520989</v>
      </c>
      <c r="B1287" s="23" t="s">
        <v>5572</v>
      </c>
      <c r="C1287" s="22" t="s">
        <v>5573</v>
      </c>
      <c r="D1287" s="22" t="s">
        <v>5574</v>
      </c>
      <c r="E1287" s="23" t="s">
        <v>84</v>
      </c>
      <c r="F1287" s="23" t="s">
        <v>92</v>
      </c>
      <c r="G1287" s="23" t="s">
        <v>26</v>
      </c>
      <c r="H1287" s="23" t="s">
        <v>5575</v>
      </c>
      <c r="I1287" s="23" t="s">
        <v>5585</v>
      </c>
      <c r="J1287" s="20">
        <v>4</v>
      </c>
      <c r="K1287" s="23" t="s">
        <v>19</v>
      </c>
      <c r="L1287" s="23" t="s">
        <v>16</v>
      </c>
      <c r="M1287" s="24"/>
    </row>
    <row r="1288" spans="1:13">
      <c r="A1288" s="22">
        <v>2524592</v>
      </c>
      <c r="B1288" s="23" t="s">
        <v>5586</v>
      </c>
      <c r="C1288" s="22" t="s">
        <v>5587</v>
      </c>
      <c r="D1288" s="22" t="s">
        <v>5588</v>
      </c>
      <c r="E1288" s="23" t="s">
        <v>84</v>
      </c>
      <c r="F1288" s="23" t="s">
        <v>92</v>
      </c>
      <c r="G1288" s="23" t="s">
        <v>26</v>
      </c>
      <c r="H1288" s="23" t="s">
        <v>5558</v>
      </c>
      <c r="I1288" s="23" t="s">
        <v>5559</v>
      </c>
      <c r="J1288" s="20">
        <v>5</v>
      </c>
      <c r="K1288" s="23" t="s">
        <v>107</v>
      </c>
      <c r="L1288" s="23" t="s">
        <v>16</v>
      </c>
      <c r="M1288" s="24"/>
    </row>
    <row r="1289" spans="1:13">
      <c r="A1289" s="22">
        <v>2531830</v>
      </c>
      <c r="B1289" s="23" t="s">
        <v>5589</v>
      </c>
      <c r="C1289" s="22" t="s">
        <v>5590</v>
      </c>
      <c r="D1289" s="22" t="s">
        <v>5591</v>
      </c>
      <c r="E1289" s="23" t="s">
        <v>84</v>
      </c>
      <c r="F1289" s="23" t="s">
        <v>92</v>
      </c>
      <c r="G1289" s="23" t="s">
        <v>26</v>
      </c>
      <c r="H1289" s="23" t="s">
        <v>5592</v>
      </c>
      <c r="I1289" s="23" t="s">
        <v>5593</v>
      </c>
      <c r="J1289" s="33">
        <v>1</v>
      </c>
      <c r="K1289" s="23" t="s">
        <v>19</v>
      </c>
      <c r="L1289" s="23" t="s">
        <v>16</v>
      </c>
      <c r="M1289" s="24"/>
    </row>
    <row r="1290" spans="1:13">
      <c r="A1290" s="19">
        <v>2525146</v>
      </c>
      <c r="B1290" s="20" t="s">
        <v>5594</v>
      </c>
      <c r="C1290" s="19" t="s">
        <v>5595</v>
      </c>
      <c r="D1290" s="19" t="s">
        <v>5596</v>
      </c>
      <c r="E1290" s="20" t="s">
        <v>84</v>
      </c>
      <c r="F1290" s="20" t="s">
        <v>92</v>
      </c>
      <c r="G1290" s="20" t="s">
        <v>26</v>
      </c>
      <c r="H1290" s="20" t="s">
        <v>5558</v>
      </c>
      <c r="I1290" s="20" t="s">
        <v>5597</v>
      </c>
      <c r="J1290" s="34" t="s">
        <v>34</v>
      </c>
      <c r="K1290" s="20" t="s">
        <v>19</v>
      </c>
      <c r="L1290" s="20" t="s">
        <v>16</v>
      </c>
      <c r="M1290" s="21"/>
    </row>
    <row r="1291" spans="1:13">
      <c r="A1291" s="19">
        <v>2524553</v>
      </c>
      <c r="B1291" s="20" t="s">
        <v>5598</v>
      </c>
      <c r="C1291" s="19" t="s">
        <v>5599</v>
      </c>
      <c r="D1291" s="19" t="s">
        <v>5600</v>
      </c>
      <c r="E1291" s="20" t="s">
        <v>219</v>
      </c>
      <c r="F1291" s="20" t="s">
        <v>92</v>
      </c>
      <c r="G1291" s="20" t="s">
        <v>26</v>
      </c>
      <c r="H1291" s="20" t="s">
        <v>5601</v>
      </c>
      <c r="I1291" s="20" t="s">
        <v>5602</v>
      </c>
      <c r="J1291" s="23">
        <v>1</v>
      </c>
      <c r="K1291" s="20" t="s">
        <v>19</v>
      </c>
      <c r="L1291" s="20" t="s">
        <v>16</v>
      </c>
      <c r="M1291" s="21"/>
    </row>
    <row r="1292" spans="1:13">
      <c r="A1292" s="22">
        <v>2533176</v>
      </c>
      <c r="B1292" s="23" t="s">
        <v>5603</v>
      </c>
      <c r="C1292" s="22" t="s">
        <v>5604</v>
      </c>
      <c r="D1292" s="22" t="s">
        <v>5605</v>
      </c>
      <c r="E1292" s="23" t="s">
        <v>84</v>
      </c>
      <c r="F1292" s="23" t="s">
        <v>92</v>
      </c>
      <c r="G1292" s="23" t="s">
        <v>26</v>
      </c>
      <c r="H1292" s="23" t="s">
        <v>5606</v>
      </c>
      <c r="I1292" s="23" t="s">
        <v>5607</v>
      </c>
      <c r="J1292" s="23">
        <v>1</v>
      </c>
      <c r="K1292" s="23" t="s">
        <v>19</v>
      </c>
      <c r="L1292" s="23" t="s">
        <v>16</v>
      </c>
      <c r="M1292" s="24"/>
    </row>
    <row r="1293" spans="1:13">
      <c r="A1293" s="22">
        <v>2531829</v>
      </c>
      <c r="B1293" s="23" t="s">
        <v>5608</v>
      </c>
      <c r="C1293" s="22" t="s">
        <v>5609</v>
      </c>
      <c r="D1293" s="22" t="s">
        <v>5610</v>
      </c>
      <c r="E1293" s="23" t="s">
        <v>127</v>
      </c>
      <c r="F1293" s="23" t="s">
        <v>92</v>
      </c>
      <c r="G1293" s="23" t="s">
        <v>26</v>
      </c>
      <c r="H1293" s="23" t="s">
        <v>5611</v>
      </c>
      <c r="I1293" s="23" t="s">
        <v>5612</v>
      </c>
      <c r="J1293" s="23">
        <v>1</v>
      </c>
      <c r="K1293" s="23" t="s">
        <v>19</v>
      </c>
      <c r="L1293" s="23" t="s">
        <v>16</v>
      </c>
      <c r="M1293" s="24" t="s">
        <v>330</v>
      </c>
    </row>
    <row r="1294" spans="1:13">
      <c r="A1294" s="19">
        <v>2529719</v>
      </c>
      <c r="B1294" s="20" t="s">
        <v>5613</v>
      </c>
      <c r="C1294" s="19" t="s">
        <v>5614</v>
      </c>
      <c r="D1294" s="19" t="s">
        <v>5615</v>
      </c>
      <c r="E1294" s="20" t="s">
        <v>127</v>
      </c>
      <c r="F1294" s="20" t="s">
        <v>92</v>
      </c>
      <c r="G1294" s="20" t="s">
        <v>26</v>
      </c>
      <c r="H1294" s="20" t="s">
        <v>5616</v>
      </c>
      <c r="I1294" s="20" t="s">
        <v>5617</v>
      </c>
      <c r="J1294" s="23">
        <v>1</v>
      </c>
      <c r="K1294" s="20" t="s">
        <v>19</v>
      </c>
      <c r="L1294" s="20" t="s">
        <v>16</v>
      </c>
      <c r="M1294" s="21"/>
    </row>
    <row r="1295" spans="1:13">
      <c r="A1295" s="22">
        <v>2532963</v>
      </c>
      <c r="B1295" s="23" t="s">
        <v>5618</v>
      </c>
      <c r="C1295" s="22" t="s">
        <v>5619</v>
      </c>
      <c r="D1295" s="22" t="s">
        <v>5620</v>
      </c>
      <c r="E1295" s="23" t="s">
        <v>127</v>
      </c>
      <c r="F1295" s="23" t="s">
        <v>92</v>
      </c>
      <c r="G1295" s="23" t="s">
        <v>26</v>
      </c>
      <c r="H1295" s="23" t="s">
        <v>5621</v>
      </c>
      <c r="I1295" s="23" t="s">
        <v>5622</v>
      </c>
      <c r="J1295" s="23">
        <v>1</v>
      </c>
      <c r="K1295" s="23" t="s">
        <v>19</v>
      </c>
      <c r="L1295" s="23" t="s">
        <v>16</v>
      </c>
      <c r="M1295" s="24" t="s">
        <v>16</v>
      </c>
    </row>
    <row r="1296" spans="1:13">
      <c r="A1296" s="19">
        <v>2530199</v>
      </c>
      <c r="B1296" s="20" t="s">
        <v>5623</v>
      </c>
      <c r="C1296" s="19" t="s">
        <v>5624</v>
      </c>
      <c r="D1296" s="19" t="s">
        <v>5625</v>
      </c>
      <c r="E1296" s="20" t="s">
        <v>84</v>
      </c>
      <c r="F1296" s="20" t="s">
        <v>92</v>
      </c>
      <c r="G1296" s="20" t="s">
        <v>26</v>
      </c>
      <c r="H1296" s="20" t="s">
        <v>5626</v>
      </c>
      <c r="I1296" s="20" t="s">
        <v>5627</v>
      </c>
      <c r="J1296" s="20">
        <v>4</v>
      </c>
      <c r="K1296" s="20" t="s">
        <v>19</v>
      </c>
      <c r="L1296" s="20" t="s">
        <v>16</v>
      </c>
      <c r="M1296" s="21"/>
    </row>
    <row r="1297" spans="1:13">
      <c r="A1297" s="19">
        <v>2531825</v>
      </c>
      <c r="B1297" s="20" t="s">
        <v>5628</v>
      </c>
      <c r="C1297" s="19" t="s">
        <v>5629</v>
      </c>
      <c r="D1297" s="19" t="s">
        <v>5630</v>
      </c>
      <c r="E1297" s="20" t="s">
        <v>127</v>
      </c>
      <c r="F1297" s="20" t="s">
        <v>92</v>
      </c>
      <c r="G1297" s="20" t="s">
        <v>26</v>
      </c>
      <c r="H1297" s="20" t="s">
        <v>5631</v>
      </c>
      <c r="I1297" s="20" t="s">
        <v>5632</v>
      </c>
      <c r="J1297" s="23">
        <v>1</v>
      </c>
      <c r="K1297" s="20" t="s">
        <v>19</v>
      </c>
      <c r="L1297" s="20" t="s">
        <v>18</v>
      </c>
      <c r="M1297" s="21" t="s">
        <v>864</v>
      </c>
    </row>
    <row r="1298" spans="1:13">
      <c r="A1298" s="19">
        <v>2521271</v>
      </c>
      <c r="B1298" s="20" t="s">
        <v>5633</v>
      </c>
      <c r="C1298" s="19" t="s">
        <v>5634</v>
      </c>
      <c r="D1298" s="19" t="s">
        <v>5635</v>
      </c>
      <c r="E1298" s="20" t="s">
        <v>84</v>
      </c>
      <c r="F1298" s="20" t="s">
        <v>92</v>
      </c>
      <c r="G1298" s="20" t="s">
        <v>26</v>
      </c>
      <c r="H1298" s="20" t="s">
        <v>5631</v>
      </c>
      <c r="I1298" s="20" t="s">
        <v>5636</v>
      </c>
      <c r="J1298" s="23">
        <v>1</v>
      </c>
      <c r="K1298" s="20" t="s">
        <v>19</v>
      </c>
      <c r="L1298" s="20" t="s">
        <v>16</v>
      </c>
      <c r="M1298" s="21"/>
    </row>
    <row r="1299" spans="1:13">
      <c r="A1299" s="19">
        <v>2532934</v>
      </c>
      <c r="B1299" s="20" t="s">
        <v>5637</v>
      </c>
      <c r="C1299" s="19" t="s">
        <v>5638</v>
      </c>
      <c r="D1299" s="19" t="s">
        <v>5639</v>
      </c>
      <c r="E1299" s="20" t="s">
        <v>84</v>
      </c>
      <c r="F1299" s="20" t="s">
        <v>92</v>
      </c>
      <c r="G1299" s="20" t="s">
        <v>26</v>
      </c>
      <c r="H1299" s="20" t="s">
        <v>5640</v>
      </c>
      <c r="I1299" s="20" t="s">
        <v>5641</v>
      </c>
      <c r="J1299" s="23">
        <v>3</v>
      </c>
      <c r="K1299" s="20" t="s">
        <v>19</v>
      </c>
      <c r="L1299" s="20" t="s">
        <v>16</v>
      </c>
      <c r="M1299" s="21" t="s">
        <v>16</v>
      </c>
    </row>
    <row r="1300" spans="1:13">
      <c r="A1300" s="19">
        <v>2532937</v>
      </c>
      <c r="B1300" s="20" t="s">
        <v>5642</v>
      </c>
      <c r="C1300" s="19" t="s">
        <v>5643</v>
      </c>
      <c r="D1300" s="19" t="s">
        <v>5644</v>
      </c>
      <c r="E1300" s="20" t="s">
        <v>84</v>
      </c>
      <c r="F1300" s="20" t="s">
        <v>112</v>
      </c>
      <c r="G1300" s="20" t="s">
        <v>26</v>
      </c>
      <c r="H1300" s="20" t="s">
        <v>5645</v>
      </c>
      <c r="I1300" s="20" t="s">
        <v>5646</v>
      </c>
      <c r="J1300" s="23">
        <v>1</v>
      </c>
      <c r="K1300" s="20" t="s">
        <v>19</v>
      </c>
      <c r="L1300" s="20" t="s">
        <v>16</v>
      </c>
      <c r="M1300" s="21" t="s">
        <v>5647</v>
      </c>
    </row>
    <row r="1301" spans="1:13">
      <c r="A1301" s="19">
        <v>2532948</v>
      </c>
      <c r="B1301" s="20" t="s">
        <v>5648</v>
      </c>
      <c r="C1301" s="19" t="s">
        <v>5649</v>
      </c>
      <c r="D1301" s="19" t="s">
        <v>5650</v>
      </c>
      <c r="E1301" s="20" t="s">
        <v>84</v>
      </c>
      <c r="F1301" s="20" t="s">
        <v>92</v>
      </c>
      <c r="G1301" s="20" t="s">
        <v>26</v>
      </c>
      <c r="H1301" s="20" t="s">
        <v>5651</v>
      </c>
      <c r="I1301" s="20" t="s">
        <v>5652</v>
      </c>
      <c r="J1301" s="23">
        <v>3</v>
      </c>
      <c r="K1301" s="20" t="s">
        <v>19</v>
      </c>
      <c r="L1301" s="20" t="s">
        <v>16</v>
      </c>
      <c r="M1301" s="21" t="s">
        <v>16</v>
      </c>
    </row>
    <row r="1302" spans="1:13">
      <c r="A1302" s="22">
        <v>2529660</v>
      </c>
      <c r="B1302" s="23" t="s">
        <v>5653</v>
      </c>
      <c r="C1302" s="22" t="s">
        <v>5654</v>
      </c>
      <c r="D1302" s="22" t="s">
        <v>5655</v>
      </c>
      <c r="E1302" s="23" t="s">
        <v>84</v>
      </c>
      <c r="F1302" s="23" t="s">
        <v>172</v>
      </c>
      <c r="G1302" s="23" t="s">
        <v>26</v>
      </c>
      <c r="H1302" s="23" t="s">
        <v>5656</v>
      </c>
      <c r="I1302" s="23" t="s">
        <v>5657</v>
      </c>
      <c r="J1302" s="23">
        <v>1</v>
      </c>
      <c r="K1302" s="23" t="s">
        <v>19</v>
      </c>
      <c r="L1302" s="23" t="s">
        <v>16</v>
      </c>
      <c r="M1302" s="24"/>
    </row>
    <row r="1303" spans="1:13">
      <c r="A1303" s="22">
        <v>2529660</v>
      </c>
      <c r="B1303" s="23" t="s">
        <v>5653</v>
      </c>
      <c r="C1303" s="22" t="s">
        <v>5654</v>
      </c>
      <c r="D1303" s="22" t="s">
        <v>5655</v>
      </c>
      <c r="E1303" s="23" t="s">
        <v>84</v>
      </c>
      <c r="F1303" s="23" t="s">
        <v>92</v>
      </c>
      <c r="G1303" s="23" t="s">
        <v>26</v>
      </c>
      <c r="H1303" s="23" t="s">
        <v>5656</v>
      </c>
      <c r="I1303" s="23" t="s">
        <v>5658</v>
      </c>
      <c r="J1303" s="23">
        <v>1</v>
      </c>
      <c r="K1303" s="23" t="s">
        <v>19</v>
      </c>
      <c r="L1303" s="23" t="s">
        <v>16</v>
      </c>
      <c r="M1303" s="24"/>
    </row>
    <row r="1304" spans="1:13">
      <c r="A1304" s="19">
        <v>2529660</v>
      </c>
      <c r="B1304" s="20" t="s">
        <v>5653</v>
      </c>
      <c r="C1304" s="19" t="s">
        <v>5654</v>
      </c>
      <c r="D1304" s="19" t="s">
        <v>5655</v>
      </c>
      <c r="E1304" s="20" t="s">
        <v>84</v>
      </c>
      <c r="F1304" s="20" t="s">
        <v>92</v>
      </c>
      <c r="G1304" s="20" t="s">
        <v>26</v>
      </c>
      <c r="H1304" s="20" t="s">
        <v>5656</v>
      </c>
      <c r="I1304" s="20" t="s">
        <v>5659</v>
      </c>
      <c r="J1304" s="33">
        <v>1</v>
      </c>
      <c r="K1304" s="20" t="s">
        <v>19</v>
      </c>
      <c r="L1304" s="20" t="s">
        <v>16</v>
      </c>
      <c r="M1304" s="21"/>
    </row>
    <row r="1305" spans="1:13">
      <c r="A1305" s="22">
        <v>2523450</v>
      </c>
      <c r="B1305" s="23" t="s">
        <v>5660</v>
      </c>
      <c r="C1305" s="22" t="s">
        <v>5661</v>
      </c>
      <c r="D1305" s="22" t="s">
        <v>5662</v>
      </c>
      <c r="E1305" s="23" t="s">
        <v>127</v>
      </c>
      <c r="F1305" s="23" t="s">
        <v>92</v>
      </c>
      <c r="G1305" s="23" t="s">
        <v>26</v>
      </c>
      <c r="H1305" s="23" t="s">
        <v>5663</v>
      </c>
      <c r="I1305" s="23" t="s">
        <v>5664</v>
      </c>
      <c r="J1305" s="23">
        <v>1</v>
      </c>
      <c r="K1305" s="23" t="s">
        <v>107</v>
      </c>
      <c r="L1305" s="23" t="s">
        <v>16</v>
      </c>
      <c r="M1305" s="24"/>
    </row>
    <row r="1306" spans="1:13">
      <c r="A1306" s="19">
        <v>2529522</v>
      </c>
      <c r="B1306" s="20" t="s">
        <v>5665</v>
      </c>
      <c r="C1306" s="19" t="s">
        <v>5666</v>
      </c>
      <c r="D1306" s="19" t="s">
        <v>5667</v>
      </c>
      <c r="E1306" s="20" t="s">
        <v>84</v>
      </c>
      <c r="F1306" s="20" t="s">
        <v>92</v>
      </c>
      <c r="G1306" s="20" t="s">
        <v>26</v>
      </c>
      <c r="H1306" s="20" t="s">
        <v>5663</v>
      </c>
      <c r="I1306" s="20" t="s">
        <v>5668</v>
      </c>
      <c r="J1306" s="23">
        <v>3</v>
      </c>
      <c r="K1306" s="20" t="s">
        <v>107</v>
      </c>
      <c r="L1306" s="20" t="s">
        <v>16</v>
      </c>
      <c r="M1306" s="21" t="s">
        <v>455</v>
      </c>
    </row>
    <row r="1307" spans="1:13">
      <c r="A1307" s="22">
        <v>2524578</v>
      </c>
      <c r="B1307" s="23" t="s">
        <v>5518</v>
      </c>
      <c r="C1307" s="22" t="s">
        <v>5519</v>
      </c>
      <c r="D1307" s="22" t="s">
        <v>5520</v>
      </c>
      <c r="E1307" s="23" t="s">
        <v>84</v>
      </c>
      <c r="F1307" s="23" t="s">
        <v>92</v>
      </c>
      <c r="G1307" s="23" t="s">
        <v>26</v>
      </c>
      <c r="H1307" s="23" t="s">
        <v>5663</v>
      </c>
      <c r="I1307" s="23" t="s">
        <v>5669</v>
      </c>
      <c r="J1307" s="20">
        <v>5</v>
      </c>
      <c r="K1307" s="23" t="s">
        <v>107</v>
      </c>
      <c r="L1307" s="23" t="s">
        <v>16</v>
      </c>
      <c r="M1307" s="24"/>
    </row>
    <row r="1308" spans="1:13">
      <c r="A1308" s="22">
        <v>2524568</v>
      </c>
      <c r="B1308" s="23" t="s">
        <v>5670</v>
      </c>
      <c r="C1308" s="22" t="s">
        <v>5671</v>
      </c>
      <c r="D1308" s="22" t="s">
        <v>5672</v>
      </c>
      <c r="E1308" s="23" t="s">
        <v>84</v>
      </c>
      <c r="F1308" s="23" t="s">
        <v>92</v>
      </c>
      <c r="G1308" s="23" t="s">
        <v>26</v>
      </c>
      <c r="H1308" s="23" t="s">
        <v>5673</v>
      </c>
      <c r="I1308" s="23" t="s">
        <v>5674</v>
      </c>
      <c r="J1308" s="20">
        <v>5</v>
      </c>
      <c r="K1308" s="23" t="s">
        <v>19</v>
      </c>
      <c r="L1308" s="23" t="s">
        <v>18</v>
      </c>
      <c r="M1308" s="24" t="s">
        <v>2032</v>
      </c>
    </row>
    <row r="1309" spans="1:13">
      <c r="A1309" s="22">
        <v>2531422</v>
      </c>
      <c r="B1309" s="23" t="s">
        <v>5675</v>
      </c>
      <c r="C1309" s="22" t="s">
        <v>5676</v>
      </c>
      <c r="D1309" s="22" t="s">
        <v>5677</v>
      </c>
      <c r="E1309" s="23" t="s">
        <v>84</v>
      </c>
      <c r="F1309" s="23" t="s">
        <v>92</v>
      </c>
      <c r="G1309" s="23" t="s">
        <v>26</v>
      </c>
      <c r="H1309" s="23" t="s">
        <v>5678</v>
      </c>
      <c r="I1309" s="23" t="s">
        <v>5679</v>
      </c>
      <c r="J1309" s="20">
        <v>4</v>
      </c>
      <c r="K1309" s="23" t="s">
        <v>19</v>
      </c>
      <c r="L1309" s="23" t="s">
        <v>16</v>
      </c>
      <c r="M1309" s="24"/>
    </row>
    <row r="1310" spans="1:13">
      <c r="A1310" s="19">
        <v>2531989</v>
      </c>
      <c r="B1310" s="20" t="s">
        <v>5680</v>
      </c>
      <c r="C1310" s="19" t="s">
        <v>5681</v>
      </c>
      <c r="D1310" s="19" t="s">
        <v>5682</v>
      </c>
      <c r="E1310" s="20" t="s">
        <v>84</v>
      </c>
      <c r="F1310" s="20" t="s">
        <v>92</v>
      </c>
      <c r="G1310" s="20" t="s">
        <v>26</v>
      </c>
      <c r="H1310" s="20" t="s">
        <v>5683</v>
      </c>
      <c r="I1310" s="20" t="s">
        <v>5684</v>
      </c>
      <c r="J1310" s="20">
        <v>2</v>
      </c>
      <c r="K1310" s="20" t="s">
        <v>19</v>
      </c>
      <c r="L1310" s="20" t="s">
        <v>16</v>
      </c>
      <c r="M1310" s="21"/>
    </row>
    <row r="1311" spans="1:13">
      <c r="A1311" s="22">
        <v>2532000</v>
      </c>
      <c r="B1311" s="23" t="s">
        <v>5685</v>
      </c>
      <c r="C1311" s="22" t="s">
        <v>5686</v>
      </c>
      <c r="D1311" s="22" t="s">
        <v>5687</v>
      </c>
      <c r="E1311" s="23" t="s">
        <v>127</v>
      </c>
      <c r="F1311" s="23" t="s">
        <v>92</v>
      </c>
      <c r="G1311" s="23" t="s">
        <v>26</v>
      </c>
      <c r="H1311" s="23" t="s">
        <v>5688</v>
      </c>
      <c r="I1311" s="23" t="s">
        <v>5689</v>
      </c>
      <c r="J1311" s="20">
        <v>2</v>
      </c>
      <c r="K1311" s="23" t="s">
        <v>19</v>
      </c>
      <c r="L1311" s="23" t="s">
        <v>16</v>
      </c>
      <c r="M1311" s="24"/>
    </row>
    <row r="1312" spans="1:13">
      <c r="A1312" s="22">
        <v>2533587</v>
      </c>
      <c r="B1312" s="23" t="s">
        <v>5690</v>
      </c>
      <c r="C1312" s="22" t="s">
        <v>5691</v>
      </c>
      <c r="D1312" s="22" t="s">
        <v>5692</v>
      </c>
      <c r="E1312" s="23" t="s">
        <v>84</v>
      </c>
      <c r="F1312" s="23" t="s">
        <v>112</v>
      </c>
      <c r="G1312" s="23" t="s">
        <v>26</v>
      </c>
      <c r="H1312" s="23" t="s">
        <v>5693</v>
      </c>
      <c r="I1312" s="23" t="s">
        <v>5694</v>
      </c>
      <c r="J1312" s="23">
        <v>1</v>
      </c>
      <c r="K1312" s="23" t="s">
        <v>19</v>
      </c>
      <c r="L1312" s="23" t="s">
        <v>16</v>
      </c>
      <c r="M1312" s="24"/>
    </row>
    <row r="1313" spans="1:13">
      <c r="A1313" s="22">
        <v>2524592</v>
      </c>
      <c r="B1313" s="23" t="s">
        <v>5586</v>
      </c>
      <c r="C1313" s="22" t="s">
        <v>5587</v>
      </c>
      <c r="D1313" s="22" t="s">
        <v>5588</v>
      </c>
      <c r="E1313" s="23" t="s">
        <v>84</v>
      </c>
      <c r="F1313" s="23" t="s">
        <v>92</v>
      </c>
      <c r="G1313" s="23" t="s">
        <v>26</v>
      </c>
      <c r="H1313" s="23" t="s">
        <v>5493</v>
      </c>
      <c r="I1313" s="23" t="s">
        <v>5493</v>
      </c>
      <c r="J1313" s="20">
        <v>5</v>
      </c>
      <c r="K1313" s="23" t="s">
        <v>107</v>
      </c>
      <c r="L1313" s="23" t="s">
        <v>16</v>
      </c>
      <c r="M1313" s="24"/>
    </row>
    <row r="1314" spans="1:13">
      <c r="A1314" s="19">
        <v>2524568</v>
      </c>
      <c r="B1314" s="20" t="s">
        <v>5670</v>
      </c>
      <c r="C1314" s="19" t="s">
        <v>5671</v>
      </c>
      <c r="D1314" s="19" t="s">
        <v>5672</v>
      </c>
      <c r="E1314" s="20" t="s">
        <v>84</v>
      </c>
      <c r="F1314" s="20" t="s">
        <v>92</v>
      </c>
      <c r="G1314" s="20" t="s">
        <v>26</v>
      </c>
      <c r="H1314" s="20" t="s">
        <v>5695</v>
      </c>
      <c r="I1314" s="20" t="s">
        <v>5492</v>
      </c>
      <c r="J1314" s="20">
        <v>5</v>
      </c>
      <c r="K1314" s="20" t="s">
        <v>19</v>
      </c>
      <c r="L1314" s="20" t="s">
        <v>18</v>
      </c>
      <c r="M1314" s="21" t="s">
        <v>2032</v>
      </c>
    </row>
    <row r="1315" spans="1:13">
      <c r="A1315" s="19">
        <v>2533070</v>
      </c>
      <c r="B1315" s="20" t="s">
        <v>5696</v>
      </c>
      <c r="C1315" s="19" t="s">
        <v>5697</v>
      </c>
      <c r="D1315" s="19" t="s">
        <v>5698</v>
      </c>
      <c r="E1315" s="20" t="s">
        <v>84</v>
      </c>
      <c r="F1315" s="20" t="s">
        <v>92</v>
      </c>
      <c r="G1315" s="20" t="s">
        <v>26</v>
      </c>
      <c r="H1315" s="20" t="s">
        <v>5699</v>
      </c>
      <c r="I1315" s="20" t="s">
        <v>5699</v>
      </c>
      <c r="J1315" s="20">
        <v>4</v>
      </c>
      <c r="K1315" s="20" t="s">
        <v>19</v>
      </c>
      <c r="L1315" s="20" t="s">
        <v>16</v>
      </c>
      <c r="M1315" s="21"/>
    </row>
    <row r="1316" spans="1:13">
      <c r="A1316" s="19">
        <v>2523451</v>
      </c>
      <c r="B1316" s="20" t="s">
        <v>5700</v>
      </c>
      <c r="C1316" s="19" t="s">
        <v>5701</v>
      </c>
      <c r="D1316" s="19" t="s">
        <v>5702</v>
      </c>
      <c r="E1316" s="20" t="s">
        <v>84</v>
      </c>
      <c r="F1316" s="20" t="s">
        <v>92</v>
      </c>
      <c r="G1316" s="20" t="s">
        <v>26</v>
      </c>
      <c r="H1316" s="20" t="s">
        <v>5703</v>
      </c>
      <c r="I1316" s="20" t="s">
        <v>5704</v>
      </c>
      <c r="J1316" s="23">
        <v>1</v>
      </c>
      <c r="K1316" s="20" t="s">
        <v>19</v>
      </c>
      <c r="L1316" s="20" t="s">
        <v>16</v>
      </c>
      <c r="M1316" s="21"/>
    </row>
    <row r="1317" spans="1:13">
      <c r="A1317" s="22">
        <v>2533176</v>
      </c>
      <c r="B1317" s="23" t="s">
        <v>5603</v>
      </c>
      <c r="C1317" s="22" t="s">
        <v>5604</v>
      </c>
      <c r="D1317" s="22" t="s">
        <v>5605</v>
      </c>
      <c r="E1317" s="23" t="s">
        <v>84</v>
      </c>
      <c r="F1317" s="23" t="s">
        <v>172</v>
      </c>
      <c r="G1317" s="23" t="s">
        <v>26</v>
      </c>
      <c r="H1317" s="23" t="s">
        <v>5705</v>
      </c>
      <c r="I1317" s="23" t="s">
        <v>5706</v>
      </c>
      <c r="J1317" s="23">
        <v>1</v>
      </c>
      <c r="K1317" s="23" t="s">
        <v>19</v>
      </c>
      <c r="L1317" s="23" t="s">
        <v>16</v>
      </c>
      <c r="M1317" s="24"/>
    </row>
    <row r="1318" spans="1:13">
      <c r="A1318" s="22">
        <v>2532944</v>
      </c>
      <c r="B1318" s="23" t="s">
        <v>5707</v>
      </c>
      <c r="C1318" s="22" t="s">
        <v>5708</v>
      </c>
      <c r="D1318" s="22" t="s">
        <v>5709</v>
      </c>
      <c r="E1318" s="23" t="s">
        <v>84</v>
      </c>
      <c r="F1318" s="23" t="s">
        <v>92</v>
      </c>
      <c r="G1318" s="23" t="s">
        <v>26</v>
      </c>
      <c r="H1318" s="23" t="s">
        <v>5710</v>
      </c>
      <c r="I1318" s="23" t="s">
        <v>5711</v>
      </c>
      <c r="J1318" s="20">
        <v>2</v>
      </c>
      <c r="K1318" s="23" t="s">
        <v>19</v>
      </c>
      <c r="L1318" s="23" t="s">
        <v>16</v>
      </c>
      <c r="M1318" s="24" t="s">
        <v>49</v>
      </c>
    </row>
    <row r="1319" spans="1:13">
      <c r="A1319" s="19">
        <v>2529672</v>
      </c>
      <c r="B1319" s="20" t="s">
        <v>5712</v>
      </c>
      <c r="C1319" s="19" t="s">
        <v>5713</v>
      </c>
      <c r="D1319" s="19" t="s">
        <v>5714</v>
      </c>
      <c r="E1319" s="20" t="s">
        <v>127</v>
      </c>
      <c r="F1319" s="20" t="s">
        <v>172</v>
      </c>
      <c r="G1319" s="20" t="s">
        <v>26</v>
      </c>
      <c r="H1319" s="20" t="s">
        <v>5715</v>
      </c>
      <c r="I1319" s="20" t="s">
        <v>5716</v>
      </c>
      <c r="J1319" s="23">
        <v>1</v>
      </c>
      <c r="K1319" s="20" t="s">
        <v>19</v>
      </c>
      <c r="L1319" s="20" t="s">
        <v>16</v>
      </c>
      <c r="M1319" s="21"/>
    </row>
    <row r="1320" spans="1:13">
      <c r="A1320" s="22">
        <v>2529672</v>
      </c>
      <c r="B1320" s="23" t="s">
        <v>5717</v>
      </c>
      <c r="C1320" s="22" t="s">
        <v>5713</v>
      </c>
      <c r="D1320" s="22" t="s">
        <v>5714</v>
      </c>
      <c r="E1320" s="23" t="s">
        <v>127</v>
      </c>
      <c r="F1320" s="23" t="s">
        <v>92</v>
      </c>
      <c r="G1320" s="23" t="s">
        <v>26</v>
      </c>
      <c r="H1320" s="23" t="s">
        <v>5715</v>
      </c>
      <c r="I1320" s="23" t="s">
        <v>5718</v>
      </c>
      <c r="J1320" s="23">
        <v>1</v>
      </c>
      <c r="K1320" s="23" t="s">
        <v>19</v>
      </c>
      <c r="L1320" s="23" t="s">
        <v>16</v>
      </c>
      <c r="M1320" s="24"/>
    </row>
    <row r="1321" spans="1:13">
      <c r="A1321" s="22">
        <v>2524986</v>
      </c>
      <c r="B1321" s="23" t="s">
        <v>5719</v>
      </c>
      <c r="C1321" s="22" t="s">
        <v>5720</v>
      </c>
      <c r="D1321" s="22" t="s">
        <v>5721</v>
      </c>
      <c r="E1321" s="23" t="s">
        <v>84</v>
      </c>
      <c r="F1321" s="23" t="s">
        <v>92</v>
      </c>
      <c r="G1321" s="23" t="s">
        <v>26</v>
      </c>
      <c r="H1321" s="23" t="s">
        <v>5715</v>
      </c>
      <c r="I1321" s="23" t="s">
        <v>5722</v>
      </c>
      <c r="J1321" s="36" t="s">
        <v>34</v>
      </c>
      <c r="K1321" s="23" t="s">
        <v>19</v>
      </c>
      <c r="L1321" s="23" t="s">
        <v>18</v>
      </c>
      <c r="M1321" s="24"/>
    </row>
    <row r="1322" spans="1:13">
      <c r="A1322" s="19">
        <v>2533018</v>
      </c>
      <c r="B1322" s="20" t="s">
        <v>5723</v>
      </c>
      <c r="C1322" s="19" t="s">
        <v>5724</v>
      </c>
      <c r="D1322" s="19" t="s">
        <v>5725</v>
      </c>
      <c r="E1322" s="20" t="s">
        <v>178</v>
      </c>
      <c r="F1322" s="20" t="s">
        <v>172</v>
      </c>
      <c r="G1322" s="20" t="s">
        <v>26</v>
      </c>
      <c r="H1322" s="20" t="s">
        <v>5726</v>
      </c>
      <c r="I1322" s="20" t="s">
        <v>5727</v>
      </c>
      <c r="J1322" s="20">
        <v>4</v>
      </c>
      <c r="K1322" s="20" t="s">
        <v>19</v>
      </c>
      <c r="L1322" s="20" t="s">
        <v>16</v>
      </c>
      <c r="M1322" s="21" t="s">
        <v>1016</v>
      </c>
    </row>
    <row r="1323" spans="1:13">
      <c r="A1323" s="19">
        <v>2533018</v>
      </c>
      <c r="B1323" s="20" t="s">
        <v>5723</v>
      </c>
      <c r="C1323" s="19" t="s">
        <v>5724</v>
      </c>
      <c r="D1323" s="19" t="s">
        <v>5725</v>
      </c>
      <c r="E1323" s="20" t="s">
        <v>415</v>
      </c>
      <c r="F1323" s="20" t="s">
        <v>92</v>
      </c>
      <c r="G1323" s="20" t="s">
        <v>26</v>
      </c>
      <c r="H1323" s="20" t="s">
        <v>5726</v>
      </c>
      <c r="I1323" s="20" t="s">
        <v>5728</v>
      </c>
      <c r="J1323" s="20">
        <v>4</v>
      </c>
      <c r="K1323" s="20" t="s">
        <v>19</v>
      </c>
      <c r="L1323" s="20" t="s">
        <v>16</v>
      </c>
      <c r="M1323" s="21" t="s">
        <v>16</v>
      </c>
    </row>
    <row r="1324" spans="1:13">
      <c r="A1324" s="22">
        <v>2524493</v>
      </c>
      <c r="B1324" s="23" t="s">
        <v>5729</v>
      </c>
      <c r="C1324" s="22" t="s">
        <v>5730</v>
      </c>
      <c r="D1324" s="22" t="s">
        <v>5731</v>
      </c>
      <c r="E1324" s="23" t="s">
        <v>127</v>
      </c>
      <c r="F1324" s="23" t="s">
        <v>92</v>
      </c>
      <c r="G1324" s="23" t="s">
        <v>26</v>
      </c>
      <c r="H1324" s="23" t="s">
        <v>5732</v>
      </c>
      <c r="I1324" s="23" t="s">
        <v>5733</v>
      </c>
      <c r="J1324" s="20">
        <v>5</v>
      </c>
      <c r="K1324" s="23" t="s">
        <v>19</v>
      </c>
      <c r="L1324" s="23" t="s">
        <v>16</v>
      </c>
      <c r="M1324" s="24"/>
    </row>
    <row r="1325" spans="1:13">
      <c r="A1325" s="22">
        <v>2521140</v>
      </c>
      <c r="B1325" s="23" t="s">
        <v>5734</v>
      </c>
      <c r="C1325" s="22" t="s">
        <v>5735</v>
      </c>
      <c r="D1325" s="22" t="s">
        <v>5736</v>
      </c>
      <c r="E1325" s="23" t="s">
        <v>84</v>
      </c>
      <c r="F1325" s="23" t="s">
        <v>92</v>
      </c>
      <c r="G1325" s="23" t="s">
        <v>26</v>
      </c>
      <c r="H1325" s="23" t="s">
        <v>5737</v>
      </c>
      <c r="I1325" s="23" t="s">
        <v>5738</v>
      </c>
      <c r="J1325" s="20">
        <v>2</v>
      </c>
      <c r="K1325" s="23" t="s">
        <v>107</v>
      </c>
      <c r="L1325" s="23" t="s">
        <v>16</v>
      </c>
      <c r="M1325" s="24"/>
    </row>
    <row r="1326" spans="1:13">
      <c r="A1326" s="19">
        <v>2532898</v>
      </c>
      <c r="B1326" s="20" t="s">
        <v>5739</v>
      </c>
      <c r="C1326" s="19" t="s">
        <v>5740</v>
      </c>
      <c r="D1326" s="19" t="s">
        <v>5741</v>
      </c>
      <c r="E1326" s="20" t="s">
        <v>84</v>
      </c>
      <c r="F1326" s="20" t="s">
        <v>92</v>
      </c>
      <c r="G1326" s="20" t="s">
        <v>26</v>
      </c>
      <c r="H1326" s="20" t="s">
        <v>5742</v>
      </c>
      <c r="I1326" s="20" t="s">
        <v>5743</v>
      </c>
      <c r="J1326" s="23">
        <v>3</v>
      </c>
      <c r="K1326" s="20" t="s">
        <v>19</v>
      </c>
      <c r="L1326" s="20" t="s">
        <v>16</v>
      </c>
      <c r="M1326" s="21"/>
    </row>
    <row r="1327" spans="1:13">
      <c r="A1327" s="19">
        <v>2532900</v>
      </c>
      <c r="B1327" s="20" t="s">
        <v>5744</v>
      </c>
      <c r="C1327" s="19" t="s">
        <v>5745</v>
      </c>
      <c r="D1327" s="19" t="s">
        <v>5746</v>
      </c>
      <c r="E1327" s="20" t="s">
        <v>84</v>
      </c>
      <c r="F1327" s="20" t="s">
        <v>92</v>
      </c>
      <c r="G1327" s="20" t="s">
        <v>26</v>
      </c>
      <c r="H1327" s="20" t="s">
        <v>5747</v>
      </c>
      <c r="I1327" s="20" t="s">
        <v>5748</v>
      </c>
      <c r="J1327" s="23">
        <v>1</v>
      </c>
      <c r="K1327" s="20" t="s">
        <v>19</v>
      </c>
      <c r="L1327" s="20" t="s">
        <v>16</v>
      </c>
      <c r="M1327" s="21"/>
    </row>
    <row r="1328" spans="1:13">
      <c r="A1328" s="19">
        <v>2516885</v>
      </c>
      <c r="B1328" s="20" t="s">
        <v>5749</v>
      </c>
      <c r="C1328" s="19" t="s">
        <v>5750</v>
      </c>
      <c r="D1328" s="19" t="s">
        <v>5751</v>
      </c>
      <c r="E1328" s="20" t="s">
        <v>84</v>
      </c>
      <c r="F1328" s="20" t="s">
        <v>92</v>
      </c>
      <c r="G1328" s="20" t="s">
        <v>26</v>
      </c>
      <c r="H1328" s="20" t="s">
        <v>5752</v>
      </c>
      <c r="I1328" s="20" t="s">
        <v>5753</v>
      </c>
      <c r="J1328" s="20">
        <v>2</v>
      </c>
      <c r="K1328" s="20" t="s">
        <v>107</v>
      </c>
      <c r="L1328" s="20" t="s">
        <v>16</v>
      </c>
      <c r="M1328" s="21"/>
    </row>
    <row r="1329" spans="1:13">
      <c r="A1329" s="22">
        <v>2519589</v>
      </c>
      <c r="B1329" s="23" t="s">
        <v>5754</v>
      </c>
      <c r="C1329" s="22" t="s">
        <v>5755</v>
      </c>
      <c r="D1329" s="22" t="s">
        <v>5756</v>
      </c>
      <c r="E1329" s="23" t="s">
        <v>84</v>
      </c>
      <c r="F1329" s="23" t="s">
        <v>92</v>
      </c>
      <c r="G1329" s="23" t="s">
        <v>26</v>
      </c>
      <c r="H1329" s="23" t="s">
        <v>5757</v>
      </c>
      <c r="I1329" s="23" t="s">
        <v>5758</v>
      </c>
      <c r="J1329" s="23">
        <v>1</v>
      </c>
      <c r="K1329" s="23" t="s">
        <v>107</v>
      </c>
      <c r="L1329" s="23" t="s">
        <v>16</v>
      </c>
      <c r="M1329" s="24"/>
    </row>
    <row r="1330" spans="1:13">
      <c r="A1330" s="22">
        <v>2521251</v>
      </c>
      <c r="B1330" s="23" t="s">
        <v>5759</v>
      </c>
      <c r="C1330" s="22" t="s">
        <v>5760</v>
      </c>
      <c r="D1330" s="22" t="s">
        <v>5761</v>
      </c>
      <c r="E1330" s="23" t="s">
        <v>84</v>
      </c>
      <c r="F1330" s="23" t="s">
        <v>92</v>
      </c>
      <c r="G1330" s="23" t="s">
        <v>26</v>
      </c>
      <c r="H1330" s="23" t="s">
        <v>5762</v>
      </c>
      <c r="I1330" s="23" t="s">
        <v>5763</v>
      </c>
      <c r="J1330" s="20">
        <v>2</v>
      </c>
      <c r="K1330" s="23" t="s">
        <v>107</v>
      </c>
      <c r="L1330" s="23" t="s">
        <v>16</v>
      </c>
      <c r="M1330" s="24"/>
    </row>
    <row r="1331" spans="1:13">
      <c r="A1331" s="19">
        <v>2518811</v>
      </c>
      <c r="B1331" s="20" t="s">
        <v>5764</v>
      </c>
      <c r="C1331" s="19" t="s">
        <v>5765</v>
      </c>
      <c r="D1331" s="19" t="s">
        <v>5766</v>
      </c>
      <c r="E1331" s="20" t="s">
        <v>84</v>
      </c>
      <c r="F1331" s="20" t="s">
        <v>92</v>
      </c>
      <c r="G1331" s="20" t="s">
        <v>26</v>
      </c>
      <c r="H1331" s="20" t="s">
        <v>5767</v>
      </c>
      <c r="I1331" s="20" t="s">
        <v>5768</v>
      </c>
      <c r="J1331" s="20">
        <v>4</v>
      </c>
      <c r="K1331" s="20" t="s">
        <v>19</v>
      </c>
      <c r="L1331" s="20" t="s">
        <v>18</v>
      </c>
      <c r="M1331" s="21" t="s">
        <v>49</v>
      </c>
    </row>
    <row r="1332" spans="1:13">
      <c r="A1332" s="19">
        <v>2531279</v>
      </c>
      <c r="B1332" s="20" t="s">
        <v>5769</v>
      </c>
      <c r="C1332" s="19" t="s">
        <v>5770</v>
      </c>
      <c r="D1332" s="19" t="s">
        <v>5771</v>
      </c>
      <c r="E1332" s="20" t="s">
        <v>127</v>
      </c>
      <c r="F1332" s="20" t="s">
        <v>92</v>
      </c>
      <c r="G1332" s="20" t="s">
        <v>26</v>
      </c>
      <c r="H1332" s="20" t="s">
        <v>5772</v>
      </c>
      <c r="I1332" s="20" t="s">
        <v>5773</v>
      </c>
      <c r="J1332" s="20">
        <v>2</v>
      </c>
      <c r="K1332" s="20" t="s">
        <v>107</v>
      </c>
      <c r="L1332" s="20" t="s">
        <v>18</v>
      </c>
      <c r="M1332" s="21"/>
    </row>
    <row r="1333" spans="1:13">
      <c r="A1333" s="19">
        <v>2531279</v>
      </c>
      <c r="B1333" s="20" t="s">
        <v>5769</v>
      </c>
      <c r="C1333" s="19" t="s">
        <v>5770</v>
      </c>
      <c r="D1333" s="19" t="s">
        <v>5771</v>
      </c>
      <c r="E1333" s="20" t="s">
        <v>127</v>
      </c>
      <c r="F1333" s="20" t="s">
        <v>92</v>
      </c>
      <c r="G1333" s="20" t="s">
        <v>26</v>
      </c>
      <c r="H1333" s="20" t="s">
        <v>5774</v>
      </c>
      <c r="I1333" s="20" t="s">
        <v>5773</v>
      </c>
      <c r="J1333" s="20">
        <v>2</v>
      </c>
      <c r="K1333" s="20" t="s">
        <v>107</v>
      </c>
      <c r="L1333" s="20" t="s">
        <v>18</v>
      </c>
      <c r="M1333" s="21"/>
    </row>
    <row r="1334" spans="1:13">
      <c r="A1334" s="19">
        <v>2529556</v>
      </c>
      <c r="B1334" s="20" t="s">
        <v>5775</v>
      </c>
      <c r="C1334" s="19" t="s">
        <v>5776</v>
      </c>
      <c r="D1334" s="19" t="s">
        <v>5777</v>
      </c>
      <c r="E1334" s="20" t="s">
        <v>127</v>
      </c>
      <c r="F1334" s="20" t="s">
        <v>92</v>
      </c>
      <c r="G1334" s="20" t="s">
        <v>26</v>
      </c>
      <c r="H1334" s="20" t="s">
        <v>5778</v>
      </c>
      <c r="I1334" s="20" t="s">
        <v>5779</v>
      </c>
      <c r="J1334" s="19">
        <v>2</v>
      </c>
      <c r="K1334" s="20" t="s">
        <v>19</v>
      </c>
      <c r="L1334" s="20" t="s">
        <v>16</v>
      </c>
      <c r="M1334" s="21" t="s">
        <v>631</v>
      </c>
    </row>
    <row r="1335" spans="1:13">
      <c r="A1335" s="19">
        <v>2511242</v>
      </c>
      <c r="B1335" s="20" t="s">
        <v>5780</v>
      </c>
      <c r="C1335" s="19" t="s">
        <v>5781</v>
      </c>
      <c r="D1335" s="19" t="s">
        <v>5782</v>
      </c>
      <c r="E1335" s="20" t="s">
        <v>127</v>
      </c>
      <c r="F1335" s="20" t="s">
        <v>92</v>
      </c>
      <c r="G1335" s="20" t="s">
        <v>26</v>
      </c>
      <c r="H1335" s="20" t="s">
        <v>5783</v>
      </c>
      <c r="I1335" s="20" t="s">
        <v>5784</v>
      </c>
      <c r="J1335" s="23">
        <v>1</v>
      </c>
      <c r="K1335" s="20" t="s">
        <v>107</v>
      </c>
      <c r="L1335" s="20" t="s">
        <v>16</v>
      </c>
      <c r="M1335" s="21" t="s">
        <v>2032</v>
      </c>
    </row>
    <row r="1336" spans="1:13">
      <c r="A1336" s="19">
        <v>2522848</v>
      </c>
      <c r="B1336" s="20" t="s">
        <v>5785</v>
      </c>
      <c r="C1336" s="19" t="s">
        <v>5786</v>
      </c>
      <c r="D1336" s="19" t="s">
        <v>5787</v>
      </c>
      <c r="E1336" s="20" t="s">
        <v>84</v>
      </c>
      <c r="F1336" s="20" t="s">
        <v>92</v>
      </c>
      <c r="G1336" s="20" t="s">
        <v>26</v>
      </c>
      <c r="H1336" s="20" t="s">
        <v>5788</v>
      </c>
      <c r="I1336" s="20" t="s">
        <v>5788</v>
      </c>
      <c r="J1336" s="20">
        <v>2</v>
      </c>
      <c r="K1336" s="20" t="s">
        <v>19</v>
      </c>
      <c r="L1336" s="20" t="s">
        <v>18</v>
      </c>
      <c r="M1336" s="21" t="s">
        <v>1812</v>
      </c>
    </row>
    <row r="1337" spans="1:13">
      <c r="A1337" s="19">
        <v>2512314</v>
      </c>
      <c r="B1337" s="20" t="s">
        <v>3113</v>
      </c>
      <c r="C1337" s="19" t="s">
        <v>3114</v>
      </c>
      <c r="D1337" s="19" t="s">
        <v>3115</v>
      </c>
      <c r="E1337" s="20" t="s">
        <v>84</v>
      </c>
      <c r="F1337" s="20" t="s">
        <v>92</v>
      </c>
      <c r="G1337" s="20" t="s">
        <v>26</v>
      </c>
      <c r="H1337" s="20" t="s">
        <v>3117</v>
      </c>
      <c r="I1337" s="20" t="s">
        <v>3117</v>
      </c>
      <c r="J1337" s="20">
        <v>2</v>
      </c>
      <c r="K1337" s="20" t="s">
        <v>19</v>
      </c>
      <c r="L1337" s="20" t="s">
        <v>16</v>
      </c>
      <c r="M1337" s="21"/>
    </row>
    <row r="1338" spans="1:13">
      <c r="A1338" s="19">
        <v>2507191</v>
      </c>
      <c r="B1338" s="20" t="s">
        <v>5789</v>
      </c>
      <c r="C1338" s="19" t="s">
        <v>5790</v>
      </c>
      <c r="D1338" s="19" t="s">
        <v>5791</v>
      </c>
      <c r="E1338" s="20" t="s">
        <v>127</v>
      </c>
      <c r="F1338" s="20" t="s">
        <v>85</v>
      </c>
      <c r="G1338" s="20" t="s">
        <v>26</v>
      </c>
      <c r="H1338" s="20" t="s">
        <v>5792</v>
      </c>
      <c r="I1338" s="20" t="s">
        <v>5793</v>
      </c>
      <c r="J1338" s="23">
        <v>1</v>
      </c>
      <c r="K1338" s="20" t="s">
        <v>17</v>
      </c>
      <c r="L1338" s="20" t="s">
        <v>18</v>
      </c>
      <c r="M1338" s="21"/>
    </row>
    <row r="1339" spans="1:13">
      <c r="A1339" s="19">
        <v>2516841</v>
      </c>
      <c r="B1339" s="20" t="s">
        <v>5794</v>
      </c>
      <c r="C1339" s="19" t="s">
        <v>5795</v>
      </c>
      <c r="D1339" s="19" t="s">
        <v>5796</v>
      </c>
      <c r="E1339" s="20" t="s">
        <v>127</v>
      </c>
      <c r="F1339" s="20" t="s">
        <v>92</v>
      </c>
      <c r="G1339" s="20" t="s">
        <v>26</v>
      </c>
      <c r="H1339" s="20" t="s">
        <v>19</v>
      </c>
      <c r="I1339" s="20" t="s">
        <v>5797</v>
      </c>
      <c r="J1339" s="23">
        <v>1</v>
      </c>
      <c r="K1339" s="20" t="s">
        <v>19</v>
      </c>
      <c r="L1339" s="20" t="s">
        <v>16</v>
      </c>
      <c r="M1339" s="21"/>
    </row>
    <row r="1340" spans="1:13">
      <c r="A1340" s="19">
        <v>2529500</v>
      </c>
      <c r="B1340" s="20" t="s">
        <v>5798</v>
      </c>
      <c r="C1340" s="19" t="s">
        <v>5799</v>
      </c>
      <c r="D1340" s="19" t="s">
        <v>5800</v>
      </c>
      <c r="E1340" s="20" t="s">
        <v>84</v>
      </c>
      <c r="F1340" s="20" t="s">
        <v>92</v>
      </c>
      <c r="G1340" s="20" t="s">
        <v>26</v>
      </c>
      <c r="H1340" s="20" t="s">
        <v>5801</v>
      </c>
      <c r="I1340" s="20" t="s">
        <v>5802</v>
      </c>
      <c r="J1340" s="23">
        <v>3</v>
      </c>
      <c r="K1340" s="20" t="s">
        <v>19</v>
      </c>
      <c r="L1340" s="20" t="s">
        <v>16</v>
      </c>
      <c r="M1340" s="21"/>
    </row>
    <row r="1341" spans="1:13">
      <c r="A1341" s="22">
        <v>2531842</v>
      </c>
      <c r="B1341" s="23" t="s">
        <v>5803</v>
      </c>
      <c r="C1341" s="22" t="s">
        <v>5804</v>
      </c>
      <c r="D1341" s="22" t="s">
        <v>5805</v>
      </c>
      <c r="E1341" s="23" t="s">
        <v>84</v>
      </c>
      <c r="F1341" s="23" t="s">
        <v>92</v>
      </c>
      <c r="G1341" s="23" t="s">
        <v>26</v>
      </c>
      <c r="H1341" s="23" t="s">
        <v>5806</v>
      </c>
      <c r="I1341" s="23" t="s">
        <v>5807</v>
      </c>
      <c r="J1341" s="23">
        <v>1</v>
      </c>
      <c r="K1341" s="23" t="s">
        <v>107</v>
      </c>
      <c r="L1341" s="23" t="s">
        <v>16</v>
      </c>
      <c r="M1341" s="24"/>
    </row>
    <row r="1342" spans="1:13">
      <c r="A1342" s="19">
        <v>2519628</v>
      </c>
      <c r="B1342" s="20" t="s">
        <v>5808</v>
      </c>
      <c r="C1342" s="19" t="s">
        <v>5809</v>
      </c>
      <c r="D1342" s="19" t="s">
        <v>5810</v>
      </c>
      <c r="E1342" s="20" t="s">
        <v>84</v>
      </c>
      <c r="F1342" s="20" t="s">
        <v>92</v>
      </c>
      <c r="G1342" s="20" t="s">
        <v>26</v>
      </c>
      <c r="H1342" s="20" t="s">
        <v>5811</v>
      </c>
      <c r="I1342" s="20" t="s">
        <v>1236</v>
      </c>
      <c r="J1342" s="23">
        <v>3</v>
      </c>
      <c r="K1342" s="20" t="s">
        <v>107</v>
      </c>
      <c r="L1342" s="20" t="s">
        <v>18</v>
      </c>
      <c r="M1342" s="21"/>
    </row>
    <row r="1343" spans="1:13">
      <c r="A1343" s="19">
        <v>2492921</v>
      </c>
      <c r="B1343" s="20" t="s">
        <v>5812</v>
      </c>
      <c r="C1343" s="19" t="s">
        <v>5813</v>
      </c>
      <c r="D1343" s="19" t="s">
        <v>5814</v>
      </c>
      <c r="E1343" s="20" t="s">
        <v>127</v>
      </c>
      <c r="F1343" s="20" t="s">
        <v>92</v>
      </c>
      <c r="G1343" s="20" t="s">
        <v>26</v>
      </c>
      <c r="H1343" s="20" t="s">
        <v>5815</v>
      </c>
      <c r="I1343" s="20" t="s">
        <v>5816</v>
      </c>
      <c r="J1343" s="23">
        <v>3</v>
      </c>
      <c r="K1343" s="20" t="s">
        <v>19</v>
      </c>
      <c r="L1343" s="20" t="s">
        <v>16</v>
      </c>
      <c r="M1343" s="21"/>
    </row>
    <row r="1344" spans="1:13">
      <c r="A1344" s="19">
        <v>2531812</v>
      </c>
      <c r="B1344" s="20" t="s">
        <v>5817</v>
      </c>
      <c r="C1344" s="19" t="s">
        <v>5818</v>
      </c>
      <c r="D1344" s="19" t="s">
        <v>5819</v>
      </c>
      <c r="E1344" s="20" t="s">
        <v>84</v>
      </c>
      <c r="F1344" s="20" t="s">
        <v>92</v>
      </c>
      <c r="G1344" s="20" t="s">
        <v>26</v>
      </c>
      <c r="H1344" s="20" t="s">
        <v>5815</v>
      </c>
      <c r="I1344" s="20" t="s">
        <v>5820</v>
      </c>
      <c r="J1344" s="23">
        <v>3</v>
      </c>
      <c r="K1344" s="20" t="s">
        <v>19</v>
      </c>
      <c r="L1344" s="20" t="s">
        <v>16</v>
      </c>
      <c r="M1344" s="21"/>
    </row>
    <row r="1345" spans="1:13">
      <c r="A1345" s="22">
        <v>2521031</v>
      </c>
      <c r="B1345" s="23" t="s">
        <v>5821</v>
      </c>
      <c r="C1345" s="22" t="s">
        <v>5822</v>
      </c>
      <c r="D1345" s="22" t="s">
        <v>5823</v>
      </c>
      <c r="E1345" s="23" t="s">
        <v>84</v>
      </c>
      <c r="F1345" s="23" t="s">
        <v>92</v>
      </c>
      <c r="G1345" s="23" t="s">
        <v>26</v>
      </c>
      <c r="H1345" s="23" t="s">
        <v>5824</v>
      </c>
      <c r="I1345" s="23" t="s">
        <v>1236</v>
      </c>
      <c r="J1345" s="20">
        <v>4</v>
      </c>
      <c r="K1345" s="23" t="s">
        <v>19</v>
      </c>
      <c r="L1345" s="23" t="s">
        <v>16</v>
      </c>
      <c r="M1345" s="24" t="s">
        <v>455</v>
      </c>
    </row>
    <row r="1346" spans="1:13">
      <c r="A1346" s="22">
        <v>2521061</v>
      </c>
      <c r="B1346" s="23" t="s">
        <v>5825</v>
      </c>
      <c r="C1346" s="22" t="s">
        <v>5826</v>
      </c>
      <c r="D1346" s="22" t="s">
        <v>5827</v>
      </c>
      <c r="E1346" s="23" t="s">
        <v>84</v>
      </c>
      <c r="F1346" s="23" t="s">
        <v>92</v>
      </c>
      <c r="G1346" s="23" t="s">
        <v>26</v>
      </c>
      <c r="H1346" s="23" t="s">
        <v>5828</v>
      </c>
      <c r="I1346" s="23" t="s">
        <v>5829</v>
      </c>
      <c r="J1346" s="34" t="s">
        <v>34</v>
      </c>
      <c r="K1346" s="23" t="s">
        <v>19</v>
      </c>
      <c r="L1346" s="23" t="s">
        <v>18</v>
      </c>
      <c r="M1346" s="24" t="s">
        <v>5830</v>
      </c>
    </row>
    <row r="1347" spans="1:13">
      <c r="A1347" s="19">
        <v>2521117</v>
      </c>
      <c r="B1347" s="20" t="s">
        <v>5831</v>
      </c>
      <c r="C1347" s="19" t="s">
        <v>5832</v>
      </c>
      <c r="D1347" s="19" t="s">
        <v>5833</v>
      </c>
      <c r="E1347" s="20" t="s">
        <v>127</v>
      </c>
      <c r="F1347" s="20" t="s">
        <v>92</v>
      </c>
      <c r="G1347" s="20" t="s">
        <v>26</v>
      </c>
      <c r="H1347" s="20" t="s">
        <v>5811</v>
      </c>
      <c r="I1347" s="20" t="s">
        <v>5834</v>
      </c>
      <c r="J1347" s="34" t="s">
        <v>34</v>
      </c>
      <c r="K1347" s="20" t="s">
        <v>19</v>
      </c>
      <c r="L1347" s="20" t="s">
        <v>16</v>
      </c>
      <c r="M1347" s="21"/>
    </row>
    <row r="1348" spans="1:13">
      <c r="A1348" s="19">
        <v>2531412</v>
      </c>
      <c r="B1348" s="20" t="s">
        <v>5835</v>
      </c>
      <c r="C1348" s="19" t="s">
        <v>5836</v>
      </c>
      <c r="D1348" s="19" t="s">
        <v>5837</v>
      </c>
      <c r="E1348" s="20" t="s">
        <v>84</v>
      </c>
      <c r="F1348" s="20" t="s">
        <v>112</v>
      </c>
      <c r="G1348" s="20" t="s">
        <v>26</v>
      </c>
      <c r="H1348" s="20" t="s">
        <v>5838</v>
      </c>
      <c r="I1348" s="20" t="s">
        <v>1236</v>
      </c>
      <c r="J1348" s="20">
        <v>4</v>
      </c>
      <c r="K1348" s="20" t="s">
        <v>19</v>
      </c>
      <c r="L1348" s="20" t="s">
        <v>16</v>
      </c>
      <c r="M1348" s="21" t="s">
        <v>518</v>
      </c>
    </row>
    <row r="1349" spans="1:13">
      <c r="A1349" s="19">
        <v>2521082</v>
      </c>
      <c r="B1349" s="20" t="s">
        <v>5839</v>
      </c>
      <c r="C1349" s="19" t="s">
        <v>5840</v>
      </c>
      <c r="D1349" s="19" t="s">
        <v>5841</v>
      </c>
      <c r="E1349" s="20" t="s">
        <v>84</v>
      </c>
      <c r="F1349" s="20" t="s">
        <v>92</v>
      </c>
      <c r="G1349" s="20" t="s">
        <v>26</v>
      </c>
      <c r="H1349" s="20" t="s">
        <v>5842</v>
      </c>
      <c r="I1349" s="20" t="s">
        <v>5843</v>
      </c>
      <c r="J1349" s="34" t="s">
        <v>34</v>
      </c>
      <c r="K1349" s="20" t="s">
        <v>19</v>
      </c>
      <c r="L1349" s="20" t="s">
        <v>16</v>
      </c>
      <c r="M1349" s="21"/>
    </row>
    <row r="1350" spans="1:13">
      <c r="A1350" s="19">
        <v>2521045</v>
      </c>
      <c r="B1350" s="20" t="s">
        <v>5844</v>
      </c>
      <c r="C1350" s="19" t="s">
        <v>5845</v>
      </c>
      <c r="D1350" s="19" t="s">
        <v>5846</v>
      </c>
      <c r="E1350" s="20" t="s">
        <v>84</v>
      </c>
      <c r="F1350" s="20" t="s">
        <v>92</v>
      </c>
      <c r="G1350" s="20" t="s">
        <v>26</v>
      </c>
      <c r="H1350" s="20" t="s">
        <v>5847</v>
      </c>
      <c r="I1350" s="20" t="s">
        <v>5848</v>
      </c>
      <c r="J1350" s="23">
        <v>3</v>
      </c>
      <c r="K1350" s="20" t="s">
        <v>19</v>
      </c>
      <c r="L1350" s="20" t="s">
        <v>16</v>
      </c>
      <c r="M1350" s="21" t="s">
        <v>5849</v>
      </c>
    </row>
    <row r="1351" spans="1:13">
      <c r="A1351" s="22">
        <v>2531444</v>
      </c>
      <c r="B1351" s="23" t="s">
        <v>5850</v>
      </c>
      <c r="C1351" s="22" t="s">
        <v>5851</v>
      </c>
      <c r="D1351" s="22" t="s">
        <v>5852</v>
      </c>
      <c r="E1351" s="23" t="s">
        <v>84</v>
      </c>
      <c r="F1351" s="23" t="s">
        <v>92</v>
      </c>
      <c r="G1351" s="23" t="s">
        <v>26</v>
      </c>
      <c r="H1351" s="23" t="s">
        <v>5853</v>
      </c>
      <c r="I1351" s="23" t="s">
        <v>5854</v>
      </c>
      <c r="J1351" s="23">
        <v>1</v>
      </c>
      <c r="K1351" s="23" t="s">
        <v>107</v>
      </c>
      <c r="L1351" s="23" t="s">
        <v>16</v>
      </c>
      <c r="M1351" s="24"/>
    </row>
    <row r="1352" spans="1:13">
      <c r="A1352" s="22">
        <v>2519698</v>
      </c>
      <c r="B1352" s="23" t="s">
        <v>5855</v>
      </c>
      <c r="C1352" s="22" t="s">
        <v>5856</v>
      </c>
      <c r="D1352" s="22" t="s">
        <v>5857</v>
      </c>
      <c r="E1352" s="23" t="s">
        <v>84</v>
      </c>
      <c r="F1352" s="23" t="s">
        <v>92</v>
      </c>
      <c r="G1352" s="23" t="s">
        <v>26</v>
      </c>
      <c r="H1352" s="23" t="s">
        <v>5858</v>
      </c>
      <c r="I1352" s="23" t="s">
        <v>5859</v>
      </c>
      <c r="J1352" s="23">
        <v>3</v>
      </c>
      <c r="K1352" s="23" t="s">
        <v>107</v>
      </c>
      <c r="L1352" s="23" t="s">
        <v>16</v>
      </c>
      <c r="M1352" s="24"/>
    </row>
    <row r="1353" spans="1:13">
      <c r="A1353" s="19">
        <v>2519698</v>
      </c>
      <c r="B1353" s="20" t="s">
        <v>5855</v>
      </c>
      <c r="C1353" s="19" t="s">
        <v>5856</v>
      </c>
      <c r="D1353" s="19" t="s">
        <v>5857</v>
      </c>
      <c r="E1353" s="20" t="s">
        <v>84</v>
      </c>
      <c r="F1353" s="20" t="s">
        <v>92</v>
      </c>
      <c r="G1353" s="20" t="s">
        <v>26</v>
      </c>
      <c r="H1353" s="20" t="s">
        <v>5858</v>
      </c>
      <c r="I1353" s="20" t="s">
        <v>5859</v>
      </c>
      <c r="J1353" s="23">
        <v>3</v>
      </c>
      <c r="K1353" s="20" t="s">
        <v>107</v>
      </c>
      <c r="L1353" s="20" t="s">
        <v>16</v>
      </c>
      <c r="M1353" s="21"/>
    </row>
    <row r="1354" spans="1:13">
      <c r="A1354" s="22">
        <v>2521115</v>
      </c>
      <c r="B1354" s="23" t="s">
        <v>5860</v>
      </c>
      <c r="C1354" s="22" t="s">
        <v>5861</v>
      </c>
      <c r="D1354" s="22" t="s">
        <v>5862</v>
      </c>
      <c r="E1354" s="23" t="s">
        <v>84</v>
      </c>
      <c r="F1354" s="23" t="s">
        <v>92</v>
      </c>
      <c r="G1354" s="23" t="s">
        <v>26</v>
      </c>
      <c r="H1354" s="23" t="s">
        <v>5863</v>
      </c>
      <c r="I1354" s="23" t="s">
        <v>5864</v>
      </c>
      <c r="J1354" s="23">
        <v>3</v>
      </c>
      <c r="K1354" s="23" t="s">
        <v>19</v>
      </c>
      <c r="L1354" s="23" t="s">
        <v>16</v>
      </c>
      <c r="M1354" s="24"/>
    </row>
    <row r="1355" spans="1:13">
      <c r="A1355" s="22">
        <v>2529794</v>
      </c>
      <c r="B1355" s="23" t="s">
        <v>5865</v>
      </c>
      <c r="C1355" s="22" t="s">
        <v>5866</v>
      </c>
      <c r="D1355" s="22" t="s">
        <v>5867</v>
      </c>
      <c r="E1355" s="23" t="s">
        <v>84</v>
      </c>
      <c r="F1355" s="23" t="s">
        <v>92</v>
      </c>
      <c r="G1355" s="23" t="s">
        <v>26</v>
      </c>
      <c r="H1355" s="23" t="s">
        <v>5868</v>
      </c>
      <c r="I1355" s="23" t="s">
        <v>5869</v>
      </c>
      <c r="J1355" s="20">
        <v>2</v>
      </c>
      <c r="K1355" s="23" t="s">
        <v>107</v>
      </c>
      <c r="L1355" s="23" t="s">
        <v>16</v>
      </c>
      <c r="M1355" s="24"/>
    </row>
    <row r="1356" spans="1:13">
      <c r="A1356" s="22">
        <v>2532987</v>
      </c>
      <c r="B1356" s="23" t="s">
        <v>5870</v>
      </c>
      <c r="C1356" s="22" t="s">
        <v>5871</v>
      </c>
      <c r="D1356" s="22" t="s">
        <v>5872</v>
      </c>
      <c r="E1356" s="23" t="s">
        <v>127</v>
      </c>
      <c r="F1356" s="23" t="s">
        <v>92</v>
      </c>
      <c r="G1356" s="23" t="s">
        <v>26</v>
      </c>
      <c r="H1356" s="23" t="s">
        <v>5873</v>
      </c>
      <c r="I1356" s="23" t="s">
        <v>5874</v>
      </c>
      <c r="J1356" s="23">
        <v>3</v>
      </c>
      <c r="K1356" s="23" t="s">
        <v>107</v>
      </c>
      <c r="L1356" s="23" t="s">
        <v>16</v>
      </c>
      <c r="M1356" s="24"/>
    </row>
    <row r="1357" spans="1:13">
      <c r="A1357" s="22">
        <v>2529712</v>
      </c>
      <c r="B1357" s="23" t="s">
        <v>5875</v>
      </c>
      <c r="C1357" s="22" t="s">
        <v>5876</v>
      </c>
      <c r="D1357" s="22" t="s">
        <v>5877</v>
      </c>
      <c r="E1357" s="23" t="s">
        <v>84</v>
      </c>
      <c r="F1357" s="23" t="s">
        <v>92</v>
      </c>
      <c r="G1357" s="23" t="s">
        <v>26</v>
      </c>
      <c r="H1357" s="23" t="s">
        <v>5878</v>
      </c>
      <c r="I1357" s="23" t="s">
        <v>5879</v>
      </c>
      <c r="J1357" s="23">
        <v>3</v>
      </c>
      <c r="K1357" s="23" t="s">
        <v>19</v>
      </c>
      <c r="L1357" s="23" t="s">
        <v>16</v>
      </c>
      <c r="M1357" s="24"/>
    </row>
    <row r="1358" spans="1:13">
      <c r="A1358" s="19">
        <v>2529613</v>
      </c>
      <c r="B1358" s="20" t="s">
        <v>5880</v>
      </c>
      <c r="C1358" s="19" t="s">
        <v>5881</v>
      </c>
      <c r="D1358" s="19" t="s">
        <v>5882</v>
      </c>
      <c r="E1358" s="20" t="s">
        <v>84</v>
      </c>
      <c r="F1358" s="20" t="s">
        <v>92</v>
      </c>
      <c r="G1358" s="20" t="s">
        <v>26</v>
      </c>
      <c r="H1358" s="20" t="s">
        <v>5883</v>
      </c>
      <c r="I1358" s="20" t="s">
        <v>1236</v>
      </c>
      <c r="J1358" s="23">
        <v>1</v>
      </c>
      <c r="K1358" s="20" t="s">
        <v>19</v>
      </c>
      <c r="L1358" s="20" t="s">
        <v>16</v>
      </c>
      <c r="M1358" s="21"/>
    </row>
    <row r="1359" spans="1:13">
      <c r="A1359" s="19">
        <v>2521686</v>
      </c>
      <c r="B1359" s="20" t="s">
        <v>5884</v>
      </c>
      <c r="C1359" s="19" t="s">
        <v>5885</v>
      </c>
      <c r="D1359" s="19" t="s">
        <v>5886</v>
      </c>
      <c r="E1359" s="20" t="s">
        <v>84</v>
      </c>
      <c r="F1359" s="20" t="s">
        <v>92</v>
      </c>
      <c r="G1359" s="20" t="s">
        <v>26</v>
      </c>
      <c r="H1359" s="20" t="s">
        <v>5887</v>
      </c>
      <c r="I1359" s="20" t="s">
        <v>5887</v>
      </c>
      <c r="J1359" s="20">
        <v>4</v>
      </c>
      <c r="K1359" s="20" t="s">
        <v>19</v>
      </c>
      <c r="L1359" s="20" t="s">
        <v>16</v>
      </c>
      <c r="M1359" s="21"/>
    </row>
    <row r="1360" spans="1:13">
      <c r="A1360" s="19">
        <v>2511316</v>
      </c>
      <c r="B1360" s="20" t="s">
        <v>5888</v>
      </c>
      <c r="C1360" s="19" t="s">
        <v>5889</v>
      </c>
      <c r="D1360" s="19" t="s">
        <v>5890</v>
      </c>
      <c r="E1360" s="20" t="s">
        <v>127</v>
      </c>
      <c r="F1360" s="20" t="s">
        <v>92</v>
      </c>
      <c r="G1360" s="20" t="s">
        <v>26</v>
      </c>
      <c r="H1360" s="20" t="s">
        <v>5891</v>
      </c>
      <c r="I1360" s="20" t="s">
        <v>5892</v>
      </c>
      <c r="J1360" s="20">
        <v>4</v>
      </c>
      <c r="K1360" s="20" t="s">
        <v>19</v>
      </c>
      <c r="L1360" s="20" t="s">
        <v>16</v>
      </c>
      <c r="M1360" s="21"/>
    </row>
    <row r="1361" spans="1:13">
      <c r="A1361" s="22">
        <v>2521686</v>
      </c>
      <c r="B1361" s="23" t="s">
        <v>5884</v>
      </c>
      <c r="C1361" s="22" t="s">
        <v>5885</v>
      </c>
      <c r="D1361" s="22" t="s">
        <v>5886</v>
      </c>
      <c r="E1361" s="23" t="s">
        <v>84</v>
      </c>
      <c r="F1361" s="23" t="s">
        <v>92</v>
      </c>
      <c r="G1361" s="23" t="s">
        <v>26</v>
      </c>
      <c r="H1361" s="23" t="s">
        <v>5893</v>
      </c>
      <c r="I1361" s="23" t="s">
        <v>5894</v>
      </c>
      <c r="J1361" s="20">
        <v>4</v>
      </c>
      <c r="K1361" s="23" t="s">
        <v>19</v>
      </c>
      <c r="L1361" s="23" t="s">
        <v>16</v>
      </c>
      <c r="M1361" s="24"/>
    </row>
    <row r="1362" spans="1:13">
      <c r="A1362" s="22">
        <v>2532991</v>
      </c>
      <c r="B1362" s="23" t="s">
        <v>5895</v>
      </c>
      <c r="C1362" s="22" t="s">
        <v>5896</v>
      </c>
      <c r="D1362" s="22" t="s">
        <v>5897</v>
      </c>
      <c r="E1362" s="23" t="s">
        <v>84</v>
      </c>
      <c r="F1362" s="23" t="s">
        <v>92</v>
      </c>
      <c r="G1362" s="23" t="s">
        <v>24</v>
      </c>
      <c r="H1362" s="23" t="s">
        <v>5898</v>
      </c>
      <c r="I1362" s="23" t="s">
        <v>5899</v>
      </c>
      <c r="J1362" s="23">
        <v>1</v>
      </c>
      <c r="K1362" s="23" t="s">
        <v>19</v>
      </c>
      <c r="L1362" s="23" t="s">
        <v>16</v>
      </c>
      <c r="M1362" s="24"/>
    </row>
    <row r="1363" spans="1:13">
      <c r="A1363" s="22">
        <v>2531855</v>
      </c>
      <c r="B1363" s="23" t="s">
        <v>5900</v>
      </c>
      <c r="C1363" s="22" t="s">
        <v>5901</v>
      </c>
      <c r="D1363" s="22" t="s">
        <v>5902</v>
      </c>
      <c r="E1363" s="23" t="s">
        <v>84</v>
      </c>
      <c r="F1363" s="23" t="s">
        <v>92</v>
      </c>
      <c r="G1363" s="23" t="s">
        <v>26</v>
      </c>
      <c r="H1363" s="23" t="s">
        <v>5903</v>
      </c>
      <c r="I1363" s="23" t="s">
        <v>5904</v>
      </c>
      <c r="J1363" s="20">
        <v>2</v>
      </c>
      <c r="K1363" s="23" t="s">
        <v>19</v>
      </c>
      <c r="L1363" s="23" t="s">
        <v>16</v>
      </c>
      <c r="M1363" s="24"/>
    </row>
    <row r="1364" spans="1:13">
      <c r="A1364" s="19">
        <v>2529552</v>
      </c>
      <c r="B1364" s="20" t="s">
        <v>5905</v>
      </c>
      <c r="C1364" s="19" t="s">
        <v>5906</v>
      </c>
      <c r="D1364" s="19" t="s">
        <v>5907</v>
      </c>
      <c r="E1364" s="20" t="s">
        <v>384</v>
      </c>
      <c r="F1364" s="20" t="s">
        <v>92</v>
      </c>
      <c r="G1364" s="20" t="s">
        <v>26</v>
      </c>
      <c r="H1364" s="20" t="s">
        <v>5908</v>
      </c>
      <c r="I1364" s="20" t="s">
        <v>5909</v>
      </c>
      <c r="J1364" s="23">
        <v>1</v>
      </c>
      <c r="K1364" s="20" t="s">
        <v>19</v>
      </c>
      <c r="L1364" s="20" t="s">
        <v>16</v>
      </c>
      <c r="M1364" s="21"/>
    </row>
    <row r="1365" spans="1:13">
      <c r="A1365" s="19">
        <v>2521652</v>
      </c>
      <c r="B1365" s="20" t="s">
        <v>5910</v>
      </c>
      <c r="C1365" s="19" t="s">
        <v>5911</v>
      </c>
      <c r="D1365" s="19" t="s">
        <v>5912</v>
      </c>
      <c r="E1365" s="20" t="s">
        <v>84</v>
      </c>
      <c r="F1365" s="20" t="s">
        <v>112</v>
      </c>
      <c r="G1365" s="20" t="s">
        <v>26</v>
      </c>
      <c r="H1365" s="20" t="s">
        <v>5913</v>
      </c>
      <c r="I1365" s="20" t="s">
        <v>5914</v>
      </c>
      <c r="J1365" s="20">
        <v>4</v>
      </c>
      <c r="K1365" s="20" t="s">
        <v>19</v>
      </c>
      <c r="L1365" s="20" t="s">
        <v>16</v>
      </c>
      <c r="M1365" s="21"/>
    </row>
    <row r="1366" spans="1:13">
      <c r="A1366" s="22">
        <v>2520932</v>
      </c>
      <c r="B1366" s="23" t="s">
        <v>5915</v>
      </c>
      <c r="C1366" s="22" t="s">
        <v>5916</v>
      </c>
      <c r="D1366" s="22" t="s">
        <v>5917</v>
      </c>
      <c r="E1366" s="23" t="s">
        <v>84</v>
      </c>
      <c r="F1366" s="23" t="s">
        <v>172</v>
      </c>
      <c r="G1366" s="23" t="s">
        <v>26</v>
      </c>
      <c r="H1366" s="23" t="s">
        <v>5918</v>
      </c>
      <c r="I1366" s="23" t="s">
        <v>5919</v>
      </c>
      <c r="J1366" s="34" t="s">
        <v>34</v>
      </c>
      <c r="K1366" s="23" t="s">
        <v>19</v>
      </c>
      <c r="L1366" s="23" t="s">
        <v>16</v>
      </c>
      <c r="M1366" s="24" t="s">
        <v>5920</v>
      </c>
    </row>
    <row r="1367" spans="1:13">
      <c r="A1367" s="19">
        <v>2520932</v>
      </c>
      <c r="B1367" s="20" t="s">
        <v>5915</v>
      </c>
      <c r="C1367" s="19" t="s">
        <v>5916</v>
      </c>
      <c r="D1367" s="19" t="s">
        <v>5917</v>
      </c>
      <c r="E1367" s="20" t="s">
        <v>84</v>
      </c>
      <c r="F1367" s="20" t="s">
        <v>92</v>
      </c>
      <c r="G1367" s="20" t="s">
        <v>26</v>
      </c>
      <c r="H1367" s="20" t="s">
        <v>5918</v>
      </c>
      <c r="I1367" s="20" t="s">
        <v>5921</v>
      </c>
      <c r="J1367" s="34" t="s">
        <v>34</v>
      </c>
      <c r="K1367" s="20" t="s">
        <v>19</v>
      </c>
      <c r="L1367" s="20" t="s">
        <v>16</v>
      </c>
      <c r="M1367" s="21" t="s">
        <v>5920</v>
      </c>
    </row>
    <row r="1368" spans="1:13">
      <c r="A1368" s="22">
        <v>2531807</v>
      </c>
      <c r="B1368" s="23" t="s">
        <v>5922</v>
      </c>
      <c r="C1368" s="22" t="s">
        <v>5923</v>
      </c>
      <c r="D1368" s="22" t="s">
        <v>5924</v>
      </c>
      <c r="E1368" s="23" t="s">
        <v>84</v>
      </c>
      <c r="F1368" s="23" t="s">
        <v>92</v>
      </c>
      <c r="G1368" s="23" t="s">
        <v>26</v>
      </c>
      <c r="H1368" s="23" t="s">
        <v>5925</v>
      </c>
      <c r="I1368" s="23" t="s">
        <v>5925</v>
      </c>
      <c r="J1368" s="23">
        <v>3</v>
      </c>
      <c r="K1368" s="23" t="s">
        <v>19</v>
      </c>
      <c r="L1368" s="23" t="s">
        <v>16</v>
      </c>
      <c r="M1368" s="24"/>
    </row>
    <row r="1369" spans="1:13">
      <c r="A1369" s="22">
        <v>2531445</v>
      </c>
      <c r="B1369" s="23" t="s">
        <v>5926</v>
      </c>
      <c r="C1369" s="22" t="s">
        <v>5927</v>
      </c>
      <c r="D1369" s="22" t="s">
        <v>5928</v>
      </c>
      <c r="E1369" s="23" t="s">
        <v>127</v>
      </c>
      <c r="F1369" s="23" t="s">
        <v>92</v>
      </c>
      <c r="G1369" s="23" t="s">
        <v>26</v>
      </c>
      <c r="H1369" s="23" t="s">
        <v>5929</v>
      </c>
      <c r="I1369" s="23" t="s">
        <v>5930</v>
      </c>
      <c r="J1369" s="23">
        <v>1</v>
      </c>
      <c r="K1369" s="23" t="s">
        <v>19</v>
      </c>
      <c r="L1369" s="23" t="s">
        <v>16</v>
      </c>
      <c r="M1369" s="24"/>
    </row>
    <row r="1370" spans="1:13">
      <c r="A1370" s="19">
        <v>2511226</v>
      </c>
      <c r="B1370" s="20" t="s">
        <v>5931</v>
      </c>
      <c r="C1370" s="19" t="s">
        <v>5932</v>
      </c>
      <c r="D1370" s="19" t="s">
        <v>5933</v>
      </c>
      <c r="E1370" s="20" t="s">
        <v>84</v>
      </c>
      <c r="F1370" s="20" t="s">
        <v>85</v>
      </c>
      <c r="G1370" s="20" t="s">
        <v>26</v>
      </c>
      <c r="H1370" s="20" t="s">
        <v>5934</v>
      </c>
      <c r="I1370" s="20" t="s">
        <v>5935</v>
      </c>
      <c r="J1370" s="23">
        <v>1</v>
      </c>
      <c r="K1370" s="20" t="s">
        <v>206</v>
      </c>
      <c r="L1370" s="20" t="s">
        <v>16</v>
      </c>
      <c r="M1370" s="21"/>
    </row>
    <row r="1371" spans="1:13">
      <c r="A1371" s="19">
        <v>2520930</v>
      </c>
      <c r="B1371" s="20" t="s">
        <v>5936</v>
      </c>
      <c r="C1371" s="19" t="s">
        <v>5937</v>
      </c>
      <c r="D1371" s="19" t="s">
        <v>5938</v>
      </c>
      <c r="E1371" s="20" t="s">
        <v>127</v>
      </c>
      <c r="F1371" s="20" t="s">
        <v>85</v>
      </c>
      <c r="G1371" s="20" t="s">
        <v>26</v>
      </c>
      <c r="H1371" s="20" t="s">
        <v>5939</v>
      </c>
      <c r="I1371" s="20" t="s">
        <v>5940</v>
      </c>
      <c r="J1371" s="23">
        <v>1</v>
      </c>
      <c r="K1371" s="20" t="s">
        <v>967</v>
      </c>
      <c r="L1371" s="20" t="s">
        <v>16</v>
      </c>
      <c r="M1371" s="21"/>
    </row>
    <row r="1372" spans="1:13">
      <c r="A1372" s="22">
        <v>2516785</v>
      </c>
      <c r="B1372" s="23" t="s">
        <v>5941</v>
      </c>
      <c r="C1372" s="22" t="s">
        <v>5942</v>
      </c>
      <c r="D1372" s="22" t="s">
        <v>5943</v>
      </c>
      <c r="E1372" s="23" t="s">
        <v>84</v>
      </c>
      <c r="F1372" s="23" t="s">
        <v>92</v>
      </c>
      <c r="G1372" s="23" t="s">
        <v>26</v>
      </c>
      <c r="H1372" s="23" t="s">
        <v>5944</v>
      </c>
      <c r="I1372" s="23" t="s">
        <v>5945</v>
      </c>
      <c r="J1372" s="20">
        <v>2</v>
      </c>
      <c r="K1372" s="23" t="s">
        <v>107</v>
      </c>
      <c r="L1372" s="23" t="s">
        <v>16</v>
      </c>
      <c r="M1372" s="24"/>
    </row>
    <row r="1373" spans="1:13">
      <c r="A1373" s="22">
        <v>2516794</v>
      </c>
      <c r="B1373" s="23" t="s">
        <v>5946</v>
      </c>
      <c r="C1373" s="22" t="s">
        <v>5947</v>
      </c>
      <c r="D1373" s="22" t="s">
        <v>5948</v>
      </c>
      <c r="E1373" s="23" t="s">
        <v>127</v>
      </c>
      <c r="F1373" s="23" t="s">
        <v>92</v>
      </c>
      <c r="G1373" s="23" t="s">
        <v>26</v>
      </c>
      <c r="H1373" s="23" t="s">
        <v>5949</v>
      </c>
      <c r="I1373" s="23" t="s">
        <v>5950</v>
      </c>
      <c r="J1373" s="23">
        <v>2</v>
      </c>
      <c r="K1373" s="23" t="s">
        <v>107</v>
      </c>
      <c r="L1373" s="23" t="s">
        <v>18</v>
      </c>
      <c r="M1373" s="24"/>
    </row>
    <row r="1374" spans="1:13">
      <c r="A1374" s="22">
        <v>2516843</v>
      </c>
      <c r="B1374" s="23" t="s">
        <v>5951</v>
      </c>
      <c r="C1374" s="22" t="s">
        <v>5952</v>
      </c>
      <c r="D1374" s="22" t="s">
        <v>5953</v>
      </c>
      <c r="E1374" s="23" t="s">
        <v>84</v>
      </c>
      <c r="F1374" s="23" t="s">
        <v>92</v>
      </c>
      <c r="G1374" s="23" t="s">
        <v>26</v>
      </c>
      <c r="H1374" s="23" t="s">
        <v>5954</v>
      </c>
      <c r="I1374" s="23" t="s">
        <v>5955</v>
      </c>
      <c r="J1374" s="20">
        <v>2</v>
      </c>
      <c r="K1374" s="23" t="s">
        <v>107</v>
      </c>
      <c r="L1374" s="23" t="s">
        <v>16</v>
      </c>
      <c r="M1374" s="24"/>
    </row>
    <row r="1375" spans="1:13">
      <c r="A1375" s="19">
        <v>2529646</v>
      </c>
      <c r="B1375" s="20" t="s">
        <v>5956</v>
      </c>
      <c r="C1375" s="19" t="s">
        <v>5957</v>
      </c>
      <c r="D1375" s="19" t="s">
        <v>5958</v>
      </c>
      <c r="E1375" s="20" t="s">
        <v>84</v>
      </c>
      <c r="F1375" s="20" t="s">
        <v>92</v>
      </c>
      <c r="G1375" s="20" t="s">
        <v>26</v>
      </c>
      <c r="H1375" s="20" t="s">
        <v>5959</v>
      </c>
      <c r="I1375" s="20" t="s">
        <v>5960</v>
      </c>
      <c r="J1375" s="33">
        <v>1</v>
      </c>
      <c r="K1375" s="20" t="s">
        <v>19</v>
      </c>
      <c r="L1375" s="20" t="s">
        <v>16</v>
      </c>
      <c r="M1375" s="21"/>
    </row>
    <row r="1376" spans="1:13">
      <c r="A1376" s="19">
        <v>2521628</v>
      </c>
      <c r="B1376" s="20" t="s">
        <v>5961</v>
      </c>
      <c r="C1376" s="19" t="s">
        <v>5962</v>
      </c>
      <c r="D1376" s="19" t="s">
        <v>5963</v>
      </c>
      <c r="E1376" s="20" t="s">
        <v>84</v>
      </c>
      <c r="F1376" s="20" t="s">
        <v>92</v>
      </c>
      <c r="G1376" s="20" t="s">
        <v>26</v>
      </c>
      <c r="H1376" s="20" t="s">
        <v>5964</v>
      </c>
      <c r="I1376" s="20" t="s">
        <v>5965</v>
      </c>
      <c r="J1376" s="23">
        <v>1</v>
      </c>
      <c r="K1376" s="20" t="s">
        <v>107</v>
      </c>
      <c r="L1376" s="20" t="s">
        <v>16</v>
      </c>
      <c r="M1376" s="21"/>
    </row>
    <row r="1377" spans="1:13">
      <c r="A1377" s="19">
        <v>2521628</v>
      </c>
      <c r="B1377" s="20" t="s">
        <v>5966</v>
      </c>
      <c r="C1377" s="19" t="s">
        <v>5962</v>
      </c>
      <c r="D1377" s="19" t="s">
        <v>5963</v>
      </c>
      <c r="E1377" s="20" t="s">
        <v>84</v>
      </c>
      <c r="F1377" s="20" t="s">
        <v>92</v>
      </c>
      <c r="G1377" s="20" t="s">
        <v>26</v>
      </c>
      <c r="H1377" s="20" t="s">
        <v>5967</v>
      </c>
      <c r="I1377" s="20" t="s">
        <v>5968</v>
      </c>
      <c r="J1377" s="19" t="s">
        <v>94</v>
      </c>
      <c r="K1377" s="20" t="s">
        <v>107</v>
      </c>
      <c r="L1377" s="20" t="s">
        <v>16</v>
      </c>
      <c r="M1377" s="21"/>
    </row>
    <row r="1378" spans="1:13">
      <c r="A1378" s="19">
        <v>913908</v>
      </c>
      <c r="B1378" s="20" t="s">
        <v>5969</v>
      </c>
      <c r="C1378" s="19" t="s">
        <v>5970</v>
      </c>
      <c r="D1378" s="19" t="s">
        <v>5971</v>
      </c>
      <c r="E1378" s="20" t="s">
        <v>127</v>
      </c>
      <c r="F1378" s="20" t="s">
        <v>92</v>
      </c>
      <c r="G1378" s="20" t="s">
        <v>26</v>
      </c>
      <c r="H1378" s="20" t="s">
        <v>5972</v>
      </c>
      <c r="I1378" s="20" t="s">
        <v>5973</v>
      </c>
      <c r="J1378" s="19" t="s">
        <v>195</v>
      </c>
      <c r="K1378" s="20" t="s">
        <v>19</v>
      </c>
      <c r="L1378" s="20" t="s">
        <v>16</v>
      </c>
      <c r="M1378" s="21"/>
    </row>
    <row r="1379" spans="1:13">
      <c r="A1379" s="22">
        <v>2518830</v>
      </c>
      <c r="B1379" s="23" t="s">
        <v>5974</v>
      </c>
      <c r="C1379" s="22" t="s">
        <v>5975</v>
      </c>
      <c r="D1379" s="22" t="s">
        <v>5976</v>
      </c>
      <c r="E1379" s="23" t="s">
        <v>84</v>
      </c>
      <c r="F1379" s="23" t="s">
        <v>92</v>
      </c>
      <c r="G1379" s="23" t="s">
        <v>26</v>
      </c>
      <c r="H1379" s="23" t="s">
        <v>5977</v>
      </c>
      <c r="I1379" s="23" t="s">
        <v>5978</v>
      </c>
      <c r="J1379" s="20">
        <v>2</v>
      </c>
      <c r="K1379" s="23" t="s">
        <v>19</v>
      </c>
      <c r="L1379" s="23" t="s">
        <v>16</v>
      </c>
      <c r="M1379" s="24"/>
    </row>
    <row r="1380" spans="1:13">
      <c r="A1380" s="22">
        <v>2522899</v>
      </c>
      <c r="B1380" s="23" t="s">
        <v>5979</v>
      </c>
      <c r="C1380" s="22" t="s">
        <v>5980</v>
      </c>
      <c r="D1380" s="22" t="s">
        <v>5981</v>
      </c>
      <c r="E1380" s="23" t="s">
        <v>84</v>
      </c>
      <c r="F1380" s="23" t="s">
        <v>92</v>
      </c>
      <c r="G1380" s="23" t="s">
        <v>26</v>
      </c>
      <c r="H1380" s="23" t="s">
        <v>5982</v>
      </c>
      <c r="I1380" s="23" t="s">
        <v>5983</v>
      </c>
      <c r="J1380" s="23">
        <v>3</v>
      </c>
      <c r="K1380" s="23" t="s">
        <v>107</v>
      </c>
      <c r="L1380" s="23" t="s">
        <v>16</v>
      </c>
      <c r="M1380" s="24" t="s">
        <v>16</v>
      </c>
    </row>
    <row r="1381" spans="1:13">
      <c r="A1381" s="22">
        <v>2531980</v>
      </c>
      <c r="B1381" s="23" t="s">
        <v>5984</v>
      </c>
      <c r="C1381" s="22" t="s">
        <v>5985</v>
      </c>
      <c r="D1381" s="22" t="s">
        <v>5986</v>
      </c>
      <c r="E1381" s="23" t="s">
        <v>84</v>
      </c>
      <c r="F1381" s="23" t="s">
        <v>92</v>
      </c>
      <c r="G1381" s="23" t="s">
        <v>26</v>
      </c>
      <c r="H1381" s="23" t="s">
        <v>5987</v>
      </c>
      <c r="I1381" s="23" t="s">
        <v>5988</v>
      </c>
      <c r="J1381" s="23">
        <v>3</v>
      </c>
      <c r="K1381" s="23" t="s">
        <v>19</v>
      </c>
      <c r="L1381" s="23" t="s">
        <v>18</v>
      </c>
      <c r="M1381" s="24"/>
    </row>
    <row r="1382" spans="1:13">
      <c r="A1382" s="22">
        <v>2521718</v>
      </c>
      <c r="B1382" s="23" t="s">
        <v>5989</v>
      </c>
      <c r="C1382" s="22" t="s">
        <v>5990</v>
      </c>
      <c r="D1382" s="22" t="s">
        <v>5991</v>
      </c>
      <c r="E1382" s="23" t="s">
        <v>84</v>
      </c>
      <c r="F1382" s="23" t="s">
        <v>85</v>
      </c>
      <c r="G1382" s="23" t="s">
        <v>26</v>
      </c>
      <c r="H1382" s="23" t="s">
        <v>5992</v>
      </c>
      <c r="I1382" s="23" t="s">
        <v>5993</v>
      </c>
      <c r="J1382" s="34" t="s">
        <v>34</v>
      </c>
      <c r="K1382" s="23" t="s">
        <v>107</v>
      </c>
      <c r="L1382" s="23" t="s">
        <v>16</v>
      </c>
      <c r="M1382" s="24"/>
    </row>
    <row r="1383" spans="1:13">
      <c r="A1383" s="19">
        <v>2521641</v>
      </c>
      <c r="B1383" s="20" t="s">
        <v>5994</v>
      </c>
      <c r="C1383" s="19" t="s">
        <v>5995</v>
      </c>
      <c r="D1383" s="19" t="s">
        <v>5996</v>
      </c>
      <c r="E1383" s="20" t="s">
        <v>84</v>
      </c>
      <c r="F1383" s="20" t="s">
        <v>112</v>
      </c>
      <c r="G1383" s="20" t="s">
        <v>26</v>
      </c>
      <c r="H1383" s="20" t="s">
        <v>5997</v>
      </c>
      <c r="I1383" s="20" t="s">
        <v>5998</v>
      </c>
      <c r="J1383" s="20">
        <v>4</v>
      </c>
      <c r="K1383" s="20" t="s">
        <v>107</v>
      </c>
      <c r="L1383" s="20" t="s">
        <v>18</v>
      </c>
      <c r="M1383" s="21"/>
    </row>
    <row r="1384" spans="1:13">
      <c r="A1384" s="22">
        <v>2521702</v>
      </c>
      <c r="B1384" s="23" t="s">
        <v>5999</v>
      </c>
      <c r="C1384" s="22" t="s">
        <v>6000</v>
      </c>
      <c r="D1384" s="22" t="s">
        <v>6001</v>
      </c>
      <c r="E1384" s="23" t="s">
        <v>127</v>
      </c>
      <c r="F1384" s="23" t="s">
        <v>92</v>
      </c>
      <c r="G1384" s="23" t="s">
        <v>26</v>
      </c>
      <c r="H1384" s="23" t="s">
        <v>6002</v>
      </c>
      <c r="I1384" s="23" t="s">
        <v>6003</v>
      </c>
      <c r="J1384" s="23">
        <v>1</v>
      </c>
      <c r="K1384" s="23" t="s">
        <v>19</v>
      </c>
      <c r="L1384" s="23" t="s">
        <v>16</v>
      </c>
      <c r="M1384" s="24"/>
    </row>
    <row r="1385" spans="1:13">
      <c r="A1385" s="19">
        <v>2524660</v>
      </c>
      <c r="B1385" s="20" t="s">
        <v>6004</v>
      </c>
      <c r="C1385" s="19" t="s">
        <v>6005</v>
      </c>
      <c r="D1385" s="19" t="s">
        <v>6006</v>
      </c>
      <c r="E1385" s="20" t="s">
        <v>84</v>
      </c>
      <c r="F1385" s="20" t="s">
        <v>85</v>
      </c>
      <c r="G1385" s="20" t="s">
        <v>26</v>
      </c>
      <c r="H1385" s="20" t="s">
        <v>6007</v>
      </c>
      <c r="I1385" s="20" t="s">
        <v>6008</v>
      </c>
      <c r="J1385" s="23">
        <v>3</v>
      </c>
      <c r="K1385" s="20" t="s">
        <v>107</v>
      </c>
      <c r="L1385" s="20" t="s">
        <v>18</v>
      </c>
      <c r="M1385" s="21"/>
    </row>
    <row r="1386" spans="1:13">
      <c r="A1386" s="22">
        <v>2521674</v>
      </c>
      <c r="B1386" s="23" t="s">
        <v>6009</v>
      </c>
      <c r="C1386" s="22" t="s">
        <v>6010</v>
      </c>
      <c r="D1386" s="22" t="s">
        <v>6011</v>
      </c>
      <c r="E1386" s="23" t="s">
        <v>219</v>
      </c>
      <c r="F1386" s="23" t="s">
        <v>172</v>
      </c>
      <c r="G1386" s="23" t="s">
        <v>26</v>
      </c>
      <c r="H1386" s="23" t="s">
        <v>6012</v>
      </c>
      <c r="I1386" s="23" t="s">
        <v>6013</v>
      </c>
      <c r="J1386" s="20">
        <v>4</v>
      </c>
      <c r="K1386" s="23" t="s">
        <v>19</v>
      </c>
      <c r="L1386" s="23" t="s">
        <v>16</v>
      </c>
      <c r="M1386" s="24" t="s">
        <v>455</v>
      </c>
    </row>
    <row r="1387" spans="1:13">
      <c r="A1387" s="22">
        <v>2532913</v>
      </c>
      <c r="B1387" s="23" t="s">
        <v>6014</v>
      </c>
      <c r="C1387" s="22" t="s">
        <v>6015</v>
      </c>
      <c r="D1387" s="22" t="s">
        <v>6016</v>
      </c>
      <c r="E1387" s="23" t="s">
        <v>84</v>
      </c>
      <c r="F1387" s="23" t="s">
        <v>92</v>
      </c>
      <c r="G1387" s="23" t="s">
        <v>26</v>
      </c>
      <c r="H1387" s="23" t="s">
        <v>6017</v>
      </c>
      <c r="I1387" s="23" t="s">
        <v>6018</v>
      </c>
      <c r="J1387" s="23">
        <v>1</v>
      </c>
      <c r="K1387" s="23" t="s">
        <v>19</v>
      </c>
      <c r="L1387" s="23" t="s">
        <v>16</v>
      </c>
      <c r="M1387" s="24"/>
    </row>
    <row r="1388" spans="1:13">
      <c r="A1388" s="19">
        <v>2522843</v>
      </c>
      <c r="B1388" s="20" t="s">
        <v>6019</v>
      </c>
      <c r="C1388" s="19" t="s">
        <v>6020</v>
      </c>
      <c r="D1388" s="19" t="s">
        <v>6021</v>
      </c>
      <c r="E1388" s="20" t="s">
        <v>84</v>
      </c>
      <c r="F1388" s="20" t="s">
        <v>92</v>
      </c>
      <c r="G1388" s="20" t="s">
        <v>26</v>
      </c>
      <c r="H1388" s="20" t="s">
        <v>6022</v>
      </c>
      <c r="I1388" s="20" t="s">
        <v>6023</v>
      </c>
      <c r="J1388" s="20">
        <v>4</v>
      </c>
      <c r="K1388" s="20" t="s">
        <v>19</v>
      </c>
      <c r="L1388" s="20" t="s">
        <v>16</v>
      </c>
      <c r="M1388" s="21" t="s">
        <v>864</v>
      </c>
    </row>
    <row r="1389" spans="1:13">
      <c r="A1389" s="19">
        <v>2521706</v>
      </c>
      <c r="B1389" s="20" t="s">
        <v>6024</v>
      </c>
      <c r="C1389" s="19" t="s">
        <v>6025</v>
      </c>
      <c r="D1389" s="19" t="s">
        <v>6026</v>
      </c>
      <c r="E1389" s="20" t="s">
        <v>127</v>
      </c>
      <c r="F1389" s="20" t="s">
        <v>172</v>
      </c>
      <c r="G1389" s="20" t="s">
        <v>26</v>
      </c>
      <c r="H1389" s="20" t="s">
        <v>6027</v>
      </c>
      <c r="I1389" s="20" t="s">
        <v>6028</v>
      </c>
      <c r="J1389" s="23">
        <v>1</v>
      </c>
      <c r="K1389" s="20" t="s">
        <v>107</v>
      </c>
      <c r="L1389" s="20" t="s">
        <v>16</v>
      </c>
      <c r="M1389" s="21"/>
    </row>
    <row r="1390" spans="1:13">
      <c r="A1390" s="22">
        <v>2516813</v>
      </c>
      <c r="B1390" s="23" t="s">
        <v>6029</v>
      </c>
      <c r="C1390" s="22" t="s">
        <v>6030</v>
      </c>
      <c r="D1390" s="22" t="s">
        <v>6031</v>
      </c>
      <c r="E1390" s="23" t="s">
        <v>84</v>
      </c>
      <c r="F1390" s="23" t="s">
        <v>172</v>
      </c>
      <c r="G1390" s="23" t="s">
        <v>26</v>
      </c>
      <c r="H1390" s="23" t="s">
        <v>6032</v>
      </c>
      <c r="I1390" s="23" t="s">
        <v>6033</v>
      </c>
      <c r="J1390" s="23">
        <v>3</v>
      </c>
      <c r="K1390" s="23" t="s">
        <v>107</v>
      </c>
      <c r="L1390" s="23" t="s">
        <v>16</v>
      </c>
      <c r="M1390" s="24"/>
    </row>
    <row r="1391" spans="1:13">
      <c r="A1391" s="22">
        <v>2531988</v>
      </c>
      <c r="B1391" s="23" t="s">
        <v>6034</v>
      </c>
      <c r="C1391" s="22" t="s">
        <v>6035</v>
      </c>
      <c r="D1391" s="22" t="s">
        <v>6036</v>
      </c>
      <c r="E1391" s="23" t="s">
        <v>84</v>
      </c>
      <c r="F1391" s="23" t="s">
        <v>85</v>
      </c>
      <c r="G1391" s="23" t="s">
        <v>26</v>
      </c>
      <c r="H1391" s="23" t="s">
        <v>6037</v>
      </c>
      <c r="I1391" s="23" t="s">
        <v>6038</v>
      </c>
      <c r="J1391" s="23">
        <v>3</v>
      </c>
      <c r="K1391" s="23" t="s">
        <v>19</v>
      </c>
      <c r="L1391" s="23" t="s">
        <v>18</v>
      </c>
      <c r="M1391" s="24"/>
    </row>
    <row r="1392" spans="1:13">
      <c r="A1392" s="19">
        <v>2521049</v>
      </c>
      <c r="B1392" s="20" t="s">
        <v>6039</v>
      </c>
      <c r="C1392" s="19" t="s">
        <v>6040</v>
      </c>
      <c r="D1392" s="19" t="s">
        <v>6041</v>
      </c>
      <c r="E1392" s="20" t="s">
        <v>84</v>
      </c>
      <c r="F1392" s="20" t="s">
        <v>92</v>
      </c>
      <c r="G1392" s="20" t="s">
        <v>26</v>
      </c>
      <c r="H1392" s="20" t="s">
        <v>6042</v>
      </c>
      <c r="I1392" s="20" t="s">
        <v>6043</v>
      </c>
      <c r="J1392" s="23">
        <v>1</v>
      </c>
      <c r="K1392" s="20" t="s">
        <v>107</v>
      </c>
      <c r="L1392" s="20" t="s">
        <v>16</v>
      </c>
      <c r="M1392" s="21"/>
    </row>
    <row r="1393" spans="1:13">
      <c r="A1393" s="22">
        <v>2516874</v>
      </c>
      <c r="B1393" s="23" t="s">
        <v>6044</v>
      </c>
      <c r="C1393" s="22" t="s">
        <v>6045</v>
      </c>
      <c r="D1393" s="22" t="s">
        <v>6046</v>
      </c>
      <c r="E1393" s="23" t="s">
        <v>415</v>
      </c>
      <c r="F1393" s="23" t="s">
        <v>92</v>
      </c>
      <c r="G1393" s="23" t="s">
        <v>26</v>
      </c>
      <c r="H1393" s="23" t="s">
        <v>6047</v>
      </c>
      <c r="I1393" s="23" t="s">
        <v>6048</v>
      </c>
      <c r="J1393" s="20">
        <v>4</v>
      </c>
      <c r="K1393" s="23" t="s">
        <v>107</v>
      </c>
      <c r="L1393" s="23" t="s">
        <v>16</v>
      </c>
      <c r="M1393" s="24"/>
    </row>
    <row r="1394" spans="1:13">
      <c r="A1394" s="19">
        <v>2516822</v>
      </c>
      <c r="B1394" s="20" t="s">
        <v>6049</v>
      </c>
      <c r="C1394" s="19" t="s">
        <v>6050</v>
      </c>
      <c r="D1394" s="19" t="s">
        <v>6051</v>
      </c>
      <c r="E1394" s="20" t="s">
        <v>84</v>
      </c>
      <c r="F1394" s="20" t="s">
        <v>92</v>
      </c>
      <c r="G1394" s="20" t="s">
        <v>26</v>
      </c>
      <c r="H1394" s="20" t="s">
        <v>6052</v>
      </c>
      <c r="I1394" s="20" t="s">
        <v>6053</v>
      </c>
      <c r="J1394" s="20">
        <v>4</v>
      </c>
      <c r="K1394" s="20" t="s">
        <v>107</v>
      </c>
      <c r="L1394" s="20" t="s">
        <v>18</v>
      </c>
      <c r="M1394" s="21"/>
    </row>
    <row r="1395" spans="1:13">
      <c r="A1395" s="19">
        <v>2521033</v>
      </c>
      <c r="B1395" s="20" t="s">
        <v>6054</v>
      </c>
      <c r="C1395" s="19" t="s">
        <v>6055</v>
      </c>
      <c r="D1395" s="19" t="s">
        <v>6056</v>
      </c>
      <c r="E1395" s="20" t="s">
        <v>84</v>
      </c>
      <c r="F1395" s="20" t="s">
        <v>92</v>
      </c>
      <c r="G1395" s="20" t="s">
        <v>26</v>
      </c>
      <c r="H1395" s="20" t="s">
        <v>6057</v>
      </c>
      <c r="I1395" s="20" t="s">
        <v>6058</v>
      </c>
      <c r="J1395" s="34" t="s">
        <v>34</v>
      </c>
      <c r="K1395" s="20" t="s">
        <v>107</v>
      </c>
      <c r="L1395" s="20" t="s">
        <v>16</v>
      </c>
      <c r="M1395" s="21"/>
    </row>
    <row r="1396" spans="1:13">
      <c r="A1396" s="22">
        <v>2520958</v>
      </c>
      <c r="B1396" s="23" t="s">
        <v>6059</v>
      </c>
      <c r="C1396" s="22" t="s">
        <v>6060</v>
      </c>
      <c r="D1396" s="22" t="s">
        <v>6061</v>
      </c>
      <c r="E1396" s="23" t="s">
        <v>84</v>
      </c>
      <c r="F1396" s="23" t="s">
        <v>92</v>
      </c>
      <c r="G1396" s="23" t="s">
        <v>26</v>
      </c>
      <c r="H1396" s="23" t="s">
        <v>6062</v>
      </c>
      <c r="I1396" s="23" t="s">
        <v>6063</v>
      </c>
      <c r="J1396" s="20">
        <v>4</v>
      </c>
      <c r="K1396" s="23" t="s">
        <v>107</v>
      </c>
      <c r="L1396" s="23" t="s">
        <v>16</v>
      </c>
      <c r="M1396" s="24"/>
    </row>
    <row r="1397" spans="1:13">
      <c r="A1397" s="22">
        <v>2529598</v>
      </c>
      <c r="B1397" s="23" t="s">
        <v>6064</v>
      </c>
      <c r="C1397" s="22" t="s">
        <v>6065</v>
      </c>
      <c r="D1397" s="22" t="s">
        <v>6066</v>
      </c>
      <c r="E1397" s="23" t="s">
        <v>384</v>
      </c>
      <c r="F1397" s="23" t="s">
        <v>92</v>
      </c>
      <c r="G1397" s="23" t="s">
        <v>24</v>
      </c>
      <c r="H1397" s="23" t="s">
        <v>6067</v>
      </c>
      <c r="I1397" s="23" t="s">
        <v>6068</v>
      </c>
      <c r="J1397" s="23">
        <v>2</v>
      </c>
      <c r="K1397" s="23" t="s">
        <v>206</v>
      </c>
      <c r="L1397" s="23" t="s">
        <v>16</v>
      </c>
      <c r="M1397" s="24"/>
    </row>
    <row r="1398" spans="1:13">
      <c r="A1398" s="22">
        <v>2529499</v>
      </c>
      <c r="B1398" s="23" t="s">
        <v>6069</v>
      </c>
      <c r="C1398" s="22" t="s">
        <v>6070</v>
      </c>
      <c r="D1398" s="22" t="s">
        <v>6071</v>
      </c>
      <c r="E1398" s="23" t="s">
        <v>84</v>
      </c>
      <c r="F1398" s="23" t="s">
        <v>92</v>
      </c>
      <c r="G1398" s="23" t="s">
        <v>26</v>
      </c>
      <c r="H1398" s="23" t="s">
        <v>6072</v>
      </c>
      <c r="I1398" s="23" t="s">
        <v>6073</v>
      </c>
      <c r="J1398" s="23">
        <v>3</v>
      </c>
      <c r="K1398" s="23" t="s">
        <v>107</v>
      </c>
      <c r="L1398" s="23" t="s">
        <v>16</v>
      </c>
      <c r="M1398" s="24" t="s">
        <v>49</v>
      </c>
    </row>
    <row r="1399" spans="1:13">
      <c r="A1399" s="19">
        <v>2524518</v>
      </c>
      <c r="B1399" s="20" t="s">
        <v>6074</v>
      </c>
      <c r="C1399" s="19" t="s">
        <v>6075</v>
      </c>
      <c r="D1399" s="19" t="s">
        <v>6076</v>
      </c>
      <c r="E1399" s="20" t="s">
        <v>84</v>
      </c>
      <c r="F1399" s="20" t="s">
        <v>92</v>
      </c>
      <c r="G1399" s="20" t="s">
        <v>26</v>
      </c>
      <c r="H1399" s="20" t="s">
        <v>6077</v>
      </c>
      <c r="I1399" s="20" t="s">
        <v>6078</v>
      </c>
      <c r="J1399" s="34" t="s">
        <v>34</v>
      </c>
      <c r="K1399" s="20" t="s">
        <v>107</v>
      </c>
      <c r="L1399" s="20" t="s">
        <v>16</v>
      </c>
      <c r="M1399" s="21" t="s">
        <v>1561</v>
      </c>
    </row>
    <row r="1400" spans="1:13">
      <c r="A1400" s="19">
        <v>2521187</v>
      </c>
      <c r="B1400" s="20" t="s">
        <v>6079</v>
      </c>
      <c r="C1400" s="19" t="s">
        <v>6080</v>
      </c>
      <c r="D1400" s="19" t="s">
        <v>6081</v>
      </c>
      <c r="E1400" s="20" t="s">
        <v>84</v>
      </c>
      <c r="F1400" s="20" t="s">
        <v>92</v>
      </c>
      <c r="G1400" s="20" t="s">
        <v>26</v>
      </c>
      <c r="H1400" s="20" t="s">
        <v>6082</v>
      </c>
      <c r="I1400" s="20" t="s">
        <v>6083</v>
      </c>
      <c r="J1400" s="34" t="s">
        <v>34</v>
      </c>
      <c r="K1400" s="20" t="s">
        <v>107</v>
      </c>
      <c r="L1400" s="20" t="s">
        <v>16</v>
      </c>
      <c r="M1400" s="21"/>
    </row>
    <row r="1401" spans="1:13">
      <c r="A1401" s="19">
        <v>2521136</v>
      </c>
      <c r="B1401" s="20" t="s">
        <v>6084</v>
      </c>
      <c r="C1401" s="19" t="s">
        <v>6085</v>
      </c>
      <c r="D1401" s="19" t="s">
        <v>6086</v>
      </c>
      <c r="E1401" s="20" t="s">
        <v>84</v>
      </c>
      <c r="F1401" s="20" t="s">
        <v>92</v>
      </c>
      <c r="G1401" s="20" t="s">
        <v>26</v>
      </c>
      <c r="H1401" s="20" t="s">
        <v>6087</v>
      </c>
      <c r="I1401" s="20" t="s">
        <v>6088</v>
      </c>
      <c r="J1401" s="34" t="s">
        <v>34</v>
      </c>
      <c r="K1401" s="20" t="s">
        <v>19</v>
      </c>
      <c r="L1401" s="20" t="s">
        <v>16</v>
      </c>
      <c r="M1401" s="21"/>
    </row>
    <row r="1402" spans="1:13">
      <c r="A1402" s="22">
        <v>2533221</v>
      </c>
      <c r="B1402" s="23" t="s">
        <v>6089</v>
      </c>
      <c r="C1402" s="22" t="s">
        <v>6090</v>
      </c>
      <c r="D1402" s="22" t="s">
        <v>6091</v>
      </c>
      <c r="E1402" s="23" t="s">
        <v>84</v>
      </c>
      <c r="F1402" s="23" t="s">
        <v>92</v>
      </c>
      <c r="G1402" s="23" t="s">
        <v>26</v>
      </c>
      <c r="H1402" s="23" t="s">
        <v>6087</v>
      </c>
      <c r="I1402" s="23" t="s">
        <v>6092</v>
      </c>
      <c r="J1402" s="34" t="s">
        <v>34</v>
      </c>
      <c r="K1402" s="23" t="s">
        <v>19</v>
      </c>
      <c r="L1402" s="23" t="s">
        <v>16</v>
      </c>
      <c r="M1402" s="24"/>
    </row>
    <row r="1403" spans="1:13">
      <c r="A1403" s="22">
        <v>2136186</v>
      </c>
      <c r="B1403" s="23" t="s">
        <v>6093</v>
      </c>
      <c r="C1403" s="22" t="s">
        <v>6094</v>
      </c>
      <c r="D1403" s="22" t="s">
        <v>6095</v>
      </c>
      <c r="E1403" s="23" t="s">
        <v>84</v>
      </c>
      <c r="F1403" s="23" t="s">
        <v>112</v>
      </c>
      <c r="G1403" s="23" t="s">
        <v>26</v>
      </c>
      <c r="H1403" s="23" t="s">
        <v>6096</v>
      </c>
      <c r="I1403" s="23" t="s">
        <v>6097</v>
      </c>
      <c r="J1403" s="22" t="s">
        <v>94</v>
      </c>
      <c r="K1403" s="23" t="s">
        <v>107</v>
      </c>
      <c r="L1403" s="23" t="s">
        <v>18</v>
      </c>
      <c r="M1403" s="24"/>
    </row>
    <row r="1404" spans="1:13">
      <c r="A1404" s="19">
        <v>2521729</v>
      </c>
      <c r="B1404" s="20" t="s">
        <v>6098</v>
      </c>
      <c r="C1404" s="19" t="s">
        <v>6099</v>
      </c>
      <c r="D1404" s="19" t="s">
        <v>6100</v>
      </c>
      <c r="E1404" s="20" t="s">
        <v>127</v>
      </c>
      <c r="F1404" s="20" t="s">
        <v>92</v>
      </c>
      <c r="G1404" s="20" t="s">
        <v>26</v>
      </c>
      <c r="H1404" s="20" t="s">
        <v>6101</v>
      </c>
      <c r="I1404" s="20" t="s">
        <v>6102</v>
      </c>
      <c r="J1404" s="23">
        <v>3</v>
      </c>
      <c r="K1404" s="20" t="s">
        <v>107</v>
      </c>
      <c r="L1404" s="20" t="s">
        <v>16</v>
      </c>
      <c r="M1404" s="21"/>
    </row>
    <row r="1405" spans="1:13">
      <c r="A1405" s="19">
        <v>2512299</v>
      </c>
      <c r="B1405" s="20" t="s">
        <v>6103</v>
      </c>
      <c r="C1405" s="19" t="s">
        <v>6104</v>
      </c>
      <c r="D1405" s="19" t="s">
        <v>6105</v>
      </c>
      <c r="E1405" s="20" t="s">
        <v>84</v>
      </c>
      <c r="F1405" s="20" t="s">
        <v>92</v>
      </c>
      <c r="G1405" s="20" t="s">
        <v>26</v>
      </c>
      <c r="H1405" s="20" t="s">
        <v>6106</v>
      </c>
      <c r="I1405" s="20" t="s">
        <v>6107</v>
      </c>
      <c r="J1405" s="23">
        <v>3</v>
      </c>
      <c r="K1405" s="20" t="s">
        <v>19</v>
      </c>
      <c r="L1405" s="20" t="s">
        <v>16</v>
      </c>
      <c r="M1405" s="21" t="s">
        <v>1016</v>
      </c>
    </row>
    <row r="1406" spans="1:13">
      <c r="A1406" s="19">
        <v>2512332</v>
      </c>
      <c r="B1406" s="20" t="s">
        <v>6108</v>
      </c>
      <c r="C1406" s="19" t="s">
        <v>6109</v>
      </c>
      <c r="D1406" s="19" t="s">
        <v>6110</v>
      </c>
      <c r="E1406" s="20" t="s">
        <v>84</v>
      </c>
      <c r="F1406" s="20" t="s">
        <v>92</v>
      </c>
      <c r="G1406" s="20" t="s">
        <v>26</v>
      </c>
      <c r="H1406" s="20" t="s">
        <v>6111</v>
      </c>
      <c r="I1406" s="20" t="s">
        <v>6112</v>
      </c>
      <c r="J1406" s="23">
        <v>3</v>
      </c>
      <c r="K1406" s="20" t="s">
        <v>107</v>
      </c>
      <c r="L1406" s="20" t="s">
        <v>16</v>
      </c>
      <c r="M1406" s="21"/>
    </row>
    <row r="1407" spans="1:13">
      <c r="A1407" s="22">
        <v>2533221</v>
      </c>
      <c r="B1407" s="23" t="s">
        <v>6113</v>
      </c>
      <c r="C1407" s="22" t="s">
        <v>6090</v>
      </c>
      <c r="D1407" s="22" t="s">
        <v>6091</v>
      </c>
      <c r="E1407" s="23" t="s">
        <v>84</v>
      </c>
      <c r="F1407" s="23" t="s">
        <v>92</v>
      </c>
      <c r="G1407" s="23" t="s">
        <v>26</v>
      </c>
      <c r="H1407" s="23" t="s">
        <v>6114</v>
      </c>
      <c r="I1407" s="23" t="s">
        <v>6092</v>
      </c>
      <c r="J1407" s="34" t="s">
        <v>34</v>
      </c>
      <c r="K1407" s="23" t="s">
        <v>19</v>
      </c>
      <c r="L1407" s="23" t="s">
        <v>16</v>
      </c>
      <c r="M1407" s="24"/>
    </row>
    <row r="1408" spans="1:13">
      <c r="A1408" s="22">
        <v>2531998</v>
      </c>
      <c r="B1408" s="23" t="s">
        <v>6115</v>
      </c>
      <c r="C1408" s="22" t="s">
        <v>6116</v>
      </c>
      <c r="D1408" s="22" t="s">
        <v>6117</v>
      </c>
      <c r="E1408" s="23" t="s">
        <v>84</v>
      </c>
      <c r="F1408" s="23" t="s">
        <v>92</v>
      </c>
      <c r="G1408" s="23" t="s">
        <v>26</v>
      </c>
      <c r="H1408" s="23" t="s">
        <v>6118</v>
      </c>
      <c r="I1408" s="23" t="s">
        <v>6119</v>
      </c>
      <c r="J1408" s="20">
        <v>2</v>
      </c>
      <c r="K1408" s="23" t="s">
        <v>19</v>
      </c>
      <c r="L1408" s="23" t="s">
        <v>18</v>
      </c>
      <c r="M1408" s="24"/>
    </row>
    <row r="1409" spans="1:13">
      <c r="A1409" s="22">
        <v>2521793</v>
      </c>
      <c r="B1409" s="23" t="s">
        <v>6120</v>
      </c>
      <c r="C1409" s="22" t="s">
        <v>6121</v>
      </c>
      <c r="D1409" s="22" t="s">
        <v>6122</v>
      </c>
      <c r="E1409" s="23" t="s">
        <v>84</v>
      </c>
      <c r="F1409" s="23" t="s">
        <v>92</v>
      </c>
      <c r="G1409" s="23" t="s">
        <v>26</v>
      </c>
      <c r="H1409" s="23" t="s">
        <v>6123</v>
      </c>
      <c r="I1409" s="23" t="s">
        <v>6124</v>
      </c>
      <c r="J1409" s="20">
        <v>2</v>
      </c>
      <c r="K1409" s="23" t="s">
        <v>107</v>
      </c>
      <c r="L1409" s="23" t="s">
        <v>16</v>
      </c>
      <c r="M1409" s="24"/>
    </row>
    <row r="1410" spans="1:13">
      <c r="A1410" s="19">
        <v>2533012</v>
      </c>
      <c r="B1410" s="20" t="s">
        <v>6125</v>
      </c>
      <c r="C1410" s="19" t="s">
        <v>6126</v>
      </c>
      <c r="D1410" s="19" t="s">
        <v>6127</v>
      </c>
      <c r="E1410" s="20" t="s">
        <v>84</v>
      </c>
      <c r="F1410" s="20" t="s">
        <v>92</v>
      </c>
      <c r="G1410" s="20" t="s">
        <v>26</v>
      </c>
      <c r="H1410" s="20" t="s">
        <v>6092</v>
      </c>
      <c r="I1410" s="20" t="s">
        <v>6092</v>
      </c>
      <c r="J1410" s="20">
        <v>2</v>
      </c>
      <c r="K1410" s="20" t="s">
        <v>107</v>
      </c>
      <c r="L1410" s="20" t="s">
        <v>16</v>
      </c>
      <c r="M1410" s="21"/>
    </row>
    <row r="1411" spans="1:13">
      <c r="A1411" s="19">
        <v>2521744</v>
      </c>
      <c r="B1411" s="20" t="s">
        <v>6128</v>
      </c>
      <c r="C1411" s="19" t="s">
        <v>6129</v>
      </c>
      <c r="D1411" s="19" t="s">
        <v>6130</v>
      </c>
      <c r="E1411" s="20" t="s">
        <v>127</v>
      </c>
      <c r="F1411" s="20" t="s">
        <v>92</v>
      </c>
      <c r="G1411" s="20" t="s">
        <v>26</v>
      </c>
      <c r="H1411" s="20" t="s">
        <v>6131</v>
      </c>
      <c r="I1411" s="20" t="s">
        <v>6132</v>
      </c>
      <c r="J1411" s="20">
        <v>2</v>
      </c>
      <c r="K1411" s="20" t="s">
        <v>107</v>
      </c>
      <c r="L1411" s="20" t="s">
        <v>16</v>
      </c>
      <c r="M1411" s="21"/>
    </row>
    <row r="1412" spans="1:13">
      <c r="A1412" s="22">
        <v>2531962</v>
      </c>
      <c r="B1412" s="23" t="s">
        <v>6133</v>
      </c>
      <c r="C1412" s="22" t="s">
        <v>6134</v>
      </c>
      <c r="D1412" s="22" t="s">
        <v>6135</v>
      </c>
      <c r="E1412" s="23" t="s">
        <v>127</v>
      </c>
      <c r="F1412" s="23" t="s">
        <v>92</v>
      </c>
      <c r="G1412" s="23" t="s">
        <v>26</v>
      </c>
      <c r="H1412" s="23" t="s">
        <v>6136</v>
      </c>
      <c r="I1412" s="23" t="s">
        <v>6137</v>
      </c>
      <c r="J1412" s="20">
        <v>4</v>
      </c>
      <c r="K1412" s="23" t="s">
        <v>6138</v>
      </c>
      <c r="L1412" s="23" t="s">
        <v>18</v>
      </c>
      <c r="M1412" s="24"/>
    </row>
    <row r="1413" spans="1:13">
      <c r="A1413" s="19">
        <v>2533055</v>
      </c>
      <c r="B1413" s="20" t="s">
        <v>6139</v>
      </c>
      <c r="C1413" s="19" t="s">
        <v>6140</v>
      </c>
      <c r="D1413" s="19" t="s">
        <v>6141</v>
      </c>
      <c r="E1413" s="20" t="s">
        <v>84</v>
      </c>
      <c r="F1413" s="20" t="s">
        <v>92</v>
      </c>
      <c r="G1413" s="20" t="s">
        <v>26</v>
      </c>
      <c r="H1413" s="20" t="s">
        <v>6131</v>
      </c>
      <c r="I1413" s="20" t="s">
        <v>6092</v>
      </c>
      <c r="J1413" s="33">
        <v>1</v>
      </c>
      <c r="K1413" s="20" t="s">
        <v>107</v>
      </c>
      <c r="L1413" s="20" t="s">
        <v>18</v>
      </c>
      <c r="M1413" s="21"/>
    </row>
    <row r="1414" spans="1:13">
      <c r="A1414" s="19">
        <v>2531991</v>
      </c>
      <c r="B1414" s="20" t="s">
        <v>6142</v>
      </c>
      <c r="C1414" s="19" t="s">
        <v>6143</v>
      </c>
      <c r="D1414" s="19" t="s">
        <v>6144</v>
      </c>
      <c r="E1414" s="20" t="s">
        <v>84</v>
      </c>
      <c r="F1414" s="20" t="s">
        <v>92</v>
      </c>
      <c r="G1414" s="20" t="s">
        <v>26</v>
      </c>
      <c r="H1414" s="20" t="s">
        <v>6145</v>
      </c>
      <c r="I1414" s="20" t="s">
        <v>6146</v>
      </c>
      <c r="J1414" s="20">
        <v>4</v>
      </c>
      <c r="K1414" s="20" t="s">
        <v>19</v>
      </c>
      <c r="L1414" s="20" t="s">
        <v>16</v>
      </c>
      <c r="M1414" s="21"/>
    </row>
    <row r="1415" spans="1:13">
      <c r="A1415" s="19">
        <v>2533069</v>
      </c>
      <c r="B1415" s="20" t="s">
        <v>6147</v>
      </c>
      <c r="C1415" s="19" t="s">
        <v>6148</v>
      </c>
      <c r="D1415" s="19" t="s">
        <v>6149</v>
      </c>
      <c r="E1415" s="20" t="s">
        <v>84</v>
      </c>
      <c r="F1415" s="20" t="s">
        <v>92</v>
      </c>
      <c r="G1415" s="20" t="s">
        <v>26</v>
      </c>
      <c r="H1415" s="20" t="s">
        <v>6150</v>
      </c>
      <c r="I1415" s="20" t="s">
        <v>6013</v>
      </c>
      <c r="J1415" s="20">
        <v>4</v>
      </c>
      <c r="K1415" s="20" t="s">
        <v>107</v>
      </c>
      <c r="L1415" s="20" t="s">
        <v>16</v>
      </c>
      <c r="M1415" s="21"/>
    </row>
    <row r="1416" spans="1:13">
      <c r="A1416" s="22">
        <v>2521187</v>
      </c>
      <c r="B1416" s="23" t="s">
        <v>6079</v>
      </c>
      <c r="C1416" s="22" t="s">
        <v>6080</v>
      </c>
      <c r="D1416" s="22" t="s">
        <v>6081</v>
      </c>
      <c r="E1416" s="23" t="s">
        <v>84</v>
      </c>
      <c r="F1416" s="23" t="s">
        <v>92</v>
      </c>
      <c r="G1416" s="23" t="s">
        <v>26</v>
      </c>
      <c r="H1416" s="23" t="s">
        <v>6151</v>
      </c>
      <c r="I1416" s="23" t="s">
        <v>6152</v>
      </c>
      <c r="J1416" s="34" t="s">
        <v>34</v>
      </c>
      <c r="K1416" s="23" t="s">
        <v>107</v>
      </c>
      <c r="L1416" s="23" t="s">
        <v>16</v>
      </c>
      <c r="M1416" s="24"/>
    </row>
    <row r="1417" spans="1:13">
      <c r="A1417" s="19">
        <v>2516788</v>
      </c>
      <c r="B1417" s="20" t="s">
        <v>6153</v>
      </c>
      <c r="C1417" s="19" t="s">
        <v>6154</v>
      </c>
      <c r="D1417" s="19" t="s">
        <v>6155</v>
      </c>
      <c r="E1417" s="20" t="s">
        <v>84</v>
      </c>
      <c r="F1417" s="20" t="s">
        <v>92</v>
      </c>
      <c r="G1417" s="20" t="s">
        <v>26</v>
      </c>
      <c r="H1417" s="20" t="s">
        <v>6156</v>
      </c>
      <c r="I1417" s="20" t="s">
        <v>6157</v>
      </c>
      <c r="J1417" s="20">
        <v>2</v>
      </c>
      <c r="K1417" s="20" t="s">
        <v>107</v>
      </c>
      <c r="L1417" s="20" t="s">
        <v>16</v>
      </c>
      <c r="M1417" s="21"/>
    </row>
    <row r="1418" spans="1:13">
      <c r="A1418" s="22">
        <v>2521642</v>
      </c>
      <c r="B1418" s="23" t="s">
        <v>6158</v>
      </c>
      <c r="C1418" s="22" t="s">
        <v>6159</v>
      </c>
      <c r="D1418" s="22" t="s">
        <v>6160</v>
      </c>
      <c r="E1418" s="23" t="s">
        <v>84</v>
      </c>
      <c r="F1418" s="23" t="s">
        <v>92</v>
      </c>
      <c r="G1418" s="23" t="s">
        <v>26</v>
      </c>
      <c r="H1418" s="23" t="s">
        <v>6161</v>
      </c>
      <c r="I1418" s="23" t="s">
        <v>6162</v>
      </c>
      <c r="J1418" s="33">
        <v>1</v>
      </c>
      <c r="K1418" s="23" t="s">
        <v>19</v>
      </c>
      <c r="L1418" s="23" t="s">
        <v>16</v>
      </c>
      <c r="M1418" s="24" t="s">
        <v>330</v>
      </c>
    </row>
    <row r="1419" spans="1:13">
      <c r="A1419" s="22">
        <v>2521642</v>
      </c>
      <c r="B1419" s="23" t="s">
        <v>6158</v>
      </c>
      <c r="C1419" s="22" t="s">
        <v>6159</v>
      </c>
      <c r="D1419" s="22" t="s">
        <v>6160</v>
      </c>
      <c r="E1419" s="23" t="s">
        <v>84</v>
      </c>
      <c r="F1419" s="23" t="s">
        <v>92</v>
      </c>
      <c r="G1419" s="23" t="s">
        <v>26</v>
      </c>
      <c r="H1419" s="23" t="s">
        <v>6163</v>
      </c>
      <c r="I1419" s="23" t="s">
        <v>6164</v>
      </c>
      <c r="J1419" s="33">
        <v>1</v>
      </c>
      <c r="K1419" s="23" t="s">
        <v>19</v>
      </c>
      <c r="L1419" s="23" t="s">
        <v>16</v>
      </c>
      <c r="M1419" s="24" t="s">
        <v>49</v>
      </c>
    </row>
    <row r="1420" spans="1:13">
      <c r="A1420" s="22">
        <v>2529620</v>
      </c>
      <c r="B1420" s="23" t="s">
        <v>6165</v>
      </c>
      <c r="C1420" s="22" t="s">
        <v>6166</v>
      </c>
      <c r="D1420" s="22" t="s">
        <v>6167</v>
      </c>
      <c r="E1420" s="23" t="s">
        <v>84</v>
      </c>
      <c r="F1420" s="23" t="s">
        <v>92</v>
      </c>
      <c r="G1420" s="23" t="s">
        <v>26</v>
      </c>
      <c r="H1420" s="23" t="s">
        <v>6168</v>
      </c>
      <c r="I1420" s="23" t="s">
        <v>6169</v>
      </c>
      <c r="J1420" s="20">
        <v>2</v>
      </c>
      <c r="K1420" s="23" t="s">
        <v>206</v>
      </c>
      <c r="L1420" s="23" t="s">
        <v>16</v>
      </c>
      <c r="M1420" s="24"/>
    </row>
    <row r="1421" spans="1:13">
      <c r="A1421" s="22">
        <v>2524564</v>
      </c>
      <c r="B1421" s="23" t="s">
        <v>6170</v>
      </c>
      <c r="C1421" s="22" t="s">
        <v>6171</v>
      </c>
      <c r="D1421" s="22" t="s">
        <v>6172</v>
      </c>
      <c r="E1421" s="23" t="s">
        <v>84</v>
      </c>
      <c r="F1421" s="23" t="s">
        <v>85</v>
      </c>
      <c r="G1421" s="23" t="s">
        <v>25</v>
      </c>
      <c r="H1421" s="23" t="s">
        <v>6173</v>
      </c>
      <c r="I1421" s="23" t="s">
        <v>6174</v>
      </c>
      <c r="J1421" s="20">
        <v>2</v>
      </c>
      <c r="K1421" s="23" t="s">
        <v>3846</v>
      </c>
      <c r="L1421" s="23" t="s">
        <v>18</v>
      </c>
      <c r="M1421" s="24"/>
    </row>
    <row r="1422" spans="1:13">
      <c r="A1422" s="22">
        <v>2530217</v>
      </c>
      <c r="B1422" s="23" t="s">
        <v>6175</v>
      </c>
      <c r="C1422" s="22" t="s">
        <v>6176</v>
      </c>
      <c r="D1422" s="22" t="s">
        <v>6176</v>
      </c>
      <c r="E1422" s="23" t="s">
        <v>84</v>
      </c>
      <c r="F1422" s="23" t="s">
        <v>112</v>
      </c>
      <c r="G1422" s="23" t="s">
        <v>26</v>
      </c>
      <c r="H1422" s="23" t="s">
        <v>6177</v>
      </c>
      <c r="I1422" s="23" t="s">
        <v>6178</v>
      </c>
      <c r="J1422" s="20">
        <v>4</v>
      </c>
      <c r="K1422" s="23" t="s">
        <v>19</v>
      </c>
      <c r="L1422" s="23" t="s">
        <v>18</v>
      </c>
      <c r="M1422" s="24"/>
    </row>
    <row r="1423" spans="1:13">
      <c r="A1423" s="22">
        <v>2529623</v>
      </c>
      <c r="B1423" s="23" t="s">
        <v>6179</v>
      </c>
      <c r="C1423" s="22" t="s">
        <v>6180</v>
      </c>
      <c r="D1423" s="22" t="s">
        <v>6181</v>
      </c>
      <c r="E1423" s="23" t="s">
        <v>384</v>
      </c>
      <c r="F1423" s="23" t="s">
        <v>92</v>
      </c>
      <c r="G1423" s="23" t="s">
        <v>26</v>
      </c>
      <c r="H1423" s="23" t="s">
        <v>6182</v>
      </c>
      <c r="I1423" s="23" t="s">
        <v>6183</v>
      </c>
      <c r="J1423" s="20">
        <v>4</v>
      </c>
      <c r="K1423" s="23" t="s">
        <v>19</v>
      </c>
      <c r="L1423" s="23" t="s">
        <v>16</v>
      </c>
      <c r="M1423" s="24"/>
    </row>
    <row r="1424" spans="1:13">
      <c r="A1424" s="22">
        <v>2529623</v>
      </c>
      <c r="B1424" s="23" t="s">
        <v>6179</v>
      </c>
      <c r="C1424" s="22" t="s">
        <v>6180</v>
      </c>
      <c r="D1424" s="22" t="s">
        <v>6181</v>
      </c>
      <c r="E1424" s="23" t="s">
        <v>384</v>
      </c>
      <c r="F1424" s="23" t="s">
        <v>92</v>
      </c>
      <c r="G1424" s="23" t="s">
        <v>26</v>
      </c>
      <c r="H1424" s="23" t="s">
        <v>6182</v>
      </c>
      <c r="I1424" s="23" t="s">
        <v>6184</v>
      </c>
      <c r="J1424" s="20">
        <v>4</v>
      </c>
      <c r="K1424" s="23" t="s">
        <v>19</v>
      </c>
      <c r="L1424" s="23" t="s">
        <v>16</v>
      </c>
      <c r="M1424" s="24"/>
    </row>
    <row r="1425" spans="1:13">
      <c r="A1425" s="19">
        <v>2521653</v>
      </c>
      <c r="B1425" s="20" t="s">
        <v>6185</v>
      </c>
      <c r="C1425" s="19" t="s">
        <v>6186</v>
      </c>
      <c r="D1425" s="19" t="s">
        <v>6187</v>
      </c>
      <c r="E1425" s="20" t="s">
        <v>84</v>
      </c>
      <c r="F1425" s="20" t="s">
        <v>172</v>
      </c>
      <c r="G1425" s="20" t="s">
        <v>26</v>
      </c>
      <c r="H1425" s="20" t="s">
        <v>6188</v>
      </c>
      <c r="I1425" s="20" t="s">
        <v>6189</v>
      </c>
      <c r="J1425" s="23">
        <v>3</v>
      </c>
      <c r="K1425" s="20" t="s">
        <v>107</v>
      </c>
      <c r="L1425" s="20" t="s">
        <v>18</v>
      </c>
      <c r="M1425" s="21"/>
    </row>
    <row r="1426" spans="1:13">
      <c r="A1426" s="19">
        <v>2522886</v>
      </c>
      <c r="B1426" s="20" t="s">
        <v>6190</v>
      </c>
      <c r="C1426" s="19" t="s">
        <v>6191</v>
      </c>
      <c r="D1426" s="19" t="s">
        <v>6192</v>
      </c>
      <c r="E1426" s="20" t="s">
        <v>84</v>
      </c>
      <c r="F1426" s="20" t="s">
        <v>92</v>
      </c>
      <c r="G1426" s="20" t="s">
        <v>26</v>
      </c>
      <c r="H1426" s="20" t="s">
        <v>6193</v>
      </c>
      <c r="I1426" s="20" t="s">
        <v>6194</v>
      </c>
      <c r="J1426" s="20">
        <v>2</v>
      </c>
      <c r="K1426" s="20" t="s">
        <v>19</v>
      </c>
      <c r="L1426" s="20" t="s">
        <v>16</v>
      </c>
      <c r="M1426" s="21"/>
    </row>
    <row r="1427" spans="1:13">
      <c r="A1427" s="19">
        <v>2521644</v>
      </c>
      <c r="B1427" s="20" t="s">
        <v>6195</v>
      </c>
      <c r="C1427" s="19" t="s">
        <v>6196</v>
      </c>
      <c r="D1427" s="19" t="s">
        <v>6197</v>
      </c>
      <c r="E1427" s="20" t="s">
        <v>84</v>
      </c>
      <c r="F1427" s="20" t="s">
        <v>92</v>
      </c>
      <c r="G1427" s="20" t="s">
        <v>26</v>
      </c>
      <c r="H1427" s="20" t="s">
        <v>6198</v>
      </c>
      <c r="I1427" s="20" t="s">
        <v>6199</v>
      </c>
      <c r="J1427" s="23">
        <v>3</v>
      </c>
      <c r="K1427" s="20" t="s">
        <v>107</v>
      </c>
      <c r="L1427" s="20" t="s">
        <v>16</v>
      </c>
      <c r="M1427" s="21"/>
    </row>
    <row r="1428" spans="1:13">
      <c r="A1428" s="19">
        <v>2521705</v>
      </c>
      <c r="B1428" s="20" t="s">
        <v>6200</v>
      </c>
      <c r="C1428" s="19" t="s">
        <v>6201</v>
      </c>
      <c r="D1428" s="19" t="s">
        <v>6202</v>
      </c>
      <c r="E1428" s="20" t="s">
        <v>84</v>
      </c>
      <c r="F1428" s="20" t="s">
        <v>92</v>
      </c>
      <c r="G1428" s="20" t="s">
        <v>26</v>
      </c>
      <c r="H1428" s="20" t="s">
        <v>6203</v>
      </c>
      <c r="I1428" s="20" t="s">
        <v>6204</v>
      </c>
      <c r="J1428" s="23">
        <v>3</v>
      </c>
      <c r="K1428" s="20" t="s">
        <v>107</v>
      </c>
      <c r="L1428" s="20" t="s">
        <v>16</v>
      </c>
      <c r="M1428" s="21"/>
    </row>
    <row r="1429" spans="1:13">
      <c r="A1429" s="22">
        <v>2521644</v>
      </c>
      <c r="B1429" s="23" t="s">
        <v>6195</v>
      </c>
      <c r="C1429" s="22" t="s">
        <v>6196</v>
      </c>
      <c r="D1429" s="22" t="s">
        <v>6197</v>
      </c>
      <c r="E1429" s="23" t="s">
        <v>84</v>
      </c>
      <c r="F1429" s="23" t="s">
        <v>92</v>
      </c>
      <c r="G1429" s="23" t="s">
        <v>26</v>
      </c>
      <c r="H1429" s="23" t="s">
        <v>6198</v>
      </c>
      <c r="I1429" s="23" t="s">
        <v>6199</v>
      </c>
      <c r="J1429" s="23">
        <v>3</v>
      </c>
      <c r="K1429" s="23" t="s">
        <v>107</v>
      </c>
      <c r="L1429" s="23" t="s">
        <v>16</v>
      </c>
      <c r="M1429" s="24"/>
    </row>
    <row r="1430" spans="1:13">
      <c r="A1430" s="22">
        <v>2524607</v>
      </c>
      <c r="B1430" s="23" t="s">
        <v>6205</v>
      </c>
      <c r="C1430" s="22" t="s">
        <v>6206</v>
      </c>
      <c r="D1430" s="22" t="s">
        <v>6207</v>
      </c>
      <c r="E1430" s="23" t="s">
        <v>84</v>
      </c>
      <c r="F1430" s="23" t="s">
        <v>92</v>
      </c>
      <c r="G1430" s="23" t="s">
        <v>26</v>
      </c>
      <c r="H1430" s="23" t="s">
        <v>6208</v>
      </c>
      <c r="I1430" s="23" t="s">
        <v>6209</v>
      </c>
      <c r="J1430" s="36">
        <v>4</v>
      </c>
      <c r="K1430" s="23" t="s">
        <v>107</v>
      </c>
      <c r="L1430" s="23" t="s">
        <v>18</v>
      </c>
      <c r="M1430" s="24"/>
    </row>
    <row r="1431" spans="1:13">
      <c r="A1431" s="19">
        <v>2532972</v>
      </c>
      <c r="B1431" s="20" t="s">
        <v>6210</v>
      </c>
      <c r="C1431" s="19" t="s">
        <v>6211</v>
      </c>
      <c r="D1431" s="19" t="s">
        <v>6212</v>
      </c>
      <c r="E1431" s="20" t="s">
        <v>84</v>
      </c>
      <c r="F1431" s="20" t="s">
        <v>92</v>
      </c>
      <c r="G1431" s="20" t="s">
        <v>26</v>
      </c>
      <c r="H1431" s="20" t="s">
        <v>6213</v>
      </c>
      <c r="I1431" s="20" t="s">
        <v>6214</v>
      </c>
      <c r="J1431" s="23">
        <v>1</v>
      </c>
      <c r="K1431" s="20" t="s">
        <v>19</v>
      </c>
      <c r="L1431" s="20" t="s">
        <v>16</v>
      </c>
      <c r="M1431" s="21"/>
    </row>
    <row r="1432" spans="1:13">
      <c r="A1432" s="22">
        <v>2533015</v>
      </c>
      <c r="B1432" s="23" t="s">
        <v>6215</v>
      </c>
      <c r="C1432" s="22" t="s">
        <v>6216</v>
      </c>
      <c r="D1432" s="22" t="s">
        <v>6217</v>
      </c>
      <c r="E1432" s="23" t="s">
        <v>84</v>
      </c>
      <c r="F1432" s="23" t="s">
        <v>92</v>
      </c>
      <c r="G1432" s="23" t="s">
        <v>26</v>
      </c>
      <c r="H1432" s="23" t="s">
        <v>6218</v>
      </c>
      <c r="I1432" s="23" t="s">
        <v>6219</v>
      </c>
      <c r="J1432" s="23">
        <v>1</v>
      </c>
      <c r="K1432" s="23" t="s">
        <v>19</v>
      </c>
      <c r="L1432" s="23" t="s">
        <v>18</v>
      </c>
      <c r="M1432" s="24"/>
    </row>
    <row r="1433" spans="1:13">
      <c r="A1433" s="19">
        <v>2525010</v>
      </c>
      <c r="B1433" s="20" t="s">
        <v>6220</v>
      </c>
      <c r="C1433" s="19" t="s">
        <v>6221</v>
      </c>
      <c r="D1433" s="19" t="s">
        <v>6222</v>
      </c>
      <c r="E1433" s="20" t="s">
        <v>127</v>
      </c>
      <c r="F1433" s="20" t="s">
        <v>92</v>
      </c>
      <c r="G1433" s="20" t="s">
        <v>26</v>
      </c>
      <c r="H1433" s="20" t="s">
        <v>6223</v>
      </c>
      <c r="I1433" s="20" t="s">
        <v>6224</v>
      </c>
      <c r="J1433" s="20">
        <v>2</v>
      </c>
      <c r="K1433" s="20" t="s">
        <v>19</v>
      </c>
      <c r="L1433" s="20" t="s">
        <v>16</v>
      </c>
      <c r="M1433" s="21"/>
    </row>
    <row r="1434" spans="1:13">
      <c r="A1434" s="22">
        <v>2525029</v>
      </c>
      <c r="B1434" s="23" t="s">
        <v>6225</v>
      </c>
      <c r="C1434" s="22" t="s">
        <v>6226</v>
      </c>
      <c r="D1434" s="22" t="s">
        <v>6227</v>
      </c>
      <c r="E1434" s="23" t="s">
        <v>127</v>
      </c>
      <c r="F1434" s="23" t="s">
        <v>92</v>
      </c>
      <c r="G1434" s="23" t="s">
        <v>24</v>
      </c>
      <c r="H1434" s="23" t="s">
        <v>6228</v>
      </c>
      <c r="I1434" s="23" t="s">
        <v>6228</v>
      </c>
      <c r="J1434" s="33">
        <v>2</v>
      </c>
      <c r="K1434" s="23" t="s">
        <v>19</v>
      </c>
      <c r="L1434" s="23" t="s">
        <v>16</v>
      </c>
      <c r="M1434" s="24"/>
    </row>
    <row r="1435" spans="1:13">
      <c r="A1435" s="22">
        <v>2525034</v>
      </c>
      <c r="B1435" s="23" t="s">
        <v>6229</v>
      </c>
      <c r="C1435" s="22" t="s">
        <v>6230</v>
      </c>
      <c r="D1435" s="22" t="s">
        <v>6231</v>
      </c>
      <c r="E1435" s="23" t="s">
        <v>127</v>
      </c>
      <c r="F1435" s="23" t="s">
        <v>92</v>
      </c>
      <c r="G1435" s="23" t="s">
        <v>26</v>
      </c>
      <c r="H1435" s="23" t="s">
        <v>6232</v>
      </c>
      <c r="I1435" s="23" t="s">
        <v>6233</v>
      </c>
      <c r="J1435" s="20">
        <v>4</v>
      </c>
      <c r="K1435" s="23" t="s">
        <v>19</v>
      </c>
      <c r="L1435" s="23" t="s">
        <v>16</v>
      </c>
      <c r="M1435" s="24"/>
    </row>
    <row r="1436" spans="1:13">
      <c r="A1436" s="19">
        <v>2525034</v>
      </c>
      <c r="B1436" s="20" t="s">
        <v>6229</v>
      </c>
      <c r="C1436" s="19" t="s">
        <v>6230</v>
      </c>
      <c r="D1436" s="19" t="s">
        <v>6231</v>
      </c>
      <c r="E1436" s="20" t="s">
        <v>127</v>
      </c>
      <c r="F1436" s="20" t="s">
        <v>92</v>
      </c>
      <c r="G1436" s="20" t="s">
        <v>26</v>
      </c>
      <c r="H1436" s="20" t="s">
        <v>6232</v>
      </c>
      <c r="I1436" s="20" t="s">
        <v>6234</v>
      </c>
      <c r="J1436" s="20">
        <v>4</v>
      </c>
      <c r="K1436" s="20" t="s">
        <v>19</v>
      </c>
      <c r="L1436" s="20" t="s">
        <v>16</v>
      </c>
      <c r="M1436" s="21"/>
    </row>
    <row r="1437" spans="1:13">
      <c r="A1437" s="19">
        <v>2532972</v>
      </c>
      <c r="B1437" s="20" t="s">
        <v>6210</v>
      </c>
      <c r="C1437" s="19" t="s">
        <v>6211</v>
      </c>
      <c r="D1437" s="19" t="s">
        <v>6212</v>
      </c>
      <c r="E1437" s="20" t="s">
        <v>84</v>
      </c>
      <c r="F1437" s="20" t="s">
        <v>92</v>
      </c>
      <c r="G1437" s="20" t="s">
        <v>26</v>
      </c>
      <c r="H1437" s="20" t="s">
        <v>6235</v>
      </c>
      <c r="I1437" s="20" t="s">
        <v>6236</v>
      </c>
      <c r="J1437" s="23">
        <v>1</v>
      </c>
      <c r="K1437" s="20" t="s">
        <v>19</v>
      </c>
      <c r="L1437" s="20" t="s">
        <v>16</v>
      </c>
      <c r="M1437" s="21"/>
    </row>
    <row r="1438" spans="1:13">
      <c r="A1438" s="19">
        <v>2520974</v>
      </c>
      <c r="B1438" s="20" t="s">
        <v>6237</v>
      </c>
      <c r="C1438" s="19" t="s">
        <v>6238</v>
      </c>
      <c r="D1438" s="19" t="s">
        <v>6239</v>
      </c>
      <c r="E1438" s="20" t="s">
        <v>84</v>
      </c>
      <c r="F1438" s="20" t="s">
        <v>92</v>
      </c>
      <c r="G1438" s="20" t="s">
        <v>26</v>
      </c>
      <c r="H1438" s="20" t="s">
        <v>6240</v>
      </c>
      <c r="I1438" s="20" t="s">
        <v>6241</v>
      </c>
      <c r="J1438" s="20">
        <v>2</v>
      </c>
      <c r="K1438" s="20" t="s">
        <v>19</v>
      </c>
      <c r="L1438" s="20" t="s">
        <v>16</v>
      </c>
      <c r="M1438" s="21"/>
    </row>
    <row r="1439" spans="1:13">
      <c r="A1439" s="22">
        <v>2523394</v>
      </c>
      <c r="B1439" s="23" t="s">
        <v>6242</v>
      </c>
      <c r="C1439" s="22" t="s">
        <v>6243</v>
      </c>
      <c r="D1439" s="22" t="s">
        <v>6244</v>
      </c>
      <c r="E1439" s="23" t="s">
        <v>84</v>
      </c>
      <c r="F1439" s="23" t="s">
        <v>92</v>
      </c>
      <c r="G1439" s="23" t="s">
        <v>26</v>
      </c>
      <c r="H1439" s="23" t="s">
        <v>6240</v>
      </c>
      <c r="I1439" s="23" t="s">
        <v>6245</v>
      </c>
      <c r="J1439" s="20">
        <v>2</v>
      </c>
      <c r="K1439" s="23" t="s">
        <v>19</v>
      </c>
      <c r="L1439" s="23" t="s">
        <v>16</v>
      </c>
      <c r="M1439" s="24"/>
    </row>
    <row r="1440" spans="1:13">
      <c r="A1440" s="22">
        <v>2521825</v>
      </c>
      <c r="B1440" s="23" t="s">
        <v>6246</v>
      </c>
      <c r="C1440" s="22" t="s">
        <v>6247</v>
      </c>
      <c r="D1440" s="22" t="s">
        <v>6248</v>
      </c>
      <c r="E1440" s="23" t="s">
        <v>178</v>
      </c>
      <c r="F1440" s="23" t="s">
        <v>172</v>
      </c>
      <c r="G1440" s="23" t="s">
        <v>26</v>
      </c>
      <c r="H1440" s="23" t="s">
        <v>6249</v>
      </c>
      <c r="I1440" s="23" t="s">
        <v>6250</v>
      </c>
      <c r="J1440" s="23">
        <v>3</v>
      </c>
      <c r="K1440" s="23" t="s">
        <v>107</v>
      </c>
      <c r="L1440" s="23" t="s">
        <v>16</v>
      </c>
      <c r="M1440" s="24" t="s">
        <v>3674</v>
      </c>
    </row>
    <row r="1441" spans="1:13">
      <c r="A1441" s="19">
        <v>2529568</v>
      </c>
      <c r="B1441" s="20" t="s">
        <v>6251</v>
      </c>
      <c r="C1441" s="19" t="s">
        <v>6252</v>
      </c>
      <c r="D1441" s="19" t="s">
        <v>6253</v>
      </c>
      <c r="E1441" s="20" t="s">
        <v>127</v>
      </c>
      <c r="F1441" s="20" t="s">
        <v>92</v>
      </c>
      <c r="G1441" s="20" t="s">
        <v>26</v>
      </c>
      <c r="H1441" s="20" t="s">
        <v>6254</v>
      </c>
      <c r="I1441" s="20" t="s">
        <v>6255</v>
      </c>
      <c r="J1441" s="20">
        <v>4</v>
      </c>
      <c r="K1441" s="20" t="s">
        <v>19</v>
      </c>
      <c r="L1441" s="20" t="s">
        <v>16</v>
      </c>
      <c r="M1441" s="21" t="s">
        <v>864</v>
      </c>
    </row>
    <row r="1442" spans="1:13">
      <c r="A1442" s="19">
        <v>2532889</v>
      </c>
      <c r="B1442" s="20" t="s">
        <v>6256</v>
      </c>
      <c r="C1442" s="19" t="s">
        <v>6257</v>
      </c>
      <c r="D1442" s="19" t="s">
        <v>6258</v>
      </c>
      <c r="E1442" s="20" t="s">
        <v>84</v>
      </c>
      <c r="F1442" s="20" t="s">
        <v>92</v>
      </c>
      <c r="G1442" s="20" t="s">
        <v>26</v>
      </c>
      <c r="H1442" s="20" t="s">
        <v>6240</v>
      </c>
      <c r="I1442" s="20" t="s">
        <v>6255</v>
      </c>
      <c r="J1442" s="20">
        <v>4</v>
      </c>
      <c r="K1442" s="20" t="s">
        <v>19</v>
      </c>
      <c r="L1442" s="20" t="s">
        <v>16</v>
      </c>
      <c r="M1442" s="21"/>
    </row>
    <row r="1443" spans="1:13">
      <c r="A1443" s="22">
        <v>2533057</v>
      </c>
      <c r="B1443" s="23" t="s">
        <v>6259</v>
      </c>
      <c r="C1443" s="22" t="s">
        <v>6260</v>
      </c>
      <c r="D1443" s="22" t="s">
        <v>6261</v>
      </c>
      <c r="E1443" s="23" t="s">
        <v>127</v>
      </c>
      <c r="F1443" s="23" t="s">
        <v>92</v>
      </c>
      <c r="G1443" s="23" t="s">
        <v>26</v>
      </c>
      <c r="H1443" s="23" t="s">
        <v>6254</v>
      </c>
      <c r="I1443" s="23" t="s">
        <v>6262</v>
      </c>
      <c r="J1443" s="20">
        <v>4</v>
      </c>
      <c r="K1443" s="23" t="s">
        <v>19</v>
      </c>
      <c r="L1443" s="23" t="s">
        <v>16</v>
      </c>
      <c r="M1443" s="24"/>
    </row>
    <row r="1444" spans="1:13">
      <c r="A1444" s="19">
        <v>2523376</v>
      </c>
      <c r="B1444" s="20" t="s">
        <v>6263</v>
      </c>
      <c r="C1444" s="19" t="s">
        <v>6264</v>
      </c>
      <c r="D1444" s="19" t="s">
        <v>6265</v>
      </c>
      <c r="E1444" s="20" t="s">
        <v>127</v>
      </c>
      <c r="F1444" s="20" t="s">
        <v>92</v>
      </c>
      <c r="G1444" s="20" t="s">
        <v>26</v>
      </c>
      <c r="H1444" s="20" t="s">
        <v>6240</v>
      </c>
      <c r="I1444" s="20" t="s">
        <v>6266</v>
      </c>
      <c r="J1444" s="20">
        <v>4</v>
      </c>
      <c r="K1444" s="20" t="s">
        <v>107</v>
      </c>
      <c r="L1444" s="20" t="s">
        <v>16</v>
      </c>
      <c r="M1444" s="21" t="s">
        <v>16</v>
      </c>
    </row>
    <row r="1445" spans="1:13">
      <c r="A1445" s="22">
        <v>2532901</v>
      </c>
      <c r="B1445" s="23" t="s">
        <v>6267</v>
      </c>
      <c r="C1445" s="22" t="s">
        <v>6268</v>
      </c>
      <c r="D1445" s="22" t="s">
        <v>6269</v>
      </c>
      <c r="E1445" s="23" t="s">
        <v>84</v>
      </c>
      <c r="F1445" s="23" t="s">
        <v>92</v>
      </c>
      <c r="G1445" s="23" t="s">
        <v>26</v>
      </c>
      <c r="H1445" s="23" t="s">
        <v>6240</v>
      </c>
      <c r="I1445" s="23" t="s">
        <v>6270</v>
      </c>
      <c r="J1445" s="20">
        <v>5</v>
      </c>
      <c r="K1445" s="23" t="s">
        <v>107</v>
      </c>
      <c r="L1445" s="23" t="s">
        <v>16</v>
      </c>
      <c r="M1445" s="24"/>
    </row>
    <row r="1446" spans="1:13">
      <c r="A1446" s="19">
        <v>2532901</v>
      </c>
      <c r="B1446" s="20" t="s">
        <v>6267</v>
      </c>
      <c r="C1446" s="19" t="s">
        <v>6268</v>
      </c>
      <c r="D1446" s="19" t="s">
        <v>6269</v>
      </c>
      <c r="E1446" s="20" t="s">
        <v>84</v>
      </c>
      <c r="F1446" s="20" t="s">
        <v>92</v>
      </c>
      <c r="G1446" s="20" t="s">
        <v>26</v>
      </c>
      <c r="H1446" s="20" t="s">
        <v>6240</v>
      </c>
      <c r="I1446" s="20" t="s">
        <v>6271</v>
      </c>
      <c r="J1446" s="20">
        <v>5</v>
      </c>
      <c r="K1446" s="20" t="s">
        <v>107</v>
      </c>
      <c r="L1446" s="20" t="s">
        <v>16</v>
      </c>
      <c r="M1446" s="21"/>
    </row>
    <row r="1447" spans="1:13">
      <c r="A1447" s="22">
        <v>2524545</v>
      </c>
      <c r="B1447" s="23" t="s">
        <v>6272</v>
      </c>
      <c r="C1447" s="22" t="s">
        <v>6273</v>
      </c>
      <c r="D1447" s="22" t="s">
        <v>6274</v>
      </c>
      <c r="E1447" s="23" t="s">
        <v>127</v>
      </c>
      <c r="F1447" s="23" t="s">
        <v>92</v>
      </c>
      <c r="G1447" s="23" t="s">
        <v>26</v>
      </c>
      <c r="H1447" s="23" t="s">
        <v>6275</v>
      </c>
      <c r="I1447" s="23" t="s">
        <v>6276</v>
      </c>
      <c r="J1447" s="23">
        <v>3</v>
      </c>
      <c r="K1447" s="23" t="s">
        <v>107</v>
      </c>
      <c r="L1447" s="23" t="s">
        <v>16</v>
      </c>
      <c r="M1447" s="24"/>
    </row>
    <row r="1448" spans="1:13">
      <c r="A1448" s="22">
        <v>2524648</v>
      </c>
      <c r="B1448" s="23" t="s">
        <v>6277</v>
      </c>
      <c r="C1448" s="22" t="s">
        <v>6278</v>
      </c>
      <c r="D1448" s="22" t="s">
        <v>3958</v>
      </c>
      <c r="E1448" s="23" t="s">
        <v>127</v>
      </c>
      <c r="F1448" s="23" t="s">
        <v>85</v>
      </c>
      <c r="G1448" s="23" t="s">
        <v>26</v>
      </c>
      <c r="H1448" s="23" t="s">
        <v>6279</v>
      </c>
      <c r="I1448" s="23" t="s">
        <v>6280</v>
      </c>
      <c r="J1448" s="23">
        <v>3</v>
      </c>
      <c r="K1448" s="23" t="s">
        <v>19</v>
      </c>
      <c r="L1448" s="23" t="s">
        <v>16</v>
      </c>
      <c r="M1448" s="24"/>
    </row>
    <row r="1449" spans="1:13">
      <c r="A1449" s="19">
        <v>2529581</v>
      </c>
      <c r="B1449" s="20" t="s">
        <v>6281</v>
      </c>
      <c r="C1449" s="19" t="s">
        <v>6282</v>
      </c>
      <c r="D1449" s="19" t="s">
        <v>6283</v>
      </c>
      <c r="E1449" s="20" t="s">
        <v>84</v>
      </c>
      <c r="F1449" s="20" t="s">
        <v>92</v>
      </c>
      <c r="G1449" s="20" t="s">
        <v>26</v>
      </c>
      <c r="H1449" s="20" t="s">
        <v>6284</v>
      </c>
      <c r="I1449" s="20" t="s">
        <v>6285</v>
      </c>
      <c r="J1449" s="33">
        <v>1</v>
      </c>
      <c r="K1449" s="20" t="s">
        <v>19</v>
      </c>
      <c r="L1449" s="20" t="s">
        <v>16</v>
      </c>
      <c r="M1449" s="21"/>
    </row>
    <row r="1450" spans="1:13">
      <c r="A1450" s="19">
        <v>2529638</v>
      </c>
      <c r="B1450" s="20" t="s">
        <v>6286</v>
      </c>
      <c r="C1450" s="19" t="s">
        <v>6287</v>
      </c>
      <c r="D1450" s="19" t="s">
        <v>6288</v>
      </c>
      <c r="E1450" s="20" t="s">
        <v>127</v>
      </c>
      <c r="F1450" s="20" t="s">
        <v>92</v>
      </c>
      <c r="G1450" s="20" t="s">
        <v>26</v>
      </c>
      <c r="H1450" s="20" t="s">
        <v>6289</v>
      </c>
      <c r="I1450" s="20" t="s">
        <v>6290</v>
      </c>
      <c r="J1450" s="23">
        <v>3</v>
      </c>
      <c r="K1450" s="20" t="s">
        <v>19</v>
      </c>
      <c r="L1450" s="20" t="s">
        <v>16</v>
      </c>
      <c r="M1450" s="21"/>
    </row>
    <row r="1451" spans="1:13">
      <c r="A1451" s="19">
        <v>2516743</v>
      </c>
      <c r="B1451" s="20" t="s">
        <v>6291</v>
      </c>
      <c r="C1451" s="19" t="s">
        <v>6292</v>
      </c>
      <c r="D1451" s="19" t="s">
        <v>6293</v>
      </c>
      <c r="E1451" s="20" t="s">
        <v>84</v>
      </c>
      <c r="F1451" s="20" t="s">
        <v>92</v>
      </c>
      <c r="G1451" s="20" t="s">
        <v>26</v>
      </c>
      <c r="H1451" s="20" t="s">
        <v>6294</v>
      </c>
      <c r="I1451" s="20" t="s">
        <v>6295</v>
      </c>
      <c r="J1451" s="23">
        <v>1</v>
      </c>
      <c r="K1451" s="20" t="s">
        <v>19</v>
      </c>
      <c r="L1451" s="20" t="s">
        <v>16</v>
      </c>
      <c r="M1451" s="21"/>
    </row>
    <row r="1452" spans="1:13">
      <c r="A1452" s="19">
        <v>2526127</v>
      </c>
      <c r="B1452" s="20" t="s">
        <v>6296</v>
      </c>
      <c r="C1452" s="19" t="s">
        <v>6297</v>
      </c>
      <c r="D1452" s="19" t="s">
        <v>6298</v>
      </c>
      <c r="E1452" s="20" t="s">
        <v>415</v>
      </c>
      <c r="F1452" s="20" t="s">
        <v>92</v>
      </c>
      <c r="G1452" s="20" t="s">
        <v>26</v>
      </c>
      <c r="H1452" s="20" t="s">
        <v>6294</v>
      </c>
      <c r="I1452" s="20" t="s">
        <v>6299</v>
      </c>
      <c r="J1452" s="20">
        <v>2</v>
      </c>
      <c r="K1452" s="20" t="s">
        <v>19</v>
      </c>
      <c r="L1452" s="20" t="s">
        <v>18</v>
      </c>
      <c r="M1452" s="21"/>
    </row>
    <row r="1453" spans="1:13">
      <c r="A1453" s="22">
        <v>2526127</v>
      </c>
      <c r="B1453" s="23" t="s">
        <v>6296</v>
      </c>
      <c r="C1453" s="22" t="s">
        <v>6297</v>
      </c>
      <c r="D1453" s="22" t="s">
        <v>6298</v>
      </c>
      <c r="E1453" s="23" t="s">
        <v>415</v>
      </c>
      <c r="F1453" s="23" t="s">
        <v>92</v>
      </c>
      <c r="G1453" s="23" t="s">
        <v>26</v>
      </c>
      <c r="H1453" s="23" t="s">
        <v>6294</v>
      </c>
      <c r="I1453" s="23" t="s">
        <v>6299</v>
      </c>
      <c r="J1453" s="20">
        <v>2</v>
      </c>
      <c r="K1453" s="23" t="s">
        <v>19</v>
      </c>
      <c r="L1453" s="23" t="s">
        <v>18</v>
      </c>
      <c r="M1453" s="24"/>
    </row>
    <row r="1454" spans="1:13">
      <c r="A1454" s="19">
        <v>2521737</v>
      </c>
      <c r="B1454" s="20" t="s">
        <v>6300</v>
      </c>
      <c r="C1454" s="19" t="s">
        <v>6301</v>
      </c>
      <c r="D1454" s="19" t="s">
        <v>6302</v>
      </c>
      <c r="E1454" s="20" t="s">
        <v>415</v>
      </c>
      <c r="F1454" s="20" t="s">
        <v>92</v>
      </c>
      <c r="G1454" s="20" t="s">
        <v>26</v>
      </c>
      <c r="H1454" s="20" t="s">
        <v>6294</v>
      </c>
      <c r="I1454" s="20" t="s">
        <v>6303</v>
      </c>
      <c r="J1454" s="23">
        <v>3</v>
      </c>
      <c r="K1454" s="20" t="s">
        <v>19</v>
      </c>
      <c r="L1454" s="20" t="s">
        <v>18</v>
      </c>
      <c r="M1454" s="21"/>
    </row>
    <row r="1455" spans="1:13">
      <c r="A1455" s="22">
        <v>2521200</v>
      </c>
      <c r="B1455" s="23" t="s">
        <v>6304</v>
      </c>
      <c r="C1455" s="22" t="s">
        <v>6305</v>
      </c>
      <c r="D1455" s="22" t="s">
        <v>6306</v>
      </c>
      <c r="E1455" s="23" t="s">
        <v>84</v>
      </c>
      <c r="F1455" s="23" t="s">
        <v>92</v>
      </c>
      <c r="G1455" s="23" t="s">
        <v>26</v>
      </c>
      <c r="H1455" s="23" t="s">
        <v>6294</v>
      </c>
      <c r="I1455" s="23" t="s">
        <v>6307</v>
      </c>
      <c r="J1455" s="23">
        <v>3</v>
      </c>
      <c r="K1455" s="23" t="s">
        <v>19</v>
      </c>
      <c r="L1455" s="23" t="s">
        <v>16</v>
      </c>
      <c r="M1455" s="24"/>
    </row>
    <row r="1456" spans="1:13">
      <c r="A1456" s="19">
        <v>2524977</v>
      </c>
      <c r="B1456" s="20" t="s">
        <v>6308</v>
      </c>
      <c r="C1456" s="19" t="s">
        <v>6309</v>
      </c>
      <c r="D1456" s="19" t="s">
        <v>6310</v>
      </c>
      <c r="E1456" s="20" t="s">
        <v>127</v>
      </c>
      <c r="F1456" s="20" t="s">
        <v>92</v>
      </c>
      <c r="G1456" s="20" t="s">
        <v>26</v>
      </c>
      <c r="H1456" s="20" t="s">
        <v>6311</v>
      </c>
      <c r="I1456" s="20" t="s">
        <v>6312</v>
      </c>
      <c r="J1456" s="20">
        <v>2</v>
      </c>
      <c r="K1456" s="20" t="s">
        <v>19</v>
      </c>
      <c r="L1456" s="20" t="s">
        <v>16</v>
      </c>
      <c r="M1456" s="21"/>
    </row>
    <row r="1457" spans="1:13">
      <c r="A1457" s="22">
        <v>2524977</v>
      </c>
      <c r="B1457" s="23" t="s">
        <v>6308</v>
      </c>
      <c r="C1457" s="22" t="s">
        <v>6309</v>
      </c>
      <c r="D1457" s="22" t="s">
        <v>6310</v>
      </c>
      <c r="E1457" s="23" t="s">
        <v>127</v>
      </c>
      <c r="F1457" s="23" t="s">
        <v>92</v>
      </c>
      <c r="G1457" s="23" t="s">
        <v>26</v>
      </c>
      <c r="H1457" s="23" t="s">
        <v>6313</v>
      </c>
      <c r="I1457" s="23" t="s">
        <v>6314</v>
      </c>
      <c r="J1457" s="20">
        <v>2</v>
      </c>
      <c r="K1457" s="23" t="s">
        <v>19</v>
      </c>
      <c r="L1457" s="23" t="s">
        <v>16</v>
      </c>
      <c r="M1457" s="24"/>
    </row>
    <row r="1458" spans="1:13">
      <c r="A1458" s="19">
        <v>2532949</v>
      </c>
      <c r="B1458" s="20" t="s">
        <v>6315</v>
      </c>
      <c r="C1458" s="19" t="s">
        <v>6316</v>
      </c>
      <c r="D1458" s="19" t="s">
        <v>6317</v>
      </c>
      <c r="E1458" s="20" t="s">
        <v>127</v>
      </c>
      <c r="F1458" s="20" t="s">
        <v>92</v>
      </c>
      <c r="G1458" s="20" t="s">
        <v>26</v>
      </c>
      <c r="H1458" s="20" t="s">
        <v>6318</v>
      </c>
      <c r="I1458" s="20" t="s">
        <v>6318</v>
      </c>
      <c r="J1458" s="20">
        <v>4</v>
      </c>
      <c r="K1458" s="20" t="s">
        <v>107</v>
      </c>
      <c r="L1458" s="20" t="s">
        <v>16</v>
      </c>
      <c r="M1458" s="21" t="s">
        <v>864</v>
      </c>
    </row>
    <row r="1459" spans="1:13">
      <c r="A1459" s="19">
        <v>2529543</v>
      </c>
      <c r="B1459" s="20" t="s">
        <v>6319</v>
      </c>
      <c r="C1459" s="19" t="s">
        <v>6320</v>
      </c>
      <c r="D1459" s="19" t="s">
        <v>6321</v>
      </c>
      <c r="E1459" s="20" t="s">
        <v>127</v>
      </c>
      <c r="F1459" s="20" t="s">
        <v>92</v>
      </c>
      <c r="G1459" s="20" t="s">
        <v>26</v>
      </c>
      <c r="H1459" s="20" t="s">
        <v>6322</v>
      </c>
      <c r="I1459" s="20" t="s">
        <v>6323</v>
      </c>
      <c r="J1459" s="23">
        <v>3</v>
      </c>
      <c r="K1459" s="20" t="s">
        <v>107</v>
      </c>
      <c r="L1459" s="20" t="s">
        <v>16</v>
      </c>
      <c r="M1459" s="21" t="s">
        <v>6324</v>
      </c>
    </row>
    <row r="1460" spans="1:13">
      <c r="A1460" s="22">
        <v>2532906</v>
      </c>
      <c r="B1460" s="23" t="s">
        <v>6325</v>
      </c>
      <c r="C1460" s="22" t="s">
        <v>6326</v>
      </c>
      <c r="D1460" s="22" t="s">
        <v>6327</v>
      </c>
      <c r="E1460" s="23" t="s">
        <v>84</v>
      </c>
      <c r="F1460" s="23" t="s">
        <v>172</v>
      </c>
      <c r="G1460" s="23" t="s">
        <v>26</v>
      </c>
      <c r="H1460" s="23" t="s">
        <v>6328</v>
      </c>
      <c r="I1460" s="23" t="s">
        <v>6328</v>
      </c>
      <c r="J1460" s="23">
        <v>1</v>
      </c>
      <c r="K1460" s="23" t="s">
        <v>107</v>
      </c>
      <c r="L1460" s="23" t="s">
        <v>18</v>
      </c>
      <c r="M1460" s="24" t="s">
        <v>16</v>
      </c>
    </row>
    <row r="1461" spans="1:13">
      <c r="A1461" s="19">
        <v>2523373</v>
      </c>
      <c r="B1461" s="20" t="s">
        <v>6329</v>
      </c>
      <c r="C1461" s="19" t="s">
        <v>6330</v>
      </c>
      <c r="D1461" s="19" t="s">
        <v>6331</v>
      </c>
      <c r="E1461" s="20" t="s">
        <v>415</v>
      </c>
      <c r="F1461" s="20" t="s">
        <v>92</v>
      </c>
      <c r="G1461" s="20" t="s">
        <v>26</v>
      </c>
      <c r="H1461" s="20" t="s">
        <v>6332</v>
      </c>
      <c r="I1461" s="20" t="s">
        <v>6333</v>
      </c>
      <c r="J1461" s="34" t="s">
        <v>34</v>
      </c>
      <c r="K1461" s="20" t="s">
        <v>19</v>
      </c>
      <c r="L1461" s="20" t="s">
        <v>16</v>
      </c>
      <c r="M1461" s="21" t="s">
        <v>49</v>
      </c>
    </row>
    <row r="1462" spans="1:13">
      <c r="A1462" s="22">
        <v>2524648</v>
      </c>
      <c r="B1462" s="23" t="s">
        <v>6277</v>
      </c>
      <c r="C1462" s="22" t="s">
        <v>6278</v>
      </c>
      <c r="D1462" s="22" t="s">
        <v>6334</v>
      </c>
      <c r="E1462" s="23" t="s">
        <v>127</v>
      </c>
      <c r="F1462" s="23" t="s">
        <v>85</v>
      </c>
      <c r="G1462" s="23" t="s">
        <v>26</v>
      </c>
      <c r="H1462" s="23" t="s">
        <v>6335</v>
      </c>
      <c r="I1462" s="23" t="s">
        <v>6336</v>
      </c>
      <c r="J1462" s="23">
        <v>3</v>
      </c>
      <c r="K1462" s="23" t="s">
        <v>19</v>
      </c>
      <c r="L1462" s="23" t="s">
        <v>16</v>
      </c>
      <c r="M1462" s="24"/>
    </row>
    <row r="1463" spans="1:13">
      <c r="A1463" s="19">
        <v>2529566</v>
      </c>
      <c r="B1463" s="20" t="s">
        <v>6337</v>
      </c>
      <c r="C1463" s="19" t="s">
        <v>6338</v>
      </c>
      <c r="D1463" s="19" t="s">
        <v>6339</v>
      </c>
      <c r="E1463" s="20" t="s">
        <v>84</v>
      </c>
      <c r="F1463" s="20" t="s">
        <v>92</v>
      </c>
      <c r="G1463" s="20" t="s">
        <v>26</v>
      </c>
      <c r="H1463" s="20" t="s">
        <v>6335</v>
      </c>
      <c r="I1463" s="20" t="s">
        <v>6340</v>
      </c>
      <c r="J1463" s="20">
        <v>4</v>
      </c>
      <c r="K1463" s="20" t="s">
        <v>107</v>
      </c>
      <c r="L1463" s="20" t="s">
        <v>16</v>
      </c>
      <c r="M1463" s="21" t="s">
        <v>49</v>
      </c>
    </row>
    <row r="1464" spans="1:13">
      <c r="A1464" s="19">
        <v>2516809</v>
      </c>
      <c r="B1464" s="20" t="s">
        <v>6341</v>
      </c>
      <c r="C1464" s="19" t="s">
        <v>6342</v>
      </c>
      <c r="D1464" s="19" t="s">
        <v>6343</v>
      </c>
      <c r="E1464" s="20" t="s">
        <v>127</v>
      </c>
      <c r="F1464" s="20" t="s">
        <v>92</v>
      </c>
      <c r="G1464" s="20" t="s">
        <v>26</v>
      </c>
      <c r="H1464" s="20" t="s">
        <v>6335</v>
      </c>
      <c r="I1464" s="20" t="s">
        <v>6344</v>
      </c>
      <c r="J1464" s="36" t="s">
        <v>34</v>
      </c>
      <c r="K1464" s="20" t="s">
        <v>19</v>
      </c>
      <c r="L1464" s="20" t="s">
        <v>16</v>
      </c>
      <c r="M1464" s="24"/>
    </row>
    <row r="1465" spans="1:13">
      <c r="A1465" s="19">
        <v>2524560</v>
      </c>
      <c r="B1465" s="20" t="s">
        <v>6345</v>
      </c>
      <c r="C1465" s="19" t="s">
        <v>6346</v>
      </c>
      <c r="D1465" s="19" t="s">
        <v>6347</v>
      </c>
      <c r="E1465" s="20" t="s">
        <v>84</v>
      </c>
      <c r="F1465" s="20" t="s">
        <v>92</v>
      </c>
      <c r="G1465" s="20" t="s">
        <v>26</v>
      </c>
      <c r="H1465" s="20" t="s">
        <v>6348</v>
      </c>
      <c r="I1465" s="20" t="s">
        <v>6349</v>
      </c>
      <c r="J1465" s="23">
        <v>1</v>
      </c>
      <c r="K1465" s="20" t="s">
        <v>107</v>
      </c>
      <c r="L1465" s="20" t="s">
        <v>16</v>
      </c>
      <c r="M1465" s="21"/>
    </row>
    <row r="1466" spans="1:13">
      <c r="A1466" s="22">
        <v>2524563</v>
      </c>
      <c r="B1466" s="23" t="s">
        <v>6350</v>
      </c>
      <c r="C1466" s="22" t="s">
        <v>6334</v>
      </c>
      <c r="D1466" s="22" t="s">
        <v>3957</v>
      </c>
      <c r="E1466" s="23" t="s">
        <v>127</v>
      </c>
      <c r="F1466" s="23" t="s">
        <v>92</v>
      </c>
      <c r="G1466" s="23" t="s">
        <v>26</v>
      </c>
      <c r="H1466" s="23" t="s">
        <v>6351</v>
      </c>
      <c r="I1466" s="23" t="s">
        <v>6352</v>
      </c>
      <c r="J1466" s="23">
        <v>3</v>
      </c>
      <c r="K1466" s="23" t="s">
        <v>107</v>
      </c>
      <c r="L1466" s="23" t="s">
        <v>16</v>
      </c>
      <c r="M1466" s="24"/>
    </row>
    <row r="1467" spans="1:13">
      <c r="A1467" s="19">
        <v>2529523</v>
      </c>
      <c r="B1467" s="20" t="s">
        <v>6353</v>
      </c>
      <c r="C1467" s="19" t="s">
        <v>6354</v>
      </c>
      <c r="D1467" s="19" t="s">
        <v>6355</v>
      </c>
      <c r="E1467" s="20" t="s">
        <v>84</v>
      </c>
      <c r="F1467" s="20" t="s">
        <v>92</v>
      </c>
      <c r="G1467" s="20" t="s">
        <v>26</v>
      </c>
      <c r="H1467" s="20" t="s">
        <v>6356</v>
      </c>
      <c r="I1467" s="20" t="s">
        <v>6357</v>
      </c>
      <c r="J1467" s="23">
        <v>3</v>
      </c>
      <c r="K1467" s="20" t="s">
        <v>19</v>
      </c>
      <c r="L1467" s="20" t="s">
        <v>16</v>
      </c>
      <c r="M1467" s="21" t="s">
        <v>6358</v>
      </c>
    </row>
    <row r="1468" spans="1:13">
      <c r="A1468" s="22">
        <v>2526157</v>
      </c>
      <c r="B1468" s="23" t="s">
        <v>6359</v>
      </c>
      <c r="C1468" s="22" t="s">
        <v>6360</v>
      </c>
      <c r="D1468" s="22" t="s">
        <v>6361</v>
      </c>
      <c r="E1468" s="23" t="s">
        <v>84</v>
      </c>
      <c r="F1468" s="23" t="s">
        <v>92</v>
      </c>
      <c r="G1468" s="23" t="s">
        <v>26</v>
      </c>
      <c r="H1468" s="23" t="s">
        <v>6362</v>
      </c>
      <c r="I1468" s="23" t="s">
        <v>6363</v>
      </c>
      <c r="J1468" s="20">
        <v>2</v>
      </c>
      <c r="K1468" s="23" t="s">
        <v>107</v>
      </c>
      <c r="L1468" s="23" t="s">
        <v>16</v>
      </c>
      <c r="M1468" s="24"/>
    </row>
    <row r="1469" spans="1:13">
      <c r="A1469" s="22">
        <v>2526128</v>
      </c>
      <c r="B1469" s="23" t="s">
        <v>6364</v>
      </c>
      <c r="C1469" s="22" t="s">
        <v>6365</v>
      </c>
      <c r="D1469" s="22" t="s">
        <v>6366</v>
      </c>
      <c r="E1469" s="23" t="s">
        <v>84</v>
      </c>
      <c r="F1469" s="23" t="s">
        <v>92</v>
      </c>
      <c r="G1469" s="23" t="s">
        <v>26</v>
      </c>
      <c r="H1469" s="23" t="s">
        <v>6367</v>
      </c>
      <c r="I1469" s="23" t="s">
        <v>6368</v>
      </c>
      <c r="J1469" s="20">
        <v>2</v>
      </c>
      <c r="K1469" s="23" t="s">
        <v>19</v>
      </c>
      <c r="L1469" s="23" t="s">
        <v>18</v>
      </c>
      <c r="M1469" s="24"/>
    </row>
    <row r="1470" spans="1:13">
      <c r="A1470" s="19">
        <v>2526128</v>
      </c>
      <c r="B1470" s="20" t="s">
        <v>6364</v>
      </c>
      <c r="C1470" s="19" t="s">
        <v>6365</v>
      </c>
      <c r="D1470" s="19" t="s">
        <v>6366</v>
      </c>
      <c r="E1470" s="20" t="s">
        <v>84</v>
      </c>
      <c r="F1470" s="20" t="s">
        <v>92</v>
      </c>
      <c r="G1470" s="20" t="s">
        <v>26</v>
      </c>
      <c r="H1470" s="20" t="s">
        <v>6369</v>
      </c>
      <c r="I1470" s="20" t="s">
        <v>6368</v>
      </c>
      <c r="J1470" s="20">
        <v>2</v>
      </c>
      <c r="K1470" s="20" t="s">
        <v>19</v>
      </c>
      <c r="L1470" s="20" t="s">
        <v>18</v>
      </c>
      <c r="M1470" s="21"/>
    </row>
    <row r="1471" spans="1:13">
      <c r="A1471" s="22">
        <v>2523423</v>
      </c>
      <c r="B1471" s="23" t="s">
        <v>6370</v>
      </c>
      <c r="C1471" s="22" t="s">
        <v>6371</v>
      </c>
      <c r="D1471" s="22" t="s">
        <v>6372</v>
      </c>
      <c r="E1471" s="23" t="s">
        <v>84</v>
      </c>
      <c r="F1471" s="23" t="s">
        <v>92</v>
      </c>
      <c r="G1471" s="23" t="s">
        <v>26</v>
      </c>
      <c r="H1471" s="23" t="s">
        <v>6373</v>
      </c>
      <c r="I1471" s="23" t="s">
        <v>6373</v>
      </c>
      <c r="J1471" s="34" t="s">
        <v>34</v>
      </c>
      <c r="K1471" s="23" t="s">
        <v>19</v>
      </c>
      <c r="L1471" s="23" t="s">
        <v>16</v>
      </c>
      <c r="M1471" s="24" t="s">
        <v>16</v>
      </c>
    </row>
    <row r="1472" spans="1:13">
      <c r="A1472" s="22">
        <v>2524527</v>
      </c>
      <c r="B1472" s="23" t="s">
        <v>6374</v>
      </c>
      <c r="C1472" s="22" t="s">
        <v>3958</v>
      </c>
      <c r="D1472" s="22" t="s">
        <v>3957</v>
      </c>
      <c r="E1472" s="23" t="s">
        <v>127</v>
      </c>
      <c r="F1472" s="23" t="s">
        <v>92</v>
      </c>
      <c r="G1472" s="23" t="s">
        <v>26</v>
      </c>
      <c r="H1472" s="23" t="s">
        <v>6375</v>
      </c>
      <c r="I1472" s="23" t="s">
        <v>6376</v>
      </c>
      <c r="J1472" s="23">
        <v>3</v>
      </c>
      <c r="K1472" s="23" t="s">
        <v>107</v>
      </c>
      <c r="L1472" s="23" t="s">
        <v>16</v>
      </c>
      <c r="M1472" s="24" t="s">
        <v>49</v>
      </c>
    </row>
    <row r="1473" spans="1:13">
      <c r="A1473" s="19">
        <v>2516867</v>
      </c>
      <c r="B1473" s="20" t="s">
        <v>6377</v>
      </c>
      <c r="C1473" s="19" t="s">
        <v>6378</v>
      </c>
      <c r="D1473" s="19" t="s">
        <v>6379</v>
      </c>
      <c r="E1473" s="20" t="s">
        <v>84</v>
      </c>
      <c r="F1473" s="20" t="s">
        <v>92</v>
      </c>
      <c r="G1473" s="20" t="s">
        <v>26</v>
      </c>
      <c r="H1473" s="20" t="s">
        <v>6380</v>
      </c>
      <c r="I1473" s="20" t="s">
        <v>6381</v>
      </c>
      <c r="J1473" s="33">
        <v>1</v>
      </c>
      <c r="K1473" s="20" t="s">
        <v>19</v>
      </c>
      <c r="L1473" s="20" t="s">
        <v>18</v>
      </c>
      <c r="M1473" s="21" t="s">
        <v>631</v>
      </c>
    </row>
    <row r="1474" spans="1:13">
      <c r="A1474" s="19">
        <v>2523382</v>
      </c>
      <c r="B1474" s="20" t="s">
        <v>6382</v>
      </c>
      <c r="C1474" s="19" t="s">
        <v>6383</v>
      </c>
      <c r="D1474" s="19" t="s">
        <v>6384</v>
      </c>
      <c r="E1474" s="20" t="s">
        <v>84</v>
      </c>
      <c r="F1474" s="20" t="s">
        <v>172</v>
      </c>
      <c r="G1474" s="20" t="s">
        <v>26</v>
      </c>
      <c r="H1474" s="20" t="s">
        <v>6385</v>
      </c>
      <c r="I1474" s="20" t="s">
        <v>6386</v>
      </c>
      <c r="J1474" s="20">
        <v>4</v>
      </c>
      <c r="K1474" s="20" t="s">
        <v>107</v>
      </c>
      <c r="L1474" s="20" t="s">
        <v>16</v>
      </c>
      <c r="M1474" s="21"/>
    </row>
    <row r="1475" spans="1:13">
      <c r="A1475" s="22">
        <v>2525031</v>
      </c>
      <c r="B1475" s="23" t="s">
        <v>6387</v>
      </c>
      <c r="C1475" s="22" t="s">
        <v>6388</v>
      </c>
      <c r="D1475" s="22" t="s">
        <v>6389</v>
      </c>
      <c r="E1475" s="23" t="s">
        <v>84</v>
      </c>
      <c r="F1475" s="23" t="s">
        <v>92</v>
      </c>
      <c r="G1475" s="23" t="s">
        <v>26</v>
      </c>
      <c r="H1475" s="23" t="s">
        <v>6390</v>
      </c>
      <c r="I1475" s="23" t="s">
        <v>6391</v>
      </c>
      <c r="J1475" s="23">
        <v>3</v>
      </c>
      <c r="K1475" s="23" t="s">
        <v>107</v>
      </c>
      <c r="L1475" s="23" t="s">
        <v>16</v>
      </c>
      <c r="M1475" s="24"/>
    </row>
    <row r="1476" spans="1:13">
      <c r="A1476" s="19">
        <v>2525031</v>
      </c>
      <c r="B1476" s="20" t="s">
        <v>6392</v>
      </c>
      <c r="C1476" s="19" t="s">
        <v>6388</v>
      </c>
      <c r="D1476" s="19" t="s">
        <v>6389</v>
      </c>
      <c r="E1476" s="20" t="s">
        <v>84</v>
      </c>
      <c r="F1476" s="20" t="s">
        <v>172</v>
      </c>
      <c r="G1476" s="20" t="s">
        <v>26</v>
      </c>
      <c r="H1476" s="20" t="s">
        <v>6393</v>
      </c>
      <c r="I1476" s="20" t="s">
        <v>6394</v>
      </c>
      <c r="J1476" s="23">
        <v>3</v>
      </c>
      <c r="K1476" s="20" t="s">
        <v>107</v>
      </c>
      <c r="L1476" s="20" t="s">
        <v>16</v>
      </c>
      <c r="M1476" s="21"/>
    </row>
    <row r="1477" spans="1:13">
      <c r="A1477" s="19">
        <v>2516748</v>
      </c>
      <c r="B1477" s="20" t="s">
        <v>6395</v>
      </c>
      <c r="C1477" s="19" t="s">
        <v>6396</v>
      </c>
      <c r="D1477" s="19" t="s">
        <v>6397</v>
      </c>
      <c r="E1477" s="20" t="s">
        <v>84</v>
      </c>
      <c r="F1477" s="20" t="s">
        <v>92</v>
      </c>
      <c r="G1477" s="20" t="s">
        <v>26</v>
      </c>
      <c r="H1477" s="20" t="s">
        <v>6398</v>
      </c>
      <c r="I1477" s="20" t="s">
        <v>6399</v>
      </c>
      <c r="J1477" s="34" t="s">
        <v>34</v>
      </c>
      <c r="K1477" s="20" t="s">
        <v>19</v>
      </c>
      <c r="L1477" s="20" t="s">
        <v>18</v>
      </c>
      <c r="M1477" s="21"/>
    </row>
    <row r="1478" spans="1:13">
      <c r="A1478" s="19">
        <v>2523432</v>
      </c>
      <c r="B1478" s="20" t="s">
        <v>6400</v>
      </c>
      <c r="C1478" s="19" t="s">
        <v>6401</v>
      </c>
      <c r="D1478" s="19" t="s">
        <v>6402</v>
      </c>
      <c r="E1478" s="20" t="s">
        <v>84</v>
      </c>
      <c r="F1478" s="20" t="s">
        <v>92</v>
      </c>
      <c r="G1478" s="20" t="s">
        <v>26</v>
      </c>
      <c r="H1478" s="20" t="s">
        <v>6403</v>
      </c>
      <c r="I1478" s="20" t="s">
        <v>6404</v>
      </c>
      <c r="J1478" s="34" t="s">
        <v>34</v>
      </c>
      <c r="K1478" s="20" t="s">
        <v>19</v>
      </c>
      <c r="L1478" s="20" t="s">
        <v>18</v>
      </c>
      <c r="M1478" s="21" t="s">
        <v>1016</v>
      </c>
    </row>
    <row r="1479" spans="1:13">
      <c r="A1479" s="22">
        <v>2521195</v>
      </c>
      <c r="B1479" s="23" t="s">
        <v>6405</v>
      </c>
      <c r="C1479" s="22" t="s">
        <v>6406</v>
      </c>
      <c r="D1479" s="22" t="s">
        <v>6407</v>
      </c>
      <c r="E1479" s="23" t="s">
        <v>84</v>
      </c>
      <c r="F1479" s="23" t="s">
        <v>92</v>
      </c>
      <c r="G1479" s="23" t="s">
        <v>26</v>
      </c>
      <c r="H1479" s="23" t="s">
        <v>6408</v>
      </c>
      <c r="I1479" s="23" t="s">
        <v>6409</v>
      </c>
      <c r="J1479" s="20">
        <v>2</v>
      </c>
      <c r="K1479" s="23" t="s">
        <v>19</v>
      </c>
      <c r="L1479" s="23" t="s">
        <v>16</v>
      </c>
      <c r="M1479" s="24"/>
    </row>
    <row r="1480" spans="1:13">
      <c r="A1480" s="22">
        <v>2521070</v>
      </c>
      <c r="B1480" s="23" t="s">
        <v>6410</v>
      </c>
      <c r="C1480" s="22" t="s">
        <v>6411</v>
      </c>
      <c r="D1480" s="22" t="s">
        <v>6412</v>
      </c>
      <c r="E1480" s="23" t="s">
        <v>127</v>
      </c>
      <c r="F1480" s="23" t="s">
        <v>92</v>
      </c>
      <c r="G1480" s="23" t="s">
        <v>26</v>
      </c>
      <c r="H1480" s="23" t="s">
        <v>6413</v>
      </c>
      <c r="I1480" s="23" t="s">
        <v>6414</v>
      </c>
      <c r="J1480" s="23">
        <v>1</v>
      </c>
      <c r="K1480" s="23" t="s">
        <v>206</v>
      </c>
      <c r="L1480" s="23" t="s">
        <v>16</v>
      </c>
      <c r="M1480" s="24"/>
    </row>
    <row r="1481" spans="1:13">
      <c r="A1481" s="22">
        <v>2521059</v>
      </c>
      <c r="B1481" s="23" t="s">
        <v>6415</v>
      </c>
      <c r="C1481" s="22" t="s">
        <v>6416</v>
      </c>
      <c r="D1481" s="22" t="s">
        <v>6417</v>
      </c>
      <c r="E1481" s="23" t="s">
        <v>84</v>
      </c>
      <c r="F1481" s="23" t="s">
        <v>92</v>
      </c>
      <c r="G1481" s="23" t="s">
        <v>26</v>
      </c>
      <c r="H1481" s="23" t="s">
        <v>6413</v>
      </c>
      <c r="I1481" s="23" t="s">
        <v>6418</v>
      </c>
      <c r="J1481" s="20">
        <v>5</v>
      </c>
      <c r="K1481" s="23" t="s">
        <v>19</v>
      </c>
      <c r="L1481" s="23" t="s">
        <v>18</v>
      </c>
      <c r="M1481" s="24" t="s">
        <v>455</v>
      </c>
    </row>
    <row r="1482" spans="1:13">
      <c r="A1482" s="19">
        <v>2521076</v>
      </c>
      <c r="B1482" s="20" t="s">
        <v>6419</v>
      </c>
      <c r="C1482" s="19" t="s">
        <v>6420</v>
      </c>
      <c r="D1482" s="19" t="s">
        <v>6421</v>
      </c>
      <c r="E1482" s="20" t="s">
        <v>127</v>
      </c>
      <c r="F1482" s="20" t="s">
        <v>92</v>
      </c>
      <c r="G1482" s="20" t="s">
        <v>26</v>
      </c>
      <c r="H1482" s="20" t="s">
        <v>6422</v>
      </c>
      <c r="I1482" s="20" t="s">
        <v>6423</v>
      </c>
      <c r="J1482" s="20">
        <v>5</v>
      </c>
      <c r="K1482" s="20" t="s">
        <v>107</v>
      </c>
      <c r="L1482" s="20" t="s">
        <v>16</v>
      </c>
      <c r="M1482" s="21" t="s">
        <v>38</v>
      </c>
    </row>
    <row r="1483" spans="1:13">
      <c r="A1483" s="22">
        <v>2521058</v>
      </c>
      <c r="B1483" s="23" t="s">
        <v>6424</v>
      </c>
      <c r="C1483" s="22" t="s">
        <v>6425</v>
      </c>
      <c r="D1483" s="22" t="s">
        <v>6426</v>
      </c>
      <c r="E1483" s="23" t="s">
        <v>127</v>
      </c>
      <c r="F1483" s="23" t="s">
        <v>92</v>
      </c>
      <c r="G1483" s="23" t="s">
        <v>26</v>
      </c>
      <c r="H1483" s="23" t="s">
        <v>6427</v>
      </c>
      <c r="I1483" s="23" t="s">
        <v>6428</v>
      </c>
      <c r="J1483" s="23">
        <v>3</v>
      </c>
      <c r="K1483" s="23" t="s">
        <v>19</v>
      </c>
      <c r="L1483" s="23" t="s">
        <v>16</v>
      </c>
      <c r="M1483" s="24"/>
    </row>
    <row r="1484" spans="1:13">
      <c r="A1484" s="22">
        <v>2521068</v>
      </c>
      <c r="B1484" s="23" t="s">
        <v>6429</v>
      </c>
      <c r="C1484" s="22" t="s">
        <v>6430</v>
      </c>
      <c r="D1484" s="22" t="s">
        <v>6431</v>
      </c>
      <c r="E1484" s="23" t="s">
        <v>84</v>
      </c>
      <c r="F1484" s="23" t="s">
        <v>92</v>
      </c>
      <c r="G1484" s="23" t="s">
        <v>26</v>
      </c>
      <c r="H1484" s="23" t="s">
        <v>6432</v>
      </c>
      <c r="I1484" s="23" t="s">
        <v>6433</v>
      </c>
      <c r="J1484" s="23">
        <v>1</v>
      </c>
      <c r="K1484" s="23" t="s">
        <v>19</v>
      </c>
      <c r="L1484" s="23" t="s">
        <v>16</v>
      </c>
      <c r="M1484" s="24" t="s">
        <v>49</v>
      </c>
    </row>
    <row r="1485" spans="1:13">
      <c r="A1485" s="19">
        <v>2521131</v>
      </c>
      <c r="B1485" s="20" t="s">
        <v>6434</v>
      </c>
      <c r="C1485" s="19" t="s">
        <v>6435</v>
      </c>
      <c r="D1485" s="19" t="s">
        <v>6436</v>
      </c>
      <c r="E1485" s="20" t="s">
        <v>84</v>
      </c>
      <c r="F1485" s="20" t="s">
        <v>92</v>
      </c>
      <c r="G1485" s="20" t="s">
        <v>26</v>
      </c>
      <c r="H1485" s="20" t="s">
        <v>6437</v>
      </c>
      <c r="I1485" s="20" t="s">
        <v>6428</v>
      </c>
      <c r="J1485" s="20">
        <v>5</v>
      </c>
      <c r="K1485" s="20" t="s">
        <v>19</v>
      </c>
      <c r="L1485" s="20" t="s">
        <v>16</v>
      </c>
      <c r="M1485" s="21" t="s">
        <v>1561</v>
      </c>
    </row>
    <row r="1486" spans="1:13">
      <c r="A1486" s="19">
        <v>2521208</v>
      </c>
      <c r="B1486" s="20" t="s">
        <v>6438</v>
      </c>
      <c r="C1486" s="19" t="s">
        <v>6439</v>
      </c>
      <c r="D1486" s="19" t="s">
        <v>6440</v>
      </c>
      <c r="E1486" s="20" t="s">
        <v>84</v>
      </c>
      <c r="F1486" s="20" t="s">
        <v>85</v>
      </c>
      <c r="G1486" s="20" t="s">
        <v>26</v>
      </c>
      <c r="H1486" s="20" t="s">
        <v>6441</v>
      </c>
      <c r="I1486" s="20" t="s">
        <v>6442</v>
      </c>
      <c r="J1486" s="23">
        <v>1</v>
      </c>
      <c r="K1486" s="20" t="s">
        <v>19</v>
      </c>
      <c r="L1486" s="20" t="s">
        <v>16</v>
      </c>
      <c r="M1486" s="21"/>
    </row>
    <row r="1487" spans="1:13">
      <c r="A1487" s="19">
        <v>2511233</v>
      </c>
      <c r="B1487" s="20" t="s">
        <v>6443</v>
      </c>
      <c r="C1487" s="19" t="s">
        <v>6444</v>
      </c>
      <c r="D1487" s="19" t="s">
        <v>6445</v>
      </c>
      <c r="E1487" s="20" t="s">
        <v>84</v>
      </c>
      <c r="F1487" s="20" t="s">
        <v>92</v>
      </c>
      <c r="G1487" s="20" t="s">
        <v>26</v>
      </c>
      <c r="H1487" s="20" t="s">
        <v>6446</v>
      </c>
      <c r="I1487" s="20" t="s">
        <v>6447</v>
      </c>
      <c r="J1487" s="23">
        <v>1</v>
      </c>
      <c r="K1487" s="20" t="s">
        <v>107</v>
      </c>
      <c r="L1487" s="20" t="s">
        <v>16</v>
      </c>
      <c r="M1487" s="21"/>
    </row>
    <row r="1488" spans="1:13">
      <c r="A1488" s="19">
        <v>2516778</v>
      </c>
      <c r="B1488" s="20" t="s">
        <v>6448</v>
      </c>
      <c r="C1488" s="19" t="s">
        <v>6449</v>
      </c>
      <c r="D1488" s="19" t="s">
        <v>6450</v>
      </c>
      <c r="E1488" s="20" t="s">
        <v>84</v>
      </c>
      <c r="F1488" s="20" t="s">
        <v>112</v>
      </c>
      <c r="G1488" s="20" t="s">
        <v>26</v>
      </c>
      <c r="H1488" s="20" t="s">
        <v>6451</v>
      </c>
      <c r="I1488" s="20" t="s">
        <v>6452</v>
      </c>
      <c r="J1488" s="19">
        <v>1</v>
      </c>
      <c r="K1488" s="20" t="s">
        <v>107</v>
      </c>
      <c r="L1488" s="20" t="s">
        <v>16</v>
      </c>
      <c r="M1488" s="24"/>
    </row>
    <row r="1489" spans="1:13">
      <c r="A1489" s="19">
        <v>2529551</v>
      </c>
      <c r="B1489" s="20" t="s">
        <v>6453</v>
      </c>
      <c r="C1489" s="19" t="s">
        <v>6454</v>
      </c>
      <c r="D1489" s="19" t="s">
        <v>6455</v>
      </c>
      <c r="E1489" s="20" t="s">
        <v>127</v>
      </c>
      <c r="F1489" s="20" t="s">
        <v>92</v>
      </c>
      <c r="G1489" s="20" t="s">
        <v>26</v>
      </c>
      <c r="H1489" s="20" t="s">
        <v>6456</v>
      </c>
      <c r="I1489" s="20" t="s">
        <v>6457</v>
      </c>
      <c r="J1489" s="23">
        <v>3</v>
      </c>
      <c r="K1489" s="20" t="s">
        <v>107</v>
      </c>
      <c r="L1489" s="20" t="s">
        <v>16</v>
      </c>
      <c r="M1489" s="21" t="s">
        <v>6458</v>
      </c>
    </row>
    <row r="1490" spans="1:13">
      <c r="A1490" s="19">
        <v>2523434</v>
      </c>
      <c r="B1490" s="20" t="s">
        <v>6459</v>
      </c>
      <c r="C1490" s="19" t="s">
        <v>6460</v>
      </c>
      <c r="D1490" s="19" t="s">
        <v>6461</v>
      </c>
      <c r="E1490" s="20" t="s">
        <v>84</v>
      </c>
      <c r="F1490" s="20" t="s">
        <v>92</v>
      </c>
      <c r="G1490" s="20" t="s">
        <v>26</v>
      </c>
      <c r="H1490" s="20" t="s">
        <v>6462</v>
      </c>
      <c r="I1490" s="20" t="s">
        <v>6463</v>
      </c>
      <c r="J1490" s="19">
        <v>3</v>
      </c>
      <c r="K1490" s="20" t="s">
        <v>107</v>
      </c>
      <c r="L1490" s="20" t="s">
        <v>16</v>
      </c>
      <c r="M1490" s="24"/>
    </row>
    <row r="1491" spans="1:13">
      <c r="A1491" s="19">
        <v>2518821</v>
      </c>
      <c r="B1491" s="20" t="s">
        <v>6464</v>
      </c>
      <c r="C1491" s="19" t="s">
        <v>6465</v>
      </c>
      <c r="D1491" s="19" t="s">
        <v>6466</v>
      </c>
      <c r="E1491" s="20" t="s">
        <v>84</v>
      </c>
      <c r="F1491" s="20" t="s">
        <v>92</v>
      </c>
      <c r="G1491" s="20" t="s">
        <v>26</v>
      </c>
      <c r="H1491" s="20" t="s">
        <v>6467</v>
      </c>
      <c r="I1491" s="20" t="s">
        <v>6468</v>
      </c>
      <c r="J1491" s="23">
        <v>3</v>
      </c>
      <c r="K1491" s="20" t="s">
        <v>107</v>
      </c>
      <c r="L1491" s="20" t="s">
        <v>16</v>
      </c>
      <c r="M1491" s="21"/>
    </row>
    <row r="1492" spans="1:13">
      <c r="A1492" s="19">
        <v>2518829</v>
      </c>
      <c r="B1492" s="20" t="s">
        <v>6469</v>
      </c>
      <c r="C1492" s="19" t="s">
        <v>6470</v>
      </c>
      <c r="D1492" s="19" t="s">
        <v>6471</v>
      </c>
      <c r="E1492" s="20" t="s">
        <v>84</v>
      </c>
      <c r="F1492" s="20" t="s">
        <v>112</v>
      </c>
      <c r="G1492" s="20" t="s">
        <v>26</v>
      </c>
      <c r="H1492" s="20" t="s">
        <v>6472</v>
      </c>
      <c r="I1492" s="20" t="s">
        <v>6473</v>
      </c>
      <c r="J1492" s="23">
        <v>3</v>
      </c>
      <c r="K1492" s="20" t="s">
        <v>107</v>
      </c>
      <c r="L1492" s="20" t="s">
        <v>16</v>
      </c>
      <c r="M1492" s="21"/>
    </row>
    <row r="1493" spans="1:13">
      <c r="A1493" s="22">
        <v>2518827</v>
      </c>
      <c r="B1493" s="23" t="s">
        <v>6474</v>
      </c>
      <c r="C1493" s="22" t="s">
        <v>6475</v>
      </c>
      <c r="D1493" s="22" t="s">
        <v>6476</v>
      </c>
      <c r="E1493" s="23" t="s">
        <v>84</v>
      </c>
      <c r="F1493" s="23" t="s">
        <v>112</v>
      </c>
      <c r="G1493" s="23" t="s">
        <v>26</v>
      </c>
      <c r="H1493" s="23" t="s">
        <v>6477</v>
      </c>
      <c r="I1493" s="23" t="s">
        <v>6478</v>
      </c>
      <c r="J1493" s="23">
        <v>3</v>
      </c>
      <c r="K1493" s="23" t="s">
        <v>107</v>
      </c>
      <c r="L1493" s="23" t="s">
        <v>18</v>
      </c>
      <c r="M1493" s="24"/>
    </row>
    <row r="1494" spans="1:13">
      <c r="A1494" s="22">
        <v>2521040</v>
      </c>
      <c r="B1494" s="23" t="s">
        <v>6479</v>
      </c>
      <c r="C1494" s="22" t="s">
        <v>6480</v>
      </c>
      <c r="D1494" s="22" t="s">
        <v>6481</v>
      </c>
      <c r="E1494" s="23" t="s">
        <v>84</v>
      </c>
      <c r="F1494" s="23" t="s">
        <v>92</v>
      </c>
      <c r="G1494" s="23" t="s">
        <v>26</v>
      </c>
      <c r="H1494" s="23" t="s">
        <v>6482</v>
      </c>
      <c r="I1494" s="23" t="s">
        <v>6483</v>
      </c>
      <c r="J1494" s="34" t="s">
        <v>34</v>
      </c>
      <c r="K1494" s="23" t="s">
        <v>107</v>
      </c>
      <c r="L1494" s="23" t="s">
        <v>16</v>
      </c>
      <c r="M1494" s="24"/>
    </row>
    <row r="1495" spans="1:13">
      <c r="A1495" s="22">
        <v>2521043</v>
      </c>
      <c r="B1495" s="23" t="s">
        <v>6484</v>
      </c>
      <c r="C1495" s="22" t="s">
        <v>6485</v>
      </c>
      <c r="D1495" s="22" t="s">
        <v>6486</v>
      </c>
      <c r="E1495" s="23" t="s">
        <v>384</v>
      </c>
      <c r="F1495" s="23" t="s">
        <v>112</v>
      </c>
      <c r="G1495" s="23" t="s">
        <v>26</v>
      </c>
      <c r="H1495" s="23" t="s">
        <v>6487</v>
      </c>
      <c r="I1495" s="23" t="s">
        <v>6487</v>
      </c>
      <c r="J1495" s="20">
        <v>4</v>
      </c>
      <c r="K1495" s="23" t="s">
        <v>107</v>
      </c>
      <c r="L1495" s="23" t="s">
        <v>16</v>
      </c>
      <c r="M1495" s="24"/>
    </row>
    <row r="1496" spans="1:13">
      <c r="A1496" s="22">
        <v>2518828</v>
      </c>
      <c r="B1496" s="23" t="s">
        <v>6488</v>
      </c>
      <c r="C1496" s="22" t="s">
        <v>6489</v>
      </c>
      <c r="D1496" s="22" t="s">
        <v>6490</v>
      </c>
      <c r="E1496" s="23" t="s">
        <v>415</v>
      </c>
      <c r="F1496" s="23" t="s">
        <v>85</v>
      </c>
      <c r="G1496" s="23" t="s">
        <v>26</v>
      </c>
      <c r="H1496" s="23" t="s">
        <v>6491</v>
      </c>
      <c r="I1496" s="23" t="s">
        <v>6492</v>
      </c>
      <c r="J1496" s="20">
        <v>4</v>
      </c>
      <c r="K1496" s="23" t="s">
        <v>19</v>
      </c>
      <c r="L1496" s="23" t="s">
        <v>16</v>
      </c>
      <c r="M1496" s="24" t="s">
        <v>49</v>
      </c>
    </row>
    <row r="1497" spans="1:13">
      <c r="A1497" s="22">
        <v>2521146</v>
      </c>
      <c r="B1497" s="23" t="s">
        <v>6493</v>
      </c>
      <c r="C1497" s="22" t="s">
        <v>6494</v>
      </c>
      <c r="D1497" s="22" t="s">
        <v>6495</v>
      </c>
      <c r="E1497" s="23" t="s">
        <v>127</v>
      </c>
      <c r="F1497" s="23" t="s">
        <v>92</v>
      </c>
      <c r="G1497" s="23" t="s">
        <v>26</v>
      </c>
      <c r="H1497" s="23" t="s">
        <v>6496</v>
      </c>
      <c r="I1497" s="23" t="s">
        <v>6497</v>
      </c>
      <c r="J1497" s="23">
        <v>1</v>
      </c>
      <c r="K1497" s="23" t="s">
        <v>107</v>
      </c>
      <c r="L1497" s="23" t="s">
        <v>16</v>
      </c>
      <c r="M1497" s="24"/>
    </row>
    <row r="1498" spans="1:13">
      <c r="A1498" s="19">
        <v>2521077</v>
      </c>
      <c r="B1498" s="20" t="s">
        <v>6498</v>
      </c>
      <c r="C1498" s="19" t="s">
        <v>6499</v>
      </c>
      <c r="D1498" s="19" t="s">
        <v>6500</v>
      </c>
      <c r="E1498" s="20" t="s">
        <v>127</v>
      </c>
      <c r="F1498" s="20" t="s">
        <v>112</v>
      </c>
      <c r="G1498" s="20" t="s">
        <v>26</v>
      </c>
      <c r="H1498" s="20" t="s">
        <v>6501</v>
      </c>
      <c r="I1498" s="20" t="s">
        <v>6502</v>
      </c>
      <c r="J1498" s="20">
        <v>4</v>
      </c>
      <c r="K1498" s="20" t="s">
        <v>107</v>
      </c>
      <c r="L1498" s="20" t="s">
        <v>16</v>
      </c>
      <c r="M1498" s="21"/>
    </row>
    <row r="1499" spans="1:13">
      <c r="A1499" s="22">
        <v>2523417</v>
      </c>
      <c r="B1499" s="23" t="s">
        <v>6503</v>
      </c>
      <c r="C1499" s="22" t="s">
        <v>6504</v>
      </c>
      <c r="D1499" s="22" t="s">
        <v>6505</v>
      </c>
      <c r="E1499" s="23" t="s">
        <v>127</v>
      </c>
      <c r="F1499" s="23" t="s">
        <v>85</v>
      </c>
      <c r="G1499" s="23" t="s">
        <v>26</v>
      </c>
      <c r="H1499" s="23" t="s">
        <v>6506</v>
      </c>
      <c r="I1499" s="23" t="s">
        <v>6506</v>
      </c>
      <c r="J1499" s="20">
        <v>4</v>
      </c>
      <c r="K1499" s="23" t="s">
        <v>107</v>
      </c>
      <c r="L1499" s="23" t="s">
        <v>16</v>
      </c>
      <c r="M1499" s="24"/>
    </row>
    <row r="1500" spans="1:13">
      <c r="A1500" s="19">
        <v>2521263</v>
      </c>
      <c r="B1500" s="20" t="s">
        <v>6507</v>
      </c>
      <c r="C1500" s="19" t="s">
        <v>6508</v>
      </c>
      <c r="D1500" s="19" t="s">
        <v>6509</v>
      </c>
      <c r="E1500" s="20" t="s">
        <v>127</v>
      </c>
      <c r="F1500" s="20" t="s">
        <v>92</v>
      </c>
      <c r="G1500" s="20" t="s">
        <v>26</v>
      </c>
      <c r="H1500" s="20" t="s">
        <v>6510</v>
      </c>
      <c r="I1500" s="20" t="s">
        <v>6511</v>
      </c>
      <c r="J1500" s="23">
        <v>1</v>
      </c>
      <c r="K1500" s="20" t="s">
        <v>107</v>
      </c>
      <c r="L1500" s="20" t="s">
        <v>16</v>
      </c>
      <c r="M1500" s="21"/>
    </row>
    <row r="1501" spans="1:13">
      <c r="A1501" s="22">
        <v>2521100</v>
      </c>
      <c r="B1501" s="23" t="s">
        <v>6512</v>
      </c>
      <c r="C1501" s="22" t="s">
        <v>6513</v>
      </c>
      <c r="D1501" s="22" t="s">
        <v>6514</v>
      </c>
      <c r="E1501" s="23" t="s">
        <v>84</v>
      </c>
      <c r="F1501" s="23" t="s">
        <v>92</v>
      </c>
      <c r="G1501" s="23" t="s">
        <v>26</v>
      </c>
      <c r="H1501" s="23" t="s">
        <v>6515</v>
      </c>
      <c r="I1501" s="23" t="s">
        <v>6516</v>
      </c>
      <c r="J1501" s="23">
        <v>1</v>
      </c>
      <c r="K1501" s="23" t="s">
        <v>107</v>
      </c>
      <c r="L1501" s="23" t="s">
        <v>16</v>
      </c>
      <c r="M1501" s="24"/>
    </row>
    <row r="1502" spans="1:13">
      <c r="A1502" s="19">
        <v>2521050</v>
      </c>
      <c r="B1502" s="20" t="s">
        <v>6517</v>
      </c>
      <c r="C1502" s="19" t="s">
        <v>6518</v>
      </c>
      <c r="D1502" s="19" t="s">
        <v>6519</v>
      </c>
      <c r="E1502" s="20" t="s">
        <v>84</v>
      </c>
      <c r="F1502" s="20" t="s">
        <v>92</v>
      </c>
      <c r="G1502" s="20" t="s">
        <v>26</v>
      </c>
      <c r="H1502" s="20" t="s">
        <v>6520</v>
      </c>
      <c r="I1502" s="20" t="s">
        <v>6521</v>
      </c>
      <c r="J1502" s="23">
        <v>1</v>
      </c>
      <c r="K1502" s="20" t="s">
        <v>107</v>
      </c>
      <c r="L1502" s="20" t="s">
        <v>16</v>
      </c>
      <c r="M1502" s="21"/>
    </row>
    <row r="1503" spans="1:13">
      <c r="A1503" s="19">
        <v>2521308</v>
      </c>
      <c r="B1503" s="20" t="s">
        <v>6522</v>
      </c>
      <c r="C1503" s="19" t="s">
        <v>6523</v>
      </c>
      <c r="D1503" s="19" t="s">
        <v>6524</v>
      </c>
      <c r="E1503" s="20" t="s">
        <v>127</v>
      </c>
      <c r="F1503" s="20" t="s">
        <v>92</v>
      </c>
      <c r="G1503" s="20" t="s">
        <v>26</v>
      </c>
      <c r="H1503" s="20" t="s">
        <v>6515</v>
      </c>
      <c r="I1503" s="20" t="s">
        <v>6516</v>
      </c>
      <c r="J1503" s="23">
        <v>1</v>
      </c>
      <c r="K1503" s="20" t="s">
        <v>107</v>
      </c>
      <c r="L1503" s="20" t="s">
        <v>16</v>
      </c>
      <c r="M1503" s="21"/>
    </row>
    <row r="1504" spans="1:13">
      <c r="A1504" s="22">
        <v>2521050</v>
      </c>
      <c r="B1504" s="23" t="s">
        <v>6517</v>
      </c>
      <c r="C1504" s="22" t="s">
        <v>6518</v>
      </c>
      <c r="D1504" s="22" t="s">
        <v>6519</v>
      </c>
      <c r="E1504" s="23" t="s">
        <v>84</v>
      </c>
      <c r="F1504" s="23" t="s">
        <v>92</v>
      </c>
      <c r="G1504" s="23" t="s">
        <v>26</v>
      </c>
      <c r="H1504" s="23" t="s">
        <v>6515</v>
      </c>
      <c r="I1504" s="23" t="s">
        <v>6525</v>
      </c>
      <c r="J1504" s="23">
        <v>1</v>
      </c>
      <c r="K1504" s="23" t="s">
        <v>107</v>
      </c>
      <c r="L1504" s="23" t="s">
        <v>16</v>
      </c>
      <c r="M1504" s="24"/>
    </row>
    <row r="1505" spans="1:13">
      <c r="A1505" s="22">
        <v>2529532</v>
      </c>
      <c r="B1505" s="23" t="s">
        <v>6526</v>
      </c>
      <c r="C1505" s="22" t="s">
        <v>6527</v>
      </c>
      <c r="D1505" s="22" t="s">
        <v>6528</v>
      </c>
      <c r="E1505" s="23" t="s">
        <v>84</v>
      </c>
      <c r="F1505" s="23" t="s">
        <v>92</v>
      </c>
      <c r="G1505" s="23" t="s">
        <v>26</v>
      </c>
      <c r="H1505" s="23" t="s">
        <v>6510</v>
      </c>
      <c r="I1505" s="23" t="s">
        <v>6529</v>
      </c>
      <c r="J1505" s="23">
        <v>3</v>
      </c>
      <c r="K1505" s="23" t="s">
        <v>107</v>
      </c>
      <c r="L1505" s="23" t="s">
        <v>16</v>
      </c>
      <c r="M1505" s="24"/>
    </row>
    <row r="1506" spans="1:13">
      <c r="A1506" s="22">
        <v>2519715</v>
      </c>
      <c r="B1506" s="23" t="s">
        <v>6530</v>
      </c>
      <c r="C1506" s="22" t="s">
        <v>6531</v>
      </c>
      <c r="D1506" s="22" t="s">
        <v>6532</v>
      </c>
      <c r="E1506" s="23" t="s">
        <v>84</v>
      </c>
      <c r="F1506" s="23" t="s">
        <v>112</v>
      </c>
      <c r="G1506" s="23" t="s">
        <v>26</v>
      </c>
      <c r="H1506" s="23" t="s">
        <v>6515</v>
      </c>
      <c r="I1506" s="23" t="s">
        <v>6533</v>
      </c>
      <c r="J1506" s="20">
        <v>4</v>
      </c>
      <c r="K1506" s="23" t="s">
        <v>107</v>
      </c>
      <c r="L1506" s="23" t="s">
        <v>18</v>
      </c>
      <c r="M1506" s="24"/>
    </row>
    <row r="1507" spans="1:13">
      <c r="A1507" s="22">
        <v>2519594</v>
      </c>
      <c r="B1507" s="23" t="s">
        <v>6534</v>
      </c>
      <c r="C1507" s="22" t="s">
        <v>6535</v>
      </c>
      <c r="D1507" s="22" t="s">
        <v>6536</v>
      </c>
      <c r="E1507" s="23" t="s">
        <v>84</v>
      </c>
      <c r="F1507" s="23" t="s">
        <v>92</v>
      </c>
      <c r="G1507" s="23" t="s">
        <v>26</v>
      </c>
      <c r="H1507" s="23" t="s">
        <v>6515</v>
      </c>
      <c r="I1507" s="23" t="s">
        <v>6537</v>
      </c>
      <c r="J1507" s="20">
        <v>4</v>
      </c>
      <c r="K1507" s="23" t="s">
        <v>107</v>
      </c>
      <c r="L1507" s="23" t="s">
        <v>16</v>
      </c>
      <c r="M1507" s="24"/>
    </row>
    <row r="1508" spans="1:13">
      <c r="A1508" s="19">
        <v>2521139</v>
      </c>
      <c r="B1508" s="20" t="s">
        <v>6538</v>
      </c>
      <c r="C1508" s="19" t="s">
        <v>6539</v>
      </c>
      <c r="D1508" s="19" t="s">
        <v>6540</v>
      </c>
      <c r="E1508" s="20" t="s">
        <v>84</v>
      </c>
      <c r="F1508" s="20" t="s">
        <v>92</v>
      </c>
      <c r="G1508" s="20" t="s">
        <v>26</v>
      </c>
      <c r="H1508" s="20" t="s">
        <v>6541</v>
      </c>
      <c r="I1508" s="20" t="s">
        <v>6541</v>
      </c>
      <c r="J1508" s="23">
        <v>1</v>
      </c>
      <c r="K1508" s="20" t="s">
        <v>19</v>
      </c>
      <c r="L1508" s="20" t="s">
        <v>16</v>
      </c>
      <c r="M1508" s="21"/>
    </row>
    <row r="1509" spans="1:13">
      <c r="A1509" s="22">
        <v>2521139</v>
      </c>
      <c r="B1509" s="23" t="s">
        <v>6538</v>
      </c>
      <c r="C1509" s="22" t="s">
        <v>6539</v>
      </c>
      <c r="D1509" s="22" t="s">
        <v>6540</v>
      </c>
      <c r="E1509" s="23" t="s">
        <v>84</v>
      </c>
      <c r="F1509" s="23" t="s">
        <v>172</v>
      </c>
      <c r="G1509" s="23" t="s">
        <v>26</v>
      </c>
      <c r="H1509" s="23" t="s">
        <v>6542</v>
      </c>
      <c r="I1509" s="23" t="s">
        <v>6542</v>
      </c>
      <c r="J1509" s="23">
        <v>1</v>
      </c>
      <c r="K1509" s="23" t="s">
        <v>107</v>
      </c>
      <c r="L1509" s="23" t="s">
        <v>16</v>
      </c>
      <c r="M1509" s="24"/>
    </row>
    <row r="1510" spans="1:13">
      <c r="A1510" s="22">
        <v>2521139</v>
      </c>
      <c r="B1510" s="23" t="s">
        <v>6538</v>
      </c>
      <c r="C1510" s="22" t="s">
        <v>6539</v>
      </c>
      <c r="D1510" s="22" t="s">
        <v>6540</v>
      </c>
      <c r="E1510" s="23" t="s">
        <v>84</v>
      </c>
      <c r="F1510" s="23" t="s">
        <v>92</v>
      </c>
      <c r="G1510" s="23" t="s">
        <v>26</v>
      </c>
      <c r="H1510" s="23" t="s">
        <v>6543</v>
      </c>
      <c r="I1510" s="23" t="s">
        <v>6543</v>
      </c>
      <c r="J1510" s="23">
        <v>1</v>
      </c>
      <c r="K1510" s="23" t="s">
        <v>19</v>
      </c>
      <c r="L1510" s="23" t="s">
        <v>16</v>
      </c>
      <c r="M1510" s="24"/>
    </row>
    <row r="1511" spans="1:13">
      <c r="A1511" s="22">
        <v>2523448</v>
      </c>
      <c r="B1511" s="23" t="s">
        <v>6544</v>
      </c>
      <c r="C1511" s="22" t="s">
        <v>6545</v>
      </c>
      <c r="D1511" s="22" t="s">
        <v>6546</v>
      </c>
      <c r="E1511" s="23" t="s">
        <v>84</v>
      </c>
      <c r="F1511" s="23" t="s">
        <v>112</v>
      </c>
      <c r="G1511" s="23" t="s">
        <v>26</v>
      </c>
      <c r="H1511" s="23" t="s">
        <v>6547</v>
      </c>
      <c r="I1511" s="23" t="s">
        <v>6547</v>
      </c>
      <c r="J1511" s="23">
        <v>1</v>
      </c>
      <c r="K1511" s="23" t="s">
        <v>107</v>
      </c>
      <c r="L1511" s="23" t="s">
        <v>16</v>
      </c>
      <c r="M1511" s="24"/>
    </row>
    <row r="1512" spans="1:13">
      <c r="A1512" s="19">
        <v>2519593</v>
      </c>
      <c r="B1512" s="20" t="s">
        <v>6548</v>
      </c>
      <c r="C1512" s="19" t="s">
        <v>6549</v>
      </c>
      <c r="D1512" s="19" t="s">
        <v>6550</v>
      </c>
      <c r="E1512" s="20" t="s">
        <v>127</v>
      </c>
      <c r="F1512" s="20" t="s">
        <v>92</v>
      </c>
      <c r="G1512" s="20" t="s">
        <v>26</v>
      </c>
      <c r="H1512" s="20" t="s">
        <v>6551</v>
      </c>
      <c r="I1512" s="20" t="s">
        <v>6551</v>
      </c>
      <c r="J1512" s="20">
        <v>2</v>
      </c>
      <c r="K1512" s="20" t="s">
        <v>107</v>
      </c>
      <c r="L1512" s="20" t="s">
        <v>16</v>
      </c>
      <c r="M1512" s="21"/>
    </row>
    <row r="1513" spans="1:13">
      <c r="A1513" s="22">
        <v>2521097</v>
      </c>
      <c r="B1513" s="23" t="s">
        <v>6552</v>
      </c>
      <c r="C1513" s="22" t="s">
        <v>6553</v>
      </c>
      <c r="D1513" s="22" t="s">
        <v>6554</v>
      </c>
      <c r="E1513" s="23" t="s">
        <v>84</v>
      </c>
      <c r="F1513" s="23" t="s">
        <v>112</v>
      </c>
      <c r="G1513" s="23" t="s">
        <v>26</v>
      </c>
      <c r="H1513" s="23" t="s">
        <v>6555</v>
      </c>
      <c r="I1513" s="23" t="s">
        <v>6556</v>
      </c>
      <c r="J1513" s="23">
        <v>3</v>
      </c>
      <c r="K1513" s="23" t="s">
        <v>19</v>
      </c>
      <c r="L1513" s="23" t="s">
        <v>16</v>
      </c>
      <c r="M1513" s="24"/>
    </row>
    <row r="1514" spans="1:13">
      <c r="A1514" s="22">
        <v>2529537</v>
      </c>
      <c r="B1514" s="23" t="s">
        <v>6557</v>
      </c>
      <c r="C1514" s="22" t="s">
        <v>6558</v>
      </c>
      <c r="D1514" s="22" t="s">
        <v>6559</v>
      </c>
      <c r="E1514" s="23" t="s">
        <v>84</v>
      </c>
      <c r="F1514" s="23" t="s">
        <v>92</v>
      </c>
      <c r="G1514" s="23" t="s">
        <v>26</v>
      </c>
      <c r="H1514" s="23" t="s">
        <v>6560</v>
      </c>
      <c r="I1514" s="23" t="s">
        <v>6561</v>
      </c>
      <c r="J1514" s="20">
        <v>2</v>
      </c>
      <c r="K1514" s="23" t="s">
        <v>107</v>
      </c>
      <c r="L1514" s="23" t="s">
        <v>16</v>
      </c>
      <c r="M1514" s="24"/>
    </row>
    <row r="1515" spans="1:13">
      <c r="A1515" s="22">
        <v>2521190</v>
      </c>
      <c r="B1515" s="23" t="s">
        <v>6562</v>
      </c>
      <c r="C1515" s="22" t="s">
        <v>6563</v>
      </c>
      <c r="D1515" s="22" t="s">
        <v>6564</v>
      </c>
      <c r="E1515" s="23" t="s">
        <v>84</v>
      </c>
      <c r="F1515" s="23" t="s">
        <v>92</v>
      </c>
      <c r="G1515" s="23" t="s">
        <v>26</v>
      </c>
      <c r="H1515" s="23" t="s">
        <v>6565</v>
      </c>
      <c r="I1515" s="23" t="s">
        <v>6566</v>
      </c>
      <c r="J1515" s="20">
        <v>4</v>
      </c>
      <c r="K1515" s="23" t="s">
        <v>19</v>
      </c>
      <c r="L1515" s="23" t="s">
        <v>16</v>
      </c>
      <c r="M1515" s="24"/>
    </row>
    <row r="1516" spans="1:13">
      <c r="A1516" s="19">
        <v>2533080</v>
      </c>
      <c r="B1516" s="20" t="s">
        <v>6567</v>
      </c>
      <c r="C1516" s="19" t="s">
        <v>6568</v>
      </c>
      <c r="D1516" s="19" t="s">
        <v>6569</v>
      </c>
      <c r="E1516" s="20" t="s">
        <v>84</v>
      </c>
      <c r="F1516" s="20" t="s">
        <v>92</v>
      </c>
      <c r="G1516" s="20" t="s">
        <v>26</v>
      </c>
      <c r="H1516" s="20" t="s">
        <v>6570</v>
      </c>
      <c r="I1516" s="20" t="s">
        <v>6571</v>
      </c>
      <c r="J1516" s="23">
        <v>1</v>
      </c>
      <c r="K1516" s="20" t="s">
        <v>107</v>
      </c>
      <c r="L1516" s="20" t="s">
        <v>16</v>
      </c>
      <c r="M1516" s="21"/>
    </row>
    <row r="1517" spans="1:13">
      <c r="A1517" s="19">
        <v>2521209</v>
      </c>
      <c r="B1517" s="20" t="s">
        <v>6572</v>
      </c>
      <c r="C1517" s="19" t="s">
        <v>6573</v>
      </c>
      <c r="D1517" s="19" t="s">
        <v>6574</v>
      </c>
      <c r="E1517" s="20" t="s">
        <v>127</v>
      </c>
      <c r="F1517" s="20" t="s">
        <v>92</v>
      </c>
      <c r="G1517" s="20" t="s">
        <v>26</v>
      </c>
      <c r="H1517" s="20" t="s">
        <v>6575</v>
      </c>
      <c r="I1517" s="20" t="s">
        <v>6576</v>
      </c>
      <c r="J1517" s="23">
        <v>1</v>
      </c>
      <c r="K1517" s="20" t="s">
        <v>107</v>
      </c>
      <c r="L1517" s="20" t="s">
        <v>16</v>
      </c>
      <c r="M1517" s="21"/>
    </row>
    <row r="1518" spans="1:13">
      <c r="A1518" s="19">
        <v>2519683</v>
      </c>
      <c r="B1518" s="20" t="s">
        <v>6577</v>
      </c>
      <c r="C1518" s="19" t="s">
        <v>6578</v>
      </c>
      <c r="D1518" s="19" t="s">
        <v>6579</v>
      </c>
      <c r="E1518" s="20" t="s">
        <v>127</v>
      </c>
      <c r="F1518" s="20" t="s">
        <v>85</v>
      </c>
      <c r="G1518" s="20" t="s">
        <v>26</v>
      </c>
      <c r="H1518" s="20" t="s">
        <v>6580</v>
      </c>
      <c r="I1518" s="20" t="s">
        <v>6581</v>
      </c>
      <c r="J1518" s="23">
        <v>3</v>
      </c>
      <c r="K1518" s="20" t="s">
        <v>107</v>
      </c>
      <c r="L1518" s="20" t="s">
        <v>16</v>
      </c>
      <c r="M1518" s="21"/>
    </row>
    <row r="1519" spans="1:13">
      <c r="A1519" s="19">
        <v>2521077</v>
      </c>
      <c r="B1519" s="20" t="s">
        <v>6498</v>
      </c>
      <c r="C1519" s="19" t="s">
        <v>6499</v>
      </c>
      <c r="D1519" s="19" t="s">
        <v>6500</v>
      </c>
      <c r="E1519" s="20" t="s">
        <v>127</v>
      </c>
      <c r="F1519" s="20" t="s">
        <v>112</v>
      </c>
      <c r="G1519" s="20" t="s">
        <v>26</v>
      </c>
      <c r="H1519" s="20" t="s">
        <v>6582</v>
      </c>
      <c r="I1519" s="20" t="s">
        <v>6583</v>
      </c>
      <c r="J1519" s="20">
        <v>4</v>
      </c>
      <c r="K1519" s="20" t="s">
        <v>107</v>
      </c>
      <c r="L1519" s="20" t="s">
        <v>16</v>
      </c>
      <c r="M1519" s="21"/>
    </row>
    <row r="1520" spans="1:13">
      <c r="A1520" s="22">
        <v>2516833</v>
      </c>
      <c r="B1520" s="23" t="s">
        <v>6584</v>
      </c>
      <c r="C1520" s="22" t="s">
        <v>6585</v>
      </c>
      <c r="D1520" s="22" t="s">
        <v>6586</v>
      </c>
      <c r="E1520" s="23" t="s">
        <v>84</v>
      </c>
      <c r="F1520" s="23" t="s">
        <v>92</v>
      </c>
      <c r="G1520" s="23" t="s">
        <v>26</v>
      </c>
      <c r="H1520" s="23" t="s">
        <v>6587</v>
      </c>
      <c r="I1520" s="23" t="s">
        <v>6588</v>
      </c>
      <c r="J1520" s="23">
        <v>3</v>
      </c>
      <c r="K1520" s="23" t="s">
        <v>19</v>
      </c>
      <c r="L1520" s="23" t="s">
        <v>16</v>
      </c>
      <c r="M1520" s="24"/>
    </row>
    <row r="1521" spans="1:13">
      <c r="A1521" s="19">
        <v>2521105</v>
      </c>
      <c r="B1521" s="20" t="s">
        <v>6589</v>
      </c>
      <c r="C1521" s="19" t="s">
        <v>6590</v>
      </c>
      <c r="D1521" s="19" t="s">
        <v>6591</v>
      </c>
      <c r="E1521" s="20" t="s">
        <v>84</v>
      </c>
      <c r="F1521" s="20" t="s">
        <v>92</v>
      </c>
      <c r="G1521" s="20" t="s">
        <v>26</v>
      </c>
      <c r="H1521" s="20" t="s">
        <v>6592</v>
      </c>
      <c r="I1521" s="20" t="s">
        <v>6593</v>
      </c>
      <c r="J1521" s="20">
        <v>4</v>
      </c>
      <c r="K1521" s="20" t="s">
        <v>19</v>
      </c>
      <c r="L1521" s="20" t="s">
        <v>18</v>
      </c>
      <c r="M1521" s="21"/>
    </row>
    <row r="1522" spans="1:13">
      <c r="A1522" s="22">
        <v>2533576</v>
      </c>
      <c r="B1522" s="23" t="s">
        <v>6594</v>
      </c>
      <c r="C1522" s="22" t="s">
        <v>6595</v>
      </c>
      <c r="D1522" s="22" t="s">
        <v>6596</v>
      </c>
      <c r="E1522" s="23" t="s">
        <v>84</v>
      </c>
      <c r="F1522" s="23" t="s">
        <v>92</v>
      </c>
      <c r="G1522" s="23" t="s">
        <v>26</v>
      </c>
      <c r="H1522" s="23" t="s">
        <v>6587</v>
      </c>
      <c r="I1522" s="23" t="s">
        <v>6597</v>
      </c>
      <c r="J1522" s="20">
        <v>4</v>
      </c>
      <c r="K1522" s="23" t="s">
        <v>19</v>
      </c>
      <c r="L1522" s="23" t="s">
        <v>16</v>
      </c>
      <c r="M1522" s="24"/>
    </row>
    <row r="1523" spans="1:13">
      <c r="A1523" s="19">
        <v>2526130</v>
      </c>
      <c r="B1523" s="20" t="s">
        <v>6598</v>
      </c>
      <c r="C1523" s="19" t="s">
        <v>6599</v>
      </c>
      <c r="D1523" s="19" t="s">
        <v>6600</v>
      </c>
      <c r="E1523" s="20" t="s">
        <v>84</v>
      </c>
      <c r="F1523" s="20" t="s">
        <v>92</v>
      </c>
      <c r="G1523" s="20" t="s">
        <v>26</v>
      </c>
      <c r="H1523" s="20" t="s">
        <v>6601</v>
      </c>
      <c r="I1523" s="20" t="s">
        <v>6602</v>
      </c>
      <c r="J1523" s="20">
        <v>4</v>
      </c>
      <c r="K1523" s="20" t="s">
        <v>107</v>
      </c>
      <c r="L1523" s="20" t="s">
        <v>16</v>
      </c>
      <c r="M1523" s="21"/>
    </row>
    <row r="1524" spans="1:13">
      <c r="A1524" s="19">
        <v>2526135</v>
      </c>
      <c r="B1524" s="20" t="s">
        <v>6603</v>
      </c>
      <c r="C1524" s="19" t="s">
        <v>6604</v>
      </c>
      <c r="D1524" s="19" t="s">
        <v>6605</v>
      </c>
      <c r="E1524" s="20" t="s">
        <v>84</v>
      </c>
      <c r="F1524" s="20" t="s">
        <v>92</v>
      </c>
      <c r="G1524" s="20" t="s">
        <v>26</v>
      </c>
      <c r="H1524" s="20" t="s">
        <v>6606</v>
      </c>
      <c r="I1524" s="20" t="s">
        <v>6607</v>
      </c>
      <c r="J1524" s="20">
        <v>4</v>
      </c>
      <c r="K1524" s="20" t="s">
        <v>19</v>
      </c>
      <c r="L1524" s="20" t="s">
        <v>16</v>
      </c>
      <c r="M1524" s="21"/>
    </row>
    <row r="1525" spans="1:13">
      <c r="A1525" s="19">
        <v>2526135</v>
      </c>
      <c r="B1525" s="20" t="s">
        <v>6603</v>
      </c>
      <c r="C1525" s="19" t="s">
        <v>6604</v>
      </c>
      <c r="D1525" s="19" t="s">
        <v>6605</v>
      </c>
      <c r="E1525" s="20" t="s">
        <v>84</v>
      </c>
      <c r="F1525" s="20" t="s">
        <v>92</v>
      </c>
      <c r="G1525" s="20" t="s">
        <v>26</v>
      </c>
      <c r="H1525" s="20" t="s">
        <v>6606</v>
      </c>
      <c r="I1525" s="20" t="s">
        <v>6607</v>
      </c>
      <c r="J1525" s="34">
        <v>4</v>
      </c>
      <c r="K1525" s="20" t="s">
        <v>19</v>
      </c>
      <c r="L1525" s="20" t="s">
        <v>16</v>
      </c>
      <c r="M1525" s="21"/>
    </row>
    <row r="1526" spans="1:13">
      <c r="A1526" s="19">
        <v>2526135</v>
      </c>
      <c r="B1526" s="20" t="s">
        <v>6603</v>
      </c>
      <c r="C1526" s="19" t="s">
        <v>6604</v>
      </c>
      <c r="D1526" s="19" t="s">
        <v>6605</v>
      </c>
      <c r="E1526" s="20" t="s">
        <v>84</v>
      </c>
      <c r="F1526" s="20" t="s">
        <v>92</v>
      </c>
      <c r="G1526" s="20" t="s">
        <v>26</v>
      </c>
      <c r="H1526" s="20" t="s">
        <v>6606</v>
      </c>
      <c r="I1526" s="20" t="s">
        <v>6607</v>
      </c>
      <c r="J1526" s="20">
        <v>4</v>
      </c>
      <c r="K1526" s="20" t="s">
        <v>19</v>
      </c>
      <c r="L1526" s="20" t="s">
        <v>16</v>
      </c>
      <c r="M1526" s="21"/>
    </row>
    <row r="1527" spans="1:13">
      <c r="A1527" s="19">
        <v>2521105</v>
      </c>
      <c r="B1527" s="20" t="s">
        <v>6589</v>
      </c>
      <c r="C1527" s="19" t="s">
        <v>6590</v>
      </c>
      <c r="D1527" s="19" t="s">
        <v>6591</v>
      </c>
      <c r="E1527" s="20" t="s">
        <v>84</v>
      </c>
      <c r="F1527" s="20" t="s">
        <v>92</v>
      </c>
      <c r="G1527" s="20" t="s">
        <v>26</v>
      </c>
      <c r="H1527" s="20" t="s">
        <v>6608</v>
      </c>
      <c r="I1527" s="20" t="s">
        <v>6609</v>
      </c>
      <c r="J1527" s="20">
        <v>4</v>
      </c>
      <c r="K1527" s="20" t="s">
        <v>19</v>
      </c>
      <c r="L1527" s="20" t="s">
        <v>18</v>
      </c>
      <c r="M1527" s="21"/>
    </row>
    <row r="1528" spans="1:13">
      <c r="A1528" s="22">
        <v>2533148</v>
      </c>
      <c r="B1528" s="23" t="s">
        <v>6610</v>
      </c>
      <c r="C1528" s="22" t="s">
        <v>6611</v>
      </c>
      <c r="D1528" s="22" t="s">
        <v>6612</v>
      </c>
      <c r="E1528" s="23" t="s">
        <v>84</v>
      </c>
      <c r="F1528" s="23" t="s">
        <v>92</v>
      </c>
      <c r="G1528" s="23" t="s">
        <v>26</v>
      </c>
      <c r="H1528" s="23" t="s">
        <v>6613</v>
      </c>
      <c r="I1528" s="23" t="s">
        <v>6614</v>
      </c>
      <c r="J1528" s="20">
        <v>4</v>
      </c>
      <c r="K1528" s="23" t="s">
        <v>107</v>
      </c>
      <c r="L1528" s="23" t="s">
        <v>16</v>
      </c>
      <c r="M1528" s="24"/>
    </row>
    <row r="1529" spans="1:13">
      <c r="A1529" s="22">
        <v>2529618</v>
      </c>
      <c r="B1529" s="23" t="s">
        <v>6615</v>
      </c>
      <c r="C1529" s="22" t="s">
        <v>6616</v>
      </c>
      <c r="D1529" s="22" t="s">
        <v>6617</v>
      </c>
      <c r="E1529" s="23" t="s">
        <v>84</v>
      </c>
      <c r="F1529" s="23" t="s">
        <v>92</v>
      </c>
      <c r="G1529" s="23" t="s">
        <v>26</v>
      </c>
      <c r="H1529" s="23" t="s">
        <v>6618</v>
      </c>
      <c r="I1529" s="23" t="s">
        <v>6619</v>
      </c>
      <c r="J1529" s="20">
        <v>4</v>
      </c>
      <c r="K1529" s="23" t="s">
        <v>107</v>
      </c>
      <c r="L1529" s="23" t="s">
        <v>16</v>
      </c>
      <c r="M1529" s="24"/>
    </row>
    <row r="1530" spans="1:13">
      <c r="A1530" s="19">
        <v>2521643</v>
      </c>
      <c r="B1530" s="20" t="s">
        <v>6620</v>
      </c>
      <c r="C1530" s="19" t="s">
        <v>6621</v>
      </c>
      <c r="D1530" s="19" t="s">
        <v>6622</v>
      </c>
      <c r="E1530" s="20" t="s">
        <v>127</v>
      </c>
      <c r="F1530" s="20" t="s">
        <v>112</v>
      </c>
      <c r="G1530" s="20" t="s">
        <v>26</v>
      </c>
      <c r="H1530" s="20" t="s">
        <v>6623</v>
      </c>
      <c r="I1530" s="20" t="s">
        <v>6624</v>
      </c>
      <c r="J1530" s="23">
        <v>3</v>
      </c>
      <c r="K1530" s="20" t="s">
        <v>206</v>
      </c>
      <c r="L1530" s="20" t="s">
        <v>16</v>
      </c>
      <c r="M1530" s="21"/>
    </row>
    <row r="1531" spans="1:13">
      <c r="A1531" s="22">
        <v>2524505</v>
      </c>
      <c r="B1531" s="23" t="s">
        <v>6625</v>
      </c>
      <c r="C1531" s="22" t="s">
        <v>6626</v>
      </c>
      <c r="D1531" s="22" t="s">
        <v>6627</v>
      </c>
      <c r="E1531" s="23" t="s">
        <v>127</v>
      </c>
      <c r="F1531" s="23" t="s">
        <v>85</v>
      </c>
      <c r="G1531" s="23" t="s">
        <v>26</v>
      </c>
      <c r="H1531" s="23" t="s">
        <v>6623</v>
      </c>
      <c r="I1531" s="23" t="s">
        <v>5352</v>
      </c>
      <c r="J1531" s="23">
        <v>3</v>
      </c>
      <c r="K1531" s="23" t="s">
        <v>206</v>
      </c>
      <c r="L1531" s="23" t="s">
        <v>18</v>
      </c>
      <c r="M1531" s="24"/>
    </row>
    <row r="1532" spans="1:13">
      <c r="A1532" s="22">
        <v>2516745</v>
      </c>
      <c r="B1532" s="23" t="s">
        <v>6628</v>
      </c>
      <c r="C1532" s="22" t="s">
        <v>6629</v>
      </c>
      <c r="D1532" s="22" t="s">
        <v>6630</v>
      </c>
      <c r="E1532" s="23" t="s">
        <v>127</v>
      </c>
      <c r="F1532" s="23" t="s">
        <v>85</v>
      </c>
      <c r="G1532" s="23" t="s">
        <v>26</v>
      </c>
      <c r="H1532" s="23" t="s">
        <v>6631</v>
      </c>
      <c r="I1532" s="23" t="s">
        <v>6632</v>
      </c>
      <c r="J1532" s="23">
        <v>3</v>
      </c>
      <c r="K1532" s="23" t="s">
        <v>206</v>
      </c>
      <c r="L1532" s="23" t="s">
        <v>16</v>
      </c>
      <c r="M1532" s="24"/>
    </row>
    <row r="1533" spans="1:13">
      <c r="A1533" s="19">
        <v>2533584</v>
      </c>
      <c r="B1533" s="20" t="s">
        <v>6633</v>
      </c>
      <c r="C1533" s="19" t="s">
        <v>6634</v>
      </c>
      <c r="D1533" s="19" t="s">
        <v>6635</v>
      </c>
      <c r="E1533" s="20" t="s">
        <v>84</v>
      </c>
      <c r="F1533" s="20" t="s">
        <v>85</v>
      </c>
      <c r="G1533" s="20" t="s">
        <v>26</v>
      </c>
      <c r="H1533" s="20" t="s">
        <v>6636</v>
      </c>
      <c r="I1533" s="20" t="s">
        <v>6637</v>
      </c>
      <c r="J1533" s="20">
        <v>2</v>
      </c>
      <c r="K1533" s="20" t="s">
        <v>206</v>
      </c>
      <c r="L1533" s="20" t="s">
        <v>16</v>
      </c>
      <c r="M1533" s="21" t="s">
        <v>222</v>
      </c>
    </row>
    <row r="1534" spans="1:13">
      <c r="A1534" s="22">
        <v>2523427</v>
      </c>
      <c r="B1534" s="23" t="s">
        <v>6638</v>
      </c>
      <c r="C1534" s="22" t="s">
        <v>6639</v>
      </c>
      <c r="D1534" s="22" t="s">
        <v>6640</v>
      </c>
      <c r="E1534" s="23" t="s">
        <v>127</v>
      </c>
      <c r="F1534" s="23" t="s">
        <v>92</v>
      </c>
      <c r="G1534" s="23" t="s">
        <v>26</v>
      </c>
      <c r="H1534" s="23" t="s">
        <v>6641</v>
      </c>
      <c r="I1534" s="23" t="s">
        <v>6642</v>
      </c>
      <c r="J1534" s="33">
        <v>1</v>
      </c>
      <c r="K1534" s="23" t="s">
        <v>206</v>
      </c>
      <c r="L1534" s="23" t="s">
        <v>16</v>
      </c>
      <c r="M1534" s="24" t="s">
        <v>49</v>
      </c>
    </row>
    <row r="1535" spans="1:13">
      <c r="A1535" s="19">
        <v>2521698</v>
      </c>
      <c r="B1535" s="20" t="s">
        <v>6643</v>
      </c>
      <c r="C1535" s="19" t="s">
        <v>6644</v>
      </c>
      <c r="D1535" s="19" t="s">
        <v>6645</v>
      </c>
      <c r="E1535" s="20" t="s">
        <v>84</v>
      </c>
      <c r="F1535" s="20" t="s">
        <v>85</v>
      </c>
      <c r="G1535" s="20" t="s">
        <v>26</v>
      </c>
      <c r="H1535" s="20" t="s">
        <v>6646</v>
      </c>
      <c r="I1535" s="20" t="s">
        <v>6647</v>
      </c>
      <c r="J1535" s="20">
        <v>2</v>
      </c>
      <c r="K1535" s="20" t="s">
        <v>206</v>
      </c>
      <c r="L1535" s="20" t="s">
        <v>16</v>
      </c>
      <c r="M1535" s="21"/>
    </row>
    <row r="1536" spans="1:13">
      <c r="A1536" s="22">
        <v>2516886</v>
      </c>
      <c r="B1536" s="23" t="s">
        <v>6648</v>
      </c>
      <c r="C1536" s="22" t="s">
        <v>6649</v>
      </c>
      <c r="D1536" s="22" t="s">
        <v>6650</v>
      </c>
      <c r="E1536" s="23" t="s">
        <v>127</v>
      </c>
      <c r="F1536" s="23" t="s">
        <v>92</v>
      </c>
      <c r="G1536" s="23" t="s">
        <v>26</v>
      </c>
      <c r="H1536" s="23" t="s">
        <v>6651</v>
      </c>
      <c r="I1536" s="23" t="s">
        <v>6652</v>
      </c>
      <c r="J1536" s="23">
        <v>3</v>
      </c>
      <c r="K1536" s="23" t="s">
        <v>206</v>
      </c>
      <c r="L1536" s="23" t="s">
        <v>16</v>
      </c>
      <c r="M1536" s="24" t="s">
        <v>6653</v>
      </c>
    </row>
    <row r="1537" spans="1:13">
      <c r="A1537" s="19">
        <v>2521698</v>
      </c>
      <c r="B1537" s="20" t="s">
        <v>6643</v>
      </c>
      <c r="C1537" s="19" t="s">
        <v>6644</v>
      </c>
      <c r="D1537" s="19" t="s">
        <v>6645</v>
      </c>
      <c r="E1537" s="20" t="s">
        <v>84</v>
      </c>
      <c r="F1537" s="20" t="s">
        <v>85</v>
      </c>
      <c r="G1537" s="20" t="s">
        <v>26</v>
      </c>
      <c r="H1537" s="20" t="s">
        <v>6654</v>
      </c>
      <c r="I1537" s="20" t="s">
        <v>6655</v>
      </c>
      <c r="J1537" s="20">
        <v>2</v>
      </c>
      <c r="K1537" s="20" t="s">
        <v>206</v>
      </c>
      <c r="L1537" s="20" t="s">
        <v>16</v>
      </c>
      <c r="M1537" s="21"/>
    </row>
    <row r="1538" spans="1:13">
      <c r="A1538" s="19">
        <v>2512334</v>
      </c>
      <c r="B1538" s="20" t="s">
        <v>6656</v>
      </c>
      <c r="C1538" s="19" t="s">
        <v>6657</v>
      </c>
      <c r="D1538" s="19" t="s">
        <v>6658</v>
      </c>
      <c r="E1538" s="20" t="s">
        <v>127</v>
      </c>
      <c r="F1538" s="20" t="s">
        <v>85</v>
      </c>
      <c r="G1538" s="20" t="s">
        <v>26</v>
      </c>
      <c r="H1538" s="20" t="s">
        <v>6659</v>
      </c>
      <c r="I1538" s="20" t="s">
        <v>6660</v>
      </c>
      <c r="J1538" s="20">
        <v>4</v>
      </c>
      <c r="K1538" s="20" t="s">
        <v>206</v>
      </c>
      <c r="L1538" s="20" t="s">
        <v>16</v>
      </c>
      <c r="M1538" s="21" t="s">
        <v>49</v>
      </c>
    </row>
    <row r="1539" spans="1:13">
      <c r="A1539" s="19">
        <v>2529601</v>
      </c>
      <c r="B1539" s="20" t="s">
        <v>6661</v>
      </c>
      <c r="C1539" s="19" t="s">
        <v>6662</v>
      </c>
      <c r="D1539" s="19" t="s">
        <v>6663</v>
      </c>
      <c r="E1539" s="20" t="s">
        <v>84</v>
      </c>
      <c r="F1539" s="20" t="s">
        <v>85</v>
      </c>
      <c r="G1539" s="20" t="s">
        <v>26</v>
      </c>
      <c r="H1539" s="20" t="s">
        <v>6664</v>
      </c>
      <c r="I1539" s="20" t="s">
        <v>6665</v>
      </c>
      <c r="J1539" s="23">
        <v>3</v>
      </c>
      <c r="K1539" s="20" t="s">
        <v>206</v>
      </c>
      <c r="L1539" s="20" t="s">
        <v>16</v>
      </c>
      <c r="M1539" s="21"/>
    </row>
    <row r="1540" spans="1:13">
      <c r="A1540" s="19">
        <v>2507499</v>
      </c>
      <c r="B1540" s="20" t="s">
        <v>6666</v>
      </c>
      <c r="C1540" s="19" t="s">
        <v>6667</v>
      </c>
      <c r="D1540" s="19" t="s">
        <v>6668</v>
      </c>
      <c r="E1540" s="20" t="s">
        <v>84</v>
      </c>
      <c r="F1540" s="20" t="s">
        <v>92</v>
      </c>
      <c r="G1540" s="20" t="s">
        <v>26</v>
      </c>
      <c r="H1540" s="20" t="s">
        <v>6669</v>
      </c>
      <c r="I1540" s="20" t="s">
        <v>6670</v>
      </c>
      <c r="J1540" s="34" t="s">
        <v>34</v>
      </c>
      <c r="K1540" s="20" t="s">
        <v>107</v>
      </c>
      <c r="L1540" s="20" t="s">
        <v>16</v>
      </c>
      <c r="M1540" s="21"/>
    </row>
    <row r="1541" spans="1:13">
      <c r="A1541" s="19">
        <v>2530169</v>
      </c>
      <c r="B1541" s="20" t="s">
        <v>6671</v>
      </c>
      <c r="C1541" s="19" t="s">
        <v>6672</v>
      </c>
      <c r="D1541" s="19" t="s">
        <v>6673</v>
      </c>
      <c r="E1541" s="20" t="s">
        <v>84</v>
      </c>
      <c r="F1541" s="20" t="s">
        <v>92</v>
      </c>
      <c r="G1541" s="20" t="s">
        <v>26</v>
      </c>
      <c r="H1541" s="20" t="s">
        <v>6674</v>
      </c>
      <c r="I1541" s="20" t="s">
        <v>6675</v>
      </c>
      <c r="J1541" s="20">
        <v>4</v>
      </c>
      <c r="K1541" s="20" t="s">
        <v>107</v>
      </c>
      <c r="L1541" s="20" t="s">
        <v>18</v>
      </c>
      <c r="M1541" s="21"/>
    </row>
    <row r="1542" spans="1:13">
      <c r="A1542" s="22">
        <v>2530158</v>
      </c>
      <c r="B1542" s="23" t="s">
        <v>6676</v>
      </c>
      <c r="C1542" s="22" t="s">
        <v>6677</v>
      </c>
      <c r="D1542" s="22" t="s">
        <v>6678</v>
      </c>
      <c r="E1542" s="23" t="s">
        <v>84</v>
      </c>
      <c r="F1542" s="23" t="s">
        <v>92</v>
      </c>
      <c r="G1542" s="23" t="s">
        <v>26</v>
      </c>
      <c r="H1542" s="23" t="s">
        <v>6679</v>
      </c>
      <c r="I1542" s="23" t="s">
        <v>6680</v>
      </c>
      <c r="J1542" s="23">
        <v>3</v>
      </c>
      <c r="K1542" s="23" t="s">
        <v>107</v>
      </c>
      <c r="L1542" s="23" t="s">
        <v>18</v>
      </c>
      <c r="M1542" s="24"/>
    </row>
    <row r="1543" spans="1:13">
      <c r="A1543" s="22">
        <v>2521303</v>
      </c>
      <c r="B1543" s="23" t="s">
        <v>6681</v>
      </c>
      <c r="C1543" s="22" t="s">
        <v>6682</v>
      </c>
      <c r="D1543" s="22" t="s">
        <v>6683</v>
      </c>
      <c r="E1543" s="23" t="s">
        <v>127</v>
      </c>
      <c r="F1543" s="23" t="s">
        <v>85</v>
      </c>
      <c r="G1543" s="23" t="s">
        <v>26</v>
      </c>
      <c r="H1543" s="23" t="s">
        <v>6684</v>
      </c>
      <c r="I1543" s="23" t="s">
        <v>6685</v>
      </c>
      <c r="J1543" s="23">
        <v>3</v>
      </c>
      <c r="K1543" s="23" t="s">
        <v>206</v>
      </c>
      <c r="L1543" s="23" t="s">
        <v>16</v>
      </c>
      <c r="M1543" s="24"/>
    </row>
    <row r="1544" spans="1:13">
      <c r="A1544" s="22">
        <v>2516818</v>
      </c>
      <c r="B1544" s="23" t="s">
        <v>6686</v>
      </c>
      <c r="C1544" s="22" t="s">
        <v>6687</v>
      </c>
      <c r="D1544" s="22" t="s">
        <v>6688</v>
      </c>
      <c r="E1544" s="23" t="s">
        <v>84</v>
      </c>
      <c r="F1544" s="23" t="s">
        <v>92</v>
      </c>
      <c r="G1544" s="23" t="s">
        <v>26</v>
      </c>
      <c r="H1544" s="23" t="s">
        <v>6689</v>
      </c>
      <c r="I1544" s="23" t="s">
        <v>6690</v>
      </c>
      <c r="J1544" s="33">
        <v>1</v>
      </c>
      <c r="K1544" s="23" t="s">
        <v>206</v>
      </c>
      <c r="L1544" s="23" t="s">
        <v>16</v>
      </c>
      <c r="M1544" s="24"/>
    </row>
    <row r="1545" spans="1:13">
      <c r="A1545" s="22">
        <v>2521309</v>
      </c>
      <c r="B1545" s="23" t="s">
        <v>6691</v>
      </c>
      <c r="C1545" s="22" t="s">
        <v>6692</v>
      </c>
      <c r="D1545" s="22" t="s">
        <v>6693</v>
      </c>
      <c r="E1545" s="23" t="s">
        <v>84</v>
      </c>
      <c r="F1545" s="23" t="s">
        <v>92</v>
      </c>
      <c r="G1545" s="23" t="s">
        <v>26</v>
      </c>
      <c r="H1545" s="23" t="s">
        <v>6694</v>
      </c>
      <c r="I1545" s="23" t="s">
        <v>6695</v>
      </c>
      <c r="J1545" s="23">
        <v>1</v>
      </c>
      <c r="K1545" s="23" t="s">
        <v>206</v>
      </c>
      <c r="L1545" s="23" t="s">
        <v>16</v>
      </c>
      <c r="M1545" s="24"/>
    </row>
    <row r="1546" spans="1:13">
      <c r="A1546" s="19">
        <v>2516866</v>
      </c>
      <c r="B1546" s="20" t="s">
        <v>6696</v>
      </c>
      <c r="C1546" s="19" t="s">
        <v>6697</v>
      </c>
      <c r="D1546" s="19" t="s">
        <v>6698</v>
      </c>
      <c r="E1546" s="20" t="s">
        <v>84</v>
      </c>
      <c r="F1546" s="20" t="s">
        <v>92</v>
      </c>
      <c r="G1546" s="20" t="s">
        <v>26</v>
      </c>
      <c r="H1546" s="20" t="s">
        <v>6699</v>
      </c>
      <c r="I1546" s="20" t="s">
        <v>6690</v>
      </c>
      <c r="J1546" s="23">
        <v>3</v>
      </c>
      <c r="K1546" s="20" t="s">
        <v>107</v>
      </c>
      <c r="L1546" s="20" t="s">
        <v>16</v>
      </c>
      <c r="M1546" s="21"/>
    </row>
    <row r="1547" spans="1:13">
      <c r="A1547" s="22">
        <v>2516866</v>
      </c>
      <c r="B1547" s="23" t="s">
        <v>6696</v>
      </c>
      <c r="C1547" s="22" t="s">
        <v>6697</v>
      </c>
      <c r="D1547" s="22" t="s">
        <v>6698</v>
      </c>
      <c r="E1547" s="23" t="s">
        <v>84</v>
      </c>
      <c r="F1547" s="23" t="s">
        <v>92</v>
      </c>
      <c r="G1547" s="23" t="s">
        <v>26</v>
      </c>
      <c r="H1547" s="23" t="s">
        <v>6699</v>
      </c>
      <c r="I1547" s="23" t="s">
        <v>6690</v>
      </c>
      <c r="J1547" s="23">
        <v>3</v>
      </c>
      <c r="K1547" s="23" t="s">
        <v>107</v>
      </c>
      <c r="L1547" s="23" t="s">
        <v>16</v>
      </c>
      <c r="M1547" s="24"/>
    </row>
    <row r="1548" spans="1:13">
      <c r="A1548" s="22">
        <v>2516818</v>
      </c>
      <c r="B1548" s="23" t="s">
        <v>6686</v>
      </c>
      <c r="C1548" s="22" t="s">
        <v>6687</v>
      </c>
      <c r="D1548" s="22" t="s">
        <v>6688</v>
      </c>
      <c r="E1548" s="23" t="s">
        <v>84</v>
      </c>
      <c r="F1548" s="23" t="s">
        <v>172</v>
      </c>
      <c r="G1548" s="23" t="s">
        <v>26</v>
      </c>
      <c r="H1548" s="23" t="s">
        <v>6700</v>
      </c>
      <c r="I1548" s="23" t="s">
        <v>6695</v>
      </c>
      <c r="J1548" s="33">
        <v>1</v>
      </c>
      <c r="K1548" s="23" t="s">
        <v>206</v>
      </c>
      <c r="L1548" s="23" t="s">
        <v>16</v>
      </c>
      <c r="M1548" s="24"/>
    </row>
    <row r="1549" spans="1:13">
      <c r="A1549" s="19">
        <v>2516819</v>
      </c>
      <c r="B1549" s="20" t="s">
        <v>6701</v>
      </c>
      <c r="C1549" s="19" t="s">
        <v>6702</v>
      </c>
      <c r="D1549" s="19" t="s">
        <v>6703</v>
      </c>
      <c r="E1549" s="20" t="s">
        <v>84</v>
      </c>
      <c r="F1549" s="20" t="s">
        <v>92</v>
      </c>
      <c r="G1549" s="20" t="s">
        <v>26</v>
      </c>
      <c r="H1549" s="20" t="s">
        <v>6704</v>
      </c>
      <c r="I1549" s="20" t="s">
        <v>6705</v>
      </c>
      <c r="J1549" s="19">
        <v>1</v>
      </c>
      <c r="K1549" s="20" t="s">
        <v>206</v>
      </c>
      <c r="L1549" s="20" t="s">
        <v>16</v>
      </c>
      <c r="M1549" s="24"/>
    </row>
    <row r="1550" spans="1:13">
      <c r="A1550" s="19">
        <v>2516818</v>
      </c>
      <c r="B1550" s="20" t="s">
        <v>6686</v>
      </c>
      <c r="C1550" s="19" t="s">
        <v>6687</v>
      </c>
      <c r="D1550" s="19" t="s">
        <v>6688</v>
      </c>
      <c r="E1550" s="20" t="s">
        <v>84</v>
      </c>
      <c r="F1550" s="20" t="s">
        <v>92</v>
      </c>
      <c r="G1550" s="20" t="s">
        <v>26</v>
      </c>
      <c r="H1550" s="20" t="s">
        <v>6706</v>
      </c>
      <c r="I1550" s="20" t="s">
        <v>6690</v>
      </c>
      <c r="J1550" s="33">
        <v>1</v>
      </c>
      <c r="K1550" s="20" t="s">
        <v>206</v>
      </c>
      <c r="L1550" s="20" t="s">
        <v>16</v>
      </c>
      <c r="M1550" s="21"/>
    </row>
    <row r="1551" spans="1:13">
      <c r="A1551" s="19">
        <v>2505092</v>
      </c>
      <c r="B1551" s="20" t="s">
        <v>6707</v>
      </c>
      <c r="C1551" s="19" t="s">
        <v>6708</v>
      </c>
      <c r="D1551" s="19" t="s">
        <v>6709</v>
      </c>
      <c r="E1551" s="20" t="s">
        <v>127</v>
      </c>
      <c r="F1551" s="20" t="s">
        <v>85</v>
      </c>
      <c r="G1551" s="20" t="s">
        <v>26</v>
      </c>
      <c r="H1551" s="20" t="s">
        <v>6710</v>
      </c>
      <c r="I1551" s="20" t="s">
        <v>6711</v>
      </c>
      <c r="J1551" s="34" t="s">
        <v>34</v>
      </c>
      <c r="K1551" s="20" t="s">
        <v>206</v>
      </c>
      <c r="L1551" s="20" t="s">
        <v>16</v>
      </c>
      <c r="M1551" s="21"/>
    </row>
    <row r="1552" spans="1:13">
      <c r="A1552" s="22">
        <v>2505092</v>
      </c>
      <c r="B1552" s="23" t="s">
        <v>6707</v>
      </c>
      <c r="C1552" s="22" t="s">
        <v>6708</v>
      </c>
      <c r="D1552" s="22" t="s">
        <v>6709</v>
      </c>
      <c r="E1552" s="23" t="s">
        <v>127</v>
      </c>
      <c r="F1552" s="23" t="s">
        <v>85</v>
      </c>
      <c r="G1552" s="23" t="s">
        <v>26</v>
      </c>
      <c r="H1552" s="23" t="s">
        <v>6712</v>
      </c>
      <c r="I1552" s="23" t="s">
        <v>6713</v>
      </c>
      <c r="J1552" s="34" t="s">
        <v>34</v>
      </c>
      <c r="K1552" s="23" t="s">
        <v>206</v>
      </c>
      <c r="L1552" s="23" t="s">
        <v>16</v>
      </c>
      <c r="M1552" s="24"/>
    </row>
    <row r="1553" spans="1:13">
      <c r="A1553" s="19">
        <v>2512362</v>
      </c>
      <c r="B1553" s="20" t="s">
        <v>6714</v>
      </c>
      <c r="C1553" s="19" t="s">
        <v>6715</v>
      </c>
      <c r="D1553" s="19" t="s">
        <v>6716</v>
      </c>
      <c r="E1553" s="20" t="s">
        <v>84</v>
      </c>
      <c r="F1553" s="20" t="s">
        <v>112</v>
      </c>
      <c r="G1553" s="20" t="s">
        <v>26</v>
      </c>
      <c r="H1553" s="20" t="s">
        <v>6717</v>
      </c>
      <c r="I1553" s="20" t="s">
        <v>6718</v>
      </c>
      <c r="J1553" s="23">
        <v>1</v>
      </c>
      <c r="K1553" s="20" t="s">
        <v>206</v>
      </c>
      <c r="L1553" s="20" t="s">
        <v>16</v>
      </c>
      <c r="M1553" s="21" t="s">
        <v>49</v>
      </c>
    </row>
    <row r="1554" spans="1:13">
      <c r="A1554" s="22">
        <v>2533577</v>
      </c>
      <c r="B1554" s="23" t="s">
        <v>6719</v>
      </c>
      <c r="C1554" s="22" t="s">
        <v>6720</v>
      </c>
      <c r="D1554" s="22" t="s">
        <v>6721</v>
      </c>
      <c r="E1554" s="23" t="s">
        <v>84</v>
      </c>
      <c r="F1554" s="23" t="s">
        <v>112</v>
      </c>
      <c r="G1554" s="23" t="s">
        <v>26</v>
      </c>
      <c r="H1554" s="23" t="s">
        <v>6722</v>
      </c>
      <c r="I1554" s="23" t="s">
        <v>6723</v>
      </c>
      <c r="J1554" s="34" t="s">
        <v>34</v>
      </c>
      <c r="K1554" s="23" t="s">
        <v>206</v>
      </c>
      <c r="L1554" s="23" t="s">
        <v>16</v>
      </c>
      <c r="M1554" s="24"/>
    </row>
    <row r="1555" spans="1:13">
      <c r="A1555" s="22">
        <v>2437338</v>
      </c>
      <c r="B1555" s="23" t="s">
        <v>6724</v>
      </c>
      <c r="C1555" s="22" t="s">
        <v>6725</v>
      </c>
      <c r="D1555" s="22" t="s">
        <v>6726</v>
      </c>
      <c r="E1555" s="23" t="s">
        <v>84</v>
      </c>
      <c r="F1555" s="23" t="s">
        <v>85</v>
      </c>
      <c r="G1555" s="23" t="s">
        <v>26</v>
      </c>
      <c r="H1555" s="23" t="s">
        <v>6727</v>
      </c>
      <c r="I1555" s="23" t="s">
        <v>6728</v>
      </c>
      <c r="J1555" s="22" t="s">
        <v>1088</v>
      </c>
      <c r="K1555" s="23" t="s">
        <v>206</v>
      </c>
      <c r="L1555" s="23" t="s">
        <v>18</v>
      </c>
      <c r="M1555" s="24" t="s">
        <v>222</v>
      </c>
    </row>
    <row r="1556" spans="1:13">
      <c r="A1556" s="22">
        <v>2533031</v>
      </c>
      <c r="B1556" s="23" t="s">
        <v>6729</v>
      </c>
      <c r="C1556" s="22" t="s">
        <v>6730</v>
      </c>
      <c r="D1556" s="22" t="s">
        <v>6731</v>
      </c>
      <c r="E1556" s="23" t="s">
        <v>127</v>
      </c>
      <c r="F1556" s="23" t="s">
        <v>172</v>
      </c>
      <c r="G1556" s="23" t="s">
        <v>26</v>
      </c>
      <c r="H1556" s="23" t="s">
        <v>6732</v>
      </c>
      <c r="I1556" s="23" t="s">
        <v>6733</v>
      </c>
      <c r="J1556" s="20">
        <v>2</v>
      </c>
      <c r="K1556" s="23" t="s">
        <v>107</v>
      </c>
      <c r="L1556" s="23" t="s">
        <v>16</v>
      </c>
      <c r="M1556" s="24" t="s">
        <v>455</v>
      </c>
    </row>
    <row r="1557" spans="1:13">
      <c r="A1557" s="22">
        <v>2532924</v>
      </c>
      <c r="B1557" s="23" t="s">
        <v>6734</v>
      </c>
      <c r="C1557" s="22" t="s">
        <v>6735</v>
      </c>
      <c r="D1557" s="22" t="s">
        <v>6736</v>
      </c>
      <c r="E1557" s="23" t="s">
        <v>127</v>
      </c>
      <c r="F1557" s="23" t="s">
        <v>92</v>
      </c>
      <c r="G1557" s="23" t="s">
        <v>26</v>
      </c>
      <c r="H1557" s="23" t="s">
        <v>6737</v>
      </c>
      <c r="I1557" s="23" t="s">
        <v>6738</v>
      </c>
      <c r="J1557" s="20">
        <v>2</v>
      </c>
      <c r="K1557" s="23" t="s">
        <v>19</v>
      </c>
      <c r="L1557" s="23" t="s">
        <v>16</v>
      </c>
      <c r="M1557" s="24" t="s">
        <v>16</v>
      </c>
    </row>
    <row r="1558" spans="1:13">
      <c r="A1558" s="19">
        <v>2521714</v>
      </c>
      <c r="B1558" s="20" t="s">
        <v>6739</v>
      </c>
      <c r="C1558" s="19" t="s">
        <v>6740</v>
      </c>
      <c r="D1558" s="19" t="s">
        <v>6741</v>
      </c>
      <c r="E1558" s="20" t="s">
        <v>84</v>
      </c>
      <c r="F1558" s="20" t="s">
        <v>92</v>
      </c>
      <c r="G1558" s="20" t="s">
        <v>26</v>
      </c>
      <c r="H1558" s="20" t="s">
        <v>6737</v>
      </c>
      <c r="I1558" s="20" t="s">
        <v>6742</v>
      </c>
      <c r="J1558" s="23">
        <v>3</v>
      </c>
      <c r="K1558" s="20" t="s">
        <v>107</v>
      </c>
      <c r="L1558" s="20" t="s">
        <v>16</v>
      </c>
      <c r="M1558" s="21"/>
    </row>
    <row r="1559" spans="1:13">
      <c r="A1559" s="19">
        <v>2532967</v>
      </c>
      <c r="B1559" s="20" t="s">
        <v>6743</v>
      </c>
      <c r="C1559" s="19" t="s">
        <v>6744</v>
      </c>
      <c r="D1559" s="19" t="s">
        <v>6745</v>
      </c>
      <c r="E1559" s="20" t="s">
        <v>127</v>
      </c>
      <c r="F1559" s="20" t="s">
        <v>92</v>
      </c>
      <c r="G1559" s="20" t="s">
        <v>26</v>
      </c>
      <c r="H1559" s="20" t="s">
        <v>6746</v>
      </c>
      <c r="I1559" s="20" t="s">
        <v>6747</v>
      </c>
      <c r="J1559" s="23">
        <v>3</v>
      </c>
      <c r="K1559" s="20" t="s">
        <v>107</v>
      </c>
      <c r="L1559" s="20" t="s">
        <v>16</v>
      </c>
      <c r="M1559" s="21"/>
    </row>
    <row r="1560" spans="1:13">
      <c r="A1560" s="22">
        <v>2516853</v>
      </c>
      <c r="B1560" s="23" t="s">
        <v>6748</v>
      </c>
      <c r="C1560" s="22" t="s">
        <v>6749</v>
      </c>
      <c r="D1560" s="22" t="s">
        <v>6750</v>
      </c>
      <c r="E1560" s="23" t="s">
        <v>84</v>
      </c>
      <c r="F1560" s="23" t="s">
        <v>92</v>
      </c>
      <c r="G1560" s="23" t="s">
        <v>26</v>
      </c>
      <c r="H1560" s="23" t="s">
        <v>6732</v>
      </c>
      <c r="I1560" s="23" t="s">
        <v>6751</v>
      </c>
      <c r="J1560" s="20">
        <v>4</v>
      </c>
      <c r="K1560" s="23" t="s">
        <v>19</v>
      </c>
      <c r="L1560" s="23" t="s">
        <v>16</v>
      </c>
      <c r="M1560" s="24"/>
    </row>
    <row r="1561" spans="1:13">
      <c r="A1561" s="22">
        <v>2516749</v>
      </c>
      <c r="B1561" s="23" t="s">
        <v>6752</v>
      </c>
      <c r="C1561" s="22" t="s">
        <v>6753</v>
      </c>
      <c r="D1561" s="22" t="s">
        <v>6754</v>
      </c>
      <c r="E1561" s="23" t="s">
        <v>127</v>
      </c>
      <c r="F1561" s="23" t="s">
        <v>92</v>
      </c>
      <c r="G1561" s="23" t="s">
        <v>26</v>
      </c>
      <c r="H1561" s="23" t="s">
        <v>6755</v>
      </c>
      <c r="I1561" s="23" t="s">
        <v>6756</v>
      </c>
      <c r="J1561" s="20">
        <v>5</v>
      </c>
      <c r="K1561" s="23" t="s">
        <v>19</v>
      </c>
      <c r="L1561" s="23" t="s">
        <v>16</v>
      </c>
      <c r="M1561" s="24"/>
    </row>
    <row r="1562" spans="1:13">
      <c r="A1562" s="22">
        <v>2532942</v>
      </c>
      <c r="B1562" s="23" t="s">
        <v>6757</v>
      </c>
      <c r="C1562" s="22" t="s">
        <v>6758</v>
      </c>
      <c r="D1562" s="22" t="s">
        <v>6759</v>
      </c>
      <c r="E1562" s="23" t="s">
        <v>219</v>
      </c>
      <c r="F1562" s="23" t="s">
        <v>92</v>
      </c>
      <c r="G1562" s="23" t="s">
        <v>26</v>
      </c>
      <c r="H1562" s="23" t="s">
        <v>6760</v>
      </c>
      <c r="I1562" s="23" t="s">
        <v>6761</v>
      </c>
      <c r="J1562" s="20">
        <v>2</v>
      </c>
      <c r="K1562" s="23" t="s">
        <v>19</v>
      </c>
      <c r="L1562" s="23" t="s">
        <v>16</v>
      </c>
      <c r="M1562" s="24"/>
    </row>
    <row r="1563" spans="1:13">
      <c r="A1563" s="22">
        <v>2533588</v>
      </c>
      <c r="B1563" s="23" t="s">
        <v>6762</v>
      </c>
      <c r="C1563" s="22" t="s">
        <v>6763</v>
      </c>
      <c r="D1563" s="22" t="s">
        <v>6764</v>
      </c>
      <c r="E1563" s="23" t="s">
        <v>84</v>
      </c>
      <c r="F1563" s="23" t="s">
        <v>92</v>
      </c>
      <c r="G1563" s="23" t="s">
        <v>26</v>
      </c>
      <c r="H1563" s="23" t="s">
        <v>6765</v>
      </c>
      <c r="I1563" s="23" t="s">
        <v>6766</v>
      </c>
      <c r="J1563" s="20">
        <v>2</v>
      </c>
      <c r="K1563" s="23" t="s">
        <v>107</v>
      </c>
      <c r="L1563" s="23" t="s">
        <v>16</v>
      </c>
      <c r="M1563" s="24"/>
    </row>
    <row r="1564" spans="1:13">
      <c r="A1564" s="22">
        <v>2532980</v>
      </c>
      <c r="B1564" s="23" t="s">
        <v>6767</v>
      </c>
      <c r="C1564" s="22" t="s">
        <v>6768</v>
      </c>
      <c r="D1564" s="22" t="s">
        <v>6769</v>
      </c>
      <c r="E1564" s="23" t="s">
        <v>84</v>
      </c>
      <c r="F1564" s="23" t="s">
        <v>92</v>
      </c>
      <c r="G1564" s="23" t="s">
        <v>26</v>
      </c>
      <c r="H1564" s="23" t="s">
        <v>6770</v>
      </c>
      <c r="I1564" s="23" t="s">
        <v>6771</v>
      </c>
      <c r="J1564" s="20">
        <v>2</v>
      </c>
      <c r="K1564" s="23" t="s">
        <v>107</v>
      </c>
      <c r="L1564" s="23" t="s">
        <v>16</v>
      </c>
      <c r="M1564" s="24" t="s">
        <v>864</v>
      </c>
    </row>
    <row r="1565" spans="1:13">
      <c r="A1565" s="19">
        <v>2521761</v>
      </c>
      <c r="B1565" s="20" t="s">
        <v>6772</v>
      </c>
      <c r="C1565" s="19" t="s">
        <v>6773</v>
      </c>
      <c r="D1565" s="19" t="s">
        <v>6774</v>
      </c>
      <c r="E1565" s="20" t="s">
        <v>84</v>
      </c>
      <c r="F1565" s="20" t="s">
        <v>92</v>
      </c>
      <c r="G1565" s="20" t="s">
        <v>26</v>
      </c>
      <c r="H1565" s="20" t="s">
        <v>6775</v>
      </c>
      <c r="I1565" s="20" t="s">
        <v>6776</v>
      </c>
      <c r="J1565" s="23">
        <v>3</v>
      </c>
      <c r="K1565" s="20" t="s">
        <v>107</v>
      </c>
      <c r="L1565" s="20" t="s">
        <v>16</v>
      </c>
      <c r="M1565" s="21"/>
    </row>
    <row r="1566" spans="1:13">
      <c r="A1566" s="19">
        <v>2533082</v>
      </c>
      <c r="B1566" s="20" t="s">
        <v>6777</v>
      </c>
      <c r="C1566" s="19" t="s">
        <v>6778</v>
      </c>
      <c r="D1566" s="19" t="s">
        <v>6779</v>
      </c>
      <c r="E1566" s="20" t="s">
        <v>84</v>
      </c>
      <c r="F1566" s="20" t="s">
        <v>92</v>
      </c>
      <c r="G1566" s="20" t="s">
        <v>26</v>
      </c>
      <c r="H1566" s="20" t="s">
        <v>6780</v>
      </c>
      <c r="I1566" s="20" t="s">
        <v>6781</v>
      </c>
      <c r="J1566" s="20">
        <v>2</v>
      </c>
      <c r="K1566" s="20" t="s">
        <v>19</v>
      </c>
      <c r="L1566" s="20" t="s">
        <v>16</v>
      </c>
      <c r="M1566" s="21"/>
    </row>
    <row r="1567" spans="1:13">
      <c r="A1567" s="22">
        <v>2530178</v>
      </c>
      <c r="B1567" s="23" t="s">
        <v>6782</v>
      </c>
      <c r="C1567" s="22" t="s">
        <v>6783</v>
      </c>
      <c r="D1567" s="22" t="s">
        <v>6784</v>
      </c>
      <c r="E1567" s="23" t="s">
        <v>84</v>
      </c>
      <c r="F1567" s="23" t="s">
        <v>92</v>
      </c>
      <c r="G1567" s="23" t="s">
        <v>26</v>
      </c>
      <c r="H1567" s="23" t="s">
        <v>6785</v>
      </c>
      <c r="I1567" s="23" t="s">
        <v>6785</v>
      </c>
      <c r="J1567" s="23">
        <v>3</v>
      </c>
      <c r="K1567" s="23" t="s">
        <v>19</v>
      </c>
      <c r="L1567" s="23" t="s">
        <v>16</v>
      </c>
      <c r="M1567" s="24" t="s">
        <v>16</v>
      </c>
    </row>
    <row r="1568" spans="1:13">
      <c r="A1568" s="22">
        <v>2524990</v>
      </c>
      <c r="B1568" s="23" t="s">
        <v>6786</v>
      </c>
      <c r="C1568" s="22" t="s">
        <v>6787</v>
      </c>
      <c r="D1568" s="22" t="s">
        <v>6788</v>
      </c>
      <c r="E1568" s="23" t="s">
        <v>127</v>
      </c>
      <c r="F1568" s="23" t="s">
        <v>172</v>
      </c>
      <c r="G1568" s="23" t="s">
        <v>26</v>
      </c>
      <c r="H1568" s="23" t="s">
        <v>6789</v>
      </c>
      <c r="I1568" s="23" t="s">
        <v>6790</v>
      </c>
      <c r="J1568" s="34" t="s">
        <v>34</v>
      </c>
      <c r="K1568" s="23" t="s">
        <v>107</v>
      </c>
      <c r="L1568" s="23" t="s">
        <v>16</v>
      </c>
      <c r="M1568" s="24"/>
    </row>
    <row r="1569" spans="1:13">
      <c r="A1569" s="22">
        <v>2524990</v>
      </c>
      <c r="B1569" s="23" t="s">
        <v>6786</v>
      </c>
      <c r="C1569" s="22" t="s">
        <v>6787</v>
      </c>
      <c r="D1569" s="22" t="s">
        <v>6788</v>
      </c>
      <c r="E1569" s="23" t="s">
        <v>127</v>
      </c>
      <c r="F1569" s="23" t="s">
        <v>92</v>
      </c>
      <c r="G1569" s="23" t="s">
        <v>26</v>
      </c>
      <c r="H1569" s="23" t="s">
        <v>6789</v>
      </c>
      <c r="I1569" s="23" t="s">
        <v>6791</v>
      </c>
      <c r="J1569" s="34" t="s">
        <v>34</v>
      </c>
      <c r="K1569" s="23" t="s">
        <v>107</v>
      </c>
      <c r="L1569" s="23" t="s">
        <v>16</v>
      </c>
      <c r="M1569" s="24"/>
    </row>
    <row r="1570" spans="1:13">
      <c r="A1570" s="22">
        <v>2525032</v>
      </c>
      <c r="B1570" s="23" t="s">
        <v>6792</v>
      </c>
      <c r="C1570" s="22" t="s">
        <v>6793</v>
      </c>
      <c r="D1570" s="22" t="s">
        <v>6794</v>
      </c>
      <c r="E1570" s="23" t="s">
        <v>127</v>
      </c>
      <c r="F1570" s="23" t="s">
        <v>92</v>
      </c>
      <c r="G1570" s="23" t="s">
        <v>24</v>
      </c>
      <c r="H1570" s="23" t="s">
        <v>6795</v>
      </c>
      <c r="I1570" s="23" t="s">
        <v>6796</v>
      </c>
      <c r="J1570" s="34" t="s">
        <v>34</v>
      </c>
      <c r="K1570" s="23" t="s">
        <v>107</v>
      </c>
      <c r="L1570" s="23" t="s">
        <v>16</v>
      </c>
      <c r="M1570" s="24"/>
    </row>
    <row r="1571" spans="1:13">
      <c r="A1571" s="22">
        <v>2525032</v>
      </c>
      <c r="B1571" s="23" t="s">
        <v>6792</v>
      </c>
      <c r="C1571" s="22" t="s">
        <v>6793</v>
      </c>
      <c r="D1571" s="22" t="s">
        <v>6794</v>
      </c>
      <c r="E1571" s="23" t="s">
        <v>127</v>
      </c>
      <c r="F1571" s="23" t="s">
        <v>172</v>
      </c>
      <c r="G1571" s="23" t="s">
        <v>24</v>
      </c>
      <c r="H1571" s="23" t="s">
        <v>6797</v>
      </c>
      <c r="I1571" s="23" t="s">
        <v>6798</v>
      </c>
      <c r="J1571" s="34" t="s">
        <v>34</v>
      </c>
      <c r="K1571" s="23" t="s">
        <v>107</v>
      </c>
      <c r="L1571" s="23" t="s">
        <v>16</v>
      </c>
      <c r="M1571" s="24"/>
    </row>
    <row r="1572" spans="1:13">
      <c r="A1572" s="22">
        <v>2529715</v>
      </c>
      <c r="B1572" s="23" t="s">
        <v>6799</v>
      </c>
      <c r="C1572" s="22" t="s">
        <v>6800</v>
      </c>
      <c r="D1572" s="22" t="s">
        <v>6801</v>
      </c>
      <c r="E1572" s="23" t="s">
        <v>127</v>
      </c>
      <c r="F1572" s="23" t="s">
        <v>92</v>
      </c>
      <c r="G1572" s="23" t="s">
        <v>26</v>
      </c>
      <c r="H1572" s="23" t="s">
        <v>6802</v>
      </c>
      <c r="I1572" s="23" t="s">
        <v>6803</v>
      </c>
      <c r="J1572" s="33">
        <v>1</v>
      </c>
      <c r="K1572" s="23" t="s">
        <v>107</v>
      </c>
      <c r="L1572" s="23" t="s">
        <v>16</v>
      </c>
      <c r="M1572" s="24"/>
    </row>
    <row r="1573" spans="1:13">
      <c r="A1573" s="19">
        <v>2531800</v>
      </c>
      <c r="B1573" s="20" t="s">
        <v>6804</v>
      </c>
      <c r="C1573" s="19" t="s">
        <v>6805</v>
      </c>
      <c r="D1573" s="19" t="s">
        <v>6806</v>
      </c>
      <c r="E1573" s="20" t="s">
        <v>127</v>
      </c>
      <c r="F1573" s="20" t="s">
        <v>92</v>
      </c>
      <c r="G1573" s="20" t="s">
        <v>26</v>
      </c>
      <c r="H1573" s="20" t="s">
        <v>6807</v>
      </c>
      <c r="I1573" s="20" t="s">
        <v>6808</v>
      </c>
      <c r="J1573" s="23">
        <v>1</v>
      </c>
      <c r="K1573" s="20" t="s">
        <v>107</v>
      </c>
      <c r="L1573" s="20" t="s">
        <v>16</v>
      </c>
      <c r="M1573" s="21" t="s">
        <v>6809</v>
      </c>
    </row>
    <row r="1574" spans="1:13">
      <c r="A1574" s="19">
        <v>2531800</v>
      </c>
      <c r="B1574" s="20" t="s">
        <v>6804</v>
      </c>
      <c r="C1574" s="19" t="s">
        <v>6805</v>
      </c>
      <c r="D1574" s="19" t="s">
        <v>6806</v>
      </c>
      <c r="E1574" s="20" t="s">
        <v>127</v>
      </c>
      <c r="F1574" s="20" t="s">
        <v>92</v>
      </c>
      <c r="G1574" s="20" t="s">
        <v>26</v>
      </c>
      <c r="H1574" s="20" t="s">
        <v>6807</v>
      </c>
      <c r="I1574" s="20" t="s">
        <v>6808</v>
      </c>
      <c r="J1574" s="34">
        <v>1</v>
      </c>
      <c r="K1574" s="20" t="s">
        <v>107</v>
      </c>
      <c r="L1574" s="20" t="s">
        <v>16</v>
      </c>
      <c r="M1574" s="21" t="s">
        <v>6809</v>
      </c>
    </row>
    <row r="1575" spans="1:13">
      <c r="A1575" s="19">
        <v>2531800</v>
      </c>
      <c r="B1575" s="20" t="s">
        <v>6804</v>
      </c>
      <c r="C1575" s="19" t="s">
        <v>6805</v>
      </c>
      <c r="D1575" s="19" t="s">
        <v>6806</v>
      </c>
      <c r="E1575" s="20" t="s">
        <v>127</v>
      </c>
      <c r="F1575" s="20" t="s">
        <v>92</v>
      </c>
      <c r="G1575" s="20" t="s">
        <v>26</v>
      </c>
      <c r="H1575" s="20" t="s">
        <v>6807</v>
      </c>
      <c r="I1575" s="20" t="s">
        <v>6808</v>
      </c>
      <c r="J1575" s="20">
        <v>1</v>
      </c>
      <c r="K1575" s="20" t="s">
        <v>107</v>
      </c>
      <c r="L1575" s="20" t="s">
        <v>16</v>
      </c>
      <c r="M1575" s="21" t="s">
        <v>6809</v>
      </c>
    </row>
    <row r="1576" spans="1:13">
      <c r="A1576" s="19">
        <v>2529715</v>
      </c>
      <c r="B1576" s="20" t="s">
        <v>6799</v>
      </c>
      <c r="C1576" s="19" t="s">
        <v>6800</v>
      </c>
      <c r="D1576" s="19" t="s">
        <v>6801</v>
      </c>
      <c r="E1576" s="20" t="s">
        <v>127</v>
      </c>
      <c r="F1576" s="20" t="s">
        <v>92</v>
      </c>
      <c r="G1576" s="20" t="s">
        <v>26</v>
      </c>
      <c r="H1576" s="20" t="s">
        <v>6810</v>
      </c>
      <c r="I1576" s="20" t="s">
        <v>6811</v>
      </c>
      <c r="J1576" s="23">
        <v>1</v>
      </c>
      <c r="K1576" s="20" t="s">
        <v>107</v>
      </c>
      <c r="L1576" s="20" t="s">
        <v>16</v>
      </c>
      <c r="M1576" s="21"/>
    </row>
    <row r="1577" spans="1:13">
      <c r="A1577" s="22">
        <v>2520928</v>
      </c>
      <c r="B1577" s="23" t="s">
        <v>6812</v>
      </c>
      <c r="C1577" s="22" t="s">
        <v>6813</v>
      </c>
      <c r="D1577" s="22" t="s">
        <v>6814</v>
      </c>
      <c r="E1577" s="23" t="s">
        <v>84</v>
      </c>
      <c r="F1577" s="23" t="s">
        <v>92</v>
      </c>
      <c r="G1577" s="23" t="s">
        <v>24</v>
      </c>
      <c r="H1577" s="23" t="s">
        <v>6815</v>
      </c>
      <c r="I1577" s="23" t="s">
        <v>6816</v>
      </c>
      <c r="J1577" s="23">
        <v>1</v>
      </c>
      <c r="K1577" s="23" t="s">
        <v>107</v>
      </c>
      <c r="L1577" s="23" t="s">
        <v>16</v>
      </c>
      <c r="M1577" s="24"/>
    </row>
    <row r="1578" spans="1:13">
      <c r="A1578" s="22">
        <v>2529557</v>
      </c>
      <c r="B1578" s="23" t="s">
        <v>6817</v>
      </c>
      <c r="C1578" s="22" t="s">
        <v>6818</v>
      </c>
      <c r="D1578" s="22" t="s">
        <v>6819</v>
      </c>
      <c r="E1578" s="23" t="s">
        <v>415</v>
      </c>
      <c r="F1578" s="23" t="s">
        <v>85</v>
      </c>
      <c r="G1578" s="23" t="s">
        <v>26</v>
      </c>
      <c r="H1578" s="23" t="s">
        <v>6820</v>
      </c>
      <c r="I1578" s="23" t="s">
        <v>6821</v>
      </c>
      <c r="J1578" s="23">
        <v>1</v>
      </c>
      <c r="K1578" s="23" t="s">
        <v>206</v>
      </c>
      <c r="L1578" s="23" t="s">
        <v>18</v>
      </c>
      <c r="M1578" s="24"/>
    </row>
    <row r="1579" spans="1:13">
      <c r="A1579" s="19">
        <v>2529553</v>
      </c>
      <c r="B1579" s="20" t="s">
        <v>6822</v>
      </c>
      <c r="C1579" s="19" t="s">
        <v>6819</v>
      </c>
      <c r="D1579" s="19" t="s">
        <v>6818</v>
      </c>
      <c r="E1579" s="20" t="s">
        <v>415</v>
      </c>
      <c r="F1579" s="20" t="s">
        <v>85</v>
      </c>
      <c r="G1579" s="20" t="s">
        <v>26</v>
      </c>
      <c r="H1579" s="20" t="s">
        <v>6823</v>
      </c>
      <c r="I1579" s="20" t="s">
        <v>6824</v>
      </c>
      <c r="J1579" s="20">
        <v>2</v>
      </c>
      <c r="K1579" s="20" t="s">
        <v>206</v>
      </c>
      <c r="L1579" s="20" t="s">
        <v>18</v>
      </c>
      <c r="M1579" s="21"/>
    </row>
    <row r="1580" spans="1:13">
      <c r="A1580" s="22">
        <v>2531793</v>
      </c>
      <c r="B1580" s="23" t="s">
        <v>6825</v>
      </c>
      <c r="C1580" s="22" t="s">
        <v>6826</v>
      </c>
      <c r="D1580" s="22" t="s">
        <v>6827</v>
      </c>
      <c r="E1580" s="23" t="s">
        <v>84</v>
      </c>
      <c r="F1580" s="23" t="s">
        <v>92</v>
      </c>
      <c r="G1580" s="23" t="s">
        <v>26</v>
      </c>
      <c r="H1580" s="23" t="s">
        <v>6828</v>
      </c>
      <c r="I1580" s="23" t="s">
        <v>6829</v>
      </c>
      <c r="J1580" s="23">
        <v>1</v>
      </c>
      <c r="K1580" s="23" t="s">
        <v>107</v>
      </c>
      <c r="L1580" s="23" t="s">
        <v>16</v>
      </c>
      <c r="M1580" s="24" t="s">
        <v>99</v>
      </c>
    </row>
    <row r="1581" spans="1:13">
      <c r="A1581" s="19">
        <v>2521804</v>
      </c>
      <c r="B1581" s="20" t="s">
        <v>6830</v>
      </c>
      <c r="C1581" s="19" t="s">
        <v>6831</v>
      </c>
      <c r="D1581" s="19" t="s">
        <v>6832</v>
      </c>
      <c r="E1581" s="20" t="s">
        <v>127</v>
      </c>
      <c r="F1581" s="20" t="s">
        <v>85</v>
      </c>
      <c r="G1581" s="20" t="s">
        <v>26</v>
      </c>
      <c r="H1581" s="20" t="s">
        <v>6833</v>
      </c>
      <c r="I1581" s="20" t="s">
        <v>5309</v>
      </c>
      <c r="J1581" s="20">
        <v>2</v>
      </c>
      <c r="K1581" s="20" t="s">
        <v>206</v>
      </c>
      <c r="L1581" s="20" t="s">
        <v>16</v>
      </c>
      <c r="M1581" s="21" t="s">
        <v>108</v>
      </c>
    </row>
    <row r="1582" spans="1:13">
      <c r="A1582" s="22">
        <v>2520934</v>
      </c>
      <c r="B1582" s="23" t="s">
        <v>6834</v>
      </c>
      <c r="C1582" s="22" t="s">
        <v>6835</v>
      </c>
      <c r="D1582" s="22" t="s">
        <v>6836</v>
      </c>
      <c r="E1582" s="23" t="s">
        <v>127</v>
      </c>
      <c r="F1582" s="23" t="s">
        <v>172</v>
      </c>
      <c r="G1582" s="23" t="s">
        <v>26</v>
      </c>
      <c r="H1582" s="23" t="s">
        <v>6837</v>
      </c>
      <c r="I1582" s="23" t="s">
        <v>6838</v>
      </c>
      <c r="J1582" s="23">
        <v>1</v>
      </c>
      <c r="K1582" s="23" t="s">
        <v>19</v>
      </c>
      <c r="L1582" s="23" t="s">
        <v>18</v>
      </c>
      <c r="M1582" s="24" t="s">
        <v>16</v>
      </c>
    </row>
    <row r="1583" spans="1:13">
      <c r="A1583" s="19">
        <v>2521710</v>
      </c>
      <c r="B1583" s="20" t="s">
        <v>6839</v>
      </c>
      <c r="C1583" s="19" t="s">
        <v>6840</v>
      </c>
      <c r="D1583" s="19" t="s">
        <v>6841</v>
      </c>
      <c r="E1583" s="20" t="s">
        <v>84</v>
      </c>
      <c r="F1583" s="20" t="s">
        <v>92</v>
      </c>
      <c r="G1583" s="20" t="s">
        <v>26</v>
      </c>
      <c r="H1583" s="20" t="s">
        <v>6842</v>
      </c>
      <c r="I1583" s="20" t="s">
        <v>6843</v>
      </c>
      <c r="J1583" s="23">
        <v>1</v>
      </c>
      <c r="K1583" s="20" t="s">
        <v>107</v>
      </c>
      <c r="L1583" s="20" t="s">
        <v>16</v>
      </c>
      <c r="M1583" s="21"/>
    </row>
    <row r="1584" spans="1:13">
      <c r="A1584" s="22">
        <v>2521710</v>
      </c>
      <c r="B1584" s="23" t="s">
        <v>6839</v>
      </c>
      <c r="C1584" s="22" t="s">
        <v>6840</v>
      </c>
      <c r="D1584" s="22" t="s">
        <v>6841</v>
      </c>
      <c r="E1584" s="23" t="s">
        <v>84</v>
      </c>
      <c r="F1584" s="23" t="s">
        <v>92</v>
      </c>
      <c r="G1584" s="23" t="s">
        <v>26</v>
      </c>
      <c r="H1584" s="23" t="s">
        <v>6842</v>
      </c>
      <c r="I1584" s="23" t="s">
        <v>6843</v>
      </c>
      <c r="J1584" s="23">
        <v>1</v>
      </c>
      <c r="K1584" s="23" t="s">
        <v>19</v>
      </c>
      <c r="L1584" s="23" t="s">
        <v>16</v>
      </c>
      <c r="M1584" s="24"/>
    </row>
    <row r="1585" spans="1:13">
      <c r="A1585" s="22">
        <v>2521124</v>
      </c>
      <c r="B1585" s="23" t="s">
        <v>6844</v>
      </c>
      <c r="C1585" s="22" t="s">
        <v>6845</v>
      </c>
      <c r="D1585" s="22" t="s">
        <v>6846</v>
      </c>
      <c r="E1585" s="23" t="s">
        <v>84</v>
      </c>
      <c r="F1585" s="23" t="s">
        <v>92</v>
      </c>
      <c r="G1585" s="23" t="s">
        <v>26</v>
      </c>
      <c r="H1585" s="23" t="s">
        <v>6847</v>
      </c>
      <c r="I1585" s="23" t="s">
        <v>6848</v>
      </c>
      <c r="J1585" s="23">
        <v>1</v>
      </c>
      <c r="K1585" s="23" t="s">
        <v>19</v>
      </c>
      <c r="L1585" s="23" t="s">
        <v>16</v>
      </c>
      <c r="M1585" s="24"/>
    </row>
    <row r="1586" spans="1:13">
      <c r="A1586" s="22">
        <v>2521710</v>
      </c>
      <c r="B1586" s="23" t="s">
        <v>6839</v>
      </c>
      <c r="C1586" s="22" t="s">
        <v>6840</v>
      </c>
      <c r="D1586" s="22" t="s">
        <v>6841</v>
      </c>
      <c r="E1586" s="23" t="s">
        <v>84</v>
      </c>
      <c r="F1586" s="23" t="s">
        <v>92</v>
      </c>
      <c r="G1586" s="23" t="s">
        <v>26</v>
      </c>
      <c r="H1586" s="23" t="s">
        <v>6842</v>
      </c>
      <c r="I1586" s="23" t="s">
        <v>6849</v>
      </c>
      <c r="J1586" s="23">
        <v>1</v>
      </c>
      <c r="K1586" s="23" t="s">
        <v>107</v>
      </c>
      <c r="L1586" s="23" t="s">
        <v>16</v>
      </c>
      <c r="M1586" s="24"/>
    </row>
    <row r="1587" spans="1:13">
      <c r="A1587" s="19">
        <v>2512329</v>
      </c>
      <c r="B1587" s="20" t="s">
        <v>6850</v>
      </c>
      <c r="C1587" s="19" t="s">
        <v>6851</v>
      </c>
      <c r="D1587" s="19" t="s">
        <v>6852</v>
      </c>
      <c r="E1587" s="20" t="s">
        <v>84</v>
      </c>
      <c r="F1587" s="20" t="s">
        <v>92</v>
      </c>
      <c r="G1587" s="20" t="s">
        <v>26</v>
      </c>
      <c r="H1587" s="20" t="s">
        <v>6853</v>
      </c>
      <c r="I1587" s="20" t="s">
        <v>6854</v>
      </c>
      <c r="J1587" s="23">
        <v>3</v>
      </c>
      <c r="K1587" s="20" t="s">
        <v>107</v>
      </c>
      <c r="L1587" s="20" t="s">
        <v>16</v>
      </c>
      <c r="M1587" s="21"/>
    </row>
    <row r="1588" spans="1:13">
      <c r="A1588" s="22">
        <v>2521109</v>
      </c>
      <c r="B1588" s="23" t="s">
        <v>6855</v>
      </c>
      <c r="C1588" s="22" t="s">
        <v>6856</v>
      </c>
      <c r="D1588" s="22" t="s">
        <v>6857</v>
      </c>
      <c r="E1588" s="23" t="s">
        <v>84</v>
      </c>
      <c r="F1588" s="23" t="s">
        <v>92</v>
      </c>
      <c r="G1588" s="23" t="s">
        <v>26</v>
      </c>
      <c r="H1588" s="23" t="s">
        <v>6858</v>
      </c>
      <c r="I1588" s="23" t="s">
        <v>6859</v>
      </c>
      <c r="J1588" s="23">
        <v>1</v>
      </c>
      <c r="K1588" s="23" t="s">
        <v>107</v>
      </c>
      <c r="L1588" s="23" t="s">
        <v>16</v>
      </c>
      <c r="M1588" s="24" t="s">
        <v>49</v>
      </c>
    </row>
    <row r="1589" spans="1:13">
      <c r="A1589" s="22">
        <v>2529550</v>
      </c>
      <c r="B1589" s="23" t="s">
        <v>6860</v>
      </c>
      <c r="C1589" s="22" t="s">
        <v>6861</v>
      </c>
      <c r="D1589" s="22" t="s">
        <v>6862</v>
      </c>
      <c r="E1589" s="23" t="s">
        <v>84</v>
      </c>
      <c r="F1589" s="23" t="s">
        <v>92</v>
      </c>
      <c r="G1589" s="23" t="s">
        <v>26</v>
      </c>
      <c r="H1589" s="23" t="s">
        <v>6863</v>
      </c>
      <c r="I1589" s="23" t="s">
        <v>6864</v>
      </c>
      <c r="J1589" s="20">
        <v>2</v>
      </c>
      <c r="K1589" s="23" t="s">
        <v>107</v>
      </c>
      <c r="L1589" s="23" t="s">
        <v>16</v>
      </c>
      <c r="M1589" s="24"/>
    </row>
    <row r="1590" spans="1:13">
      <c r="A1590" s="22">
        <v>2521081</v>
      </c>
      <c r="B1590" s="23" t="s">
        <v>6865</v>
      </c>
      <c r="C1590" s="22" t="s">
        <v>6866</v>
      </c>
      <c r="D1590" s="22" t="s">
        <v>6867</v>
      </c>
      <c r="E1590" s="23" t="s">
        <v>84</v>
      </c>
      <c r="F1590" s="23" t="s">
        <v>92</v>
      </c>
      <c r="G1590" s="23" t="s">
        <v>26</v>
      </c>
      <c r="H1590" s="23" t="s">
        <v>6859</v>
      </c>
      <c r="I1590" s="23" t="s">
        <v>6868</v>
      </c>
      <c r="J1590" s="23">
        <v>3</v>
      </c>
      <c r="K1590" s="23" t="s">
        <v>107</v>
      </c>
      <c r="L1590" s="23" t="s">
        <v>16</v>
      </c>
      <c r="M1590" s="24"/>
    </row>
    <row r="1591" spans="1:13">
      <c r="A1591" s="19">
        <v>2521260</v>
      </c>
      <c r="B1591" s="20" t="s">
        <v>6869</v>
      </c>
      <c r="C1591" s="19" t="s">
        <v>6870</v>
      </c>
      <c r="D1591" s="19" t="s">
        <v>6871</v>
      </c>
      <c r="E1591" s="20" t="s">
        <v>84</v>
      </c>
      <c r="F1591" s="20" t="s">
        <v>85</v>
      </c>
      <c r="G1591" s="20" t="s">
        <v>26</v>
      </c>
      <c r="H1591" s="20" t="s">
        <v>6872</v>
      </c>
      <c r="I1591" s="20" t="s">
        <v>6873</v>
      </c>
      <c r="J1591" s="34" t="s">
        <v>34</v>
      </c>
      <c r="K1591" s="20" t="s">
        <v>206</v>
      </c>
      <c r="L1591" s="20" t="s">
        <v>18</v>
      </c>
      <c r="M1591" s="21" t="s">
        <v>864</v>
      </c>
    </row>
    <row r="1592" spans="1:13">
      <c r="A1592" s="22">
        <v>2521260</v>
      </c>
      <c r="B1592" s="23" t="s">
        <v>6869</v>
      </c>
      <c r="C1592" s="22" t="s">
        <v>6870</v>
      </c>
      <c r="D1592" s="22" t="s">
        <v>6871</v>
      </c>
      <c r="E1592" s="23" t="s">
        <v>84</v>
      </c>
      <c r="F1592" s="23" t="s">
        <v>85</v>
      </c>
      <c r="G1592" s="23" t="s">
        <v>26</v>
      </c>
      <c r="H1592" s="23" t="s">
        <v>6874</v>
      </c>
      <c r="I1592" s="23" t="s">
        <v>6873</v>
      </c>
      <c r="J1592" s="33" t="s">
        <v>1088</v>
      </c>
      <c r="K1592" s="23" t="s">
        <v>206</v>
      </c>
      <c r="L1592" s="23" t="s">
        <v>18</v>
      </c>
      <c r="M1592" s="24" t="s">
        <v>864</v>
      </c>
    </row>
    <row r="1593" spans="1:13">
      <c r="A1593" s="22">
        <v>2521260</v>
      </c>
      <c r="B1593" s="23" t="s">
        <v>6869</v>
      </c>
      <c r="C1593" s="22" t="s">
        <v>6870</v>
      </c>
      <c r="D1593" s="22" t="s">
        <v>6871</v>
      </c>
      <c r="E1593" s="23" t="s">
        <v>84</v>
      </c>
      <c r="F1593" s="23" t="s">
        <v>85</v>
      </c>
      <c r="G1593" s="23" t="s">
        <v>26</v>
      </c>
      <c r="H1593" s="23" t="s">
        <v>6874</v>
      </c>
      <c r="I1593" s="23" t="s">
        <v>6873</v>
      </c>
      <c r="J1593" s="22">
        <v>3</v>
      </c>
      <c r="K1593" s="23" t="s">
        <v>206</v>
      </c>
      <c r="L1593" s="23" t="s">
        <v>18</v>
      </c>
      <c r="M1593" s="24" t="s">
        <v>864</v>
      </c>
    </row>
    <row r="1594" spans="1:13">
      <c r="A1594" s="22">
        <v>2516855</v>
      </c>
      <c r="B1594" s="23" t="s">
        <v>6875</v>
      </c>
      <c r="C1594" s="22" t="s">
        <v>6876</v>
      </c>
      <c r="D1594" s="22" t="s">
        <v>6877</v>
      </c>
      <c r="E1594" s="23" t="s">
        <v>84</v>
      </c>
      <c r="F1594" s="23" t="s">
        <v>92</v>
      </c>
      <c r="G1594" s="23" t="s">
        <v>26</v>
      </c>
      <c r="H1594" s="23" t="s">
        <v>6878</v>
      </c>
      <c r="I1594" s="23" t="s">
        <v>6879</v>
      </c>
      <c r="J1594" s="23">
        <v>1</v>
      </c>
      <c r="K1594" s="23" t="s">
        <v>19</v>
      </c>
      <c r="L1594" s="23" t="s">
        <v>16</v>
      </c>
      <c r="M1594" s="24" t="s">
        <v>49</v>
      </c>
    </row>
    <row r="1595" spans="1:13">
      <c r="A1595" s="19">
        <v>2516855</v>
      </c>
      <c r="B1595" s="20" t="s">
        <v>6875</v>
      </c>
      <c r="C1595" s="19" t="s">
        <v>6876</v>
      </c>
      <c r="D1595" s="19" t="s">
        <v>6877</v>
      </c>
      <c r="E1595" s="20" t="s">
        <v>84</v>
      </c>
      <c r="F1595" s="20" t="s">
        <v>92</v>
      </c>
      <c r="G1595" s="20" t="s">
        <v>26</v>
      </c>
      <c r="H1595" s="20" t="s">
        <v>6878</v>
      </c>
      <c r="I1595" s="20" t="s">
        <v>6880</v>
      </c>
      <c r="J1595" s="35" t="s">
        <v>94</v>
      </c>
      <c r="K1595" s="20" t="s">
        <v>19</v>
      </c>
      <c r="L1595" s="20" t="s">
        <v>16</v>
      </c>
      <c r="M1595" s="21" t="s">
        <v>49</v>
      </c>
    </row>
    <row r="1596" spans="1:13">
      <c r="A1596" s="19">
        <v>2516855</v>
      </c>
      <c r="B1596" s="20" t="s">
        <v>6875</v>
      </c>
      <c r="C1596" s="19" t="s">
        <v>6876</v>
      </c>
      <c r="D1596" s="19" t="s">
        <v>6877</v>
      </c>
      <c r="E1596" s="20" t="s">
        <v>84</v>
      </c>
      <c r="F1596" s="20" t="s">
        <v>92</v>
      </c>
      <c r="G1596" s="20" t="s">
        <v>26</v>
      </c>
      <c r="H1596" s="20" t="s">
        <v>6878</v>
      </c>
      <c r="I1596" s="20" t="s">
        <v>6881</v>
      </c>
      <c r="J1596" s="19">
        <v>1</v>
      </c>
      <c r="K1596" s="20" t="s">
        <v>19</v>
      </c>
      <c r="L1596" s="20" t="s">
        <v>16</v>
      </c>
      <c r="M1596" s="21" t="s">
        <v>49</v>
      </c>
    </row>
    <row r="1597" spans="1:13">
      <c r="A1597" s="22">
        <v>2532943</v>
      </c>
      <c r="B1597" s="23" t="s">
        <v>6882</v>
      </c>
      <c r="C1597" s="22" t="s">
        <v>6883</v>
      </c>
      <c r="D1597" s="22" t="s">
        <v>6884</v>
      </c>
      <c r="E1597" s="23" t="s">
        <v>127</v>
      </c>
      <c r="F1597" s="23" t="s">
        <v>172</v>
      </c>
      <c r="G1597" s="23" t="s">
        <v>26</v>
      </c>
      <c r="H1597" s="23" t="s">
        <v>6885</v>
      </c>
      <c r="I1597" s="23" t="s">
        <v>6886</v>
      </c>
      <c r="J1597" s="34" t="s">
        <v>34</v>
      </c>
      <c r="K1597" s="23" t="s">
        <v>206</v>
      </c>
      <c r="L1597" s="23" t="s">
        <v>16</v>
      </c>
      <c r="M1597" s="24"/>
    </row>
    <row r="1598" spans="1:13">
      <c r="A1598" s="22">
        <v>2532943</v>
      </c>
      <c r="B1598" s="23" t="s">
        <v>6882</v>
      </c>
      <c r="C1598" s="22" t="s">
        <v>6883</v>
      </c>
      <c r="D1598" s="22" t="s">
        <v>6884</v>
      </c>
      <c r="E1598" s="23" t="s">
        <v>127</v>
      </c>
      <c r="F1598" s="23" t="s">
        <v>92</v>
      </c>
      <c r="G1598" s="23" t="s">
        <v>26</v>
      </c>
      <c r="H1598" s="23" t="s">
        <v>6885</v>
      </c>
      <c r="I1598" s="23" t="s">
        <v>6887</v>
      </c>
      <c r="J1598" s="34" t="s">
        <v>34</v>
      </c>
      <c r="K1598" s="23" t="s">
        <v>206</v>
      </c>
      <c r="L1598" s="23" t="s">
        <v>16</v>
      </c>
      <c r="M1598" s="24"/>
    </row>
    <row r="1599" spans="1:13">
      <c r="A1599" s="22">
        <v>2533585</v>
      </c>
      <c r="B1599" s="23" t="s">
        <v>6888</v>
      </c>
      <c r="C1599" s="22" t="s">
        <v>6889</v>
      </c>
      <c r="D1599" s="22" t="s">
        <v>6890</v>
      </c>
      <c r="E1599" s="23" t="s">
        <v>84</v>
      </c>
      <c r="F1599" s="23" t="s">
        <v>92</v>
      </c>
      <c r="G1599" s="23" t="s">
        <v>26</v>
      </c>
      <c r="H1599" s="23" t="s">
        <v>6891</v>
      </c>
      <c r="I1599" s="23" t="s">
        <v>6892</v>
      </c>
      <c r="J1599" s="34" t="s">
        <v>34</v>
      </c>
      <c r="K1599" s="23" t="s">
        <v>206</v>
      </c>
      <c r="L1599" s="23" t="s">
        <v>16</v>
      </c>
      <c r="M1599" s="24"/>
    </row>
    <row r="1600" spans="1:13">
      <c r="A1600" s="22">
        <v>2533585</v>
      </c>
      <c r="B1600" s="23" t="s">
        <v>6888</v>
      </c>
      <c r="C1600" s="22" t="s">
        <v>6889</v>
      </c>
      <c r="D1600" s="22" t="s">
        <v>6890</v>
      </c>
      <c r="E1600" s="23" t="s">
        <v>84</v>
      </c>
      <c r="F1600" s="23" t="s">
        <v>92</v>
      </c>
      <c r="G1600" s="23" t="s">
        <v>26</v>
      </c>
      <c r="H1600" s="23" t="s">
        <v>6893</v>
      </c>
      <c r="I1600" s="23" t="s">
        <v>6894</v>
      </c>
      <c r="J1600" s="34" t="s">
        <v>34</v>
      </c>
      <c r="K1600" s="23" t="s">
        <v>206</v>
      </c>
      <c r="L1600" s="23" t="s">
        <v>16</v>
      </c>
      <c r="M1600" s="24"/>
    </row>
    <row r="1601" spans="1:13">
      <c r="A1601" s="19">
        <v>2512297</v>
      </c>
      <c r="B1601" s="20" t="s">
        <v>6895</v>
      </c>
      <c r="C1601" s="19" t="s">
        <v>6896</v>
      </c>
      <c r="D1601" s="19" t="s">
        <v>6897</v>
      </c>
      <c r="E1601" s="20" t="s">
        <v>84</v>
      </c>
      <c r="F1601" s="20" t="s">
        <v>85</v>
      </c>
      <c r="G1601" s="20" t="s">
        <v>26</v>
      </c>
      <c r="H1601" s="20" t="s">
        <v>6898</v>
      </c>
      <c r="I1601" s="20" t="s">
        <v>6899</v>
      </c>
      <c r="J1601" s="23">
        <v>1</v>
      </c>
      <c r="K1601" s="20" t="s">
        <v>206</v>
      </c>
      <c r="L1601" s="20" t="s">
        <v>16</v>
      </c>
      <c r="M1601" s="21"/>
    </row>
    <row r="1602" spans="1:13">
      <c r="A1602" s="19">
        <v>2512365</v>
      </c>
      <c r="B1602" s="20" t="s">
        <v>6900</v>
      </c>
      <c r="C1602" s="19" t="s">
        <v>6901</v>
      </c>
      <c r="D1602" s="19" t="s">
        <v>6902</v>
      </c>
      <c r="E1602" s="20" t="s">
        <v>127</v>
      </c>
      <c r="F1602" s="20" t="s">
        <v>85</v>
      </c>
      <c r="G1602" s="20" t="s">
        <v>26</v>
      </c>
      <c r="H1602" s="20" t="s">
        <v>6903</v>
      </c>
      <c r="I1602" s="20" t="s">
        <v>6903</v>
      </c>
      <c r="J1602" s="23">
        <v>1</v>
      </c>
      <c r="K1602" s="20" t="s">
        <v>206</v>
      </c>
      <c r="L1602" s="20" t="s">
        <v>16</v>
      </c>
      <c r="M1602" s="21" t="s">
        <v>2032</v>
      </c>
    </row>
    <row r="1603" spans="1:13">
      <c r="A1603" s="19">
        <v>2512297</v>
      </c>
      <c r="B1603" s="20" t="s">
        <v>6895</v>
      </c>
      <c r="C1603" s="19" t="s">
        <v>6896</v>
      </c>
      <c r="D1603" s="19" t="s">
        <v>6897</v>
      </c>
      <c r="E1603" s="20" t="s">
        <v>84</v>
      </c>
      <c r="F1603" s="20" t="s">
        <v>85</v>
      </c>
      <c r="G1603" s="20" t="s">
        <v>26</v>
      </c>
      <c r="H1603" s="20" t="s">
        <v>6904</v>
      </c>
      <c r="I1603" s="20" t="s">
        <v>6905</v>
      </c>
      <c r="J1603" s="23">
        <v>1</v>
      </c>
      <c r="K1603" s="20" t="s">
        <v>206</v>
      </c>
      <c r="L1603" s="20" t="s">
        <v>16</v>
      </c>
      <c r="M1603" s="21"/>
    </row>
    <row r="1604" spans="1:13">
      <c r="A1604" s="22">
        <v>2512343</v>
      </c>
      <c r="B1604" s="23" t="s">
        <v>6906</v>
      </c>
      <c r="C1604" s="22" t="s">
        <v>6907</v>
      </c>
      <c r="D1604" s="22" t="s">
        <v>6908</v>
      </c>
      <c r="E1604" s="23" t="s">
        <v>84</v>
      </c>
      <c r="F1604" s="23" t="s">
        <v>112</v>
      </c>
      <c r="G1604" s="23" t="s">
        <v>26</v>
      </c>
      <c r="H1604" s="23" t="s">
        <v>6909</v>
      </c>
      <c r="I1604" s="23" t="s">
        <v>6910</v>
      </c>
      <c r="J1604" s="23">
        <v>1</v>
      </c>
      <c r="K1604" s="23" t="s">
        <v>107</v>
      </c>
      <c r="L1604" s="23" t="s">
        <v>16</v>
      </c>
      <c r="M1604" s="24" t="s">
        <v>49</v>
      </c>
    </row>
    <row r="1605" spans="1:13">
      <c r="A1605" s="19">
        <v>2512343</v>
      </c>
      <c r="B1605" s="20" t="s">
        <v>6906</v>
      </c>
      <c r="C1605" s="19" t="s">
        <v>6907</v>
      </c>
      <c r="D1605" s="19" t="s">
        <v>6908</v>
      </c>
      <c r="E1605" s="20" t="s">
        <v>84</v>
      </c>
      <c r="F1605" s="20" t="s">
        <v>112</v>
      </c>
      <c r="G1605" s="20" t="s">
        <v>26</v>
      </c>
      <c r="H1605" s="20" t="s">
        <v>6911</v>
      </c>
      <c r="I1605" s="20" t="s">
        <v>6911</v>
      </c>
      <c r="J1605" s="23">
        <v>1</v>
      </c>
      <c r="K1605" s="20" t="s">
        <v>206</v>
      </c>
      <c r="L1605" s="20" t="s">
        <v>16</v>
      </c>
      <c r="M1605" s="21" t="s">
        <v>49</v>
      </c>
    </row>
    <row r="1606" spans="1:13">
      <c r="A1606" s="22">
        <v>2521269</v>
      </c>
      <c r="B1606" s="23" t="s">
        <v>6912</v>
      </c>
      <c r="C1606" s="22" t="s">
        <v>6913</v>
      </c>
      <c r="D1606" s="22" t="s">
        <v>6914</v>
      </c>
      <c r="E1606" s="23" t="s">
        <v>84</v>
      </c>
      <c r="F1606" s="23" t="s">
        <v>92</v>
      </c>
      <c r="G1606" s="23" t="s">
        <v>26</v>
      </c>
      <c r="H1606" s="23" t="s">
        <v>6915</v>
      </c>
      <c r="I1606" s="23" t="s">
        <v>6916</v>
      </c>
      <c r="J1606" s="20">
        <v>2</v>
      </c>
      <c r="K1606" s="23" t="s">
        <v>19</v>
      </c>
      <c r="L1606" s="23" t="s">
        <v>16</v>
      </c>
      <c r="M1606" s="24"/>
    </row>
    <row r="1607" spans="1:13">
      <c r="A1607" s="19">
        <v>2521269</v>
      </c>
      <c r="B1607" s="20" t="s">
        <v>6912</v>
      </c>
      <c r="C1607" s="19" t="s">
        <v>6913</v>
      </c>
      <c r="D1607" s="19" t="s">
        <v>6914</v>
      </c>
      <c r="E1607" s="20" t="s">
        <v>84</v>
      </c>
      <c r="F1607" s="20" t="s">
        <v>92</v>
      </c>
      <c r="G1607" s="20" t="s">
        <v>26</v>
      </c>
      <c r="H1607" s="20" t="s">
        <v>6917</v>
      </c>
      <c r="I1607" s="20" t="s">
        <v>6918</v>
      </c>
      <c r="J1607" s="20">
        <v>2</v>
      </c>
      <c r="K1607" s="20" t="s">
        <v>19</v>
      </c>
      <c r="L1607" s="20" t="s">
        <v>16</v>
      </c>
      <c r="M1607" s="21"/>
    </row>
    <row r="1608" spans="1:13">
      <c r="A1608" s="22">
        <v>2529743</v>
      </c>
      <c r="B1608" s="23" t="s">
        <v>6919</v>
      </c>
      <c r="C1608" s="22" t="s">
        <v>6920</v>
      </c>
      <c r="D1608" s="22" t="s">
        <v>6921</v>
      </c>
      <c r="E1608" s="23" t="s">
        <v>84</v>
      </c>
      <c r="F1608" s="23" t="s">
        <v>92</v>
      </c>
      <c r="G1608" s="23" t="s">
        <v>26</v>
      </c>
      <c r="H1608" s="23" t="s">
        <v>6922</v>
      </c>
      <c r="I1608" s="23" t="s">
        <v>6923</v>
      </c>
      <c r="J1608" s="23">
        <v>3</v>
      </c>
      <c r="K1608" s="23" t="s">
        <v>19</v>
      </c>
      <c r="L1608" s="23" t="s">
        <v>16</v>
      </c>
      <c r="M1608" s="24" t="s">
        <v>49</v>
      </c>
    </row>
    <row r="1609" spans="1:13">
      <c r="A1609" s="22">
        <v>2521675</v>
      </c>
      <c r="B1609" s="23" t="s">
        <v>6924</v>
      </c>
      <c r="C1609" s="22" t="s">
        <v>6925</v>
      </c>
      <c r="D1609" s="22" t="s">
        <v>6926</v>
      </c>
      <c r="E1609" s="23" t="s">
        <v>84</v>
      </c>
      <c r="F1609" s="23" t="s">
        <v>92</v>
      </c>
      <c r="G1609" s="23" t="s">
        <v>26</v>
      </c>
      <c r="H1609" s="23" t="s">
        <v>6927</v>
      </c>
      <c r="I1609" s="23" t="s">
        <v>168</v>
      </c>
      <c r="J1609" s="20">
        <v>2</v>
      </c>
      <c r="K1609" s="23" t="s">
        <v>107</v>
      </c>
      <c r="L1609" s="23" t="s">
        <v>16</v>
      </c>
      <c r="M1609" s="24" t="s">
        <v>16</v>
      </c>
    </row>
    <row r="1610" spans="1:13">
      <c r="A1610" s="19">
        <v>2524550</v>
      </c>
      <c r="B1610" s="20" t="s">
        <v>6928</v>
      </c>
      <c r="C1610" s="19" t="s">
        <v>6929</v>
      </c>
      <c r="D1610" s="19" t="s">
        <v>6930</v>
      </c>
      <c r="E1610" s="20" t="s">
        <v>84</v>
      </c>
      <c r="F1610" s="20" t="s">
        <v>92</v>
      </c>
      <c r="G1610" s="20" t="s">
        <v>26</v>
      </c>
      <c r="H1610" s="20" t="s">
        <v>6931</v>
      </c>
      <c r="I1610" s="20" t="s">
        <v>6932</v>
      </c>
      <c r="J1610" s="20">
        <v>3</v>
      </c>
      <c r="K1610" s="20" t="s">
        <v>206</v>
      </c>
      <c r="L1610" s="20" t="s">
        <v>18</v>
      </c>
      <c r="M1610" s="25" t="s">
        <v>86</v>
      </c>
    </row>
    <row r="1611" spans="1:13">
      <c r="A1611" s="19">
        <v>2512339</v>
      </c>
      <c r="B1611" s="20" t="s">
        <v>6933</v>
      </c>
      <c r="C1611" s="19" t="s">
        <v>6934</v>
      </c>
      <c r="D1611" s="19" t="s">
        <v>6935</v>
      </c>
      <c r="E1611" s="20" t="s">
        <v>84</v>
      </c>
      <c r="F1611" s="20" t="s">
        <v>92</v>
      </c>
      <c r="G1611" s="20" t="s">
        <v>26</v>
      </c>
      <c r="H1611" s="20" t="s">
        <v>6936</v>
      </c>
      <c r="I1611" s="20" t="s">
        <v>6937</v>
      </c>
      <c r="J1611" s="23">
        <v>1</v>
      </c>
      <c r="K1611" s="20" t="s">
        <v>107</v>
      </c>
      <c r="L1611" s="20" t="s">
        <v>16</v>
      </c>
      <c r="M1611" s="21"/>
    </row>
    <row r="1612" spans="1:13">
      <c r="A1612" s="22">
        <v>2521757</v>
      </c>
      <c r="B1612" s="23" t="s">
        <v>6938</v>
      </c>
      <c r="C1612" s="22" t="s">
        <v>6939</v>
      </c>
      <c r="D1612" s="22" t="s">
        <v>6940</v>
      </c>
      <c r="E1612" s="23" t="s">
        <v>84</v>
      </c>
      <c r="F1612" s="23" t="s">
        <v>92</v>
      </c>
      <c r="G1612" s="23" t="s">
        <v>26</v>
      </c>
      <c r="H1612" s="23" t="s">
        <v>6941</v>
      </c>
      <c r="I1612" s="23" t="s">
        <v>6942</v>
      </c>
      <c r="J1612" s="20">
        <v>4</v>
      </c>
      <c r="K1612" s="23" t="s">
        <v>19</v>
      </c>
      <c r="L1612" s="23" t="s">
        <v>16</v>
      </c>
      <c r="M1612" s="24"/>
    </row>
    <row r="1613" spans="1:13">
      <c r="A1613" s="19">
        <v>2524661</v>
      </c>
      <c r="B1613" s="20" t="s">
        <v>6943</v>
      </c>
      <c r="C1613" s="19" t="s">
        <v>6944</v>
      </c>
      <c r="D1613" s="19" t="s">
        <v>6945</v>
      </c>
      <c r="E1613" s="20" t="s">
        <v>84</v>
      </c>
      <c r="F1613" s="20" t="s">
        <v>92</v>
      </c>
      <c r="G1613" s="20" t="s">
        <v>26</v>
      </c>
      <c r="H1613" s="20" t="s">
        <v>6946</v>
      </c>
      <c r="I1613" s="20" t="s">
        <v>6946</v>
      </c>
      <c r="J1613" s="20">
        <v>4</v>
      </c>
      <c r="K1613" s="20" t="s">
        <v>107</v>
      </c>
      <c r="L1613" s="20" t="s">
        <v>18</v>
      </c>
      <c r="M1613" s="21"/>
    </row>
    <row r="1614" spans="1:13">
      <c r="A1614" s="22">
        <v>2521295</v>
      </c>
      <c r="B1614" s="23" t="s">
        <v>6947</v>
      </c>
      <c r="C1614" s="22" t="s">
        <v>6948</v>
      </c>
      <c r="D1614" s="22" t="s">
        <v>6949</v>
      </c>
      <c r="E1614" s="23" t="s">
        <v>84</v>
      </c>
      <c r="F1614" s="23" t="s">
        <v>92</v>
      </c>
      <c r="G1614" s="23" t="s">
        <v>26</v>
      </c>
      <c r="H1614" s="23" t="s">
        <v>6950</v>
      </c>
      <c r="I1614" s="23" t="s">
        <v>6951</v>
      </c>
      <c r="J1614" s="20">
        <v>2</v>
      </c>
      <c r="K1614" s="23" t="s">
        <v>107</v>
      </c>
      <c r="L1614" s="23" t="s">
        <v>16</v>
      </c>
      <c r="M1614" s="24"/>
    </row>
    <row r="1615" spans="1:13">
      <c r="A1615" s="22">
        <v>2511258</v>
      </c>
      <c r="B1615" s="23" t="s">
        <v>6952</v>
      </c>
      <c r="C1615" s="22" t="s">
        <v>6953</v>
      </c>
      <c r="D1615" s="22" t="s">
        <v>6954</v>
      </c>
      <c r="E1615" s="23" t="s">
        <v>84</v>
      </c>
      <c r="F1615" s="23" t="s">
        <v>112</v>
      </c>
      <c r="G1615" s="23" t="s">
        <v>26</v>
      </c>
      <c r="H1615" s="23" t="s">
        <v>6955</v>
      </c>
      <c r="I1615" s="23" t="s">
        <v>6956</v>
      </c>
      <c r="J1615" s="20">
        <v>2</v>
      </c>
      <c r="K1615" s="23" t="s">
        <v>206</v>
      </c>
      <c r="L1615" s="23" t="s">
        <v>16</v>
      </c>
      <c r="M1615" s="24" t="s">
        <v>49</v>
      </c>
    </row>
    <row r="1616" spans="1:13">
      <c r="A1616" s="22">
        <v>2521259</v>
      </c>
      <c r="B1616" s="23" t="s">
        <v>6957</v>
      </c>
      <c r="C1616" s="22" t="s">
        <v>6958</v>
      </c>
      <c r="D1616" s="22" t="s">
        <v>6959</v>
      </c>
      <c r="E1616" s="23" t="s">
        <v>84</v>
      </c>
      <c r="F1616" s="23" t="s">
        <v>92</v>
      </c>
      <c r="G1616" s="23" t="s">
        <v>26</v>
      </c>
      <c r="H1616" s="23" t="s">
        <v>6960</v>
      </c>
      <c r="I1616" s="23" t="s">
        <v>6961</v>
      </c>
      <c r="J1616" s="20">
        <v>2</v>
      </c>
      <c r="K1616" s="23" t="s">
        <v>206</v>
      </c>
      <c r="L1616" s="23" t="s">
        <v>16</v>
      </c>
      <c r="M1616" s="24"/>
    </row>
    <row r="1617" spans="1:13">
      <c r="A1617" s="19">
        <v>2521304</v>
      </c>
      <c r="B1617" s="20" t="s">
        <v>6962</v>
      </c>
      <c r="C1617" s="19" t="s">
        <v>6963</v>
      </c>
      <c r="D1617" s="19" t="s">
        <v>6964</v>
      </c>
      <c r="E1617" s="20" t="s">
        <v>84</v>
      </c>
      <c r="F1617" s="20" t="s">
        <v>85</v>
      </c>
      <c r="G1617" s="20" t="s">
        <v>26</v>
      </c>
      <c r="H1617" s="20" t="s">
        <v>6965</v>
      </c>
      <c r="I1617" s="20" t="s">
        <v>6965</v>
      </c>
      <c r="J1617" s="20">
        <v>2</v>
      </c>
      <c r="K1617" s="20" t="s">
        <v>206</v>
      </c>
      <c r="L1617" s="20" t="s">
        <v>16</v>
      </c>
      <c r="M1617" s="21" t="s">
        <v>864</v>
      </c>
    </row>
    <row r="1618" spans="1:13">
      <c r="A1618" s="22">
        <v>2529529</v>
      </c>
      <c r="B1618" s="23" t="s">
        <v>6966</v>
      </c>
      <c r="C1618" s="22" t="s">
        <v>6967</v>
      </c>
      <c r="D1618" s="22" t="s">
        <v>6968</v>
      </c>
      <c r="E1618" s="23" t="s">
        <v>84</v>
      </c>
      <c r="F1618" s="23" t="s">
        <v>92</v>
      </c>
      <c r="G1618" s="23" t="s">
        <v>26</v>
      </c>
      <c r="H1618" s="23" t="s">
        <v>6969</v>
      </c>
      <c r="I1618" s="23" t="s">
        <v>6970</v>
      </c>
      <c r="J1618" s="20">
        <v>2</v>
      </c>
      <c r="K1618" s="23" t="s">
        <v>19</v>
      </c>
      <c r="L1618" s="23" t="s">
        <v>16</v>
      </c>
      <c r="M1618" s="24" t="s">
        <v>1561</v>
      </c>
    </row>
    <row r="1619" spans="1:13">
      <c r="A1619" s="22">
        <v>2511223</v>
      </c>
      <c r="B1619" s="23" t="s">
        <v>6971</v>
      </c>
      <c r="C1619" s="22" t="s">
        <v>6972</v>
      </c>
      <c r="D1619" s="22" t="s">
        <v>6973</v>
      </c>
      <c r="E1619" s="23" t="s">
        <v>127</v>
      </c>
      <c r="F1619" s="23" t="s">
        <v>92</v>
      </c>
      <c r="G1619" s="23" t="s">
        <v>26</v>
      </c>
      <c r="H1619" s="23" t="s">
        <v>6974</v>
      </c>
      <c r="I1619" s="23" t="s">
        <v>6975</v>
      </c>
      <c r="J1619" s="34" t="s">
        <v>34</v>
      </c>
      <c r="K1619" s="23" t="s">
        <v>107</v>
      </c>
      <c r="L1619" s="23" t="s">
        <v>16</v>
      </c>
      <c r="M1619" s="24" t="s">
        <v>49</v>
      </c>
    </row>
    <row r="1620" spans="1:13">
      <c r="A1620" s="22">
        <v>2521637</v>
      </c>
      <c r="B1620" s="23" t="s">
        <v>6976</v>
      </c>
      <c r="C1620" s="22" t="s">
        <v>6977</v>
      </c>
      <c r="D1620" s="22" t="s">
        <v>6978</v>
      </c>
      <c r="E1620" s="23" t="s">
        <v>84</v>
      </c>
      <c r="F1620" s="23" t="s">
        <v>172</v>
      </c>
      <c r="G1620" s="23" t="s">
        <v>26</v>
      </c>
      <c r="H1620" s="23" t="s">
        <v>6979</v>
      </c>
      <c r="I1620" s="23" t="s">
        <v>6980</v>
      </c>
      <c r="J1620" s="23">
        <v>1</v>
      </c>
      <c r="K1620" s="23" t="s">
        <v>19</v>
      </c>
      <c r="L1620" s="23" t="s">
        <v>16</v>
      </c>
      <c r="M1620" s="24"/>
    </row>
    <row r="1621" spans="1:13">
      <c r="A1621" s="22">
        <v>2529651</v>
      </c>
      <c r="B1621" s="23" t="s">
        <v>6981</v>
      </c>
      <c r="C1621" s="22" t="s">
        <v>6982</v>
      </c>
      <c r="D1621" s="22" t="s">
        <v>6983</v>
      </c>
      <c r="E1621" s="23" t="s">
        <v>84</v>
      </c>
      <c r="F1621" s="23" t="s">
        <v>92</v>
      </c>
      <c r="G1621" s="23" t="s">
        <v>26</v>
      </c>
      <c r="H1621" s="23" t="s">
        <v>6979</v>
      </c>
      <c r="I1621" s="23" t="s">
        <v>6984</v>
      </c>
      <c r="J1621" s="23">
        <v>1</v>
      </c>
      <c r="K1621" s="23" t="s">
        <v>107</v>
      </c>
      <c r="L1621" s="23" t="s">
        <v>16</v>
      </c>
      <c r="M1621" s="24"/>
    </row>
    <row r="1622" spans="1:13">
      <c r="A1622" s="19">
        <v>2521311</v>
      </c>
      <c r="B1622" s="20" t="s">
        <v>6985</v>
      </c>
      <c r="C1622" s="19" t="s">
        <v>6986</v>
      </c>
      <c r="D1622" s="19" t="s">
        <v>6987</v>
      </c>
      <c r="E1622" s="20" t="s">
        <v>84</v>
      </c>
      <c r="F1622" s="20" t="s">
        <v>92</v>
      </c>
      <c r="G1622" s="20" t="s">
        <v>26</v>
      </c>
      <c r="H1622" s="20" t="s">
        <v>6988</v>
      </c>
      <c r="I1622" s="20" t="s">
        <v>6989</v>
      </c>
      <c r="J1622" s="23">
        <v>1</v>
      </c>
      <c r="K1622" s="20" t="s">
        <v>107</v>
      </c>
      <c r="L1622" s="20" t="s">
        <v>16</v>
      </c>
      <c r="M1622" s="21"/>
    </row>
    <row r="1623" spans="1:13">
      <c r="A1623" s="19">
        <v>2533177</v>
      </c>
      <c r="B1623" s="20" t="s">
        <v>6990</v>
      </c>
      <c r="C1623" s="19" t="s">
        <v>6991</v>
      </c>
      <c r="D1623" s="19" t="s">
        <v>6992</v>
      </c>
      <c r="E1623" s="20" t="s">
        <v>84</v>
      </c>
      <c r="F1623" s="20" t="s">
        <v>92</v>
      </c>
      <c r="G1623" s="20" t="s">
        <v>26</v>
      </c>
      <c r="H1623" s="20" t="s">
        <v>6993</v>
      </c>
      <c r="I1623" s="20" t="s">
        <v>6994</v>
      </c>
      <c r="J1623" s="20">
        <v>2</v>
      </c>
      <c r="K1623" s="20" t="s">
        <v>107</v>
      </c>
      <c r="L1623" s="20" t="s">
        <v>16</v>
      </c>
      <c r="M1623" s="21"/>
    </row>
    <row r="1624" spans="1:13">
      <c r="A1624" s="22">
        <v>2529740</v>
      </c>
      <c r="B1624" s="23" t="s">
        <v>6995</v>
      </c>
      <c r="C1624" s="22" t="s">
        <v>6996</v>
      </c>
      <c r="D1624" s="22" t="s">
        <v>6997</v>
      </c>
      <c r="E1624" s="23" t="s">
        <v>84</v>
      </c>
      <c r="F1624" s="23" t="s">
        <v>92</v>
      </c>
      <c r="G1624" s="23" t="s">
        <v>26</v>
      </c>
      <c r="H1624" s="23" t="s">
        <v>6998</v>
      </c>
      <c r="I1624" s="23" t="s">
        <v>6998</v>
      </c>
      <c r="J1624" s="20">
        <v>2</v>
      </c>
      <c r="K1624" s="23" t="s">
        <v>107</v>
      </c>
      <c r="L1624" s="23" t="s">
        <v>18</v>
      </c>
      <c r="M1624" s="24"/>
    </row>
    <row r="1625" spans="1:13">
      <c r="A1625" s="19">
        <v>2529717</v>
      </c>
      <c r="B1625" s="20" t="s">
        <v>6999</v>
      </c>
      <c r="C1625" s="19" t="s">
        <v>7000</v>
      </c>
      <c r="D1625" s="19" t="s">
        <v>7001</v>
      </c>
      <c r="E1625" s="20" t="s">
        <v>84</v>
      </c>
      <c r="F1625" s="20" t="s">
        <v>92</v>
      </c>
      <c r="G1625" s="20" t="s">
        <v>26</v>
      </c>
      <c r="H1625" s="20" t="s">
        <v>7002</v>
      </c>
      <c r="I1625" s="20" t="s">
        <v>7003</v>
      </c>
      <c r="J1625" s="20">
        <v>2</v>
      </c>
      <c r="K1625" s="20" t="s">
        <v>107</v>
      </c>
      <c r="L1625" s="20" t="s">
        <v>18</v>
      </c>
      <c r="M1625" s="21"/>
    </row>
    <row r="1626" spans="1:13">
      <c r="A1626" s="22">
        <v>2529717</v>
      </c>
      <c r="B1626" s="23" t="s">
        <v>6999</v>
      </c>
      <c r="C1626" s="22" t="s">
        <v>7000</v>
      </c>
      <c r="D1626" s="22" t="s">
        <v>7001</v>
      </c>
      <c r="E1626" s="23" t="s">
        <v>84</v>
      </c>
      <c r="F1626" s="23" t="s">
        <v>92</v>
      </c>
      <c r="G1626" s="23" t="s">
        <v>26</v>
      </c>
      <c r="H1626" s="23" t="s">
        <v>7004</v>
      </c>
      <c r="I1626" s="23" t="s">
        <v>7005</v>
      </c>
      <c r="J1626" s="20">
        <v>2</v>
      </c>
      <c r="K1626" s="23" t="s">
        <v>107</v>
      </c>
      <c r="L1626" s="23" t="s">
        <v>18</v>
      </c>
      <c r="M1626" s="24"/>
    </row>
    <row r="1627" spans="1:13">
      <c r="A1627" s="19">
        <v>2533160</v>
      </c>
      <c r="B1627" s="20" t="s">
        <v>7006</v>
      </c>
      <c r="C1627" s="19" t="s">
        <v>7007</v>
      </c>
      <c r="D1627" s="19" t="s">
        <v>7008</v>
      </c>
      <c r="E1627" s="20" t="s">
        <v>84</v>
      </c>
      <c r="F1627" s="20" t="s">
        <v>92</v>
      </c>
      <c r="G1627" s="20" t="s">
        <v>26</v>
      </c>
      <c r="H1627" s="20" t="s">
        <v>7009</v>
      </c>
      <c r="I1627" s="20" t="s">
        <v>7010</v>
      </c>
      <c r="J1627" s="23">
        <v>3</v>
      </c>
      <c r="K1627" s="20" t="s">
        <v>107</v>
      </c>
      <c r="L1627" s="20" t="s">
        <v>16</v>
      </c>
      <c r="M1627" s="21" t="s">
        <v>7011</v>
      </c>
    </row>
    <row r="1628" spans="1:13">
      <c r="A1628" s="19">
        <v>2528717</v>
      </c>
      <c r="B1628" s="20" t="s">
        <v>6999</v>
      </c>
      <c r="C1628" s="19" t="s">
        <v>7000</v>
      </c>
      <c r="D1628" s="19" t="s">
        <v>7001</v>
      </c>
      <c r="E1628" s="20" t="s">
        <v>84</v>
      </c>
      <c r="F1628" s="20" t="s">
        <v>92</v>
      </c>
      <c r="G1628" s="20" t="s">
        <v>24</v>
      </c>
      <c r="H1628" s="20" t="s">
        <v>7012</v>
      </c>
      <c r="I1628" s="20" t="s">
        <v>7013</v>
      </c>
      <c r="J1628" s="20">
        <v>2</v>
      </c>
      <c r="K1628" s="20" t="s">
        <v>107</v>
      </c>
      <c r="L1628" s="20" t="s">
        <v>18</v>
      </c>
      <c r="M1628" s="21"/>
    </row>
    <row r="1629" spans="1:13">
      <c r="A1629" s="19">
        <v>2531414</v>
      </c>
      <c r="B1629" s="20" t="s">
        <v>7014</v>
      </c>
      <c r="C1629" s="19" t="s">
        <v>7015</v>
      </c>
      <c r="D1629" s="19" t="s">
        <v>7016</v>
      </c>
      <c r="E1629" s="20" t="s">
        <v>84</v>
      </c>
      <c r="F1629" s="20" t="s">
        <v>92</v>
      </c>
      <c r="G1629" s="20" t="s">
        <v>26</v>
      </c>
      <c r="H1629" s="20" t="s">
        <v>7017</v>
      </c>
      <c r="I1629" s="20" t="s">
        <v>7018</v>
      </c>
      <c r="J1629" s="20">
        <v>2</v>
      </c>
      <c r="K1629" s="20" t="s">
        <v>107</v>
      </c>
      <c r="L1629" s="20" t="s">
        <v>18</v>
      </c>
      <c r="M1629" s="21"/>
    </row>
    <row r="1630" spans="1:13">
      <c r="A1630" s="22">
        <v>2531414</v>
      </c>
      <c r="B1630" s="23" t="s">
        <v>7014</v>
      </c>
      <c r="C1630" s="22" t="s">
        <v>7015</v>
      </c>
      <c r="D1630" s="22" t="s">
        <v>7016</v>
      </c>
      <c r="E1630" s="23" t="s">
        <v>84</v>
      </c>
      <c r="F1630" s="23" t="s">
        <v>92</v>
      </c>
      <c r="G1630" s="23" t="s">
        <v>26</v>
      </c>
      <c r="H1630" s="23" t="s">
        <v>7019</v>
      </c>
      <c r="I1630" s="23" t="s">
        <v>7020</v>
      </c>
      <c r="J1630" s="20">
        <v>2</v>
      </c>
      <c r="K1630" s="23" t="s">
        <v>107</v>
      </c>
      <c r="L1630" s="23" t="s">
        <v>18</v>
      </c>
      <c r="M1630" s="24"/>
    </row>
    <row r="1631" spans="1:13">
      <c r="A1631" s="22">
        <v>2531413</v>
      </c>
      <c r="B1631" s="23" t="s">
        <v>7021</v>
      </c>
      <c r="C1631" s="22" t="s">
        <v>7022</v>
      </c>
      <c r="D1631" s="22" t="s">
        <v>7023</v>
      </c>
      <c r="E1631" s="23" t="s">
        <v>84</v>
      </c>
      <c r="F1631" s="23" t="s">
        <v>92</v>
      </c>
      <c r="G1631" s="23" t="s">
        <v>26</v>
      </c>
      <c r="H1631" s="23" t="s">
        <v>7024</v>
      </c>
      <c r="I1631" s="23" t="s">
        <v>7025</v>
      </c>
      <c r="J1631" s="23">
        <v>3</v>
      </c>
      <c r="K1631" s="23" t="s">
        <v>107</v>
      </c>
      <c r="L1631" s="23" t="s">
        <v>16</v>
      </c>
      <c r="M1631" s="24"/>
    </row>
    <row r="1632" spans="1:13">
      <c r="A1632" s="22">
        <v>2524497</v>
      </c>
      <c r="B1632" s="23" t="s">
        <v>7026</v>
      </c>
      <c r="C1632" s="22" t="s">
        <v>7027</v>
      </c>
      <c r="D1632" s="22" t="s">
        <v>7028</v>
      </c>
      <c r="E1632" s="23" t="s">
        <v>84</v>
      </c>
      <c r="F1632" s="23" t="s">
        <v>92</v>
      </c>
      <c r="G1632" s="23" t="s">
        <v>26</v>
      </c>
      <c r="H1632" s="23" t="s">
        <v>7029</v>
      </c>
      <c r="I1632" s="23" t="s">
        <v>7030</v>
      </c>
      <c r="J1632" s="23">
        <v>1</v>
      </c>
      <c r="K1632" s="23" t="s">
        <v>107</v>
      </c>
      <c r="L1632" s="23" t="s">
        <v>16</v>
      </c>
      <c r="M1632" s="24" t="s">
        <v>2032</v>
      </c>
    </row>
    <row r="1633" spans="1:13">
      <c r="A1633" s="22">
        <v>2533083</v>
      </c>
      <c r="B1633" s="23" t="s">
        <v>7031</v>
      </c>
      <c r="C1633" s="22" t="s">
        <v>7032</v>
      </c>
      <c r="D1633" s="22" t="s">
        <v>7033</v>
      </c>
      <c r="E1633" s="23" t="s">
        <v>84</v>
      </c>
      <c r="F1633" s="23" t="s">
        <v>92</v>
      </c>
      <c r="G1633" s="23" t="s">
        <v>26</v>
      </c>
      <c r="H1633" s="23" t="s">
        <v>7034</v>
      </c>
      <c r="I1633" s="23" t="s">
        <v>7035</v>
      </c>
      <c r="J1633" s="23">
        <v>1</v>
      </c>
      <c r="K1633" s="23" t="s">
        <v>19</v>
      </c>
      <c r="L1633" s="23" t="s">
        <v>16</v>
      </c>
      <c r="M1633" s="24" t="s">
        <v>108</v>
      </c>
    </row>
    <row r="1634" spans="1:13">
      <c r="A1634" s="19">
        <v>2521246</v>
      </c>
      <c r="B1634" s="20" t="s">
        <v>7036</v>
      </c>
      <c r="C1634" s="19" t="s">
        <v>7037</v>
      </c>
      <c r="D1634" s="19" t="s">
        <v>7038</v>
      </c>
      <c r="E1634" s="20" t="s">
        <v>84</v>
      </c>
      <c r="F1634" s="20" t="s">
        <v>92</v>
      </c>
      <c r="G1634" s="20" t="s">
        <v>26</v>
      </c>
      <c r="H1634" s="20" t="s">
        <v>7029</v>
      </c>
      <c r="I1634" s="20" t="s">
        <v>7039</v>
      </c>
      <c r="J1634" s="23">
        <v>1</v>
      </c>
      <c r="K1634" s="20" t="s">
        <v>107</v>
      </c>
      <c r="L1634" s="20" t="s">
        <v>16</v>
      </c>
      <c r="M1634" s="21"/>
    </row>
    <row r="1635" spans="1:13">
      <c r="A1635" s="22">
        <v>2529547</v>
      </c>
      <c r="B1635" s="23" t="s">
        <v>7040</v>
      </c>
      <c r="C1635" s="22" t="s">
        <v>7041</v>
      </c>
      <c r="D1635" s="22" t="s">
        <v>7042</v>
      </c>
      <c r="E1635" s="23" t="s">
        <v>127</v>
      </c>
      <c r="F1635" s="23" t="s">
        <v>92</v>
      </c>
      <c r="G1635" s="23" t="s">
        <v>26</v>
      </c>
      <c r="H1635" s="23" t="s">
        <v>7043</v>
      </c>
      <c r="I1635" s="23" t="s">
        <v>7044</v>
      </c>
      <c r="J1635" s="20">
        <v>2</v>
      </c>
      <c r="K1635" s="23" t="s">
        <v>19</v>
      </c>
      <c r="L1635" s="23" t="s">
        <v>16</v>
      </c>
      <c r="M1635" s="24"/>
    </row>
    <row r="1636" spans="1:13">
      <c r="A1636" s="19">
        <v>2533026</v>
      </c>
      <c r="B1636" s="20" t="s">
        <v>7045</v>
      </c>
      <c r="C1636" s="19" t="s">
        <v>7046</v>
      </c>
      <c r="D1636" s="19" t="s">
        <v>7047</v>
      </c>
      <c r="E1636" s="20" t="s">
        <v>84</v>
      </c>
      <c r="F1636" s="20" t="s">
        <v>92</v>
      </c>
      <c r="G1636" s="20" t="s">
        <v>26</v>
      </c>
      <c r="H1636" s="20" t="s">
        <v>7034</v>
      </c>
      <c r="I1636" s="20" t="s">
        <v>7048</v>
      </c>
      <c r="J1636" s="20">
        <v>4</v>
      </c>
      <c r="K1636" s="20" t="s">
        <v>107</v>
      </c>
      <c r="L1636" s="20" t="s">
        <v>16</v>
      </c>
      <c r="M1636" s="21" t="s">
        <v>2032</v>
      </c>
    </row>
    <row r="1637" spans="1:13">
      <c r="A1637" s="22">
        <v>2529808</v>
      </c>
      <c r="B1637" s="23" t="s">
        <v>7049</v>
      </c>
      <c r="C1637" s="22" t="s">
        <v>7050</v>
      </c>
      <c r="D1637" s="22" t="s">
        <v>7051</v>
      </c>
      <c r="E1637" s="23" t="s">
        <v>84</v>
      </c>
      <c r="F1637" s="23" t="s">
        <v>92</v>
      </c>
      <c r="G1637" s="23" t="s">
        <v>26</v>
      </c>
      <c r="H1637" s="23" t="s">
        <v>7029</v>
      </c>
      <c r="I1637" s="23" t="s">
        <v>7052</v>
      </c>
      <c r="J1637" s="20">
        <v>4</v>
      </c>
      <c r="K1637" s="23" t="s">
        <v>19</v>
      </c>
      <c r="L1637" s="23" t="s">
        <v>16</v>
      </c>
      <c r="M1637" s="24" t="s">
        <v>16</v>
      </c>
    </row>
    <row r="1638" spans="1:13">
      <c r="A1638" s="19">
        <v>2529561</v>
      </c>
      <c r="B1638" s="20" t="s">
        <v>7053</v>
      </c>
      <c r="C1638" s="19" t="s">
        <v>7054</v>
      </c>
      <c r="D1638" s="19" t="s">
        <v>7055</v>
      </c>
      <c r="E1638" s="20" t="s">
        <v>84</v>
      </c>
      <c r="F1638" s="20" t="s">
        <v>92</v>
      </c>
      <c r="G1638" s="20" t="s">
        <v>26</v>
      </c>
      <c r="H1638" s="20" t="s">
        <v>7056</v>
      </c>
      <c r="I1638" s="20" t="s">
        <v>7057</v>
      </c>
      <c r="J1638" s="20">
        <v>2</v>
      </c>
      <c r="K1638" s="20" t="s">
        <v>19</v>
      </c>
      <c r="L1638" s="20" t="s">
        <v>16</v>
      </c>
      <c r="M1638" s="21" t="s">
        <v>49</v>
      </c>
    </row>
    <row r="1639" spans="1:13">
      <c r="A1639" s="22">
        <v>2521288</v>
      </c>
      <c r="B1639" s="23" t="s">
        <v>7058</v>
      </c>
      <c r="C1639" s="22" t="s">
        <v>7059</v>
      </c>
      <c r="D1639" s="22" t="s">
        <v>7060</v>
      </c>
      <c r="E1639" s="23" t="s">
        <v>84</v>
      </c>
      <c r="F1639" s="23" t="s">
        <v>92</v>
      </c>
      <c r="G1639" s="23" t="s">
        <v>26</v>
      </c>
      <c r="H1639" s="23" t="s">
        <v>7061</v>
      </c>
      <c r="I1639" s="23" t="s">
        <v>7061</v>
      </c>
      <c r="J1639" s="23">
        <v>1</v>
      </c>
      <c r="K1639" s="23" t="s">
        <v>107</v>
      </c>
      <c r="L1639" s="23" t="s">
        <v>16</v>
      </c>
      <c r="M1639" s="24"/>
    </row>
    <row r="1640" spans="1:13">
      <c r="A1640" s="19">
        <v>2521249</v>
      </c>
      <c r="B1640" s="20" t="s">
        <v>7062</v>
      </c>
      <c r="C1640" s="19" t="s">
        <v>7063</v>
      </c>
      <c r="D1640" s="19" t="s">
        <v>7064</v>
      </c>
      <c r="E1640" s="20" t="s">
        <v>84</v>
      </c>
      <c r="F1640" s="20" t="s">
        <v>92</v>
      </c>
      <c r="G1640" s="20" t="s">
        <v>26</v>
      </c>
      <c r="H1640" s="20" t="s">
        <v>7065</v>
      </c>
      <c r="I1640" s="20" t="s">
        <v>7066</v>
      </c>
      <c r="J1640" s="23">
        <v>1</v>
      </c>
      <c r="K1640" s="20" t="s">
        <v>107</v>
      </c>
      <c r="L1640" s="20" t="s">
        <v>16</v>
      </c>
      <c r="M1640" s="21" t="s">
        <v>864</v>
      </c>
    </row>
    <row r="1641" spans="1:13">
      <c r="A1641" s="22">
        <v>2521056</v>
      </c>
      <c r="B1641" s="23" t="s">
        <v>7067</v>
      </c>
      <c r="C1641" s="22" t="s">
        <v>7068</v>
      </c>
      <c r="D1641" s="22" t="s">
        <v>7069</v>
      </c>
      <c r="E1641" s="23" t="s">
        <v>84</v>
      </c>
      <c r="F1641" s="23" t="s">
        <v>92</v>
      </c>
      <c r="G1641" s="23" t="s">
        <v>26</v>
      </c>
      <c r="H1641" s="23" t="s">
        <v>7070</v>
      </c>
      <c r="I1641" s="23" t="s">
        <v>7071</v>
      </c>
      <c r="J1641" s="23">
        <v>1</v>
      </c>
      <c r="K1641" s="23" t="s">
        <v>107</v>
      </c>
      <c r="L1641" s="23" t="s">
        <v>18</v>
      </c>
      <c r="M1641" s="24"/>
    </row>
    <row r="1642" spans="1:13">
      <c r="A1642" s="22">
        <v>2532975</v>
      </c>
      <c r="B1642" s="23" t="s">
        <v>7072</v>
      </c>
      <c r="C1642" s="22" t="s">
        <v>7073</v>
      </c>
      <c r="D1642" s="22" t="s">
        <v>7074</v>
      </c>
      <c r="E1642" s="23" t="s">
        <v>84</v>
      </c>
      <c r="F1642" s="23" t="s">
        <v>92</v>
      </c>
      <c r="G1642" s="23" t="s">
        <v>26</v>
      </c>
      <c r="H1642" s="23" t="s">
        <v>7075</v>
      </c>
      <c r="I1642" s="23" t="s">
        <v>7076</v>
      </c>
      <c r="J1642" s="20">
        <v>4</v>
      </c>
      <c r="K1642" s="23" t="s">
        <v>107</v>
      </c>
      <c r="L1642" s="23" t="s">
        <v>18</v>
      </c>
      <c r="M1642" s="24"/>
    </row>
    <row r="1643" spans="1:13">
      <c r="A1643" s="22">
        <v>2529708</v>
      </c>
      <c r="B1643" s="23" t="s">
        <v>7077</v>
      </c>
      <c r="C1643" s="22" t="s">
        <v>7078</v>
      </c>
      <c r="D1643" s="22" t="s">
        <v>7079</v>
      </c>
      <c r="E1643" s="23" t="s">
        <v>84</v>
      </c>
      <c r="F1643" s="23" t="s">
        <v>92</v>
      </c>
      <c r="G1643" s="23" t="s">
        <v>26</v>
      </c>
      <c r="H1643" s="23" t="s">
        <v>7080</v>
      </c>
      <c r="I1643" s="23" t="s">
        <v>7081</v>
      </c>
      <c r="J1643" s="20">
        <v>4</v>
      </c>
      <c r="K1643" s="23" t="s">
        <v>107</v>
      </c>
      <c r="L1643" s="23" t="s">
        <v>16</v>
      </c>
      <c r="M1643" s="24" t="s">
        <v>864</v>
      </c>
    </row>
    <row r="1644" spans="1:13">
      <c r="A1644" s="19">
        <v>2533026</v>
      </c>
      <c r="B1644" s="20" t="s">
        <v>7045</v>
      </c>
      <c r="C1644" s="19" t="s">
        <v>7046</v>
      </c>
      <c r="D1644" s="19" t="s">
        <v>7047</v>
      </c>
      <c r="E1644" s="20" t="s">
        <v>84</v>
      </c>
      <c r="F1644" s="20" t="s">
        <v>172</v>
      </c>
      <c r="G1644" s="20" t="s">
        <v>26</v>
      </c>
      <c r="H1644" s="20" t="s">
        <v>7082</v>
      </c>
      <c r="I1644" s="20" t="s">
        <v>7083</v>
      </c>
      <c r="J1644" s="20">
        <v>4</v>
      </c>
      <c r="K1644" s="20" t="s">
        <v>107</v>
      </c>
      <c r="L1644" s="20" t="s">
        <v>16</v>
      </c>
      <c r="M1644" s="21" t="s">
        <v>2032</v>
      </c>
    </row>
    <row r="1645" spans="1:13">
      <c r="A1645" s="22">
        <v>2533002</v>
      </c>
      <c r="B1645" s="23" t="s">
        <v>7084</v>
      </c>
      <c r="C1645" s="22" t="s">
        <v>7085</v>
      </c>
      <c r="D1645" s="22" t="s">
        <v>7086</v>
      </c>
      <c r="E1645" s="23" t="s">
        <v>84</v>
      </c>
      <c r="F1645" s="23" t="s">
        <v>92</v>
      </c>
      <c r="G1645" s="23" t="s">
        <v>26</v>
      </c>
      <c r="H1645" s="23" t="s">
        <v>7087</v>
      </c>
      <c r="I1645" s="23" t="s">
        <v>7088</v>
      </c>
      <c r="J1645" s="20">
        <v>4</v>
      </c>
      <c r="K1645" s="23" t="s">
        <v>107</v>
      </c>
      <c r="L1645" s="23" t="s">
        <v>16</v>
      </c>
      <c r="M1645" s="24" t="s">
        <v>2032</v>
      </c>
    </row>
    <row r="1646" spans="1:13">
      <c r="A1646" s="22">
        <v>2531410</v>
      </c>
      <c r="B1646" s="23" t="s">
        <v>7089</v>
      </c>
      <c r="C1646" s="22" t="s">
        <v>7090</v>
      </c>
      <c r="D1646" s="22" t="s">
        <v>7091</v>
      </c>
      <c r="E1646" s="23" t="s">
        <v>127</v>
      </c>
      <c r="F1646" s="23" t="s">
        <v>92</v>
      </c>
      <c r="G1646" s="23" t="s">
        <v>26</v>
      </c>
      <c r="H1646" s="23" t="s">
        <v>7092</v>
      </c>
      <c r="I1646" s="23" t="s">
        <v>7093</v>
      </c>
      <c r="J1646" s="20">
        <v>4</v>
      </c>
      <c r="K1646" s="23" t="s">
        <v>107</v>
      </c>
      <c r="L1646" s="23" t="s">
        <v>16</v>
      </c>
      <c r="M1646" s="24" t="s">
        <v>935</v>
      </c>
    </row>
    <row r="1647" spans="1:13">
      <c r="A1647" s="19">
        <v>2533264</v>
      </c>
      <c r="B1647" s="20" t="s">
        <v>7094</v>
      </c>
      <c r="C1647" s="19" t="s">
        <v>7095</v>
      </c>
      <c r="D1647" s="19" t="s">
        <v>7096</v>
      </c>
      <c r="E1647" s="20" t="s">
        <v>84</v>
      </c>
      <c r="F1647" s="20" t="s">
        <v>92</v>
      </c>
      <c r="G1647" s="20" t="s">
        <v>26</v>
      </c>
      <c r="H1647" s="20" t="s">
        <v>7097</v>
      </c>
      <c r="I1647" s="20" t="s">
        <v>7098</v>
      </c>
      <c r="J1647" s="20">
        <v>4</v>
      </c>
      <c r="K1647" s="20" t="s">
        <v>19</v>
      </c>
      <c r="L1647" s="20" t="s">
        <v>16</v>
      </c>
      <c r="M1647" s="21"/>
    </row>
    <row r="1648" spans="1:13">
      <c r="A1648" s="22">
        <v>2529784</v>
      </c>
      <c r="B1648" s="23" t="s">
        <v>7099</v>
      </c>
      <c r="C1648" s="22" t="s">
        <v>7100</v>
      </c>
      <c r="D1648" s="22" t="s">
        <v>7101</v>
      </c>
      <c r="E1648" s="23" t="s">
        <v>219</v>
      </c>
      <c r="F1648" s="23" t="s">
        <v>92</v>
      </c>
      <c r="G1648" s="23" t="s">
        <v>26</v>
      </c>
      <c r="H1648" s="23" t="s">
        <v>7102</v>
      </c>
      <c r="I1648" s="23" t="s">
        <v>7102</v>
      </c>
      <c r="J1648" s="20">
        <v>4</v>
      </c>
      <c r="K1648" s="23" t="s">
        <v>19</v>
      </c>
      <c r="L1648" s="23" t="s">
        <v>16</v>
      </c>
      <c r="M1648" s="24"/>
    </row>
    <row r="1649" spans="1:13">
      <c r="A1649" s="19">
        <v>2529555</v>
      </c>
      <c r="B1649" s="20" t="s">
        <v>7103</v>
      </c>
      <c r="C1649" s="19" t="s">
        <v>7104</v>
      </c>
      <c r="D1649" s="19" t="s">
        <v>7105</v>
      </c>
      <c r="E1649" s="20" t="s">
        <v>127</v>
      </c>
      <c r="F1649" s="20" t="s">
        <v>92</v>
      </c>
      <c r="G1649" s="20" t="s">
        <v>26</v>
      </c>
      <c r="H1649" s="20" t="s">
        <v>7106</v>
      </c>
      <c r="I1649" s="20" t="s">
        <v>7107</v>
      </c>
      <c r="J1649" s="23">
        <v>3</v>
      </c>
      <c r="K1649" s="20" t="s">
        <v>107</v>
      </c>
      <c r="L1649" s="20" t="s">
        <v>16</v>
      </c>
      <c r="M1649" s="21"/>
    </row>
    <row r="1650" spans="1:13">
      <c r="A1650" s="19">
        <v>2521731</v>
      </c>
      <c r="B1650" s="20" t="s">
        <v>7108</v>
      </c>
      <c r="C1650" s="19" t="s">
        <v>7109</v>
      </c>
      <c r="D1650" s="19" t="s">
        <v>7110</v>
      </c>
      <c r="E1650" s="20" t="s">
        <v>84</v>
      </c>
      <c r="F1650" s="20" t="s">
        <v>92</v>
      </c>
      <c r="G1650" s="20" t="s">
        <v>26</v>
      </c>
      <c r="H1650" s="20" t="s">
        <v>7111</v>
      </c>
      <c r="I1650" s="20" t="s">
        <v>7112</v>
      </c>
      <c r="J1650" s="20">
        <v>2</v>
      </c>
      <c r="K1650" s="20" t="s">
        <v>107</v>
      </c>
      <c r="L1650" s="20" t="s">
        <v>18</v>
      </c>
      <c r="M1650" s="21"/>
    </row>
    <row r="1651" spans="1:13">
      <c r="A1651" s="22">
        <v>2529559</v>
      </c>
      <c r="B1651" s="23" t="s">
        <v>7113</v>
      </c>
      <c r="C1651" s="22" t="s">
        <v>7114</v>
      </c>
      <c r="D1651" s="22" t="s">
        <v>7115</v>
      </c>
      <c r="E1651" s="23" t="s">
        <v>84</v>
      </c>
      <c r="F1651" s="23" t="s">
        <v>92</v>
      </c>
      <c r="G1651" s="23" t="s">
        <v>26</v>
      </c>
      <c r="H1651" s="23" t="s">
        <v>7116</v>
      </c>
      <c r="I1651" s="23" t="s">
        <v>7117</v>
      </c>
      <c r="J1651" s="20">
        <v>4</v>
      </c>
      <c r="K1651" s="23" t="s">
        <v>107</v>
      </c>
      <c r="L1651" s="23" t="s">
        <v>16</v>
      </c>
      <c r="M1651" s="24" t="s">
        <v>16</v>
      </c>
    </row>
    <row r="1652" spans="1:13">
      <c r="A1652" s="19">
        <v>2529616</v>
      </c>
      <c r="B1652" s="20" t="s">
        <v>7118</v>
      </c>
      <c r="C1652" s="19" t="s">
        <v>7119</v>
      </c>
      <c r="D1652" s="19" t="s">
        <v>7120</v>
      </c>
      <c r="E1652" s="20" t="s">
        <v>127</v>
      </c>
      <c r="F1652" s="20" t="s">
        <v>92</v>
      </c>
      <c r="G1652" s="20" t="s">
        <v>26</v>
      </c>
      <c r="H1652" s="20" t="s">
        <v>7121</v>
      </c>
      <c r="I1652" s="20" t="s">
        <v>7122</v>
      </c>
      <c r="J1652" s="20">
        <v>2</v>
      </c>
      <c r="K1652" s="20" t="s">
        <v>107</v>
      </c>
      <c r="L1652" s="20" t="s">
        <v>16</v>
      </c>
      <c r="M1652" s="21"/>
    </row>
    <row r="1653" spans="1:13">
      <c r="A1653" s="22">
        <v>2533054</v>
      </c>
      <c r="B1653" s="23" t="s">
        <v>7123</v>
      </c>
      <c r="C1653" s="22" t="s">
        <v>7124</v>
      </c>
      <c r="D1653" s="22" t="s">
        <v>7125</v>
      </c>
      <c r="E1653" s="23" t="s">
        <v>84</v>
      </c>
      <c r="F1653" s="23" t="s">
        <v>85</v>
      </c>
      <c r="G1653" s="23" t="s">
        <v>25</v>
      </c>
      <c r="H1653" s="23" t="s">
        <v>7126</v>
      </c>
      <c r="I1653" s="23" t="s">
        <v>7127</v>
      </c>
      <c r="J1653" s="34" t="s">
        <v>34</v>
      </c>
      <c r="K1653" s="23" t="s">
        <v>17</v>
      </c>
      <c r="L1653" s="23" t="s">
        <v>16</v>
      </c>
      <c r="M1653" s="24"/>
    </row>
    <row r="1654" spans="1:13">
      <c r="A1654" s="19">
        <v>2519709</v>
      </c>
      <c r="B1654" s="20" t="s">
        <v>7128</v>
      </c>
      <c r="C1654" s="19" t="s">
        <v>7129</v>
      </c>
      <c r="D1654" s="19" t="s">
        <v>7130</v>
      </c>
      <c r="E1654" s="20" t="s">
        <v>127</v>
      </c>
      <c r="F1654" s="20" t="s">
        <v>85</v>
      </c>
      <c r="G1654" s="20" t="s">
        <v>26</v>
      </c>
      <c r="H1654" s="20" t="s">
        <v>7131</v>
      </c>
      <c r="I1654" s="20" t="s">
        <v>7132</v>
      </c>
      <c r="J1654" s="23">
        <v>3</v>
      </c>
      <c r="K1654" s="20" t="s">
        <v>107</v>
      </c>
      <c r="L1654" s="20" t="s">
        <v>16</v>
      </c>
      <c r="M1654" s="21"/>
    </row>
    <row r="1655" spans="1:13">
      <c r="A1655" s="19">
        <v>2529506</v>
      </c>
      <c r="B1655" s="20" t="s">
        <v>7133</v>
      </c>
      <c r="C1655" s="19" t="s">
        <v>7134</v>
      </c>
      <c r="D1655" s="19" t="s">
        <v>7135</v>
      </c>
      <c r="E1655" s="20" t="s">
        <v>84</v>
      </c>
      <c r="F1655" s="20" t="s">
        <v>92</v>
      </c>
      <c r="G1655" s="20" t="s">
        <v>26</v>
      </c>
      <c r="H1655" s="20" t="s">
        <v>7136</v>
      </c>
      <c r="I1655" s="20" t="s">
        <v>7137</v>
      </c>
      <c r="J1655" s="20">
        <v>4</v>
      </c>
      <c r="K1655" s="20" t="s">
        <v>107</v>
      </c>
      <c r="L1655" s="20" t="s">
        <v>16</v>
      </c>
      <c r="M1655" s="21"/>
    </row>
    <row r="1656" spans="1:13">
      <c r="A1656" s="22">
        <v>2524556</v>
      </c>
      <c r="B1656" s="23" t="s">
        <v>7138</v>
      </c>
      <c r="C1656" s="22" t="s">
        <v>7139</v>
      </c>
      <c r="D1656" s="22" t="s">
        <v>7140</v>
      </c>
      <c r="E1656" s="23" t="s">
        <v>384</v>
      </c>
      <c r="F1656" s="23" t="s">
        <v>92</v>
      </c>
      <c r="G1656" s="23" t="s">
        <v>26</v>
      </c>
      <c r="H1656" s="23" t="s">
        <v>7141</v>
      </c>
      <c r="I1656" s="23" t="s">
        <v>7141</v>
      </c>
      <c r="J1656" s="23">
        <v>1</v>
      </c>
      <c r="K1656" s="23" t="s">
        <v>107</v>
      </c>
      <c r="L1656" s="23" t="s">
        <v>16</v>
      </c>
      <c r="M1656" s="24" t="s">
        <v>49</v>
      </c>
    </row>
    <row r="1657" spans="1:13">
      <c r="A1657" s="22">
        <v>2521638</v>
      </c>
      <c r="B1657" s="23" t="s">
        <v>7142</v>
      </c>
      <c r="C1657" s="22" t="s">
        <v>7143</v>
      </c>
      <c r="D1657" s="22" t="s">
        <v>7144</v>
      </c>
      <c r="E1657" s="23" t="s">
        <v>84</v>
      </c>
      <c r="F1657" s="23" t="s">
        <v>92</v>
      </c>
      <c r="G1657" s="23" t="s">
        <v>26</v>
      </c>
      <c r="H1657" s="23" t="s">
        <v>7145</v>
      </c>
      <c r="I1657" s="23" t="s">
        <v>7146</v>
      </c>
      <c r="J1657" s="23">
        <v>1</v>
      </c>
      <c r="K1657" s="23" t="s">
        <v>19</v>
      </c>
      <c r="L1657" s="23" t="s">
        <v>16</v>
      </c>
      <c r="M1657" s="24"/>
    </row>
    <row r="1658" spans="1:13">
      <c r="A1658" s="19">
        <v>2524654</v>
      </c>
      <c r="B1658" s="20" t="s">
        <v>7147</v>
      </c>
      <c r="C1658" s="19" t="s">
        <v>7140</v>
      </c>
      <c r="D1658" s="19" t="s">
        <v>7139</v>
      </c>
      <c r="E1658" s="20" t="s">
        <v>127</v>
      </c>
      <c r="F1658" s="20" t="s">
        <v>92</v>
      </c>
      <c r="G1658" s="20" t="s">
        <v>26</v>
      </c>
      <c r="H1658" s="20" t="s">
        <v>7148</v>
      </c>
      <c r="I1658" s="20" t="s">
        <v>7149</v>
      </c>
      <c r="J1658" s="20">
        <v>1</v>
      </c>
      <c r="K1658" s="20" t="s">
        <v>107</v>
      </c>
      <c r="L1658" s="20" t="s">
        <v>16</v>
      </c>
      <c r="M1658" s="21"/>
    </row>
    <row r="1659" spans="1:13">
      <c r="A1659" s="19">
        <v>2529569</v>
      </c>
      <c r="B1659" s="20" t="s">
        <v>7150</v>
      </c>
      <c r="C1659" s="19" t="s">
        <v>7151</v>
      </c>
      <c r="D1659" s="19" t="s">
        <v>7152</v>
      </c>
      <c r="E1659" s="20" t="s">
        <v>84</v>
      </c>
      <c r="F1659" s="20" t="s">
        <v>85</v>
      </c>
      <c r="G1659" s="20" t="s">
        <v>26</v>
      </c>
      <c r="H1659" s="20" t="s">
        <v>7153</v>
      </c>
      <c r="I1659" s="20" t="s">
        <v>7154</v>
      </c>
      <c r="J1659" s="20">
        <v>2</v>
      </c>
      <c r="K1659" s="20" t="s">
        <v>107</v>
      </c>
      <c r="L1659" s="20" t="s">
        <v>16</v>
      </c>
      <c r="M1659" s="21"/>
    </row>
    <row r="1660" spans="1:13">
      <c r="A1660" s="22">
        <v>2524552</v>
      </c>
      <c r="B1660" s="23" t="s">
        <v>7155</v>
      </c>
      <c r="C1660" s="22" t="s">
        <v>7156</v>
      </c>
      <c r="D1660" s="22" t="s">
        <v>7157</v>
      </c>
      <c r="E1660" s="23" t="s">
        <v>84</v>
      </c>
      <c r="F1660" s="23" t="s">
        <v>92</v>
      </c>
      <c r="G1660" s="23" t="s">
        <v>26</v>
      </c>
      <c r="H1660" s="23" t="s">
        <v>7158</v>
      </c>
      <c r="I1660" s="23" t="s">
        <v>7159</v>
      </c>
      <c r="J1660" s="20">
        <v>4</v>
      </c>
      <c r="K1660" s="23" t="s">
        <v>107</v>
      </c>
      <c r="L1660" s="23" t="s">
        <v>16</v>
      </c>
      <c r="M1660" s="24"/>
    </row>
    <row r="1661" spans="1:13">
      <c r="A1661" s="22">
        <v>2524654</v>
      </c>
      <c r="B1661" s="23" t="s">
        <v>7147</v>
      </c>
      <c r="C1661" s="22" t="s">
        <v>7140</v>
      </c>
      <c r="D1661" s="22" t="s">
        <v>7139</v>
      </c>
      <c r="E1661" s="23" t="s">
        <v>127</v>
      </c>
      <c r="F1661" s="23" t="s">
        <v>92</v>
      </c>
      <c r="G1661" s="23" t="s">
        <v>26</v>
      </c>
      <c r="H1661" s="23" t="s">
        <v>7160</v>
      </c>
      <c r="I1661" s="23" t="s">
        <v>7149</v>
      </c>
      <c r="J1661" s="23">
        <v>1</v>
      </c>
      <c r="K1661" s="23" t="s">
        <v>107</v>
      </c>
      <c r="L1661" s="23" t="s">
        <v>16</v>
      </c>
      <c r="M1661" s="24"/>
    </row>
    <row r="1662" spans="1:13">
      <c r="A1662" s="22">
        <v>2511277</v>
      </c>
      <c r="B1662" s="23" t="s">
        <v>7161</v>
      </c>
      <c r="C1662" s="22" t="s">
        <v>7162</v>
      </c>
      <c r="D1662" s="22" t="s">
        <v>7163</v>
      </c>
      <c r="E1662" s="23" t="s">
        <v>84</v>
      </c>
      <c r="F1662" s="23" t="s">
        <v>92</v>
      </c>
      <c r="G1662" s="23" t="s">
        <v>26</v>
      </c>
      <c r="H1662" s="23" t="s">
        <v>7164</v>
      </c>
      <c r="I1662" s="23" t="s">
        <v>7165</v>
      </c>
      <c r="J1662" s="23">
        <v>2</v>
      </c>
      <c r="K1662" s="23" t="s">
        <v>107</v>
      </c>
      <c r="L1662" s="23" t="s">
        <v>16</v>
      </c>
      <c r="M1662" s="24" t="s">
        <v>2032</v>
      </c>
    </row>
    <row r="1663" spans="1:13">
      <c r="A1663" s="19">
        <v>2519719</v>
      </c>
      <c r="B1663" s="20" t="s">
        <v>7166</v>
      </c>
      <c r="C1663" s="19" t="s">
        <v>7167</v>
      </c>
      <c r="D1663" s="19" t="s">
        <v>7168</v>
      </c>
      <c r="E1663" s="20" t="s">
        <v>127</v>
      </c>
      <c r="F1663" s="20" t="s">
        <v>112</v>
      </c>
      <c r="G1663" s="20" t="s">
        <v>26</v>
      </c>
      <c r="H1663" s="20" t="s">
        <v>7169</v>
      </c>
      <c r="I1663" s="20" t="s">
        <v>7170</v>
      </c>
      <c r="J1663" s="23">
        <v>3</v>
      </c>
      <c r="K1663" s="20" t="s">
        <v>107</v>
      </c>
      <c r="L1663" s="20" t="s">
        <v>16</v>
      </c>
      <c r="M1663" s="21"/>
    </row>
    <row r="1664" spans="1:13">
      <c r="A1664" s="19">
        <v>2529637</v>
      </c>
      <c r="B1664" s="20" t="s">
        <v>7171</v>
      </c>
      <c r="C1664" s="19" t="s">
        <v>7172</v>
      </c>
      <c r="D1664" s="19" t="s">
        <v>6819</v>
      </c>
      <c r="E1664" s="20" t="s">
        <v>415</v>
      </c>
      <c r="F1664" s="20" t="s">
        <v>92</v>
      </c>
      <c r="G1664" s="20" t="s">
        <v>26</v>
      </c>
      <c r="H1664" s="20" t="s">
        <v>7173</v>
      </c>
      <c r="I1664" s="20" t="s">
        <v>7174</v>
      </c>
      <c r="J1664" s="23">
        <v>3</v>
      </c>
      <c r="K1664" s="20" t="s">
        <v>107</v>
      </c>
      <c r="L1664" s="20" t="s">
        <v>16</v>
      </c>
      <c r="M1664" s="21" t="s">
        <v>16</v>
      </c>
    </row>
    <row r="1665" spans="1:13">
      <c r="A1665" s="22">
        <v>2512326</v>
      </c>
      <c r="B1665" s="23" t="s">
        <v>7175</v>
      </c>
      <c r="C1665" s="22" t="s">
        <v>7176</v>
      </c>
      <c r="D1665" s="22" t="s">
        <v>7177</v>
      </c>
      <c r="E1665" s="23" t="s">
        <v>127</v>
      </c>
      <c r="F1665" s="23" t="s">
        <v>92</v>
      </c>
      <c r="G1665" s="23" t="s">
        <v>26</v>
      </c>
      <c r="H1665" s="23" t="s">
        <v>7178</v>
      </c>
      <c r="I1665" s="23" t="s">
        <v>7179</v>
      </c>
      <c r="J1665" s="23">
        <v>3</v>
      </c>
      <c r="K1665" s="23" t="s">
        <v>107</v>
      </c>
      <c r="L1665" s="23" t="s">
        <v>16</v>
      </c>
      <c r="M1665" s="24"/>
    </row>
    <row r="1666" spans="1:13">
      <c r="A1666" s="19">
        <v>2516762</v>
      </c>
      <c r="B1666" s="20" t="s">
        <v>7180</v>
      </c>
      <c r="C1666" s="19" t="s">
        <v>7181</v>
      </c>
      <c r="D1666" s="19" t="s">
        <v>7182</v>
      </c>
      <c r="E1666" s="20" t="s">
        <v>84</v>
      </c>
      <c r="F1666" s="20" t="s">
        <v>92</v>
      </c>
      <c r="G1666" s="20" t="s">
        <v>26</v>
      </c>
      <c r="H1666" s="20" t="s">
        <v>7183</v>
      </c>
      <c r="I1666" s="20" t="s">
        <v>7184</v>
      </c>
      <c r="J1666" s="20">
        <v>4</v>
      </c>
      <c r="K1666" s="20" t="s">
        <v>19</v>
      </c>
      <c r="L1666" s="20" t="s">
        <v>16</v>
      </c>
      <c r="M1666" s="21"/>
    </row>
    <row r="1667" spans="1:13">
      <c r="A1667" s="22">
        <v>2520987</v>
      </c>
      <c r="B1667" s="23" t="s">
        <v>7185</v>
      </c>
      <c r="C1667" s="22" t="s">
        <v>7186</v>
      </c>
      <c r="D1667" s="22" t="s">
        <v>7187</v>
      </c>
      <c r="E1667" s="23" t="s">
        <v>84</v>
      </c>
      <c r="F1667" s="23" t="s">
        <v>85</v>
      </c>
      <c r="G1667" s="23" t="s">
        <v>26</v>
      </c>
      <c r="H1667" s="23" t="s">
        <v>7188</v>
      </c>
      <c r="I1667" s="23" t="s">
        <v>7188</v>
      </c>
      <c r="J1667" s="23">
        <v>1</v>
      </c>
      <c r="K1667" s="23" t="s">
        <v>107</v>
      </c>
      <c r="L1667" s="23" t="s">
        <v>16</v>
      </c>
      <c r="M1667" s="24"/>
    </row>
    <row r="1668" spans="1:13">
      <c r="A1668" s="19">
        <v>2512311</v>
      </c>
      <c r="B1668" s="20" t="s">
        <v>7189</v>
      </c>
      <c r="C1668" s="19" t="s">
        <v>7190</v>
      </c>
      <c r="D1668" s="19" t="s">
        <v>7191</v>
      </c>
      <c r="E1668" s="20" t="s">
        <v>84</v>
      </c>
      <c r="F1668" s="20" t="s">
        <v>92</v>
      </c>
      <c r="G1668" s="20" t="s">
        <v>26</v>
      </c>
      <c r="H1668" s="20" t="s">
        <v>7192</v>
      </c>
      <c r="I1668" s="20" t="s">
        <v>7193</v>
      </c>
      <c r="J1668" s="23">
        <v>3</v>
      </c>
      <c r="K1668" s="20" t="s">
        <v>107</v>
      </c>
      <c r="L1668" s="20" t="s">
        <v>16</v>
      </c>
      <c r="M1668" s="21"/>
    </row>
    <row r="1669" spans="1:13">
      <c r="A1669" s="19">
        <v>2521212</v>
      </c>
      <c r="B1669" s="20" t="s">
        <v>7194</v>
      </c>
      <c r="C1669" s="19" t="s">
        <v>7195</v>
      </c>
      <c r="D1669" s="19" t="s">
        <v>7196</v>
      </c>
      <c r="E1669" s="20" t="s">
        <v>84</v>
      </c>
      <c r="F1669" s="20" t="s">
        <v>85</v>
      </c>
      <c r="G1669" s="20" t="s">
        <v>26</v>
      </c>
      <c r="H1669" s="20" t="s">
        <v>7197</v>
      </c>
      <c r="I1669" s="20" t="s">
        <v>7198</v>
      </c>
      <c r="J1669" s="23">
        <v>3</v>
      </c>
      <c r="K1669" s="20" t="s">
        <v>206</v>
      </c>
      <c r="L1669" s="20" t="s">
        <v>16</v>
      </c>
      <c r="M1669" s="21"/>
    </row>
    <row r="1670" spans="1:13">
      <c r="A1670" s="22">
        <v>2521212</v>
      </c>
      <c r="B1670" s="23" t="s">
        <v>7194</v>
      </c>
      <c r="C1670" s="22" t="s">
        <v>7195</v>
      </c>
      <c r="D1670" s="22" t="s">
        <v>7196</v>
      </c>
      <c r="E1670" s="23" t="s">
        <v>84</v>
      </c>
      <c r="F1670" s="23" t="s">
        <v>85</v>
      </c>
      <c r="G1670" s="23" t="s">
        <v>26</v>
      </c>
      <c r="H1670" s="23" t="s">
        <v>7197</v>
      </c>
      <c r="I1670" s="23" t="s">
        <v>7198</v>
      </c>
      <c r="J1670" s="23">
        <v>3</v>
      </c>
      <c r="K1670" s="23" t="s">
        <v>206</v>
      </c>
      <c r="L1670" s="23" t="s">
        <v>16</v>
      </c>
      <c r="M1670" s="24"/>
    </row>
    <row r="1671" spans="1:13">
      <c r="A1671" s="22">
        <v>2516840</v>
      </c>
      <c r="B1671" s="23" t="s">
        <v>7199</v>
      </c>
      <c r="C1671" s="22" t="s">
        <v>7200</v>
      </c>
      <c r="D1671" s="22" t="s">
        <v>7201</v>
      </c>
      <c r="E1671" s="23" t="s">
        <v>127</v>
      </c>
      <c r="F1671" s="23" t="s">
        <v>85</v>
      </c>
      <c r="G1671" s="23" t="s">
        <v>26</v>
      </c>
      <c r="H1671" s="23" t="s">
        <v>7202</v>
      </c>
      <c r="I1671" s="23" t="s">
        <v>2887</v>
      </c>
      <c r="J1671" s="33">
        <v>2</v>
      </c>
      <c r="K1671" s="23" t="s">
        <v>206</v>
      </c>
      <c r="L1671" s="23" t="s">
        <v>16</v>
      </c>
      <c r="M1671" s="24" t="s">
        <v>16</v>
      </c>
    </row>
    <row r="1672" spans="1:13">
      <c r="A1672" s="19">
        <v>2520936</v>
      </c>
      <c r="B1672" s="20" t="s">
        <v>7203</v>
      </c>
      <c r="C1672" s="19" t="s">
        <v>7204</v>
      </c>
      <c r="D1672" s="19" t="s">
        <v>7205</v>
      </c>
      <c r="E1672" s="20" t="s">
        <v>127</v>
      </c>
      <c r="F1672" s="20" t="s">
        <v>85</v>
      </c>
      <c r="G1672" s="20" t="s">
        <v>26</v>
      </c>
      <c r="H1672" s="20" t="s">
        <v>7206</v>
      </c>
      <c r="I1672" s="20" t="s">
        <v>7207</v>
      </c>
      <c r="J1672" s="20">
        <v>4</v>
      </c>
      <c r="K1672" s="20" t="s">
        <v>206</v>
      </c>
      <c r="L1672" s="20" t="s">
        <v>16</v>
      </c>
      <c r="M1672" s="21"/>
    </row>
    <row r="1673" spans="1:13">
      <c r="A1673" s="22">
        <v>2521202</v>
      </c>
      <c r="B1673" s="23" t="s">
        <v>7208</v>
      </c>
      <c r="C1673" s="22" t="s">
        <v>7209</v>
      </c>
      <c r="D1673" s="22" t="s">
        <v>7210</v>
      </c>
      <c r="E1673" s="23" t="s">
        <v>84</v>
      </c>
      <c r="F1673" s="23" t="s">
        <v>85</v>
      </c>
      <c r="G1673" s="23" t="s">
        <v>26</v>
      </c>
      <c r="H1673" s="23" t="s">
        <v>7211</v>
      </c>
      <c r="I1673" s="23" t="s">
        <v>7212</v>
      </c>
      <c r="J1673" s="23">
        <v>3</v>
      </c>
      <c r="K1673" s="23" t="s">
        <v>206</v>
      </c>
      <c r="L1673" s="23" t="s">
        <v>16</v>
      </c>
      <c r="M1673" s="24"/>
    </row>
    <row r="1674" spans="1:13">
      <c r="A1674" s="19">
        <v>2512352</v>
      </c>
      <c r="B1674" s="20" t="s">
        <v>7213</v>
      </c>
      <c r="C1674" s="19" t="s">
        <v>7214</v>
      </c>
      <c r="D1674" s="19" t="s">
        <v>7215</v>
      </c>
      <c r="E1674" s="20" t="s">
        <v>84</v>
      </c>
      <c r="F1674" s="20" t="s">
        <v>85</v>
      </c>
      <c r="G1674" s="20" t="s">
        <v>26</v>
      </c>
      <c r="H1674" s="20" t="s">
        <v>7216</v>
      </c>
      <c r="I1674" s="20" t="s">
        <v>7217</v>
      </c>
      <c r="J1674" s="20">
        <v>4</v>
      </c>
      <c r="K1674" s="20" t="s">
        <v>17</v>
      </c>
      <c r="L1674" s="20" t="s">
        <v>16</v>
      </c>
      <c r="M1674" s="21" t="s">
        <v>7218</v>
      </c>
    </row>
    <row r="1675" spans="1:13">
      <c r="A1675" s="19">
        <v>2511338</v>
      </c>
      <c r="B1675" s="20" t="s">
        <v>7219</v>
      </c>
      <c r="C1675" s="19" t="s">
        <v>7220</v>
      </c>
      <c r="D1675" s="19" t="s">
        <v>7221</v>
      </c>
      <c r="E1675" s="20" t="s">
        <v>84</v>
      </c>
      <c r="F1675" s="20" t="s">
        <v>85</v>
      </c>
      <c r="G1675" s="20" t="s">
        <v>26</v>
      </c>
      <c r="H1675" s="20" t="s">
        <v>7222</v>
      </c>
      <c r="I1675" s="20" t="s">
        <v>7223</v>
      </c>
      <c r="J1675" s="20">
        <v>2</v>
      </c>
      <c r="K1675" s="20" t="s">
        <v>17</v>
      </c>
      <c r="L1675" s="20" t="s">
        <v>18</v>
      </c>
      <c r="M1675" s="21" t="s">
        <v>1898</v>
      </c>
    </row>
    <row r="1676" spans="1:13">
      <c r="A1676" s="22">
        <v>2529542</v>
      </c>
      <c r="B1676" s="23" t="s">
        <v>7224</v>
      </c>
      <c r="C1676" s="22" t="s">
        <v>7225</v>
      </c>
      <c r="D1676" s="22" t="s">
        <v>7226</v>
      </c>
      <c r="E1676" s="23" t="s">
        <v>127</v>
      </c>
      <c r="F1676" s="23" t="s">
        <v>85</v>
      </c>
      <c r="G1676" s="23" t="s">
        <v>26</v>
      </c>
      <c r="H1676" s="23" t="s">
        <v>7227</v>
      </c>
      <c r="I1676" s="23" t="s">
        <v>7228</v>
      </c>
      <c r="J1676" s="20">
        <v>2</v>
      </c>
      <c r="K1676" s="23" t="s">
        <v>206</v>
      </c>
      <c r="L1676" s="23" t="s">
        <v>16</v>
      </c>
      <c r="M1676" s="24"/>
    </row>
    <row r="1677" spans="1:13">
      <c r="A1677" s="19">
        <v>2525077</v>
      </c>
      <c r="B1677" s="20" t="s">
        <v>7229</v>
      </c>
      <c r="C1677" s="19" t="s">
        <v>7230</v>
      </c>
      <c r="D1677" s="19" t="s">
        <v>7231</v>
      </c>
      <c r="E1677" s="20" t="s">
        <v>84</v>
      </c>
      <c r="F1677" s="20" t="s">
        <v>92</v>
      </c>
      <c r="G1677" s="20" t="s">
        <v>26</v>
      </c>
      <c r="H1677" s="20" t="s">
        <v>7232</v>
      </c>
      <c r="I1677" s="20" t="s">
        <v>7233</v>
      </c>
      <c r="J1677" s="20">
        <v>4</v>
      </c>
      <c r="K1677" s="20" t="s">
        <v>19</v>
      </c>
      <c r="L1677" s="20" t="s">
        <v>16</v>
      </c>
      <c r="M1677" s="21"/>
    </row>
    <row r="1678" spans="1:13">
      <c r="A1678" s="22">
        <v>2526129</v>
      </c>
      <c r="B1678" s="23" t="s">
        <v>7234</v>
      </c>
      <c r="C1678" s="22" t="s">
        <v>7235</v>
      </c>
      <c r="D1678" s="22" t="s">
        <v>7236</v>
      </c>
      <c r="E1678" s="23" t="s">
        <v>127</v>
      </c>
      <c r="F1678" s="23" t="s">
        <v>85</v>
      </c>
      <c r="G1678" s="23" t="s">
        <v>26</v>
      </c>
      <c r="H1678" s="23" t="s">
        <v>7237</v>
      </c>
      <c r="I1678" s="23" t="s">
        <v>7238</v>
      </c>
      <c r="J1678" s="23">
        <v>1</v>
      </c>
      <c r="K1678" s="23" t="s">
        <v>17</v>
      </c>
      <c r="L1678" s="23" t="s">
        <v>16</v>
      </c>
      <c r="M1678" s="24"/>
    </row>
    <row r="1679" spans="1:13">
      <c r="A1679" s="22">
        <v>2519700</v>
      </c>
      <c r="B1679" s="23" t="s">
        <v>7239</v>
      </c>
      <c r="C1679" s="22" t="s">
        <v>7240</v>
      </c>
      <c r="D1679" s="22" t="s">
        <v>7241</v>
      </c>
      <c r="E1679" s="23" t="s">
        <v>84</v>
      </c>
      <c r="F1679" s="23" t="s">
        <v>92</v>
      </c>
      <c r="G1679" s="23" t="s">
        <v>26</v>
      </c>
      <c r="H1679" s="23" t="s">
        <v>7242</v>
      </c>
      <c r="I1679" s="23" t="s">
        <v>7243</v>
      </c>
      <c r="J1679" s="34" t="s">
        <v>34</v>
      </c>
      <c r="K1679" s="23" t="s">
        <v>19</v>
      </c>
      <c r="L1679" s="23" t="s">
        <v>18</v>
      </c>
      <c r="M1679" s="24"/>
    </row>
    <row r="1680" spans="1:13">
      <c r="A1680" s="19">
        <v>2531274</v>
      </c>
      <c r="B1680" s="20" t="s">
        <v>7244</v>
      </c>
      <c r="C1680" s="19" t="s">
        <v>7245</v>
      </c>
      <c r="D1680" s="19" t="s">
        <v>7246</v>
      </c>
      <c r="E1680" s="20" t="s">
        <v>84</v>
      </c>
      <c r="F1680" s="20" t="s">
        <v>92</v>
      </c>
      <c r="G1680" s="20" t="s">
        <v>26</v>
      </c>
      <c r="H1680" s="20" t="s">
        <v>7247</v>
      </c>
      <c r="I1680" s="20" t="s">
        <v>7248</v>
      </c>
      <c r="J1680" s="20">
        <v>2</v>
      </c>
      <c r="K1680" s="20" t="s">
        <v>107</v>
      </c>
      <c r="L1680" s="20" t="s">
        <v>16</v>
      </c>
      <c r="M1680" s="21"/>
    </row>
    <row r="1681" spans="1:13">
      <c r="A1681" s="22">
        <v>2524547</v>
      </c>
      <c r="B1681" s="23" t="s">
        <v>7249</v>
      </c>
      <c r="C1681" s="22" t="s">
        <v>7250</v>
      </c>
      <c r="D1681" s="22" t="s">
        <v>7251</v>
      </c>
      <c r="E1681" s="23" t="s">
        <v>84</v>
      </c>
      <c r="F1681" s="23" t="s">
        <v>85</v>
      </c>
      <c r="G1681" s="23" t="s">
        <v>26</v>
      </c>
      <c r="H1681" s="23" t="s">
        <v>7252</v>
      </c>
      <c r="I1681" s="23" t="s">
        <v>7253</v>
      </c>
      <c r="J1681" s="23">
        <v>1</v>
      </c>
      <c r="K1681" s="23" t="s">
        <v>17</v>
      </c>
      <c r="L1681" s="23" t="s">
        <v>16</v>
      </c>
      <c r="M1681" s="24" t="s">
        <v>864</v>
      </c>
    </row>
    <row r="1682" spans="1:13">
      <c r="A1682" s="22">
        <v>2531346</v>
      </c>
      <c r="B1682" s="23" t="s">
        <v>7254</v>
      </c>
      <c r="C1682" s="22" t="s">
        <v>7255</v>
      </c>
      <c r="D1682" s="22" t="s">
        <v>7256</v>
      </c>
      <c r="E1682" s="23" t="s">
        <v>84</v>
      </c>
      <c r="F1682" s="23" t="s">
        <v>92</v>
      </c>
      <c r="G1682" s="23" t="s">
        <v>26</v>
      </c>
      <c r="H1682" s="23" t="s">
        <v>7257</v>
      </c>
      <c r="I1682" s="23" t="s">
        <v>7258</v>
      </c>
      <c r="J1682" s="23">
        <v>1</v>
      </c>
      <c r="K1682" s="23" t="s">
        <v>107</v>
      </c>
      <c r="L1682" s="23" t="s">
        <v>16</v>
      </c>
      <c r="M1682" s="24"/>
    </row>
    <row r="1683" spans="1:13">
      <c r="A1683" s="19">
        <v>2521089</v>
      </c>
      <c r="B1683" s="20" t="s">
        <v>7259</v>
      </c>
      <c r="C1683" s="19" t="s">
        <v>7260</v>
      </c>
      <c r="D1683" s="19" t="s">
        <v>7261</v>
      </c>
      <c r="E1683" s="20" t="s">
        <v>84</v>
      </c>
      <c r="F1683" s="20" t="s">
        <v>92</v>
      </c>
      <c r="G1683" s="20" t="s">
        <v>26</v>
      </c>
      <c r="H1683" s="20" t="s">
        <v>7262</v>
      </c>
      <c r="I1683" s="20" t="s">
        <v>7263</v>
      </c>
      <c r="J1683" s="20">
        <v>4</v>
      </c>
      <c r="K1683" s="20" t="s">
        <v>107</v>
      </c>
      <c r="L1683" s="20" t="s">
        <v>16</v>
      </c>
      <c r="M1683" s="21"/>
    </row>
    <row r="1684" spans="1:13">
      <c r="A1684" s="19">
        <v>2525094</v>
      </c>
      <c r="B1684" s="20" t="s">
        <v>7264</v>
      </c>
      <c r="C1684" s="19" t="s">
        <v>7265</v>
      </c>
      <c r="D1684" s="19" t="s">
        <v>7266</v>
      </c>
      <c r="E1684" s="20" t="s">
        <v>84</v>
      </c>
      <c r="F1684" s="20" t="s">
        <v>92</v>
      </c>
      <c r="G1684" s="20" t="s">
        <v>26</v>
      </c>
      <c r="H1684" s="20" t="s">
        <v>7267</v>
      </c>
      <c r="I1684" s="20" t="s">
        <v>7268</v>
      </c>
      <c r="J1684" s="20">
        <v>4</v>
      </c>
      <c r="K1684" s="20" t="s">
        <v>107</v>
      </c>
      <c r="L1684" s="20" t="s">
        <v>16</v>
      </c>
      <c r="M1684" s="21"/>
    </row>
    <row r="1685" spans="1:13">
      <c r="A1685" s="19">
        <v>2531837</v>
      </c>
      <c r="B1685" s="20" t="s">
        <v>7269</v>
      </c>
      <c r="C1685" s="19" t="s">
        <v>7270</v>
      </c>
      <c r="D1685" s="19" t="s">
        <v>7271</v>
      </c>
      <c r="E1685" s="20" t="s">
        <v>384</v>
      </c>
      <c r="F1685" s="20" t="s">
        <v>92</v>
      </c>
      <c r="G1685" s="20" t="s">
        <v>26</v>
      </c>
      <c r="H1685" s="20" t="s">
        <v>7272</v>
      </c>
      <c r="I1685" s="20" t="s">
        <v>7273</v>
      </c>
      <c r="J1685" s="20">
        <v>2</v>
      </c>
      <c r="K1685" s="20" t="s">
        <v>107</v>
      </c>
      <c r="L1685" s="20" t="s">
        <v>16</v>
      </c>
      <c r="M1685" s="21"/>
    </row>
    <row r="1686" spans="1:13">
      <c r="A1686" s="19">
        <v>2521180</v>
      </c>
      <c r="B1686" s="20" t="s">
        <v>7274</v>
      </c>
      <c r="C1686" s="19" t="s">
        <v>7275</v>
      </c>
      <c r="D1686" s="19" t="s">
        <v>7276</v>
      </c>
      <c r="E1686" s="20" t="s">
        <v>84</v>
      </c>
      <c r="F1686" s="20" t="s">
        <v>92</v>
      </c>
      <c r="G1686" s="20" t="s">
        <v>26</v>
      </c>
      <c r="H1686" s="20" t="s">
        <v>7277</v>
      </c>
      <c r="I1686" s="20" t="s">
        <v>7278</v>
      </c>
      <c r="J1686" s="23">
        <v>1</v>
      </c>
      <c r="K1686" s="20" t="s">
        <v>19</v>
      </c>
      <c r="L1686" s="20" t="s">
        <v>16</v>
      </c>
      <c r="M1686" s="21"/>
    </row>
    <row r="1687" spans="1:13">
      <c r="A1687" s="22">
        <v>2521759</v>
      </c>
      <c r="B1687" s="23" t="s">
        <v>7279</v>
      </c>
      <c r="C1687" s="22" t="s">
        <v>7280</v>
      </c>
      <c r="D1687" s="22" t="s">
        <v>7281</v>
      </c>
      <c r="E1687" s="23" t="s">
        <v>84</v>
      </c>
      <c r="F1687" s="23" t="s">
        <v>92</v>
      </c>
      <c r="G1687" s="23" t="s">
        <v>26</v>
      </c>
      <c r="H1687" s="23" t="s">
        <v>7282</v>
      </c>
      <c r="I1687" s="23" t="s">
        <v>7283</v>
      </c>
      <c r="J1687" s="20">
        <v>2</v>
      </c>
      <c r="K1687" s="23" t="s">
        <v>19</v>
      </c>
      <c r="L1687" s="23" t="s">
        <v>16</v>
      </c>
      <c r="M1687" s="24"/>
    </row>
    <row r="1688" spans="1:13">
      <c r="A1688" s="22">
        <v>2520963</v>
      </c>
      <c r="B1688" s="23" t="s">
        <v>7284</v>
      </c>
      <c r="C1688" s="22" t="s">
        <v>7285</v>
      </c>
      <c r="D1688" s="22" t="s">
        <v>7286</v>
      </c>
      <c r="E1688" s="23" t="s">
        <v>84</v>
      </c>
      <c r="F1688" s="23" t="s">
        <v>92</v>
      </c>
      <c r="G1688" s="23" t="s">
        <v>26</v>
      </c>
      <c r="H1688" s="23" t="s">
        <v>7287</v>
      </c>
      <c r="I1688" s="23" t="s">
        <v>7287</v>
      </c>
      <c r="J1688" s="23">
        <v>1</v>
      </c>
      <c r="K1688" s="23" t="s">
        <v>19</v>
      </c>
      <c r="L1688" s="23" t="s">
        <v>16</v>
      </c>
      <c r="M1688" s="24"/>
    </row>
    <row r="1689" spans="1:13">
      <c r="A1689" s="22">
        <v>2520966</v>
      </c>
      <c r="B1689" s="23" t="s">
        <v>7288</v>
      </c>
      <c r="C1689" s="22" t="s">
        <v>7289</v>
      </c>
      <c r="D1689" s="22" t="s">
        <v>7290</v>
      </c>
      <c r="E1689" s="23" t="s">
        <v>84</v>
      </c>
      <c r="F1689" s="23" t="s">
        <v>92</v>
      </c>
      <c r="G1689" s="23" t="s">
        <v>26</v>
      </c>
      <c r="H1689" s="23" t="s">
        <v>7287</v>
      </c>
      <c r="I1689" s="23" t="s">
        <v>7287</v>
      </c>
      <c r="J1689" s="23">
        <v>1</v>
      </c>
      <c r="K1689" s="23" t="s">
        <v>19</v>
      </c>
      <c r="L1689" s="23" t="s">
        <v>16</v>
      </c>
      <c r="M1689" s="24"/>
    </row>
    <row r="1690" spans="1:13">
      <c r="A1690" s="22">
        <v>2531992</v>
      </c>
      <c r="B1690" s="23" t="s">
        <v>7291</v>
      </c>
      <c r="C1690" s="22" t="s">
        <v>7292</v>
      </c>
      <c r="D1690" s="22" t="s">
        <v>7293</v>
      </c>
      <c r="E1690" s="23" t="s">
        <v>84</v>
      </c>
      <c r="F1690" s="23" t="s">
        <v>92</v>
      </c>
      <c r="G1690" s="23" t="s">
        <v>26</v>
      </c>
      <c r="H1690" s="23" t="s">
        <v>7294</v>
      </c>
      <c r="I1690" s="23" t="s">
        <v>7295</v>
      </c>
      <c r="J1690" s="23">
        <v>1</v>
      </c>
      <c r="K1690" s="23" t="s">
        <v>19</v>
      </c>
      <c r="L1690" s="23" t="s">
        <v>16</v>
      </c>
      <c r="M1690" s="24"/>
    </row>
    <row r="1691" spans="1:13">
      <c r="A1691" s="19">
        <v>2531808</v>
      </c>
      <c r="B1691" s="20" t="s">
        <v>7296</v>
      </c>
      <c r="C1691" s="19" t="s">
        <v>7297</v>
      </c>
      <c r="D1691" s="19" t="s">
        <v>7298</v>
      </c>
      <c r="E1691" s="20" t="s">
        <v>84</v>
      </c>
      <c r="F1691" s="20" t="s">
        <v>92</v>
      </c>
      <c r="G1691" s="20" t="s">
        <v>26</v>
      </c>
      <c r="H1691" s="20" t="s">
        <v>7299</v>
      </c>
      <c r="I1691" s="20" t="s">
        <v>7300</v>
      </c>
      <c r="J1691" s="23">
        <v>3</v>
      </c>
      <c r="K1691" s="20" t="s">
        <v>107</v>
      </c>
      <c r="L1691" s="20" t="s">
        <v>18</v>
      </c>
      <c r="M1691" s="21"/>
    </row>
    <row r="1692" spans="1:13">
      <c r="A1692" s="19">
        <v>2522905</v>
      </c>
      <c r="B1692" s="20" t="s">
        <v>7301</v>
      </c>
      <c r="C1692" s="19" t="s">
        <v>7302</v>
      </c>
      <c r="D1692" s="19" t="s">
        <v>7303</v>
      </c>
      <c r="E1692" s="20" t="s">
        <v>84</v>
      </c>
      <c r="F1692" s="20" t="s">
        <v>92</v>
      </c>
      <c r="G1692" s="20" t="s">
        <v>26</v>
      </c>
      <c r="H1692" s="20" t="s">
        <v>7304</v>
      </c>
      <c r="I1692" s="20" t="s">
        <v>7305</v>
      </c>
      <c r="J1692" s="20">
        <v>4</v>
      </c>
      <c r="K1692" s="20" t="s">
        <v>19</v>
      </c>
      <c r="L1692" s="20" t="s">
        <v>18</v>
      </c>
      <c r="M1692" s="21"/>
    </row>
    <row r="1693" spans="1:13">
      <c r="A1693" s="19">
        <v>2531816</v>
      </c>
      <c r="B1693" s="20" t="s">
        <v>7306</v>
      </c>
      <c r="C1693" s="19" t="s">
        <v>7307</v>
      </c>
      <c r="D1693" s="19" t="s">
        <v>7308</v>
      </c>
      <c r="E1693" s="20" t="s">
        <v>84</v>
      </c>
      <c r="F1693" s="20" t="s">
        <v>92</v>
      </c>
      <c r="G1693" s="20" t="s">
        <v>26</v>
      </c>
      <c r="H1693" s="20" t="s">
        <v>7309</v>
      </c>
      <c r="I1693" s="20" t="s">
        <v>7310</v>
      </c>
      <c r="J1693" s="20">
        <v>4</v>
      </c>
      <c r="K1693" s="20" t="s">
        <v>107</v>
      </c>
      <c r="L1693" s="20" t="s">
        <v>16</v>
      </c>
      <c r="M1693" s="21"/>
    </row>
    <row r="1694" spans="1:13">
      <c r="A1694" s="22">
        <v>2525090</v>
      </c>
      <c r="B1694" s="23" t="s">
        <v>7311</v>
      </c>
      <c r="C1694" s="22" t="s">
        <v>7312</v>
      </c>
      <c r="D1694" s="22" t="s">
        <v>7313</v>
      </c>
      <c r="E1694" s="23" t="s">
        <v>84</v>
      </c>
      <c r="F1694" s="23" t="s">
        <v>92</v>
      </c>
      <c r="G1694" s="23" t="s">
        <v>26</v>
      </c>
      <c r="H1694" s="23" t="s">
        <v>7314</v>
      </c>
      <c r="I1694" s="23" t="s">
        <v>7315</v>
      </c>
      <c r="J1694" s="20">
        <v>5</v>
      </c>
      <c r="K1694" s="23" t="s">
        <v>107</v>
      </c>
      <c r="L1694" s="23" t="s">
        <v>18</v>
      </c>
      <c r="M1694" s="24"/>
    </row>
    <row r="1695" spans="1:13">
      <c r="A1695" s="19">
        <v>2522879</v>
      </c>
      <c r="B1695" s="20" t="s">
        <v>7316</v>
      </c>
      <c r="C1695" s="19" t="s">
        <v>7317</v>
      </c>
      <c r="D1695" s="19" t="s">
        <v>7318</v>
      </c>
      <c r="E1695" s="20" t="s">
        <v>84</v>
      </c>
      <c r="F1695" s="20" t="s">
        <v>92</v>
      </c>
      <c r="G1695" s="20" t="s">
        <v>26</v>
      </c>
      <c r="H1695" s="20" t="s">
        <v>7319</v>
      </c>
      <c r="I1695" s="20" t="s">
        <v>7320</v>
      </c>
      <c r="J1695" s="34" t="s">
        <v>34</v>
      </c>
      <c r="K1695" s="20" t="s">
        <v>107</v>
      </c>
      <c r="L1695" s="20" t="s">
        <v>16</v>
      </c>
      <c r="M1695" s="21"/>
    </row>
    <row r="1696" spans="1:13">
      <c r="A1696" s="19">
        <v>2522879</v>
      </c>
      <c r="B1696" s="20" t="s">
        <v>7316</v>
      </c>
      <c r="C1696" s="19" t="s">
        <v>7317</v>
      </c>
      <c r="D1696" s="19" t="s">
        <v>7318</v>
      </c>
      <c r="E1696" s="20" t="s">
        <v>84</v>
      </c>
      <c r="F1696" s="20" t="s">
        <v>92</v>
      </c>
      <c r="G1696" s="20" t="s">
        <v>26</v>
      </c>
      <c r="H1696" s="20" t="s">
        <v>7319</v>
      </c>
      <c r="I1696" s="20" t="s">
        <v>7321</v>
      </c>
      <c r="J1696" s="34" t="s">
        <v>34</v>
      </c>
      <c r="K1696" s="20" t="s">
        <v>107</v>
      </c>
      <c r="L1696" s="20" t="s">
        <v>16</v>
      </c>
      <c r="M1696" s="21"/>
    </row>
    <row r="1697" spans="1:13">
      <c r="A1697" s="19">
        <v>2522867</v>
      </c>
      <c r="B1697" s="20" t="s">
        <v>7322</v>
      </c>
      <c r="C1697" s="19" t="s">
        <v>7323</v>
      </c>
      <c r="D1697" s="19" t="s">
        <v>7324</v>
      </c>
      <c r="E1697" s="20" t="s">
        <v>84</v>
      </c>
      <c r="F1697" s="20" t="s">
        <v>92</v>
      </c>
      <c r="G1697" s="20" t="s">
        <v>24</v>
      </c>
      <c r="H1697" s="20" t="s">
        <v>7325</v>
      </c>
      <c r="I1697" s="20" t="s">
        <v>7326</v>
      </c>
      <c r="J1697" s="20">
        <v>4</v>
      </c>
      <c r="K1697" s="20" t="s">
        <v>107</v>
      </c>
      <c r="L1697" s="20" t="s">
        <v>16</v>
      </c>
      <c r="M1697" s="21"/>
    </row>
    <row r="1698" spans="1:13">
      <c r="A1698" s="19">
        <v>2530197</v>
      </c>
      <c r="B1698" s="20" t="s">
        <v>7327</v>
      </c>
      <c r="C1698" s="19" t="s">
        <v>7328</v>
      </c>
      <c r="D1698" s="19" t="s">
        <v>7329</v>
      </c>
      <c r="E1698" s="20" t="s">
        <v>415</v>
      </c>
      <c r="F1698" s="20" t="s">
        <v>92</v>
      </c>
      <c r="G1698" s="20" t="s">
        <v>26</v>
      </c>
      <c r="H1698" s="20" t="s">
        <v>7330</v>
      </c>
      <c r="I1698" s="20" t="s">
        <v>7331</v>
      </c>
      <c r="J1698" s="20">
        <v>2</v>
      </c>
      <c r="K1698" s="20" t="s">
        <v>19</v>
      </c>
      <c r="L1698" s="20" t="s">
        <v>16</v>
      </c>
      <c r="M1698" s="21"/>
    </row>
    <row r="1699" spans="1:13">
      <c r="A1699" s="22">
        <v>2516835</v>
      </c>
      <c r="B1699" s="23" t="s">
        <v>7332</v>
      </c>
      <c r="C1699" s="22" t="s">
        <v>7333</v>
      </c>
      <c r="D1699" s="22" t="s">
        <v>7334</v>
      </c>
      <c r="E1699" s="23" t="s">
        <v>84</v>
      </c>
      <c r="F1699" s="23" t="s">
        <v>92</v>
      </c>
      <c r="G1699" s="23" t="s">
        <v>26</v>
      </c>
      <c r="H1699" s="23" t="s">
        <v>7335</v>
      </c>
      <c r="I1699" s="23" t="s">
        <v>7336</v>
      </c>
      <c r="J1699" s="34" t="s">
        <v>34</v>
      </c>
      <c r="K1699" s="23" t="s">
        <v>19</v>
      </c>
      <c r="L1699" s="23" t="s">
        <v>16</v>
      </c>
      <c r="M1699" s="24"/>
    </row>
    <row r="1700" spans="1:13">
      <c r="A1700" s="22">
        <v>2531837</v>
      </c>
      <c r="B1700" s="23" t="s">
        <v>7269</v>
      </c>
      <c r="C1700" s="22" t="s">
        <v>7270</v>
      </c>
      <c r="D1700" s="22" t="s">
        <v>7271</v>
      </c>
      <c r="E1700" s="23" t="s">
        <v>384</v>
      </c>
      <c r="F1700" s="23" t="s">
        <v>92</v>
      </c>
      <c r="G1700" s="23" t="s">
        <v>26</v>
      </c>
      <c r="H1700" s="23" t="s">
        <v>7337</v>
      </c>
      <c r="I1700" s="23" t="s">
        <v>7273</v>
      </c>
      <c r="J1700" s="20">
        <v>2</v>
      </c>
      <c r="K1700" s="23" t="s">
        <v>107</v>
      </c>
      <c r="L1700" s="23" t="s">
        <v>16</v>
      </c>
      <c r="M1700" s="24"/>
    </row>
    <row r="1701" spans="1:13">
      <c r="A1701" s="22">
        <v>2533050</v>
      </c>
      <c r="B1701" s="23" t="s">
        <v>7338</v>
      </c>
      <c r="C1701" s="22" t="s">
        <v>7339</v>
      </c>
      <c r="D1701" s="22" t="s">
        <v>7340</v>
      </c>
      <c r="E1701" s="23" t="s">
        <v>84</v>
      </c>
      <c r="F1701" s="23" t="s">
        <v>112</v>
      </c>
      <c r="G1701" s="23" t="s">
        <v>26</v>
      </c>
      <c r="H1701" s="23" t="s">
        <v>7341</v>
      </c>
      <c r="I1701" s="23" t="s">
        <v>7342</v>
      </c>
      <c r="J1701" s="20">
        <v>5</v>
      </c>
      <c r="K1701" s="23" t="s">
        <v>19</v>
      </c>
      <c r="L1701" s="23" t="s">
        <v>18</v>
      </c>
      <c r="M1701" s="24" t="s">
        <v>7343</v>
      </c>
    </row>
    <row r="1702" spans="1:13">
      <c r="A1702" s="22">
        <v>2530192</v>
      </c>
      <c r="B1702" s="23" t="s">
        <v>7344</v>
      </c>
      <c r="C1702" s="22" t="s">
        <v>7345</v>
      </c>
      <c r="D1702" s="22" t="s">
        <v>7346</v>
      </c>
      <c r="E1702" s="23" t="s">
        <v>84</v>
      </c>
      <c r="F1702" s="23" t="s">
        <v>92</v>
      </c>
      <c r="G1702" s="23" t="s">
        <v>26</v>
      </c>
      <c r="H1702" s="23" t="s">
        <v>7347</v>
      </c>
      <c r="I1702" s="23" t="s">
        <v>7348</v>
      </c>
      <c r="J1702" s="20">
        <v>2</v>
      </c>
      <c r="K1702" s="23" t="s">
        <v>107</v>
      </c>
      <c r="L1702" s="23" t="s">
        <v>16</v>
      </c>
      <c r="M1702" s="24"/>
    </row>
    <row r="1703" spans="1:13">
      <c r="A1703" s="19">
        <v>2529748</v>
      </c>
      <c r="B1703" s="20" t="s">
        <v>7349</v>
      </c>
      <c r="C1703" s="19" t="s">
        <v>7350</v>
      </c>
      <c r="D1703" s="19" t="s">
        <v>7351</v>
      </c>
      <c r="E1703" s="20" t="s">
        <v>127</v>
      </c>
      <c r="F1703" s="20" t="s">
        <v>92</v>
      </c>
      <c r="G1703" s="20" t="s">
        <v>24</v>
      </c>
      <c r="H1703" s="20" t="s">
        <v>7352</v>
      </c>
      <c r="I1703" s="20" t="s">
        <v>7353</v>
      </c>
      <c r="J1703" s="20">
        <v>4</v>
      </c>
      <c r="K1703" s="20" t="s">
        <v>107</v>
      </c>
      <c r="L1703" s="20" t="s">
        <v>18</v>
      </c>
      <c r="M1703" s="21"/>
    </row>
    <row r="1704" spans="1:13">
      <c r="A1704" s="19">
        <v>2524562</v>
      </c>
      <c r="B1704" s="20" t="s">
        <v>7354</v>
      </c>
      <c r="C1704" s="19" t="s">
        <v>4480</v>
      </c>
      <c r="D1704" s="19" t="s">
        <v>7355</v>
      </c>
      <c r="E1704" s="20" t="s">
        <v>127</v>
      </c>
      <c r="F1704" s="20" t="s">
        <v>92</v>
      </c>
      <c r="G1704" s="20" t="s">
        <v>26</v>
      </c>
      <c r="H1704" s="20" t="s">
        <v>7356</v>
      </c>
      <c r="I1704" s="20" t="s">
        <v>7357</v>
      </c>
      <c r="J1704" s="23">
        <v>1</v>
      </c>
      <c r="K1704" s="20" t="s">
        <v>19</v>
      </c>
      <c r="L1704" s="20" t="s">
        <v>16</v>
      </c>
      <c r="M1704" s="21"/>
    </row>
    <row r="1705" spans="1:13">
      <c r="A1705" s="19">
        <v>2516845</v>
      </c>
      <c r="B1705" s="20" t="s">
        <v>7358</v>
      </c>
      <c r="C1705" s="19" t="s">
        <v>7359</v>
      </c>
      <c r="D1705" s="19" t="s">
        <v>7360</v>
      </c>
      <c r="E1705" s="20" t="s">
        <v>415</v>
      </c>
      <c r="F1705" s="20" t="s">
        <v>112</v>
      </c>
      <c r="G1705" s="20" t="s">
        <v>26</v>
      </c>
      <c r="H1705" s="20" t="s">
        <v>7361</v>
      </c>
      <c r="I1705" s="20" t="s">
        <v>7362</v>
      </c>
      <c r="J1705" s="23">
        <v>3</v>
      </c>
      <c r="K1705" s="20" t="s">
        <v>107</v>
      </c>
      <c r="L1705" s="20" t="s">
        <v>16</v>
      </c>
      <c r="M1705" s="21" t="s">
        <v>864</v>
      </c>
    </row>
    <row r="1706" spans="1:13">
      <c r="A1706" s="22">
        <v>2533039</v>
      </c>
      <c r="B1706" s="23" t="s">
        <v>7363</v>
      </c>
      <c r="C1706" s="22" t="s">
        <v>7364</v>
      </c>
      <c r="D1706" s="22" t="s">
        <v>7365</v>
      </c>
      <c r="E1706" s="23" t="s">
        <v>84</v>
      </c>
      <c r="F1706" s="23" t="s">
        <v>112</v>
      </c>
      <c r="G1706" s="23" t="s">
        <v>26</v>
      </c>
      <c r="H1706" s="23" t="s">
        <v>7366</v>
      </c>
      <c r="I1706" s="23" t="s">
        <v>7366</v>
      </c>
      <c r="J1706" s="20">
        <v>5</v>
      </c>
      <c r="K1706" s="23" t="s">
        <v>206</v>
      </c>
      <c r="L1706" s="23" t="s">
        <v>18</v>
      </c>
      <c r="M1706" s="24"/>
    </row>
    <row r="1707" spans="1:13">
      <c r="A1707" s="19">
        <v>2533039</v>
      </c>
      <c r="B1707" s="20" t="s">
        <v>7363</v>
      </c>
      <c r="C1707" s="19" t="s">
        <v>7364</v>
      </c>
      <c r="D1707" s="19" t="s">
        <v>7365</v>
      </c>
      <c r="E1707" s="20" t="s">
        <v>84</v>
      </c>
      <c r="F1707" s="20" t="s">
        <v>112</v>
      </c>
      <c r="G1707" s="20" t="s">
        <v>26</v>
      </c>
      <c r="H1707" s="20" t="s">
        <v>7367</v>
      </c>
      <c r="I1707" s="20" t="s">
        <v>7368</v>
      </c>
      <c r="J1707" s="20">
        <v>5</v>
      </c>
      <c r="K1707" s="20" t="s">
        <v>19</v>
      </c>
      <c r="L1707" s="20" t="s">
        <v>18</v>
      </c>
      <c r="M1707" s="21" t="s">
        <v>7369</v>
      </c>
    </row>
    <row r="1708" spans="1:13">
      <c r="A1708" s="22">
        <v>2520947</v>
      </c>
      <c r="B1708" s="23" t="s">
        <v>7370</v>
      </c>
      <c r="C1708" s="22" t="s">
        <v>7371</v>
      </c>
      <c r="D1708" s="22" t="s">
        <v>7372</v>
      </c>
      <c r="E1708" s="23" t="s">
        <v>219</v>
      </c>
      <c r="F1708" s="23" t="s">
        <v>85</v>
      </c>
      <c r="G1708" s="23" t="s">
        <v>26</v>
      </c>
      <c r="H1708" s="23" t="s">
        <v>7373</v>
      </c>
      <c r="I1708" s="23" t="s">
        <v>7374</v>
      </c>
      <c r="J1708" s="23">
        <v>1</v>
      </c>
      <c r="K1708" s="23" t="s">
        <v>206</v>
      </c>
      <c r="L1708" s="23" t="s">
        <v>16</v>
      </c>
      <c r="M1708" s="24"/>
    </row>
    <row r="1709" spans="1:13">
      <c r="A1709" s="22">
        <v>2520947</v>
      </c>
      <c r="B1709" s="23" t="s">
        <v>7370</v>
      </c>
      <c r="C1709" s="22" t="s">
        <v>7371</v>
      </c>
      <c r="D1709" s="22" t="s">
        <v>7372</v>
      </c>
      <c r="E1709" s="23" t="s">
        <v>219</v>
      </c>
      <c r="F1709" s="23" t="s">
        <v>85</v>
      </c>
      <c r="G1709" s="23" t="s">
        <v>26</v>
      </c>
      <c r="H1709" s="23" t="s">
        <v>7373</v>
      </c>
      <c r="I1709" s="23" t="s">
        <v>7374</v>
      </c>
      <c r="J1709" s="23">
        <v>1</v>
      </c>
      <c r="K1709" s="23" t="s">
        <v>206</v>
      </c>
      <c r="L1709" s="23" t="s">
        <v>16</v>
      </c>
      <c r="M1709" s="24"/>
    </row>
    <row r="1710" spans="1:13">
      <c r="A1710" s="22">
        <v>2521643</v>
      </c>
      <c r="B1710" s="23" t="s">
        <v>6620</v>
      </c>
      <c r="C1710" s="22" t="s">
        <v>6621</v>
      </c>
      <c r="D1710" s="22" t="s">
        <v>6622</v>
      </c>
      <c r="E1710" s="23" t="s">
        <v>127</v>
      </c>
      <c r="F1710" s="23" t="s">
        <v>112</v>
      </c>
      <c r="G1710" s="23" t="s">
        <v>26</v>
      </c>
      <c r="H1710" s="23" t="s">
        <v>7375</v>
      </c>
      <c r="I1710" s="23" t="s">
        <v>6624</v>
      </c>
      <c r="J1710" s="23">
        <v>3</v>
      </c>
      <c r="K1710" s="23" t="s">
        <v>206</v>
      </c>
      <c r="L1710" s="23" t="s">
        <v>16</v>
      </c>
      <c r="M1710" s="24"/>
    </row>
    <row r="1711" spans="1:13">
      <c r="A1711" s="19">
        <v>2533575</v>
      </c>
      <c r="B1711" s="20" t="s">
        <v>7376</v>
      </c>
      <c r="C1711" s="19" t="s">
        <v>7377</v>
      </c>
      <c r="D1711" s="19" t="s">
        <v>7378</v>
      </c>
      <c r="E1711" s="20" t="s">
        <v>84</v>
      </c>
      <c r="F1711" s="20" t="s">
        <v>85</v>
      </c>
      <c r="G1711" s="20" t="s">
        <v>26</v>
      </c>
      <c r="H1711" s="20" t="s">
        <v>7379</v>
      </c>
      <c r="I1711" s="20" t="s">
        <v>7380</v>
      </c>
      <c r="J1711" s="23">
        <v>1</v>
      </c>
      <c r="K1711" s="20" t="s">
        <v>206</v>
      </c>
      <c r="L1711" s="20" t="s">
        <v>18</v>
      </c>
      <c r="M1711" s="21"/>
    </row>
    <row r="1712" spans="1:13">
      <c r="A1712" s="19">
        <v>2524554</v>
      </c>
      <c r="B1712" s="20" t="s">
        <v>7381</v>
      </c>
      <c r="C1712" s="19" t="s">
        <v>7382</v>
      </c>
      <c r="D1712" s="19" t="s">
        <v>7383</v>
      </c>
      <c r="E1712" s="20" t="s">
        <v>84</v>
      </c>
      <c r="F1712" s="20" t="s">
        <v>92</v>
      </c>
      <c r="G1712" s="20" t="s">
        <v>26</v>
      </c>
      <c r="H1712" s="20" t="s">
        <v>7384</v>
      </c>
      <c r="I1712" s="20" t="s">
        <v>7385</v>
      </c>
      <c r="J1712" s="23">
        <v>3</v>
      </c>
      <c r="K1712" s="20" t="s">
        <v>19</v>
      </c>
      <c r="L1712" s="20" t="s">
        <v>16</v>
      </c>
      <c r="M1712" s="21"/>
    </row>
    <row r="1713" spans="1:13">
      <c r="A1713" s="19">
        <v>2524487</v>
      </c>
      <c r="B1713" s="20" t="s">
        <v>7386</v>
      </c>
      <c r="C1713" s="19" t="s">
        <v>7387</v>
      </c>
      <c r="D1713" s="19" t="s">
        <v>7388</v>
      </c>
      <c r="E1713" s="20" t="s">
        <v>84</v>
      </c>
      <c r="F1713" s="20" t="s">
        <v>92</v>
      </c>
      <c r="G1713" s="20" t="s">
        <v>26</v>
      </c>
      <c r="H1713" s="20" t="s">
        <v>7389</v>
      </c>
      <c r="I1713" s="20" t="s">
        <v>7390</v>
      </c>
      <c r="J1713" s="34">
        <v>1</v>
      </c>
      <c r="K1713" s="20" t="s">
        <v>19</v>
      </c>
      <c r="L1713" s="20" t="s">
        <v>16</v>
      </c>
      <c r="M1713" s="21"/>
    </row>
    <row r="1714" spans="1:13">
      <c r="A1714" s="22">
        <v>2529681</v>
      </c>
      <c r="B1714" s="23" t="s">
        <v>7391</v>
      </c>
      <c r="C1714" s="22" t="s">
        <v>7392</v>
      </c>
      <c r="D1714" s="22" t="s">
        <v>7393</v>
      </c>
      <c r="E1714" s="23" t="s">
        <v>84</v>
      </c>
      <c r="F1714" s="23" t="s">
        <v>92</v>
      </c>
      <c r="G1714" s="23" t="s">
        <v>26</v>
      </c>
      <c r="H1714" s="23" t="s">
        <v>7394</v>
      </c>
      <c r="I1714" s="23" t="s">
        <v>7395</v>
      </c>
      <c r="J1714" s="20">
        <v>4</v>
      </c>
      <c r="K1714" s="23" t="s">
        <v>19</v>
      </c>
      <c r="L1714" s="23" t="s">
        <v>16</v>
      </c>
      <c r="M1714" s="24" t="s">
        <v>864</v>
      </c>
    </row>
    <row r="1715" spans="1:13">
      <c r="A1715" s="19">
        <v>2520975</v>
      </c>
      <c r="B1715" s="20" t="s">
        <v>7396</v>
      </c>
      <c r="C1715" s="19" t="s">
        <v>7397</v>
      </c>
      <c r="D1715" s="19" t="s">
        <v>7398</v>
      </c>
      <c r="E1715" s="20" t="s">
        <v>84</v>
      </c>
      <c r="F1715" s="20" t="s">
        <v>85</v>
      </c>
      <c r="G1715" s="20" t="s">
        <v>26</v>
      </c>
      <c r="H1715" s="20" t="s">
        <v>7399</v>
      </c>
      <c r="I1715" s="20" t="s">
        <v>7400</v>
      </c>
      <c r="J1715" s="23">
        <v>1</v>
      </c>
      <c r="K1715" s="20" t="s">
        <v>206</v>
      </c>
      <c r="L1715" s="20" t="s">
        <v>16</v>
      </c>
      <c r="M1715" s="21"/>
    </row>
    <row r="1716" spans="1:13">
      <c r="A1716" s="22">
        <v>2520975</v>
      </c>
      <c r="B1716" s="23" t="s">
        <v>7396</v>
      </c>
      <c r="C1716" s="22" t="s">
        <v>7397</v>
      </c>
      <c r="D1716" s="22" t="s">
        <v>7398</v>
      </c>
      <c r="E1716" s="23" t="s">
        <v>84</v>
      </c>
      <c r="F1716" s="23" t="s">
        <v>85</v>
      </c>
      <c r="G1716" s="23" t="s">
        <v>26</v>
      </c>
      <c r="H1716" s="23" t="s">
        <v>7401</v>
      </c>
      <c r="I1716" s="23" t="s">
        <v>7402</v>
      </c>
      <c r="J1716" s="23">
        <v>1</v>
      </c>
      <c r="K1716" s="23" t="s">
        <v>206</v>
      </c>
      <c r="L1716" s="23" t="s">
        <v>16</v>
      </c>
      <c r="M1716" s="24"/>
    </row>
    <row r="1717" spans="1:13">
      <c r="A1717" s="19">
        <v>2525152</v>
      </c>
      <c r="B1717" s="20" t="s">
        <v>7403</v>
      </c>
      <c r="C1717" s="19" t="s">
        <v>7404</v>
      </c>
      <c r="D1717" s="19" t="s">
        <v>7405</v>
      </c>
      <c r="E1717" s="20" t="s">
        <v>415</v>
      </c>
      <c r="F1717" s="20" t="s">
        <v>92</v>
      </c>
      <c r="G1717" s="20" t="s">
        <v>26</v>
      </c>
      <c r="H1717" s="20" t="s">
        <v>7406</v>
      </c>
      <c r="I1717" s="20" t="s">
        <v>7407</v>
      </c>
      <c r="J1717" s="20">
        <v>4</v>
      </c>
      <c r="K1717" s="20" t="s">
        <v>107</v>
      </c>
      <c r="L1717" s="20" t="s">
        <v>16</v>
      </c>
      <c r="M1717" s="21"/>
    </row>
    <row r="1718" spans="1:13">
      <c r="A1718" s="19">
        <v>2525152</v>
      </c>
      <c r="B1718" s="20" t="s">
        <v>7403</v>
      </c>
      <c r="C1718" s="19" t="s">
        <v>7404</v>
      </c>
      <c r="D1718" s="19" t="s">
        <v>7405</v>
      </c>
      <c r="E1718" s="20" t="s">
        <v>415</v>
      </c>
      <c r="F1718" s="20" t="s">
        <v>92</v>
      </c>
      <c r="G1718" s="20" t="s">
        <v>26</v>
      </c>
      <c r="H1718" s="20" t="s">
        <v>7406</v>
      </c>
      <c r="I1718" s="20" t="s">
        <v>7408</v>
      </c>
      <c r="J1718" s="20">
        <v>4</v>
      </c>
      <c r="K1718" s="20" t="s">
        <v>107</v>
      </c>
      <c r="L1718" s="20" t="s">
        <v>16</v>
      </c>
      <c r="M1718" s="21"/>
    </row>
    <row r="1719" spans="1:13">
      <c r="A1719" s="22">
        <v>2526974</v>
      </c>
      <c r="B1719" s="23" t="s">
        <v>7409</v>
      </c>
      <c r="C1719" s="22" t="s">
        <v>7410</v>
      </c>
      <c r="D1719" s="22" t="s">
        <v>7411</v>
      </c>
      <c r="E1719" s="23" t="s">
        <v>415</v>
      </c>
      <c r="F1719" s="23" t="s">
        <v>112</v>
      </c>
      <c r="G1719" s="23" t="s">
        <v>28</v>
      </c>
      <c r="H1719" s="23" t="s">
        <v>7412</v>
      </c>
      <c r="I1719" s="23" t="s">
        <v>7413</v>
      </c>
      <c r="J1719" s="34" t="s">
        <v>34</v>
      </c>
      <c r="K1719" s="23" t="s">
        <v>7414</v>
      </c>
      <c r="L1719" s="23" t="s">
        <v>18</v>
      </c>
      <c r="M1719" s="24"/>
    </row>
    <row r="1720" spans="1:13">
      <c r="A1720" s="19">
        <v>2531413</v>
      </c>
      <c r="B1720" s="20" t="s">
        <v>7021</v>
      </c>
      <c r="C1720" s="19" t="s">
        <v>7022</v>
      </c>
      <c r="D1720" s="19" t="s">
        <v>7023</v>
      </c>
      <c r="E1720" s="20" t="s">
        <v>84</v>
      </c>
      <c r="F1720" s="20" t="s">
        <v>92</v>
      </c>
      <c r="G1720" s="20" t="s">
        <v>26</v>
      </c>
      <c r="H1720" s="20" t="s">
        <v>7415</v>
      </c>
      <c r="I1720" s="20" t="s">
        <v>7415</v>
      </c>
      <c r="J1720" s="23">
        <v>3</v>
      </c>
      <c r="K1720" s="20" t="s">
        <v>107</v>
      </c>
      <c r="L1720" s="20" t="s">
        <v>16</v>
      </c>
      <c r="M1720" s="21"/>
    </row>
    <row r="1721" spans="1:13">
      <c r="A1721" s="19">
        <v>2521291</v>
      </c>
      <c r="B1721" s="20" t="s">
        <v>7416</v>
      </c>
      <c r="C1721" s="19" t="s">
        <v>7417</v>
      </c>
      <c r="D1721" s="19" t="s">
        <v>7418</v>
      </c>
      <c r="E1721" s="20" t="s">
        <v>84</v>
      </c>
      <c r="F1721" s="20" t="s">
        <v>92</v>
      </c>
      <c r="G1721" s="20" t="s">
        <v>26</v>
      </c>
      <c r="H1721" s="20" t="s">
        <v>7419</v>
      </c>
      <c r="I1721" s="20" t="s">
        <v>7420</v>
      </c>
      <c r="J1721" s="20">
        <v>4</v>
      </c>
      <c r="K1721" s="20" t="s">
        <v>107</v>
      </c>
      <c r="L1721" s="20" t="s">
        <v>16</v>
      </c>
      <c r="M1721" s="21"/>
    </row>
    <row r="1722" spans="1:13">
      <c r="A1722" s="19">
        <v>2533068</v>
      </c>
      <c r="B1722" s="20" t="s">
        <v>7421</v>
      </c>
      <c r="C1722" s="19" t="s">
        <v>7422</v>
      </c>
      <c r="D1722" s="19" t="s">
        <v>7423</v>
      </c>
      <c r="E1722" s="20" t="s">
        <v>84</v>
      </c>
      <c r="F1722" s="20" t="s">
        <v>85</v>
      </c>
      <c r="G1722" s="20" t="s">
        <v>26</v>
      </c>
      <c r="H1722" s="20" t="s">
        <v>7424</v>
      </c>
      <c r="I1722" s="20" t="s">
        <v>7424</v>
      </c>
      <c r="J1722" s="20">
        <v>4</v>
      </c>
      <c r="K1722" s="20" t="s">
        <v>206</v>
      </c>
      <c r="L1722" s="20" t="s">
        <v>16</v>
      </c>
      <c r="M1722" s="21"/>
    </row>
    <row r="1723" spans="1:13">
      <c r="A1723" s="19">
        <v>2533068</v>
      </c>
      <c r="B1723" s="20" t="s">
        <v>7421</v>
      </c>
      <c r="C1723" s="19" t="s">
        <v>7422</v>
      </c>
      <c r="D1723" s="19" t="s">
        <v>7423</v>
      </c>
      <c r="E1723" s="20" t="s">
        <v>84</v>
      </c>
      <c r="F1723" s="20" t="s">
        <v>85</v>
      </c>
      <c r="G1723" s="20" t="s">
        <v>26</v>
      </c>
      <c r="H1723" s="20" t="s">
        <v>7425</v>
      </c>
      <c r="I1723" s="20" t="s">
        <v>7425</v>
      </c>
      <c r="J1723" s="20">
        <v>4</v>
      </c>
      <c r="K1723" s="20" t="s">
        <v>206</v>
      </c>
      <c r="L1723" s="20" t="s">
        <v>16</v>
      </c>
      <c r="M1723" s="21"/>
    </row>
    <row r="1724" spans="1:13">
      <c r="A1724" s="22">
        <v>2532984</v>
      </c>
      <c r="B1724" s="23" t="s">
        <v>7426</v>
      </c>
      <c r="C1724" s="22" t="s">
        <v>7427</v>
      </c>
      <c r="D1724" s="22" t="s">
        <v>7427</v>
      </c>
      <c r="E1724" s="23" t="s">
        <v>84</v>
      </c>
      <c r="F1724" s="23" t="s">
        <v>92</v>
      </c>
      <c r="G1724" s="23" t="s">
        <v>26</v>
      </c>
      <c r="H1724" s="23" t="s">
        <v>7428</v>
      </c>
      <c r="I1724" s="23" t="s">
        <v>7429</v>
      </c>
      <c r="J1724" s="23">
        <v>3</v>
      </c>
      <c r="K1724" s="23" t="s">
        <v>107</v>
      </c>
      <c r="L1724" s="23" t="s">
        <v>16</v>
      </c>
      <c r="M1724" s="24"/>
    </row>
    <row r="1725" spans="1:13">
      <c r="A1725" s="22">
        <v>2532984</v>
      </c>
      <c r="B1725" s="23" t="s">
        <v>7426</v>
      </c>
      <c r="C1725" s="22" t="s">
        <v>7427</v>
      </c>
      <c r="D1725" s="22" t="s">
        <v>7427</v>
      </c>
      <c r="E1725" s="23" t="s">
        <v>84</v>
      </c>
      <c r="F1725" s="23" t="s">
        <v>92</v>
      </c>
      <c r="G1725" s="23" t="s">
        <v>26</v>
      </c>
      <c r="H1725" s="23" t="s">
        <v>7428</v>
      </c>
      <c r="I1725" s="23" t="s">
        <v>7429</v>
      </c>
      <c r="J1725" s="36">
        <v>3</v>
      </c>
      <c r="K1725" s="23" t="s">
        <v>107</v>
      </c>
      <c r="L1725" s="23" t="s">
        <v>16</v>
      </c>
      <c r="M1725" s="24"/>
    </row>
    <row r="1726" spans="1:13">
      <c r="A1726" s="22">
        <v>2532984</v>
      </c>
      <c r="B1726" s="23" t="s">
        <v>7426</v>
      </c>
      <c r="C1726" s="22" t="s">
        <v>7427</v>
      </c>
      <c r="D1726" s="22" t="s">
        <v>7427</v>
      </c>
      <c r="E1726" s="23" t="s">
        <v>84</v>
      </c>
      <c r="F1726" s="23" t="s">
        <v>92</v>
      </c>
      <c r="G1726" s="23" t="s">
        <v>26</v>
      </c>
      <c r="H1726" s="23" t="s">
        <v>7428</v>
      </c>
      <c r="I1726" s="23" t="s">
        <v>7429</v>
      </c>
      <c r="J1726" s="23">
        <v>3</v>
      </c>
      <c r="K1726" s="23" t="s">
        <v>107</v>
      </c>
      <c r="L1726" s="23" t="s">
        <v>16</v>
      </c>
      <c r="M1726" s="24"/>
    </row>
    <row r="1727" spans="1:13">
      <c r="A1727" s="22">
        <v>2532915</v>
      </c>
      <c r="B1727" s="23" t="s">
        <v>7430</v>
      </c>
      <c r="C1727" s="22" t="s">
        <v>7431</v>
      </c>
      <c r="D1727" s="22" t="s">
        <v>7432</v>
      </c>
      <c r="E1727" s="23" t="s">
        <v>127</v>
      </c>
      <c r="F1727" s="23" t="s">
        <v>92</v>
      </c>
      <c r="G1727" s="23" t="s">
        <v>26</v>
      </c>
      <c r="H1727" s="23" t="s">
        <v>7433</v>
      </c>
      <c r="I1727" s="23" t="s">
        <v>7434</v>
      </c>
      <c r="J1727" s="20">
        <v>4</v>
      </c>
      <c r="K1727" s="23" t="s">
        <v>206</v>
      </c>
      <c r="L1727" s="23" t="s">
        <v>16</v>
      </c>
      <c r="M1727" s="24"/>
    </row>
    <row r="1728" spans="1:13">
      <c r="A1728" s="22">
        <v>2524651</v>
      </c>
      <c r="B1728" s="23" t="s">
        <v>7435</v>
      </c>
      <c r="C1728" s="22" t="s">
        <v>1326</v>
      </c>
      <c r="D1728" s="22" t="s">
        <v>1325</v>
      </c>
      <c r="E1728" s="23" t="s">
        <v>415</v>
      </c>
      <c r="F1728" s="23" t="s">
        <v>92</v>
      </c>
      <c r="G1728" s="23" t="s">
        <v>26</v>
      </c>
      <c r="H1728" s="23" t="s">
        <v>7436</v>
      </c>
      <c r="I1728" s="23" t="s">
        <v>168</v>
      </c>
      <c r="J1728" s="23">
        <v>1</v>
      </c>
      <c r="K1728" s="23" t="s">
        <v>19</v>
      </c>
      <c r="L1728" s="23" t="s">
        <v>18</v>
      </c>
      <c r="M1728" s="24"/>
    </row>
    <row r="1729" spans="1:13">
      <c r="A1729" s="22">
        <v>2521751</v>
      </c>
      <c r="B1729" s="23" t="s">
        <v>7437</v>
      </c>
      <c r="C1729" s="22" t="s">
        <v>7438</v>
      </c>
      <c r="D1729" s="22" t="s">
        <v>7439</v>
      </c>
      <c r="E1729" s="23" t="s">
        <v>84</v>
      </c>
      <c r="F1729" s="23" t="s">
        <v>92</v>
      </c>
      <c r="G1729" s="23" t="s">
        <v>26</v>
      </c>
      <c r="H1729" s="23" t="s">
        <v>7440</v>
      </c>
      <c r="I1729" s="23" t="s">
        <v>7441</v>
      </c>
      <c r="J1729" s="20">
        <v>4</v>
      </c>
      <c r="K1729" s="23" t="s">
        <v>107</v>
      </c>
      <c r="L1729" s="23" t="s">
        <v>16</v>
      </c>
      <c r="M1729" s="24"/>
    </row>
    <row r="1730" spans="1:13">
      <c r="A1730" s="19">
        <v>2531375</v>
      </c>
      <c r="B1730" s="20" t="s">
        <v>7442</v>
      </c>
      <c r="C1730" s="19" t="s">
        <v>7443</v>
      </c>
      <c r="D1730" s="19" t="s">
        <v>7444</v>
      </c>
      <c r="E1730" s="20" t="s">
        <v>127</v>
      </c>
      <c r="F1730" s="20" t="s">
        <v>92</v>
      </c>
      <c r="G1730" s="20" t="s">
        <v>26</v>
      </c>
      <c r="H1730" s="20" t="s">
        <v>7445</v>
      </c>
      <c r="I1730" s="20" t="s">
        <v>7446</v>
      </c>
      <c r="J1730" s="23">
        <v>1</v>
      </c>
      <c r="K1730" s="20" t="s">
        <v>206</v>
      </c>
      <c r="L1730" s="20" t="s">
        <v>16</v>
      </c>
      <c r="M1730" s="21"/>
    </row>
    <row r="1731" spans="1:13">
      <c r="A1731" s="19">
        <v>2529789</v>
      </c>
      <c r="B1731" s="20" t="s">
        <v>7447</v>
      </c>
      <c r="C1731" s="19" t="s">
        <v>7448</v>
      </c>
      <c r="D1731" s="19" t="s">
        <v>7449</v>
      </c>
      <c r="E1731" s="20" t="s">
        <v>84</v>
      </c>
      <c r="F1731" s="20" t="s">
        <v>92</v>
      </c>
      <c r="G1731" s="20" t="s">
        <v>26</v>
      </c>
      <c r="H1731" s="20" t="s">
        <v>7450</v>
      </c>
      <c r="I1731" s="20" t="s">
        <v>7451</v>
      </c>
      <c r="J1731" s="23">
        <v>3</v>
      </c>
      <c r="K1731" s="20" t="s">
        <v>107</v>
      </c>
      <c r="L1731" s="20" t="s">
        <v>16</v>
      </c>
      <c r="M1731" s="21"/>
    </row>
    <row r="1732" spans="1:13">
      <c r="A1732" s="22">
        <v>2533158</v>
      </c>
      <c r="B1732" s="23" t="s">
        <v>7452</v>
      </c>
      <c r="C1732" s="22" t="s">
        <v>7453</v>
      </c>
      <c r="D1732" s="22" t="s">
        <v>7454</v>
      </c>
      <c r="E1732" s="23" t="s">
        <v>84</v>
      </c>
      <c r="F1732" s="23" t="s">
        <v>172</v>
      </c>
      <c r="G1732" s="23" t="s">
        <v>26</v>
      </c>
      <c r="H1732" s="23" t="s">
        <v>7455</v>
      </c>
      <c r="I1732" s="23" t="s">
        <v>7456</v>
      </c>
      <c r="J1732" s="23">
        <v>1</v>
      </c>
      <c r="K1732" s="23" t="s">
        <v>19</v>
      </c>
      <c r="L1732" s="23" t="s">
        <v>18</v>
      </c>
      <c r="M1732" s="24"/>
    </row>
    <row r="1733" spans="1:13">
      <c r="A1733" s="19">
        <v>2519644</v>
      </c>
      <c r="B1733" s="20" t="s">
        <v>7457</v>
      </c>
      <c r="C1733" s="19" t="s">
        <v>7458</v>
      </c>
      <c r="D1733" s="19" t="s">
        <v>7459</v>
      </c>
      <c r="E1733" s="20" t="s">
        <v>415</v>
      </c>
      <c r="F1733" s="20" t="s">
        <v>92</v>
      </c>
      <c r="G1733" s="20" t="s">
        <v>26</v>
      </c>
      <c r="H1733" s="20" t="s">
        <v>7460</v>
      </c>
      <c r="I1733" s="20" t="s">
        <v>3155</v>
      </c>
      <c r="J1733" s="23">
        <v>3</v>
      </c>
      <c r="K1733" s="20" t="s">
        <v>967</v>
      </c>
      <c r="L1733" s="20" t="s">
        <v>18</v>
      </c>
      <c r="M1733" s="21"/>
    </row>
    <row r="1734" spans="1:13">
      <c r="A1734" s="19">
        <v>2525044</v>
      </c>
      <c r="B1734" s="20" t="s">
        <v>7461</v>
      </c>
      <c r="C1734" s="19" t="s">
        <v>7462</v>
      </c>
      <c r="D1734" s="19" t="s">
        <v>7463</v>
      </c>
      <c r="E1734" s="20" t="s">
        <v>84</v>
      </c>
      <c r="F1734" s="20" t="s">
        <v>92</v>
      </c>
      <c r="G1734" s="20" t="s">
        <v>26</v>
      </c>
      <c r="H1734" s="20" t="s">
        <v>7464</v>
      </c>
      <c r="I1734" s="20" t="s">
        <v>7464</v>
      </c>
      <c r="J1734" s="20">
        <v>2</v>
      </c>
      <c r="K1734" s="20" t="s">
        <v>107</v>
      </c>
      <c r="L1734" s="20" t="s">
        <v>16</v>
      </c>
      <c r="M1734" s="21"/>
    </row>
    <row r="1735" spans="1:13">
      <c r="A1735" s="22">
        <v>2521713</v>
      </c>
      <c r="B1735" s="23" t="s">
        <v>7465</v>
      </c>
      <c r="C1735" s="22" t="s">
        <v>7466</v>
      </c>
      <c r="D1735" s="22" t="s">
        <v>7467</v>
      </c>
      <c r="E1735" s="23" t="s">
        <v>84</v>
      </c>
      <c r="F1735" s="23" t="s">
        <v>172</v>
      </c>
      <c r="G1735" s="23" t="s">
        <v>26</v>
      </c>
      <c r="H1735" s="23" t="s">
        <v>7468</v>
      </c>
      <c r="I1735" s="23" t="s">
        <v>7469</v>
      </c>
      <c r="J1735" s="20">
        <v>2</v>
      </c>
      <c r="K1735" s="23" t="s">
        <v>19</v>
      </c>
      <c r="L1735" s="23" t="s">
        <v>16</v>
      </c>
      <c r="M1735" s="24"/>
    </row>
    <row r="1736" spans="1:13">
      <c r="A1736" s="22">
        <v>2529764</v>
      </c>
      <c r="B1736" s="23" t="s">
        <v>7470</v>
      </c>
      <c r="C1736" s="22" t="s">
        <v>7471</v>
      </c>
      <c r="D1736" s="22" t="s">
        <v>7472</v>
      </c>
      <c r="E1736" s="23" t="s">
        <v>127</v>
      </c>
      <c r="F1736" s="23" t="s">
        <v>92</v>
      </c>
      <c r="G1736" s="23" t="s">
        <v>26</v>
      </c>
      <c r="H1736" s="23" t="s">
        <v>7473</v>
      </c>
      <c r="I1736" s="23" t="s">
        <v>7474</v>
      </c>
      <c r="J1736" s="23">
        <v>3</v>
      </c>
      <c r="K1736" s="23" t="s">
        <v>107</v>
      </c>
      <c r="L1736" s="23" t="s">
        <v>16</v>
      </c>
      <c r="M1736" s="24"/>
    </row>
    <row r="1737" spans="1:13">
      <c r="A1737" s="19">
        <v>2521658</v>
      </c>
      <c r="B1737" s="20" t="s">
        <v>7475</v>
      </c>
      <c r="C1737" s="19" t="s">
        <v>7476</v>
      </c>
      <c r="D1737" s="19" t="s">
        <v>7477</v>
      </c>
      <c r="E1737" s="20" t="s">
        <v>84</v>
      </c>
      <c r="F1737" s="20" t="s">
        <v>172</v>
      </c>
      <c r="G1737" s="20" t="s">
        <v>26</v>
      </c>
      <c r="H1737" s="20" t="s">
        <v>7478</v>
      </c>
      <c r="I1737" s="20" t="s">
        <v>7479</v>
      </c>
      <c r="J1737" s="34" t="s">
        <v>34</v>
      </c>
      <c r="K1737" s="20" t="s">
        <v>107</v>
      </c>
      <c r="L1737" s="20" t="s">
        <v>16</v>
      </c>
      <c r="M1737" s="21"/>
    </row>
    <row r="1738" spans="1:13">
      <c r="A1738" s="19">
        <v>2521273</v>
      </c>
      <c r="B1738" s="20" t="s">
        <v>7480</v>
      </c>
      <c r="C1738" s="19" t="s">
        <v>7481</v>
      </c>
      <c r="D1738" s="19" t="s">
        <v>7482</v>
      </c>
      <c r="E1738" s="20" t="s">
        <v>127</v>
      </c>
      <c r="F1738" s="20" t="s">
        <v>92</v>
      </c>
      <c r="G1738" s="20" t="s">
        <v>26</v>
      </c>
      <c r="H1738" s="20" t="s">
        <v>7483</v>
      </c>
      <c r="I1738" s="20" t="s">
        <v>7484</v>
      </c>
      <c r="J1738" s="23">
        <v>3</v>
      </c>
      <c r="K1738" s="20" t="s">
        <v>107</v>
      </c>
      <c r="L1738" s="20" t="s">
        <v>18</v>
      </c>
      <c r="M1738" s="21" t="s">
        <v>16</v>
      </c>
    </row>
    <row r="1739" spans="1:13">
      <c r="A1739" s="22">
        <v>2533191</v>
      </c>
      <c r="B1739" s="23" t="s">
        <v>7485</v>
      </c>
      <c r="C1739" s="22" t="s">
        <v>7486</v>
      </c>
      <c r="D1739" s="22" t="s">
        <v>7487</v>
      </c>
      <c r="E1739" s="23" t="s">
        <v>84</v>
      </c>
      <c r="F1739" s="23" t="s">
        <v>92</v>
      </c>
      <c r="G1739" s="23" t="s">
        <v>26</v>
      </c>
      <c r="H1739" s="23" t="s">
        <v>7488</v>
      </c>
      <c r="I1739" s="23" t="s">
        <v>7489</v>
      </c>
      <c r="J1739" s="23">
        <v>3</v>
      </c>
      <c r="K1739" s="23" t="s">
        <v>107</v>
      </c>
      <c r="L1739" s="23" t="s">
        <v>16</v>
      </c>
      <c r="M1739" s="24" t="s">
        <v>7490</v>
      </c>
    </row>
    <row r="1740" spans="1:13">
      <c r="A1740" s="19">
        <v>2533191</v>
      </c>
      <c r="B1740" s="20" t="s">
        <v>7485</v>
      </c>
      <c r="C1740" s="19" t="s">
        <v>7486</v>
      </c>
      <c r="D1740" s="19" t="s">
        <v>7487</v>
      </c>
      <c r="E1740" s="20" t="s">
        <v>84</v>
      </c>
      <c r="F1740" s="20" t="s">
        <v>92</v>
      </c>
      <c r="G1740" s="20" t="s">
        <v>26</v>
      </c>
      <c r="H1740" s="20" t="s">
        <v>7488</v>
      </c>
      <c r="I1740" s="20" t="s">
        <v>7489</v>
      </c>
      <c r="J1740" s="23">
        <v>3</v>
      </c>
      <c r="K1740" s="20" t="s">
        <v>107</v>
      </c>
      <c r="L1740" s="20" t="s">
        <v>16</v>
      </c>
      <c r="M1740" s="21" t="s">
        <v>7490</v>
      </c>
    </row>
    <row r="1741" spans="1:13">
      <c r="A1741" s="22">
        <v>2516880</v>
      </c>
      <c r="B1741" s="23" t="s">
        <v>7491</v>
      </c>
      <c r="C1741" s="22" t="s">
        <v>7492</v>
      </c>
      <c r="D1741" s="22" t="s">
        <v>7493</v>
      </c>
      <c r="E1741" s="23" t="s">
        <v>84</v>
      </c>
      <c r="F1741" s="23" t="s">
        <v>92</v>
      </c>
      <c r="G1741" s="23" t="s">
        <v>26</v>
      </c>
      <c r="H1741" s="23" t="s">
        <v>7494</v>
      </c>
      <c r="I1741" s="23" t="s">
        <v>7495</v>
      </c>
      <c r="J1741" s="20">
        <v>2</v>
      </c>
      <c r="K1741" s="23" t="s">
        <v>206</v>
      </c>
      <c r="L1741" s="23" t="s">
        <v>16</v>
      </c>
      <c r="M1741" s="24"/>
    </row>
    <row r="1742" spans="1:13">
      <c r="A1742" s="22">
        <v>2520972</v>
      </c>
      <c r="B1742" s="23" t="s">
        <v>7496</v>
      </c>
      <c r="C1742" s="22" t="s">
        <v>7497</v>
      </c>
      <c r="D1742" s="22" t="s">
        <v>7498</v>
      </c>
      <c r="E1742" s="23" t="s">
        <v>84</v>
      </c>
      <c r="F1742" s="23" t="s">
        <v>92</v>
      </c>
      <c r="G1742" s="23" t="s">
        <v>26</v>
      </c>
      <c r="H1742" s="23" t="s">
        <v>7499</v>
      </c>
      <c r="I1742" s="23" t="s">
        <v>7500</v>
      </c>
      <c r="J1742" s="20">
        <v>5</v>
      </c>
      <c r="K1742" s="23" t="s">
        <v>107</v>
      </c>
      <c r="L1742" s="23" t="s">
        <v>16</v>
      </c>
      <c r="M1742" s="24"/>
    </row>
    <row r="1743" spans="1:13">
      <c r="A1743" s="22">
        <v>2521657</v>
      </c>
      <c r="B1743" s="23" t="s">
        <v>7501</v>
      </c>
      <c r="C1743" s="22" t="s">
        <v>7502</v>
      </c>
      <c r="D1743" s="22" t="s">
        <v>7503</v>
      </c>
      <c r="E1743" s="23" t="s">
        <v>84</v>
      </c>
      <c r="F1743" s="23" t="s">
        <v>172</v>
      </c>
      <c r="G1743" s="23" t="s">
        <v>26</v>
      </c>
      <c r="H1743" s="23" t="s">
        <v>7504</v>
      </c>
      <c r="I1743" s="23" t="s">
        <v>7505</v>
      </c>
      <c r="J1743" s="23">
        <v>3</v>
      </c>
      <c r="K1743" s="23" t="s">
        <v>107</v>
      </c>
      <c r="L1743" s="23" t="s">
        <v>16</v>
      </c>
      <c r="M1743" s="24"/>
    </row>
    <row r="1744" spans="1:13">
      <c r="A1744" s="22">
        <v>2529700</v>
      </c>
      <c r="B1744" s="23" t="s">
        <v>7506</v>
      </c>
      <c r="C1744" s="22" t="s">
        <v>7507</v>
      </c>
      <c r="D1744" s="22" t="s">
        <v>7508</v>
      </c>
      <c r="E1744" s="23" t="s">
        <v>84</v>
      </c>
      <c r="F1744" s="23" t="s">
        <v>92</v>
      </c>
      <c r="G1744" s="23" t="s">
        <v>26</v>
      </c>
      <c r="H1744" s="23" t="s">
        <v>7509</v>
      </c>
      <c r="I1744" s="23" t="s">
        <v>7510</v>
      </c>
      <c r="J1744" s="23">
        <v>3</v>
      </c>
      <c r="K1744" s="23" t="s">
        <v>19</v>
      </c>
      <c r="L1744" s="23" t="s">
        <v>16</v>
      </c>
      <c r="M1744" s="24"/>
    </row>
    <row r="1745" spans="1:13">
      <c r="A1745" s="19">
        <v>2521648</v>
      </c>
      <c r="B1745" s="20" t="s">
        <v>7511</v>
      </c>
      <c r="C1745" s="19" t="s">
        <v>7512</v>
      </c>
      <c r="D1745" s="19" t="s">
        <v>7513</v>
      </c>
      <c r="E1745" s="20" t="s">
        <v>127</v>
      </c>
      <c r="F1745" s="20" t="s">
        <v>172</v>
      </c>
      <c r="G1745" s="20" t="s">
        <v>26</v>
      </c>
      <c r="H1745" s="20" t="s">
        <v>7514</v>
      </c>
      <c r="I1745" s="20" t="s">
        <v>7515</v>
      </c>
      <c r="J1745" s="20">
        <v>4</v>
      </c>
      <c r="K1745" s="20" t="s">
        <v>107</v>
      </c>
      <c r="L1745" s="20" t="s">
        <v>16</v>
      </c>
      <c r="M1745" s="21" t="s">
        <v>49</v>
      </c>
    </row>
    <row r="1746" spans="1:13">
      <c r="A1746" s="19">
        <v>2533224</v>
      </c>
      <c r="B1746" s="20" t="s">
        <v>7516</v>
      </c>
      <c r="C1746" s="19" t="s">
        <v>7517</v>
      </c>
      <c r="D1746" s="19" t="s">
        <v>7518</v>
      </c>
      <c r="E1746" s="20" t="s">
        <v>84</v>
      </c>
      <c r="F1746" s="20" t="s">
        <v>92</v>
      </c>
      <c r="G1746" s="20" t="s">
        <v>26</v>
      </c>
      <c r="H1746" s="20" t="s">
        <v>7519</v>
      </c>
      <c r="I1746" s="20" t="s">
        <v>7520</v>
      </c>
      <c r="J1746" s="23">
        <v>1</v>
      </c>
      <c r="K1746" s="20" t="s">
        <v>107</v>
      </c>
      <c r="L1746" s="20" t="s">
        <v>16</v>
      </c>
      <c r="M1746" s="21"/>
    </row>
    <row r="1747" spans="1:13">
      <c r="A1747" s="22">
        <v>2533209</v>
      </c>
      <c r="B1747" s="23" t="s">
        <v>7521</v>
      </c>
      <c r="C1747" s="22" t="s">
        <v>7522</v>
      </c>
      <c r="D1747" s="22" t="s">
        <v>7523</v>
      </c>
      <c r="E1747" s="23" t="s">
        <v>384</v>
      </c>
      <c r="F1747" s="23" t="s">
        <v>92</v>
      </c>
      <c r="G1747" s="23" t="s">
        <v>26</v>
      </c>
      <c r="H1747" s="23" t="s">
        <v>7524</v>
      </c>
      <c r="I1747" s="23" t="s">
        <v>7525</v>
      </c>
      <c r="J1747" s="23">
        <v>1</v>
      </c>
      <c r="K1747" s="23" t="s">
        <v>107</v>
      </c>
      <c r="L1747" s="23" t="s">
        <v>18</v>
      </c>
      <c r="M1747" s="24"/>
    </row>
    <row r="1748" spans="1:13">
      <c r="A1748" s="22">
        <v>2531272</v>
      </c>
      <c r="B1748" s="23" t="s">
        <v>7526</v>
      </c>
      <c r="C1748" s="22" t="s">
        <v>7527</v>
      </c>
      <c r="D1748" s="22" t="s">
        <v>7528</v>
      </c>
      <c r="E1748" s="23" t="s">
        <v>415</v>
      </c>
      <c r="F1748" s="23" t="s">
        <v>92</v>
      </c>
      <c r="G1748" s="23" t="s">
        <v>26</v>
      </c>
      <c r="H1748" s="23" t="s">
        <v>7529</v>
      </c>
      <c r="I1748" s="23" t="s">
        <v>7530</v>
      </c>
      <c r="J1748" s="20">
        <v>5</v>
      </c>
      <c r="K1748" s="23" t="s">
        <v>107</v>
      </c>
      <c r="L1748" s="23" t="s">
        <v>18</v>
      </c>
      <c r="M1748" s="24"/>
    </row>
    <row r="1749" spans="1:13">
      <c r="A1749" s="19">
        <v>2521166</v>
      </c>
      <c r="B1749" s="20" t="s">
        <v>7531</v>
      </c>
      <c r="C1749" s="19" t="s">
        <v>7532</v>
      </c>
      <c r="D1749" s="19" t="s">
        <v>7533</v>
      </c>
      <c r="E1749" s="20" t="s">
        <v>127</v>
      </c>
      <c r="F1749" s="20" t="s">
        <v>92</v>
      </c>
      <c r="G1749" s="20" t="s">
        <v>26</v>
      </c>
      <c r="H1749" s="20" t="s">
        <v>7534</v>
      </c>
      <c r="I1749" s="20" t="s">
        <v>7535</v>
      </c>
      <c r="J1749" s="20">
        <v>5</v>
      </c>
      <c r="K1749" s="20" t="s">
        <v>107</v>
      </c>
      <c r="L1749" s="20" t="s">
        <v>16</v>
      </c>
      <c r="M1749" s="21"/>
    </row>
    <row r="1750" spans="1:13">
      <c r="A1750" s="19">
        <v>2520985</v>
      </c>
      <c r="B1750" s="20" t="s">
        <v>7536</v>
      </c>
      <c r="C1750" s="19" t="s">
        <v>7537</v>
      </c>
      <c r="D1750" s="19" t="s">
        <v>7538</v>
      </c>
      <c r="E1750" s="20" t="s">
        <v>84</v>
      </c>
      <c r="F1750" s="20" t="s">
        <v>92</v>
      </c>
      <c r="G1750" s="20" t="s">
        <v>26</v>
      </c>
      <c r="H1750" s="20" t="s">
        <v>7539</v>
      </c>
      <c r="I1750" s="20" t="s">
        <v>7540</v>
      </c>
      <c r="J1750" s="20">
        <v>5</v>
      </c>
      <c r="K1750" s="20" t="s">
        <v>107</v>
      </c>
      <c r="L1750" s="20" t="s">
        <v>16</v>
      </c>
      <c r="M1750" s="21" t="s">
        <v>864</v>
      </c>
    </row>
    <row r="1751" spans="1:13">
      <c r="A1751" s="22">
        <v>2531402</v>
      </c>
      <c r="B1751" s="23" t="s">
        <v>7541</v>
      </c>
      <c r="C1751" s="22" t="s">
        <v>7542</v>
      </c>
      <c r="D1751" s="22" t="s">
        <v>7543</v>
      </c>
      <c r="E1751" s="23" t="s">
        <v>84</v>
      </c>
      <c r="F1751" s="23" t="s">
        <v>85</v>
      </c>
      <c r="G1751" s="23" t="s">
        <v>26</v>
      </c>
      <c r="H1751" s="23" t="s">
        <v>7544</v>
      </c>
      <c r="I1751" s="23" t="s">
        <v>7545</v>
      </c>
      <c r="J1751" s="20">
        <v>4</v>
      </c>
      <c r="K1751" s="23" t="s">
        <v>107</v>
      </c>
      <c r="L1751" s="23" t="s">
        <v>18</v>
      </c>
      <c r="M1751" s="24"/>
    </row>
    <row r="1752" spans="1:13">
      <c r="A1752" s="19">
        <v>2531402</v>
      </c>
      <c r="B1752" s="20" t="s">
        <v>7541</v>
      </c>
      <c r="C1752" s="19" t="s">
        <v>7542</v>
      </c>
      <c r="D1752" s="19" t="s">
        <v>7543</v>
      </c>
      <c r="E1752" s="20" t="s">
        <v>84</v>
      </c>
      <c r="F1752" s="20" t="s">
        <v>85</v>
      </c>
      <c r="G1752" s="20" t="s">
        <v>26</v>
      </c>
      <c r="H1752" s="20" t="s">
        <v>7544</v>
      </c>
      <c r="I1752" s="20" t="s">
        <v>7545</v>
      </c>
      <c r="J1752" s="20">
        <v>4</v>
      </c>
      <c r="K1752" s="20" t="s">
        <v>107</v>
      </c>
      <c r="L1752" s="20" t="s">
        <v>18</v>
      </c>
      <c r="M1752" s="21"/>
    </row>
    <row r="1753" spans="1:13">
      <c r="A1753" s="19">
        <v>2523395</v>
      </c>
      <c r="B1753" s="20" t="s">
        <v>7546</v>
      </c>
      <c r="C1753" s="19" t="s">
        <v>7547</v>
      </c>
      <c r="D1753" s="19" t="s">
        <v>7548</v>
      </c>
      <c r="E1753" s="20" t="s">
        <v>84</v>
      </c>
      <c r="F1753" s="20" t="s">
        <v>92</v>
      </c>
      <c r="G1753" s="20" t="s">
        <v>26</v>
      </c>
      <c r="H1753" s="20" t="s">
        <v>7549</v>
      </c>
      <c r="I1753" s="20" t="s">
        <v>7550</v>
      </c>
      <c r="J1753" s="33">
        <v>1</v>
      </c>
      <c r="K1753" s="20" t="s">
        <v>107</v>
      </c>
      <c r="L1753" s="20" t="s">
        <v>16</v>
      </c>
      <c r="M1753" s="21"/>
    </row>
    <row r="1754" spans="1:13">
      <c r="A1754" s="22">
        <v>2526168</v>
      </c>
      <c r="B1754" s="23" t="s">
        <v>7551</v>
      </c>
      <c r="C1754" s="22" t="s">
        <v>7552</v>
      </c>
      <c r="D1754" s="22" t="s">
        <v>7553</v>
      </c>
      <c r="E1754" s="23" t="s">
        <v>84</v>
      </c>
      <c r="F1754" s="23" t="s">
        <v>92</v>
      </c>
      <c r="G1754" s="23" t="s">
        <v>24</v>
      </c>
      <c r="H1754" s="23" t="s">
        <v>7554</v>
      </c>
      <c r="I1754" s="23" t="s">
        <v>7555</v>
      </c>
      <c r="J1754" s="20">
        <v>4</v>
      </c>
      <c r="K1754" s="23" t="s">
        <v>107</v>
      </c>
      <c r="L1754" s="23" t="s">
        <v>18</v>
      </c>
      <c r="M1754" s="24"/>
    </row>
    <row r="1755" spans="1:13">
      <c r="A1755" s="22">
        <v>2526168</v>
      </c>
      <c r="B1755" s="23" t="s">
        <v>7551</v>
      </c>
      <c r="C1755" s="22" t="s">
        <v>7552</v>
      </c>
      <c r="D1755" s="22" t="s">
        <v>7553</v>
      </c>
      <c r="E1755" s="23" t="s">
        <v>84</v>
      </c>
      <c r="F1755" s="23" t="s">
        <v>92</v>
      </c>
      <c r="G1755" s="23" t="s">
        <v>24</v>
      </c>
      <c r="H1755" s="23" t="s">
        <v>7554</v>
      </c>
      <c r="I1755" s="23" t="s">
        <v>7555</v>
      </c>
      <c r="J1755" s="36">
        <v>4</v>
      </c>
      <c r="K1755" s="23" t="s">
        <v>107</v>
      </c>
      <c r="L1755" s="23" t="s">
        <v>18</v>
      </c>
      <c r="M1755" s="24"/>
    </row>
    <row r="1756" spans="1:13">
      <c r="A1756" s="22">
        <v>2526168</v>
      </c>
      <c r="B1756" s="23" t="s">
        <v>7551</v>
      </c>
      <c r="C1756" s="22" t="s">
        <v>7552</v>
      </c>
      <c r="D1756" s="22" t="s">
        <v>7553</v>
      </c>
      <c r="E1756" s="23" t="s">
        <v>84</v>
      </c>
      <c r="F1756" s="23" t="s">
        <v>92</v>
      </c>
      <c r="G1756" s="23" t="s">
        <v>24</v>
      </c>
      <c r="H1756" s="23" t="s">
        <v>7554</v>
      </c>
      <c r="I1756" s="23" t="s">
        <v>7555</v>
      </c>
      <c r="J1756" s="23">
        <v>4</v>
      </c>
      <c r="K1756" s="23" t="s">
        <v>107</v>
      </c>
      <c r="L1756" s="23" t="s">
        <v>18</v>
      </c>
      <c r="M1756" s="24"/>
    </row>
    <row r="1757" spans="1:13">
      <c r="A1757" s="19">
        <v>2531999</v>
      </c>
      <c r="B1757" s="20" t="s">
        <v>7556</v>
      </c>
      <c r="C1757" s="19" t="s">
        <v>7557</v>
      </c>
      <c r="D1757" s="19" t="s">
        <v>7558</v>
      </c>
      <c r="E1757" s="20" t="s">
        <v>84</v>
      </c>
      <c r="F1757" s="20" t="s">
        <v>92</v>
      </c>
      <c r="G1757" s="20" t="s">
        <v>26</v>
      </c>
      <c r="H1757" s="20" t="s">
        <v>7559</v>
      </c>
      <c r="I1757" s="20" t="s">
        <v>7560</v>
      </c>
      <c r="J1757" s="23">
        <v>3</v>
      </c>
      <c r="K1757" s="20" t="s">
        <v>19</v>
      </c>
      <c r="L1757" s="20" t="s">
        <v>18</v>
      </c>
      <c r="M1757" s="21"/>
    </row>
    <row r="1758" spans="1:13">
      <c r="A1758" s="22">
        <v>2521206</v>
      </c>
      <c r="B1758" s="23" t="s">
        <v>7561</v>
      </c>
      <c r="C1758" s="22" t="s">
        <v>7562</v>
      </c>
      <c r="D1758" s="22" t="s">
        <v>7563</v>
      </c>
      <c r="E1758" s="23" t="s">
        <v>127</v>
      </c>
      <c r="F1758" s="23" t="s">
        <v>172</v>
      </c>
      <c r="G1758" s="23" t="s">
        <v>26</v>
      </c>
      <c r="H1758" s="23" t="s">
        <v>7564</v>
      </c>
      <c r="I1758" s="23" t="s">
        <v>7565</v>
      </c>
      <c r="J1758" s="23">
        <v>1</v>
      </c>
      <c r="K1758" s="23" t="s">
        <v>107</v>
      </c>
      <c r="L1758" s="23" t="s">
        <v>16</v>
      </c>
      <c r="M1758" s="24"/>
    </row>
    <row r="1759" spans="1:13">
      <c r="A1759" s="22">
        <v>2533046</v>
      </c>
      <c r="B1759" s="23" t="s">
        <v>7566</v>
      </c>
      <c r="C1759" s="22" t="s">
        <v>7567</v>
      </c>
      <c r="D1759" s="22" t="s">
        <v>7568</v>
      </c>
      <c r="E1759" s="23" t="s">
        <v>84</v>
      </c>
      <c r="F1759" s="23" t="s">
        <v>92</v>
      </c>
      <c r="G1759" s="23" t="s">
        <v>26</v>
      </c>
      <c r="H1759" s="23" t="s">
        <v>7569</v>
      </c>
      <c r="I1759" s="23" t="s">
        <v>7570</v>
      </c>
      <c r="J1759" s="23">
        <v>3</v>
      </c>
      <c r="K1759" s="23" t="s">
        <v>107</v>
      </c>
      <c r="L1759" s="23" t="s">
        <v>16</v>
      </c>
      <c r="M1759" s="24"/>
    </row>
    <row r="1760" spans="1:13">
      <c r="A1760" s="19">
        <v>2529701</v>
      </c>
      <c r="B1760" s="20" t="s">
        <v>7571</v>
      </c>
      <c r="C1760" s="19" t="s">
        <v>7572</v>
      </c>
      <c r="D1760" s="19" t="s">
        <v>7573</v>
      </c>
      <c r="E1760" s="20" t="s">
        <v>84</v>
      </c>
      <c r="F1760" s="20" t="s">
        <v>92</v>
      </c>
      <c r="G1760" s="20" t="s">
        <v>26</v>
      </c>
      <c r="H1760" s="20" t="s">
        <v>7574</v>
      </c>
      <c r="I1760" s="20" t="s">
        <v>7575</v>
      </c>
      <c r="J1760" s="23">
        <v>1</v>
      </c>
      <c r="K1760" s="20" t="s">
        <v>107</v>
      </c>
      <c r="L1760" s="20" t="s">
        <v>16</v>
      </c>
      <c r="M1760" s="21" t="s">
        <v>864</v>
      </c>
    </row>
    <row r="1761" spans="1:13">
      <c r="A1761" s="19">
        <v>2521182</v>
      </c>
      <c r="B1761" s="20" t="s">
        <v>7576</v>
      </c>
      <c r="C1761" s="19" t="s">
        <v>7577</v>
      </c>
      <c r="D1761" s="19" t="s">
        <v>7578</v>
      </c>
      <c r="E1761" s="20" t="s">
        <v>127</v>
      </c>
      <c r="F1761" s="20" t="s">
        <v>172</v>
      </c>
      <c r="G1761" s="20" t="s">
        <v>26</v>
      </c>
      <c r="H1761" s="20" t="s">
        <v>7579</v>
      </c>
      <c r="I1761" s="20" t="s">
        <v>7580</v>
      </c>
      <c r="J1761" s="20">
        <v>5</v>
      </c>
      <c r="K1761" s="20" t="s">
        <v>107</v>
      </c>
      <c r="L1761" s="20" t="s">
        <v>16</v>
      </c>
      <c r="M1761" s="21"/>
    </row>
    <row r="1762" spans="1:13">
      <c r="A1762" s="19">
        <v>2523400</v>
      </c>
      <c r="B1762" s="20" t="s">
        <v>7581</v>
      </c>
      <c r="C1762" s="19" t="s">
        <v>7582</v>
      </c>
      <c r="D1762" s="19" t="s">
        <v>7583</v>
      </c>
      <c r="E1762" s="20" t="s">
        <v>84</v>
      </c>
      <c r="F1762" s="20" t="s">
        <v>92</v>
      </c>
      <c r="G1762" s="20" t="s">
        <v>26</v>
      </c>
      <c r="H1762" s="20" t="s">
        <v>7584</v>
      </c>
      <c r="I1762" s="20" t="s">
        <v>7585</v>
      </c>
      <c r="J1762" s="20">
        <v>2</v>
      </c>
      <c r="K1762" s="20" t="s">
        <v>107</v>
      </c>
      <c r="L1762" s="20" t="s">
        <v>16</v>
      </c>
      <c r="M1762" s="21"/>
    </row>
    <row r="1763" spans="1:13">
      <c r="A1763" s="22">
        <v>2533129</v>
      </c>
      <c r="B1763" s="23" t="s">
        <v>7586</v>
      </c>
      <c r="C1763" s="22" t="s">
        <v>7587</v>
      </c>
      <c r="D1763" s="22" t="s">
        <v>7588</v>
      </c>
      <c r="E1763" s="23" t="s">
        <v>127</v>
      </c>
      <c r="F1763" s="23" t="s">
        <v>92</v>
      </c>
      <c r="G1763" s="23" t="s">
        <v>26</v>
      </c>
      <c r="H1763" s="23" t="s">
        <v>7589</v>
      </c>
      <c r="I1763" s="23" t="s">
        <v>7590</v>
      </c>
      <c r="J1763" s="20">
        <v>2</v>
      </c>
      <c r="K1763" s="23" t="s">
        <v>107</v>
      </c>
      <c r="L1763" s="23" t="s">
        <v>16</v>
      </c>
      <c r="M1763" s="24"/>
    </row>
    <row r="1764" spans="1:13">
      <c r="A1764" s="22">
        <v>2521715</v>
      </c>
      <c r="B1764" s="23" t="s">
        <v>7591</v>
      </c>
      <c r="C1764" s="22" t="s">
        <v>7592</v>
      </c>
      <c r="D1764" s="22" t="s">
        <v>7592</v>
      </c>
      <c r="E1764" s="23" t="s">
        <v>84</v>
      </c>
      <c r="F1764" s="23" t="s">
        <v>92</v>
      </c>
      <c r="G1764" s="23" t="s">
        <v>26</v>
      </c>
      <c r="H1764" s="23" t="s">
        <v>7593</v>
      </c>
      <c r="I1764" s="23" t="s">
        <v>7594</v>
      </c>
      <c r="J1764" s="23">
        <v>3</v>
      </c>
      <c r="K1764" s="23" t="s">
        <v>107</v>
      </c>
      <c r="L1764" s="23" t="s">
        <v>16</v>
      </c>
      <c r="M1764" s="24"/>
    </row>
    <row r="1765" spans="1:13">
      <c r="A1765" s="19">
        <v>2533223</v>
      </c>
      <c r="B1765" s="20" t="s">
        <v>7595</v>
      </c>
      <c r="C1765" s="19" t="s">
        <v>7596</v>
      </c>
      <c r="D1765" s="19" t="s">
        <v>7597</v>
      </c>
      <c r="E1765" s="20" t="s">
        <v>84</v>
      </c>
      <c r="F1765" s="20" t="s">
        <v>92</v>
      </c>
      <c r="G1765" s="20" t="s">
        <v>26</v>
      </c>
      <c r="H1765" s="20" t="s">
        <v>7598</v>
      </c>
      <c r="I1765" s="20" t="s">
        <v>7599</v>
      </c>
      <c r="J1765" s="23">
        <v>1</v>
      </c>
      <c r="K1765" s="20" t="s">
        <v>19</v>
      </c>
      <c r="L1765" s="20" t="s">
        <v>16</v>
      </c>
      <c r="M1765" s="21"/>
    </row>
    <row r="1766" spans="1:13">
      <c r="A1766" s="22">
        <v>2533190</v>
      </c>
      <c r="B1766" s="23" t="s">
        <v>7600</v>
      </c>
      <c r="C1766" s="22" t="s">
        <v>7601</v>
      </c>
      <c r="D1766" s="22" t="s">
        <v>7602</v>
      </c>
      <c r="E1766" s="23" t="s">
        <v>84</v>
      </c>
      <c r="F1766" s="23" t="s">
        <v>92</v>
      </c>
      <c r="G1766" s="23" t="s">
        <v>26</v>
      </c>
      <c r="H1766" s="23" t="s">
        <v>7603</v>
      </c>
      <c r="I1766" s="23" t="s">
        <v>7604</v>
      </c>
      <c r="J1766" s="23">
        <v>1</v>
      </c>
      <c r="K1766" s="23" t="s">
        <v>19</v>
      </c>
      <c r="L1766" s="23" t="s">
        <v>16</v>
      </c>
      <c r="M1766" s="24"/>
    </row>
    <row r="1767" spans="1:13">
      <c r="A1767" s="19">
        <v>2529787</v>
      </c>
      <c r="B1767" s="20" t="s">
        <v>7605</v>
      </c>
      <c r="C1767" s="19" t="s">
        <v>7606</v>
      </c>
      <c r="D1767" s="19" t="s">
        <v>7607</v>
      </c>
      <c r="E1767" s="20" t="s">
        <v>415</v>
      </c>
      <c r="F1767" s="20" t="s">
        <v>92</v>
      </c>
      <c r="G1767" s="20" t="s">
        <v>26</v>
      </c>
      <c r="H1767" s="20" t="s">
        <v>7608</v>
      </c>
      <c r="I1767" s="20" t="s">
        <v>7609</v>
      </c>
      <c r="J1767" s="23">
        <v>3</v>
      </c>
      <c r="K1767" s="20" t="s">
        <v>107</v>
      </c>
      <c r="L1767" s="20" t="s">
        <v>16</v>
      </c>
      <c r="M1767" s="21"/>
    </row>
    <row r="1768" spans="1:13">
      <c r="A1768" s="22">
        <v>2531409</v>
      </c>
      <c r="B1768" s="23" t="s">
        <v>7610</v>
      </c>
      <c r="C1768" s="22" t="s">
        <v>7611</v>
      </c>
      <c r="D1768" s="22" t="s">
        <v>7612</v>
      </c>
      <c r="E1768" s="23" t="s">
        <v>84</v>
      </c>
      <c r="F1768" s="23" t="s">
        <v>92</v>
      </c>
      <c r="G1768" s="23" t="s">
        <v>26</v>
      </c>
      <c r="H1768" s="23" t="s">
        <v>7613</v>
      </c>
      <c r="I1768" s="23" t="s">
        <v>7614</v>
      </c>
      <c r="J1768" s="23">
        <v>3</v>
      </c>
      <c r="K1768" s="23" t="s">
        <v>107</v>
      </c>
      <c r="L1768" s="23" t="s">
        <v>16</v>
      </c>
      <c r="M1768" s="24" t="s">
        <v>1898</v>
      </c>
    </row>
    <row r="1769" spans="1:13">
      <c r="A1769" s="19">
        <v>2512325</v>
      </c>
      <c r="B1769" s="20" t="s">
        <v>7615</v>
      </c>
      <c r="C1769" s="19" t="s">
        <v>7616</v>
      </c>
      <c r="D1769" s="19" t="s">
        <v>7617</v>
      </c>
      <c r="E1769" s="20" t="s">
        <v>84</v>
      </c>
      <c r="F1769" s="20" t="s">
        <v>92</v>
      </c>
      <c r="G1769" s="20" t="s">
        <v>26</v>
      </c>
      <c r="H1769" s="20" t="s">
        <v>7618</v>
      </c>
      <c r="I1769" s="20" t="s">
        <v>7619</v>
      </c>
      <c r="J1769" s="20">
        <v>3</v>
      </c>
      <c r="K1769" s="20" t="s">
        <v>107</v>
      </c>
      <c r="L1769" s="20" t="s">
        <v>16</v>
      </c>
      <c r="M1769" s="21" t="s">
        <v>864</v>
      </c>
    </row>
    <row r="1770" spans="1:13">
      <c r="A1770" s="22">
        <v>2521763</v>
      </c>
      <c r="B1770" s="23" t="s">
        <v>7620</v>
      </c>
      <c r="C1770" s="22" t="s">
        <v>7621</v>
      </c>
      <c r="D1770" s="22" t="s">
        <v>7622</v>
      </c>
      <c r="E1770" s="23" t="s">
        <v>84</v>
      </c>
      <c r="F1770" s="23" t="s">
        <v>92</v>
      </c>
      <c r="G1770" s="23" t="s">
        <v>26</v>
      </c>
      <c r="H1770" s="23" t="s">
        <v>7623</v>
      </c>
      <c r="I1770" s="23" t="s">
        <v>7624</v>
      </c>
      <c r="J1770" s="23">
        <v>1</v>
      </c>
      <c r="K1770" s="23" t="s">
        <v>107</v>
      </c>
      <c r="L1770" s="23" t="s">
        <v>16</v>
      </c>
      <c r="M1770" s="24"/>
    </row>
    <row r="1771" spans="1:13">
      <c r="A1771" s="19">
        <v>2531423</v>
      </c>
      <c r="B1771" s="20" t="s">
        <v>7625</v>
      </c>
      <c r="C1771" s="19" t="s">
        <v>7626</v>
      </c>
      <c r="D1771" s="19" t="s">
        <v>7627</v>
      </c>
      <c r="E1771" s="20" t="s">
        <v>84</v>
      </c>
      <c r="F1771" s="20" t="s">
        <v>92</v>
      </c>
      <c r="G1771" s="20" t="s">
        <v>26</v>
      </c>
      <c r="H1771" s="20" t="s">
        <v>7628</v>
      </c>
      <c r="I1771" s="20" t="s">
        <v>7628</v>
      </c>
      <c r="J1771" s="20">
        <v>2</v>
      </c>
      <c r="K1771" s="20" t="s">
        <v>17</v>
      </c>
      <c r="L1771" s="20" t="s">
        <v>18</v>
      </c>
      <c r="M1771" s="21"/>
    </row>
    <row r="1772" spans="1:13">
      <c r="A1772" s="22">
        <v>2521754</v>
      </c>
      <c r="B1772" s="23" t="s">
        <v>7629</v>
      </c>
      <c r="C1772" s="22" t="s">
        <v>7630</v>
      </c>
      <c r="D1772" s="22" t="s">
        <v>7631</v>
      </c>
      <c r="E1772" s="23" t="s">
        <v>84</v>
      </c>
      <c r="F1772" s="23" t="s">
        <v>85</v>
      </c>
      <c r="G1772" s="23" t="s">
        <v>26</v>
      </c>
      <c r="H1772" s="23" t="s">
        <v>7632</v>
      </c>
      <c r="I1772" s="23" t="s">
        <v>7633</v>
      </c>
      <c r="J1772" s="23">
        <v>1</v>
      </c>
      <c r="K1772" s="23" t="s">
        <v>107</v>
      </c>
      <c r="L1772" s="23" t="s">
        <v>16</v>
      </c>
      <c r="M1772" s="24"/>
    </row>
    <row r="1773" spans="1:13">
      <c r="A1773" s="19">
        <v>2532940</v>
      </c>
      <c r="B1773" s="20" t="s">
        <v>6928</v>
      </c>
      <c r="C1773" s="19" t="s">
        <v>7634</v>
      </c>
      <c r="D1773" s="19" t="s">
        <v>7635</v>
      </c>
      <c r="E1773" s="20" t="s">
        <v>84</v>
      </c>
      <c r="F1773" s="20" t="s">
        <v>85</v>
      </c>
      <c r="G1773" s="20" t="s">
        <v>26</v>
      </c>
      <c r="H1773" s="20" t="s">
        <v>7632</v>
      </c>
      <c r="I1773" s="20" t="s">
        <v>7636</v>
      </c>
      <c r="J1773" s="23">
        <v>3</v>
      </c>
      <c r="K1773" s="20" t="s">
        <v>206</v>
      </c>
      <c r="L1773" s="20" t="s">
        <v>16</v>
      </c>
      <c r="M1773" s="21"/>
    </row>
    <row r="1774" spans="1:13">
      <c r="A1774" s="22">
        <v>2531441</v>
      </c>
      <c r="B1774" s="23" t="s">
        <v>7637</v>
      </c>
      <c r="C1774" s="22" t="s">
        <v>7638</v>
      </c>
      <c r="D1774" s="22" t="s">
        <v>7639</v>
      </c>
      <c r="E1774" s="23" t="s">
        <v>415</v>
      </c>
      <c r="F1774" s="23" t="s">
        <v>92</v>
      </c>
      <c r="G1774" s="23" t="s">
        <v>26</v>
      </c>
      <c r="H1774" s="23" t="s">
        <v>7640</v>
      </c>
      <c r="I1774" s="23" t="s">
        <v>7641</v>
      </c>
      <c r="J1774" s="23">
        <v>3</v>
      </c>
      <c r="K1774" s="23" t="s">
        <v>107</v>
      </c>
      <c r="L1774" s="23" t="s">
        <v>16</v>
      </c>
      <c r="M1774" s="24"/>
    </row>
    <row r="1775" spans="1:13">
      <c r="A1775" s="22">
        <v>2521708</v>
      </c>
      <c r="B1775" s="23" t="s">
        <v>7642</v>
      </c>
      <c r="C1775" s="22" t="s">
        <v>7643</v>
      </c>
      <c r="D1775" s="22" t="s">
        <v>7644</v>
      </c>
      <c r="E1775" s="23" t="s">
        <v>384</v>
      </c>
      <c r="F1775" s="23" t="s">
        <v>172</v>
      </c>
      <c r="G1775" s="23" t="s">
        <v>26</v>
      </c>
      <c r="H1775" s="23" t="s">
        <v>7645</v>
      </c>
      <c r="I1775" s="23" t="s">
        <v>1036</v>
      </c>
      <c r="J1775" s="23">
        <v>3</v>
      </c>
      <c r="K1775" s="23" t="s">
        <v>19</v>
      </c>
      <c r="L1775" s="23" t="s">
        <v>16</v>
      </c>
      <c r="M1775" s="24"/>
    </row>
    <row r="1776" spans="1:13">
      <c r="A1776" s="22">
        <v>2521247</v>
      </c>
      <c r="B1776" s="23" t="s">
        <v>7646</v>
      </c>
      <c r="C1776" s="22" t="s">
        <v>7647</v>
      </c>
      <c r="D1776" s="22" t="s">
        <v>7648</v>
      </c>
      <c r="E1776" s="23" t="s">
        <v>84</v>
      </c>
      <c r="F1776" s="23" t="s">
        <v>92</v>
      </c>
      <c r="G1776" s="23" t="s">
        <v>26</v>
      </c>
      <c r="H1776" s="23" t="s">
        <v>7645</v>
      </c>
      <c r="I1776" s="23" t="s">
        <v>1036</v>
      </c>
      <c r="J1776" s="23">
        <v>3</v>
      </c>
      <c r="K1776" s="23" t="s">
        <v>107</v>
      </c>
      <c r="L1776" s="23" t="s">
        <v>18</v>
      </c>
      <c r="M1776" s="24"/>
    </row>
    <row r="1777" spans="1:13">
      <c r="A1777" s="22">
        <v>2521695</v>
      </c>
      <c r="B1777" s="23" t="s">
        <v>7649</v>
      </c>
      <c r="C1777" s="22" t="s">
        <v>7650</v>
      </c>
      <c r="D1777" s="22" t="s">
        <v>7651</v>
      </c>
      <c r="E1777" s="23" t="s">
        <v>84</v>
      </c>
      <c r="F1777" s="23" t="s">
        <v>92</v>
      </c>
      <c r="G1777" s="23" t="s">
        <v>26</v>
      </c>
      <c r="H1777" s="23" t="s">
        <v>7645</v>
      </c>
      <c r="I1777" s="23" t="s">
        <v>1036</v>
      </c>
      <c r="J1777" s="20">
        <v>4</v>
      </c>
      <c r="K1777" s="23" t="s">
        <v>19</v>
      </c>
      <c r="L1777" s="23" t="s">
        <v>16</v>
      </c>
      <c r="M1777" s="24"/>
    </row>
    <row r="1778" spans="1:13">
      <c r="A1778" s="22">
        <v>2533165</v>
      </c>
      <c r="B1778" s="23" t="s">
        <v>7652</v>
      </c>
      <c r="C1778" s="22" t="s">
        <v>7653</v>
      </c>
      <c r="D1778" s="22" t="s">
        <v>7654</v>
      </c>
      <c r="E1778" s="23" t="s">
        <v>127</v>
      </c>
      <c r="F1778" s="23" t="s">
        <v>92</v>
      </c>
      <c r="G1778" s="23" t="s">
        <v>26</v>
      </c>
      <c r="H1778" s="23" t="s">
        <v>7655</v>
      </c>
      <c r="I1778" s="23" t="s">
        <v>7656</v>
      </c>
      <c r="J1778" s="23">
        <v>1</v>
      </c>
      <c r="K1778" s="23" t="s">
        <v>107</v>
      </c>
      <c r="L1778" s="23" t="s">
        <v>16</v>
      </c>
      <c r="M1778" s="24"/>
    </row>
    <row r="1779" spans="1:13">
      <c r="A1779" s="19">
        <v>2533111</v>
      </c>
      <c r="B1779" s="20" t="s">
        <v>7657</v>
      </c>
      <c r="C1779" s="19" t="s">
        <v>7658</v>
      </c>
      <c r="D1779" s="19" t="s">
        <v>7659</v>
      </c>
      <c r="E1779" s="20" t="s">
        <v>84</v>
      </c>
      <c r="F1779" s="20" t="s">
        <v>92</v>
      </c>
      <c r="G1779" s="20" t="s">
        <v>26</v>
      </c>
      <c r="H1779" s="20" t="s">
        <v>7660</v>
      </c>
      <c r="I1779" s="20" t="s">
        <v>7661</v>
      </c>
      <c r="J1779" s="23">
        <v>3</v>
      </c>
      <c r="K1779" s="20" t="s">
        <v>19</v>
      </c>
      <c r="L1779" s="20" t="s">
        <v>16</v>
      </c>
      <c r="M1779" s="21"/>
    </row>
    <row r="1780" spans="1:13">
      <c r="A1780" s="22">
        <v>2524516</v>
      </c>
      <c r="B1780" s="23" t="s">
        <v>7662</v>
      </c>
      <c r="C1780" s="22" t="s">
        <v>7663</v>
      </c>
      <c r="D1780" s="22" t="s">
        <v>7664</v>
      </c>
      <c r="E1780" s="23" t="s">
        <v>84</v>
      </c>
      <c r="F1780" s="23" t="s">
        <v>92</v>
      </c>
      <c r="G1780" s="23" t="s">
        <v>26</v>
      </c>
      <c r="H1780" s="23" t="s">
        <v>7665</v>
      </c>
      <c r="I1780" s="23" t="s">
        <v>7666</v>
      </c>
      <c r="J1780" s="23">
        <v>1</v>
      </c>
      <c r="K1780" s="23" t="s">
        <v>19</v>
      </c>
      <c r="L1780" s="23" t="s">
        <v>16</v>
      </c>
      <c r="M1780" s="24"/>
    </row>
    <row r="1781" spans="1:13">
      <c r="A1781" s="22">
        <v>2523393</v>
      </c>
      <c r="B1781" s="23" t="s">
        <v>7667</v>
      </c>
      <c r="C1781" s="22" t="s">
        <v>7668</v>
      </c>
      <c r="D1781" s="22" t="s">
        <v>7669</v>
      </c>
      <c r="E1781" s="23" t="s">
        <v>84</v>
      </c>
      <c r="F1781" s="23" t="s">
        <v>85</v>
      </c>
      <c r="G1781" s="23" t="s">
        <v>26</v>
      </c>
      <c r="H1781" s="23" t="s">
        <v>7670</v>
      </c>
      <c r="I1781" s="23" t="s">
        <v>7671</v>
      </c>
      <c r="J1781" s="20">
        <v>4</v>
      </c>
      <c r="K1781" s="23" t="s">
        <v>107</v>
      </c>
      <c r="L1781" s="23" t="s">
        <v>16</v>
      </c>
      <c r="M1781" s="24"/>
    </row>
    <row r="1782" spans="1:13">
      <c r="A1782" s="22">
        <v>2521650</v>
      </c>
      <c r="B1782" s="23" t="s">
        <v>7672</v>
      </c>
      <c r="C1782" s="22" t="s">
        <v>7673</v>
      </c>
      <c r="D1782" s="22" t="s">
        <v>7674</v>
      </c>
      <c r="E1782" s="23" t="s">
        <v>84</v>
      </c>
      <c r="F1782" s="23" t="s">
        <v>92</v>
      </c>
      <c r="G1782" s="23" t="s">
        <v>26</v>
      </c>
      <c r="H1782" s="23" t="s">
        <v>7675</v>
      </c>
      <c r="I1782" s="23" t="s">
        <v>7676</v>
      </c>
      <c r="J1782" s="20">
        <v>2</v>
      </c>
      <c r="K1782" s="23" t="s">
        <v>19</v>
      </c>
      <c r="L1782" s="23" t="s">
        <v>16</v>
      </c>
      <c r="M1782" s="24"/>
    </row>
    <row r="1783" spans="1:13">
      <c r="A1783" s="22">
        <v>2531392</v>
      </c>
      <c r="B1783" s="23" t="s">
        <v>7677</v>
      </c>
      <c r="C1783" s="22" t="s">
        <v>7678</v>
      </c>
      <c r="D1783" s="22" t="s">
        <v>7679</v>
      </c>
      <c r="E1783" s="23" t="s">
        <v>127</v>
      </c>
      <c r="F1783" s="23" t="s">
        <v>92</v>
      </c>
      <c r="G1783" s="23" t="s">
        <v>26</v>
      </c>
      <c r="H1783" s="23" t="s">
        <v>7680</v>
      </c>
      <c r="I1783" s="23" t="s">
        <v>7681</v>
      </c>
      <c r="J1783" s="20">
        <v>4</v>
      </c>
      <c r="K1783" s="23" t="s">
        <v>107</v>
      </c>
      <c r="L1783" s="23" t="s">
        <v>18</v>
      </c>
      <c r="M1783" s="24"/>
    </row>
    <row r="1784" spans="1:13">
      <c r="A1784" s="22">
        <v>2521650</v>
      </c>
      <c r="B1784" s="23" t="s">
        <v>7672</v>
      </c>
      <c r="C1784" s="22" t="s">
        <v>7673</v>
      </c>
      <c r="D1784" s="22" t="s">
        <v>7674</v>
      </c>
      <c r="E1784" s="23" t="s">
        <v>84</v>
      </c>
      <c r="F1784" s="23" t="s">
        <v>92</v>
      </c>
      <c r="G1784" s="23" t="s">
        <v>26</v>
      </c>
      <c r="H1784" s="23" t="s">
        <v>7682</v>
      </c>
      <c r="I1784" s="23" t="s">
        <v>7683</v>
      </c>
      <c r="J1784" s="20">
        <v>2</v>
      </c>
      <c r="K1784" s="23" t="s">
        <v>19</v>
      </c>
      <c r="L1784" s="23" t="s">
        <v>16</v>
      </c>
      <c r="M1784" s="24"/>
    </row>
    <row r="1785" spans="1:13">
      <c r="A1785" s="22">
        <v>2524658</v>
      </c>
      <c r="B1785" s="23" t="s">
        <v>7684</v>
      </c>
      <c r="C1785" s="22" t="s">
        <v>7685</v>
      </c>
      <c r="D1785" s="22" t="s">
        <v>7686</v>
      </c>
      <c r="E1785" s="23" t="s">
        <v>84</v>
      </c>
      <c r="F1785" s="23" t="s">
        <v>92</v>
      </c>
      <c r="G1785" s="23" t="s">
        <v>26</v>
      </c>
      <c r="H1785" s="23" t="s">
        <v>7687</v>
      </c>
      <c r="I1785" s="23" t="s">
        <v>7688</v>
      </c>
      <c r="J1785" s="20">
        <v>2</v>
      </c>
      <c r="K1785" s="23" t="s">
        <v>206</v>
      </c>
      <c r="L1785" s="23" t="s">
        <v>16</v>
      </c>
      <c r="M1785" s="24"/>
    </row>
    <row r="1786" spans="1:13">
      <c r="A1786" s="19">
        <v>2524652</v>
      </c>
      <c r="B1786" s="20" t="s">
        <v>7689</v>
      </c>
      <c r="C1786" s="19" t="s">
        <v>7690</v>
      </c>
      <c r="D1786" s="19" t="s">
        <v>7691</v>
      </c>
      <c r="E1786" s="20" t="s">
        <v>84</v>
      </c>
      <c r="F1786" s="20" t="s">
        <v>92</v>
      </c>
      <c r="G1786" s="20" t="s">
        <v>26</v>
      </c>
      <c r="H1786" s="20" t="s">
        <v>7692</v>
      </c>
      <c r="I1786" s="20" t="s">
        <v>7693</v>
      </c>
      <c r="J1786" s="20">
        <v>2</v>
      </c>
      <c r="K1786" s="20" t="s">
        <v>206</v>
      </c>
      <c r="L1786" s="20" t="s">
        <v>16</v>
      </c>
      <c r="M1786" s="21"/>
    </row>
    <row r="1787" spans="1:13">
      <c r="A1787" s="22">
        <v>2532983</v>
      </c>
      <c r="B1787" s="23" t="s">
        <v>7694</v>
      </c>
      <c r="C1787" s="22" t="s">
        <v>7695</v>
      </c>
      <c r="D1787" s="22" t="s">
        <v>7696</v>
      </c>
      <c r="E1787" s="23" t="s">
        <v>84</v>
      </c>
      <c r="F1787" s="23" t="s">
        <v>92</v>
      </c>
      <c r="G1787" s="23" t="s">
        <v>26</v>
      </c>
      <c r="H1787" s="23" t="s">
        <v>7697</v>
      </c>
      <c r="I1787" s="23" t="s">
        <v>7698</v>
      </c>
      <c r="J1787" s="20">
        <v>4</v>
      </c>
      <c r="K1787" s="23" t="s">
        <v>206</v>
      </c>
      <c r="L1787" s="23" t="s">
        <v>16</v>
      </c>
      <c r="M1787" s="24"/>
    </row>
    <row r="1788" spans="1:13">
      <c r="A1788" s="19">
        <v>2521650</v>
      </c>
      <c r="B1788" s="20" t="s">
        <v>7672</v>
      </c>
      <c r="C1788" s="19" t="s">
        <v>7673</v>
      </c>
      <c r="D1788" s="19" t="s">
        <v>7674</v>
      </c>
      <c r="E1788" s="20" t="s">
        <v>84</v>
      </c>
      <c r="F1788" s="20" t="s">
        <v>92</v>
      </c>
      <c r="G1788" s="20" t="s">
        <v>26</v>
      </c>
      <c r="H1788" s="20" t="s">
        <v>7699</v>
      </c>
      <c r="I1788" s="20" t="s">
        <v>7676</v>
      </c>
      <c r="J1788" s="20">
        <v>2</v>
      </c>
      <c r="K1788" s="20" t="s">
        <v>19</v>
      </c>
      <c r="L1788" s="20" t="s">
        <v>16</v>
      </c>
      <c r="M1788" s="21"/>
    </row>
    <row r="1789" spans="1:13">
      <c r="A1789" s="19">
        <v>2532965</v>
      </c>
      <c r="B1789" s="20" t="s">
        <v>7700</v>
      </c>
      <c r="C1789" s="19" t="s">
        <v>7701</v>
      </c>
      <c r="D1789" s="19" t="s">
        <v>7702</v>
      </c>
      <c r="E1789" s="20" t="s">
        <v>84</v>
      </c>
      <c r="F1789" s="20" t="s">
        <v>92</v>
      </c>
      <c r="G1789" s="20" t="s">
        <v>26</v>
      </c>
      <c r="H1789" s="20" t="s">
        <v>7703</v>
      </c>
      <c r="I1789" s="20" t="s">
        <v>7704</v>
      </c>
      <c r="J1789" s="20">
        <v>4</v>
      </c>
      <c r="K1789" s="20" t="s">
        <v>19</v>
      </c>
      <c r="L1789" s="20" t="s">
        <v>16</v>
      </c>
      <c r="M1789" s="21" t="s">
        <v>455</v>
      </c>
    </row>
    <row r="1790" spans="1:13">
      <c r="A1790" s="19">
        <v>2520923</v>
      </c>
      <c r="B1790" s="20" t="s">
        <v>7705</v>
      </c>
      <c r="C1790" s="19" t="s">
        <v>7706</v>
      </c>
      <c r="D1790" s="19" t="s">
        <v>7707</v>
      </c>
      <c r="E1790" s="20" t="s">
        <v>127</v>
      </c>
      <c r="F1790" s="20" t="s">
        <v>92</v>
      </c>
      <c r="G1790" s="20" t="s">
        <v>26</v>
      </c>
      <c r="H1790" s="20" t="s">
        <v>7708</v>
      </c>
      <c r="I1790" s="20" t="s">
        <v>7709</v>
      </c>
      <c r="J1790" s="23">
        <v>3</v>
      </c>
      <c r="K1790" s="20" t="s">
        <v>19</v>
      </c>
      <c r="L1790" s="20" t="s">
        <v>18</v>
      </c>
      <c r="M1790" s="21"/>
    </row>
    <row r="1791" spans="1:13">
      <c r="A1791" s="19">
        <v>2524501</v>
      </c>
      <c r="B1791" s="20" t="s">
        <v>7710</v>
      </c>
      <c r="C1791" s="19" t="s">
        <v>7711</v>
      </c>
      <c r="D1791" s="19" t="s">
        <v>7712</v>
      </c>
      <c r="E1791" s="20" t="s">
        <v>84</v>
      </c>
      <c r="F1791" s="20" t="s">
        <v>92</v>
      </c>
      <c r="G1791" s="20" t="s">
        <v>26</v>
      </c>
      <c r="H1791" s="20" t="s">
        <v>7713</v>
      </c>
      <c r="I1791" s="20" t="s">
        <v>7714</v>
      </c>
      <c r="J1791" s="23">
        <v>1</v>
      </c>
      <c r="K1791" s="20" t="s">
        <v>107</v>
      </c>
      <c r="L1791" s="20" t="s">
        <v>16</v>
      </c>
      <c r="M1791" s="21" t="s">
        <v>518</v>
      </c>
    </row>
    <row r="1792" spans="1:13">
      <c r="A1792" s="22">
        <v>2516836</v>
      </c>
      <c r="B1792" s="23" t="s">
        <v>7715</v>
      </c>
      <c r="C1792" s="22" t="s">
        <v>7716</v>
      </c>
      <c r="D1792" s="22" t="s">
        <v>7717</v>
      </c>
      <c r="E1792" s="23" t="s">
        <v>84</v>
      </c>
      <c r="F1792" s="23" t="s">
        <v>92</v>
      </c>
      <c r="G1792" s="23" t="s">
        <v>26</v>
      </c>
      <c r="H1792" s="23" t="s">
        <v>7718</v>
      </c>
      <c r="I1792" s="23" t="s">
        <v>7719</v>
      </c>
      <c r="J1792" s="34" t="s">
        <v>34</v>
      </c>
      <c r="K1792" s="23" t="s">
        <v>19</v>
      </c>
      <c r="L1792" s="23" t="s">
        <v>16</v>
      </c>
      <c r="M1792" s="24"/>
    </row>
    <row r="1793" spans="1:13">
      <c r="A1793" s="19">
        <v>2424651</v>
      </c>
      <c r="B1793" s="20" t="s">
        <v>7720</v>
      </c>
      <c r="C1793" s="19" t="s">
        <v>1326</v>
      </c>
      <c r="D1793" s="19" t="s">
        <v>1325</v>
      </c>
      <c r="E1793" s="20" t="s">
        <v>415</v>
      </c>
      <c r="F1793" s="20" t="s">
        <v>92</v>
      </c>
      <c r="G1793" s="20" t="s">
        <v>26</v>
      </c>
      <c r="H1793" s="20" t="s">
        <v>7721</v>
      </c>
      <c r="I1793" s="20" t="s">
        <v>168</v>
      </c>
      <c r="J1793" s="33">
        <v>1</v>
      </c>
      <c r="K1793" s="20" t="s">
        <v>107</v>
      </c>
      <c r="L1793" s="20" t="s">
        <v>18</v>
      </c>
      <c r="M1793" s="21"/>
    </row>
    <row r="1794" spans="1:13">
      <c r="A1794" s="22">
        <v>2521719</v>
      </c>
      <c r="B1794" s="23" t="s">
        <v>7722</v>
      </c>
      <c r="C1794" s="22" t="s">
        <v>7723</v>
      </c>
      <c r="D1794" s="22" t="s">
        <v>7724</v>
      </c>
      <c r="E1794" s="23" t="s">
        <v>84</v>
      </c>
      <c r="F1794" s="23" t="s">
        <v>92</v>
      </c>
      <c r="G1794" s="23" t="s">
        <v>26</v>
      </c>
      <c r="H1794" s="23" t="s">
        <v>7725</v>
      </c>
      <c r="I1794" s="23" t="s">
        <v>7726</v>
      </c>
      <c r="J1794" s="20">
        <v>5</v>
      </c>
      <c r="K1794" s="23" t="s">
        <v>107</v>
      </c>
      <c r="L1794" s="23" t="s">
        <v>18</v>
      </c>
      <c r="M1794" s="24"/>
    </row>
    <row r="1795" spans="1:13">
      <c r="A1795" s="19">
        <v>2524530</v>
      </c>
      <c r="B1795" s="20" t="s">
        <v>7727</v>
      </c>
      <c r="C1795" s="19" t="s">
        <v>7728</v>
      </c>
      <c r="D1795" s="19" t="s">
        <v>7729</v>
      </c>
      <c r="E1795" s="20" t="s">
        <v>84</v>
      </c>
      <c r="F1795" s="20" t="s">
        <v>92</v>
      </c>
      <c r="G1795" s="20" t="s">
        <v>26</v>
      </c>
      <c r="H1795" s="20" t="s">
        <v>7730</v>
      </c>
      <c r="I1795" s="20" t="s">
        <v>7731</v>
      </c>
      <c r="J1795" s="20">
        <v>2</v>
      </c>
      <c r="K1795" s="20" t="s">
        <v>107</v>
      </c>
      <c r="L1795" s="20" t="s">
        <v>16</v>
      </c>
      <c r="M1795" s="21"/>
    </row>
    <row r="1796" spans="1:13">
      <c r="A1796" s="22">
        <v>2521265</v>
      </c>
      <c r="B1796" s="23" t="s">
        <v>7732</v>
      </c>
      <c r="C1796" s="22" t="s">
        <v>7733</v>
      </c>
      <c r="D1796" s="22" t="s">
        <v>7734</v>
      </c>
      <c r="E1796" s="23" t="s">
        <v>84</v>
      </c>
      <c r="F1796" s="23" t="s">
        <v>92</v>
      </c>
      <c r="G1796" s="23" t="s">
        <v>26</v>
      </c>
      <c r="H1796" s="23" t="s">
        <v>7735</v>
      </c>
      <c r="I1796" s="23" t="s">
        <v>7736</v>
      </c>
      <c r="J1796" s="23">
        <v>4</v>
      </c>
      <c r="K1796" s="23" t="s">
        <v>19</v>
      </c>
      <c r="L1796" s="23" t="s">
        <v>16</v>
      </c>
      <c r="M1796" s="24"/>
    </row>
    <row r="1797" spans="1:13">
      <c r="A1797" s="19">
        <v>2524541</v>
      </c>
      <c r="B1797" s="20" t="s">
        <v>7737</v>
      </c>
      <c r="C1797" s="19" t="s">
        <v>7738</v>
      </c>
      <c r="D1797" s="19" t="s">
        <v>4026</v>
      </c>
      <c r="E1797" s="20" t="s">
        <v>384</v>
      </c>
      <c r="F1797" s="20" t="s">
        <v>92</v>
      </c>
      <c r="G1797" s="20" t="s">
        <v>26</v>
      </c>
      <c r="H1797" s="20" t="s">
        <v>7739</v>
      </c>
      <c r="I1797" s="20" t="s">
        <v>7740</v>
      </c>
      <c r="J1797" s="20">
        <v>2</v>
      </c>
      <c r="K1797" s="20" t="s">
        <v>206</v>
      </c>
      <c r="L1797" s="20" t="s">
        <v>16</v>
      </c>
      <c r="M1797" s="21"/>
    </row>
    <row r="1798" spans="1:13">
      <c r="A1798" s="22">
        <v>2523390</v>
      </c>
      <c r="B1798" s="23" t="s">
        <v>7741</v>
      </c>
      <c r="C1798" s="22" t="s">
        <v>7742</v>
      </c>
      <c r="D1798" s="22" t="s">
        <v>7743</v>
      </c>
      <c r="E1798" s="23" t="s">
        <v>84</v>
      </c>
      <c r="F1798" s="23" t="s">
        <v>92</v>
      </c>
      <c r="G1798" s="23" t="s">
        <v>26</v>
      </c>
      <c r="H1798" s="23" t="s">
        <v>7744</v>
      </c>
      <c r="I1798" s="23" t="s">
        <v>7745</v>
      </c>
      <c r="J1798" s="23">
        <v>1</v>
      </c>
      <c r="K1798" s="23" t="s">
        <v>107</v>
      </c>
      <c r="L1798" s="23" t="s">
        <v>16</v>
      </c>
      <c r="M1798" s="24"/>
    </row>
    <row r="1799" spans="1:13">
      <c r="A1799" s="22">
        <v>2511270</v>
      </c>
      <c r="B1799" s="23" t="s">
        <v>7746</v>
      </c>
      <c r="C1799" s="22" t="s">
        <v>7747</v>
      </c>
      <c r="D1799" s="22" t="s">
        <v>7748</v>
      </c>
      <c r="E1799" s="23" t="s">
        <v>84</v>
      </c>
      <c r="F1799" s="23" t="s">
        <v>92</v>
      </c>
      <c r="G1799" s="23" t="s">
        <v>26</v>
      </c>
      <c r="H1799" s="23" t="s">
        <v>7749</v>
      </c>
      <c r="I1799" s="23" t="s">
        <v>7750</v>
      </c>
      <c r="J1799" s="20">
        <v>2</v>
      </c>
      <c r="K1799" s="23" t="s">
        <v>17</v>
      </c>
      <c r="L1799" s="23" t="s">
        <v>18</v>
      </c>
      <c r="M1799" s="24"/>
    </row>
    <row r="1800" spans="1:13">
      <c r="A1800" s="22">
        <v>2521785</v>
      </c>
      <c r="B1800" s="23" t="s">
        <v>7751</v>
      </c>
      <c r="C1800" s="22" t="s">
        <v>5187</v>
      </c>
      <c r="D1800" s="22" t="s">
        <v>7752</v>
      </c>
      <c r="E1800" s="23" t="s">
        <v>415</v>
      </c>
      <c r="F1800" s="23" t="s">
        <v>92</v>
      </c>
      <c r="G1800" s="23" t="s">
        <v>26</v>
      </c>
      <c r="H1800" s="23" t="s">
        <v>7753</v>
      </c>
      <c r="I1800" s="23" t="s">
        <v>7754</v>
      </c>
      <c r="J1800" s="20">
        <v>4</v>
      </c>
      <c r="K1800" s="23" t="s">
        <v>19</v>
      </c>
      <c r="L1800" s="23" t="s">
        <v>16</v>
      </c>
      <c r="M1800" s="24"/>
    </row>
    <row r="1801" spans="1:13">
      <c r="A1801" s="22">
        <v>2470771</v>
      </c>
      <c r="B1801" s="23" t="s">
        <v>7755</v>
      </c>
      <c r="C1801" s="22" t="s">
        <v>7756</v>
      </c>
      <c r="D1801" s="22" t="s">
        <v>7757</v>
      </c>
      <c r="E1801" s="23" t="s">
        <v>84</v>
      </c>
      <c r="F1801" s="23" t="s">
        <v>92</v>
      </c>
      <c r="G1801" s="23" t="s">
        <v>26</v>
      </c>
      <c r="H1801" s="23" t="s">
        <v>7758</v>
      </c>
      <c r="I1801" s="23" t="s">
        <v>7759</v>
      </c>
      <c r="J1801" s="22">
        <v>1</v>
      </c>
      <c r="K1801" s="23" t="s">
        <v>206</v>
      </c>
      <c r="L1801" s="23" t="s">
        <v>18</v>
      </c>
      <c r="M1801" s="24" t="s">
        <v>7760</v>
      </c>
    </row>
    <row r="1802" spans="1:13">
      <c r="A1802" s="22">
        <v>2521066</v>
      </c>
      <c r="B1802" s="23" t="s">
        <v>7761</v>
      </c>
      <c r="C1802" s="22" t="s">
        <v>7762</v>
      </c>
      <c r="D1802" s="22" t="s">
        <v>7763</v>
      </c>
      <c r="E1802" s="23" t="s">
        <v>84</v>
      </c>
      <c r="F1802" s="23" t="s">
        <v>92</v>
      </c>
      <c r="G1802" s="23" t="s">
        <v>26</v>
      </c>
      <c r="H1802" s="23" t="s">
        <v>7764</v>
      </c>
      <c r="I1802" s="23" t="s">
        <v>7765</v>
      </c>
      <c r="J1802" s="33">
        <v>1</v>
      </c>
      <c r="K1802" s="23" t="s">
        <v>107</v>
      </c>
      <c r="L1802" s="23" t="s">
        <v>16</v>
      </c>
      <c r="M1802" s="24"/>
    </row>
    <row r="1803" spans="1:13">
      <c r="A1803" s="22">
        <v>2521066</v>
      </c>
      <c r="B1803" s="23" t="s">
        <v>7761</v>
      </c>
      <c r="C1803" s="22" t="s">
        <v>7762</v>
      </c>
      <c r="D1803" s="22" t="s">
        <v>7763</v>
      </c>
      <c r="E1803" s="23" t="s">
        <v>84</v>
      </c>
      <c r="F1803" s="23" t="s">
        <v>92</v>
      </c>
      <c r="G1803" s="23" t="s">
        <v>26</v>
      </c>
      <c r="H1803" s="23" t="s">
        <v>7766</v>
      </c>
      <c r="I1803" s="23" t="s">
        <v>7767</v>
      </c>
      <c r="J1803" s="33">
        <v>1</v>
      </c>
      <c r="K1803" s="23" t="s">
        <v>107</v>
      </c>
      <c r="L1803" s="23" t="s">
        <v>16</v>
      </c>
      <c r="M1803" s="24"/>
    </row>
    <row r="1804" spans="1:13">
      <c r="A1804" s="19">
        <v>2521785</v>
      </c>
      <c r="B1804" s="20" t="s">
        <v>7751</v>
      </c>
      <c r="C1804" s="19" t="s">
        <v>5187</v>
      </c>
      <c r="D1804" s="19" t="s">
        <v>7752</v>
      </c>
      <c r="E1804" s="20" t="s">
        <v>415</v>
      </c>
      <c r="F1804" s="20" t="s">
        <v>92</v>
      </c>
      <c r="G1804" s="20" t="s">
        <v>26</v>
      </c>
      <c r="H1804" s="20" t="s">
        <v>7768</v>
      </c>
      <c r="I1804" s="20" t="s">
        <v>168</v>
      </c>
      <c r="J1804" s="20">
        <v>4</v>
      </c>
      <c r="K1804" s="20" t="s">
        <v>107</v>
      </c>
      <c r="L1804" s="20" t="s">
        <v>16</v>
      </c>
      <c r="M1804" s="21"/>
    </row>
    <row r="1805" spans="1:13">
      <c r="A1805" s="22">
        <v>2521682</v>
      </c>
      <c r="B1805" s="23" t="s">
        <v>7769</v>
      </c>
      <c r="C1805" s="22" t="s">
        <v>7770</v>
      </c>
      <c r="D1805" s="22" t="s">
        <v>7771</v>
      </c>
      <c r="E1805" s="23" t="s">
        <v>84</v>
      </c>
      <c r="F1805" s="23" t="s">
        <v>92</v>
      </c>
      <c r="G1805" s="23" t="s">
        <v>26</v>
      </c>
      <c r="H1805" s="23" t="s">
        <v>7772</v>
      </c>
      <c r="I1805" s="23" t="s">
        <v>7773</v>
      </c>
      <c r="J1805" s="23">
        <v>1</v>
      </c>
      <c r="K1805" s="23" t="s">
        <v>19</v>
      </c>
      <c r="L1805" s="23" t="s">
        <v>16</v>
      </c>
      <c r="M1805" s="24"/>
    </row>
    <row r="1806" spans="1:13">
      <c r="A1806" s="19">
        <v>2521636</v>
      </c>
      <c r="B1806" s="20" t="s">
        <v>7774</v>
      </c>
      <c r="C1806" s="19" t="s">
        <v>7775</v>
      </c>
      <c r="D1806" s="19" t="s">
        <v>7776</v>
      </c>
      <c r="E1806" s="20" t="s">
        <v>84</v>
      </c>
      <c r="F1806" s="20" t="s">
        <v>92</v>
      </c>
      <c r="G1806" s="20" t="s">
        <v>26</v>
      </c>
      <c r="H1806" s="20" t="s">
        <v>7777</v>
      </c>
      <c r="I1806" s="20" t="s">
        <v>7778</v>
      </c>
      <c r="J1806" s="20">
        <v>4</v>
      </c>
      <c r="K1806" s="20" t="s">
        <v>107</v>
      </c>
      <c r="L1806" s="20" t="s">
        <v>16</v>
      </c>
      <c r="M1806" s="21"/>
    </row>
    <row r="1807" spans="1:13">
      <c r="A1807" s="19">
        <v>2532914</v>
      </c>
      <c r="B1807" s="20" t="s">
        <v>7779</v>
      </c>
      <c r="C1807" s="19" t="s">
        <v>7780</v>
      </c>
      <c r="D1807" s="19" t="s">
        <v>7781</v>
      </c>
      <c r="E1807" s="20" t="s">
        <v>84</v>
      </c>
      <c r="F1807" s="20" t="s">
        <v>85</v>
      </c>
      <c r="G1807" s="20" t="s">
        <v>26</v>
      </c>
      <c r="H1807" s="20" t="s">
        <v>7782</v>
      </c>
      <c r="I1807" s="20" t="s">
        <v>7783</v>
      </c>
      <c r="J1807" s="23">
        <v>3</v>
      </c>
      <c r="K1807" s="20" t="s">
        <v>206</v>
      </c>
      <c r="L1807" s="20" t="s">
        <v>18</v>
      </c>
      <c r="M1807" s="21"/>
    </row>
    <row r="1808" spans="1:13">
      <c r="A1808" s="22">
        <v>2529517</v>
      </c>
      <c r="B1808" s="23" t="s">
        <v>7784</v>
      </c>
      <c r="C1808" s="22" t="s">
        <v>7785</v>
      </c>
      <c r="D1808" s="22" t="s">
        <v>7786</v>
      </c>
      <c r="E1808" s="23" t="s">
        <v>84</v>
      </c>
      <c r="F1808" s="23" t="s">
        <v>92</v>
      </c>
      <c r="G1808" s="23" t="s">
        <v>26</v>
      </c>
      <c r="H1808" s="23" t="s">
        <v>7787</v>
      </c>
      <c r="I1808" s="23" t="s">
        <v>5904</v>
      </c>
      <c r="J1808" s="23">
        <v>3</v>
      </c>
      <c r="K1808" s="23" t="s">
        <v>107</v>
      </c>
      <c r="L1808" s="23" t="s">
        <v>16</v>
      </c>
      <c r="M1808" s="24"/>
    </row>
    <row r="1809" spans="1:13">
      <c r="A1809" s="19">
        <v>2521678</v>
      </c>
      <c r="B1809" s="20" t="s">
        <v>7788</v>
      </c>
      <c r="C1809" s="19" t="s">
        <v>7789</v>
      </c>
      <c r="D1809" s="19" t="s">
        <v>7790</v>
      </c>
      <c r="E1809" s="20" t="s">
        <v>127</v>
      </c>
      <c r="F1809" s="20" t="s">
        <v>92</v>
      </c>
      <c r="G1809" s="20" t="s">
        <v>26</v>
      </c>
      <c r="H1809" s="20" t="s">
        <v>7791</v>
      </c>
      <c r="I1809" s="20" t="s">
        <v>7792</v>
      </c>
      <c r="J1809" s="20">
        <v>4</v>
      </c>
      <c r="K1809" s="20" t="s">
        <v>19</v>
      </c>
      <c r="L1809" s="20" t="s">
        <v>16</v>
      </c>
      <c r="M1809" s="21"/>
    </row>
    <row r="1810" spans="1:13">
      <c r="A1810" s="22">
        <v>2530224</v>
      </c>
      <c r="B1810" s="23" t="s">
        <v>7793</v>
      </c>
      <c r="C1810" s="22" t="s">
        <v>7794</v>
      </c>
      <c r="D1810" s="22" t="s">
        <v>7795</v>
      </c>
      <c r="E1810" s="23" t="s">
        <v>84</v>
      </c>
      <c r="F1810" s="23" t="s">
        <v>92</v>
      </c>
      <c r="G1810" s="23" t="s">
        <v>26</v>
      </c>
      <c r="H1810" s="23" t="s">
        <v>7796</v>
      </c>
      <c r="I1810" s="23" t="s">
        <v>7797</v>
      </c>
      <c r="J1810" s="20">
        <v>2</v>
      </c>
      <c r="K1810" s="23" t="s">
        <v>107</v>
      </c>
      <c r="L1810" s="23" t="s">
        <v>16</v>
      </c>
      <c r="M1810" s="24"/>
    </row>
    <row r="1811" spans="1:13">
      <c r="A1811" s="19">
        <v>2521042</v>
      </c>
      <c r="B1811" s="20" t="s">
        <v>7798</v>
      </c>
      <c r="C1811" s="19" t="s">
        <v>7799</v>
      </c>
      <c r="D1811" s="19" t="s">
        <v>7800</v>
      </c>
      <c r="E1811" s="20" t="s">
        <v>84</v>
      </c>
      <c r="F1811" s="20" t="s">
        <v>92</v>
      </c>
      <c r="G1811" s="20" t="s">
        <v>26</v>
      </c>
      <c r="H1811" s="20" t="s">
        <v>7801</v>
      </c>
      <c r="I1811" s="20" t="s">
        <v>7802</v>
      </c>
      <c r="J1811" s="34" t="s">
        <v>34</v>
      </c>
      <c r="K1811" s="20" t="s">
        <v>19</v>
      </c>
      <c r="L1811" s="20" t="s">
        <v>16</v>
      </c>
      <c r="M1811" s="21" t="s">
        <v>49</v>
      </c>
    </row>
    <row r="1812" spans="1:13">
      <c r="A1812" s="22">
        <v>2521679</v>
      </c>
      <c r="B1812" s="23" t="s">
        <v>7803</v>
      </c>
      <c r="C1812" s="22" t="s">
        <v>7804</v>
      </c>
      <c r="D1812" s="22" t="s">
        <v>7805</v>
      </c>
      <c r="E1812" s="23" t="s">
        <v>84</v>
      </c>
      <c r="F1812" s="23" t="s">
        <v>172</v>
      </c>
      <c r="G1812" s="23" t="s">
        <v>26</v>
      </c>
      <c r="H1812" s="23" t="s">
        <v>7806</v>
      </c>
      <c r="I1812" s="23" t="s">
        <v>1236</v>
      </c>
      <c r="J1812" s="23">
        <v>1</v>
      </c>
      <c r="K1812" s="23" t="s">
        <v>19</v>
      </c>
      <c r="L1812" s="23" t="s">
        <v>16</v>
      </c>
      <c r="M1812" s="24"/>
    </row>
    <row r="1813" spans="1:13">
      <c r="A1813" s="19">
        <v>2521679</v>
      </c>
      <c r="B1813" s="20" t="s">
        <v>7803</v>
      </c>
      <c r="C1813" s="19" t="s">
        <v>7804</v>
      </c>
      <c r="D1813" s="19" t="s">
        <v>7805</v>
      </c>
      <c r="E1813" s="20" t="s">
        <v>84</v>
      </c>
      <c r="F1813" s="20" t="s">
        <v>92</v>
      </c>
      <c r="G1813" s="20" t="s">
        <v>26</v>
      </c>
      <c r="H1813" s="20" t="s">
        <v>7806</v>
      </c>
      <c r="I1813" s="20" t="s">
        <v>1236</v>
      </c>
      <c r="J1813" s="23">
        <v>1</v>
      </c>
      <c r="K1813" s="20" t="s">
        <v>19</v>
      </c>
      <c r="L1813" s="20" t="s">
        <v>16</v>
      </c>
      <c r="M1813" s="21"/>
    </row>
    <row r="1814" spans="1:13">
      <c r="A1814" s="19">
        <v>2512312</v>
      </c>
      <c r="B1814" s="20" t="s">
        <v>7807</v>
      </c>
      <c r="C1814" s="19" t="s">
        <v>7808</v>
      </c>
      <c r="D1814" s="19" t="s">
        <v>7809</v>
      </c>
      <c r="E1814" s="20" t="s">
        <v>84</v>
      </c>
      <c r="F1814" s="20" t="s">
        <v>92</v>
      </c>
      <c r="G1814" s="20" t="s">
        <v>26</v>
      </c>
      <c r="H1814" s="20" t="s">
        <v>7806</v>
      </c>
      <c r="I1814" s="20" t="s">
        <v>7810</v>
      </c>
      <c r="J1814" s="23">
        <v>1</v>
      </c>
      <c r="K1814" s="20" t="s">
        <v>19</v>
      </c>
      <c r="L1814" s="20" t="s">
        <v>16</v>
      </c>
      <c r="M1814" s="21" t="s">
        <v>49</v>
      </c>
    </row>
    <row r="1815" spans="1:13">
      <c r="A1815" s="22">
        <v>2529613</v>
      </c>
      <c r="B1815" s="23" t="s">
        <v>5880</v>
      </c>
      <c r="C1815" s="22" t="s">
        <v>5881</v>
      </c>
      <c r="D1815" s="22" t="s">
        <v>5882</v>
      </c>
      <c r="E1815" s="23" t="s">
        <v>84</v>
      </c>
      <c r="F1815" s="23" t="s">
        <v>92</v>
      </c>
      <c r="G1815" s="23" t="s">
        <v>24</v>
      </c>
      <c r="H1815" s="23" t="s">
        <v>7806</v>
      </c>
      <c r="I1815" s="23" t="s">
        <v>7811</v>
      </c>
      <c r="J1815" s="23">
        <v>1</v>
      </c>
      <c r="K1815" s="23" t="s">
        <v>19</v>
      </c>
      <c r="L1815" s="23" t="s">
        <v>16</v>
      </c>
      <c r="M1815" s="24"/>
    </row>
    <row r="1816" spans="1:13">
      <c r="A1816" s="19">
        <v>2531839</v>
      </c>
      <c r="B1816" s="20" t="s">
        <v>7812</v>
      </c>
      <c r="C1816" s="19" t="s">
        <v>7813</v>
      </c>
      <c r="D1816" s="19" t="s">
        <v>7814</v>
      </c>
      <c r="E1816" s="20" t="s">
        <v>84</v>
      </c>
      <c r="F1816" s="20" t="s">
        <v>92</v>
      </c>
      <c r="G1816" s="20" t="s">
        <v>26</v>
      </c>
      <c r="H1816" s="20" t="s">
        <v>7806</v>
      </c>
      <c r="I1816" s="20" t="s">
        <v>1236</v>
      </c>
      <c r="J1816" s="20">
        <v>2</v>
      </c>
      <c r="K1816" s="20" t="s">
        <v>19</v>
      </c>
      <c r="L1816" s="20" t="s">
        <v>16</v>
      </c>
      <c r="M1816" s="21"/>
    </row>
    <row r="1817" spans="1:13">
      <c r="A1817" s="19">
        <v>2529593</v>
      </c>
      <c r="B1817" s="20" t="s">
        <v>7815</v>
      </c>
      <c r="C1817" s="19" t="s">
        <v>7816</v>
      </c>
      <c r="D1817" s="19" t="s">
        <v>7817</v>
      </c>
      <c r="E1817" s="20" t="s">
        <v>84</v>
      </c>
      <c r="F1817" s="20" t="s">
        <v>92</v>
      </c>
      <c r="G1817" s="20" t="s">
        <v>26</v>
      </c>
      <c r="H1817" s="20" t="s">
        <v>7806</v>
      </c>
      <c r="I1817" s="20" t="s">
        <v>7818</v>
      </c>
      <c r="J1817" s="23">
        <v>3</v>
      </c>
      <c r="K1817" s="20" t="s">
        <v>19</v>
      </c>
      <c r="L1817" s="20" t="s">
        <v>16</v>
      </c>
      <c r="M1817" s="21"/>
    </row>
    <row r="1818" spans="1:13">
      <c r="A1818" s="22">
        <v>2522847</v>
      </c>
      <c r="B1818" s="23" t="s">
        <v>7819</v>
      </c>
      <c r="C1818" s="22" t="s">
        <v>7820</v>
      </c>
      <c r="D1818" s="22" t="s">
        <v>7821</v>
      </c>
      <c r="E1818" s="23" t="s">
        <v>84</v>
      </c>
      <c r="F1818" s="23" t="s">
        <v>92</v>
      </c>
      <c r="G1818" s="23" t="s">
        <v>26</v>
      </c>
      <c r="H1818" s="23" t="s">
        <v>7806</v>
      </c>
      <c r="I1818" s="23" t="s">
        <v>7822</v>
      </c>
      <c r="J1818" s="20">
        <v>4</v>
      </c>
      <c r="K1818" s="23" t="s">
        <v>19</v>
      </c>
      <c r="L1818" s="23" t="s">
        <v>16</v>
      </c>
      <c r="M1818" s="24"/>
    </row>
    <row r="1819" spans="1:13">
      <c r="A1819" s="19">
        <v>2522847</v>
      </c>
      <c r="B1819" s="20" t="s">
        <v>7819</v>
      </c>
      <c r="C1819" s="19" t="s">
        <v>7820</v>
      </c>
      <c r="D1819" s="19" t="s">
        <v>7821</v>
      </c>
      <c r="E1819" s="20" t="s">
        <v>84</v>
      </c>
      <c r="F1819" s="20" t="s">
        <v>92</v>
      </c>
      <c r="G1819" s="20" t="s">
        <v>26</v>
      </c>
      <c r="H1819" s="20" t="s">
        <v>7806</v>
      </c>
      <c r="I1819" s="20" t="s">
        <v>7823</v>
      </c>
      <c r="J1819" s="20">
        <v>4</v>
      </c>
      <c r="K1819" s="20" t="s">
        <v>19</v>
      </c>
      <c r="L1819" s="20" t="s">
        <v>16</v>
      </c>
      <c r="M1819" s="21"/>
    </row>
    <row r="1820" spans="1:13">
      <c r="A1820" s="19">
        <v>2521067</v>
      </c>
      <c r="B1820" s="20" t="s">
        <v>7824</v>
      </c>
      <c r="C1820" s="19" t="s">
        <v>7825</v>
      </c>
      <c r="D1820" s="19" t="s">
        <v>7826</v>
      </c>
      <c r="E1820" s="20" t="s">
        <v>84</v>
      </c>
      <c r="F1820" s="20" t="s">
        <v>92</v>
      </c>
      <c r="G1820" s="20" t="s">
        <v>26</v>
      </c>
      <c r="H1820" s="20" t="s">
        <v>7806</v>
      </c>
      <c r="I1820" s="20" t="s">
        <v>7827</v>
      </c>
      <c r="J1820" s="34" t="s">
        <v>34</v>
      </c>
      <c r="K1820" s="20" t="s">
        <v>107</v>
      </c>
      <c r="L1820" s="20" t="s">
        <v>16</v>
      </c>
      <c r="M1820" s="21" t="s">
        <v>49</v>
      </c>
    </row>
    <row r="1821" spans="1:13">
      <c r="A1821" s="19">
        <v>2521067</v>
      </c>
      <c r="B1821" s="20" t="s">
        <v>7824</v>
      </c>
      <c r="C1821" s="19" t="s">
        <v>7825</v>
      </c>
      <c r="D1821" s="19" t="s">
        <v>7826</v>
      </c>
      <c r="E1821" s="20" t="s">
        <v>84</v>
      </c>
      <c r="F1821" s="20" t="s">
        <v>92</v>
      </c>
      <c r="G1821" s="20" t="s">
        <v>26</v>
      </c>
      <c r="H1821" s="20" t="s">
        <v>7806</v>
      </c>
      <c r="I1821" s="20" t="s">
        <v>7828</v>
      </c>
      <c r="J1821" s="34" t="s">
        <v>34</v>
      </c>
      <c r="K1821" s="20" t="s">
        <v>107</v>
      </c>
      <c r="L1821" s="20" t="s">
        <v>16</v>
      </c>
      <c r="M1821" s="21" t="s">
        <v>49</v>
      </c>
    </row>
    <row r="1822" spans="1:13">
      <c r="A1822" s="22">
        <v>2516884</v>
      </c>
      <c r="B1822" s="23" t="s">
        <v>7829</v>
      </c>
      <c r="C1822" s="22" t="s">
        <v>7830</v>
      </c>
      <c r="D1822" s="22" t="s">
        <v>7831</v>
      </c>
      <c r="E1822" s="23" t="s">
        <v>84</v>
      </c>
      <c r="F1822" s="23" t="s">
        <v>92</v>
      </c>
      <c r="G1822" s="23" t="s">
        <v>26</v>
      </c>
      <c r="H1822" s="23" t="s">
        <v>7832</v>
      </c>
      <c r="I1822" s="23" t="s">
        <v>7833</v>
      </c>
      <c r="J1822" s="20">
        <v>2</v>
      </c>
      <c r="K1822" s="23" t="s">
        <v>19</v>
      </c>
      <c r="L1822" s="23" t="s">
        <v>16</v>
      </c>
      <c r="M1822" s="24"/>
    </row>
    <row r="1823" spans="1:13">
      <c r="A1823" s="19">
        <v>2531852</v>
      </c>
      <c r="B1823" s="20" t="s">
        <v>7834</v>
      </c>
      <c r="C1823" s="19" t="s">
        <v>7835</v>
      </c>
      <c r="D1823" s="19" t="s">
        <v>7836</v>
      </c>
      <c r="E1823" s="20" t="s">
        <v>84</v>
      </c>
      <c r="F1823" s="20" t="s">
        <v>92</v>
      </c>
      <c r="G1823" s="20" t="s">
        <v>26</v>
      </c>
      <c r="H1823" s="20" t="s">
        <v>7837</v>
      </c>
      <c r="I1823" s="20" t="s">
        <v>7838</v>
      </c>
      <c r="J1823" s="20">
        <v>4</v>
      </c>
      <c r="K1823" s="20" t="s">
        <v>107</v>
      </c>
      <c r="L1823" s="20" t="s">
        <v>16</v>
      </c>
      <c r="M1823" s="21"/>
    </row>
    <row r="1824" spans="1:13">
      <c r="A1824" s="19">
        <v>2531827</v>
      </c>
      <c r="B1824" s="20" t="s">
        <v>7839</v>
      </c>
      <c r="C1824" s="19" t="s">
        <v>7840</v>
      </c>
      <c r="D1824" s="19" t="s">
        <v>7841</v>
      </c>
      <c r="E1824" s="20" t="s">
        <v>84</v>
      </c>
      <c r="F1824" s="20" t="s">
        <v>92</v>
      </c>
      <c r="G1824" s="20" t="s">
        <v>26</v>
      </c>
      <c r="H1824" s="20" t="s">
        <v>7842</v>
      </c>
      <c r="I1824" s="20" t="s">
        <v>1236</v>
      </c>
      <c r="J1824" s="20">
        <v>2</v>
      </c>
      <c r="K1824" s="20" t="s">
        <v>19</v>
      </c>
      <c r="L1824" s="20" t="s">
        <v>16</v>
      </c>
      <c r="M1824" s="21"/>
    </row>
    <row r="1825" spans="1:13">
      <c r="A1825" s="22">
        <v>2529562</v>
      </c>
      <c r="B1825" s="23" t="s">
        <v>7843</v>
      </c>
      <c r="C1825" s="22" t="s">
        <v>7844</v>
      </c>
      <c r="D1825" s="22" t="s">
        <v>7845</v>
      </c>
      <c r="E1825" s="23" t="s">
        <v>84</v>
      </c>
      <c r="F1825" s="23" t="s">
        <v>92</v>
      </c>
      <c r="G1825" s="23" t="s">
        <v>26</v>
      </c>
      <c r="H1825" s="23" t="s">
        <v>7842</v>
      </c>
      <c r="I1825" s="23" t="s">
        <v>7846</v>
      </c>
      <c r="J1825" s="20">
        <v>4</v>
      </c>
      <c r="K1825" s="23" t="s">
        <v>19</v>
      </c>
      <c r="L1825" s="23" t="s">
        <v>16</v>
      </c>
      <c r="M1825" s="24"/>
    </row>
    <row r="1826" spans="1:13">
      <c r="A1826" s="22">
        <v>2521821</v>
      </c>
      <c r="B1826" s="23" t="s">
        <v>7847</v>
      </c>
      <c r="C1826" s="22" t="s">
        <v>7848</v>
      </c>
      <c r="D1826" s="22" t="s">
        <v>7849</v>
      </c>
      <c r="E1826" s="23" t="s">
        <v>127</v>
      </c>
      <c r="F1826" s="23" t="s">
        <v>112</v>
      </c>
      <c r="G1826" s="23" t="s">
        <v>26</v>
      </c>
      <c r="H1826" s="23" t="s">
        <v>7850</v>
      </c>
      <c r="I1826" s="23" t="s">
        <v>1236</v>
      </c>
      <c r="J1826" s="20">
        <v>4</v>
      </c>
      <c r="K1826" s="23" t="s">
        <v>19</v>
      </c>
      <c r="L1826" s="23" t="s">
        <v>16</v>
      </c>
      <c r="M1826" s="24" t="s">
        <v>49</v>
      </c>
    </row>
    <row r="1827" spans="1:13">
      <c r="A1827" s="22">
        <v>2531415</v>
      </c>
      <c r="B1827" s="23" t="s">
        <v>7851</v>
      </c>
      <c r="C1827" s="22" t="s">
        <v>7852</v>
      </c>
      <c r="D1827" s="22" t="s">
        <v>7853</v>
      </c>
      <c r="E1827" s="23" t="s">
        <v>127</v>
      </c>
      <c r="F1827" s="23" t="s">
        <v>85</v>
      </c>
      <c r="G1827" s="23" t="s">
        <v>26</v>
      </c>
      <c r="H1827" s="23" t="s">
        <v>7854</v>
      </c>
      <c r="I1827" s="23" t="s">
        <v>7855</v>
      </c>
      <c r="J1827" s="20">
        <v>2</v>
      </c>
      <c r="K1827" s="23" t="s">
        <v>2699</v>
      </c>
      <c r="L1827" s="23" t="s">
        <v>18</v>
      </c>
      <c r="M1827" s="24"/>
    </row>
    <row r="1828" spans="1:13">
      <c r="A1828" s="19">
        <v>2530211</v>
      </c>
      <c r="B1828" s="20" t="s">
        <v>7856</v>
      </c>
      <c r="C1828" s="19" t="s">
        <v>7857</v>
      </c>
      <c r="D1828" s="19" t="s">
        <v>7858</v>
      </c>
      <c r="E1828" s="20" t="s">
        <v>84</v>
      </c>
      <c r="F1828" s="20" t="s">
        <v>92</v>
      </c>
      <c r="G1828" s="20" t="s">
        <v>26</v>
      </c>
      <c r="H1828" s="20" t="s">
        <v>7859</v>
      </c>
      <c r="I1828" s="20" t="s">
        <v>7797</v>
      </c>
      <c r="J1828" s="20">
        <v>2</v>
      </c>
      <c r="K1828" s="20" t="s">
        <v>19</v>
      </c>
      <c r="L1828" s="20" t="s">
        <v>16</v>
      </c>
      <c r="M1828" s="21"/>
    </row>
    <row r="1829" spans="1:13">
      <c r="A1829" s="22">
        <v>2521829</v>
      </c>
      <c r="B1829" s="23" t="s">
        <v>7860</v>
      </c>
      <c r="C1829" s="22" t="s">
        <v>7861</v>
      </c>
      <c r="D1829" s="22" t="s">
        <v>7862</v>
      </c>
      <c r="E1829" s="23" t="s">
        <v>84</v>
      </c>
      <c r="F1829" s="23" t="s">
        <v>92</v>
      </c>
      <c r="G1829" s="23" t="s">
        <v>26</v>
      </c>
      <c r="H1829" s="23" t="s">
        <v>7859</v>
      </c>
      <c r="I1829" s="23" t="s">
        <v>7863</v>
      </c>
      <c r="J1829" s="20">
        <v>4</v>
      </c>
      <c r="K1829" s="23" t="s">
        <v>19</v>
      </c>
      <c r="L1829" s="23" t="s">
        <v>16</v>
      </c>
      <c r="M1829" s="24"/>
    </row>
    <row r="1830" spans="1:13">
      <c r="A1830" s="19">
        <v>2516784</v>
      </c>
      <c r="B1830" s="20" t="s">
        <v>7864</v>
      </c>
      <c r="C1830" s="19" t="s">
        <v>7865</v>
      </c>
      <c r="D1830" s="19" t="s">
        <v>7866</v>
      </c>
      <c r="E1830" s="20" t="s">
        <v>84</v>
      </c>
      <c r="F1830" s="20" t="s">
        <v>92</v>
      </c>
      <c r="G1830" s="20" t="s">
        <v>26</v>
      </c>
      <c r="H1830" s="20" t="s">
        <v>7867</v>
      </c>
      <c r="I1830" s="20" t="s">
        <v>7868</v>
      </c>
      <c r="J1830" s="23">
        <v>3</v>
      </c>
      <c r="K1830" s="20" t="s">
        <v>107</v>
      </c>
      <c r="L1830" s="20" t="s">
        <v>16</v>
      </c>
      <c r="M1830" s="21"/>
    </row>
    <row r="1831" spans="1:13">
      <c r="A1831" s="22">
        <v>2521829</v>
      </c>
      <c r="B1831" s="23" t="s">
        <v>7860</v>
      </c>
      <c r="C1831" s="22" t="s">
        <v>7861</v>
      </c>
      <c r="D1831" s="22" t="s">
        <v>7862</v>
      </c>
      <c r="E1831" s="23" t="s">
        <v>84</v>
      </c>
      <c r="F1831" s="23" t="s">
        <v>172</v>
      </c>
      <c r="G1831" s="23" t="s">
        <v>26</v>
      </c>
      <c r="H1831" s="23" t="s">
        <v>7869</v>
      </c>
      <c r="I1831" s="23" t="s">
        <v>7870</v>
      </c>
      <c r="J1831" s="20">
        <v>4</v>
      </c>
      <c r="K1831" s="23" t="s">
        <v>19</v>
      </c>
      <c r="L1831" s="23" t="s">
        <v>16</v>
      </c>
      <c r="M1831" s="24"/>
    </row>
    <row r="1832" spans="1:13">
      <c r="A1832" s="19">
        <v>2529610</v>
      </c>
      <c r="B1832" s="20" t="s">
        <v>7871</v>
      </c>
      <c r="C1832" s="19" t="s">
        <v>7872</v>
      </c>
      <c r="D1832" s="19" t="s">
        <v>7873</v>
      </c>
      <c r="E1832" s="20" t="s">
        <v>84</v>
      </c>
      <c r="F1832" s="20" t="s">
        <v>92</v>
      </c>
      <c r="G1832" s="20" t="s">
        <v>26</v>
      </c>
      <c r="H1832" s="20" t="s">
        <v>7874</v>
      </c>
      <c r="I1832" s="20" t="s">
        <v>7874</v>
      </c>
      <c r="J1832" s="23">
        <v>1</v>
      </c>
      <c r="K1832" s="20" t="s">
        <v>19</v>
      </c>
      <c r="L1832" s="20" t="s">
        <v>16</v>
      </c>
      <c r="M1832" s="21"/>
    </row>
    <row r="1833" spans="1:13">
      <c r="A1833" s="19">
        <v>2521732</v>
      </c>
      <c r="B1833" s="20" t="s">
        <v>7875</v>
      </c>
      <c r="C1833" s="19" t="s">
        <v>7876</v>
      </c>
      <c r="D1833" s="19" t="s">
        <v>7877</v>
      </c>
      <c r="E1833" s="20" t="s">
        <v>84</v>
      </c>
      <c r="F1833" s="20" t="s">
        <v>92</v>
      </c>
      <c r="G1833" s="20" t="s">
        <v>26</v>
      </c>
      <c r="H1833" s="20" t="s">
        <v>7878</v>
      </c>
      <c r="I1833" s="20" t="s">
        <v>7879</v>
      </c>
      <c r="J1833" s="23">
        <v>3</v>
      </c>
      <c r="K1833" s="20" t="s">
        <v>19</v>
      </c>
      <c r="L1833" s="20" t="s">
        <v>16</v>
      </c>
      <c r="M1833" s="21"/>
    </row>
    <row r="1834" spans="1:13">
      <c r="A1834" s="22">
        <v>2521712</v>
      </c>
      <c r="B1834" s="23" t="s">
        <v>7880</v>
      </c>
      <c r="C1834" s="22" t="s">
        <v>7881</v>
      </c>
      <c r="D1834" s="22" t="s">
        <v>7882</v>
      </c>
      <c r="E1834" s="23" t="s">
        <v>127</v>
      </c>
      <c r="F1834" s="23" t="s">
        <v>92</v>
      </c>
      <c r="G1834" s="23" t="s">
        <v>26</v>
      </c>
      <c r="H1834" s="23" t="s">
        <v>7883</v>
      </c>
      <c r="I1834" s="23" t="s">
        <v>7883</v>
      </c>
      <c r="J1834" s="20">
        <v>4</v>
      </c>
      <c r="K1834" s="23" t="s">
        <v>19</v>
      </c>
      <c r="L1834" s="23" t="s">
        <v>16</v>
      </c>
      <c r="M1834" s="24"/>
    </row>
    <row r="1835" spans="1:13">
      <c r="A1835" s="19">
        <v>2521684</v>
      </c>
      <c r="B1835" s="20" t="s">
        <v>7884</v>
      </c>
      <c r="C1835" s="19" t="s">
        <v>7885</v>
      </c>
      <c r="D1835" s="19" t="s">
        <v>7886</v>
      </c>
      <c r="E1835" s="20" t="s">
        <v>84</v>
      </c>
      <c r="F1835" s="20" t="s">
        <v>92</v>
      </c>
      <c r="G1835" s="20" t="s">
        <v>26</v>
      </c>
      <c r="H1835" s="20" t="s">
        <v>7887</v>
      </c>
      <c r="I1835" s="20" t="s">
        <v>7887</v>
      </c>
      <c r="J1835" s="20">
        <v>4</v>
      </c>
      <c r="K1835" s="20" t="s">
        <v>19</v>
      </c>
      <c r="L1835" s="20" t="s">
        <v>16</v>
      </c>
      <c r="M1835" s="21"/>
    </row>
    <row r="1836" spans="1:13">
      <c r="A1836" s="19">
        <v>2529627</v>
      </c>
      <c r="B1836" s="20" t="s">
        <v>7888</v>
      </c>
      <c r="C1836" s="19" t="s">
        <v>7889</v>
      </c>
      <c r="D1836" s="19" t="s">
        <v>7890</v>
      </c>
      <c r="E1836" s="20" t="s">
        <v>84</v>
      </c>
      <c r="F1836" s="20" t="s">
        <v>92</v>
      </c>
      <c r="G1836" s="20" t="s">
        <v>26</v>
      </c>
      <c r="H1836" s="20" t="s">
        <v>7891</v>
      </c>
      <c r="I1836" s="20" t="s">
        <v>1236</v>
      </c>
      <c r="J1836" s="20">
        <v>2</v>
      </c>
      <c r="K1836" s="20" t="s">
        <v>19</v>
      </c>
      <c r="L1836" s="20" t="s">
        <v>18</v>
      </c>
      <c r="M1836" s="21" t="s">
        <v>455</v>
      </c>
    </row>
    <row r="1837" spans="1:13">
      <c r="A1837" s="19">
        <v>2522817</v>
      </c>
      <c r="B1837" s="20" t="s">
        <v>7892</v>
      </c>
      <c r="C1837" s="19" t="s">
        <v>7893</v>
      </c>
      <c r="D1837" s="19" t="s">
        <v>7894</v>
      </c>
      <c r="E1837" s="20" t="s">
        <v>84</v>
      </c>
      <c r="F1837" s="20" t="s">
        <v>92</v>
      </c>
      <c r="G1837" s="20" t="s">
        <v>26</v>
      </c>
      <c r="H1837" s="20" t="s">
        <v>7895</v>
      </c>
      <c r="I1837" s="20" t="s">
        <v>1236</v>
      </c>
      <c r="J1837" s="20">
        <v>4</v>
      </c>
      <c r="K1837" s="20" t="s">
        <v>107</v>
      </c>
      <c r="L1837" s="20" t="s">
        <v>16</v>
      </c>
      <c r="M1837" s="21"/>
    </row>
    <row r="1838" spans="1:13">
      <c r="A1838" s="22">
        <v>2524640</v>
      </c>
      <c r="B1838" s="23" t="s">
        <v>7896</v>
      </c>
      <c r="C1838" s="22" t="s">
        <v>7897</v>
      </c>
      <c r="D1838" s="22" t="s">
        <v>7898</v>
      </c>
      <c r="E1838" s="23" t="s">
        <v>127</v>
      </c>
      <c r="F1838" s="23" t="s">
        <v>92</v>
      </c>
      <c r="G1838" s="23" t="s">
        <v>26</v>
      </c>
      <c r="H1838" s="23" t="s">
        <v>7899</v>
      </c>
      <c r="I1838" s="23" t="s">
        <v>7900</v>
      </c>
      <c r="J1838" s="20">
        <v>2</v>
      </c>
      <c r="K1838" s="23" t="s">
        <v>19</v>
      </c>
      <c r="L1838" s="23" t="s">
        <v>16</v>
      </c>
      <c r="M1838" s="24"/>
    </row>
    <row r="1839" spans="1:13">
      <c r="A1839" s="22">
        <v>2529627</v>
      </c>
      <c r="B1839" s="23" t="s">
        <v>7888</v>
      </c>
      <c r="C1839" s="22" t="s">
        <v>7889</v>
      </c>
      <c r="D1839" s="22" t="s">
        <v>7890</v>
      </c>
      <c r="E1839" s="23" t="s">
        <v>84</v>
      </c>
      <c r="F1839" s="23" t="s">
        <v>92</v>
      </c>
      <c r="G1839" s="23" t="s">
        <v>26</v>
      </c>
      <c r="H1839" s="23" t="s">
        <v>7901</v>
      </c>
      <c r="I1839" s="23" t="s">
        <v>1236</v>
      </c>
      <c r="J1839" s="20">
        <v>2</v>
      </c>
      <c r="K1839" s="23" t="s">
        <v>19</v>
      </c>
      <c r="L1839" s="23" t="s">
        <v>18</v>
      </c>
      <c r="M1839" s="24" t="s">
        <v>1016</v>
      </c>
    </row>
    <row r="1840" spans="1:13">
      <c r="A1840" s="19">
        <v>2529640</v>
      </c>
      <c r="B1840" s="20" t="s">
        <v>7902</v>
      </c>
      <c r="C1840" s="19" t="s">
        <v>7903</v>
      </c>
      <c r="D1840" s="19" t="s">
        <v>7904</v>
      </c>
      <c r="E1840" s="20" t="s">
        <v>84</v>
      </c>
      <c r="F1840" s="20" t="s">
        <v>92</v>
      </c>
      <c r="G1840" s="20" t="s">
        <v>26</v>
      </c>
      <c r="H1840" s="20" t="s">
        <v>7905</v>
      </c>
      <c r="I1840" s="20" t="s">
        <v>7906</v>
      </c>
      <c r="J1840" s="34" t="s">
        <v>34</v>
      </c>
      <c r="K1840" s="20" t="s">
        <v>19</v>
      </c>
      <c r="L1840" s="20" t="s">
        <v>16</v>
      </c>
      <c r="M1840" s="21"/>
    </row>
    <row r="1841" spans="1:13">
      <c r="A1841" s="19">
        <v>2529640</v>
      </c>
      <c r="B1841" s="20" t="s">
        <v>7902</v>
      </c>
      <c r="C1841" s="19" t="s">
        <v>7903</v>
      </c>
      <c r="D1841" s="19" t="s">
        <v>7904</v>
      </c>
      <c r="E1841" s="20" t="s">
        <v>84</v>
      </c>
      <c r="F1841" s="20" t="s">
        <v>92</v>
      </c>
      <c r="G1841" s="20" t="s">
        <v>26</v>
      </c>
      <c r="H1841" s="20" t="s">
        <v>7907</v>
      </c>
      <c r="I1841" s="20" t="s">
        <v>7907</v>
      </c>
      <c r="J1841" s="34" t="s">
        <v>34</v>
      </c>
      <c r="K1841" s="20" t="s">
        <v>19</v>
      </c>
      <c r="L1841" s="20" t="s">
        <v>16</v>
      </c>
      <c r="M1841" s="21"/>
    </row>
    <row r="1842" spans="1:13">
      <c r="A1842" s="22">
        <v>2521276</v>
      </c>
      <c r="B1842" s="23" t="s">
        <v>7908</v>
      </c>
      <c r="C1842" s="22" t="s">
        <v>7909</v>
      </c>
      <c r="D1842" s="22" t="s">
        <v>7910</v>
      </c>
      <c r="E1842" s="23" t="s">
        <v>84</v>
      </c>
      <c r="F1842" s="23" t="s">
        <v>92</v>
      </c>
      <c r="G1842" s="23" t="s">
        <v>26</v>
      </c>
      <c r="H1842" s="23" t="s">
        <v>7911</v>
      </c>
      <c r="I1842" s="23" t="s">
        <v>7912</v>
      </c>
      <c r="J1842" s="34" t="s">
        <v>34</v>
      </c>
      <c r="K1842" s="23" t="s">
        <v>19</v>
      </c>
      <c r="L1842" s="23" t="s">
        <v>16</v>
      </c>
      <c r="M1842" s="24"/>
    </row>
    <row r="1843" spans="1:13">
      <c r="A1843" s="22">
        <v>2531277</v>
      </c>
      <c r="B1843" s="23" t="s">
        <v>7913</v>
      </c>
      <c r="C1843" s="22" t="s">
        <v>7914</v>
      </c>
      <c r="D1843" s="22" t="s">
        <v>7915</v>
      </c>
      <c r="E1843" s="23" t="s">
        <v>84</v>
      </c>
      <c r="F1843" s="23" t="s">
        <v>92</v>
      </c>
      <c r="G1843" s="23" t="s">
        <v>26</v>
      </c>
      <c r="H1843" s="23" t="s">
        <v>7916</v>
      </c>
      <c r="I1843" s="23" t="s">
        <v>1236</v>
      </c>
      <c r="J1843" s="20">
        <v>4</v>
      </c>
      <c r="K1843" s="23" t="s">
        <v>19</v>
      </c>
      <c r="L1843" s="23" t="s">
        <v>16</v>
      </c>
      <c r="M1843" s="24"/>
    </row>
    <row r="1844" spans="1:13">
      <c r="A1844" s="19">
        <v>2519588</v>
      </c>
      <c r="B1844" s="20" t="s">
        <v>7917</v>
      </c>
      <c r="C1844" s="19" t="s">
        <v>7918</v>
      </c>
      <c r="D1844" s="19" t="s">
        <v>7919</v>
      </c>
      <c r="E1844" s="20" t="s">
        <v>84</v>
      </c>
      <c r="F1844" s="20" t="s">
        <v>92</v>
      </c>
      <c r="G1844" s="20" t="s">
        <v>26</v>
      </c>
      <c r="H1844" s="20" t="s">
        <v>7920</v>
      </c>
      <c r="I1844" s="20" t="s">
        <v>7921</v>
      </c>
      <c r="J1844" s="23">
        <v>3</v>
      </c>
      <c r="K1844" s="20" t="s">
        <v>107</v>
      </c>
      <c r="L1844" s="20" t="s">
        <v>16</v>
      </c>
      <c r="M1844" s="21"/>
    </row>
    <row r="1845" spans="1:13">
      <c r="A1845" s="19">
        <v>2519588</v>
      </c>
      <c r="B1845" s="20" t="s">
        <v>7917</v>
      </c>
      <c r="C1845" s="19" t="s">
        <v>7918</v>
      </c>
      <c r="D1845" s="19" t="s">
        <v>7919</v>
      </c>
      <c r="E1845" s="20" t="s">
        <v>84</v>
      </c>
      <c r="F1845" s="20" t="s">
        <v>92</v>
      </c>
      <c r="G1845" s="20" t="s">
        <v>26</v>
      </c>
      <c r="H1845" s="20" t="s">
        <v>7922</v>
      </c>
      <c r="I1845" s="20" t="s">
        <v>7922</v>
      </c>
      <c r="J1845" s="23">
        <v>3</v>
      </c>
      <c r="K1845" s="20" t="s">
        <v>107</v>
      </c>
      <c r="L1845" s="20" t="s">
        <v>16</v>
      </c>
      <c r="M1845" s="21"/>
    </row>
    <row r="1846" spans="1:13">
      <c r="A1846" s="22">
        <v>2533062</v>
      </c>
      <c r="B1846" s="23" t="s">
        <v>7923</v>
      </c>
      <c r="C1846" s="22" t="s">
        <v>7924</v>
      </c>
      <c r="D1846" s="22" t="s">
        <v>7925</v>
      </c>
      <c r="E1846" s="23" t="s">
        <v>84</v>
      </c>
      <c r="F1846" s="23" t="s">
        <v>92</v>
      </c>
      <c r="G1846" s="23" t="s">
        <v>26</v>
      </c>
      <c r="H1846" s="23" t="s">
        <v>7926</v>
      </c>
      <c r="I1846" s="23" t="s">
        <v>7818</v>
      </c>
      <c r="J1846" s="23">
        <v>1</v>
      </c>
      <c r="K1846" s="23" t="s">
        <v>19</v>
      </c>
      <c r="L1846" s="23" t="s">
        <v>16</v>
      </c>
      <c r="M1846" s="24" t="s">
        <v>864</v>
      </c>
    </row>
    <row r="1847" spans="1:13">
      <c r="A1847" s="22">
        <v>2530213</v>
      </c>
      <c r="B1847" s="23" t="s">
        <v>7927</v>
      </c>
      <c r="C1847" s="22" t="s">
        <v>7928</v>
      </c>
      <c r="D1847" s="22" t="s">
        <v>7929</v>
      </c>
      <c r="E1847" s="23" t="s">
        <v>84</v>
      </c>
      <c r="F1847" s="23" t="s">
        <v>92</v>
      </c>
      <c r="G1847" s="23" t="s">
        <v>26</v>
      </c>
      <c r="H1847" s="23" t="s">
        <v>7930</v>
      </c>
      <c r="I1847" s="23" t="s">
        <v>7818</v>
      </c>
      <c r="J1847" s="20">
        <v>2</v>
      </c>
      <c r="K1847" s="23" t="s">
        <v>19</v>
      </c>
      <c r="L1847" s="23" t="s">
        <v>16</v>
      </c>
      <c r="M1847" s="24" t="s">
        <v>7931</v>
      </c>
    </row>
    <row r="1848" spans="1:13">
      <c r="A1848" s="19">
        <v>2511285</v>
      </c>
      <c r="B1848" s="20" t="s">
        <v>7932</v>
      </c>
      <c r="C1848" s="19" t="s">
        <v>7933</v>
      </c>
      <c r="D1848" s="19" t="s">
        <v>7934</v>
      </c>
      <c r="E1848" s="20" t="s">
        <v>84</v>
      </c>
      <c r="F1848" s="20" t="s">
        <v>92</v>
      </c>
      <c r="G1848" s="20" t="s">
        <v>26</v>
      </c>
      <c r="H1848" s="20" t="s">
        <v>7930</v>
      </c>
      <c r="I1848" s="20" t="s">
        <v>1236</v>
      </c>
      <c r="J1848" s="23">
        <v>3</v>
      </c>
      <c r="K1848" s="20" t="s">
        <v>19</v>
      </c>
      <c r="L1848" s="20" t="s">
        <v>16</v>
      </c>
      <c r="M1848" s="21"/>
    </row>
    <row r="1849" spans="1:13">
      <c r="A1849" s="22">
        <v>2523392</v>
      </c>
      <c r="B1849" s="23" t="s">
        <v>7935</v>
      </c>
      <c r="C1849" s="22" t="s">
        <v>7936</v>
      </c>
      <c r="D1849" s="22" t="s">
        <v>7937</v>
      </c>
      <c r="E1849" s="23" t="s">
        <v>84</v>
      </c>
      <c r="F1849" s="23" t="s">
        <v>92</v>
      </c>
      <c r="G1849" s="23" t="s">
        <v>26</v>
      </c>
      <c r="H1849" s="23" t="s">
        <v>7938</v>
      </c>
      <c r="I1849" s="23" t="s">
        <v>7939</v>
      </c>
      <c r="J1849" s="20">
        <v>4</v>
      </c>
      <c r="K1849" s="23" t="s">
        <v>19</v>
      </c>
      <c r="L1849" s="23" t="s">
        <v>16</v>
      </c>
      <c r="M1849" s="24"/>
    </row>
    <row r="1850" spans="1:13">
      <c r="A1850" s="19">
        <v>2532935</v>
      </c>
      <c r="B1850" s="20" t="s">
        <v>7940</v>
      </c>
      <c r="C1850" s="19" t="s">
        <v>7941</v>
      </c>
      <c r="D1850" s="19" t="s">
        <v>7942</v>
      </c>
      <c r="E1850" s="20" t="s">
        <v>127</v>
      </c>
      <c r="F1850" s="20" t="s">
        <v>92</v>
      </c>
      <c r="G1850" s="20" t="s">
        <v>26</v>
      </c>
      <c r="H1850" s="20" t="s">
        <v>7943</v>
      </c>
      <c r="I1850" s="20" t="s">
        <v>1236</v>
      </c>
      <c r="J1850" s="20">
        <v>2</v>
      </c>
      <c r="K1850" s="20" t="s">
        <v>19</v>
      </c>
      <c r="L1850" s="20" t="s">
        <v>16</v>
      </c>
      <c r="M1850" s="21"/>
    </row>
    <row r="1851" spans="1:13">
      <c r="A1851" s="19">
        <v>2532966</v>
      </c>
      <c r="B1851" s="20" t="s">
        <v>7944</v>
      </c>
      <c r="C1851" s="19" t="s">
        <v>7945</v>
      </c>
      <c r="D1851" s="19" t="s">
        <v>7946</v>
      </c>
      <c r="E1851" s="20" t="s">
        <v>127</v>
      </c>
      <c r="F1851" s="20" t="s">
        <v>92</v>
      </c>
      <c r="G1851" s="20" t="s">
        <v>26</v>
      </c>
      <c r="H1851" s="20" t="s">
        <v>7947</v>
      </c>
      <c r="I1851" s="20" t="s">
        <v>1236</v>
      </c>
      <c r="J1851" s="20">
        <v>2</v>
      </c>
      <c r="K1851" s="20" t="s">
        <v>19</v>
      </c>
      <c r="L1851" s="20" t="s">
        <v>18</v>
      </c>
      <c r="M1851" s="21"/>
    </row>
    <row r="1852" spans="1:13">
      <c r="A1852" s="19">
        <v>2523392</v>
      </c>
      <c r="B1852" s="20" t="s">
        <v>7935</v>
      </c>
      <c r="C1852" s="19" t="s">
        <v>7936</v>
      </c>
      <c r="D1852" s="19" t="s">
        <v>7937</v>
      </c>
      <c r="E1852" s="20" t="s">
        <v>84</v>
      </c>
      <c r="F1852" s="20" t="s">
        <v>92</v>
      </c>
      <c r="G1852" s="20" t="s">
        <v>26</v>
      </c>
      <c r="H1852" s="20" t="s">
        <v>7948</v>
      </c>
      <c r="I1852" s="20" t="s">
        <v>7949</v>
      </c>
      <c r="J1852" s="20">
        <v>4</v>
      </c>
      <c r="K1852" s="20" t="s">
        <v>19</v>
      </c>
      <c r="L1852" s="20" t="s">
        <v>16</v>
      </c>
      <c r="M1852" s="21"/>
    </row>
    <row r="1853" spans="1:13">
      <c r="A1853" s="19">
        <v>2530190</v>
      </c>
      <c r="B1853" s="20" t="s">
        <v>7950</v>
      </c>
      <c r="C1853" s="19" t="s">
        <v>7951</v>
      </c>
      <c r="D1853" s="19" t="s">
        <v>7952</v>
      </c>
      <c r="E1853" s="20" t="s">
        <v>84</v>
      </c>
      <c r="F1853" s="20" t="s">
        <v>92</v>
      </c>
      <c r="G1853" s="20" t="s">
        <v>26</v>
      </c>
      <c r="H1853" s="20" t="s">
        <v>7953</v>
      </c>
      <c r="I1853" s="20" t="s">
        <v>7797</v>
      </c>
      <c r="J1853" s="20">
        <v>2</v>
      </c>
      <c r="K1853" s="20" t="s">
        <v>19</v>
      </c>
      <c r="L1853" s="20" t="s">
        <v>16</v>
      </c>
      <c r="M1853" s="21"/>
    </row>
    <row r="1854" spans="1:13">
      <c r="A1854" s="19">
        <v>2521073</v>
      </c>
      <c r="B1854" s="20" t="s">
        <v>7954</v>
      </c>
      <c r="C1854" s="19" t="s">
        <v>7955</v>
      </c>
      <c r="D1854" s="19" t="s">
        <v>7956</v>
      </c>
      <c r="E1854" s="20" t="s">
        <v>84</v>
      </c>
      <c r="F1854" s="20" t="s">
        <v>92</v>
      </c>
      <c r="G1854" s="20" t="s">
        <v>26</v>
      </c>
      <c r="H1854" s="20" t="s">
        <v>7957</v>
      </c>
      <c r="I1854" s="20" t="s">
        <v>7958</v>
      </c>
      <c r="J1854" s="34" t="s">
        <v>34</v>
      </c>
      <c r="K1854" s="20" t="s">
        <v>19</v>
      </c>
      <c r="L1854" s="20" t="s">
        <v>16</v>
      </c>
      <c r="M1854" s="21" t="s">
        <v>16</v>
      </c>
    </row>
    <row r="1855" spans="1:13">
      <c r="A1855" s="19">
        <v>2511290</v>
      </c>
      <c r="B1855" s="20" t="s">
        <v>7959</v>
      </c>
      <c r="C1855" s="19" t="s">
        <v>7960</v>
      </c>
      <c r="D1855" s="19" t="s">
        <v>7961</v>
      </c>
      <c r="E1855" s="20" t="s">
        <v>127</v>
      </c>
      <c r="F1855" s="20" t="s">
        <v>92</v>
      </c>
      <c r="G1855" s="20" t="s">
        <v>26</v>
      </c>
      <c r="H1855" s="20" t="s">
        <v>7962</v>
      </c>
      <c r="I1855" s="20" t="s">
        <v>7963</v>
      </c>
      <c r="J1855" s="23">
        <v>3</v>
      </c>
      <c r="K1855" s="20" t="s">
        <v>107</v>
      </c>
      <c r="L1855" s="20" t="s">
        <v>16</v>
      </c>
      <c r="M1855" s="21" t="s">
        <v>49</v>
      </c>
    </row>
    <row r="1856" spans="1:13">
      <c r="A1856" s="22">
        <v>2529589</v>
      </c>
      <c r="B1856" s="23" t="s">
        <v>7964</v>
      </c>
      <c r="C1856" s="22" t="s">
        <v>7965</v>
      </c>
      <c r="D1856" s="22" t="s">
        <v>7966</v>
      </c>
      <c r="E1856" s="23" t="s">
        <v>84</v>
      </c>
      <c r="F1856" s="23" t="s">
        <v>85</v>
      </c>
      <c r="G1856" s="23" t="s">
        <v>26</v>
      </c>
      <c r="H1856" s="23" t="s">
        <v>7967</v>
      </c>
      <c r="I1856" s="23" t="s">
        <v>7967</v>
      </c>
      <c r="J1856" s="23">
        <v>1</v>
      </c>
      <c r="K1856" s="23" t="s">
        <v>17</v>
      </c>
      <c r="L1856" s="23" t="s">
        <v>18</v>
      </c>
      <c r="M1856" s="24"/>
    </row>
    <row r="1857" spans="1:13">
      <c r="A1857" s="19">
        <v>2529495</v>
      </c>
      <c r="B1857" s="20" t="s">
        <v>7968</v>
      </c>
      <c r="C1857" s="19" t="s">
        <v>7969</v>
      </c>
      <c r="D1857" s="19" t="s">
        <v>7970</v>
      </c>
      <c r="E1857" s="20" t="s">
        <v>84</v>
      </c>
      <c r="F1857" s="20" t="s">
        <v>85</v>
      </c>
      <c r="G1857" s="20" t="s">
        <v>26</v>
      </c>
      <c r="H1857" s="20" t="s">
        <v>7971</v>
      </c>
      <c r="I1857" s="20" t="s">
        <v>7972</v>
      </c>
      <c r="J1857" s="20">
        <v>2</v>
      </c>
      <c r="K1857" s="20" t="s">
        <v>206</v>
      </c>
      <c r="L1857" s="20" t="s">
        <v>16</v>
      </c>
      <c r="M1857" s="21" t="s">
        <v>16</v>
      </c>
    </row>
    <row r="1858" spans="1:13">
      <c r="A1858" s="22">
        <v>2532904</v>
      </c>
      <c r="B1858" s="23" t="s">
        <v>7973</v>
      </c>
      <c r="C1858" s="22" t="s">
        <v>7974</v>
      </c>
      <c r="D1858" s="22" t="s">
        <v>7975</v>
      </c>
      <c r="E1858" s="23" t="s">
        <v>84</v>
      </c>
      <c r="F1858" s="23" t="s">
        <v>112</v>
      </c>
      <c r="G1858" s="23" t="s">
        <v>26</v>
      </c>
      <c r="H1858" s="23" t="s">
        <v>7976</v>
      </c>
      <c r="I1858" s="23" t="s">
        <v>7977</v>
      </c>
      <c r="J1858" s="20">
        <v>2</v>
      </c>
      <c r="K1858" s="23" t="s">
        <v>206</v>
      </c>
      <c r="L1858" s="23" t="s">
        <v>18</v>
      </c>
      <c r="M1858" s="24"/>
    </row>
    <row r="1859" spans="1:13">
      <c r="A1859" s="19">
        <v>2529793</v>
      </c>
      <c r="B1859" s="20" t="s">
        <v>7978</v>
      </c>
      <c r="C1859" s="19" t="s">
        <v>7979</v>
      </c>
      <c r="D1859" s="19" t="s">
        <v>7980</v>
      </c>
      <c r="E1859" s="20" t="s">
        <v>415</v>
      </c>
      <c r="F1859" s="20" t="s">
        <v>112</v>
      </c>
      <c r="G1859" s="20" t="s">
        <v>26</v>
      </c>
      <c r="H1859" s="20" t="s">
        <v>7981</v>
      </c>
      <c r="I1859" s="20" t="s">
        <v>7982</v>
      </c>
      <c r="J1859" s="20">
        <v>2</v>
      </c>
      <c r="K1859" s="20" t="s">
        <v>206</v>
      </c>
      <c r="L1859" s="20" t="s">
        <v>16</v>
      </c>
      <c r="M1859" s="21" t="s">
        <v>7983</v>
      </c>
    </row>
    <row r="1860" spans="1:13">
      <c r="A1860" s="22">
        <v>2512337</v>
      </c>
      <c r="B1860" s="23" t="s">
        <v>7984</v>
      </c>
      <c r="C1860" s="22" t="s">
        <v>7985</v>
      </c>
      <c r="D1860" s="22" t="s">
        <v>7986</v>
      </c>
      <c r="E1860" s="23" t="s">
        <v>415</v>
      </c>
      <c r="F1860" s="23" t="s">
        <v>92</v>
      </c>
      <c r="G1860" s="23" t="s">
        <v>26</v>
      </c>
      <c r="H1860" s="23" t="s">
        <v>7987</v>
      </c>
      <c r="I1860" s="23" t="s">
        <v>7988</v>
      </c>
      <c r="J1860" s="20">
        <v>2</v>
      </c>
      <c r="K1860" s="23" t="s">
        <v>19</v>
      </c>
      <c r="L1860" s="23" t="s">
        <v>18</v>
      </c>
      <c r="M1860" s="24" t="s">
        <v>38</v>
      </c>
    </row>
    <row r="1861" spans="1:13">
      <c r="A1861" s="19">
        <v>2533589</v>
      </c>
      <c r="B1861" s="20" t="s">
        <v>7989</v>
      </c>
      <c r="C1861" s="19" t="s">
        <v>7990</v>
      </c>
      <c r="D1861" s="19" t="s">
        <v>7991</v>
      </c>
      <c r="E1861" s="20" t="s">
        <v>127</v>
      </c>
      <c r="F1861" s="20" t="s">
        <v>92</v>
      </c>
      <c r="G1861" s="20" t="s">
        <v>26</v>
      </c>
      <c r="H1861" s="20" t="s">
        <v>7992</v>
      </c>
      <c r="I1861" s="20" t="s">
        <v>7993</v>
      </c>
      <c r="J1861" s="20">
        <v>2</v>
      </c>
      <c r="K1861" s="20" t="s">
        <v>19</v>
      </c>
      <c r="L1861" s="20" t="s">
        <v>16</v>
      </c>
      <c r="M1861" s="21"/>
    </row>
    <row r="1862" spans="1:13">
      <c r="A1862" s="22">
        <v>2521815</v>
      </c>
      <c r="B1862" s="23" t="s">
        <v>7994</v>
      </c>
      <c r="C1862" s="22" t="s">
        <v>7995</v>
      </c>
      <c r="D1862" s="22" t="s">
        <v>7996</v>
      </c>
      <c r="E1862" s="23" t="s">
        <v>127</v>
      </c>
      <c r="F1862" s="23" t="s">
        <v>92</v>
      </c>
      <c r="G1862" s="23" t="s">
        <v>26</v>
      </c>
      <c r="H1862" s="23" t="s">
        <v>7997</v>
      </c>
      <c r="I1862" s="23" t="s">
        <v>7998</v>
      </c>
      <c r="J1862" s="20">
        <v>2</v>
      </c>
      <c r="K1862" s="23" t="s">
        <v>107</v>
      </c>
      <c r="L1862" s="23" t="s">
        <v>18</v>
      </c>
      <c r="M1862" s="24" t="s">
        <v>864</v>
      </c>
    </row>
    <row r="1863" spans="1:13">
      <c r="A1863" s="22">
        <v>2521649</v>
      </c>
      <c r="B1863" s="23" t="s">
        <v>7999</v>
      </c>
      <c r="C1863" s="22" t="s">
        <v>8000</v>
      </c>
      <c r="D1863" s="22" t="s">
        <v>8001</v>
      </c>
      <c r="E1863" s="23" t="s">
        <v>84</v>
      </c>
      <c r="F1863" s="23" t="s">
        <v>92</v>
      </c>
      <c r="G1863" s="23" t="s">
        <v>26</v>
      </c>
      <c r="H1863" s="23" t="s">
        <v>7997</v>
      </c>
      <c r="I1863" s="23" t="s">
        <v>8002</v>
      </c>
      <c r="J1863" s="20">
        <v>2</v>
      </c>
      <c r="K1863" s="23" t="s">
        <v>107</v>
      </c>
      <c r="L1863" s="23" t="s">
        <v>16</v>
      </c>
      <c r="M1863" s="24"/>
    </row>
    <row r="1864" spans="1:13">
      <c r="A1864" s="19">
        <v>2522797</v>
      </c>
      <c r="B1864" s="20" t="s">
        <v>8003</v>
      </c>
      <c r="C1864" s="19" t="s">
        <v>8004</v>
      </c>
      <c r="D1864" s="19" t="s">
        <v>8005</v>
      </c>
      <c r="E1864" s="20" t="s">
        <v>84</v>
      </c>
      <c r="F1864" s="20" t="s">
        <v>92</v>
      </c>
      <c r="G1864" s="20" t="s">
        <v>26</v>
      </c>
      <c r="H1864" s="20" t="s">
        <v>7997</v>
      </c>
      <c r="I1864" s="20" t="s">
        <v>5788</v>
      </c>
      <c r="J1864" s="20">
        <v>2</v>
      </c>
      <c r="K1864" s="20" t="s">
        <v>17</v>
      </c>
      <c r="L1864" s="20" t="s">
        <v>18</v>
      </c>
      <c r="M1864" s="21" t="s">
        <v>1898</v>
      </c>
    </row>
    <row r="1865" spans="1:13">
      <c r="A1865" s="19">
        <v>2521815</v>
      </c>
      <c r="B1865" s="20" t="s">
        <v>7994</v>
      </c>
      <c r="C1865" s="19" t="s">
        <v>7995</v>
      </c>
      <c r="D1865" s="19" t="s">
        <v>7996</v>
      </c>
      <c r="E1865" s="20" t="s">
        <v>127</v>
      </c>
      <c r="F1865" s="20" t="s">
        <v>92</v>
      </c>
      <c r="G1865" s="20" t="s">
        <v>26</v>
      </c>
      <c r="H1865" s="20" t="s">
        <v>7997</v>
      </c>
      <c r="I1865" s="20" t="s">
        <v>8006</v>
      </c>
      <c r="J1865" s="34">
        <v>2</v>
      </c>
      <c r="K1865" s="20" t="s">
        <v>107</v>
      </c>
      <c r="L1865" s="20" t="s">
        <v>18</v>
      </c>
      <c r="M1865" s="21"/>
    </row>
    <row r="1866" spans="1:13">
      <c r="A1866" s="19">
        <v>2518815</v>
      </c>
      <c r="B1866" s="20" t="s">
        <v>8007</v>
      </c>
      <c r="C1866" s="19" t="s">
        <v>8008</v>
      </c>
      <c r="D1866" s="19" t="s">
        <v>8009</v>
      </c>
      <c r="E1866" s="20" t="s">
        <v>84</v>
      </c>
      <c r="F1866" s="20" t="s">
        <v>92</v>
      </c>
      <c r="G1866" s="20" t="s">
        <v>26</v>
      </c>
      <c r="H1866" s="20" t="s">
        <v>8010</v>
      </c>
      <c r="I1866" s="20" t="s">
        <v>8011</v>
      </c>
      <c r="J1866" s="20">
        <v>2</v>
      </c>
      <c r="K1866" s="20" t="s">
        <v>19</v>
      </c>
      <c r="L1866" s="20" t="s">
        <v>16</v>
      </c>
      <c r="M1866" s="21"/>
    </row>
    <row r="1867" spans="1:13">
      <c r="A1867" s="22">
        <v>2533595</v>
      </c>
      <c r="B1867" s="23" t="s">
        <v>8012</v>
      </c>
      <c r="C1867" s="22" t="s">
        <v>8013</v>
      </c>
      <c r="D1867" s="22" t="s">
        <v>8014</v>
      </c>
      <c r="E1867" s="23" t="s">
        <v>84</v>
      </c>
      <c r="F1867" s="23" t="s">
        <v>172</v>
      </c>
      <c r="G1867" s="23" t="s">
        <v>26</v>
      </c>
      <c r="H1867" s="23" t="s">
        <v>8015</v>
      </c>
      <c r="I1867" s="23" t="s">
        <v>8016</v>
      </c>
      <c r="J1867" s="23">
        <v>2</v>
      </c>
      <c r="K1867" s="23" t="s">
        <v>19</v>
      </c>
      <c r="L1867" s="23" t="s">
        <v>16</v>
      </c>
      <c r="M1867" s="24"/>
    </row>
    <row r="1868" spans="1:13">
      <c r="A1868" s="22">
        <v>2533595</v>
      </c>
      <c r="B1868" s="23" t="s">
        <v>8012</v>
      </c>
      <c r="C1868" s="22" t="s">
        <v>8013</v>
      </c>
      <c r="D1868" s="22" t="s">
        <v>8014</v>
      </c>
      <c r="E1868" s="23" t="s">
        <v>84</v>
      </c>
      <c r="F1868" s="23" t="s">
        <v>92</v>
      </c>
      <c r="G1868" s="23" t="s">
        <v>26</v>
      </c>
      <c r="H1868" s="23" t="s">
        <v>8015</v>
      </c>
      <c r="I1868" s="23" t="s">
        <v>8017</v>
      </c>
      <c r="J1868" s="23">
        <v>2</v>
      </c>
      <c r="K1868" s="23" t="s">
        <v>19</v>
      </c>
      <c r="L1868" s="23" t="s">
        <v>16</v>
      </c>
      <c r="M1868" s="24"/>
    </row>
    <row r="1869" spans="1:13">
      <c r="A1869" s="19">
        <v>2522800</v>
      </c>
      <c r="B1869" s="20" t="s">
        <v>8018</v>
      </c>
      <c r="C1869" s="19" t="s">
        <v>8019</v>
      </c>
      <c r="D1869" s="19" t="s">
        <v>8020</v>
      </c>
      <c r="E1869" s="20" t="s">
        <v>84</v>
      </c>
      <c r="F1869" s="20" t="s">
        <v>92</v>
      </c>
      <c r="G1869" s="20" t="s">
        <v>26</v>
      </c>
      <c r="H1869" s="20" t="s">
        <v>8021</v>
      </c>
      <c r="I1869" s="20" t="s">
        <v>8022</v>
      </c>
      <c r="J1869" s="20">
        <v>2</v>
      </c>
      <c r="K1869" s="20" t="s">
        <v>19</v>
      </c>
      <c r="L1869" s="20" t="s">
        <v>18</v>
      </c>
      <c r="M1869" s="21"/>
    </row>
    <row r="1870" spans="1:13">
      <c r="A1870" s="19">
        <v>2521784</v>
      </c>
      <c r="B1870" s="20" t="s">
        <v>8023</v>
      </c>
      <c r="C1870" s="19" t="s">
        <v>8024</v>
      </c>
      <c r="D1870" s="19" t="s">
        <v>8025</v>
      </c>
      <c r="E1870" s="20" t="s">
        <v>84</v>
      </c>
      <c r="F1870" s="20" t="s">
        <v>92</v>
      </c>
      <c r="G1870" s="20" t="s">
        <v>26</v>
      </c>
      <c r="H1870" s="20" t="s">
        <v>8026</v>
      </c>
      <c r="I1870" s="20" t="s">
        <v>8027</v>
      </c>
      <c r="J1870" s="20">
        <v>2</v>
      </c>
      <c r="K1870" s="20" t="s">
        <v>19</v>
      </c>
      <c r="L1870" s="20" t="s">
        <v>16</v>
      </c>
      <c r="M1870" s="21"/>
    </row>
    <row r="1871" spans="1:13">
      <c r="A1871" s="19">
        <v>2521784</v>
      </c>
      <c r="B1871" s="20" t="s">
        <v>8023</v>
      </c>
      <c r="C1871" s="19" t="s">
        <v>8024</v>
      </c>
      <c r="D1871" s="19" t="s">
        <v>8025</v>
      </c>
      <c r="E1871" s="20" t="s">
        <v>84</v>
      </c>
      <c r="F1871" s="20" t="s">
        <v>92</v>
      </c>
      <c r="G1871" s="20" t="s">
        <v>26</v>
      </c>
      <c r="H1871" s="20" t="s">
        <v>8028</v>
      </c>
      <c r="I1871" s="20" t="s">
        <v>8027</v>
      </c>
      <c r="J1871" s="20">
        <v>2</v>
      </c>
      <c r="K1871" s="20" t="s">
        <v>19</v>
      </c>
      <c r="L1871" s="20" t="s">
        <v>16</v>
      </c>
      <c r="M1871" s="21"/>
    </row>
    <row r="1872" spans="1:13">
      <c r="A1872" s="19">
        <v>2524565</v>
      </c>
      <c r="B1872" s="20" t="s">
        <v>8029</v>
      </c>
      <c r="C1872" s="19" t="s">
        <v>8030</v>
      </c>
      <c r="D1872" s="19" t="s">
        <v>8031</v>
      </c>
      <c r="E1872" s="20" t="s">
        <v>84</v>
      </c>
      <c r="F1872" s="20" t="s">
        <v>92</v>
      </c>
      <c r="G1872" s="20" t="s">
        <v>26</v>
      </c>
      <c r="H1872" s="20" t="s">
        <v>8032</v>
      </c>
      <c r="I1872" s="20" t="s">
        <v>8032</v>
      </c>
      <c r="J1872" s="20">
        <v>2</v>
      </c>
      <c r="K1872" s="20" t="s">
        <v>107</v>
      </c>
      <c r="L1872" s="20" t="s">
        <v>16</v>
      </c>
      <c r="M1872" s="21" t="s">
        <v>2032</v>
      </c>
    </row>
    <row r="1873" spans="1:13">
      <c r="A1873" s="19">
        <v>2524565</v>
      </c>
      <c r="B1873" s="20" t="s">
        <v>8029</v>
      </c>
      <c r="C1873" s="19" t="s">
        <v>8030</v>
      </c>
      <c r="D1873" s="19" t="s">
        <v>8031</v>
      </c>
      <c r="E1873" s="20" t="s">
        <v>84</v>
      </c>
      <c r="F1873" s="20" t="s">
        <v>92</v>
      </c>
      <c r="G1873" s="20" t="s">
        <v>26</v>
      </c>
      <c r="H1873" s="20" t="s">
        <v>8033</v>
      </c>
      <c r="I1873" s="20" t="s">
        <v>8034</v>
      </c>
      <c r="J1873" s="20">
        <v>2</v>
      </c>
      <c r="K1873" s="20" t="s">
        <v>107</v>
      </c>
      <c r="L1873" s="20" t="s">
        <v>16</v>
      </c>
      <c r="M1873" s="21" t="s">
        <v>2032</v>
      </c>
    </row>
    <row r="1874" spans="1:13">
      <c r="A1874" s="22">
        <v>2524565</v>
      </c>
      <c r="B1874" s="23" t="s">
        <v>8029</v>
      </c>
      <c r="C1874" s="22" t="s">
        <v>8030</v>
      </c>
      <c r="D1874" s="22" t="s">
        <v>8031</v>
      </c>
      <c r="E1874" s="23" t="s">
        <v>84</v>
      </c>
      <c r="F1874" s="23" t="s">
        <v>92</v>
      </c>
      <c r="G1874" s="23" t="s">
        <v>26</v>
      </c>
      <c r="H1874" s="23" t="s">
        <v>8035</v>
      </c>
      <c r="I1874" s="23" t="s">
        <v>8035</v>
      </c>
      <c r="J1874" s="36">
        <v>2</v>
      </c>
      <c r="K1874" s="23" t="s">
        <v>107</v>
      </c>
      <c r="L1874" s="23" t="s">
        <v>16</v>
      </c>
      <c r="M1874" s="24" t="s">
        <v>2032</v>
      </c>
    </row>
    <row r="1875" spans="1:13">
      <c r="A1875" s="22">
        <v>2521790</v>
      </c>
      <c r="B1875" s="23" t="s">
        <v>8036</v>
      </c>
      <c r="C1875" s="22" t="s">
        <v>8037</v>
      </c>
      <c r="D1875" s="22" t="s">
        <v>8038</v>
      </c>
      <c r="E1875" s="23" t="s">
        <v>84</v>
      </c>
      <c r="F1875" s="23" t="s">
        <v>172</v>
      </c>
      <c r="G1875" s="23" t="s">
        <v>26</v>
      </c>
      <c r="H1875" s="23" t="s">
        <v>8039</v>
      </c>
      <c r="I1875" s="23" t="s">
        <v>5788</v>
      </c>
      <c r="J1875" s="20">
        <v>2</v>
      </c>
      <c r="K1875" s="23" t="s">
        <v>19</v>
      </c>
      <c r="L1875" s="23" t="s">
        <v>16</v>
      </c>
      <c r="M1875" s="24"/>
    </row>
    <row r="1876" spans="1:13">
      <c r="A1876" s="19">
        <v>2525092</v>
      </c>
      <c r="B1876" s="20" t="s">
        <v>8040</v>
      </c>
      <c r="C1876" s="19" t="s">
        <v>8041</v>
      </c>
      <c r="D1876" s="19" t="s">
        <v>8042</v>
      </c>
      <c r="E1876" s="20" t="s">
        <v>84</v>
      </c>
      <c r="F1876" s="20" t="s">
        <v>92</v>
      </c>
      <c r="G1876" s="20" t="s">
        <v>26</v>
      </c>
      <c r="H1876" s="20" t="s">
        <v>8043</v>
      </c>
      <c r="I1876" s="20" t="s">
        <v>8044</v>
      </c>
      <c r="J1876" s="20">
        <v>2</v>
      </c>
      <c r="K1876" s="20" t="s">
        <v>19</v>
      </c>
      <c r="L1876" s="20" t="s">
        <v>16</v>
      </c>
      <c r="M1876" s="21"/>
    </row>
    <row r="1877" spans="1:13">
      <c r="A1877" s="19">
        <v>2521649</v>
      </c>
      <c r="B1877" s="20" t="s">
        <v>7999</v>
      </c>
      <c r="C1877" s="19" t="s">
        <v>8000</v>
      </c>
      <c r="D1877" s="19" t="s">
        <v>8001</v>
      </c>
      <c r="E1877" s="20" t="s">
        <v>84</v>
      </c>
      <c r="F1877" s="20" t="s">
        <v>92</v>
      </c>
      <c r="G1877" s="20" t="s">
        <v>26</v>
      </c>
      <c r="H1877" s="20" t="s">
        <v>8045</v>
      </c>
      <c r="I1877" s="20" t="s">
        <v>8002</v>
      </c>
      <c r="J1877" s="20">
        <v>2</v>
      </c>
      <c r="K1877" s="20" t="s">
        <v>107</v>
      </c>
      <c r="L1877" s="20" t="s">
        <v>16</v>
      </c>
      <c r="M1877" s="21"/>
    </row>
    <row r="1878" spans="1:13">
      <c r="A1878" s="19">
        <v>2518817</v>
      </c>
      <c r="B1878" s="20" t="s">
        <v>8046</v>
      </c>
      <c r="C1878" s="19" t="s">
        <v>8047</v>
      </c>
      <c r="D1878" s="19" t="s">
        <v>8048</v>
      </c>
      <c r="E1878" s="20" t="s">
        <v>84</v>
      </c>
      <c r="F1878" s="20" t="s">
        <v>92</v>
      </c>
      <c r="G1878" s="20" t="s">
        <v>26</v>
      </c>
      <c r="H1878" s="20" t="s">
        <v>8049</v>
      </c>
      <c r="I1878" s="20" t="s">
        <v>8050</v>
      </c>
      <c r="J1878" s="20">
        <v>2</v>
      </c>
      <c r="K1878" s="20" t="s">
        <v>19</v>
      </c>
      <c r="L1878" s="20" t="s">
        <v>18</v>
      </c>
      <c r="M1878" s="21" t="s">
        <v>38</v>
      </c>
    </row>
    <row r="1879" spans="1:13">
      <c r="A1879" s="19">
        <v>2533049</v>
      </c>
      <c r="B1879" s="20" t="s">
        <v>8051</v>
      </c>
      <c r="C1879" s="19" t="s">
        <v>8052</v>
      </c>
      <c r="D1879" s="19" t="s">
        <v>8053</v>
      </c>
      <c r="E1879" s="20" t="s">
        <v>84</v>
      </c>
      <c r="F1879" s="20" t="s">
        <v>172</v>
      </c>
      <c r="G1879" s="20" t="s">
        <v>26</v>
      </c>
      <c r="H1879" s="20" t="s">
        <v>8054</v>
      </c>
      <c r="I1879" s="20" t="s">
        <v>8055</v>
      </c>
      <c r="J1879" s="20">
        <v>2</v>
      </c>
      <c r="K1879" s="20" t="s">
        <v>19</v>
      </c>
      <c r="L1879" s="20" t="s">
        <v>16</v>
      </c>
      <c r="M1879" s="21"/>
    </row>
    <row r="1880" spans="1:13">
      <c r="A1880" s="22">
        <v>2533049</v>
      </c>
      <c r="B1880" s="23" t="s">
        <v>8051</v>
      </c>
      <c r="C1880" s="22" t="s">
        <v>8052</v>
      </c>
      <c r="D1880" s="22" t="s">
        <v>8053</v>
      </c>
      <c r="E1880" s="23" t="s">
        <v>84</v>
      </c>
      <c r="F1880" s="23" t="s">
        <v>92</v>
      </c>
      <c r="G1880" s="23" t="s">
        <v>26</v>
      </c>
      <c r="H1880" s="23" t="s">
        <v>8056</v>
      </c>
      <c r="I1880" s="23" t="s">
        <v>8057</v>
      </c>
      <c r="J1880" s="23">
        <v>2</v>
      </c>
      <c r="K1880" s="23" t="s">
        <v>19</v>
      </c>
      <c r="L1880" s="23" t="s">
        <v>16</v>
      </c>
      <c r="M1880" s="24"/>
    </row>
    <row r="1881" spans="1:13">
      <c r="A1881" s="19">
        <v>2521292</v>
      </c>
      <c r="B1881" s="20" t="s">
        <v>8058</v>
      </c>
      <c r="C1881" s="19" t="s">
        <v>8059</v>
      </c>
      <c r="D1881" s="19" t="s">
        <v>8060</v>
      </c>
      <c r="E1881" s="20" t="s">
        <v>84</v>
      </c>
      <c r="F1881" s="20" t="s">
        <v>85</v>
      </c>
      <c r="G1881" s="20" t="s">
        <v>26</v>
      </c>
      <c r="H1881" s="20" t="s">
        <v>8061</v>
      </c>
      <c r="I1881" s="20" t="s">
        <v>8062</v>
      </c>
      <c r="J1881" s="20">
        <v>2</v>
      </c>
      <c r="K1881" s="20" t="s">
        <v>206</v>
      </c>
      <c r="L1881" s="20" t="s">
        <v>16</v>
      </c>
      <c r="M1881" s="21"/>
    </row>
    <row r="1882" spans="1:13">
      <c r="A1882" s="19">
        <v>2521143</v>
      </c>
      <c r="B1882" s="20" t="s">
        <v>8063</v>
      </c>
      <c r="C1882" s="19" t="s">
        <v>8064</v>
      </c>
      <c r="D1882" s="19" t="s">
        <v>8065</v>
      </c>
      <c r="E1882" s="20" t="s">
        <v>84</v>
      </c>
      <c r="F1882" s="20" t="s">
        <v>85</v>
      </c>
      <c r="G1882" s="20" t="s">
        <v>26</v>
      </c>
      <c r="H1882" s="20" t="s">
        <v>8066</v>
      </c>
      <c r="I1882" s="20" t="s">
        <v>8067</v>
      </c>
      <c r="J1882" s="20">
        <v>2</v>
      </c>
      <c r="K1882" s="20" t="s">
        <v>206</v>
      </c>
      <c r="L1882" s="20" t="s">
        <v>16</v>
      </c>
      <c r="M1882" s="21"/>
    </row>
    <row r="1883" spans="1:13">
      <c r="A1883" s="22">
        <v>2531394</v>
      </c>
      <c r="B1883" s="23" t="s">
        <v>8068</v>
      </c>
      <c r="C1883" s="22" t="s">
        <v>8069</v>
      </c>
      <c r="D1883" s="22" t="s">
        <v>8070</v>
      </c>
      <c r="E1883" s="23" t="s">
        <v>84</v>
      </c>
      <c r="F1883" s="23" t="s">
        <v>92</v>
      </c>
      <c r="G1883" s="23" t="s">
        <v>26</v>
      </c>
      <c r="H1883" s="23" t="s">
        <v>8071</v>
      </c>
      <c r="I1883" s="23" t="s">
        <v>8072</v>
      </c>
      <c r="J1883" s="33">
        <v>1</v>
      </c>
      <c r="K1883" s="23" t="s">
        <v>19</v>
      </c>
      <c r="L1883" s="23" t="s">
        <v>16</v>
      </c>
      <c r="M1883" s="24"/>
    </row>
    <row r="1884" spans="1:13">
      <c r="A1884" s="22">
        <v>2520921</v>
      </c>
      <c r="B1884" s="23" t="s">
        <v>8073</v>
      </c>
      <c r="C1884" s="22" t="s">
        <v>8074</v>
      </c>
      <c r="D1884" s="22" t="s">
        <v>8075</v>
      </c>
      <c r="E1884" s="23" t="s">
        <v>84</v>
      </c>
      <c r="F1884" s="23" t="s">
        <v>92</v>
      </c>
      <c r="G1884" s="23" t="s">
        <v>26</v>
      </c>
      <c r="H1884" s="23" t="s">
        <v>8076</v>
      </c>
      <c r="I1884" s="23" t="s">
        <v>8077</v>
      </c>
      <c r="J1884" s="23">
        <v>1</v>
      </c>
      <c r="K1884" s="23" t="s">
        <v>19</v>
      </c>
      <c r="L1884" s="23" t="s">
        <v>16</v>
      </c>
      <c r="M1884" s="24"/>
    </row>
    <row r="1885" spans="1:13">
      <c r="A1885" s="19">
        <v>2529600</v>
      </c>
      <c r="B1885" s="20" t="s">
        <v>8078</v>
      </c>
      <c r="C1885" s="19" t="s">
        <v>8079</v>
      </c>
      <c r="D1885" s="19" t="s">
        <v>8080</v>
      </c>
      <c r="E1885" s="20" t="s">
        <v>84</v>
      </c>
      <c r="F1885" s="20" t="s">
        <v>92</v>
      </c>
      <c r="G1885" s="20" t="s">
        <v>26</v>
      </c>
      <c r="H1885" s="20" t="s">
        <v>8081</v>
      </c>
      <c r="I1885" s="20" t="s">
        <v>8082</v>
      </c>
      <c r="J1885" s="23">
        <v>1</v>
      </c>
      <c r="K1885" s="20" t="s">
        <v>19</v>
      </c>
      <c r="L1885" s="20" t="s">
        <v>16</v>
      </c>
      <c r="M1885" s="21" t="s">
        <v>864</v>
      </c>
    </row>
    <row r="1886" spans="1:13">
      <c r="A1886" s="22">
        <v>2529524</v>
      </c>
      <c r="B1886" s="23" t="s">
        <v>8083</v>
      </c>
      <c r="C1886" s="22" t="s">
        <v>8084</v>
      </c>
      <c r="D1886" s="22" t="s">
        <v>8085</v>
      </c>
      <c r="E1886" s="23" t="s">
        <v>127</v>
      </c>
      <c r="F1886" s="23" t="s">
        <v>92</v>
      </c>
      <c r="G1886" s="23" t="s">
        <v>26</v>
      </c>
      <c r="H1886" s="23" t="s">
        <v>8076</v>
      </c>
      <c r="I1886" s="23" t="s">
        <v>8086</v>
      </c>
      <c r="J1886" s="23">
        <v>1</v>
      </c>
      <c r="K1886" s="23" t="s">
        <v>19</v>
      </c>
      <c r="L1886" s="23" t="s">
        <v>16</v>
      </c>
      <c r="M1886" s="24"/>
    </row>
    <row r="1887" spans="1:13">
      <c r="A1887" s="19">
        <v>2529614</v>
      </c>
      <c r="B1887" s="20" t="s">
        <v>8087</v>
      </c>
      <c r="C1887" s="19" t="s">
        <v>8088</v>
      </c>
      <c r="D1887" s="19" t="s">
        <v>8089</v>
      </c>
      <c r="E1887" s="20" t="s">
        <v>84</v>
      </c>
      <c r="F1887" s="20" t="s">
        <v>92</v>
      </c>
      <c r="G1887" s="20" t="s">
        <v>26</v>
      </c>
      <c r="H1887" s="20" t="s">
        <v>8090</v>
      </c>
      <c r="I1887" s="20" t="s">
        <v>8091</v>
      </c>
      <c r="J1887" s="23">
        <v>1</v>
      </c>
      <c r="K1887" s="20" t="s">
        <v>19</v>
      </c>
      <c r="L1887" s="20" t="s">
        <v>16</v>
      </c>
      <c r="M1887" s="21"/>
    </row>
    <row r="1888" spans="1:13">
      <c r="A1888" s="19">
        <v>2525102</v>
      </c>
      <c r="B1888" s="20" t="s">
        <v>8092</v>
      </c>
      <c r="C1888" s="19" t="s">
        <v>8093</v>
      </c>
      <c r="D1888" s="19" t="s">
        <v>8094</v>
      </c>
      <c r="E1888" s="20" t="s">
        <v>84</v>
      </c>
      <c r="F1888" s="20" t="s">
        <v>172</v>
      </c>
      <c r="G1888" s="20" t="s">
        <v>26</v>
      </c>
      <c r="H1888" s="20" t="s">
        <v>8095</v>
      </c>
      <c r="I1888" s="20" t="s">
        <v>8096</v>
      </c>
      <c r="J1888" s="20">
        <v>2</v>
      </c>
      <c r="K1888" s="20" t="s">
        <v>107</v>
      </c>
      <c r="L1888" s="20" t="s">
        <v>16</v>
      </c>
      <c r="M1888" s="21"/>
    </row>
    <row r="1889" spans="1:13">
      <c r="A1889" s="19">
        <v>2525009</v>
      </c>
      <c r="B1889" s="20" t="s">
        <v>8097</v>
      </c>
      <c r="C1889" s="19" t="s">
        <v>8098</v>
      </c>
      <c r="D1889" s="19" t="s">
        <v>8099</v>
      </c>
      <c r="E1889" s="20" t="s">
        <v>127</v>
      </c>
      <c r="F1889" s="20" t="s">
        <v>172</v>
      </c>
      <c r="G1889" s="20" t="s">
        <v>26</v>
      </c>
      <c r="H1889" s="20" t="s">
        <v>8076</v>
      </c>
      <c r="I1889" s="20" t="s">
        <v>8100</v>
      </c>
      <c r="J1889" s="20">
        <v>2</v>
      </c>
      <c r="K1889" s="20" t="s">
        <v>19</v>
      </c>
      <c r="L1889" s="20" t="s">
        <v>16</v>
      </c>
      <c r="M1889" s="21"/>
    </row>
    <row r="1890" spans="1:13">
      <c r="A1890" s="19">
        <v>2525009</v>
      </c>
      <c r="B1890" s="20" t="s">
        <v>8097</v>
      </c>
      <c r="C1890" s="19" t="s">
        <v>8098</v>
      </c>
      <c r="D1890" s="19" t="s">
        <v>8099</v>
      </c>
      <c r="E1890" s="20" t="s">
        <v>127</v>
      </c>
      <c r="F1890" s="20" t="s">
        <v>92</v>
      </c>
      <c r="G1890" s="20" t="s">
        <v>26</v>
      </c>
      <c r="H1890" s="20" t="s">
        <v>8076</v>
      </c>
      <c r="I1890" s="20" t="s">
        <v>8101</v>
      </c>
      <c r="J1890" s="20">
        <v>2</v>
      </c>
      <c r="K1890" s="20" t="s">
        <v>19</v>
      </c>
      <c r="L1890" s="20" t="s">
        <v>16</v>
      </c>
      <c r="M1890" s="21"/>
    </row>
    <row r="1891" spans="1:13">
      <c r="A1891" s="19">
        <v>2531983</v>
      </c>
      <c r="B1891" s="20" t="s">
        <v>8102</v>
      </c>
      <c r="C1891" s="19" t="s">
        <v>8103</v>
      </c>
      <c r="D1891" s="19" t="s">
        <v>8104</v>
      </c>
      <c r="E1891" s="20" t="s">
        <v>84</v>
      </c>
      <c r="F1891" s="20" t="s">
        <v>92</v>
      </c>
      <c r="G1891" s="20" t="s">
        <v>26</v>
      </c>
      <c r="H1891" s="20" t="s">
        <v>8076</v>
      </c>
      <c r="I1891" s="20" t="s">
        <v>8096</v>
      </c>
      <c r="J1891" s="23">
        <v>3</v>
      </c>
      <c r="K1891" s="20" t="s">
        <v>19</v>
      </c>
      <c r="L1891" s="20" t="s">
        <v>16</v>
      </c>
      <c r="M1891" s="21"/>
    </row>
    <row r="1892" spans="1:13">
      <c r="A1892" s="22">
        <v>2533180</v>
      </c>
      <c r="B1892" s="23" t="s">
        <v>8105</v>
      </c>
      <c r="C1892" s="22" t="s">
        <v>8106</v>
      </c>
      <c r="D1892" s="22" t="s">
        <v>8107</v>
      </c>
      <c r="E1892" s="23" t="s">
        <v>84</v>
      </c>
      <c r="F1892" s="23" t="s">
        <v>172</v>
      </c>
      <c r="G1892" s="23" t="s">
        <v>26</v>
      </c>
      <c r="H1892" s="23" t="s">
        <v>8095</v>
      </c>
      <c r="I1892" s="23" t="s">
        <v>8108</v>
      </c>
      <c r="J1892" s="20">
        <v>4</v>
      </c>
      <c r="K1892" s="23" t="s">
        <v>19</v>
      </c>
      <c r="L1892" s="23" t="s">
        <v>16</v>
      </c>
      <c r="M1892" s="24" t="s">
        <v>1561</v>
      </c>
    </row>
    <row r="1893" spans="1:13">
      <c r="A1893" s="22">
        <v>2533180</v>
      </c>
      <c r="B1893" s="23" t="s">
        <v>8109</v>
      </c>
      <c r="C1893" s="22" t="s">
        <v>8106</v>
      </c>
      <c r="D1893" s="22" t="s">
        <v>8107</v>
      </c>
      <c r="E1893" s="23" t="s">
        <v>84</v>
      </c>
      <c r="F1893" s="23" t="s">
        <v>92</v>
      </c>
      <c r="G1893" s="23" t="s">
        <v>26</v>
      </c>
      <c r="H1893" s="23" t="s">
        <v>8095</v>
      </c>
      <c r="I1893" s="23" t="s">
        <v>8108</v>
      </c>
      <c r="J1893" s="20">
        <v>4</v>
      </c>
      <c r="K1893" s="23" t="s">
        <v>19</v>
      </c>
      <c r="L1893" s="23" t="s">
        <v>16</v>
      </c>
      <c r="M1893" s="24" t="s">
        <v>864</v>
      </c>
    </row>
    <row r="1894" spans="1:13">
      <c r="A1894" s="19">
        <v>2533181</v>
      </c>
      <c r="B1894" s="20" t="s">
        <v>8110</v>
      </c>
      <c r="C1894" s="19" t="s">
        <v>8111</v>
      </c>
      <c r="D1894" s="19" t="s">
        <v>8112</v>
      </c>
      <c r="E1894" s="20" t="s">
        <v>84</v>
      </c>
      <c r="F1894" s="20" t="s">
        <v>92</v>
      </c>
      <c r="G1894" s="20" t="s">
        <v>26</v>
      </c>
      <c r="H1894" s="20" t="s">
        <v>8095</v>
      </c>
      <c r="I1894" s="20" t="s">
        <v>8113</v>
      </c>
      <c r="J1894" s="20">
        <v>4</v>
      </c>
      <c r="K1894" s="20" t="s">
        <v>19</v>
      </c>
      <c r="L1894" s="20" t="s">
        <v>16</v>
      </c>
      <c r="M1894" s="21"/>
    </row>
    <row r="1895" spans="1:13">
      <c r="A1895" s="22">
        <v>2519657</v>
      </c>
      <c r="B1895" s="23" t="s">
        <v>8114</v>
      </c>
      <c r="C1895" s="22" t="s">
        <v>8115</v>
      </c>
      <c r="D1895" s="22" t="s">
        <v>8116</v>
      </c>
      <c r="E1895" s="23" t="s">
        <v>127</v>
      </c>
      <c r="F1895" s="23" t="s">
        <v>112</v>
      </c>
      <c r="G1895" s="23" t="s">
        <v>26</v>
      </c>
      <c r="H1895" s="23" t="s">
        <v>8117</v>
      </c>
      <c r="I1895" s="23" t="s">
        <v>8117</v>
      </c>
      <c r="J1895" s="23">
        <v>3</v>
      </c>
      <c r="K1895" s="23" t="s">
        <v>19</v>
      </c>
      <c r="L1895" s="23" t="s">
        <v>16</v>
      </c>
      <c r="M1895" s="24"/>
    </row>
    <row r="1896" spans="1:13">
      <c r="A1896" s="22">
        <v>2533178</v>
      </c>
      <c r="B1896" s="23" t="s">
        <v>8118</v>
      </c>
      <c r="C1896" s="22" t="s">
        <v>8119</v>
      </c>
      <c r="D1896" s="22" t="s">
        <v>8120</v>
      </c>
      <c r="E1896" s="23" t="s">
        <v>84</v>
      </c>
      <c r="F1896" s="23" t="s">
        <v>92</v>
      </c>
      <c r="G1896" s="23" t="s">
        <v>26</v>
      </c>
      <c r="H1896" s="23" t="s">
        <v>8121</v>
      </c>
      <c r="I1896" s="23" t="s">
        <v>8121</v>
      </c>
      <c r="J1896" s="20">
        <v>4</v>
      </c>
      <c r="K1896" s="23" t="s">
        <v>19</v>
      </c>
      <c r="L1896" s="23" t="s">
        <v>16</v>
      </c>
      <c r="M1896" s="24"/>
    </row>
    <row r="1897" spans="1:13">
      <c r="A1897" s="22">
        <v>2531322</v>
      </c>
      <c r="B1897" s="23" t="s">
        <v>8122</v>
      </c>
      <c r="C1897" s="22" t="s">
        <v>8123</v>
      </c>
      <c r="D1897" s="22" t="s">
        <v>8124</v>
      </c>
      <c r="E1897" s="23" t="s">
        <v>84</v>
      </c>
      <c r="F1897" s="23" t="s">
        <v>92</v>
      </c>
      <c r="G1897" s="23" t="s">
        <v>26</v>
      </c>
      <c r="H1897" s="23" t="s">
        <v>8125</v>
      </c>
      <c r="I1897" s="23" t="s">
        <v>8126</v>
      </c>
      <c r="J1897" s="23">
        <v>1</v>
      </c>
      <c r="K1897" s="23" t="s">
        <v>19</v>
      </c>
      <c r="L1897" s="23" t="s">
        <v>16</v>
      </c>
      <c r="M1897" s="24"/>
    </row>
    <row r="1898" spans="1:13">
      <c r="A1898" s="22">
        <v>2516789</v>
      </c>
      <c r="B1898" s="23" t="s">
        <v>8127</v>
      </c>
      <c r="C1898" s="22" t="s">
        <v>8128</v>
      </c>
      <c r="D1898" s="22" t="s">
        <v>8129</v>
      </c>
      <c r="E1898" s="23" t="s">
        <v>84</v>
      </c>
      <c r="F1898" s="23" t="s">
        <v>112</v>
      </c>
      <c r="G1898" s="23" t="s">
        <v>26</v>
      </c>
      <c r="H1898" s="23" t="s">
        <v>8130</v>
      </c>
      <c r="I1898" s="23" t="s">
        <v>8131</v>
      </c>
      <c r="J1898" s="23">
        <v>3</v>
      </c>
      <c r="K1898" s="23" t="s">
        <v>107</v>
      </c>
      <c r="L1898" s="23" t="s">
        <v>16</v>
      </c>
      <c r="M1898" s="24"/>
    </row>
    <row r="1899" spans="1:13">
      <c r="A1899" s="19">
        <v>2531322</v>
      </c>
      <c r="B1899" s="20" t="s">
        <v>8122</v>
      </c>
      <c r="C1899" s="19" t="s">
        <v>8123</v>
      </c>
      <c r="D1899" s="19" t="s">
        <v>8124</v>
      </c>
      <c r="E1899" s="20" t="s">
        <v>84</v>
      </c>
      <c r="F1899" s="20" t="s">
        <v>92</v>
      </c>
      <c r="G1899" s="20" t="s">
        <v>26</v>
      </c>
      <c r="H1899" s="20" t="s">
        <v>8132</v>
      </c>
      <c r="I1899" s="20" t="s">
        <v>8133</v>
      </c>
      <c r="J1899" s="23">
        <v>1</v>
      </c>
      <c r="K1899" s="20" t="s">
        <v>107</v>
      </c>
      <c r="L1899" s="20" t="s">
        <v>16</v>
      </c>
      <c r="M1899" s="21"/>
    </row>
    <row r="1900" spans="1:13">
      <c r="A1900" s="19">
        <v>2524589</v>
      </c>
      <c r="B1900" s="20" t="s">
        <v>8134</v>
      </c>
      <c r="C1900" s="19" t="s">
        <v>8135</v>
      </c>
      <c r="D1900" s="19" t="s">
        <v>8136</v>
      </c>
      <c r="E1900" s="20" t="s">
        <v>84</v>
      </c>
      <c r="F1900" s="20" t="s">
        <v>92</v>
      </c>
      <c r="G1900" s="20" t="s">
        <v>26</v>
      </c>
      <c r="H1900" s="20" t="s">
        <v>8137</v>
      </c>
      <c r="I1900" s="20" t="s">
        <v>8138</v>
      </c>
      <c r="J1900" s="20">
        <v>2</v>
      </c>
      <c r="K1900" s="20" t="s">
        <v>19</v>
      </c>
      <c r="L1900" s="20" t="s">
        <v>16</v>
      </c>
      <c r="M1900" s="21" t="s">
        <v>8139</v>
      </c>
    </row>
    <row r="1901" spans="1:13">
      <c r="A1901" s="19">
        <v>2524589</v>
      </c>
      <c r="B1901" s="20" t="s">
        <v>8134</v>
      </c>
      <c r="C1901" s="19" t="s">
        <v>8135</v>
      </c>
      <c r="D1901" s="19" t="s">
        <v>8136</v>
      </c>
      <c r="E1901" s="20" t="s">
        <v>84</v>
      </c>
      <c r="F1901" s="20" t="s">
        <v>92</v>
      </c>
      <c r="G1901" s="20" t="s">
        <v>26</v>
      </c>
      <c r="H1901" s="20" t="s">
        <v>8140</v>
      </c>
      <c r="I1901" s="20" t="s">
        <v>8141</v>
      </c>
      <c r="J1901" s="20">
        <v>2</v>
      </c>
      <c r="K1901" s="20" t="s">
        <v>19</v>
      </c>
      <c r="L1901" s="20" t="s">
        <v>16</v>
      </c>
      <c r="M1901" s="21" t="s">
        <v>8139</v>
      </c>
    </row>
    <row r="1902" spans="1:13">
      <c r="A1902" s="22">
        <v>2531970</v>
      </c>
      <c r="B1902" s="23" t="s">
        <v>8142</v>
      </c>
      <c r="C1902" s="22" t="s">
        <v>8143</v>
      </c>
      <c r="D1902" s="22" t="s">
        <v>8144</v>
      </c>
      <c r="E1902" s="23" t="s">
        <v>127</v>
      </c>
      <c r="F1902" s="23" t="s">
        <v>92</v>
      </c>
      <c r="G1902" s="23" t="s">
        <v>26</v>
      </c>
      <c r="H1902" s="23" t="s">
        <v>8145</v>
      </c>
      <c r="I1902" s="23" t="s">
        <v>8146</v>
      </c>
      <c r="J1902" s="23">
        <v>3</v>
      </c>
      <c r="K1902" s="23" t="s">
        <v>19</v>
      </c>
      <c r="L1902" s="23" t="s">
        <v>16</v>
      </c>
      <c r="M1902" s="24"/>
    </row>
    <row r="1903" spans="1:13">
      <c r="A1903" s="19">
        <v>2512350</v>
      </c>
      <c r="B1903" s="20" t="s">
        <v>8147</v>
      </c>
      <c r="C1903" s="19" t="s">
        <v>8148</v>
      </c>
      <c r="D1903" s="19" t="s">
        <v>8149</v>
      </c>
      <c r="E1903" s="20" t="s">
        <v>127</v>
      </c>
      <c r="F1903" s="20" t="s">
        <v>92</v>
      </c>
      <c r="G1903" s="20" t="s">
        <v>26</v>
      </c>
      <c r="H1903" s="20" t="s">
        <v>8150</v>
      </c>
      <c r="I1903" s="20" t="s">
        <v>8151</v>
      </c>
      <c r="J1903" s="23">
        <v>1</v>
      </c>
      <c r="K1903" s="20" t="s">
        <v>19</v>
      </c>
      <c r="L1903" s="20" t="s">
        <v>16</v>
      </c>
      <c r="M1903" s="21" t="s">
        <v>49</v>
      </c>
    </row>
    <row r="1904" spans="1:13">
      <c r="A1904" s="19">
        <v>2512350</v>
      </c>
      <c r="B1904" s="20" t="s">
        <v>8147</v>
      </c>
      <c r="C1904" s="19" t="s">
        <v>8148</v>
      </c>
      <c r="D1904" s="19" t="s">
        <v>8149</v>
      </c>
      <c r="E1904" s="20" t="s">
        <v>127</v>
      </c>
      <c r="F1904" s="20" t="s">
        <v>92</v>
      </c>
      <c r="G1904" s="20" t="s">
        <v>26</v>
      </c>
      <c r="H1904" s="20" t="s">
        <v>8152</v>
      </c>
      <c r="I1904" s="20" t="s">
        <v>8153</v>
      </c>
      <c r="J1904" s="23">
        <v>1</v>
      </c>
      <c r="K1904" s="20" t="s">
        <v>19</v>
      </c>
      <c r="L1904" s="20" t="s">
        <v>16</v>
      </c>
      <c r="M1904" s="21" t="s">
        <v>49</v>
      </c>
    </row>
    <row r="1905" spans="1:13">
      <c r="A1905" s="22">
        <v>2512350</v>
      </c>
      <c r="B1905" s="23" t="s">
        <v>8147</v>
      </c>
      <c r="C1905" s="22" t="s">
        <v>8148</v>
      </c>
      <c r="D1905" s="22" t="s">
        <v>8149</v>
      </c>
      <c r="E1905" s="23" t="s">
        <v>127</v>
      </c>
      <c r="F1905" s="23" t="s">
        <v>92</v>
      </c>
      <c r="G1905" s="23" t="s">
        <v>26</v>
      </c>
      <c r="H1905" s="23" t="s">
        <v>8152</v>
      </c>
      <c r="I1905" s="23" t="s">
        <v>8154</v>
      </c>
      <c r="J1905" s="23">
        <v>1</v>
      </c>
      <c r="K1905" s="23" t="s">
        <v>19</v>
      </c>
      <c r="L1905" s="23" t="s">
        <v>16</v>
      </c>
      <c r="M1905" s="24" t="s">
        <v>49</v>
      </c>
    </row>
    <row r="1906" spans="1:13">
      <c r="A1906" s="22">
        <v>2531996</v>
      </c>
      <c r="B1906" s="23" t="s">
        <v>8155</v>
      </c>
      <c r="C1906" s="22" t="s">
        <v>8156</v>
      </c>
      <c r="D1906" s="22" t="s">
        <v>8157</v>
      </c>
      <c r="E1906" s="23" t="s">
        <v>84</v>
      </c>
      <c r="F1906" s="23" t="s">
        <v>92</v>
      </c>
      <c r="G1906" s="23" t="s">
        <v>26</v>
      </c>
      <c r="H1906" s="23" t="s">
        <v>8150</v>
      </c>
      <c r="I1906" s="23" t="s">
        <v>8158</v>
      </c>
      <c r="J1906" s="23">
        <v>3</v>
      </c>
      <c r="K1906" s="23" t="s">
        <v>19</v>
      </c>
      <c r="L1906" s="23" t="s">
        <v>16</v>
      </c>
      <c r="M1906" s="24"/>
    </row>
    <row r="1907" spans="1:13">
      <c r="A1907" s="19">
        <v>2530136</v>
      </c>
      <c r="B1907" s="20" t="s">
        <v>8159</v>
      </c>
      <c r="C1907" s="19" t="s">
        <v>8160</v>
      </c>
      <c r="D1907" s="19" t="s">
        <v>8161</v>
      </c>
      <c r="E1907" s="20" t="s">
        <v>84</v>
      </c>
      <c r="F1907" s="20" t="s">
        <v>92</v>
      </c>
      <c r="G1907" s="20" t="s">
        <v>26</v>
      </c>
      <c r="H1907" s="20" t="s">
        <v>8162</v>
      </c>
      <c r="I1907" s="20" t="s">
        <v>8163</v>
      </c>
      <c r="J1907" s="23">
        <v>3</v>
      </c>
      <c r="K1907" s="20" t="s">
        <v>107</v>
      </c>
      <c r="L1907" s="20" t="s">
        <v>16</v>
      </c>
      <c r="M1907" s="21"/>
    </row>
    <row r="1908" spans="1:13">
      <c r="A1908" s="19">
        <v>2530136</v>
      </c>
      <c r="B1908" s="20" t="s">
        <v>8159</v>
      </c>
      <c r="C1908" s="19" t="s">
        <v>8160</v>
      </c>
      <c r="D1908" s="19" t="s">
        <v>8161</v>
      </c>
      <c r="E1908" s="20" t="s">
        <v>84</v>
      </c>
      <c r="F1908" s="20" t="s">
        <v>92</v>
      </c>
      <c r="G1908" s="20" t="s">
        <v>26</v>
      </c>
      <c r="H1908" s="20" t="s">
        <v>8162</v>
      </c>
      <c r="I1908" s="20" t="s">
        <v>8164</v>
      </c>
      <c r="J1908" s="23">
        <v>3</v>
      </c>
      <c r="K1908" s="20" t="s">
        <v>107</v>
      </c>
      <c r="L1908" s="20" t="s">
        <v>16</v>
      </c>
      <c r="M1908" s="21"/>
    </row>
    <row r="1909" spans="1:13">
      <c r="A1909" s="22">
        <v>2524515</v>
      </c>
      <c r="B1909" s="23" t="s">
        <v>8165</v>
      </c>
      <c r="C1909" s="22" t="s">
        <v>8166</v>
      </c>
      <c r="D1909" s="22" t="s">
        <v>8167</v>
      </c>
      <c r="E1909" s="23" t="s">
        <v>84</v>
      </c>
      <c r="F1909" s="23" t="s">
        <v>92</v>
      </c>
      <c r="G1909" s="23" t="s">
        <v>26</v>
      </c>
      <c r="H1909" s="23" t="s">
        <v>8168</v>
      </c>
      <c r="I1909" s="23" t="s">
        <v>8169</v>
      </c>
      <c r="J1909" s="23">
        <v>1</v>
      </c>
      <c r="K1909" s="23" t="s">
        <v>107</v>
      </c>
      <c r="L1909" s="23" t="s">
        <v>16</v>
      </c>
      <c r="M1909" s="24"/>
    </row>
    <row r="1910" spans="1:13">
      <c r="A1910" s="22">
        <v>2529612</v>
      </c>
      <c r="B1910" s="23" t="s">
        <v>8170</v>
      </c>
      <c r="C1910" s="22" t="s">
        <v>8171</v>
      </c>
      <c r="D1910" s="22" t="s">
        <v>8172</v>
      </c>
      <c r="E1910" s="23" t="s">
        <v>84</v>
      </c>
      <c r="F1910" s="23" t="s">
        <v>92</v>
      </c>
      <c r="G1910" s="23" t="s">
        <v>26</v>
      </c>
      <c r="H1910" s="23" t="s">
        <v>8173</v>
      </c>
      <c r="I1910" s="23" t="s">
        <v>8174</v>
      </c>
      <c r="J1910" s="34" t="s">
        <v>34</v>
      </c>
      <c r="K1910" s="23" t="s">
        <v>19</v>
      </c>
      <c r="L1910" s="23" t="s">
        <v>16</v>
      </c>
      <c r="M1910" s="24"/>
    </row>
    <row r="1911" spans="1:13">
      <c r="A1911" s="19">
        <v>2533142</v>
      </c>
      <c r="B1911" s="20" t="s">
        <v>8175</v>
      </c>
      <c r="C1911" s="19" t="s">
        <v>8176</v>
      </c>
      <c r="D1911" s="19" t="s">
        <v>8177</v>
      </c>
      <c r="E1911" s="20" t="s">
        <v>84</v>
      </c>
      <c r="F1911" s="20" t="s">
        <v>85</v>
      </c>
      <c r="G1911" s="20" t="s">
        <v>26</v>
      </c>
      <c r="H1911" s="20" t="s">
        <v>8178</v>
      </c>
      <c r="I1911" s="20" t="s">
        <v>8179</v>
      </c>
      <c r="J1911" s="20">
        <v>2</v>
      </c>
      <c r="K1911" s="20" t="s">
        <v>206</v>
      </c>
      <c r="L1911" s="20" t="s">
        <v>16</v>
      </c>
      <c r="M1911" s="21"/>
    </row>
    <row r="1912" spans="1:13">
      <c r="A1912" s="19">
        <v>2524546</v>
      </c>
      <c r="B1912" s="20" t="s">
        <v>8180</v>
      </c>
      <c r="C1912" s="19" t="s">
        <v>8181</v>
      </c>
      <c r="D1912" s="19" t="s">
        <v>8182</v>
      </c>
      <c r="E1912" s="20" t="s">
        <v>84</v>
      </c>
      <c r="F1912" s="20" t="s">
        <v>85</v>
      </c>
      <c r="G1912" s="20" t="s">
        <v>26</v>
      </c>
      <c r="H1912" s="20" t="s">
        <v>8183</v>
      </c>
      <c r="I1912" s="20" t="s">
        <v>8184</v>
      </c>
      <c r="J1912" s="35">
        <v>3</v>
      </c>
      <c r="K1912" s="20" t="s">
        <v>206</v>
      </c>
      <c r="L1912" s="20" t="s">
        <v>16</v>
      </c>
      <c r="M1912" s="21"/>
    </row>
    <row r="1913" spans="1:13">
      <c r="A1913" s="22">
        <v>2524546</v>
      </c>
      <c r="B1913" s="23" t="s">
        <v>8180</v>
      </c>
      <c r="C1913" s="22" t="s">
        <v>8181</v>
      </c>
      <c r="D1913" s="22" t="s">
        <v>8182</v>
      </c>
      <c r="E1913" s="23" t="s">
        <v>84</v>
      </c>
      <c r="F1913" s="23" t="s">
        <v>85</v>
      </c>
      <c r="G1913" s="23" t="s">
        <v>26</v>
      </c>
      <c r="H1913" s="23" t="s">
        <v>8185</v>
      </c>
      <c r="I1913" s="23" t="s">
        <v>8186</v>
      </c>
      <c r="J1913" s="33">
        <v>3</v>
      </c>
      <c r="K1913" s="23" t="s">
        <v>206</v>
      </c>
      <c r="L1913" s="23" t="s">
        <v>16</v>
      </c>
      <c r="M1913" s="24"/>
    </row>
    <row r="1914" spans="1:13">
      <c r="A1914" s="19">
        <v>2518825</v>
      </c>
      <c r="B1914" s="20" t="s">
        <v>8187</v>
      </c>
      <c r="C1914" s="19" t="s">
        <v>8188</v>
      </c>
      <c r="D1914" s="19" t="s">
        <v>8189</v>
      </c>
      <c r="E1914" s="20" t="s">
        <v>84</v>
      </c>
      <c r="F1914" s="20" t="s">
        <v>85</v>
      </c>
      <c r="G1914" s="20" t="s">
        <v>26</v>
      </c>
      <c r="H1914" s="20" t="s">
        <v>8190</v>
      </c>
      <c r="I1914" s="20" t="s">
        <v>8191</v>
      </c>
      <c r="J1914" s="20">
        <v>2</v>
      </c>
      <c r="K1914" s="20" t="s">
        <v>88</v>
      </c>
      <c r="L1914" s="20" t="s">
        <v>16</v>
      </c>
      <c r="M1914" s="21"/>
    </row>
    <row r="1915" spans="1:13">
      <c r="A1915" s="22">
        <v>2529642</v>
      </c>
      <c r="B1915" s="23" t="s">
        <v>8192</v>
      </c>
      <c r="C1915" s="22" t="s">
        <v>8193</v>
      </c>
      <c r="D1915" s="22" t="s">
        <v>8194</v>
      </c>
      <c r="E1915" s="23" t="s">
        <v>127</v>
      </c>
      <c r="F1915" s="23" t="s">
        <v>92</v>
      </c>
      <c r="G1915" s="23" t="s">
        <v>26</v>
      </c>
      <c r="H1915" s="23" t="s">
        <v>8195</v>
      </c>
      <c r="I1915" s="23" t="s">
        <v>8196</v>
      </c>
      <c r="J1915" s="23">
        <v>1</v>
      </c>
      <c r="K1915" s="23" t="s">
        <v>107</v>
      </c>
      <c r="L1915" s="23" t="s">
        <v>18</v>
      </c>
      <c r="M1915" s="24"/>
    </row>
    <row r="1916" spans="1:13">
      <c r="A1916" s="22">
        <v>2529528</v>
      </c>
      <c r="B1916" s="23" t="s">
        <v>8197</v>
      </c>
      <c r="C1916" s="22" t="s">
        <v>8198</v>
      </c>
      <c r="D1916" s="22" t="s">
        <v>8199</v>
      </c>
      <c r="E1916" s="23" t="s">
        <v>84</v>
      </c>
      <c r="F1916" s="23" t="s">
        <v>92</v>
      </c>
      <c r="G1916" s="23" t="s">
        <v>26</v>
      </c>
      <c r="H1916" s="23" t="s">
        <v>8200</v>
      </c>
      <c r="I1916" s="23" t="s">
        <v>8201</v>
      </c>
      <c r="J1916" s="33">
        <v>1</v>
      </c>
      <c r="K1916" s="23" t="s">
        <v>19</v>
      </c>
      <c r="L1916" s="23" t="s">
        <v>16</v>
      </c>
      <c r="M1916" s="24" t="s">
        <v>1812</v>
      </c>
    </row>
    <row r="1917" spans="1:13">
      <c r="A1917" s="19">
        <v>2518823</v>
      </c>
      <c r="B1917" s="20" t="s">
        <v>8202</v>
      </c>
      <c r="C1917" s="19" t="s">
        <v>8203</v>
      </c>
      <c r="D1917" s="19" t="s">
        <v>8204</v>
      </c>
      <c r="E1917" s="20" t="s">
        <v>84</v>
      </c>
      <c r="F1917" s="20" t="s">
        <v>85</v>
      </c>
      <c r="G1917" s="20" t="s">
        <v>26</v>
      </c>
      <c r="H1917" s="20" t="s">
        <v>8205</v>
      </c>
      <c r="I1917" s="20" t="s">
        <v>8206</v>
      </c>
      <c r="J1917" s="23">
        <v>1</v>
      </c>
      <c r="K1917" s="20" t="s">
        <v>19</v>
      </c>
      <c r="L1917" s="20" t="s">
        <v>16</v>
      </c>
      <c r="M1917" s="21" t="s">
        <v>2032</v>
      </c>
    </row>
    <row r="1918" spans="1:13">
      <c r="A1918" s="19">
        <v>2533037</v>
      </c>
      <c r="B1918" s="20" t="s">
        <v>8207</v>
      </c>
      <c r="C1918" s="19" t="s">
        <v>8208</v>
      </c>
      <c r="D1918" s="19" t="s">
        <v>8209</v>
      </c>
      <c r="E1918" s="20" t="s">
        <v>84</v>
      </c>
      <c r="F1918" s="20" t="s">
        <v>92</v>
      </c>
      <c r="G1918" s="20" t="s">
        <v>26</v>
      </c>
      <c r="H1918" s="20" t="s">
        <v>8210</v>
      </c>
      <c r="I1918" s="20" t="s">
        <v>8211</v>
      </c>
      <c r="J1918" s="23">
        <v>1</v>
      </c>
      <c r="K1918" s="20" t="s">
        <v>107</v>
      </c>
      <c r="L1918" s="20" t="s">
        <v>16</v>
      </c>
      <c r="M1918" s="21"/>
    </row>
    <row r="1919" spans="1:13">
      <c r="A1919" s="22">
        <v>2533037</v>
      </c>
      <c r="B1919" s="23" t="s">
        <v>8207</v>
      </c>
      <c r="C1919" s="22" t="s">
        <v>8208</v>
      </c>
      <c r="D1919" s="22" t="s">
        <v>8209</v>
      </c>
      <c r="E1919" s="23" t="s">
        <v>84</v>
      </c>
      <c r="F1919" s="23" t="s">
        <v>92</v>
      </c>
      <c r="G1919" s="23" t="s">
        <v>26</v>
      </c>
      <c r="H1919" s="23" t="s">
        <v>8210</v>
      </c>
      <c r="I1919" s="23" t="s">
        <v>8211</v>
      </c>
      <c r="J1919" s="23">
        <v>1</v>
      </c>
      <c r="K1919" s="23" t="s">
        <v>107</v>
      </c>
      <c r="L1919" s="23" t="s">
        <v>16</v>
      </c>
      <c r="M1919" s="24"/>
    </row>
    <row r="1920" spans="1:13">
      <c r="A1920" s="19">
        <v>2526621</v>
      </c>
      <c r="B1920" s="20" t="s">
        <v>8212</v>
      </c>
      <c r="C1920" s="19" t="s">
        <v>8213</v>
      </c>
      <c r="D1920" s="19" t="s">
        <v>8214</v>
      </c>
      <c r="E1920" s="20" t="s">
        <v>84</v>
      </c>
      <c r="F1920" s="20" t="s">
        <v>92</v>
      </c>
      <c r="G1920" s="20" t="s">
        <v>26</v>
      </c>
      <c r="H1920" s="20" t="s">
        <v>8215</v>
      </c>
      <c r="I1920" s="20" t="s">
        <v>8216</v>
      </c>
      <c r="J1920" s="20">
        <v>2</v>
      </c>
      <c r="K1920" s="20" t="s">
        <v>107</v>
      </c>
      <c r="L1920" s="20" t="s">
        <v>16</v>
      </c>
      <c r="M1920" s="21"/>
    </row>
    <row r="1921" spans="1:13">
      <c r="A1921" s="22">
        <v>2529587</v>
      </c>
      <c r="B1921" s="23" t="s">
        <v>8217</v>
      </c>
      <c r="C1921" s="22" t="s">
        <v>8218</v>
      </c>
      <c r="D1921" s="22" t="s">
        <v>8219</v>
      </c>
      <c r="E1921" s="23" t="s">
        <v>84</v>
      </c>
      <c r="F1921" s="23" t="s">
        <v>92</v>
      </c>
      <c r="G1921" s="23" t="s">
        <v>26</v>
      </c>
      <c r="H1921" s="23" t="s">
        <v>8220</v>
      </c>
      <c r="I1921" s="23" t="s">
        <v>8221</v>
      </c>
      <c r="J1921" s="34" t="s">
        <v>34</v>
      </c>
      <c r="K1921" s="23" t="s">
        <v>107</v>
      </c>
      <c r="L1921" s="23" t="s">
        <v>16</v>
      </c>
      <c r="M1921" s="24"/>
    </row>
    <row r="1922" spans="1:13">
      <c r="A1922" s="22">
        <v>2522821</v>
      </c>
      <c r="B1922" s="23" t="s">
        <v>8222</v>
      </c>
      <c r="C1922" s="22" t="s">
        <v>8223</v>
      </c>
      <c r="D1922" s="22" t="s">
        <v>8224</v>
      </c>
      <c r="E1922" s="23" t="s">
        <v>127</v>
      </c>
      <c r="F1922" s="23" t="s">
        <v>85</v>
      </c>
      <c r="G1922" s="23" t="s">
        <v>26</v>
      </c>
      <c r="H1922" s="23" t="s">
        <v>8225</v>
      </c>
      <c r="I1922" s="23" t="s">
        <v>8226</v>
      </c>
      <c r="J1922" s="34" t="s">
        <v>34</v>
      </c>
      <c r="K1922" s="23" t="s">
        <v>206</v>
      </c>
      <c r="L1922" s="23" t="s">
        <v>16</v>
      </c>
      <c r="M1922" s="24"/>
    </row>
    <row r="1923" spans="1:13">
      <c r="A1923" s="22">
        <v>2524524</v>
      </c>
      <c r="B1923" s="23" t="s">
        <v>8227</v>
      </c>
      <c r="C1923" s="22" t="s">
        <v>8228</v>
      </c>
      <c r="D1923" s="22" t="s">
        <v>1325</v>
      </c>
      <c r="E1923" s="23" t="s">
        <v>415</v>
      </c>
      <c r="F1923" s="23" t="s">
        <v>85</v>
      </c>
      <c r="G1923" s="23" t="s">
        <v>26</v>
      </c>
      <c r="H1923" s="23" t="s">
        <v>8229</v>
      </c>
      <c r="I1923" s="23" t="s">
        <v>8229</v>
      </c>
      <c r="J1923" s="23">
        <v>1</v>
      </c>
      <c r="K1923" s="23" t="s">
        <v>107</v>
      </c>
      <c r="L1923" s="23" t="s">
        <v>18</v>
      </c>
      <c r="M1923" s="24"/>
    </row>
    <row r="1924" spans="1:13">
      <c r="A1924" s="19">
        <v>2519677</v>
      </c>
      <c r="B1924" s="20" t="s">
        <v>8230</v>
      </c>
      <c r="C1924" s="19" t="s">
        <v>8231</v>
      </c>
      <c r="D1924" s="19" t="s">
        <v>8232</v>
      </c>
      <c r="E1924" s="20" t="s">
        <v>84</v>
      </c>
      <c r="F1924" s="20" t="s">
        <v>112</v>
      </c>
      <c r="G1924" s="20" t="s">
        <v>26</v>
      </c>
      <c r="H1924" s="20" t="s">
        <v>8233</v>
      </c>
      <c r="I1924" s="20" t="s">
        <v>8234</v>
      </c>
      <c r="J1924" s="23">
        <v>3</v>
      </c>
      <c r="K1924" s="20" t="s">
        <v>19</v>
      </c>
      <c r="L1924" s="20" t="s">
        <v>16</v>
      </c>
      <c r="M1924" s="21" t="s">
        <v>49</v>
      </c>
    </row>
    <row r="1925" spans="1:13">
      <c r="A1925" s="22">
        <v>2521750</v>
      </c>
      <c r="B1925" s="23" t="s">
        <v>8235</v>
      </c>
      <c r="C1925" s="22" t="s">
        <v>8236</v>
      </c>
      <c r="D1925" s="22" t="s">
        <v>8237</v>
      </c>
      <c r="E1925" s="23" t="s">
        <v>84</v>
      </c>
      <c r="F1925" s="23" t="s">
        <v>112</v>
      </c>
      <c r="G1925" s="23" t="s">
        <v>26</v>
      </c>
      <c r="H1925" s="23" t="s">
        <v>8238</v>
      </c>
      <c r="I1925" s="23" t="s">
        <v>8239</v>
      </c>
      <c r="J1925" s="20">
        <v>10</v>
      </c>
      <c r="K1925" s="23" t="s">
        <v>206</v>
      </c>
      <c r="L1925" s="23" t="s">
        <v>16</v>
      </c>
      <c r="M1925" s="24"/>
    </row>
    <row r="1926" spans="1:13">
      <c r="A1926" s="19">
        <v>2511236</v>
      </c>
      <c r="B1926" s="20" t="s">
        <v>8240</v>
      </c>
      <c r="C1926" s="19" t="s">
        <v>8241</v>
      </c>
      <c r="D1926" s="19" t="s">
        <v>8242</v>
      </c>
      <c r="E1926" s="20" t="s">
        <v>84</v>
      </c>
      <c r="F1926" s="20" t="s">
        <v>85</v>
      </c>
      <c r="G1926" s="20" t="s">
        <v>26</v>
      </c>
      <c r="H1926" s="20" t="s">
        <v>8243</v>
      </c>
      <c r="I1926" s="20" t="s">
        <v>8243</v>
      </c>
      <c r="J1926" s="20">
        <v>11</v>
      </c>
      <c r="K1926" s="20" t="s">
        <v>206</v>
      </c>
      <c r="L1926" s="20" t="s">
        <v>16</v>
      </c>
      <c r="M1926" s="21"/>
    </row>
    <row r="1927" spans="1:13">
      <c r="A1927" s="19">
        <v>2527026</v>
      </c>
      <c r="B1927" s="20" t="s">
        <v>8244</v>
      </c>
      <c r="C1927" s="19" t="s">
        <v>8245</v>
      </c>
      <c r="D1927" s="19" t="s">
        <v>8246</v>
      </c>
      <c r="E1927" s="20" t="s">
        <v>84</v>
      </c>
      <c r="F1927" s="20" t="s">
        <v>112</v>
      </c>
      <c r="G1927" s="20" t="s">
        <v>26</v>
      </c>
      <c r="H1927" s="20" t="s">
        <v>8247</v>
      </c>
      <c r="I1927" s="20" t="s">
        <v>8248</v>
      </c>
      <c r="J1927" s="23">
        <v>1</v>
      </c>
      <c r="K1927" s="20" t="s">
        <v>19</v>
      </c>
      <c r="L1927" s="20" t="s">
        <v>16</v>
      </c>
      <c r="M1927" s="25" t="s">
        <v>86</v>
      </c>
    </row>
    <row r="1928" spans="1:13">
      <c r="A1928" s="19">
        <v>2521839</v>
      </c>
      <c r="B1928" s="20" t="s">
        <v>8249</v>
      </c>
      <c r="C1928" s="19" t="s">
        <v>8250</v>
      </c>
      <c r="D1928" s="19" t="s">
        <v>8251</v>
      </c>
      <c r="E1928" s="20" t="s">
        <v>84</v>
      </c>
      <c r="F1928" s="20" t="s">
        <v>112</v>
      </c>
      <c r="G1928" s="20" t="s">
        <v>26</v>
      </c>
      <c r="H1928" s="20" t="s">
        <v>8247</v>
      </c>
      <c r="I1928" s="20" t="s">
        <v>8252</v>
      </c>
      <c r="J1928" s="23">
        <v>3</v>
      </c>
      <c r="K1928" s="20" t="s">
        <v>19</v>
      </c>
      <c r="L1928" s="20" t="s">
        <v>18</v>
      </c>
      <c r="M1928" s="21"/>
    </row>
    <row r="1929" spans="1:13">
      <c r="A1929" s="22">
        <v>2526126</v>
      </c>
      <c r="B1929" s="23" t="s">
        <v>8253</v>
      </c>
      <c r="C1929" s="22" t="s">
        <v>8254</v>
      </c>
      <c r="D1929" s="22" t="s">
        <v>8255</v>
      </c>
      <c r="E1929" s="23" t="s">
        <v>84</v>
      </c>
      <c r="F1929" s="23" t="s">
        <v>85</v>
      </c>
      <c r="G1929" s="23" t="s">
        <v>26</v>
      </c>
      <c r="H1929" s="23" t="s">
        <v>8247</v>
      </c>
      <c r="I1929" s="23" t="s">
        <v>8256</v>
      </c>
      <c r="J1929" s="23">
        <v>3</v>
      </c>
      <c r="K1929" s="23" t="s">
        <v>19</v>
      </c>
      <c r="L1929" s="23" t="s">
        <v>16</v>
      </c>
      <c r="M1929" s="24"/>
    </row>
    <row r="1930" spans="1:13">
      <c r="A1930" s="19">
        <v>2530181</v>
      </c>
      <c r="B1930" s="20" t="s">
        <v>8257</v>
      </c>
      <c r="C1930" s="19" t="s">
        <v>8258</v>
      </c>
      <c r="D1930" s="19" t="s">
        <v>8259</v>
      </c>
      <c r="E1930" s="20" t="s">
        <v>84</v>
      </c>
      <c r="F1930" s="20" t="s">
        <v>85</v>
      </c>
      <c r="G1930" s="20" t="s">
        <v>26</v>
      </c>
      <c r="H1930" s="20" t="s">
        <v>8247</v>
      </c>
      <c r="I1930" s="20" t="s">
        <v>8260</v>
      </c>
      <c r="J1930" s="23">
        <v>3</v>
      </c>
      <c r="K1930" s="20" t="s">
        <v>19</v>
      </c>
      <c r="L1930" s="20" t="s">
        <v>18</v>
      </c>
      <c r="M1930" s="21"/>
    </row>
    <row r="1931" spans="1:13">
      <c r="A1931" s="22">
        <v>2533592</v>
      </c>
      <c r="B1931" s="23" t="s">
        <v>8261</v>
      </c>
      <c r="C1931" s="22" t="s">
        <v>8262</v>
      </c>
      <c r="D1931" s="22" t="s">
        <v>8263</v>
      </c>
      <c r="E1931" s="23" t="s">
        <v>84</v>
      </c>
      <c r="F1931" s="23" t="s">
        <v>112</v>
      </c>
      <c r="G1931" s="23" t="s">
        <v>26</v>
      </c>
      <c r="H1931" s="23" t="s">
        <v>8247</v>
      </c>
      <c r="I1931" s="23" t="s">
        <v>8264</v>
      </c>
      <c r="J1931" s="23">
        <v>3</v>
      </c>
      <c r="K1931" s="23" t="s">
        <v>19</v>
      </c>
      <c r="L1931" s="23" t="s">
        <v>18</v>
      </c>
      <c r="M1931" s="24"/>
    </row>
    <row r="1932" spans="1:13">
      <c r="A1932" s="22">
        <v>2526143</v>
      </c>
      <c r="B1932" s="23" t="s">
        <v>8265</v>
      </c>
      <c r="C1932" s="22" t="s">
        <v>8266</v>
      </c>
      <c r="D1932" s="22" t="s">
        <v>8267</v>
      </c>
      <c r="E1932" s="23" t="s">
        <v>84</v>
      </c>
      <c r="F1932" s="23" t="s">
        <v>85</v>
      </c>
      <c r="G1932" s="23" t="s">
        <v>26</v>
      </c>
      <c r="H1932" s="23" t="s">
        <v>8268</v>
      </c>
      <c r="I1932" s="23" t="s">
        <v>8269</v>
      </c>
      <c r="J1932" s="20">
        <v>2</v>
      </c>
      <c r="K1932" s="23" t="s">
        <v>19</v>
      </c>
      <c r="L1932" s="23" t="s">
        <v>18</v>
      </c>
      <c r="M1932" s="24"/>
    </row>
    <row r="1933" spans="1:13">
      <c r="A1933" s="22">
        <v>2529653</v>
      </c>
      <c r="B1933" s="23" t="s">
        <v>8270</v>
      </c>
      <c r="C1933" s="22" t="s">
        <v>8271</v>
      </c>
      <c r="D1933" s="22" t="s">
        <v>8272</v>
      </c>
      <c r="E1933" s="23" t="s">
        <v>84</v>
      </c>
      <c r="F1933" s="23" t="s">
        <v>112</v>
      </c>
      <c r="G1933" s="23" t="s">
        <v>26</v>
      </c>
      <c r="H1933" s="23" t="s">
        <v>8273</v>
      </c>
      <c r="I1933" s="23" t="s">
        <v>8274</v>
      </c>
      <c r="J1933" s="23">
        <v>1</v>
      </c>
      <c r="K1933" s="23" t="s">
        <v>19</v>
      </c>
      <c r="L1933" s="23" t="s">
        <v>16</v>
      </c>
      <c r="M1933" s="24"/>
    </row>
    <row r="1934" spans="1:13">
      <c r="A1934" s="22">
        <v>2529653</v>
      </c>
      <c r="B1934" s="23" t="s">
        <v>8270</v>
      </c>
      <c r="C1934" s="22" t="s">
        <v>8271</v>
      </c>
      <c r="D1934" s="22" t="s">
        <v>8272</v>
      </c>
      <c r="E1934" s="23" t="s">
        <v>84</v>
      </c>
      <c r="F1934" s="23" t="s">
        <v>112</v>
      </c>
      <c r="G1934" s="23" t="s">
        <v>26</v>
      </c>
      <c r="H1934" s="23" t="s">
        <v>8275</v>
      </c>
      <c r="I1934" s="23" t="s">
        <v>8276</v>
      </c>
      <c r="J1934" s="23">
        <v>1</v>
      </c>
      <c r="K1934" s="23" t="s">
        <v>19</v>
      </c>
      <c r="L1934" s="23" t="s">
        <v>16</v>
      </c>
      <c r="M1934" s="24"/>
    </row>
    <row r="1935" spans="1:13">
      <c r="A1935" s="19">
        <v>2529653</v>
      </c>
      <c r="B1935" s="20" t="s">
        <v>8270</v>
      </c>
      <c r="C1935" s="19" t="s">
        <v>8271</v>
      </c>
      <c r="D1935" s="19" t="s">
        <v>8272</v>
      </c>
      <c r="E1935" s="20" t="s">
        <v>84</v>
      </c>
      <c r="F1935" s="20" t="s">
        <v>112</v>
      </c>
      <c r="G1935" s="20" t="s">
        <v>26</v>
      </c>
      <c r="H1935" s="20" t="s">
        <v>8275</v>
      </c>
      <c r="I1935" s="20" t="s">
        <v>8276</v>
      </c>
      <c r="J1935" s="23">
        <v>1</v>
      </c>
      <c r="K1935" s="20" t="s">
        <v>19</v>
      </c>
      <c r="L1935" s="20" t="s">
        <v>16</v>
      </c>
      <c r="M1935" s="21"/>
    </row>
    <row r="1936" spans="1:13">
      <c r="A1936" s="22">
        <v>2527054</v>
      </c>
      <c r="B1936" s="23" t="s">
        <v>8277</v>
      </c>
      <c r="C1936" s="22" t="s">
        <v>8278</v>
      </c>
      <c r="D1936" s="22" t="s">
        <v>8279</v>
      </c>
      <c r="E1936" s="23" t="s">
        <v>84</v>
      </c>
      <c r="F1936" s="23" t="s">
        <v>85</v>
      </c>
      <c r="G1936" s="23" t="s">
        <v>26</v>
      </c>
      <c r="H1936" s="23" t="s">
        <v>8280</v>
      </c>
      <c r="I1936" s="23" t="s">
        <v>8280</v>
      </c>
      <c r="J1936" s="23">
        <v>1</v>
      </c>
      <c r="K1936" s="23" t="s">
        <v>19</v>
      </c>
      <c r="L1936" s="23" t="s">
        <v>18</v>
      </c>
      <c r="M1936" s="24"/>
    </row>
    <row r="1937" spans="1:13">
      <c r="A1937" s="22">
        <v>2531399</v>
      </c>
      <c r="B1937" s="23" t="s">
        <v>8281</v>
      </c>
      <c r="C1937" s="22" t="s">
        <v>8282</v>
      </c>
      <c r="D1937" s="22" t="s">
        <v>8283</v>
      </c>
      <c r="E1937" s="23" t="s">
        <v>84</v>
      </c>
      <c r="F1937" s="23" t="s">
        <v>112</v>
      </c>
      <c r="G1937" s="23" t="s">
        <v>26</v>
      </c>
      <c r="H1937" s="23" t="s">
        <v>8284</v>
      </c>
      <c r="I1937" s="23" t="s">
        <v>8285</v>
      </c>
      <c r="J1937" s="20">
        <v>2</v>
      </c>
      <c r="K1937" s="23" t="s">
        <v>19</v>
      </c>
      <c r="L1937" s="23" t="s">
        <v>16</v>
      </c>
      <c r="M1937" s="24"/>
    </row>
    <row r="1938" spans="1:13">
      <c r="A1938" s="22">
        <v>2521838</v>
      </c>
      <c r="B1938" s="23" t="s">
        <v>8286</v>
      </c>
      <c r="C1938" s="22" t="s">
        <v>8287</v>
      </c>
      <c r="D1938" s="22" t="s">
        <v>8288</v>
      </c>
      <c r="E1938" s="23" t="s">
        <v>84</v>
      </c>
      <c r="F1938" s="23" t="s">
        <v>112</v>
      </c>
      <c r="G1938" s="23" t="s">
        <v>26</v>
      </c>
      <c r="H1938" s="23" t="s">
        <v>8289</v>
      </c>
      <c r="I1938" s="23" t="s">
        <v>8290</v>
      </c>
      <c r="J1938" s="23">
        <v>3</v>
      </c>
      <c r="K1938" s="23" t="s">
        <v>19</v>
      </c>
      <c r="L1938" s="23" t="s">
        <v>16</v>
      </c>
      <c r="M1938" s="24"/>
    </row>
    <row r="1939" spans="1:13">
      <c r="A1939" s="19">
        <v>2530194</v>
      </c>
      <c r="B1939" s="20" t="s">
        <v>8291</v>
      </c>
      <c r="C1939" s="19" t="s">
        <v>8292</v>
      </c>
      <c r="D1939" s="19" t="s">
        <v>8293</v>
      </c>
      <c r="E1939" s="20" t="s">
        <v>84</v>
      </c>
      <c r="F1939" s="20" t="s">
        <v>85</v>
      </c>
      <c r="G1939" s="20" t="s">
        <v>26</v>
      </c>
      <c r="H1939" s="20" t="s">
        <v>8294</v>
      </c>
      <c r="I1939" s="20" t="s">
        <v>8295</v>
      </c>
      <c r="J1939" s="20">
        <v>2</v>
      </c>
      <c r="K1939" s="20" t="s">
        <v>19</v>
      </c>
      <c r="L1939" s="20" t="s">
        <v>16</v>
      </c>
      <c r="M1939" s="21"/>
    </row>
    <row r="1940" spans="1:13">
      <c r="A1940" s="19">
        <v>2530218</v>
      </c>
      <c r="B1940" s="20" t="s">
        <v>8296</v>
      </c>
      <c r="C1940" s="19" t="s">
        <v>8297</v>
      </c>
      <c r="D1940" s="19" t="s">
        <v>8298</v>
      </c>
      <c r="E1940" s="20" t="s">
        <v>84</v>
      </c>
      <c r="F1940" s="20" t="s">
        <v>85</v>
      </c>
      <c r="G1940" s="20" t="s">
        <v>26</v>
      </c>
      <c r="H1940" s="20" t="s">
        <v>8299</v>
      </c>
      <c r="I1940" s="20" t="s">
        <v>8260</v>
      </c>
      <c r="J1940" s="23">
        <v>3</v>
      </c>
      <c r="K1940" s="20" t="s">
        <v>19</v>
      </c>
      <c r="L1940" s="20" t="s">
        <v>16</v>
      </c>
      <c r="M1940" s="21"/>
    </row>
    <row r="1941" spans="1:13">
      <c r="A1941" s="19">
        <v>2530191</v>
      </c>
      <c r="B1941" s="20" t="s">
        <v>8300</v>
      </c>
      <c r="C1941" s="19" t="s">
        <v>8301</v>
      </c>
      <c r="D1941" s="19" t="s">
        <v>8302</v>
      </c>
      <c r="E1941" s="20" t="s">
        <v>84</v>
      </c>
      <c r="F1941" s="20" t="s">
        <v>85</v>
      </c>
      <c r="G1941" s="20" t="s">
        <v>26</v>
      </c>
      <c r="H1941" s="20" t="s">
        <v>8303</v>
      </c>
      <c r="I1941" s="20" t="s">
        <v>8304</v>
      </c>
      <c r="J1941" s="23">
        <v>3</v>
      </c>
      <c r="K1941" s="20" t="s">
        <v>19</v>
      </c>
      <c r="L1941" s="20" t="s">
        <v>16</v>
      </c>
      <c r="M1941" s="21" t="s">
        <v>1812</v>
      </c>
    </row>
    <row r="1942" spans="1:13">
      <c r="A1942" s="22">
        <v>2530218</v>
      </c>
      <c r="B1942" s="23" t="s">
        <v>8296</v>
      </c>
      <c r="C1942" s="22" t="s">
        <v>8297</v>
      </c>
      <c r="D1942" s="22" t="s">
        <v>8305</v>
      </c>
      <c r="E1942" s="23" t="s">
        <v>84</v>
      </c>
      <c r="F1942" s="23" t="s">
        <v>85</v>
      </c>
      <c r="G1942" s="23" t="s">
        <v>26</v>
      </c>
      <c r="H1942" s="23" t="s">
        <v>8306</v>
      </c>
      <c r="I1942" s="23" t="s">
        <v>8307</v>
      </c>
      <c r="J1942" s="23">
        <v>3</v>
      </c>
      <c r="K1942" s="23" t="s">
        <v>19</v>
      </c>
      <c r="L1942" s="23" t="s">
        <v>16</v>
      </c>
      <c r="M1942" s="24"/>
    </row>
    <row r="1943" spans="1:13">
      <c r="A1943" s="19">
        <v>2520973</v>
      </c>
      <c r="B1943" s="20" t="s">
        <v>8308</v>
      </c>
      <c r="C1943" s="19" t="s">
        <v>8309</v>
      </c>
      <c r="D1943" s="19" t="s">
        <v>8310</v>
      </c>
      <c r="E1943" s="20" t="s">
        <v>127</v>
      </c>
      <c r="F1943" s="20" t="s">
        <v>85</v>
      </c>
      <c r="G1943" s="20" t="s">
        <v>26</v>
      </c>
      <c r="H1943" s="20" t="s">
        <v>8306</v>
      </c>
      <c r="I1943" s="20" t="s">
        <v>8264</v>
      </c>
      <c r="J1943" s="20">
        <v>4</v>
      </c>
      <c r="K1943" s="20" t="s">
        <v>19</v>
      </c>
      <c r="L1943" s="20" t="s">
        <v>16</v>
      </c>
      <c r="M1943" s="21" t="s">
        <v>8311</v>
      </c>
    </row>
    <row r="1944" spans="1:13">
      <c r="A1944" s="19">
        <v>2519612</v>
      </c>
      <c r="B1944" s="20" t="s">
        <v>8312</v>
      </c>
      <c r="C1944" s="19" t="s">
        <v>8313</v>
      </c>
      <c r="D1944" s="19" t="s">
        <v>8314</v>
      </c>
      <c r="E1944" s="20" t="s">
        <v>84</v>
      </c>
      <c r="F1944" s="20" t="s">
        <v>85</v>
      </c>
      <c r="G1944" s="20" t="s">
        <v>26</v>
      </c>
      <c r="H1944" s="20" t="s">
        <v>8315</v>
      </c>
      <c r="I1944" s="20" t="s">
        <v>8316</v>
      </c>
      <c r="J1944" s="23">
        <v>3</v>
      </c>
      <c r="K1944" s="20" t="s">
        <v>19</v>
      </c>
      <c r="L1944" s="20" t="s">
        <v>16</v>
      </c>
      <c r="M1944" s="21"/>
    </row>
    <row r="1945" spans="1:13">
      <c r="A1945" s="19">
        <v>2529573</v>
      </c>
      <c r="B1945" s="20" t="s">
        <v>8317</v>
      </c>
      <c r="C1945" s="19" t="s">
        <v>8318</v>
      </c>
      <c r="D1945" s="19" t="s">
        <v>8319</v>
      </c>
      <c r="E1945" s="20" t="s">
        <v>84</v>
      </c>
      <c r="F1945" s="20" t="s">
        <v>112</v>
      </c>
      <c r="G1945" s="20" t="s">
        <v>26</v>
      </c>
      <c r="H1945" s="20" t="s">
        <v>8320</v>
      </c>
      <c r="I1945" s="20" t="s">
        <v>8321</v>
      </c>
      <c r="J1945" s="20">
        <v>6</v>
      </c>
      <c r="K1945" s="20" t="s">
        <v>206</v>
      </c>
      <c r="L1945" s="20" t="s">
        <v>18</v>
      </c>
      <c r="M1945" s="21" t="s">
        <v>49</v>
      </c>
    </row>
    <row r="1946" spans="1:13">
      <c r="A1946" s="19">
        <v>2531400</v>
      </c>
      <c r="B1946" s="20" t="s">
        <v>8322</v>
      </c>
      <c r="C1946" s="19" t="s">
        <v>8323</v>
      </c>
      <c r="D1946" s="19" t="s">
        <v>8283</v>
      </c>
      <c r="E1946" s="20" t="s">
        <v>84</v>
      </c>
      <c r="F1946" s="20" t="s">
        <v>85</v>
      </c>
      <c r="G1946" s="20" t="s">
        <v>26</v>
      </c>
      <c r="H1946" s="20" t="s">
        <v>8324</v>
      </c>
      <c r="I1946" s="20" t="s">
        <v>8325</v>
      </c>
      <c r="J1946" s="23">
        <v>1</v>
      </c>
      <c r="K1946" s="20" t="s">
        <v>8326</v>
      </c>
      <c r="L1946" s="20" t="s">
        <v>16</v>
      </c>
      <c r="M1946" s="21"/>
    </row>
    <row r="1947" spans="1:13">
      <c r="A1947" s="22">
        <v>2531400</v>
      </c>
      <c r="B1947" s="23" t="s">
        <v>8327</v>
      </c>
      <c r="C1947" s="22" t="s">
        <v>8323</v>
      </c>
      <c r="D1947" s="22" t="s">
        <v>8283</v>
      </c>
      <c r="E1947" s="23" t="s">
        <v>84</v>
      </c>
      <c r="F1947" s="23" t="s">
        <v>85</v>
      </c>
      <c r="G1947" s="23" t="s">
        <v>26</v>
      </c>
      <c r="H1947" s="23" t="s">
        <v>8328</v>
      </c>
      <c r="I1947" s="23" t="s">
        <v>8256</v>
      </c>
      <c r="J1947" s="23">
        <v>1</v>
      </c>
      <c r="K1947" s="23" t="s">
        <v>8326</v>
      </c>
      <c r="L1947" s="23" t="s">
        <v>16</v>
      </c>
      <c r="M1947" s="30" t="s">
        <v>4497</v>
      </c>
    </row>
    <row r="1948" spans="1:13">
      <c r="A1948" s="19">
        <v>2526133</v>
      </c>
      <c r="B1948" s="20" t="s">
        <v>8329</v>
      </c>
      <c r="C1948" s="19" t="s">
        <v>8330</v>
      </c>
      <c r="D1948" s="19" t="s">
        <v>8331</v>
      </c>
      <c r="E1948" s="20" t="s">
        <v>84</v>
      </c>
      <c r="F1948" s="20" t="s">
        <v>85</v>
      </c>
      <c r="G1948" s="20" t="s">
        <v>26</v>
      </c>
      <c r="H1948" s="20" t="s">
        <v>8332</v>
      </c>
      <c r="I1948" s="20" t="s">
        <v>8333</v>
      </c>
      <c r="J1948" s="20">
        <v>2</v>
      </c>
      <c r="K1948" s="20" t="s">
        <v>19</v>
      </c>
      <c r="L1948" s="20" t="s">
        <v>16</v>
      </c>
      <c r="M1948" s="21" t="s">
        <v>49</v>
      </c>
    </row>
    <row r="1949" spans="1:13">
      <c r="A1949" s="19">
        <v>2512369</v>
      </c>
      <c r="B1949" s="20" t="s">
        <v>8334</v>
      </c>
      <c r="C1949" s="19" t="s">
        <v>8335</v>
      </c>
      <c r="D1949" s="19" t="s">
        <v>8336</v>
      </c>
      <c r="E1949" s="20" t="s">
        <v>84</v>
      </c>
      <c r="F1949" s="20" t="s">
        <v>85</v>
      </c>
      <c r="G1949" s="20" t="s">
        <v>26</v>
      </c>
      <c r="H1949" s="20" t="s">
        <v>8337</v>
      </c>
      <c r="I1949" s="20" t="s">
        <v>8338</v>
      </c>
      <c r="J1949" s="20">
        <v>23</v>
      </c>
      <c r="K1949" s="20" t="s">
        <v>967</v>
      </c>
      <c r="L1949" s="20" t="s">
        <v>16</v>
      </c>
      <c r="M1949" s="21"/>
    </row>
    <row r="1950" spans="1:13">
      <c r="A1950" s="22">
        <v>2531359</v>
      </c>
      <c r="B1950" s="23" t="s">
        <v>8339</v>
      </c>
      <c r="C1950" s="22" t="s">
        <v>8340</v>
      </c>
      <c r="D1950" s="22" t="s">
        <v>8341</v>
      </c>
      <c r="E1950" s="23" t="s">
        <v>84</v>
      </c>
      <c r="F1950" s="23" t="s">
        <v>92</v>
      </c>
      <c r="G1950" s="23" t="s">
        <v>27</v>
      </c>
      <c r="H1950" s="23" t="s">
        <v>8342</v>
      </c>
      <c r="I1950" s="23" t="s">
        <v>8343</v>
      </c>
      <c r="J1950" s="23">
        <v>8</v>
      </c>
      <c r="K1950" s="23" t="s">
        <v>967</v>
      </c>
      <c r="L1950" s="23" t="s">
        <v>16</v>
      </c>
      <c r="M1950" s="24" t="s">
        <v>6809</v>
      </c>
    </row>
    <row r="1951" spans="1:13">
      <c r="A1951" s="22">
        <v>2516768</v>
      </c>
      <c r="B1951" s="23" t="s">
        <v>8344</v>
      </c>
      <c r="C1951" s="22" t="s">
        <v>8345</v>
      </c>
      <c r="D1951" s="22" t="s">
        <v>8346</v>
      </c>
      <c r="E1951" s="23" t="s">
        <v>84</v>
      </c>
      <c r="F1951" s="23" t="s">
        <v>85</v>
      </c>
      <c r="G1951" s="23" t="s">
        <v>26</v>
      </c>
      <c r="H1951" s="23" t="s">
        <v>8347</v>
      </c>
      <c r="I1951" s="23" t="s">
        <v>8343</v>
      </c>
      <c r="J1951" s="23">
        <v>19</v>
      </c>
      <c r="K1951" s="23" t="s">
        <v>967</v>
      </c>
      <c r="L1951" s="23" t="s">
        <v>16</v>
      </c>
      <c r="M1951" s="24"/>
    </row>
    <row r="1952" spans="1:13">
      <c r="A1952" s="22">
        <v>2529641</v>
      </c>
      <c r="B1952" s="23" t="s">
        <v>8348</v>
      </c>
      <c r="C1952" s="22" t="s">
        <v>8349</v>
      </c>
      <c r="D1952" s="22" t="s">
        <v>8350</v>
      </c>
      <c r="E1952" s="23" t="s">
        <v>84</v>
      </c>
      <c r="F1952" s="23" t="s">
        <v>92</v>
      </c>
      <c r="G1952" s="23" t="s">
        <v>26</v>
      </c>
      <c r="H1952" s="23" t="s">
        <v>8347</v>
      </c>
      <c r="I1952" s="23" t="s">
        <v>8351</v>
      </c>
      <c r="J1952" s="23">
        <v>21</v>
      </c>
      <c r="K1952" s="23" t="s">
        <v>967</v>
      </c>
      <c r="L1952" s="23" t="s">
        <v>16</v>
      </c>
      <c r="M1952" s="24"/>
    </row>
    <row r="1953" spans="1:13">
      <c r="A1953" s="19">
        <v>2516798</v>
      </c>
      <c r="B1953" s="20" t="s">
        <v>8352</v>
      </c>
      <c r="C1953" s="19" t="s">
        <v>8353</v>
      </c>
      <c r="D1953" s="19" t="s">
        <v>8354</v>
      </c>
      <c r="E1953" s="20" t="s">
        <v>84</v>
      </c>
      <c r="F1953" s="20" t="s">
        <v>92</v>
      </c>
      <c r="G1953" s="20" t="s">
        <v>27</v>
      </c>
      <c r="H1953" s="20" t="s">
        <v>8355</v>
      </c>
      <c r="I1953" s="20" t="s">
        <v>8356</v>
      </c>
      <c r="J1953" s="20">
        <v>2</v>
      </c>
      <c r="K1953" s="20" t="s">
        <v>19</v>
      </c>
      <c r="L1953" s="20" t="s">
        <v>16</v>
      </c>
      <c r="M1953" s="21" t="s">
        <v>49</v>
      </c>
    </row>
    <row r="1954" spans="1:13">
      <c r="A1954" s="22">
        <v>2521738</v>
      </c>
      <c r="B1954" s="23" t="s">
        <v>8357</v>
      </c>
      <c r="C1954" s="22" t="s">
        <v>8358</v>
      </c>
      <c r="D1954" s="22" t="s">
        <v>8359</v>
      </c>
      <c r="E1954" s="23" t="s">
        <v>84</v>
      </c>
      <c r="F1954" s="23" t="s">
        <v>92</v>
      </c>
      <c r="G1954" s="23" t="s">
        <v>27</v>
      </c>
      <c r="H1954" s="23" t="s">
        <v>8360</v>
      </c>
      <c r="I1954" s="23" t="s">
        <v>8361</v>
      </c>
      <c r="J1954" s="23">
        <v>7</v>
      </c>
      <c r="K1954" s="23" t="s">
        <v>107</v>
      </c>
      <c r="L1954" s="23" t="s">
        <v>18</v>
      </c>
      <c r="M1954" s="24"/>
    </row>
    <row r="1955" spans="1:13">
      <c r="A1955" s="22">
        <v>2521741</v>
      </c>
      <c r="B1955" s="23" t="s">
        <v>8362</v>
      </c>
      <c r="C1955" s="22" t="s">
        <v>8363</v>
      </c>
      <c r="D1955" s="22" t="s">
        <v>6005</v>
      </c>
      <c r="E1955" s="23" t="s">
        <v>415</v>
      </c>
      <c r="F1955" s="23" t="s">
        <v>85</v>
      </c>
      <c r="G1955" s="23" t="s">
        <v>26</v>
      </c>
      <c r="H1955" s="23" t="s">
        <v>8360</v>
      </c>
      <c r="I1955" s="23" t="s">
        <v>8364</v>
      </c>
      <c r="J1955" s="23">
        <v>7</v>
      </c>
      <c r="K1955" s="23" t="s">
        <v>107</v>
      </c>
      <c r="L1955" s="23" t="s">
        <v>18</v>
      </c>
      <c r="M1955" s="24"/>
    </row>
    <row r="1956" spans="1:13">
      <c r="A1956" s="22">
        <v>2521746</v>
      </c>
      <c r="B1956" s="23" t="s">
        <v>8365</v>
      </c>
      <c r="C1956" s="22" t="s">
        <v>8366</v>
      </c>
      <c r="D1956" s="22" t="s">
        <v>6005</v>
      </c>
      <c r="E1956" s="23" t="s">
        <v>415</v>
      </c>
      <c r="F1956" s="23" t="s">
        <v>85</v>
      </c>
      <c r="G1956" s="23" t="s">
        <v>27</v>
      </c>
      <c r="H1956" s="23" t="s">
        <v>8367</v>
      </c>
      <c r="I1956" s="23" t="s">
        <v>8368</v>
      </c>
      <c r="J1956" s="23">
        <v>7</v>
      </c>
      <c r="K1956" s="23" t="s">
        <v>107</v>
      </c>
      <c r="L1956" s="23" t="s">
        <v>16</v>
      </c>
      <c r="M1956" s="24"/>
    </row>
    <row r="1957" spans="1:13">
      <c r="A1957" s="19">
        <v>2521743</v>
      </c>
      <c r="B1957" s="20" t="s">
        <v>8369</v>
      </c>
      <c r="C1957" s="19" t="s">
        <v>8370</v>
      </c>
      <c r="D1957" s="19" t="s">
        <v>8366</v>
      </c>
      <c r="E1957" s="20" t="s">
        <v>415</v>
      </c>
      <c r="F1957" s="20" t="s">
        <v>85</v>
      </c>
      <c r="G1957" s="20" t="s">
        <v>27</v>
      </c>
      <c r="H1957" s="20" t="s">
        <v>8367</v>
      </c>
      <c r="I1957" s="20" t="s">
        <v>8371</v>
      </c>
      <c r="J1957" s="20">
        <v>7</v>
      </c>
      <c r="K1957" s="20" t="s">
        <v>107</v>
      </c>
      <c r="L1957" s="20" t="s">
        <v>16</v>
      </c>
      <c r="M1957" s="21"/>
    </row>
    <row r="1958" spans="1:13">
      <c r="A1958" s="22">
        <v>2532953</v>
      </c>
      <c r="B1958" s="23" t="s">
        <v>8372</v>
      </c>
      <c r="C1958" s="22" t="s">
        <v>8373</v>
      </c>
      <c r="D1958" s="22" t="s">
        <v>8374</v>
      </c>
      <c r="E1958" s="23" t="s">
        <v>84</v>
      </c>
      <c r="F1958" s="23" t="s">
        <v>85</v>
      </c>
      <c r="G1958" s="23" t="s">
        <v>27</v>
      </c>
      <c r="H1958" s="23" t="s">
        <v>8375</v>
      </c>
      <c r="I1958" s="23" t="s">
        <v>8376</v>
      </c>
      <c r="J1958" s="23">
        <v>7</v>
      </c>
      <c r="K1958" s="23" t="s">
        <v>206</v>
      </c>
      <c r="L1958" s="23" t="s">
        <v>16</v>
      </c>
      <c r="M1958" s="24"/>
    </row>
    <row r="1959" spans="1:13">
      <c r="A1959" s="22">
        <v>2521730</v>
      </c>
      <c r="B1959" s="23" t="s">
        <v>8377</v>
      </c>
      <c r="C1959" s="22" t="s">
        <v>8378</v>
      </c>
      <c r="D1959" s="22" t="s">
        <v>8379</v>
      </c>
      <c r="E1959" s="23" t="s">
        <v>84</v>
      </c>
      <c r="F1959" s="23" t="s">
        <v>85</v>
      </c>
      <c r="G1959" s="23" t="s">
        <v>27</v>
      </c>
      <c r="H1959" s="23" t="s">
        <v>8380</v>
      </c>
      <c r="I1959" s="23" t="s">
        <v>8381</v>
      </c>
      <c r="J1959" s="23">
        <v>7</v>
      </c>
      <c r="K1959" s="23" t="s">
        <v>107</v>
      </c>
      <c r="L1959" s="23" t="s">
        <v>18</v>
      </c>
      <c r="M1959" s="24"/>
    </row>
    <row r="1960" spans="1:13">
      <c r="A1960" s="19">
        <v>2529778</v>
      </c>
      <c r="B1960" s="20" t="s">
        <v>8382</v>
      </c>
      <c r="C1960" s="19" t="s">
        <v>8383</v>
      </c>
      <c r="D1960" s="19" t="s">
        <v>8384</v>
      </c>
      <c r="E1960" s="20" t="s">
        <v>84</v>
      </c>
      <c r="F1960" s="20" t="s">
        <v>112</v>
      </c>
      <c r="G1960" s="20" t="s">
        <v>28</v>
      </c>
      <c r="H1960" s="20" t="s">
        <v>8385</v>
      </c>
      <c r="I1960" s="20" t="s">
        <v>8386</v>
      </c>
      <c r="J1960" s="20">
        <v>2</v>
      </c>
      <c r="K1960" s="20" t="s">
        <v>221</v>
      </c>
      <c r="L1960" s="20" t="s">
        <v>18</v>
      </c>
      <c r="M1960" s="21" t="s">
        <v>16</v>
      </c>
    </row>
    <row r="1961" spans="1:13">
      <c r="A1961" s="19">
        <v>2532899</v>
      </c>
      <c r="B1961" s="20" t="s">
        <v>8387</v>
      </c>
      <c r="C1961" s="19" t="s">
        <v>8388</v>
      </c>
      <c r="D1961" s="19" t="s">
        <v>8389</v>
      </c>
      <c r="E1961" s="20" t="s">
        <v>84</v>
      </c>
      <c r="F1961" s="20" t="s">
        <v>92</v>
      </c>
      <c r="G1961" s="20" t="s">
        <v>26</v>
      </c>
      <c r="H1961" s="20" t="s">
        <v>8390</v>
      </c>
      <c r="I1961" s="20" t="s">
        <v>8391</v>
      </c>
      <c r="J1961" s="20">
        <v>4</v>
      </c>
      <c r="K1961" s="20" t="s">
        <v>19</v>
      </c>
      <c r="L1961" s="20" t="s">
        <v>16</v>
      </c>
      <c r="M1961" s="21"/>
    </row>
    <row r="1962" spans="1:13">
      <c r="A1962" s="22">
        <v>2511232</v>
      </c>
      <c r="B1962" s="23" t="s">
        <v>8392</v>
      </c>
      <c r="C1962" s="22" t="s">
        <v>8393</v>
      </c>
      <c r="D1962" s="22" t="s">
        <v>8394</v>
      </c>
      <c r="E1962" s="23" t="s">
        <v>127</v>
      </c>
      <c r="F1962" s="23" t="s">
        <v>85</v>
      </c>
      <c r="G1962" s="23" t="s">
        <v>26</v>
      </c>
      <c r="H1962" s="23" t="s">
        <v>8395</v>
      </c>
      <c r="I1962" s="23" t="s">
        <v>8396</v>
      </c>
      <c r="J1962" s="20">
        <v>2</v>
      </c>
      <c r="K1962" s="23" t="s">
        <v>206</v>
      </c>
      <c r="L1962" s="23" t="s">
        <v>16</v>
      </c>
      <c r="M1962" s="24"/>
    </row>
    <row r="1963" spans="1:13">
      <c r="A1963" s="19">
        <v>2511254</v>
      </c>
      <c r="B1963" s="20" t="s">
        <v>8397</v>
      </c>
      <c r="C1963" s="19" t="s">
        <v>8398</v>
      </c>
      <c r="D1963" s="19" t="s">
        <v>8399</v>
      </c>
      <c r="E1963" s="20" t="s">
        <v>84</v>
      </c>
      <c r="F1963" s="20" t="s">
        <v>85</v>
      </c>
      <c r="G1963" s="20" t="s">
        <v>26</v>
      </c>
      <c r="H1963" s="20" t="s">
        <v>8400</v>
      </c>
      <c r="I1963" s="20" t="s">
        <v>8401</v>
      </c>
      <c r="J1963" s="20">
        <v>2</v>
      </c>
      <c r="K1963" s="20" t="s">
        <v>206</v>
      </c>
      <c r="L1963" s="20" t="s">
        <v>18</v>
      </c>
      <c r="M1963" s="21"/>
    </row>
    <row r="1964" spans="1:13">
      <c r="A1964" s="22">
        <v>2532903</v>
      </c>
      <c r="B1964" s="23" t="s">
        <v>8402</v>
      </c>
      <c r="C1964" s="22" t="s">
        <v>8403</v>
      </c>
      <c r="D1964" s="22" t="s">
        <v>8404</v>
      </c>
      <c r="E1964" s="23" t="s">
        <v>84</v>
      </c>
      <c r="F1964" s="23" t="s">
        <v>92</v>
      </c>
      <c r="G1964" s="23" t="s">
        <v>26</v>
      </c>
      <c r="H1964" s="23" t="s">
        <v>8405</v>
      </c>
      <c r="I1964" s="23" t="s">
        <v>8405</v>
      </c>
      <c r="J1964" s="20">
        <v>4</v>
      </c>
      <c r="K1964" s="23" t="s">
        <v>19</v>
      </c>
      <c r="L1964" s="23" t="s">
        <v>16</v>
      </c>
      <c r="M1964" s="24"/>
    </row>
    <row r="1965" spans="1:13">
      <c r="A1965" s="19">
        <v>2507395</v>
      </c>
      <c r="B1965" s="20" t="s">
        <v>8406</v>
      </c>
      <c r="C1965" s="19" t="s">
        <v>8407</v>
      </c>
      <c r="D1965" s="19" t="s">
        <v>8408</v>
      </c>
      <c r="E1965" s="20" t="s">
        <v>84</v>
      </c>
      <c r="F1965" s="20" t="s">
        <v>112</v>
      </c>
      <c r="G1965" s="20" t="s">
        <v>27</v>
      </c>
      <c r="H1965" s="20" t="s">
        <v>8409</v>
      </c>
      <c r="I1965" s="20" t="s">
        <v>8409</v>
      </c>
      <c r="J1965" s="20">
        <v>5</v>
      </c>
      <c r="K1965" s="20" t="s">
        <v>967</v>
      </c>
      <c r="L1965" s="20" t="s">
        <v>18</v>
      </c>
      <c r="M1965" s="21"/>
    </row>
    <row r="1966" spans="1:13">
      <c r="A1966" s="22">
        <v>2516793</v>
      </c>
      <c r="B1966" s="23" t="s">
        <v>8410</v>
      </c>
      <c r="C1966" s="22" t="s">
        <v>8411</v>
      </c>
      <c r="D1966" s="22" t="s">
        <v>8412</v>
      </c>
      <c r="E1966" s="23" t="s">
        <v>384</v>
      </c>
      <c r="F1966" s="23" t="s">
        <v>92</v>
      </c>
      <c r="G1966" s="23" t="s">
        <v>27</v>
      </c>
      <c r="H1966" s="23" t="s">
        <v>8413</v>
      </c>
      <c r="I1966" s="23" t="s">
        <v>8414</v>
      </c>
      <c r="J1966" s="23">
        <v>15</v>
      </c>
      <c r="K1966" s="23" t="s">
        <v>19</v>
      </c>
      <c r="L1966" s="23" t="s">
        <v>16</v>
      </c>
      <c r="M1966" s="24"/>
    </row>
    <row r="1967" spans="1:13">
      <c r="A1967" s="22">
        <v>2516793</v>
      </c>
      <c r="B1967" s="23" t="s">
        <v>8410</v>
      </c>
      <c r="C1967" s="22" t="s">
        <v>8411</v>
      </c>
      <c r="D1967" s="22" t="s">
        <v>8412</v>
      </c>
      <c r="E1967" s="23" t="s">
        <v>384</v>
      </c>
      <c r="F1967" s="23" t="s">
        <v>92</v>
      </c>
      <c r="G1967" s="23" t="s">
        <v>27</v>
      </c>
      <c r="H1967" s="23" t="s">
        <v>8413</v>
      </c>
      <c r="I1967" s="23" t="s">
        <v>8414</v>
      </c>
      <c r="J1967" s="36">
        <v>5</v>
      </c>
      <c r="K1967" s="23" t="s">
        <v>19</v>
      </c>
      <c r="L1967" s="23" t="s">
        <v>16</v>
      </c>
      <c r="M1967" s="24"/>
    </row>
    <row r="1968" spans="1:13">
      <c r="A1968" s="22">
        <v>2516793</v>
      </c>
      <c r="B1968" s="23" t="s">
        <v>8410</v>
      </c>
      <c r="C1968" s="22" t="s">
        <v>8411</v>
      </c>
      <c r="D1968" s="22" t="s">
        <v>8412</v>
      </c>
      <c r="E1968" s="23" t="s">
        <v>384</v>
      </c>
      <c r="F1968" s="23" t="s">
        <v>92</v>
      </c>
      <c r="G1968" s="23" t="s">
        <v>27</v>
      </c>
      <c r="H1968" s="23" t="s">
        <v>8413</v>
      </c>
      <c r="I1968" s="23" t="s">
        <v>8414</v>
      </c>
      <c r="J1968" s="23">
        <v>15</v>
      </c>
      <c r="K1968" s="23" t="s">
        <v>19</v>
      </c>
      <c r="L1968" s="23" t="s">
        <v>16</v>
      </c>
      <c r="M1968" s="24"/>
    </row>
    <row r="1969" spans="1:13">
      <c r="A1969" s="22">
        <v>2529570</v>
      </c>
      <c r="B1969" s="23" t="s">
        <v>8415</v>
      </c>
      <c r="C1969" s="22" t="s">
        <v>8416</v>
      </c>
      <c r="D1969" s="22" t="s">
        <v>8417</v>
      </c>
      <c r="E1969" s="23" t="s">
        <v>84</v>
      </c>
      <c r="F1969" s="23" t="s">
        <v>112</v>
      </c>
      <c r="G1969" s="23" t="s">
        <v>27</v>
      </c>
      <c r="H1969" s="23" t="s">
        <v>8418</v>
      </c>
      <c r="I1969" s="23" t="s">
        <v>8419</v>
      </c>
      <c r="J1969" s="23">
        <v>1</v>
      </c>
      <c r="K1969" s="23" t="s">
        <v>8420</v>
      </c>
      <c r="L1969" s="23" t="s">
        <v>18</v>
      </c>
      <c r="M1969" s="24"/>
    </row>
    <row r="1970" spans="1:13">
      <c r="A1970" s="22">
        <v>2533033</v>
      </c>
      <c r="B1970" s="23" t="s">
        <v>8421</v>
      </c>
      <c r="C1970" s="22" t="s">
        <v>8422</v>
      </c>
      <c r="D1970" s="22" t="s">
        <v>8423</v>
      </c>
      <c r="E1970" s="23" t="s">
        <v>84</v>
      </c>
      <c r="F1970" s="23" t="s">
        <v>92</v>
      </c>
      <c r="G1970" s="23" t="s">
        <v>26</v>
      </c>
      <c r="H1970" s="23" t="s">
        <v>8424</v>
      </c>
      <c r="I1970" s="23" t="s">
        <v>8425</v>
      </c>
      <c r="J1970" s="23">
        <v>3</v>
      </c>
      <c r="K1970" s="23" t="s">
        <v>19</v>
      </c>
      <c r="L1970" s="23" t="s">
        <v>16</v>
      </c>
      <c r="M1970" s="24"/>
    </row>
    <row r="1971" spans="1:13">
      <c r="A1971" s="22">
        <v>2532912</v>
      </c>
      <c r="B1971" s="23" t="s">
        <v>8426</v>
      </c>
      <c r="C1971" s="22" t="s">
        <v>8427</v>
      </c>
      <c r="D1971" s="22" t="s">
        <v>8428</v>
      </c>
      <c r="E1971" s="23" t="s">
        <v>127</v>
      </c>
      <c r="F1971" s="23" t="s">
        <v>92</v>
      </c>
      <c r="G1971" s="23" t="s">
        <v>26</v>
      </c>
      <c r="H1971" s="23" t="s">
        <v>8429</v>
      </c>
      <c r="I1971" s="23" t="s">
        <v>8429</v>
      </c>
      <c r="J1971" s="34" t="s">
        <v>34</v>
      </c>
      <c r="K1971" s="23" t="s">
        <v>107</v>
      </c>
      <c r="L1971" s="23" t="s">
        <v>16</v>
      </c>
      <c r="M1971" s="24"/>
    </row>
    <row r="1972" spans="1:13">
      <c r="A1972" s="19">
        <v>2532910</v>
      </c>
      <c r="B1972" s="20" t="s">
        <v>8430</v>
      </c>
      <c r="C1972" s="19" t="s">
        <v>8431</v>
      </c>
      <c r="D1972" s="19" t="s">
        <v>8432</v>
      </c>
      <c r="E1972" s="20" t="s">
        <v>84</v>
      </c>
      <c r="F1972" s="20" t="s">
        <v>92</v>
      </c>
      <c r="G1972" s="20" t="s">
        <v>26</v>
      </c>
      <c r="H1972" s="20" t="s">
        <v>8433</v>
      </c>
      <c r="I1972" s="20" t="s">
        <v>8434</v>
      </c>
      <c r="J1972" s="23">
        <v>1</v>
      </c>
      <c r="K1972" s="20" t="s">
        <v>107</v>
      </c>
      <c r="L1972" s="20" t="s">
        <v>16</v>
      </c>
      <c r="M1972" s="21"/>
    </row>
    <row r="1973" spans="1:13">
      <c r="A1973" s="19">
        <v>2533072</v>
      </c>
      <c r="B1973" s="20" t="s">
        <v>8435</v>
      </c>
      <c r="C1973" s="19" t="s">
        <v>8436</v>
      </c>
      <c r="D1973" s="19" t="s">
        <v>8437</v>
      </c>
      <c r="E1973" s="20" t="s">
        <v>84</v>
      </c>
      <c r="F1973" s="20" t="s">
        <v>92</v>
      </c>
      <c r="G1973" s="20" t="s">
        <v>26</v>
      </c>
      <c r="H1973" s="20" t="s">
        <v>8438</v>
      </c>
      <c r="I1973" s="20" t="s">
        <v>8439</v>
      </c>
      <c r="J1973" s="20">
        <v>4</v>
      </c>
      <c r="K1973" s="20" t="s">
        <v>107</v>
      </c>
      <c r="L1973" s="20" t="s">
        <v>16</v>
      </c>
      <c r="M1973" s="21"/>
    </row>
    <row r="1974" spans="1:13">
      <c r="A1974" s="22">
        <v>2533072</v>
      </c>
      <c r="B1974" s="23" t="s">
        <v>8435</v>
      </c>
      <c r="C1974" s="22" t="s">
        <v>8436</v>
      </c>
      <c r="D1974" s="22" t="s">
        <v>8437</v>
      </c>
      <c r="E1974" s="23" t="s">
        <v>84</v>
      </c>
      <c r="F1974" s="23" t="s">
        <v>92</v>
      </c>
      <c r="G1974" s="23" t="s">
        <v>26</v>
      </c>
      <c r="H1974" s="23" t="s">
        <v>8439</v>
      </c>
      <c r="I1974" s="23" t="s">
        <v>8439</v>
      </c>
      <c r="J1974" s="20">
        <v>4</v>
      </c>
      <c r="K1974" s="23" t="s">
        <v>107</v>
      </c>
      <c r="L1974" s="23" t="s">
        <v>16</v>
      </c>
      <c r="M1974" s="24"/>
    </row>
    <row r="1975" spans="1:13">
      <c r="A1975" s="19">
        <v>2531987</v>
      </c>
      <c r="B1975" s="20" t="s">
        <v>8440</v>
      </c>
      <c r="C1975" s="19" t="s">
        <v>8441</v>
      </c>
      <c r="D1975" s="19" t="s">
        <v>8442</v>
      </c>
      <c r="E1975" s="20" t="s">
        <v>84</v>
      </c>
      <c r="F1975" s="20" t="s">
        <v>92</v>
      </c>
      <c r="G1975" s="20" t="s">
        <v>26</v>
      </c>
      <c r="H1975" s="20" t="s">
        <v>8443</v>
      </c>
      <c r="I1975" s="20" t="s">
        <v>8444</v>
      </c>
      <c r="J1975" s="23">
        <v>3</v>
      </c>
      <c r="K1975" s="20" t="s">
        <v>17</v>
      </c>
      <c r="L1975" s="20" t="s">
        <v>16</v>
      </c>
      <c r="M1975" s="21"/>
    </row>
    <row r="1976" spans="1:13">
      <c r="A1976" s="19">
        <v>2533571</v>
      </c>
      <c r="B1976" s="20" t="s">
        <v>8445</v>
      </c>
      <c r="C1976" s="19" t="s">
        <v>8446</v>
      </c>
      <c r="D1976" s="19" t="s">
        <v>8447</v>
      </c>
      <c r="E1976" s="20" t="s">
        <v>127</v>
      </c>
      <c r="F1976" s="20" t="s">
        <v>172</v>
      </c>
      <c r="G1976" s="20" t="s">
        <v>26</v>
      </c>
      <c r="H1976" s="20" t="s">
        <v>8448</v>
      </c>
      <c r="I1976" s="20" t="s">
        <v>8449</v>
      </c>
      <c r="J1976" s="23">
        <v>1</v>
      </c>
      <c r="K1976" s="20" t="s">
        <v>17</v>
      </c>
      <c r="L1976" s="20" t="s">
        <v>16</v>
      </c>
      <c r="M1976" s="21" t="s">
        <v>864</v>
      </c>
    </row>
    <row r="1977" spans="1:13">
      <c r="A1977" s="19">
        <v>2521722</v>
      </c>
      <c r="B1977" s="20" t="s">
        <v>8450</v>
      </c>
      <c r="C1977" s="19" t="s">
        <v>8451</v>
      </c>
      <c r="D1977" s="19" t="s">
        <v>8452</v>
      </c>
      <c r="E1977" s="20" t="s">
        <v>84</v>
      </c>
      <c r="F1977" s="20" t="s">
        <v>92</v>
      </c>
      <c r="G1977" s="20" t="s">
        <v>26</v>
      </c>
      <c r="H1977" s="20" t="s">
        <v>8453</v>
      </c>
      <c r="I1977" s="20" t="s">
        <v>8454</v>
      </c>
      <c r="J1977" s="20">
        <v>4</v>
      </c>
      <c r="K1977" s="20" t="s">
        <v>107</v>
      </c>
      <c r="L1977" s="20" t="s">
        <v>16</v>
      </c>
      <c r="M1977" s="21"/>
    </row>
    <row r="1978" spans="1:13">
      <c r="A1978" s="22">
        <v>2532918</v>
      </c>
      <c r="B1978" s="23" t="s">
        <v>8455</v>
      </c>
      <c r="C1978" s="22" t="s">
        <v>8456</v>
      </c>
      <c r="D1978" s="22" t="s">
        <v>8457</v>
      </c>
      <c r="E1978" s="23" t="s">
        <v>84</v>
      </c>
      <c r="F1978" s="23" t="s">
        <v>92</v>
      </c>
      <c r="G1978" s="23" t="s">
        <v>26</v>
      </c>
      <c r="H1978" s="23" t="s">
        <v>8458</v>
      </c>
      <c r="I1978" s="23" t="s">
        <v>8459</v>
      </c>
      <c r="J1978" s="23">
        <v>1</v>
      </c>
      <c r="K1978" s="23" t="s">
        <v>107</v>
      </c>
      <c r="L1978" s="23" t="s">
        <v>16</v>
      </c>
      <c r="M1978" s="24" t="s">
        <v>1561</v>
      </c>
    </row>
    <row r="1979" spans="1:13">
      <c r="A1979" s="22">
        <v>2521617</v>
      </c>
      <c r="B1979" s="23" t="s">
        <v>8460</v>
      </c>
      <c r="C1979" s="22" t="s">
        <v>8461</v>
      </c>
      <c r="D1979" s="22" t="s">
        <v>8462</v>
      </c>
      <c r="E1979" s="23" t="s">
        <v>127</v>
      </c>
      <c r="F1979" s="23" t="s">
        <v>172</v>
      </c>
      <c r="G1979" s="23" t="s">
        <v>26</v>
      </c>
      <c r="H1979" s="23" t="s">
        <v>8463</v>
      </c>
      <c r="I1979" s="23" t="s">
        <v>8464</v>
      </c>
      <c r="J1979" s="20">
        <v>2</v>
      </c>
      <c r="K1979" s="23" t="s">
        <v>107</v>
      </c>
      <c r="L1979" s="23" t="s">
        <v>16</v>
      </c>
      <c r="M1979" s="24"/>
    </row>
    <row r="1980" spans="1:13">
      <c r="A1980" s="22">
        <v>2533045</v>
      </c>
      <c r="B1980" s="23" t="s">
        <v>8465</v>
      </c>
      <c r="C1980" s="22" t="s">
        <v>8466</v>
      </c>
      <c r="D1980" s="22" t="s">
        <v>8467</v>
      </c>
      <c r="E1980" s="23" t="s">
        <v>84</v>
      </c>
      <c r="F1980" s="23" t="s">
        <v>92</v>
      </c>
      <c r="G1980" s="23" t="s">
        <v>26</v>
      </c>
      <c r="H1980" s="23" t="s">
        <v>8458</v>
      </c>
      <c r="I1980" s="23" t="s">
        <v>8468</v>
      </c>
      <c r="J1980" s="34" t="s">
        <v>34</v>
      </c>
      <c r="K1980" s="23" t="s">
        <v>19</v>
      </c>
      <c r="L1980" s="23" t="s">
        <v>16</v>
      </c>
      <c r="M1980" s="24"/>
    </row>
    <row r="1981" spans="1:13">
      <c r="A1981" s="22">
        <v>2521127</v>
      </c>
      <c r="B1981" s="23" t="s">
        <v>8469</v>
      </c>
      <c r="C1981" s="22" t="s">
        <v>8470</v>
      </c>
      <c r="D1981" s="22" t="s">
        <v>8471</v>
      </c>
      <c r="E1981" s="23" t="s">
        <v>84</v>
      </c>
      <c r="F1981" s="23" t="s">
        <v>92</v>
      </c>
      <c r="G1981" s="23" t="s">
        <v>26</v>
      </c>
      <c r="H1981" s="23" t="s">
        <v>8472</v>
      </c>
      <c r="I1981" s="23" t="s">
        <v>8473</v>
      </c>
      <c r="J1981" s="20">
        <v>2</v>
      </c>
      <c r="K1981" s="23" t="s">
        <v>19</v>
      </c>
      <c r="L1981" s="23" t="s">
        <v>16</v>
      </c>
      <c r="M1981" s="24"/>
    </row>
    <row r="1982" spans="1:13">
      <c r="A1982" s="22">
        <v>2531424</v>
      </c>
      <c r="B1982" s="23" t="s">
        <v>8474</v>
      </c>
      <c r="C1982" s="22" t="s">
        <v>8475</v>
      </c>
      <c r="D1982" s="22" t="s">
        <v>8476</v>
      </c>
      <c r="E1982" s="23" t="s">
        <v>84</v>
      </c>
      <c r="F1982" s="23" t="s">
        <v>92</v>
      </c>
      <c r="G1982" s="23" t="s">
        <v>26</v>
      </c>
      <c r="H1982" s="23" t="s">
        <v>8477</v>
      </c>
      <c r="I1982" s="23" t="s">
        <v>3850</v>
      </c>
      <c r="J1982" s="20">
        <v>4</v>
      </c>
      <c r="K1982" s="23" t="s">
        <v>19</v>
      </c>
      <c r="L1982" s="23" t="s">
        <v>16</v>
      </c>
      <c r="M1982" s="24"/>
    </row>
    <row r="1983" spans="1:13">
      <c r="A1983" s="19">
        <v>2521274</v>
      </c>
      <c r="B1983" s="20" t="s">
        <v>8478</v>
      </c>
      <c r="C1983" s="19" t="s">
        <v>8479</v>
      </c>
      <c r="D1983" s="19" t="s">
        <v>8480</v>
      </c>
      <c r="E1983" s="20" t="s">
        <v>84</v>
      </c>
      <c r="F1983" s="20" t="s">
        <v>92</v>
      </c>
      <c r="G1983" s="20" t="s">
        <v>26</v>
      </c>
      <c r="H1983" s="20" t="s">
        <v>8481</v>
      </c>
      <c r="I1983" s="20" t="s">
        <v>8482</v>
      </c>
      <c r="J1983" s="20">
        <v>2</v>
      </c>
      <c r="K1983" s="20" t="s">
        <v>107</v>
      </c>
      <c r="L1983" s="20" t="s">
        <v>16</v>
      </c>
      <c r="M1983" s="21"/>
    </row>
    <row r="1984" spans="1:13">
      <c r="A1984" s="22">
        <v>2531358</v>
      </c>
      <c r="B1984" s="23" t="s">
        <v>8483</v>
      </c>
      <c r="C1984" s="22" t="s">
        <v>8484</v>
      </c>
      <c r="D1984" s="22" t="s">
        <v>8485</v>
      </c>
      <c r="E1984" s="23" t="s">
        <v>84</v>
      </c>
      <c r="F1984" s="23" t="s">
        <v>92</v>
      </c>
      <c r="G1984" s="23" t="s">
        <v>26</v>
      </c>
      <c r="H1984" s="23" t="s">
        <v>8486</v>
      </c>
      <c r="I1984" s="23" t="s">
        <v>8487</v>
      </c>
      <c r="J1984" s="23">
        <v>1</v>
      </c>
      <c r="K1984" s="23" t="s">
        <v>19</v>
      </c>
      <c r="L1984" s="23" t="s">
        <v>16</v>
      </c>
      <c r="M1984" s="24"/>
    </row>
    <row r="1985" spans="1:13">
      <c r="A1985" s="19">
        <v>2531354</v>
      </c>
      <c r="B1985" s="20" t="s">
        <v>8488</v>
      </c>
      <c r="C1985" s="19" t="s">
        <v>8489</v>
      </c>
      <c r="D1985" s="19" t="s">
        <v>8490</v>
      </c>
      <c r="E1985" s="20" t="s">
        <v>84</v>
      </c>
      <c r="F1985" s="20" t="s">
        <v>92</v>
      </c>
      <c r="G1985" s="20" t="s">
        <v>26</v>
      </c>
      <c r="H1985" s="20" t="s">
        <v>8491</v>
      </c>
      <c r="I1985" s="20" t="s">
        <v>8492</v>
      </c>
      <c r="J1985" s="23">
        <v>1</v>
      </c>
      <c r="K1985" s="20" t="s">
        <v>19</v>
      </c>
      <c r="L1985" s="20" t="s">
        <v>18</v>
      </c>
      <c r="M1985" s="21"/>
    </row>
    <row r="1986" spans="1:13">
      <c r="A1986" s="19">
        <v>2521645</v>
      </c>
      <c r="B1986" s="20" t="s">
        <v>8493</v>
      </c>
      <c r="C1986" s="19" t="s">
        <v>8494</v>
      </c>
      <c r="D1986" s="19" t="s">
        <v>8495</v>
      </c>
      <c r="E1986" s="20" t="s">
        <v>84</v>
      </c>
      <c r="F1986" s="20" t="s">
        <v>172</v>
      </c>
      <c r="G1986" s="20" t="s">
        <v>26</v>
      </c>
      <c r="H1986" s="20" t="s">
        <v>8496</v>
      </c>
      <c r="I1986" s="20" t="s">
        <v>8497</v>
      </c>
      <c r="J1986" s="20">
        <v>2</v>
      </c>
      <c r="K1986" s="20" t="s">
        <v>107</v>
      </c>
      <c r="L1986" s="20" t="s">
        <v>16</v>
      </c>
      <c r="M1986" s="21" t="s">
        <v>16</v>
      </c>
    </row>
    <row r="1987" spans="1:13">
      <c r="A1987" s="19">
        <v>2533000</v>
      </c>
      <c r="B1987" s="20" t="s">
        <v>8498</v>
      </c>
      <c r="C1987" s="19" t="s">
        <v>8499</v>
      </c>
      <c r="D1987" s="19" t="s">
        <v>8500</v>
      </c>
      <c r="E1987" s="20" t="s">
        <v>127</v>
      </c>
      <c r="F1987" s="20" t="s">
        <v>92</v>
      </c>
      <c r="G1987" s="20" t="s">
        <v>26</v>
      </c>
      <c r="H1987" s="20" t="s">
        <v>8501</v>
      </c>
      <c r="I1987" s="20" t="s">
        <v>8501</v>
      </c>
      <c r="J1987" s="20">
        <v>4</v>
      </c>
      <c r="K1987" s="20" t="s">
        <v>107</v>
      </c>
      <c r="L1987" s="20" t="s">
        <v>16</v>
      </c>
      <c r="M1987" s="21"/>
    </row>
    <row r="1988" spans="1:13">
      <c r="A1988" s="22">
        <v>2531405</v>
      </c>
      <c r="B1988" s="23" t="s">
        <v>8502</v>
      </c>
      <c r="C1988" s="22" t="s">
        <v>8503</v>
      </c>
      <c r="D1988" s="22" t="s">
        <v>8504</v>
      </c>
      <c r="E1988" s="23" t="s">
        <v>84</v>
      </c>
      <c r="F1988" s="23" t="s">
        <v>172</v>
      </c>
      <c r="G1988" s="23" t="s">
        <v>26</v>
      </c>
      <c r="H1988" s="23" t="s">
        <v>8505</v>
      </c>
      <c r="I1988" s="23" t="s">
        <v>8506</v>
      </c>
      <c r="J1988" s="23">
        <v>3</v>
      </c>
      <c r="K1988" s="23" t="s">
        <v>107</v>
      </c>
      <c r="L1988" s="23" t="s">
        <v>16</v>
      </c>
      <c r="M1988" s="24" t="s">
        <v>885</v>
      </c>
    </row>
    <row r="1989" spans="1:13">
      <c r="A1989" s="19">
        <v>2519717</v>
      </c>
      <c r="B1989" s="20" t="s">
        <v>8507</v>
      </c>
      <c r="C1989" s="19" t="s">
        <v>8508</v>
      </c>
      <c r="D1989" s="19" t="s">
        <v>8509</v>
      </c>
      <c r="E1989" s="20" t="s">
        <v>127</v>
      </c>
      <c r="F1989" s="20" t="s">
        <v>92</v>
      </c>
      <c r="G1989" s="20" t="s">
        <v>26</v>
      </c>
      <c r="H1989" s="20" t="s">
        <v>8510</v>
      </c>
      <c r="I1989" s="20" t="s">
        <v>8511</v>
      </c>
      <c r="J1989" s="20">
        <v>2</v>
      </c>
      <c r="K1989" s="20" t="s">
        <v>107</v>
      </c>
      <c r="L1989" s="20" t="s">
        <v>16</v>
      </c>
      <c r="M1989" s="21"/>
    </row>
    <row r="1990" spans="1:13">
      <c r="A1990" s="19">
        <v>2524985</v>
      </c>
      <c r="B1990" s="20" t="s">
        <v>8512</v>
      </c>
      <c r="C1990" s="19" t="s">
        <v>8513</v>
      </c>
      <c r="D1990" s="19" t="s">
        <v>8514</v>
      </c>
      <c r="E1990" s="20" t="s">
        <v>84</v>
      </c>
      <c r="F1990" s="20" t="s">
        <v>92</v>
      </c>
      <c r="G1990" s="20" t="s">
        <v>26</v>
      </c>
      <c r="H1990" s="20" t="s">
        <v>8510</v>
      </c>
      <c r="I1990" s="20" t="s">
        <v>8515</v>
      </c>
      <c r="J1990" s="20">
        <v>2</v>
      </c>
      <c r="K1990" s="20" t="s">
        <v>19</v>
      </c>
      <c r="L1990" s="20" t="s">
        <v>16</v>
      </c>
      <c r="M1990" s="21"/>
    </row>
    <row r="1991" spans="1:13">
      <c r="A1991" s="19">
        <v>2519717</v>
      </c>
      <c r="B1991" s="20" t="s">
        <v>8507</v>
      </c>
      <c r="C1991" s="19" t="s">
        <v>8508</v>
      </c>
      <c r="D1991" s="19" t="s">
        <v>8509</v>
      </c>
      <c r="E1991" s="20" t="s">
        <v>127</v>
      </c>
      <c r="F1991" s="20" t="s">
        <v>92</v>
      </c>
      <c r="G1991" s="20" t="s">
        <v>26</v>
      </c>
      <c r="H1991" s="20" t="s">
        <v>8510</v>
      </c>
      <c r="I1991" s="20" t="s">
        <v>8516</v>
      </c>
      <c r="J1991" s="20">
        <v>2</v>
      </c>
      <c r="K1991" s="20" t="s">
        <v>107</v>
      </c>
      <c r="L1991" s="20" t="s">
        <v>16</v>
      </c>
      <c r="M1991" s="21"/>
    </row>
    <row r="1992" spans="1:13">
      <c r="A1992" s="19">
        <v>2531967</v>
      </c>
      <c r="B1992" s="20" t="s">
        <v>8517</v>
      </c>
      <c r="C1992" s="19" t="s">
        <v>8518</v>
      </c>
      <c r="D1992" s="19" t="s">
        <v>8519</v>
      </c>
      <c r="E1992" s="20" t="s">
        <v>84</v>
      </c>
      <c r="F1992" s="20" t="s">
        <v>92</v>
      </c>
      <c r="G1992" s="20" t="s">
        <v>26</v>
      </c>
      <c r="H1992" s="20" t="s">
        <v>8520</v>
      </c>
      <c r="I1992" s="20" t="s">
        <v>8521</v>
      </c>
      <c r="J1992" s="20">
        <v>4</v>
      </c>
      <c r="K1992" s="20" t="s">
        <v>19</v>
      </c>
      <c r="L1992" s="20" t="s">
        <v>18</v>
      </c>
      <c r="M1992" s="21"/>
    </row>
    <row r="1993" spans="1:13">
      <c r="A1993" s="22">
        <v>2516771</v>
      </c>
      <c r="B1993" s="23" t="s">
        <v>8522</v>
      </c>
      <c r="C1993" s="22" t="s">
        <v>8523</v>
      </c>
      <c r="D1993" s="22" t="s">
        <v>8524</v>
      </c>
      <c r="E1993" s="23" t="s">
        <v>84</v>
      </c>
      <c r="F1993" s="23" t="s">
        <v>92</v>
      </c>
      <c r="G1993" s="23" t="s">
        <v>26</v>
      </c>
      <c r="H1993" s="23" t="s">
        <v>8525</v>
      </c>
      <c r="I1993" s="23" t="s">
        <v>8526</v>
      </c>
      <c r="J1993" s="20">
        <v>4</v>
      </c>
      <c r="K1993" s="23" t="s">
        <v>19</v>
      </c>
      <c r="L1993" s="23" t="s">
        <v>16</v>
      </c>
      <c r="M1993" s="24"/>
    </row>
    <row r="1994" spans="1:13">
      <c r="A1994" s="19">
        <v>2520927</v>
      </c>
      <c r="B1994" s="20" t="s">
        <v>8527</v>
      </c>
      <c r="C1994" s="19" t="s">
        <v>8528</v>
      </c>
      <c r="D1994" s="19" t="s">
        <v>8529</v>
      </c>
      <c r="E1994" s="20" t="s">
        <v>127</v>
      </c>
      <c r="F1994" s="20" t="s">
        <v>92</v>
      </c>
      <c r="G1994" s="20" t="s">
        <v>26</v>
      </c>
      <c r="H1994" s="20" t="s">
        <v>8530</v>
      </c>
      <c r="I1994" s="20" t="s">
        <v>8531</v>
      </c>
      <c r="J1994" s="20">
        <v>4</v>
      </c>
      <c r="K1994" s="20" t="s">
        <v>107</v>
      </c>
      <c r="L1994" s="20" t="s">
        <v>16</v>
      </c>
      <c r="M1994" s="21"/>
    </row>
    <row r="1995" spans="1:13">
      <c r="A1995" s="19">
        <v>2519704</v>
      </c>
      <c r="B1995" s="20" t="s">
        <v>8532</v>
      </c>
      <c r="C1995" s="19" t="s">
        <v>8533</v>
      </c>
      <c r="D1995" s="19" t="s">
        <v>8534</v>
      </c>
      <c r="E1995" s="20" t="s">
        <v>84</v>
      </c>
      <c r="F1995" s="20" t="s">
        <v>92</v>
      </c>
      <c r="G1995" s="20" t="s">
        <v>26</v>
      </c>
      <c r="H1995" s="20" t="s">
        <v>8535</v>
      </c>
      <c r="I1995" s="20" t="s">
        <v>8536</v>
      </c>
      <c r="J1995" s="23">
        <v>3</v>
      </c>
      <c r="K1995" s="20" t="s">
        <v>107</v>
      </c>
      <c r="L1995" s="20" t="s">
        <v>16</v>
      </c>
      <c r="M1995" s="21"/>
    </row>
    <row r="1996" spans="1:13">
      <c r="A1996" s="22">
        <v>2533140</v>
      </c>
      <c r="B1996" s="23" t="s">
        <v>8537</v>
      </c>
      <c r="C1996" s="22" t="s">
        <v>8538</v>
      </c>
      <c r="D1996" s="22" t="s">
        <v>8539</v>
      </c>
      <c r="E1996" s="23" t="s">
        <v>127</v>
      </c>
      <c r="F1996" s="23" t="s">
        <v>92</v>
      </c>
      <c r="G1996" s="23" t="s">
        <v>26</v>
      </c>
      <c r="H1996" s="23" t="s">
        <v>8540</v>
      </c>
      <c r="I1996" s="23" t="s">
        <v>8541</v>
      </c>
      <c r="J1996" s="23">
        <v>1</v>
      </c>
      <c r="K1996" s="23" t="s">
        <v>107</v>
      </c>
      <c r="L1996" s="23" t="s">
        <v>16</v>
      </c>
      <c r="M1996" s="24"/>
    </row>
    <row r="1997" spans="1:13">
      <c r="A1997" s="19">
        <v>2519704</v>
      </c>
      <c r="B1997" s="20" t="s">
        <v>8532</v>
      </c>
      <c r="C1997" s="19" t="s">
        <v>8533</v>
      </c>
      <c r="D1997" s="19" t="s">
        <v>8534</v>
      </c>
      <c r="E1997" s="20" t="s">
        <v>84</v>
      </c>
      <c r="F1997" s="20" t="s">
        <v>92</v>
      </c>
      <c r="G1997" s="20" t="s">
        <v>26</v>
      </c>
      <c r="H1997" s="20" t="s">
        <v>8542</v>
      </c>
      <c r="I1997" s="20" t="s">
        <v>8543</v>
      </c>
      <c r="J1997" s="23">
        <v>3</v>
      </c>
      <c r="K1997" s="20" t="s">
        <v>107</v>
      </c>
      <c r="L1997" s="20" t="s">
        <v>16</v>
      </c>
      <c r="M1997" s="21"/>
    </row>
    <row r="1998" spans="1:13">
      <c r="A1998" s="19">
        <v>2529617</v>
      </c>
      <c r="B1998" s="20" t="s">
        <v>8544</v>
      </c>
      <c r="C1998" s="19" t="s">
        <v>8545</v>
      </c>
      <c r="D1998" s="19" t="s">
        <v>8546</v>
      </c>
      <c r="E1998" s="20" t="s">
        <v>84</v>
      </c>
      <c r="F1998" s="20" t="s">
        <v>92</v>
      </c>
      <c r="G1998" s="20" t="s">
        <v>26</v>
      </c>
      <c r="H1998" s="20" t="s">
        <v>8542</v>
      </c>
      <c r="I1998" s="20" t="s">
        <v>8547</v>
      </c>
      <c r="J1998" s="33">
        <v>1</v>
      </c>
      <c r="K1998" s="20" t="s">
        <v>19</v>
      </c>
      <c r="L1998" s="20" t="s">
        <v>16</v>
      </c>
      <c r="M1998" s="21"/>
    </row>
    <row r="1999" spans="1:13">
      <c r="A1999" s="22">
        <v>2520926</v>
      </c>
      <c r="B1999" s="23" t="s">
        <v>8548</v>
      </c>
      <c r="C1999" s="22" t="s">
        <v>8549</v>
      </c>
      <c r="D1999" s="22" t="s">
        <v>8550</v>
      </c>
      <c r="E1999" s="23" t="s">
        <v>84</v>
      </c>
      <c r="F1999" s="23" t="s">
        <v>92</v>
      </c>
      <c r="G1999" s="23" t="s">
        <v>26</v>
      </c>
      <c r="H1999" s="23" t="s">
        <v>8551</v>
      </c>
      <c r="I1999" s="23" t="s">
        <v>8551</v>
      </c>
      <c r="J1999" s="23">
        <v>1</v>
      </c>
      <c r="K1999" s="23" t="s">
        <v>19</v>
      </c>
      <c r="L1999" s="23" t="s">
        <v>16</v>
      </c>
      <c r="M1999" s="24"/>
    </row>
    <row r="2000" spans="1:13">
      <c r="A2000" s="22">
        <v>2520971</v>
      </c>
      <c r="B2000" s="23" t="s">
        <v>8552</v>
      </c>
      <c r="C2000" s="22" t="s">
        <v>8553</v>
      </c>
      <c r="D2000" s="22" t="s">
        <v>8554</v>
      </c>
      <c r="E2000" s="23" t="s">
        <v>84</v>
      </c>
      <c r="F2000" s="23" t="s">
        <v>92</v>
      </c>
      <c r="G2000" s="23" t="s">
        <v>26</v>
      </c>
      <c r="H2000" s="23" t="s">
        <v>8555</v>
      </c>
      <c r="I2000" s="23" t="s">
        <v>8556</v>
      </c>
      <c r="J2000" s="23">
        <v>3</v>
      </c>
      <c r="K2000" s="23" t="s">
        <v>19</v>
      </c>
      <c r="L2000" s="23" t="s">
        <v>16</v>
      </c>
      <c r="M2000" s="24"/>
    </row>
    <row r="2001" spans="1:13">
      <c r="A2001" s="22">
        <v>2520971</v>
      </c>
      <c r="B2001" s="23" t="s">
        <v>8552</v>
      </c>
      <c r="C2001" s="22" t="s">
        <v>8553</v>
      </c>
      <c r="D2001" s="22" t="s">
        <v>8554</v>
      </c>
      <c r="E2001" s="23" t="s">
        <v>84</v>
      </c>
      <c r="F2001" s="23" t="s">
        <v>92</v>
      </c>
      <c r="G2001" s="23" t="s">
        <v>26</v>
      </c>
      <c r="H2001" s="23" t="s">
        <v>8555</v>
      </c>
      <c r="I2001" s="23" t="s">
        <v>8557</v>
      </c>
      <c r="J2001" s="23">
        <v>3</v>
      </c>
      <c r="K2001" s="23" t="s">
        <v>19</v>
      </c>
      <c r="L2001" s="23" t="s">
        <v>16</v>
      </c>
      <c r="M2001" s="24"/>
    </row>
    <row r="2002" spans="1:13">
      <c r="A2002" s="22">
        <v>2520971</v>
      </c>
      <c r="B2002" s="23" t="s">
        <v>8552</v>
      </c>
      <c r="C2002" s="22" t="s">
        <v>8558</v>
      </c>
      <c r="D2002" s="22" t="s">
        <v>8554</v>
      </c>
      <c r="E2002" s="23" t="s">
        <v>84</v>
      </c>
      <c r="F2002" s="23" t="s">
        <v>92</v>
      </c>
      <c r="G2002" s="23" t="s">
        <v>26</v>
      </c>
      <c r="H2002" s="23" t="s">
        <v>8559</v>
      </c>
      <c r="I2002" s="23" t="s">
        <v>8560</v>
      </c>
      <c r="J2002" s="23">
        <v>3</v>
      </c>
      <c r="K2002" s="23" t="s">
        <v>19</v>
      </c>
      <c r="L2002" s="23" t="s">
        <v>16</v>
      </c>
      <c r="M2002" s="24"/>
    </row>
    <row r="2003" spans="1:13">
      <c r="A2003" s="19">
        <v>2531343</v>
      </c>
      <c r="B2003" s="20" t="s">
        <v>8561</v>
      </c>
      <c r="C2003" s="19" t="s">
        <v>8562</v>
      </c>
      <c r="D2003" s="19" t="s">
        <v>8563</v>
      </c>
      <c r="E2003" s="20" t="s">
        <v>84</v>
      </c>
      <c r="F2003" s="20" t="s">
        <v>172</v>
      </c>
      <c r="G2003" s="20" t="s">
        <v>26</v>
      </c>
      <c r="H2003" s="20" t="s">
        <v>8564</v>
      </c>
      <c r="I2003" s="20" t="s">
        <v>8565</v>
      </c>
      <c r="J2003" s="23">
        <v>3</v>
      </c>
      <c r="K2003" s="20" t="s">
        <v>19</v>
      </c>
      <c r="L2003" s="20" t="s">
        <v>16</v>
      </c>
      <c r="M2003" s="21"/>
    </row>
    <row r="2004" spans="1:13">
      <c r="A2004" s="19">
        <v>2533071</v>
      </c>
      <c r="B2004" s="20" t="s">
        <v>8566</v>
      </c>
      <c r="C2004" s="19" t="s">
        <v>8567</v>
      </c>
      <c r="D2004" s="19" t="s">
        <v>8568</v>
      </c>
      <c r="E2004" s="20" t="s">
        <v>127</v>
      </c>
      <c r="F2004" s="20" t="s">
        <v>92</v>
      </c>
      <c r="G2004" s="20" t="s">
        <v>26</v>
      </c>
      <c r="H2004" s="20" t="s">
        <v>8569</v>
      </c>
      <c r="I2004" s="20" t="s">
        <v>8570</v>
      </c>
      <c r="J2004" s="20">
        <v>4</v>
      </c>
      <c r="K2004" s="20" t="s">
        <v>107</v>
      </c>
      <c r="L2004" s="20" t="s">
        <v>16</v>
      </c>
      <c r="M2004" s="21"/>
    </row>
    <row r="2005" spans="1:13">
      <c r="A2005" s="19">
        <v>2525061</v>
      </c>
      <c r="B2005" s="20" t="s">
        <v>8571</v>
      </c>
      <c r="C2005" s="19" t="s">
        <v>8572</v>
      </c>
      <c r="D2005" s="19" t="s">
        <v>8573</v>
      </c>
      <c r="E2005" s="20" t="s">
        <v>84</v>
      </c>
      <c r="F2005" s="20" t="s">
        <v>92</v>
      </c>
      <c r="G2005" s="20" t="s">
        <v>26</v>
      </c>
      <c r="H2005" s="20" t="s">
        <v>8574</v>
      </c>
      <c r="I2005" s="20" t="s">
        <v>8575</v>
      </c>
      <c r="J2005" s="20">
        <v>4</v>
      </c>
      <c r="K2005" s="20" t="s">
        <v>19</v>
      </c>
      <c r="L2005" s="20" t="s">
        <v>16</v>
      </c>
      <c r="M2005" s="21"/>
    </row>
    <row r="2006" spans="1:13">
      <c r="A2006" s="19">
        <v>2521279</v>
      </c>
      <c r="B2006" s="20" t="s">
        <v>8576</v>
      </c>
      <c r="C2006" s="19" t="s">
        <v>8577</v>
      </c>
      <c r="D2006" s="19" t="s">
        <v>8578</v>
      </c>
      <c r="E2006" s="20" t="s">
        <v>84</v>
      </c>
      <c r="F2006" s="20" t="s">
        <v>92</v>
      </c>
      <c r="G2006" s="20" t="s">
        <v>26</v>
      </c>
      <c r="H2006" s="20" t="s">
        <v>8579</v>
      </c>
      <c r="I2006" s="20" t="s">
        <v>3850</v>
      </c>
      <c r="J2006" s="20">
        <v>2</v>
      </c>
      <c r="K2006" s="20" t="s">
        <v>107</v>
      </c>
      <c r="L2006" s="20" t="s">
        <v>16</v>
      </c>
      <c r="M2006" s="21"/>
    </row>
    <row r="2007" spans="1:13">
      <c r="A2007" s="19">
        <v>2531968</v>
      </c>
      <c r="B2007" s="20" t="s">
        <v>8580</v>
      </c>
      <c r="C2007" s="19" t="s">
        <v>8581</v>
      </c>
      <c r="D2007" s="19" t="s">
        <v>8582</v>
      </c>
      <c r="E2007" s="20" t="s">
        <v>415</v>
      </c>
      <c r="F2007" s="20" t="s">
        <v>92</v>
      </c>
      <c r="G2007" s="20" t="s">
        <v>26</v>
      </c>
      <c r="H2007" s="20" t="s">
        <v>8583</v>
      </c>
      <c r="I2007" s="20" t="s">
        <v>8584</v>
      </c>
      <c r="J2007" s="20">
        <v>4</v>
      </c>
      <c r="K2007" s="20" t="s">
        <v>19</v>
      </c>
      <c r="L2007" s="20" t="s">
        <v>18</v>
      </c>
      <c r="M2007" s="21"/>
    </row>
    <row r="2008" spans="1:13">
      <c r="A2008" s="19">
        <v>2525035</v>
      </c>
      <c r="B2008" s="20" t="s">
        <v>8585</v>
      </c>
      <c r="C2008" s="19" t="s">
        <v>8586</v>
      </c>
      <c r="D2008" s="19" t="s">
        <v>8587</v>
      </c>
      <c r="E2008" s="20" t="s">
        <v>84</v>
      </c>
      <c r="F2008" s="20" t="s">
        <v>92</v>
      </c>
      <c r="G2008" s="20" t="s">
        <v>26</v>
      </c>
      <c r="H2008" s="20" t="s">
        <v>8588</v>
      </c>
      <c r="I2008" s="20" t="s">
        <v>8589</v>
      </c>
      <c r="J2008" s="20">
        <v>4</v>
      </c>
      <c r="K2008" s="20" t="s">
        <v>19</v>
      </c>
      <c r="L2008" s="20" t="s">
        <v>18</v>
      </c>
      <c r="M2008" s="21" t="s">
        <v>8590</v>
      </c>
    </row>
    <row r="2009" spans="1:13">
      <c r="A2009" s="19">
        <v>2531378</v>
      </c>
      <c r="B2009" s="20" t="s">
        <v>8591</v>
      </c>
      <c r="C2009" s="19" t="s">
        <v>8592</v>
      </c>
      <c r="D2009" s="19" t="s">
        <v>8593</v>
      </c>
      <c r="E2009" s="20" t="s">
        <v>84</v>
      </c>
      <c r="F2009" s="20" t="s">
        <v>172</v>
      </c>
      <c r="G2009" s="20" t="s">
        <v>26</v>
      </c>
      <c r="H2009" s="20" t="s">
        <v>8594</v>
      </c>
      <c r="I2009" s="20" t="s">
        <v>8595</v>
      </c>
      <c r="J2009" s="23">
        <v>1</v>
      </c>
      <c r="K2009" s="20" t="s">
        <v>107</v>
      </c>
      <c r="L2009" s="20" t="s">
        <v>16</v>
      </c>
      <c r="M2009" s="21"/>
    </row>
    <row r="2010" spans="1:13">
      <c r="A2010" s="19">
        <v>2532971</v>
      </c>
      <c r="B2010" s="20" t="s">
        <v>8596</v>
      </c>
      <c r="C2010" s="19" t="s">
        <v>8597</v>
      </c>
      <c r="D2010" s="19" t="s">
        <v>8598</v>
      </c>
      <c r="E2010" s="20" t="s">
        <v>84</v>
      </c>
      <c r="F2010" s="20" t="s">
        <v>92</v>
      </c>
      <c r="G2010" s="20" t="s">
        <v>26</v>
      </c>
      <c r="H2010" s="20" t="s">
        <v>8599</v>
      </c>
      <c r="I2010" s="20" t="s">
        <v>3850</v>
      </c>
      <c r="J2010" s="23">
        <v>3</v>
      </c>
      <c r="K2010" s="20" t="s">
        <v>107</v>
      </c>
      <c r="L2010" s="20" t="s">
        <v>16</v>
      </c>
      <c r="M2010" s="21"/>
    </row>
    <row r="2011" spans="1:13">
      <c r="A2011" s="22">
        <v>2525030</v>
      </c>
      <c r="B2011" s="23" t="s">
        <v>8600</v>
      </c>
      <c r="C2011" s="22" t="s">
        <v>8601</v>
      </c>
      <c r="D2011" s="22" t="s">
        <v>8602</v>
      </c>
      <c r="E2011" s="23" t="s">
        <v>84</v>
      </c>
      <c r="F2011" s="23" t="s">
        <v>92</v>
      </c>
      <c r="G2011" s="23" t="s">
        <v>26</v>
      </c>
      <c r="H2011" s="23" t="s">
        <v>8603</v>
      </c>
      <c r="I2011" s="23" t="s">
        <v>8589</v>
      </c>
      <c r="J2011" s="20">
        <v>2</v>
      </c>
      <c r="K2011" s="23" t="s">
        <v>19</v>
      </c>
      <c r="L2011" s="23" t="s">
        <v>16</v>
      </c>
      <c r="M2011" s="24"/>
    </row>
    <row r="2012" spans="1:13">
      <c r="A2012" s="22">
        <v>2521032</v>
      </c>
      <c r="B2012" s="23" t="s">
        <v>8604</v>
      </c>
      <c r="C2012" s="22" t="s">
        <v>8605</v>
      </c>
      <c r="D2012" s="22" t="s">
        <v>8606</v>
      </c>
      <c r="E2012" s="23" t="s">
        <v>84</v>
      </c>
      <c r="F2012" s="23" t="s">
        <v>92</v>
      </c>
      <c r="G2012" s="23" t="s">
        <v>26</v>
      </c>
      <c r="H2012" s="23" t="s">
        <v>8603</v>
      </c>
      <c r="I2012" s="23" t="s">
        <v>8607</v>
      </c>
      <c r="J2012" s="20">
        <v>4</v>
      </c>
      <c r="K2012" s="23" t="s">
        <v>19</v>
      </c>
      <c r="L2012" s="23" t="s">
        <v>16</v>
      </c>
      <c r="M2012" s="24"/>
    </row>
    <row r="2013" spans="1:13">
      <c r="A2013" s="22">
        <v>2521057</v>
      </c>
      <c r="B2013" s="23" t="s">
        <v>8608</v>
      </c>
      <c r="C2013" s="22" t="s">
        <v>8609</v>
      </c>
      <c r="D2013" s="22" t="s">
        <v>8610</v>
      </c>
      <c r="E2013" s="23" t="s">
        <v>84</v>
      </c>
      <c r="F2013" s="23" t="s">
        <v>92</v>
      </c>
      <c r="G2013" s="23" t="s">
        <v>26</v>
      </c>
      <c r="H2013" s="23" t="s">
        <v>8603</v>
      </c>
      <c r="I2013" s="23" t="s">
        <v>8611</v>
      </c>
      <c r="J2013" s="20">
        <v>4</v>
      </c>
      <c r="K2013" s="23" t="s">
        <v>19</v>
      </c>
      <c r="L2013" s="23" t="s">
        <v>16</v>
      </c>
      <c r="M2013" s="24"/>
    </row>
    <row r="2014" spans="1:13">
      <c r="A2014" s="19">
        <v>2521057</v>
      </c>
      <c r="B2014" s="20" t="s">
        <v>8608</v>
      </c>
      <c r="C2014" s="19" t="s">
        <v>8609</v>
      </c>
      <c r="D2014" s="19" t="s">
        <v>8610</v>
      </c>
      <c r="E2014" s="20" t="s">
        <v>84</v>
      </c>
      <c r="F2014" s="20" t="s">
        <v>92</v>
      </c>
      <c r="G2014" s="20" t="s">
        <v>26</v>
      </c>
      <c r="H2014" s="20" t="s">
        <v>8612</v>
      </c>
      <c r="I2014" s="20" t="s">
        <v>8613</v>
      </c>
      <c r="J2014" s="20">
        <v>4</v>
      </c>
      <c r="K2014" s="20" t="s">
        <v>19</v>
      </c>
      <c r="L2014" s="20" t="s">
        <v>16</v>
      </c>
      <c r="M2014" s="21"/>
    </row>
    <row r="2015" spans="1:13">
      <c r="A2015" s="19">
        <v>2521032</v>
      </c>
      <c r="B2015" s="20" t="s">
        <v>8614</v>
      </c>
      <c r="C2015" s="19" t="s">
        <v>8605</v>
      </c>
      <c r="D2015" s="19" t="s">
        <v>8606</v>
      </c>
      <c r="E2015" s="20" t="s">
        <v>84</v>
      </c>
      <c r="F2015" s="20" t="s">
        <v>92</v>
      </c>
      <c r="G2015" s="20" t="s">
        <v>26</v>
      </c>
      <c r="H2015" s="20" t="s">
        <v>8603</v>
      </c>
      <c r="I2015" s="20" t="s">
        <v>8607</v>
      </c>
      <c r="J2015" s="20">
        <v>4</v>
      </c>
      <c r="K2015" s="20" t="s">
        <v>19</v>
      </c>
      <c r="L2015" s="20" t="s">
        <v>16</v>
      </c>
      <c r="M2015" s="21"/>
    </row>
    <row r="2016" spans="1:13">
      <c r="A2016" s="22">
        <v>2533571</v>
      </c>
      <c r="B2016" s="23" t="s">
        <v>8615</v>
      </c>
      <c r="C2016" s="22" t="s">
        <v>8446</v>
      </c>
      <c r="D2016" s="22" t="s">
        <v>8447</v>
      </c>
      <c r="E2016" s="23" t="s">
        <v>127</v>
      </c>
      <c r="F2016" s="23" t="s">
        <v>92</v>
      </c>
      <c r="G2016" s="23" t="s">
        <v>26</v>
      </c>
      <c r="H2016" s="23" t="s">
        <v>8603</v>
      </c>
      <c r="I2016" s="23" t="s">
        <v>8589</v>
      </c>
      <c r="J2016" s="20">
        <v>5</v>
      </c>
      <c r="K2016" s="23" t="s">
        <v>17</v>
      </c>
      <c r="L2016" s="23" t="s">
        <v>16</v>
      </c>
      <c r="M2016" s="24" t="s">
        <v>16</v>
      </c>
    </row>
    <row r="2017" spans="1:13">
      <c r="A2017" s="19">
        <v>2524479</v>
      </c>
      <c r="B2017" s="20" t="s">
        <v>8616</v>
      </c>
      <c r="C2017" s="19" t="s">
        <v>8617</v>
      </c>
      <c r="D2017" s="19" t="s">
        <v>8618</v>
      </c>
      <c r="E2017" s="20" t="s">
        <v>127</v>
      </c>
      <c r="F2017" s="20" t="s">
        <v>92</v>
      </c>
      <c r="G2017" s="20" t="s">
        <v>26</v>
      </c>
      <c r="H2017" s="20" t="s">
        <v>8619</v>
      </c>
      <c r="I2017" s="20" t="s">
        <v>8620</v>
      </c>
      <c r="J2017" s="23">
        <v>1</v>
      </c>
      <c r="K2017" s="20" t="s">
        <v>107</v>
      </c>
      <c r="L2017" s="20" t="s">
        <v>16</v>
      </c>
      <c r="M2017" s="21" t="s">
        <v>1016</v>
      </c>
    </row>
    <row r="2018" spans="1:13">
      <c r="A2018" s="22">
        <v>2532978</v>
      </c>
      <c r="B2018" s="23" t="s">
        <v>8621</v>
      </c>
      <c r="C2018" s="22" t="s">
        <v>8622</v>
      </c>
      <c r="D2018" s="22" t="s">
        <v>8623</v>
      </c>
      <c r="E2018" s="23" t="s">
        <v>84</v>
      </c>
      <c r="F2018" s="23" t="s">
        <v>92</v>
      </c>
      <c r="G2018" s="23" t="s">
        <v>26</v>
      </c>
      <c r="H2018" s="23" t="s">
        <v>8624</v>
      </c>
      <c r="I2018" s="23" t="s">
        <v>8624</v>
      </c>
      <c r="J2018" s="23">
        <v>1</v>
      </c>
      <c r="K2018" s="23" t="s">
        <v>19</v>
      </c>
      <c r="L2018" s="23" t="s">
        <v>18</v>
      </c>
      <c r="M2018" s="24"/>
    </row>
    <row r="2019" spans="1:13">
      <c r="A2019" s="19">
        <v>2524538</v>
      </c>
      <c r="B2019" s="20" t="s">
        <v>8625</v>
      </c>
      <c r="C2019" s="19" t="s">
        <v>8626</v>
      </c>
      <c r="D2019" s="19" t="s">
        <v>8627</v>
      </c>
      <c r="E2019" s="20" t="s">
        <v>84</v>
      </c>
      <c r="F2019" s="20" t="s">
        <v>92</v>
      </c>
      <c r="G2019" s="20" t="s">
        <v>26</v>
      </c>
      <c r="H2019" s="20" t="s">
        <v>8628</v>
      </c>
      <c r="I2019" s="20" t="s">
        <v>8629</v>
      </c>
      <c r="J2019" s="23">
        <v>3</v>
      </c>
      <c r="K2019" s="20" t="s">
        <v>107</v>
      </c>
      <c r="L2019" s="20" t="s">
        <v>16</v>
      </c>
      <c r="M2019" s="21"/>
    </row>
    <row r="2020" spans="1:13">
      <c r="A2020" s="22">
        <v>2521102</v>
      </c>
      <c r="B2020" s="23" t="s">
        <v>8630</v>
      </c>
      <c r="C2020" s="22" t="s">
        <v>8631</v>
      </c>
      <c r="D2020" s="22" t="s">
        <v>8632</v>
      </c>
      <c r="E2020" s="23" t="s">
        <v>84</v>
      </c>
      <c r="F2020" s="23" t="s">
        <v>92</v>
      </c>
      <c r="G2020" s="23" t="s">
        <v>26</v>
      </c>
      <c r="H2020" s="23" t="s">
        <v>8633</v>
      </c>
      <c r="I2020" s="23" t="s">
        <v>3850</v>
      </c>
      <c r="J2020" s="23">
        <v>3</v>
      </c>
      <c r="K2020" s="23" t="s">
        <v>107</v>
      </c>
      <c r="L2020" s="23" t="s">
        <v>18</v>
      </c>
      <c r="M2020" s="24"/>
    </row>
    <row r="2021" spans="1:13">
      <c r="A2021" s="22">
        <v>2531374</v>
      </c>
      <c r="B2021" s="23" t="s">
        <v>8634</v>
      </c>
      <c r="C2021" s="22" t="s">
        <v>8635</v>
      </c>
      <c r="D2021" s="22" t="s">
        <v>8636</v>
      </c>
      <c r="E2021" s="23" t="s">
        <v>84</v>
      </c>
      <c r="F2021" s="23" t="s">
        <v>172</v>
      </c>
      <c r="G2021" s="23" t="s">
        <v>26</v>
      </c>
      <c r="H2021" s="23" t="s">
        <v>8637</v>
      </c>
      <c r="I2021" s="23" t="s">
        <v>8638</v>
      </c>
      <c r="J2021" s="23">
        <v>1</v>
      </c>
      <c r="K2021" s="23" t="s">
        <v>107</v>
      </c>
      <c r="L2021" s="23" t="s">
        <v>16</v>
      </c>
      <c r="M2021" s="24"/>
    </row>
    <row r="2022" spans="1:13">
      <c r="A2022" s="19">
        <v>2521108</v>
      </c>
      <c r="B2022" s="20" t="s">
        <v>8639</v>
      </c>
      <c r="C2022" s="19" t="s">
        <v>8640</v>
      </c>
      <c r="D2022" s="19" t="s">
        <v>8641</v>
      </c>
      <c r="E2022" s="20" t="s">
        <v>84</v>
      </c>
      <c r="F2022" s="20" t="s">
        <v>92</v>
      </c>
      <c r="G2022" s="20" t="s">
        <v>26</v>
      </c>
      <c r="H2022" s="20" t="s">
        <v>8642</v>
      </c>
      <c r="I2022" s="20" t="s">
        <v>8643</v>
      </c>
      <c r="J2022" s="23">
        <v>3</v>
      </c>
      <c r="K2022" s="20" t="s">
        <v>107</v>
      </c>
      <c r="L2022" s="20" t="s">
        <v>16</v>
      </c>
      <c r="M2022" s="21"/>
    </row>
    <row r="2023" spans="1:13">
      <c r="A2023" s="19">
        <v>2525061</v>
      </c>
      <c r="B2023" s="20" t="s">
        <v>8571</v>
      </c>
      <c r="C2023" s="19" t="s">
        <v>8572</v>
      </c>
      <c r="D2023" s="19" t="s">
        <v>8573</v>
      </c>
      <c r="E2023" s="20" t="s">
        <v>84</v>
      </c>
      <c r="F2023" s="20" t="s">
        <v>92</v>
      </c>
      <c r="G2023" s="20" t="s">
        <v>26</v>
      </c>
      <c r="H2023" s="20" t="s">
        <v>8644</v>
      </c>
      <c r="I2023" s="20" t="s">
        <v>8575</v>
      </c>
      <c r="J2023" s="20">
        <v>4</v>
      </c>
      <c r="K2023" s="20" t="s">
        <v>19</v>
      </c>
      <c r="L2023" s="20" t="s">
        <v>16</v>
      </c>
      <c r="M2023" s="21"/>
    </row>
    <row r="2024" spans="1:13">
      <c r="A2024" s="19">
        <v>2525061</v>
      </c>
      <c r="B2024" s="20" t="s">
        <v>8571</v>
      </c>
      <c r="C2024" s="19" t="s">
        <v>8572</v>
      </c>
      <c r="D2024" s="19" t="s">
        <v>8573</v>
      </c>
      <c r="E2024" s="20" t="s">
        <v>84</v>
      </c>
      <c r="F2024" s="20" t="s">
        <v>92</v>
      </c>
      <c r="G2024" s="20" t="s">
        <v>26</v>
      </c>
      <c r="H2024" s="20" t="s">
        <v>8644</v>
      </c>
      <c r="I2024" s="20" t="s">
        <v>8575</v>
      </c>
      <c r="J2024" s="20">
        <v>4</v>
      </c>
      <c r="K2024" s="20" t="s">
        <v>19</v>
      </c>
      <c r="L2024" s="20" t="s">
        <v>16</v>
      </c>
      <c r="M2024" s="21"/>
    </row>
    <row r="2025" spans="1:13">
      <c r="A2025" s="22">
        <v>2511310</v>
      </c>
      <c r="B2025" s="23" t="s">
        <v>8645</v>
      </c>
      <c r="C2025" s="22" t="s">
        <v>8646</v>
      </c>
      <c r="D2025" s="22" t="s">
        <v>8647</v>
      </c>
      <c r="E2025" s="23" t="s">
        <v>84</v>
      </c>
      <c r="F2025" s="23" t="s">
        <v>92</v>
      </c>
      <c r="G2025" s="23" t="s">
        <v>26</v>
      </c>
      <c r="H2025" s="23" t="s">
        <v>8648</v>
      </c>
      <c r="I2025" s="23" t="s">
        <v>8649</v>
      </c>
      <c r="J2025" s="33">
        <v>1</v>
      </c>
      <c r="K2025" s="23" t="s">
        <v>19</v>
      </c>
      <c r="L2025" s="23" t="s">
        <v>16</v>
      </c>
      <c r="M2025" s="24"/>
    </row>
    <row r="2026" spans="1:13">
      <c r="A2026" s="19">
        <v>2512330</v>
      </c>
      <c r="B2026" s="20" t="s">
        <v>8650</v>
      </c>
      <c r="C2026" s="19" t="s">
        <v>8651</v>
      </c>
      <c r="D2026" s="19" t="s">
        <v>8652</v>
      </c>
      <c r="E2026" s="20" t="s">
        <v>84</v>
      </c>
      <c r="F2026" s="20" t="s">
        <v>92</v>
      </c>
      <c r="G2026" s="20" t="s">
        <v>26</v>
      </c>
      <c r="H2026" s="20" t="s">
        <v>8653</v>
      </c>
      <c r="I2026" s="20" t="s">
        <v>8654</v>
      </c>
      <c r="J2026" s="23">
        <v>3</v>
      </c>
      <c r="K2026" s="20" t="s">
        <v>107</v>
      </c>
      <c r="L2026" s="20" t="s">
        <v>16</v>
      </c>
      <c r="M2026" s="25" t="s">
        <v>86</v>
      </c>
    </row>
    <row r="2027" spans="1:13">
      <c r="A2027" s="22">
        <v>2512330</v>
      </c>
      <c r="B2027" s="23" t="s">
        <v>8650</v>
      </c>
      <c r="C2027" s="22" t="s">
        <v>8651</v>
      </c>
      <c r="D2027" s="22" t="s">
        <v>8652</v>
      </c>
      <c r="E2027" s="23" t="s">
        <v>84</v>
      </c>
      <c r="F2027" s="23" t="s">
        <v>92</v>
      </c>
      <c r="G2027" s="23" t="s">
        <v>26</v>
      </c>
      <c r="H2027" s="23" t="s">
        <v>8655</v>
      </c>
      <c r="I2027" s="23" t="s">
        <v>8656</v>
      </c>
      <c r="J2027" s="23">
        <v>3</v>
      </c>
      <c r="K2027" s="23" t="s">
        <v>107</v>
      </c>
      <c r="L2027" s="23" t="s">
        <v>16</v>
      </c>
      <c r="M2027" s="30" t="s">
        <v>86</v>
      </c>
    </row>
    <row r="2028" spans="1:13">
      <c r="A2028" s="19">
        <v>2529567</v>
      </c>
      <c r="B2028" s="20" t="s">
        <v>8657</v>
      </c>
      <c r="C2028" s="19" t="s">
        <v>8658</v>
      </c>
      <c r="D2028" s="19" t="s">
        <v>8659</v>
      </c>
      <c r="E2028" s="20" t="s">
        <v>84</v>
      </c>
      <c r="F2028" s="20" t="s">
        <v>92</v>
      </c>
      <c r="G2028" s="20" t="s">
        <v>26</v>
      </c>
      <c r="H2028" s="20" t="s">
        <v>8660</v>
      </c>
      <c r="I2028" s="20" t="s">
        <v>8661</v>
      </c>
      <c r="J2028" s="33">
        <v>1</v>
      </c>
      <c r="K2028" s="20" t="s">
        <v>19</v>
      </c>
      <c r="L2028" s="20" t="s">
        <v>16</v>
      </c>
      <c r="M2028" s="21"/>
    </row>
    <row r="2029" spans="1:13">
      <c r="A2029" s="22">
        <v>2521654</v>
      </c>
      <c r="B2029" s="23" t="s">
        <v>8662</v>
      </c>
      <c r="C2029" s="22" t="s">
        <v>8663</v>
      </c>
      <c r="D2029" s="22" t="s">
        <v>8664</v>
      </c>
      <c r="E2029" s="23" t="s">
        <v>127</v>
      </c>
      <c r="F2029" s="23" t="s">
        <v>172</v>
      </c>
      <c r="G2029" s="23" t="s">
        <v>26</v>
      </c>
      <c r="H2029" s="23" t="s">
        <v>8665</v>
      </c>
      <c r="I2029" s="23" t="s">
        <v>8666</v>
      </c>
      <c r="J2029" s="20">
        <v>4</v>
      </c>
      <c r="K2029" s="23" t="s">
        <v>107</v>
      </c>
      <c r="L2029" s="23" t="s">
        <v>16</v>
      </c>
      <c r="M2029" s="24" t="s">
        <v>49</v>
      </c>
    </row>
    <row r="2030" spans="1:13">
      <c r="A2030" s="22">
        <v>2530209</v>
      </c>
      <c r="B2030" s="23" t="s">
        <v>8667</v>
      </c>
      <c r="C2030" s="22" t="s">
        <v>8668</v>
      </c>
      <c r="D2030" s="22" t="s">
        <v>8669</v>
      </c>
      <c r="E2030" s="23" t="s">
        <v>84</v>
      </c>
      <c r="F2030" s="23" t="s">
        <v>92</v>
      </c>
      <c r="G2030" s="23" t="s">
        <v>26</v>
      </c>
      <c r="H2030" s="23" t="s">
        <v>8670</v>
      </c>
      <c r="I2030" s="23" t="s">
        <v>8671</v>
      </c>
      <c r="J2030" s="20">
        <v>4</v>
      </c>
      <c r="K2030" s="23" t="s">
        <v>107</v>
      </c>
      <c r="L2030" s="23" t="s">
        <v>16</v>
      </c>
      <c r="M2030" s="24"/>
    </row>
    <row r="2031" spans="1:13">
      <c r="A2031" s="19">
        <v>2522865</v>
      </c>
      <c r="B2031" s="20" t="s">
        <v>8672</v>
      </c>
      <c r="C2031" s="19" t="s">
        <v>8673</v>
      </c>
      <c r="D2031" s="19" t="s">
        <v>8674</v>
      </c>
      <c r="E2031" s="20" t="s">
        <v>84</v>
      </c>
      <c r="F2031" s="20" t="s">
        <v>85</v>
      </c>
      <c r="G2031" s="20" t="s">
        <v>26</v>
      </c>
      <c r="H2031" s="20" t="s">
        <v>8675</v>
      </c>
      <c r="I2031" s="20" t="s">
        <v>8675</v>
      </c>
      <c r="J2031" s="34" t="s">
        <v>34</v>
      </c>
      <c r="K2031" s="20" t="s">
        <v>206</v>
      </c>
      <c r="L2031" s="20" t="s">
        <v>18</v>
      </c>
      <c r="M2031" s="21"/>
    </row>
    <row r="2032" spans="1:13">
      <c r="A2032" s="22">
        <v>2512364</v>
      </c>
      <c r="B2032" s="23" t="s">
        <v>8676</v>
      </c>
      <c r="C2032" s="22" t="s">
        <v>8677</v>
      </c>
      <c r="D2032" s="22" t="s">
        <v>8678</v>
      </c>
      <c r="E2032" s="23" t="s">
        <v>84</v>
      </c>
      <c r="F2032" s="23" t="s">
        <v>92</v>
      </c>
      <c r="G2032" s="23" t="s">
        <v>26</v>
      </c>
      <c r="H2032" s="23" t="s">
        <v>8679</v>
      </c>
      <c r="I2032" s="23" t="s">
        <v>8680</v>
      </c>
      <c r="J2032" s="23">
        <v>1</v>
      </c>
      <c r="K2032" s="23" t="s">
        <v>19</v>
      </c>
      <c r="L2032" s="23" t="s">
        <v>16</v>
      </c>
      <c r="M2032" s="24" t="s">
        <v>8681</v>
      </c>
    </row>
    <row r="2033" spans="1:13">
      <c r="A2033" s="22">
        <v>2512320</v>
      </c>
      <c r="B2033" s="23" t="s">
        <v>8682</v>
      </c>
      <c r="C2033" s="22" t="s">
        <v>8683</v>
      </c>
      <c r="D2033" s="22" t="s">
        <v>8684</v>
      </c>
      <c r="E2033" s="23" t="s">
        <v>384</v>
      </c>
      <c r="F2033" s="23" t="s">
        <v>92</v>
      </c>
      <c r="G2033" s="23" t="s">
        <v>26</v>
      </c>
      <c r="H2033" s="23" t="s">
        <v>8685</v>
      </c>
      <c r="I2033" s="23" t="s">
        <v>8686</v>
      </c>
      <c r="J2033" s="23">
        <v>1</v>
      </c>
      <c r="K2033" s="23" t="s">
        <v>107</v>
      </c>
      <c r="L2033" s="23" t="s">
        <v>16</v>
      </c>
      <c r="M2033" s="24"/>
    </row>
    <row r="2034" spans="1:13">
      <c r="A2034" s="19">
        <v>2512320</v>
      </c>
      <c r="B2034" s="20" t="s">
        <v>8682</v>
      </c>
      <c r="C2034" s="19" t="s">
        <v>8683</v>
      </c>
      <c r="D2034" s="19" t="s">
        <v>8684</v>
      </c>
      <c r="E2034" s="20" t="s">
        <v>384</v>
      </c>
      <c r="F2034" s="20" t="s">
        <v>92</v>
      </c>
      <c r="G2034" s="20" t="s">
        <v>26</v>
      </c>
      <c r="H2034" s="20" t="s">
        <v>8685</v>
      </c>
      <c r="I2034" s="20" t="s">
        <v>8687</v>
      </c>
      <c r="J2034" s="23">
        <v>1</v>
      </c>
      <c r="K2034" s="20" t="s">
        <v>107</v>
      </c>
      <c r="L2034" s="20" t="s">
        <v>16</v>
      </c>
      <c r="M2034" s="21"/>
    </row>
    <row r="2035" spans="1:13">
      <c r="A2035" s="22">
        <v>2511248</v>
      </c>
      <c r="B2035" s="23" t="s">
        <v>8688</v>
      </c>
      <c r="C2035" s="22" t="s">
        <v>8689</v>
      </c>
      <c r="D2035" s="22" t="s">
        <v>8690</v>
      </c>
      <c r="E2035" s="23" t="s">
        <v>384</v>
      </c>
      <c r="F2035" s="23" t="s">
        <v>92</v>
      </c>
      <c r="G2035" s="23" t="s">
        <v>26</v>
      </c>
      <c r="H2035" s="23" t="s">
        <v>8691</v>
      </c>
      <c r="I2035" s="23" t="s">
        <v>8692</v>
      </c>
      <c r="J2035" s="20">
        <v>2</v>
      </c>
      <c r="K2035" s="23" t="s">
        <v>19</v>
      </c>
      <c r="L2035" s="23" t="s">
        <v>16</v>
      </c>
      <c r="M2035" s="24"/>
    </row>
    <row r="2036" spans="1:13">
      <c r="A2036" s="19">
        <v>2511246</v>
      </c>
      <c r="B2036" s="20" t="s">
        <v>8693</v>
      </c>
      <c r="C2036" s="19" t="s">
        <v>8694</v>
      </c>
      <c r="D2036" s="19" t="s">
        <v>8695</v>
      </c>
      <c r="E2036" s="20" t="s">
        <v>84</v>
      </c>
      <c r="F2036" s="20" t="s">
        <v>92</v>
      </c>
      <c r="G2036" s="20" t="s">
        <v>24</v>
      </c>
      <c r="H2036" s="20" t="s">
        <v>8696</v>
      </c>
      <c r="I2036" s="20" t="s">
        <v>8696</v>
      </c>
      <c r="J2036" s="23">
        <v>3</v>
      </c>
      <c r="K2036" s="20" t="s">
        <v>107</v>
      </c>
      <c r="L2036" s="20" t="s">
        <v>16</v>
      </c>
      <c r="M2036" s="21"/>
    </row>
    <row r="2037" spans="1:13">
      <c r="A2037" s="22">
        <v>2529588</v>
      </c>
      <c r="B2037" s="23" t="s">
        <v>8697</v>
      </c>
      <c r="C2037" s="22" t="s">
        <v>8698</v>
      </c>
      <c r="D2037" s="22" t="s">
        <v>8699</v>
      </c>
      <c r="E2037" s="23" t="s">
        <v>84</v>
      </c>
      <c r="F2037" s="23" t="s">
        <v>92</v>
      </c>
      <c r="G2037" s="23" t="s">
        <v>26</v>
      </c>
      <c r="H2037" s="23" t="s">
        <v>8700</v>
      </c>
      <c r="I2037" s="23" t="s">
        <v>8701</v>
      </c>
      <c r="J2037" s="23">
        <v>1</v>
      </c>
      <c r="K2037" s="23" t="s">
        <v>107</v>
      </c>
      <c r="L2037" s="23" t="s">
        <v>16</v>
      </c>
      <c r="M2037" s="30" t="s">
        <v>86</v>
      </c>
    </row>
    <row r="2038" spans="1:13">
      <c r="A2038" s="19">
        <v>2529588</v>
      </c>
      <c r="B2038" s="20" t="s">
        <v>8702</v>
      </c>
      <c r="C2038" s="19" t="s">
        <v>8698</v>
      </c>
      <c r="D2038" s="19" t="s">
        <v>8699</v>
      </c>
      <c r="E2038" s="20" t="s">
        <v>84</v>
      </c>
      <c r="F2038" s="20" t="s">
        <v>92</v>
      </c>
      <c r="G2038" s="20" t="s">
        <v>26</v>
      </c>
      <c r="H2038" s="20" t="s">
        <v>8703</v>
      </c>
      <c r="I2038" s="20" t="s">
        <v>8704</v>
      </c>
      <c r="J2038" s="23">
        <v>1</v>
      </c>
      <c r="K2038" s="20" t="s">
        <v>107</v>
      </c>
      <c r="L2038" s="20" t="s">
        <v>16</v>
      </c>
      <c r="M2038" s="25" t="s">
        <v>86</v>
      </c>
    </row>
    <row r="2039" spans="1:13">
      <c r="A2039" s="19">
        <v>2511311</v>
      </c>
      <c r="B2039" s="20" t="s">
        <v>8705</v>
      </c>
      <c r="C2039" s="19" t="s">
        <v>8706</v>
      </c>
      <c r="D2039" s="19" t="s">
        <v>8707</v>
      </c>
      <c r="E2039" s="20" t="s">
        <v>84</v>
      </c>
      <c r="F2039" s="20" t="s">
        <v>92</v>
      </c>
      <c r="G2039" s="20" t="s">
        <v>26</v>
      </c>
      <c r="H2039" s="20" t="s">
        <v>8708</v>
      </c>
      <c r="I2039" s="20" t="s">
        <v>8709</v>
      </c>
      <c r="J2039" s="23">
        <v>1</v>
      </c>
      <c r="K2039" s="20" t="s">
        <v>19</v>
      </c>
      <c r="L2039" s="20" t="s">
        <v>16</v>
      </c>
      <c r="M2039" s="21"/>
    </row>
    <row r="2040" spans="1:13">
      <c r="A2040" s="22">
        <v>2521634</v>
      </c>
      <c r="B2040" s="23" t="s">
        <v>8710</v>
      </c>
      <c r="C2040" s="22" t="s">
        <v>8711</v>
      </c>
      <c r="D2040" s="22" t="s">
        <v>8712</v>
      </c>
      <c r="E2040" s="23" t="s">
        <v>127</v>
      </c>
      <c r="F2040" s="23" t="s">
        <v>85</v>
      </c>
      <c r="G2040" s="23" t="s">
        <v>26</v>
      </c>
      <c r="H2040" s="23" t="s">
        <v>8713</v>
      </c>
      <c r="I2040" s="23" t="s">
        <v>8714</v>
      </c>
      <c r="J2040" s="23">
        <v>1</v>
      </c>
      <c r="K2040" s="23" t="s">
        <v>19</v>
      </c>
      <c r="L2040" s="23" t="s">
        <v>16</v>
      </c>
      <c r="M2040" s="24"/>
    </row>
    <row r="2041" spans="1:13">
      <c r="A2041" s="19">
        <v>2521626</v>
      </c>
      <c r="B2041" s="20" t="s">
        <v>8715</v>
      </c>
      <c r="C2041" s="19" t="s">
        <v>8716</v>
      </c>
      <c r="D2041" s="19" t="s">
        <v>8717</v>
      </c>
      <c r="E2041" s="20" t="s">
        <v>127</v>
      </c>
      <c r="F2041" s="20" t="s">
        <v>112</v>
      </c>
      <c r="G2041" s="20" t="s">
        <v>26</v>
      </c>
      <c r="H2041" s="20" t="s">
        <v>8718</v>
      </c>
      <c r="I2041" s="20" t="s">
        <v>8714</v>
      </c>
      <c r="J2041" s="23">
        <v>1</v>
      </c>
      <c r="K2041" s="20" t="s">
        <v>19</v>
      </c>
      <c r="L2041" s="20" t="s">
        <v>16</v>
      </c>
      <c r="M2041" s="21"/>
    </row>
    <row r="2042" spans="1:13">
      <c r="A2042" s="22">
        <v>2524966</v>
      </c>
      <c r="B2042" s="23" t="s">
        <v>8719</v>
      </c>
      <c r="C2042" s="22" t="s">
        <v>8720</v>
      </c>
      <c r="D2042" s="22" t="s">
        <v>8721</v>
      </c>
      <c r="E2042" s="23" t="s">
        <v>178</v>
      </c>
      <c r="F2042" s="23" t="s">
        <v>172</v>
      </c>
      <c r="G2042" s="23" t="s">
        <v>26</v>
      </c>
      <c r="H2042" s="23" t="s">
        <v>8722</v>
      </c>
      <c r="I2042" s="23" t="s">
        <v>8723</v>
      </c>
      <c r="J2042" s="23">
        <v>1</v>
      </c>
      <c r="K2042" s="23" t="s">
        <v>107</v>
      </c>
      <c r="L2042" s="23" t="s">
        <v>16</v>
      </c>
      <c r="M2042" s="24"/>
    </row>
    <row r="2043" spans="1:13">
      <c r="A2043" s="22">
        <v>2529760</v>
      </c>
      <c r="B2043" s="23" t="s">
        <v>8724</v>
      </c>
      <c r="C2043" s="22" t="s">
        <v>8725</v>
      </c>
      <c r="D2043" s="22" t="s">
        <v>8726</v>
      </c>
      <c r="E2043" s="23" t="s">
        <v>127</v>
      </c>
      <c r="F2043" s="23" t="s">
        <v>112</v>
      </c>
      <c r="G2043" s="23" t="s">
        <v>26</v>
      </c>
      <c r="H2043" s="23" t="s">
        <v>8727</v>
      </c>
      <c r="I2043" s="23" t="s">
        <v>8728</v>
      </c>
      <c r="J2043" s="34" t="s">
        <v>34</v>
      </c>
      <c r="K2043" s="23" t="s">
        <v>967</v>
      </c>
      <c r="L2043" s="23" t="s">
        <v>16</v>
      </c>
      <c r="M2043" s="24" t="s">
        <v>1016</v>
      </c>
    </row>
    <row r="2044" spans="1:13">
      <c r="A2044" s="22">
        <v>2529594</v>
      </c>
      <c r="B2044" s="23" t="s">
        <v>8729</v>
      </c>
      <c r="C2044" s="22" t="s">
        <v>8730</v>
      </c>
      <c r="D2044" s="22" t="s">
        <v>8731</v>
      </c>
      <c r="E2044" s="23" t="s">
        <v>127</v>
      </c>
      <c r="F2044" s="23" t="s">
        <v>112</v>
      </c>
      <c r="G2044" s="23" t="s">
        <v>27</v>
      </c>
      <c r="H2044" s="23" t="s">
        <v>8732</v>
      </c>
      <c r="I2044" s="23" t="s">
        <v>8733</v>
      </c>
      <c r="J2044" s="34" t="s">
        <v>34</v>
      </c>
      <c r="K2044" s="23" t="s">
        <v>967</v>
      </c>
      <c r="L2044" s="23" t="s">
        <v>16</v>
      </c>
      <c r="M2044" s="24"/>
    </row>
    <row r="2045" spans="1:13">
      <c r="A2045" s="22">
        <v>2520976</v>
      </c>
      <c r="B2045" s="23" t="s">
        <v>8734</v>
      </c>
      <c r="C2045" s="22" t="s">
        <v>8735</v>
      </c>
      <c r="D2045" s="22" t="s">
        <v>8736</v>
      </c>
      <c r="E2045" s="23" t="s">
        <v>84</v>
      </c>
      <c r="F2045" s="23" t="s">
        <v>92</v>
      </c>
      <c r="G2045" s="23" t="s">
        <v>26</v>
      </c>
      <c r="H2045" s="23" t="s">
        <v>8737</v>
      </c>
      <c r="I2045" s="23" t="s">
        <v>8738</v>
      </c>
      <c r="J2045" s="23">
        <v>1</v>
      </c>
      <c r="K2045" s="23" t="s">
        <v>107</v>
      </c>
      <c r="L2045" s="23" t="s">
        <v>16</v>
      </c>
      <c r="M2045" s="24"/>
    </row>
    <row r="2046" spans="1:13">
      <c r="A2046" s="22">
        <v>2531960</v>
      </c>
      <c r="B2046" s="23" t="s">
        <v>8739</v>
      </c>
      <c r="C2046" s="22" t="s">
        <v>8740</v>
      </c>
      <c r="D2046" s="22" t="s">
        <v>8741</v>
      </c>
      <c r="E2046" s="23" t="s">
        <v>84</v>
      </c>
      <c r="F2046" s="23" t="s">
        <v>92</v>
      </c>
      <c r="G2046" s="23" t="s">
        <v>26</v>
      </c>
      <c r="H2046" s="23" t="s">
        <v>8742</v>
      </c>
      <c r="I2046" s="23" t="s">
        <v>8743</v>
      </c>
      <c r="J2046" s="23">
        <v>1</v>
      </c>
      <c r="K2046" s="23" t="s">
        <v>19</v>
      </c>
      <c r="L2046" s="23" t="s">
        <v>16</v>
      </c>
      <c r="M2046" s="24"/>
    </row>
    <row r="2047" spans="1:13">
      <c r="A2047" s="22">
        <v>2529669</v>
      </c>
      <c r="B2047" s="23" t="s">
        <v>8744</v>
      </c>
      <c r="C2047" s="22" t="s">
        <v>8745</v>
      </c>
      <c r="D2047" s="22" t="s">
        <v>8746</v>
      </c>
      <c r="E2047" s="23" t="s">
        <v>84</v>
      </c>
      <c r="F2047" s="23" t="s">
        <v>92</v>
      </c>
      <c r="G2047" s="23" t="s">
        <v>24</v>
      </c>
      <c r="H2047" s="23" t="s">
        <v>8747</v>
      </c>
      <c r="I2047" s="23" t="s">
        <v>8748</v>
      </c>
      <c r="J2047" s="20">
        <v>2</v>
      </c>
      <c r="K2047" s="23" t="s">
        <v>19</v>
      </c>
      <c r="L2047" s="23" t="s">
        <v>16</v>
      </c>
      <c r="M2047" s="24" t="s">
        <v>99</v>
      </c>
    </row>
    <row r="2048" spans="1:13">
      <c r="A2048" s="22">
        <v>2533067</v>
      </c>
      <c r="B2048" s="23" t="s">
        <v>8749</v>
      </c>
      <c r="C2048" s="22" t="s">
        <v>8750</v>
      </c>
      <c r="D2048" s="22" t="s">
        <v>8751</v>
      </c>
      <c r="E2048" s="23" t="s">
        <v>84</v>
      </c>
      <c r="F2048" s="23" t="s">
        <v>92</v>
      </c>
      <c r="G2048" s="23" t="s">
        <v>26</v>
      </c>
      <c r="H2048" s="23" t="s">
        <v>8752</v>
      </c>
      <c r="I2048" s="23" t="s">
        <v>8753</v>
      </c>
      <c r="J2048" s="20">
        <v>2</v>
      </c>
      <c r="K2048" s="23" t="s">
        <v>19</v>
      </c>
      <c r="L2048" s="23" t="s">
        <v>18</v>
      </c>
      <c r="M2048" s="24"/>
    </row>
    <row r="2049" spans="1:13">
      <c r="A2049" s="19">
        <v>2521633</v>
      </c>
      <c r="B2049" s="20" t="s">
        <v>8754</v>
      </c>
      <c r="C2049" s="19" t="s">
        <v>8755</v>
      </c>
      <c r="D2049" s="19" t="s">
        <v>8756</v>
      </c>
      <c r="E2049" s="20" t="s">
        <v>127</v>
      </c>
      <c r="F2049" s="20" t="s">
        <v>92</v>
      </c>
      <c r="G2049" s="20" t="s">
        <v>26</v>
      </c>
      <c r="H2049" s="20" t="s">
        <v>8757</v>
      </c>
      <c r="I2049" s="20" t="s">
        <v>8758</v>
      </c>
      <c r="J2049" s="23">
        <v>3</v>
      </c>
      <c r="K2049" s="20" t="s">
        <v>19</v>
      </c>
      <c r="L2049" s="20" t="s">
        <v>16</v>
      </c>
      <c r="M2049" s="21"/>
    </row>
    <row r="2050" spans="1:13">
      <c r="A2050" s="22">
        <v>2521633</v>
      </c>
      <c r="B2050" s="23" t="s">
        <v>8754</v>
      </c>
      <c r="C2050" s="22" t="s">
        <v>8755</v>
      </c>
      <c r="D2050" s="22" t="s">
        <v>8756</v>
      </c>
      <c r="E2050" s="23" t="s">
        <v>127</v>
      </c>
      <c r="F2050" s="23" t="s">
        <v>92</v>
      </c>
      <c r="G2050" s="23" t="s">
        <v>26</v>
      </c>
      <c r="H2050" s="23" t="s">
        <v>8757</v>
      </c>
      <c r="I2050" s="23" t="s">
        <v>8759</v>
      </c>
      <c r="J2050" s="23">
        <v>3</v>
      </c>
      <c r="K2050" s="23" t="s">
        <v>19</v>
      </c>
      <c r="L2050" s="23" t="s">
        <v>16</v>
      </c>
      <c r="M2050" s="24"/>
    </row>
    <row r="2051" spans="1:13">
      <c r="A2051" s="22">
        <v>2531283</v>
      </c>
      <c r="B2051" s="23" t="s">
        <v>8760</v>
      </c>
      <c r="C2051" s="22" t="s">
        <v>8761</v>
      </c>
      <c r="D2051" s="22" t="s">
        <v>8762</v>
      </c>
      <c r="E2051" s="23" t="s">
        <v>84</v>
      </c>
      <c r="F2051" s="23" t="s">
        <v>92</v>
      </c>
      <c r="G2051" s="23" t="s">
        <v>26</v>
      </c>
      <c r="H2051" s="23" t="s">
        <v>8763</v>
      </c>
      <c r="I2051" s="23" t="s">
        <v>8764</v>
      </c>
      <c r="J2051" s="20">
        <v>2</v>
      </c>
      <c r="K2051" s="23" t="s">
        <v>19</v>
      </c>
      <c r="L2051" s="23" t="s">
        <v>16</v>
      </c>
      <c r="M2051" s="24"/>
    </row>
    <row r="2052" spans="1:13">
      <c r="A2052" s="22">
        <v>2521760</v>
      </c>
      <c r="B2052" s="23" t="s">
        <v>8765</v>
      </c>
      <c r="C2052" s="22" t="s">
        <v>8766</v>
      </c>
      <c r="D2052" s="22" t="s">
        <v>8767</v>
      </c>
      <c r="E2052" s="23" t="s">
        <v>84</v>
      </c>
      <c r="F2052" s="23" t="s">
        <v>92</v>
      </c>
      <c r="G2052" s="23" t="s">
        <v>26</v>
      </c>
      <c r="H2052" s="23" t="s">
        <v>8768</v>
      </c>
      <c r="I2052" s="23" t="s">
        <v>8769</v>
      </c>
      <c r="J2052" s="23">
        <v>3</v>
      </c>
      <c r="K2052" s="23" t="s">
        <v>19</v>
      </c>
      <c r="L2052" s="23" t="s">
        <v>18</v>
      </c>
      <c r="M2052" s="24" t="s">
        <v>8770</v>
      </c>
    </row>
    <row r="2053" spans="1:13">
      <c r="A2053" s="19">
        <v>2533153</v>
      </c>
      <c r="B2053" s="20" t="s">
        <v>8771</v>
      </c>
      <c r="C2053" s="19" t="s">
        <v>8772</v>
      </c>
      <c r="D2053" s="19" t="s">
        <v>8773</v>
      </c>
      <c r="E2053" s="20" t="s">
        <v>84</v>
      </c>
      <c r="F2053" s="20" t="s">
        <v>92</v>
      </c>
      <c r="G2053" s="20" t="s">
        <v>26</v>
      </c>
      <c r="H2053" s="20" t="s">
        <v>8774</v>
      </c>
      <c r="I2053" s="20" t="s">
        <v>8775</v>
      </c>
      <c r="J2053" s="20">
        <v>2</v>
      </c>
      <c r="K2053" s="20" t="s">
        <v>19</v>
      </c>
      <c r="L2053" s="20" t="s">
        <v>18</v>
      </c>
      <c r="M2053" s="21" t="s">
        <v>108</v>
      </c>
    </row>
    <row r="2054" spans="1:13">
      <c r="A2054" s="19">
        <v>2526602</v>
      </c>
      <c r="B2054" s="20" t="s">
        <v>8776</v>
      </c>
      <c r="C2054" s="19" t="s">
        <v>8777</v>
      </c>
      <c r="D2054" s="19" t="s">
        <v>8778</v>
      </c>
      <c r="E2054" s="20" t="s">
        <v>84</v>
      </c>
      <c r="F2054" s="20" t="s">
        <v>92</v>
      </c>
      <c r="G2054" s="20" t="s">
        <v>26</v>
      </c>
      <c r="H2054" s="20" t="s">
        <v>8779</v>
      </c>
      <c r="I2054" s="20" t="s">
        <v>8780</v>
      </c>
      <c r="J2054" s="23">
        <v>3</v>
      </c>
      <c r="K2054" s="20" t="s">
        <v>19</v>
      </c>
      <c r="L2054" s="20" t="s">
        <v>16</v>
      </c>
      <c r="M2054" s="21"/>
    </row>
    <row r="2055" spans="1:13">
      <c r="A2055" s="22">
        <v>2531283</v>
      </c>
      <c r="B2055" s="23" t="s">
        <v>8760</v>
      </c>
      <c r="C2055" s="22" t="s">
        <v>8761</v>
      </c>
      <c r="D2055" s="22" t="s">
        <v>8762</v>
      </c>
      <c r="E2055" s="23" t="s">
        <v>84</v>
      </c>
      <c r="F2055" s="23" t="s">
        <v>92</v>
      </c>
      <c r="G2055" s="23" t="s">
        <v>26</v>
      </c>
      <c r="H2055" s="23" t="s">
        <v>8781</v>
      </c>
      <c r="I2055" s="23" t="s">
        <v>8782</v>
      </c>
      <c r="J2055" s="20">
        <v>2</v>
      </c>
      <c r="K2055" s="23" t="s">
        <v>19</v>
      </c>
      <c r="L2055" s="23" t="s">
        <v>16</v>
      </c>
      <c r="M2055" s="24"/>
    </row>
    <row r="2056" spans="1:13">
      <c r="A2056" s="19">
        <v>2521177</v>
      </c>
      <c r="B2056" s="20" t="s">
        <v>8783</v>
      </c>
      <c r="C2056" s="19" t="s">
        <v>8784</v>
      </c>
      <c r="D2056" s="19" t="s">
        <v>8785</v>
      </c>
      <c r="E2056" s="20" t="s">
        <v>84</v>
      </c>
      <c r="F2056" s="20" t="s">
        <v>92</v>
      </c>
      <c r="G2056" s="20" t="s">
        <v>26</v>
      </c>
      <c r="H2056" s="20" t="s">
        <v>8786</v>
      </c>
      <c r="I2056" s="20" t="s">
        <v>8787</v>
      </c>
      <c r="J2056" s="34" t="s">
        <v>34</v>
      </c>
      <c r="K2056" s="20" t="s">
        <v>107</v>
      </c>
      <c r="L2056" s="20" t="s">
        <v>16</v>
      </c>
      <c r="M2056" s="21"/>
    </row>
    <row r="2057" spans="1:13">
      <c r="A2057" s="22">
        <v>2512346</v>
      </c>
      <c r="B2057" s="23" t="s">
        <v>8788</v>
      </c>
      <c r="C2057" s="22" t="s">
        <v>8789</v>
      </c>
      <c r="D2057" s="22" t="s">
        <v>8790</v>
      </c>
      <c r="E2057" s="23" t="s">
        <v>84</v>
      </c>
      <c r="F2057" s="23" t="s">
        <v>92</v>
      </c>
      <c r="G2057" s="23" t="s">
        <v>26</v>
      </c>
      <c r="H2057" s="23" t="s">
        <v>8791</v>
      </c>
      <c r="I2057" s="23" t="s">
        <v>8792</v>
      </c>
      <c r="J2057" s="20">
        <v>2</v>
      </c>
      <c r="K2057" s="23" t="s">
        <v>19</v>
      </c>
      <c r="L2057" s="23" t="s">
        <v>16</v>
      </c>
      <c r="M2057" s="24"/>
    </row>
    <row r="2058" spans="1:13">
      <c r="A2058" s="19">
        <v>2512292</v>
      </c>
      <c r="B2058" s="20" t="s">
        <v>8793</v>
      </c>
      <c r="C2058" s="19" t="s">
        <v>8794</v>
      </c>
      <c r="D2058" s="19" t="s">
        <v>8795</v>
      </c>
      <c r="E2058" s="20" t="s">
        <v>84</v>
      </c>
      <c r="F2058" s="20" t="s">
        <v>92</v>
      </c>
      <c r="G2058" s="20" t="s">
        <v>26</v>
      </c>
      <c r="H2058" s="20" t="s">
        <v>8796</v>
      </c>
      <c r="I2058" s="20" t="s">
        <v>8797</v>
      </c>
      <c r="J2058" s="23">
        <v>3</v>
      </c>
      <c r="K2058" s="20" t="s">
        <v>19</v>
      </c>
      <c r="L2058" s="20" t="s">
        <v>16</v>
      </c>
      <c r="M2058" s="21"/>
    </row>
    <row r="2059" spans="1:13">
      <c r="A2059" s="19">
        <v>2512292</v>
      </c>
      <c r="B2059" s="20" t="s">
        <v>8798</v>
      </c>
      <c r="C2059" s="19" t="s">
        <v>8794</v>
      </c>
      <c r="D2059" s="19" t="s">
        <v>8795</v>
      </c>
      <c r="E2059" s="20" t="s">
        <v>84</v>
      </c>
      <c r="F2059" s="20" t="s">
        <v>92</v>
      </c>
      <c r="G2059" s="20" t="s">
        <v>26</v>
      </c>
      <c r="H2059" s="20" t="s">
        <v>8796</v>
      </c>
      <c r="I2059" s="20" t="s">
        <v>8799</v>
      </c>
      <c r="J2059" s="23">
        <v>3</v>
      </c>
      <c r="K2059" s="20" t="s">
        <v>19</v>
      </c>
      <c r="L2059" s="20" t="s">
        <v>16</v>
      </c>
      <c r="M2059" s="21"/>
    </row>
    <row r="2060" spans="1:13">
      <c r="A2060" s="22">
        <v>2512290</v>
      </c>
      <c r="B2060" s="23" t="s">
        <v>8800</v>
      </c>
      <c r="C2060" s="22" t="s">
        <v>8801</v>
      </c>
      <c r="D2060" s="22" t="s">
        <v>8802</v>
      </c>
      <c r="E2060" s="23" t="s">
        <v>127</v>
      </c>
      <c r="F2060" s="23" t="s">
        <v>92</v>
      </c>
      <c r="G2060" s="23" t="s">
        <v>26</v>
      </c>
      <c r="H2060" s="23" t="s">
        <v>8803</v>
      </c>
      <c r="I2060" s="23" t="s">
        <v>8804</v>
      </c>
      <c r="J2060" s="23">
        <v>3</v>
      </c>
      <c r="K2060" s="23" t="s">
        <v>19</v>
      </c>
      <c r="L2060" s="23" t="s">
        <v>16</v>
      </c>
      <c r="M2060" s="24" t="s">
        <v>8805</v>
      </c>
    </row>
    <row r="2061" spans="1:13">
      <c r="A2061" s="22">
        <v>2511234</v>
      </c>
      <c r="B2061" s="23" t="s">
        <v>8806</v>
      </c>
      <c r="C2061" s="22" t="s">
        <v>8807</v>
      </c>
      <c r="D2061" s="22" t="s">
        <v>8808</v>
      </c>
      <c r="E2061" s="23" t="s">
        <v>84</v>
      </c>
      <c r="F2061" s="23" t="s">
        <v>92</v>
      </c>
      <c r="G2061" s="23" t="s">
        <v>26</v>
      </c>
      <c r="H2061" s="23" t="s">
        <v>8809</v>
      </c>
      <c r="I2061" s="23" t="s">
        <v>8810</v>
      </c>
      <c r="J2061" s="23">
        <v>1</v>
      </c>
      <c r="K2061" s="23" t="s">
        <v>107</v>
      </c>
      <c r="L2061" s="23" t="s">
        <v>16</v>
      </c>
      <c r="M2061" s="24"/>
    </row>
    <row r="2062" spans="1:13">
      <c r="A2062" s="19">
        <v>2521103</v>
      </c>
      <c r="B2062" s="20" t="s">
        <v>8811</v>
      </c>
      <c r="C2062" s="19" t="s">
        <v>8812</v>
      </c>
      <c r="D2062" s="19" t="s">
        <v>8813</v>
      </c>
      <c r="E2062" s="20" t="s">
        <v>127</v>
      </c>
      <c r="F2062" s="20" t="s">
        <v>92</v>
      </c>
      <c r="G2062" s="20" t="s">
        <v>26</v>
      </c>
      <c r="H2062" s="20" t="s">
        <v>8814</v>
      </c>
      <c r="I2062" s="20" t="s">
        <v>8815</v>
      </c>
      <c r="J2062" s="20">
        <v>4</v>
      </c>
      <c r="K2062" s="20" t="s">
        <v>107</v>
      </c>
      <c r="L2062" s="20" t="s">
        <v>16</v>
      </c>
      <c r="M2062" s="21"/>
    </row>
    <row r="2063" spans="1:13">
      <c r="A2063" s="19">
        <v>2529520</v>
      </c>
      <c r="B2063" s="20" t="s">
        <v>8816</v>
      </c>
      <c r="C2063" s="19" t="s">
        <v>8817</v>
      </c>
      <c r="D2063" s="19" t="s">
        <v>8818</v>
      </c>
      <c r="E2063" s="20" t="s">
        <v>84</v>
      </c>
      <c r="F2063" s="20" t="s">
        <v>92</v>
      </c>
      <c r="G2063" s="20" t="s">
        <v>26</v>
      </c>
      <c r="H2063" s="20" t="s">
        <v>8814</v>
      </c>
      <c r="I2063" s="20" t="s">
        <v>8819</v>
      </c>
      <c r="J2063" s="20">
        <v>4</v>
      </c>
      <c r="K2063" s="20" t="s">
        <v>19</v>
      </c>
      <c r="L2063" s="20" t="s">
        <v>16</v>
      </c>
      <c r="M2063" s="21"/>
    </row>
    <row r="2064" spans="1:13">
      <c r="A2064" s="19">
        <v>2524475</v>
      </c>
      <c r="B2064" s="20" t="s">
        <v>8820</v>
      </c>
      <c r="C2064" s="19" t="s">
        <v>8821</v>
      </c>
      <c r="D2064" s="19" t="s">
        <v>8822</v>
      </c>
      <c r="E2064" s="20" t="s">
        <v>84</v>
      </c>
      <c r="F2064" s="20" t="s">
        <v>92</v>
      </c>
      <c r="G2064" s="20" t="s">
        <v>26</v>
      </c>
      <c r="H2064" s="20" t="s">
        <v>8823</v>
      </c>
      <c r="I2064" s="20" t="s">
        <v>8824</v>
      </c>
      <c r="J2064" s="20">
        <v>2</v>
      </c>
      <c r="K2064" s="20" t="s">
        <v>107</v>
      </c>
      <c r="L2064" s="20" t="s">
        <v>16</v>
      </c>
      <c r="M2064" s="21"/>
    </row>
    <row r="2065" spans="1:13">
      <c r="A2065" s="19">
        <v>2529519</v>
      </c>
      <c r="B2065" s="20" t="s">
        <v>8825</v>
      </c>
      <c r="C2065" s="19" t="s">
        <v>8826</v>
      </c>
      <c r="D2065" s="19" t="s">
        <v>8827</v>
      </c>
      <c r="E2065" s="20" t="s">
        <v>84</v>
      </c>
      <c r="F2065" s="20" t="s">
        <v>92</v>
      </c>
      <c r="G2065" s="20" t="s">
        <v>26</v>
      </c>
      <c r="H2065" s="20" t="s">
        <v>8828</v>
      </c>
      <c r="I2065" s="20" t="s">
        <v>8828</v>
      </c>
      <c r="J2065" s="23">
        <v>1</v>
      </c>
      <c r="K2065" s="20" t="s">
        <v>19</v>
      </c>
      <c r="L2065" s="20" t="s">
        <v>16</v>
      </c>
      <c r="M2065" s="21"/>
    </row>
    <row r="2066" spans="1:13">
      <c r="A2066" s="19">
        <v>2529527</v>
      </c>
      <c r="B2066" s="20" t="s">
        <v>8829</v>
      </c>
      <c r="C2066" s="19" t="s">
        <v>8830</v>
      </c>
      <c r="D2066" s="19" t="s">
        <v>8831</v>
      </c>
      <c r="E2066" s="20" t="s">
        <v>127</v>
      </c>
      <c r="F2066" s="20" t="s">
        <v>92</v>
      </c>
      <c r="G2066" s="20" t="s">
        <v>26</v>
      </c>
      <c r="H2066" s="20" t="s">
        <v>8832</v>
      </c>
      <c r="I2066" s="20" t="s">
        <v>8815</v>
      </c>
      <c r="J2066" s="23">
        <v>3</v>
      </c>
      <c r="K2066" s="20" t="s">
        <v>107</v>
      </c>
      <c r="L2066" s="20" t="s">
        <v>16</v>
      </c>
      <c r="M2066" s="21"/>
    </row>
    <row r="2067" spans="1:13">
      <c r="A2067" s="22">
        <v>2521835</v>
      </c>
      <c r="B2067" s="23" t="s">
        <v>8833</v>
      </c>
      <c r="C2067" s="22" t="s">
        <v>8834</v>
      </c>
      <c r="D2067" s="22" t="s">
        <v>8835</v>
      </c>
      <c r="E2067" s="23" t="s">
        <v>84</v>
      </c>
      <c r="F2067" s="23" t="s">
        <v>92</v>
      </c>
      <c r="G2067" s="23" t="s">
        <v>26</v>
      </c>
      <c r="H2067" s="23" t="s">
        <v>8836</v>
      </c>
      <c r="I2067" s="23" t="s">
        <v>8837</v>
      </c>
      <c r="J2067" s="20">
        <v>4</v>
      </c>
      <c r="K2067" s="23" t="s">
        <v>19</v>
      </c>
      <c r="L2067" s="23" t="s">
        <v>16</v>
      </c>
      <c r="M2067" s="24"/>
    </row>
    <row r="2068" spans="1:13">
      <c r="A2068" s="19">
        <v>2531817</v>
      </c>
      <c r="B2068" s="20" t="s">
        <v>8838</v>
      </c>
      <c r="C2068" s="19" t="s">
        <v>8839</v>
      </c>
      <c r="D2068" s="19" t="s">
        <v>8840</v>
      </c>
      <c r="E2068" s="20" t="s">
        <v>84</v>
      </c>
      <c r="F2068" s="20" t="s">
        <v>92</v>
      </c>
      <c r="G2068" s="20" t="s">
        <v>26</v>
      </c>
      <c r="H2068" s="20" t="s">
        <v>8841</v>
      </c>
      <c r="I2068" s="20" t="s">
        <v>8842</v>
      </c>
      <c r="J2068" s="23">
        <v>3</v>
      </c>
      <c r="K2068" s="20" t="s">
        <v>19</v>
      </c>
      <c r="L2068" s="20" t="s">
        <v>18</v>
      </c>
      <c r="M2068" s="21" t="s">
        <v>1016</v>
      </c>
    </row>
    <row r="2069" spans="1:13">
      <c r="A2069" s="22">
        <v>2530202</v>
      </c>
      <c r="B2069" s="23" t="s">
        <v>197</v>
      </c>
      <c r="C2069" s="22" t="s">
        <v>8843</v>
      </c>
      <c r="D2069" s="22" t="s">
        <v>8844</v>
      </c>
      <c r="E2069" s="23" t="s">
        <v>84</v>
      </c>
      <c r="F2069" s="23" t="s">
        <v>112</v>
      </c>
      <c r="G2069" s="23" t="s">
        <v>26</v>
      </c>
      <c r="H2069" s="23" t="s">
        <v>8845</v>
      </c>
      <c r="I2069" s="23" t="s">
        <v>8846</v>
      </c>
      <c r="J2069" s="23">
        <v>1</v>
      </c>
      <c r="K2069" s="23" t="s">
        <v>107</v>
      </c>
      <c r="L2069" s="23" t="s">
        <v>18</v>
      </c>
      <c r="M2069" s="24"/>
    </row>
    <row r="2070" spans="1:13">
      <c r="A2070" s="19">
        <v>2521806</v>
      </c>
      <c r="B2070" s="20" t="s">
        <v>8847</v>
      </c>
      <c r="C2070" s="19" t="s">
        <v>8848</v>
      </c>
      <c r="D2070" s="19" t="s">
        <v>8849</v>
      </c>
      <c r="E2070" s="20" t="s">
        <v>84</v>
      </c>
      <c r="F2070" s="20" t="s">
        <v>172</v>
      </c>
      <c r="G2070" s="20" t="s">
        <v>26</v>
      </c>
      <c r="H2070" s="20" t="s">
        <v>8850</v>
      </c>
      <c r="I2070" s="20" t="s">
        <v>8851</v>
      </c>
      <c r="J2070" s="20">
        <v>2</v>
      </c>
      <c r="K2070" s="20" t="s">
        <v>19</v>
      </c>
      <c r="L2070" s="20" t="s">
        <v>16</v>
      </c>
      <c r="M2070" s="21"/>
    </row>
    <row r="2071" spans="1:13">
      <c r="A2071" s="22">
        <v>2512338</v>
      </c>
      <c r="B2071" s="23" t="s">
        <v>8852</v>
      </c>
      <c r="C2071" s="22" t="s">
        <v>8853</v>
      </c>
      <c r="D2071" s="22" t="s">
        <v>8854</v>
      </c>
      <c r="E2071" s="23" t="s">
        <v>84</v>
      </c>
      <c r="F2071" s="23" t="s">
        <v>92</v>
      </c>
      <c r="G2071" s="23" t="s">
        <v>26</v>
      </c>
      <c r="H2071" s="23" t="s">
        <v>8855</v>
      </c>
      <c r="I2071" s="23" t="s">
        <v>8856</v>
      </c>
      <c r="J2071" s="20">
        <v>2</v>
      </c>
      <c r="K2071" s="23" t="s">
        <v>19</v>
      </c>
      <c r="L2071" s="23" t="s">
        <v>18</v>
      </c>
      <c r="M2071" s="24"/>
    </row>
    <row r="2072" spans="1:13">
      <c r="A2072" s="19">
        <v>2512353</v>
      </c>
      <c r="B2072" s="20" t="s">
        <v>8857</v>
      </c>
      <c r="C2072" s="19" t="s">
        <v>8858</v>
      </c>
      <c r="D2072" s="19" t="s">
        <v>8859</v>
      </c>
      <c r="E2072" s="20" t="s">
        <v>84</v>
      </c>
      <c r="F2072" s="20" t="s">
        <v>92</v>
      </c>
      <c r="G2072" s="20" t="s">
        <v>26</v>
      </c>
      <c r="H2072" s="20" t="s">
        <v>8860</v>
      </c>
      <c r="I2072" s="20" t="s">
        <v>8861</v>
      </c>
      <c r="J2072" s="20">
        <v>2</v>
      </c>
      <c r="K2072" s="20" t="s">
        <v>19</v>
      </c>
      <c r="L2072" s="20" t="s">
        <v>16</v>
      </c>
      <c r="M2072" s="21"/>
    </row>
    <row r="2073" spans="1:13">
      <c r="A2073" s="22">
        <v>2521098</v>
      </c>
      <c r="B2073" s="23" t="s">
        <v>8862</v>
      </c>
      <c r="C2073" s="22" t="s">
        <v>8863</v>
      </c>
      <c r="D2073" s="22" t="s">
        <v>8864</v>
      </c>
      <c r="E2073" s="23" t="s">
        <v>84</v>
      </c>
      <c r="F2073" s="23" t="s">
        <v>92</v>
      </c>
      <c r="G2073" s="23" t="s">
        <v>26</v>
      </c>
      <c r="H2073" s="23" t="s">
        <v>8865</v>
      </c>
      <c r="I2073" s="23" t="s">
        <v>8866</v>
      </c>
      <c r="J2073" s="20">
        <v>4</v>
      </c>
      <c r="K2073" s="23" t="s">
        <v>107</v>
      </c>
      <c r="L2073" s="23" t="s">
        <v>16</v>
      </c>
      <c r="M2073" s="24"/>
    </row>
    <row r="2074" spans="1:13">
      <c r="A2074" s="19">
        <v>2530134</v>
      </c>
      <c r="B2074" s="20" t="s">
        <v>8867</v>
      </c>
      <c r="C2074" s="19" t="s">
        <v>8868</v>
      </c>
      <c r="D2074" s="19" t="s">
        <v>8869</v>
      </c>
      <c r="E2074" s="20" t="s">
        <v>384</v>
      </c>
      <c r="F2074" s="20" t="s">
        <v>92</v>
      </c>
      <c r="G2074" s="20" t="s">
        <v>26</v>
      </c>
      <c r="H2074" s="20" t="s">
        <v>8870</v>
      </c>
      <c r="I2074" s="20" t="s">
        <v>8871</v>
      </c>
      <c r="J2074" s="23">
        <v>1</v>
      </c>
      <c r="K2074" s="20" t="s">
        <v>107</v>
      </c>
      <c r="L2074" s="20" t="s">
        <v>16</v>
      </c>
      <c r="M2074" s="69"/>
    </row>
    <row r="2075" spans="1:13">
      <c r="A2075" s="19">
        <v>2521632</v>
      </c>
      <c r="B2075" s="20" t="s">
        <v>8872</v>
      </c>
      <c r="C2075" s="19" t="s">
        <v>8873</v>
      </c>
      <c r="D2075" s="19" t="s">
        <v>8874</v>
      </c>
      <c r="E2075" s="20" t="s">
        <v>127</v>
      </c>
      <c r="F2075" s="20" t="s">
        <v>172</v>
      </c>
      <c r="G2075" s="20" t="s">
        <v>26</v>
      </c>
      <c r="H2075" s="20" t="s">
        <v>8875</v>
      </c>
      <c r="I2075" s="20" t="s">
        <v>8876</v>
      </c>
      <c r="J2075" s="23">
        <v>1</v>
      </c>
      <c r="K2075" s="20" t="s">
        <v>107</v>
      </c>
      <c r="L2075" s="20" t="s">
        <v>16</v>
      </c>
      <c r="M2075" s="21"/>
    </row>
    <row r="2076" spans="1:13">
      <c r="A2076" s="22">
        <v>2521632</v>
      </c>
      <c r="B2076" s="23" t="s">
        <v>8872</v>
      </c>
      <c r="C2076" s="22" t="s">
        <v>8873</v>
      </c>
      <c r="D2076" s="22" t="s">
        <v>8874</v>
      </c>
      <c r="E2076" s="23" t="s">
        <v>127</v>
      </c>
      <c r="F2076" s="23" t="s">
        <v>92</v>
      </c>
      <c r="G2076" s="23" t="s">
        <v>26</v>
      </c>
      <c r="H2076" s="23" t="s">
        <v>8875</v>
      </c>
      <c r="I2076" s="23" t="s">
        <v>8876</v>
      </c>
      <c r="J2076" s="23">
        <v>1</v>
      </c>
      <c r="K2076" s="23" t="s">
        <v>107</v>
      </c>
      <c r="L2076" s="23" t="s">
        <v>16</v>
      </c>
      <c r="M2076" s="24"/>
    </row>
    <row r="2077" spans="1:13">
      <c r="A2077" s="19">
        <v>2512345</v>
      </c>
      <c r="B2077" s="20" t="s">
        <v>8877</v>
      </c>
      <c r="C2077" s="19" t="s">
        <v>8878</v>
      </c>
      <c r="D2077" s="19" t="s">
        <v>8879</v>
      </c>
      <c r="E2077" s="20" t="s">
        <v>127</v>
      </c>
      <c r="F2077" s="20" t="s">
        <v>92</v>
      </c>
      <c r="G2077" s="20" t="s">
        <v>26</v>
      </c>
      <c r="H2077" s="20" t="s">
        <v>8875</v>
      </c>
      <c r="I2077" s="20" t="s">
        <v>8876</v>
      </c>
      <c r="J2077" s="20">
        <v>2</v>
      </c>
      <c r="K2077" s="20" t="s">
        <v>19</v>
      </c>
      <c r="L2077" s="20" t="s">
        <v>16</v>
      </c>
      <c r="M2077" s="69"/>
    </row>
    <row r="2078" spans="1:13">
      <c r="A2078" s="19">
        <v>2512309</v>
      </c>
      <c r="B2078" s="20" t="s">
        <v>8880</v>
      </c>
      <c r="C2078" s="19" t="s">
        <v>8881</v>
      </c>
      <c r="D2078" s="19" t="s">
        <v>8882</v>
      </c>
      <c r="E2078" s="20" t="s">
        <v>84</v>
      </c>
      <c r="F2078" s="20" t="s">
        <v>92</v>
      </c>
      <c r="G2078" s="20" t="s">
        <v>26</v>
      </c>
      <c r="H2078" s="20" t="s">
        <v>8883</v>
      </c>
      <c r="I2078" s="20" t="s">
        <v>8876</v>
      </c>
      <c r="J2078" s="20">
        <v>2</v>
      </c>
      <c r="K2078" s="20" t="s">
        <v>107</v>
      </c>
      <c r="L2078" s="20" t="s">
        <v>16</v>
      </c>
      <c r="M2078" s="69"/>
    </row>
    <row r="2079" spans="1:13">
      <c r="A2079" s="22">
        <v>2512309</v>
      </c>
      <c r="B2079" s="23" t="s">
        <v>8880</v>
      </c>
      <c r="C2079" s="22" t="s">
        <v>8881</v>
      </c>
      <c r="D2079" s="22" t="s">
        <v>8882</v>
      </c>
      <c r="E2079" s="23" t="s">
        <v>84</v>
      </c>
      <c r="F2079" s="23" t="s">
        <v>92</v>
      </c>
      <c r="G2079" s="23" t="s">
        <v>26</v>
      </c>
      <c r="H2079" s="23" t="s">
        <v>8883</v>
      </c>
      <c r="I2079" s="23" t="s">
        <v>8884</v>
      </c>
      <c r="J2079" s="20">
        <v>2</v>
      </c>
      <c r="K2079" s="23" t="s">
        <v>107</v>
      </c>
      <c r="L2079" s="23" t="s">
        <v>16</v>
      </c>
    </row>
    <row r="2080" spans="1:13">
      <c r="A2080" s="19">
        <v>2529493</v>
      </c>
      <c r="B2080" s="20" t="s">
        <v>8885</v>
      </c>
      <c r="C2080" s="19" t="s">
        <v>8886</v>
      </c>
      <c r="D2080" s="19" t="s">
        <v>8887</v>
      </c>
      <c r="E2080" s="20" t="s">
        <v>84</v>
      </c>
      <c r="F2080" s="20" t="s">
        <v>92</v>
      </c>
      <c r="G2080" s="20" t="s">
        <v>26</v>
      </c>
      <c r="H2080" s="20" t="s">
        <v>8883</v>
      </c>
      <c r="I2080" s="20" t="s">
        <v>8876</v>
      </c>
      <c r="J2080" s="23">
        <v>3</v>
      </c>
      <c r="K2080" s="20" t="s">
        <v>107</v>
      </c>
      <c r="L2080" s="20" t="s">
        <v>16</v>
      </c>
      <c r="M2080" s="69"/>
    </row>
    <row r="2081" spans="1:13">
      <c r="A2081" s="22">
        <v>2512290</v>
      </c>
      <c r="B2081" s="23" t="s">
        <v>8888</v>
      </c>
      <c r="C2081" s="22" t="s">
        <v>8801</v>
      </c>
      <c r="D2081" s="22" t="s">
        <v>8802</v>
      </c>
      <c r="E2081" s="23" t="s">
        <v>127</v>
      </c>
      <c r="F2081" s="23" t="s">
        <v>92</v>
      </c>
      <c r="G2081" s="23" t="s">
        <v>26</v>
      </c>
      <c r="H2081" s="23" t="s">
        <v>8889</v>
      </c>
      <c r="I2081" s="23" t="s">
        <v>8890</v>
      </c>
      <c r="J2081" s="23">
        <v>3</v>
      </c>
      <c r="K2081" s="23" t="s">
        <v>19</v>
      </c>
      <c r="L2081" s="23" t="s">
        <v>16</v>
      </c>
      <c r="M2081" t="s">
        <v>16</v>
      </c>
    </row>
    <row r="2082" spans="1:13">
      <c r="A2082" s="22">
        <v>2521837</v>
      </c>
      <c r="B2082" s="23" t="s">
        <v>8891</v>
      </c>
      <c r="C2082" s="22" t="s">
        <v>8813</v>
      </c>
      <c r="D2082" s="22" t="s">
        <v>8892</v>
      </c>
      <c r="E2082" s="23" t="s">
        <v>84</v>
      </c>
      <c r="F2082" s="23" t="s">
        <v>92</v>
      </c>
      <c r="G2082" s="23" t="s">
        <v>26</v>
      </c>
      <c r="H2082" s="23" t="s">
        <v>8893</v>
      </c>
      <c r="I2082" s="23" t="s">
        <v>8894</v>
      </c>
      <c r="J2082" s="20">
        <v>4</v>
      </c>
      <c r="K2082" s="23" t="s">
        <v>19</v>
      </c>
      <c r="L2082" s="23" t="s">
        <v>16</v>
      </c>
      <c r="M2082" s="24"/>
    </row>
    <row r="2083" spans="1:13">
      <c r="A2083" s="22">
        <v>2529645</v>
      </c>
      <c r="B2083" s="23" t="s">
        <v>8895</v>
      </c>
      <c r="C2083" s="22" t="s">
        <v>8896</v>
      </c>
      <c r="D2083" s="22" t="s">
        <v>8897</v>
      </c>
      <c r="E2083" s="23" t="s">
        <v>127</v>
      </c>
      <c r="F2083" s="23" t="s">
        <v>92</v>
      </c>
      <c r="G2083" s="23" t="s">
        <v>26</v>
      </c>
      <c r="H2083" s="23" t="s">
        <v>8898</v>
      </c>
      <c r="I2083" s="23" t="s">
        <v>8898</v>
      </c>
      <c r="J2083" s="23">
        <v>3</v>
      </c>
      <c r="K2083" s="23" t="s">
        <v>19</v>
      </c>
      <c r="L2083" s="23" t="s">
        <v>16</v>
      </c>
      <c r="M2083" t="s">
        <v>49</v>
      </c>
    </row>
    <row r="2084" spans="1:13">
      <c r="A2084" s="19">
        <v>2521111</v>
      </c>
      <c r="B2084" s="20" t="s">
        <v>8899</v>
      </c>
      <c r="C2084" s="19" t="s">
        <v>8900</v>
      </c>
      <c r="D2084" s="19" t="s">
        <v>8901</v>
      </c>
      <c r="E2084" s="20" t="s">
        <v>84</v>
      </c>
      <c r="F2084" s="20" t="s">
        <v>92</v>
      </c>
      <c r="G2084" s="20" t="s">
        <v>26</v>
      </c>
      <c r="H2084" s="20" t="s">
        <v>8902</v>
      </c>
      <c r="I2084" s="20" t="s">
        <v>8903</v>
      </c>
      <c r="J2084" s="20">
        <v>4</v>
      </c>
      <c r="K2084" s="20" t="s">
        <v>107</v>
      </c>
      <c r="L2084" s="20" t="s">
        <v>16</v>
      </c>
      <c r="M2084" s="69"/>
    </row>
    <row r="2085" spans="1:13">
      <c r="A2085" s="22">
        <v>2521685</v>
      </c>
      <c r="B2085" s="23" t="s">
        <v>8904</v>
      </c>
      <c r="C2085" s="22" t="s">
        <v>8905</v>
      </c>
      <c r="D2085" s="22" t="s">
        <v>8906</v>
      </c>
      <c r="E2085" s="23" t="s">
        <v>84</v>
      </c>
      <c r="F2085" s="23" t="s">
        <v>172</v>
      </c>
      <c r="G2085" s="23" t="s">
        <v>26</v>
      </c>
      <c r="H2085" s="23" t="s">
        <v>8907</v>
      </c>
      <c r="I2085" s="23" t="s">
        <v>8908</v>
      </c>
      <c r="J2085" s="20">
        <v>2</v>
      </c>
      <c r="K2085" s="23" t="s">
        <v>107</v>
      </c>
      <c r="L2085" s="23" t="s">
        <v>18</v>
      </c>
    </row>
    <row r="2086" spans="1:13">
      <c r="A2086" s="22">
        <v>2529494</v>
      </c>
      <c r="B2086" s="23" t="s">
        <v>8909</v>
      </c>
      <c r="C2086" s="22" t="s">
        <v>8910</v>
      </c>
      <c r="D2086" s="22" t="s">
        <v>8911</v>
      </c>
      <c r="E2086" s="23" t="s">
        <v>127</v>
      </c>
      <c r="F2086" s="23" t="s">
        <v>92</v>
      </c>
      <c r="G2086" s="23" t="s">
        <v>26</v>
      </c>
      <c r="H2086" s="23" t="s">
        <v>8912</v>
      </c>
      <c r="I2086" s="23" t="s">
        <v>8913</v>
      </c>
      <c r="J2086" s="34" t="s">
        <v>34</v>
      </c>
      <c r="K2086" s="23" t="s">
        <v>19</v>
      </c>
      <c r="L2086" s="23" t="s">
        <v>16</v>
      </c>
      <c r="M2086" s="24"/>
    </row>
    <row r="2087" spans="1:13">
      <c r="A2087" s="22">
        <v>2521726</v>
      </c>
      <c r="B2087" s="23" t="s">
        <v>8914</v>
      </c>
      <c r="C2087" s="22" t="s">
        <v>8915</v>
      </c>
      <c r="D2087" s="22" t="s">
        <v>8916</v>
      </c>
      <c r="E2087" s="23" t="s">
        <v>84</v>
      </c>
      <c r="F2087" s="23" t="s">
        <v>92</v>
      </c>
      <c r="G2087" s="23" t="s">
        <v>26</v>
      </c>
      <c r="H2087" s="23" t="s">
        <v>8917</v>
      </c>
      <c r="I2087" s="23" t="s">
        <v>8918</v>
      </c>
      <c r="J2087" s="23">
        <v>3</v>
      </c>
      <c r="K2087" s="23" t="s">
        <v>107</v>
      </c>
      <c r="L2087" s="23" t="s">
        <v>18</v>
      </c>
    </row>
    <row r="2088" spans="1:13">
      <c r="A2088" s="19">
        <v>2519647</v>
      </c>
      <c r="B2088" s="20" t="s">
        <v>8919</v>
      </c>
      <c r="C2088" s="19" t="s">
        <v>8920</v>
      </c>
      <c r="D2088" s="19" t="s">
        <v>1503</v>
      </c>
      <c r="E2088" s="20" t="s">
        <v>127</v>
      </c>
      <c r="F2088" s="20" t="s">
        <v>92</v>
      </c>
      <c r="G2088" s="20" t="s">
        <v>26</v>
      </c>
      <c r="H2088" s="20" t="s">
        <v>8921</v>
      </c>
      <c r="I2088" s="20" t="s">
        <v>8921</v>
      </c>
      <c r="J2088" s="20">
        <v>1</v>
      </c>
      <c r="K2088" s="20" t="s">
        <v>19</v>
      </c>
      <c r="L2088" s="20" t="s">
        <v>16</v>
      </c>
      <c r="M2088" s="69"/>
    </row>
    <row r="2089" spans="1:13">
      <c r="A2089" s="68">
        <v>2531844</v>
      </c>
      <c r="B2089" s="69" t="s">
        <v>8922</v>
      </c>
      <c r="C2089" s="68" t="s">
        <v>8923</v>
      </c>
      <c r="D2089" s="68" t="s">
        <v>8924</v>
      </c>
      <c r="E2089" s="69" t="s">
        <v>84</v>
      </c>
      <c r="F2089" s="69" t="s">
        <v>92</v>
      </c>
      <c r="G2089" s="20" t="s">
        <v>26</v>
      </c>
      <c r="H2089" s="69" t="s">
        <v>8925</v>
      </c>
      <c r="I2089" s="69" t="s">
        <v>8926</v>
      </c>
      <c r="J2089" s="69">
        <v>2</v>
      </c>
      <c r="K2089" s="69" t="s">
        <v>19</v>
      </c>
      <c r="L2089" s="69" t="s">
        <v>16</v>
      </c>
      <c r="M2089" s="69" t="s">
        <v>49</v>
      </c>
    </row>
    <row r="2090" spans="1:13">
      <c r="A2090" s="22">
        <v>2529602</v>
      </c>
      <c r="B2090" s="23" t="s">
        <v>8927</v>
      </c>
      <c r="C2090" s="22" t="s">
        <v>8928</v>
      </c>
      <c r="D2090" s="22" t="s">
        <v>8929</v>
      </c>
      <c r="E2090" s="23" t="s">
        <v>84</v>
      </c>
      <c r="F2090" s="23" t="s">
        <v>112</v>
      </c>
      <c r="G2090" s="23" t="s">
        <v>26</v>
      </c>
      <c r="H2090" s="23" t="s">
        <v>8930</v>
      </c>
      <c r="I2090" s="23" t="s">
        <v>8931</v>
      </c>
      <c r="J2090" s="23">
        <v>1</v>
      </c>
      <c r="K2090" s="23" t="s">
        <v>107</v>
      </c>
      <c r="L2090" s="23" t="s">
        <v>16</v>
      </c>
      <c r="M2090" s="24"/>
    </row>
    <row r="2091" spans="1:13">
      <c r="A2091" s="22">
        <v>2524989</v>
      </c>
      <c r="B2091" s="23" t="s">
        <v>8932</v>
      </c>
      <c r="C2091" s="22" t="s">
        <v>8933</v>
      </c>
      <c r="D2091" s="22" t="s">
        <v>8934</v>
      </c>
      <c r="E2091" s="23" t="s">
        <v>84</v>
      </c>
      <c r="F2091" s="23" t="s">
        <v>92</v>
      </c>
      <c r="G2091" s="23" t="s">
        <v>26</v>
      </c>
      <c r="H2091" s="23" t="s">
        <v>8935</v>
      </c>
      <c r="I2091" s="23" t="s">
        <v>8935</v>
      </c>
      <c r="J2091" s="36" t="s">
        <v>34</v>
      </c>
      <c r="K2091" s="23" t="s">
        <v>19</v>
      </c>
      <c r="L2091" s="23" t="s">
        <v>16</v>
      </c>
      <c r="M2091" s="24"/>
    </row>
    <row r="2092" spans="1:13">
      <c r="A2092" s="19">
        <v>2483674</v>
      </c>
      <c r="B2092" s="20" t="s">
        <v>8936</v>
      </c>
      <c r="C2092" s="19" t="s">
        <v>8937</v>
      </c>
      <c r="D2092" s="19" t="s">
        <v>8938</v>
      </c>
      <c r="E2092" s="20" t="s">
        <v>127</v>
      </c>
      <c r="F2092" s="20" t="s">
        <v>92</v>
      </c>
      <c r="G2092" s="20" t="s">
        <v>8939</v>
      </c>
      <c r="H2092" s="20" t="s">
        <v>8940</v>
      </c>
      <c r="I2092" s="20" t="s">
        <v>8940</v>
      </c>
      <c r="J2092" s="19" t="s">
        <v>94</v>
      </c>
      <c r="K2092" s="20" t="s">
        <v>8941</v>
      </c>
      <c r="L2092" s="20" t="s">
        <v>18</v>
      </c>
      <c r="M2092" s="21"/>
    </row>
    <row r="2093" spans="1:13">
      <c r="A2093" s="22">
        <v>2532957</v>
      </c>
      <c r="B2093" s="23" t="s">
        <v>8942</v>
      </c>
      <c r="C2093" s="22" t="s">
        <v>8943</v>
      </c>
      <c r="D2093" s="22" t="s">
        <v>8944</v>
      </c>
      <c r="E2093" s="23" t="s">
        <v>84</v>
      </c>
      <c r="F2093" s="23" t="s">
        <v>92</v>
      </c>
      <c r="G2093" s="23" t="s">
        <v>26</v>
      </c>
      <c r="H2093" s="23" t="s">
        <v>8945</v>
      </c>
      <c r="I2093" s="23" t="s">
        <v>8946</v>
      </c>
      <c r="J2093" s="20">
        <v>2</v>
      </c>
      <c r="K2093" s="23" t="s">
        <v>19</v>
      </c>
      <c r="L2093" s="23" t="s">
        <v>16</v>
      </c>
      <c r="M2093" s="24"/>
    </row>
    <row r="2094" spans="1:13">
      <c r="A2094" s="22">
        <v>2520968</v>
      </c>
      <c r="B2094" s="23" t="s">
        <v>8947</v>
      </c>
      <c r="C2094" s="22" t="s">
        <v>8948</v>
      </c>
      <c r="D2094" s="22" t="s">
        <v>8949</v>
      </c>
      <c r="E2094" s="23" t="s">
        <v>84</v>
      </c>
      <c r="F2094" s="23" t="s">
        <v>92</v>
      </c>
      <c r="G2094" s="23" t="s">
        <v>26</v>
      </c>
      <c r="H2094" s="23" t="s">
        <v>8950</v>
      </c>
      <c r="I2094" s="23" t="s">
        <v>8951</v>
      </c>
      <c r="J2094" s="20">
        <v>2</v>
      </c>
      <c r="K2094" s="23" t="s">
        <v>19</v>
      </c>
      <c r="L2094" s="23" t="s">
        <v>16</v>
      </c>
      <c r="M2094" s="24" t="s">
        <v>16</v>
      </c>
    </row>
    <row r="2095" spans="1:13">
      <c r="A2095" s="22">
        <v>2529546</v>
      </c>
      <c r="B2095" s="23" t="s">
        <v>8952</v>
      </c>
      <c r="C2095" s="22" t="s">
        <v>8953</v>
      </c>
      <c r="D2095" s="22" t="s">
        <v>8954</v>
      </c>
      <c r="E2095" s="23" t="s">
        <v>84</v>
      </c>
      <c r="F2095" s="23" t="s">
        <v>85</v>
      </c>
      <c r="G2095" s="23" t="s">
        <v>26</v>
      </c>
      <c r="H2095" s="23" t="s">
        <v>8955</v>
      </c>
      <c r="I2095" s="23" t="s">
        <v>8956</v>
      </c>
      <c r="J2095" s="23">
        <v>1</v>
      </c>
      <c r="K2095" s="23" t="s">
        <v>107</v>
      </c>
      <c r="L2095" s="23" t="s">
        <v>16</v>
      </c>
      <c r="M2095" s="24" t="s">
        <v>864</v>
      </c>
    </row>
    <row r="2096" spans="1:13">
      <c r="A2096" s="19">
        <v>2531397</v>
      </c>
      <c r="B2096" s="20" t="s">
        <v>8957</v>
      </c>
      <c r="C2096" s="19" t="s">
        <v>8958</v>
      </c>
      <c r="D2096" s="19" t="s">
        <v>8959</v>
      </c>
      <c r="E2096" s="20" t="s">
        <v>84</v>
      </c>
      <c r="F2096" s="20" t="s">
        <v>112</v>
      </c>
      <c r="G2096" s="20" t="s">
        <v>26</v>
      </c>
      <c r="H2096" s="20" t="s">
        <v>8960</v>
      </c>
      <c r="I2096" s="20" t="s">
        <v>8961</v>
      </c>
      <c r="J2096" s="23">
        <v>1</v>
      </c>
      <c r="K2096" s="20" t="s">
        <v>19</v>
      </c>
      <c r="L2096" s="20" t="s">
        <v>16</v>
      </c>
      <c r="M2096" s="21" t="s">
        <v>8962</v>
      </c>
    </row>
    <row r="2097" spans="1:13">
      <c r="A2097" s="22">
        <v>2532957</v>
      </c>
      <c r="B2097" s="23" t="s">
        <v>8942</v>
      </c>
      <c r="C2097" s="22" t="s">
        <v>8943</v>
      </c>
      <c r="D2097" s="22" t="s">
        <v>8944</v>
      </c>
      <c r="E2097" s="23" t="s">
        <v>84</v>
      </c>
      <c r="F2097" s="23" t="s">
        <v>172</v>
      </c>
      <c r="G2097" s="23" t="s">
        <v>26</v>
      </c>
      <c r="H2097" s="23" t="s">
        <v>8963</v>
      </c>
      <c r="I2097" s="23" t="s">
        <v>8964</v>
      </c>
      <c r="J2097" s="20">
        <v>2</v>
      </c>
      <c r="K2097" s="23" t="s">
        <v>19</v>
      </c>
      <c r="L2097" s="23" t="s">
        <v>16</v>
      </c>
      <c r="M2097" s="24"/>
    </row>
    <row r="2098" spans="1:13">
      <c r="A2098" s="22">
        <v>2521189</v>
      </c>
      <c r="B2098" s="23" t="s">
        <v>8965</v>
      </c>
      <c r="C2098" s="22" t="s">
        <v>8966</v>
      </c>
      <c r="D2098" s="22" t="s">
        <v>8967</v>
      </c>
      <c r="E2098" s="23" t="s">
        <v>84</v>
      </c>
      <c r="F2098" s="23" t="s">
        <v>172</v>
      </c>
      <c r="G2098" s="23" t="s">
        <v>26</v>
      </c>
      <c r="H2098" s="23" t="s">
        <v>8968</v>
      </c>
      <c r="I2098" s="23" t="s">
        <v>1217</v>
      </c>
      <c r="J2098" s="20">
        <v>4</v>
      </c>
      <c r="K2098" s="23" t="s">
        <v>19</v>
      </c>
      <c r="L2098" s="23" t="s">
        <v>16</v>
      </c>
      <c r="M2098" s="24" t="s">
        <v>16</v>
      </c>
    </row>
    <row r="2099" spans="1:13">
      <c r="A2099" s="19">
        <v>2531857</v>
      </c>
      <c r="B2099" s="20" t="s">
        <v>8969</v>
      </c>
      <c r="C2099" s="19" t="s">
        <v>8970</v>
      </c>
      <c r="D2099" s="19" t="s">
        <v>8971</v>
      </c>
      <c r="E2099" s="20" t="s">
        <v>127</v>
      </c>
      <c r="F2099" s="20" t="s">
        <v>112</v>
      </c>
      <c r="G2099" s="20" t="s">
        <v>26</v>
      </c>
      <c r="H2099" s="20" t="s">
        <v>8972</v>
      </c>
      <c r="I2099" s="20" t="s">
        <v>8973</v>
      </c>
      <c r="J2099" s="23">
        <v>1</v>
      </c>
      <c r="K2099" s="20" t="s">
        <v>206</v>
      </c>
      <c r="L2099" s="20" t="s">
        <v>16</v>
      </c>
      <c r="M2099" s="21"/>
    </row>
    <row r="2100" spans="1:13">
      <c r="A2100" s="22">
        <v>2521284</v>
      </c>
      <c r="B2100" s="23" t="s">
        <v>8974</v>
      </c>
      <c r="C2100" s="22" t="s">
        <v>8975</v>
      </c>
      <c r="D2100" s="22" t="s">
        <v>8976</v>
      </c>
      <c r="E2100" s="23" t="s">
        <v>84</v>
      </c>
      <c r="F2100" s="23" t="s">
        <v>92</v>
      </c>
      <c r="G2100" s="23" t="s">
        <v>26</v>
      </c>
      <c r="H2100" s="23" t="s">
        <v>8972</v>
      </c>
      <c r="I2100" s="23" t="s">
        <v>1217</v>
      </c>
      <c r="J2100" s="20">
        <v>2</v>
      </c>
      <c r="K2100" s="23" t="s">
        <v>19</v>
      </c>
      <c r="L2100" s="23" t="s">
        <v>16</v>
      </c>
      <c r="M2100" s="24"/>
    </row>
    <row r="2101" spans="1:13">
      <c r="A2101" s="22">
        <v>2521211</v>
      </c>
      <c r="B2101" s="23" t="s">
        <v>8977</v>
      </c>
      <c r="C2101" s="22" t="s">
        <v>8978</v>
      </c>
      <c r="D2101" s="22" t="s">
        <v>8966</v>
      </c>
      <c r="E2101" s="23" t="s">
        <v>415</v>
      </c>
      <c r="F2101" s="23" t="s">
        <v>92</v>
      </c>
      <c r="G2101" s="23" t="s">
        <v>26</v>
      </c>
      <c r="H2101" s="23" t="s">
        <v>8979</v>
      </c>
      <c r="I2101" s="23" t="s">
        <v>8980</v>
      </c>
      <c r="J2101" s="23">
        <v>1</v>
      </c>
      <c r="K2101" s="23" t="s">
        <v>19</v>
      </c>
      <c r="L2101" s="23" t="s">
        <v>16</v>
      </c>
      <c r="M2101" s="24"/>
    </row>
    <row r="2102" spans="1:13">
      <c r="A2102" s="19">
        <v>2529619</v>
      </c>
      <c r="B2102" s="20" t="s">
        <v>8981</v>
      </c>
      <c r="C2102" s="19" t="s">
        <v>8982</v>
      </c>
      <c r="D2102" s="19" t="s">
        <v>8983</v>
      </c>
      <c r="E2102" s="20" t="s">
        <v>127</v>
      </c>
      <c r="F2102" s="20" t="s">
        <v>92</v>
      </c>
      <c r="G2102" s="20" t="s">
        <v>26</v>
      </c>
      <c r="H2102" s="20" t="s">
        <v>8984</v>
      </c>
      <c r="I2102" s="20" t="s">
        <v>8985</v>
      </c>
      <c r="J2102" s="20">
        <v>2</v>
      </c>
      <c r="K2102" s="20" t="s">
        <v>19</v>
      </c>
      <c r="L2102" s="20" t="s">
        <v>16</v>
      </c>
      <c r="M2102" s="21"/>
    </row>
    <row r="2103" spans="1:13">
      <c r="A2103" s="19">
        <v>2511298</v>
      </c>
      <c r="B2103" s="20" t="s">
        <v>8986</v>
      </c>
      <c r="C2103" s="19" t="s">
        <v>8987</v>
      </c>
      <c r="D2103" s="19" t="s">
        <v>8988</v>
      </c>
      <c r="E2103" s="20" t="s">
        <v>84</v>
      </c>
      <c r="F2103" s="20" t="s">
        <v>112</v>
      </c>
      <c r="G2103" s="20" t="s">
        <v>26</v>
      </c>
      <c r="H2103" s="20" t="s">
        <v>8989</v>
      </c>
      <c r="I2103" s="20" t="s">
        <v>8990</v>
      </c>
      <c r="J2103" s="23">
        <v>3</v>
      </c>
      <c r="K2103" s="20" t="s">
        <v>206</v>
      </c>
      <c r="L2103" s="20" t="s">
        <v>16</v>
      </c>
      <c r="M2103" s="21" t="s">
        <v>49</v>
      </c>
    </row>
    <row r="2104" spans="1:13">
      <c r="A2104" s="19">
        <v>2523426</v>
      </c>
      <c r="B2104" s="20" t="s">
        <v>8991</v>
      </c>
      <c r="C2104" s="19" t="s">
        <v>8992</v>
      </c>
      <c r="D2104" s="19" t="s">
        <v>8993</v>
      </c>
      <c r="E2104" s="20" t="s">
        <v>84</v>
      </c>
      <c r="F2104" s="20" t="s">
        <v>92</v>
      </c>
      <c r="G2104" s="20" t="s">
        <v>26</v>
      </c>
      <c r="H2104" s="20" t="s">
        <v>8994</v>
      </c>
      <c r="I2104" s="20" t="s">
        <v>8995</v>
      </c>
      <c r="J2104" s="20">
        <v>2</v>
      </c>
      <c r="K2104" s="20" t="s">
        <v>107</v>
      </c>
      <c r="L2104" s="20" t="s">
        <v>16</v>
      </c>
      <c r="M2104" s="21"/>
    </row>
    <row r="2105" spans="1:13">
      <c r="A2105" s="19">
        <v>2529599</v>
      </c>
      <c r="B2105" s="20" t="s">
        <v>8996</v>
      </c>
      <c r="C2105" s="19" t="s">
        <v>8997</v>
      </c>
      <c r="D2105" s="19" t="s">
        <v>8998</v>
      </c>
      <c r="E2105" s="20" t="s">
        <v>84</v>
      </c>
      <c r="F2105" s="20" t="s">
        <v>92</v>
      </c>
      <c r="G2105" s="20" t="s">
        <v>26</v>
      </c>
      <c r="H2105" s="20" t="s">
        <v>8999</v>
      </c>
      <c r="I2105" s="20" t="s">
        <v>9000</v>
      </c>
      <c r="J2105" s="20">
        <v>2</v>
      </c>
      <c r="K2105" s="20" t="s">
        <v>19</v>
      </c>
      <c r="L2105" s="20" t="s">
        <v>16</v>
      </c>
      <c r="M2105" s="21"/>
    </row>
    <row r="2106" spans="1:13">
      <c r="A2106" s="19">
        <v>2529625</v>
      </c>
      <c r="B2106" s="20" t="s">
        <v>9001</v>
      </c>
      <c r="C2106" s="19" t="s">
        <v>9002</v>
      </c>
      <c r="D2106" s="19" t="s">
        <v>9003</v>
      </c>
      <c r="E2106" s="20" t="s">
        <v>84</v>
      </c>
      <c r="F2106" s="20" t="s">
        <v>92</v>
      </c>
      <c r="G2106" s="20" t="s">
        <v>26</v>
      </c>
      <c r="H2106" s="20" t="s">
        <v>9004</v>
      </c>
      <c r="I2106" s="20" t="s">
        <v>9005</v>
      </c>
      <c r="J2106" s="20">
        <v>2</v>
      </c>
      <c r="K2106" s="20" t="s">
        <v>19</v>
      </c>
      <c r="L2106" s="20" t="s">
        <v>18</v>
      </c>
      <c r="M2106" s="21"/>
    </row>
    <row r="2107" spans="1:13">
      <c r="A2107" s="19">
        <v>2531819</v>
      </c>
      <c r="B2107" s="20" t="s">
        <v>9006</v>
      </c>
      <c r="C2107" s="19" t="s">
        <v>9007</v>
      </c>
      <c r="D2107" s="19" t="s">
        <v>9008</v>
      </c>
      <c r="E2107" s="20" t="s">
        <v>84</v>
      </c>
      <c r="F2107" s="20" t="s">
        <v>92</v>
      </c>
      <c r="G2107" s="20" t="s">
        <v>27</v>
      </c>
      <c r="H2107" s="20" t="s">
        <v>9009</v>
      </c>
      <c r="I2107" s="20" t="s">
        <v>9009</v>
      </c>
      <c r="J2107" s="23">
        <v>3</v>
      </c>
      <c r="K2107" s="20" t="s">
        <v>19</v>
      </c>
      <c r="L2107" s="20" t="s">
        <v>16</v>
      </c>
      <c r="M2107" s="21"/>
    </row>
    <row r="2108" spans="1:13">
      <c r="A2108" s="22">
        <v>2521207</v>
      </c>
      <c r="B2108" s="23" t="s">
        <v>9010</v>
      </c>
      <c r="C2108" s="22" t="s">
        <v>9011</v>
      </c>
      <c r="D2108" s="22" t="s">
        <v>9012</v>
      </c>
      <c r="E2108" s="23" t="s">
        <v>84</v>
      </c>
      <c r="F2108" s="23" t="s">
        <v>92</v>
      </c>
      <c r="G2108" s="23" t="s">
        <v>26</v>
      </c>
      <c r="H2108" s="23" t="s">
        <v>9013</v>
      </c>
      <c r="I2108" s="23" t="s">
        <v>9014</v>
      </c>
      <c r="J2108" s="23">
        <v>3</v>
      </c>
      <c r="K2108" s="23" t="s">
        <v>19</v>
      </c>
      <c r="L2108" s="23" t="s">
        <v>16</v>
      </c>
      <c r="M2108" s="24" t="s">
        <v>16</v>
      </c>
    </row>
    <row r="2109" spans="1:13">
      <c r="A2109" s="19">
        <v>2521217</v>
      </c>
      <c r="B2109" s="20" t="s">
        <v>9015</v>
      </c>
      <c r="C2109" s="19" t="s">
        <v>9016</v>
      </c>
      <c r="D2109" s="19" t="s">
        <v>9017</v>
      </c>
      <c r="E2109" s="20" t="s">
        <v>84</v>
      </c>
      <c r="F2109" s="20" t="s">
        <v>92</v>
      </c>
      <c r="G2109" s="20" t="s">
        <v>26</v>
      </c>
      <c r="H2109" s="20" t="s">
        <v>9018</v>
      </c>
      <c r="I2109" s="20" t="s">
        <v>9019</v>
      </c>
      <c r="J2109" s="23">
        <v>3</v>
      </c>
      <c r="K2109" s="20" t="s">
        <v>19</v>
      </c>
      <c r="L2109" s="20" t="s">
        <v>16</v>
      </c>
      <c r="M2109" s="21" t="s">
        <v>49</v>
      </c>
    </row>
    <row r="2110" spans="1:13">
      <c r="A2110" s="19">
        <v>2531851</v>
      </c>
      <c r="B2110" s="20" t="s">
        <v>9020</v>
      </c>
      <c r="C2110" s="19" t="s">
        <v>9021</v>
      </c>
      <c r="D2110" s="19" t="s">
        <v>9022</v>
      </c>
      <c r="E2110" s="20" t="s">
        <v>84</v>
      </c>
      <c r="F2110" s="20" t="s">
        <v>92</v>
      </c>
      <c r="G2110" s="20" t="s">
        <v>27</v>
      </c>
      <c r="H2110" s="20" t="s">
        <v>9023</v>
      </c>
      <c r="I2110" s="20" t="s">
        <v>9024</v>
      </c>
      <c r="J2110" s="23">
        <v>3</v>
      </c>
      <c r="K2110" s="20" t="s">
        <v>19</v>
      </c>
      <c r="L2110" s="20" t="s">
        <v>18</v>
      </c>
      <c r="M2110" s="21"/>
    </row>
    <row r="2111" spans="1:13">
      <c r="A2111" s="19">
        <v>2531824</v>
      </c>
      <c r="B2111" s="20" t="s">
        <v>9025</v>
      </c>
      <c r="C2111" s="19" t="s">
        <v>9026</v>
      </c>
      <c r="D2111" s="19" t="s">
        <v>9027</v>
      </c>
      <c r="E2111" s="20" t="s">
        <v>84</v>
      </c>
      <c r="F2111" s="20" t="s">
        <v>92</v>
      </c>
      <c r="G2111" s="20" t="s">
        <v>26</v>
      </c>
      <c r="H2111" s="20" t="s">
        <v>9028</v>
      </c>
      <c r="I2111" s="20" t="s">
        <v>9028</v>
      </c>
      <c r="J2111" s="23">
        <v>3</v>
      </c>
      <c r="K2111" s="20" t="s">
        <v>19</v>
      </c>
      <c r="L2111" s="20" t="s">
        <v>16</v>
      </c>
      <c r="M2111" s="21"/>
    </row>
    <row r="2112" spans="1:13">
      <c r="A2112" s="22">
        <v>2531841</v>
      </c>
      <c r="B2112" s="23" t="s">
        <v>9029</v>
      </c>
      <c r="C2112" s="22" t="s">
        <v>9030</v>
      </c>
      <c r="D2112" s="22" t="s">
        <v>9031</v>
      </c>
      <c r="E2112" s="23" t="s">
        <v>84</v>
      </c>
      <c r="F2112" s="23" t="s">
        <v>85</v>
      </c>
      <c r="G2112" s="23" t="s">
        <v>27</v>
      </c>
      <c r="H2112" s="23" t="s">
        <v>9032</v>
      </c>
      <c r="I2112" s="23" t="s">
        <v>9033</v>
      </c>
      <c r="J2112" s="23">
        <v>3</v>
      </c>
      <c r="K2112" s="23" t="s">
        <v>19</v>
      </c>
      <c r="L2112" s="23" t="s">
        <v>16</v>
      </c>
      <c r="M2112" s="24"/>
    </row>
    <row r="2113" spans="1:13">
      <c r="A2113" s="19">
        <v>2531841</v>
      </c>
      <c r="B2113" s="20" t="s">
        <v>9029</v>
      </c>
      <c r="C2113" s="19" t="s">
        <v>9030</v>
      </c>
      <c r="D2113" s="19" t="s">
        <v>9031</v>
      </c>
      <c r="E2113" s="20" t="s">
        <v>84</v>
      </c>
      <c r="F2113" s="20" t="s">
        <v>92</v>
      </c>
      <c r="G2113" s="20" t="s">
        <v>27</v>
      </c>
      <c r="H2113" s="20" t="s">
        <v>9034</v>
      </c>
      <c r="I2113" s="20" t="s">
        <v>9033</v>
      </c>
      <c r="J2113" s="23">
        <v>3</v>
      </c>
      <c r="K2113" s="20" t="s">
        <v>19</v>
      </c>
      <c r="L2113" s="20" t="s">
        <v>16</v>
      </c>
      <c r="M2113" s="21"/>
    </row>
    <row r="2114" spans="1:13">
      <c r="A2114" s="19">
        <v>2524526</v>
      </c>
      <c r="B2114" s="20" t="s">
        <v>9035</v>
      </c>
      <c r="C2114" s="19" t="s">
        <v>9036</v>
      </c>
      <c r="D2114" s="19" t="s">
        <v>9037</v>
      </c>
      <c r="E2114" s="20" t="s">
        <v>127</v>
      </c>
      <c r="F2114" s="20" t="s">
        <v>112</v>
      </c>
      <c r="G2114" s="20" t="s">
        <v>27</v>
      </c>
      <c r="H2114" s="20" t="s">
        <v>9038</v>
      </c>
      <c r="I2114" s="20" t="s">
        <v>9039</v>
      </c>
      <c r="J2114" s="20">
        <v>2</v>
      </c>
      <c r="K2114" s="20" t="s">
        <v>19</v>
      </c>
      <c r="L2114" s="20" t="s">
        <v>16</v>
      </c>
      <c r="M2114" s="21"/>
    </row>
    <row r="2115" spans="1:13">
      <c r="A2115" s="22">
        <v>2526595</v>
      </c>
      <c r="B2115" s="23" t="s">
        <v>9040</v>
      </c>
      <c r="C2115" s="22" t="s">
        <v>9041</v>
      </c>
      <c r="D2115" s="22" t="s">
        <v>9042</v>
      </c>
      <c r="E2115" s="23" t="s">
        <v>84</v>
      </c>
      <c r="F2115" s="23" t="s">
        <v>112</v>
      </c>
      <c r="G2115" s="23" t="s">
        <v>26</v>
      </c>
      <c r="H2115" s="23" t="s">
        <v>9043</v>
      </c>
      <c r="I2115" s="23" t="s">
        <v>9044</v>
      </c>
      <c r="J2115" s="23">
        <v>1</v>
      </c>
      <c r="K2115" s="23" t="s">
        <v>967</v>
      </c>
      <c r="L2115" s="23" t="s">
        <v>16</v>
      </c>
      <c r="M2115" s="24"/>
    </row>
    <row r="2116" spans="1:13">
      <c r="A2116" s="22">
        <v>2530138</v>
      </c>
      <c r="B2116" s="23" t="s">
        <v>9045</v>
      </c>
      <c r="C2116" s="22" t="s">
        <v>9046</v>
      </c>
      <c r="D2116" s="22" t="s">
        <v>9047</v>
      </c>
      <c r="E2116" s="23" t="s">
        <v>84</v>
      </c>
      <c r="F2116" s="23" t="s">
        <v>112</v>
      </c>
      <c r="G2116" s="23" t="s">
        <v>26</v>
      </c>
      <c r="H2116" s="23" t="s">
        <v>9043</v>
      </c>
      <c r="I2116" s="23" t="s">
        <v>9048</v>
      </c>
      <c r="J2116" s="20">
        <v>2</v>
      </c>
      <c r="K2116" s="23" t="s">
        <v>967</v>
      </c>
      <c r="L2116" s="23" t="s">
        <v>16</v>
      </c>
      <c r="M2116" s="24"/>
    </row>
    <row r="2117" spans="1:13">
      <c r="A2117" s="19">
        <v>2520960</v>
      </c>
      <c r="B2117" s="20" t="s">
        <v>9049</v>
      </c>
      <c r="C2117" s="19" t="s">
        <v>804</v>
      </c>
      <c r="D2117" s="19" t="s">
        <v>9050</v>
      </c>
      <c r="E2117" s="20" t="s">
        <v>127</v>
      </c>
      <c r="F2117" s="20" t="s">
        <v>85</v>
      </c>
      <c r="G2117" s="20" t="s">
        <v>26</v>
      </c>
      <c r="H2117" s="20" t="s">
        <v>9051</v>
      </c>
      <c r="I2117" s="20" t="s">
        <v>9052</v>
      </c>
      <c r="J2117" s="20">
        <v>12</v>
      </c>
      <c r="K2117" s="20" t="s">
        <v>967</v>
      </c>
      <c r="L2117" s="20" t="s">
        <v>18</v>
      </c>
      <c r="M2117" s="21" t="s">
        <v>864</v>
      </c>
    </row>
    <row r="2118" spans="1:13">
      <c r="A2118" s="22">
        <v>2521101</v>
      </c>
      <c r="B2118" s="23" t="s">
        <v>9053</v>
      </c>
      <c r="C2118" s="22" t="s">
        <v>9054</v>
      </c>
      <c r="D2118" s="22" t="s">
        <v>9055</v>
      </c>
      <c r="E2118" s="23" t="s">
        <v>84</v>
      </c>
      <c r="F2118" s="23" t="s">
        <v>92</v>
      </c>
      <c r="G2118" s="23" t="s">
        <v>26</v>
      </c>
      <c r="H2118" s="23" t="s">
        <v>9056</v>
      </c>
      <c r="I2118" s="23" t="s">
        <v>9057</v>
      </c>
      <c r="J2118" s="20">
        <v>5</v>
      </c>
      <c r="K2118" s="23" t="s">
        <v>967</v>
      </c>
      <c r="L2118" s="23" t="s">
        <v>16</v>
      </c>
      <c r="M2118" s="24"/>
    </row>
    <row r="2119" spans="1:13">
      <c r="A2119" s="22">
        <v>2521717</v>
      </c>
      <c r="B2119" s="23" t="s">
        <v>9058</v>
      </c>
      <c r="C2119" s="22" t="s">
        <v>9059</v>
      </c>
      <c r="D2119" s="22" t="s">
        <v>9060</v>
      </c>
      <c r="E2119" s="23" t="s">
        <v>84</v>
      </c>
      <c r="F2119" s="23" t="s">
        <v>85</v>
      </c>
      <c r="G2119" s="23" t="s">
        <v>26</v>
      </c>
      <c r="H2119" s="23" t="s">
        <v>9061</v>
      </c>
      <c r="I2119" s="23" t="s">
        <v>9062</v>
      </c>
      <c r="J2119" s="23">
        <v>6</v>
      </c>
      <c r="K2119" s="23" t="s">
        <v>967</v>
      </c>
      <c r="L2119" s="23" t="s">
        <v>16</v>
      </c>
      <c r="M2119" s="24"/>
    </row>
    <row r="2120" spans="1:13">
      <c r="A2120" s="19">
        <v>2521739</v>
      </c>
      <c r="B2120" s="20" t="s">
        <v>9063</v>
      </c>
      <c r="C2120" s="19" t="s">
        <v>9064</v>
      </c>
      <c r="D2120" s="19" t="s">
        <v>9065</v>
      </c>
      <c r="E2120" s="20" t="s">
        <v>84</v>
      </c>
      <c r="F2120" s="20" t="s">
        <v>92</v>
      </c>
      <c r="G2120" s="20" t="s">
        <v>26</v>
      </c>
      <c r="H2120" s="20" t="s">
        <v>9066</v>
      </c>
      <c r="I2120" s="20" t="s">
        <v>9067</v>
      </c>
      <c r="J2120" s="20">
        <v>23</v>
      </c>
      <c r="K2120" s="20" t="s">
        <v>967</v>
      </c>
      <c r="L2120" s="20" t="s">
        <v>16</v>
      </c>
      <c r="M2120" s="21"/>
    </row>
    <row r="2121" spans="1:13">
      <c r="A2121" s="22">
        <v>2524503</v>
      </c>
      <c r="B2121" s="23" t="s">
        <v>9068</v>
      </c>
      <c r="C2121" s="22" t="s">
        <v>9069</v>
      </c>
      <c r="D2121" s="22" t="s">
        <v>9070</v>
      </c>
      <c r="E2121" s="23" t="s">
        <v>127</v>
      </c>
      <c r="F2121" s="23" t="s">
        <v>112</v>
      </c>
      <c r="G2121" s="23" t="s">
        <v>26</v>
      </c>
      <c r="H2121" s="23" t="s">
        <v>9071</v>
      </c>
      <c r="I2121" s="23" t="s">
        <v>9071</v>
      </c>
      <c r="J2121" s="20">
        <v>2</v>
      </c>
      <c r="K2121" s="23" t="s">
        <v>9072</v>
      </c>
      <c r="L2121" s="23" t="s">
        <v>16</v>
      </c>
      <c r="M2121" s="24"/>
    </row>
    <row r="2122" spans="1:13">
      <c r="A2122" s="22">
        <v>2533162</v>
      </c>
      <c r="B2122" s="23" t="s">
        <v>9073</v>
      </c>
      <c r="C2122" s="22" t="s">
        <v>9074</v>
      </c>
      <c r="D2122" s="22" t="s">
        <v>9075</v>
      </c>
      <c r="E2122" s="23" t="s">
        <v>84</v>
      </c>
      <c r="F2122" s="23" t="s">
        <v>85</v>
      </c>
      <c r="G2122" s="23" t="s">
        <v>26</v>
      </c>
      <c r="H2122" s="23" t="s">
        <v>9071</v>
      </c>
      <c r="I2122" s="23" t="s">
        <v>9076</v>
      </c>
      <c r="J2122" s="20">
        <v>2</v>
      </c>
      <c r="K2122" s="23" t="s">
        <v>19</v>
      </c>
      <c r="L2122" s="23" t="s">
        <v>16</v>
      </c>
      <c r="M2122" s="24"/>
    </row>
    <row r="2123" spans="1:13">
      <c r="A2123" s="22">
        <v>2531843</v>
      </c>
      <c r="B2123" s="23" t="s">
        <v>9077</v>
      </c>
      <c r="C2123" s="22" t="s">
        <v>9078</v>
      </c>
      <c r="D2123" s="22" t="s">
        <v>9079</v>
      </c>
      <c r="E2123" s="23" t="s">
        <v>84</v>
      </c>
      <c r="F2123" s="23" t="s">
        <v>112</v>
      </c>
      <c r="G2123" s="23" t="s">
        <v>26</v>
      </c>
      <c r="H2123" s="23" t="s">
        <v>9071</v>
      </c>
      <c r="I2123" s="23" t="s">
        <v>9080</v>
      </c>
      <c r="J2123" s="20">
        <v>2</v>
      </c>
      <c r="K2123" s="23" t="s">
        <v>107</v>
      </c>
      <c r="L2123" s="23" t="s">
        <v>16</v>
      </c>
      <c r="M2123" s="24"/>
    </row>
    <row r="2124" spans="1:13">
      <c r="A2124" s="19">
        <v>2530198</v>
      </c>
      <c r="B2124" s="20" t="s">
        <v>9081</v>
      </c>
      <c r="C2124" s="19" t="s">
        <v>9082</v>
      </c>
      <c r="D2124" s="19" t="s">
        <v>9083</v>
      </c>
      <c r="E2124" s="20" t="s">
        <v>84</v>
      </c>
      <c r="F2124" s="20" t="s">
        <v>85</v>
      </c>
      <c r="G2124" s="20" t="s">
        <v>26</v>
      </c>
      <c r="H2124" s="20" t="s">
        <v>9084</v>
      </c>
      <c r="I2124" s="20" t="s">
        <v>9085</v>
      </c>
      <c r="J2124" s="20">
        <v>2</v>
      </c>
      <c r="K2124" s="20" t="s">
        <v>19</v>
      </c>
      <c r="L2124" s="20" t="s">
        <v>18</v>
      </c>
      <c r="M2124" s="21"/>
    </row>
    <row r="2125" spans="1:13">
      <c r="A2125" s="22">
        <v>2529596</v>
      </c>
      <c r="B2125" s="23" t="s">
        <v>9086</v>
      </c>
      <c r="C2125" s="22" t="s">
        <v>9087</v>
      </c>
      <c r="D2125" s="22" t="s">
        <v>9088</v>
      </c>
      <c r="E2125" s="23" t="s">
        <v>127</v>
      </c>
      <c r="F2125" s="23" t="s">
        <v>85</v>
      </c>
      <c r="G2125" s="23" t="s">
        <v>26</v>
      </c>
      <c r="H2125" s="23" t="s">
        <v>9089</v>
      </c>
      <c r="I2125" s="23" t="s">
        <v>9090</v>
      </c>
      <c r="J2125" s="23">
        <v>1</v>
      </c>
      <c r="K2125" s="23" t="s">
        <v>17</v>
      </c>
      <c r="L2125" s="23" t="s">
        <v>16</v>
      </c>
      <c r="M2125" s="24"/>
    </row>
    <row r="2126" spans="1:13">
      <c r="A2126" s="19">
        <v>2529598</v>
      </c>
      <c r="B2126" s="20" t="s">
        <v>9086</v>
      </c>
      <c r="C2126" s="19" t="s">
        <v>9087</v>
      </c>
      <c r="D2126" s="19" t="s">
        <v>9088</v>
      </c>
      <c r="E2126" s="20" t="s">
        <v>127</v>
      </c>
      <c r="F2126" s="20" t="s">
        <v>85</v>
      </c>
      <c r="G2126" s="20" t="s">
        <v>26</v>
      </c>
      <c r="H2126" s="20" t="s">
        <v>9091</v>
      </c>
      <c r="I2126" s="20" t="s">
        <v>9092</v>
      </c>
      <c r="J2126" s="23">
        <v>1</v>
      </c>
      <c r="K2126" s="20" t="s">
        <v>17</v>
      </c>
      <c r="L2126" s="20" t="s">
        <v>16</v>
      </c>
      <c r="M2126" s="21"/>
    </row>
    <row r="2127" spans="1:13">
      <c r="A2127" s="19">
        <v>2433110</v>
      </c>
      <c r="B2127" s="20" t="s">
        <v>9093</v>
      </c>
      <c r="C2127" s="19" t="s">
        <v>9094</v>
      </c>
      <c r="D2127" s="19" t="s">
        <v>9095</v>
      </c>
      <c r="E2127" s="20" t="s">
        <v>127</v>
      </c>
      <c r="F2127" s="20" t="s">
        <v>112</v>
      </c>
      <c r="G2127" s="20" t="s">
        <v>27</v>
      </c>
      <c r="H2127" s="20" t="s">
        <v>9096</v>
      </c>
      <c r="I2127" s="20" t="s">
        <v>9097</v>
      </c>
      <c r="J2127" s="19" t="s">
        <v>195</v>
      </c>
      <c r="K2127" s="20" t="s">
        <v>15</v>
      </c>
      <c r="L2127" s="20" t="s">
        <v>18</v>
      </c>
      <c r="M2127" s="21"/>
    </row>
    <row r="2128" spans="1:13">
      <c r="A2128" s="22">
        <v>888093</v>
      </c>
      <c r="B2128" s="23" t="s">
        <v>9098</v>
      </c>
      <c r="C2128" s="22" t="s">
        <v>9099</v>
      </c>
      <c r="D2128" s="22" t="s">
        <v>9100</v>
      </c>
      <c r="E2128" s="23" t="s">
        <v>84</v>
      </c>
      <c r="F2128" s="23" t="s">
        <v>92</v>
      </c>
      <c r="G2128" s="23" t="s">
        <v>27</v>
      </c>
      <c r="H2128" s="23" t="s">
        <v>9101</v>
      </c>
      <c r="I2128" s="23" t="s">
        <v>9101</v>
      </c>
      <c r="J2128" s="22" t="s">
        <v>94</v>
      </c>
      <c r="K2128" s="23" t="s">
        <v>9102</v>
      </c>
      <c r="L2128" s="23" t="s">
        <v>18</v>
      </c>
      <c r="M2128" s="24"/>
    </row>
    <row r="2129" spans="1:13">
      <c r="A2129" s="19">
        <v>2472446</v>
      </c>
      <c r="B2129" s="20" t="s">
        <v>191</v>
      </c>
      <c r="C2129" s="19" t="s">
        <v>192</v>
      </c>
      <c r="D2129" s="19" t="s">
        <v>193</v>
      </c>
      <c r="E2129" s="20" t="s">
        <v>84</v>
      </c>
      <c r="F2129" s="20" t="s">
        <v>92</v>
      </c>
      <c r="G2129" s="20" t="s">
        <v>27</v>
      </c>
      <c r="H2129" s="20" t="s">
        <v>194</v>
      </c>
      <c r="I2129" s="20" t="s">
        <v>194</v>
      </c>
      <c r="J2129" s="19" t="s">
        <v>195</v>
      </c>
      <c r="K2129" s="20" t="s">
        <v>196</v>
      </c>
      <c r="L2129" s="20" t="s">
        <v>16</v>
      </c>
      <c r="M2129" s="21"/>
    </row>
    <row r="2130" spans="1:13">
      <c r="A2130" s="22">
        <v>2441381</v>
      </c>
      <c r="B2130" s="23" t="s">
        <v>306</v>
      </c>
      <c r="C2130" s="22" t="s">
        <v>307</v>
      </c>
      <c r="D2130" s="22" t="s">
        <v>308</v>
      </c>
      <c r="E2130" s="23" t="s">
        <v>84</v>
      </c>
      <c r="F2130" s="23" t="s">
        <v>92</v>
      </c>
      <c r="G2130" s="23" t="s">
        <v>25</v>
      </c>
      <c r="H2130" s="23" t="s">
        <v>309</v>
      </c>
      <c r="I2130" s="23" t="s">
        <v>309</v>
      </c>
      <c r="J2130" s="22" t="s">
        <v>283</v>
      </c>
      <c r="K2130" s="23" t="s">
        <v>310</v>
      </c>
      <c r="L2130" s="23" t="s">
        <v>18</v>
      </c>
      <c r="M2130" s="30" t="s">
        <v>86</v>
      </c>
    </row>
    <row r="2131" spans="1:13">
      <c r="A2131" s="19">
        <v>2521628</v>
      </c>
      <c r="B2131" s="20" t="s">
        <v>5966</v>
      </c>
      <c r="C2131" s="19" t="s">
        <v>5962</v>
      </c>
      <c r="D2131" s="19" t="s">
        <v>5963</v>
      </c>
      <c r="E2131" s="20" t="s">
        <v>84</v>
      </c>
      <c r="F2131" s="20" t="s">
        <v>92</v>
      </c>
      <c r="G2131" s="20" t="s">
        <v>26</v>
      </c>
      <c r="H2131" s="20" t="s">
        <v>5967</v>
      </c>
      <c r="I2131" s="20" t="s">
        <v>5968</v>
      </c>
      <c r="J2131" s="19" t="s">
        <v>94</v>
      </c>
      <c r="K2131" s="20" t="s">
        <v>107</v>
      </c>
      <c r="L2131" s="20" t="s">
        <v>16</v>
      </c>
      <c r="M2131" s="21"/>
    </row>
    <row r="2132" spans="1:13">
      <c r="A2132" s="22">
        <v>2393392</v>
      </c>
      <c r="B2132" s="23" t="s">
        <v>412</v>
      </c>
      <c r="C2132" s="22" t="s">
        <v>413</v>
      </c>
      <c r="D2132" s="22" t="s">
        <v>414</v>
      </c>
      <c r="E2132" s="23" t="s">
        <v>415</v>
      </c>
      <c r="F2132" s="23" t="s">
        <v>112</v>
      </c>
      <c r="G2132" s="23" t="s">
        <v>26</v>
      </c>
      <c r="H2132" s="23" t="s">
        <v>416</v>
      </c>
      <c r="I2132" s="23" t="s">
        <v>417</v>
      </c>
      <c r="J2132" s="22" t="s">
        <v>283</v>
      </c>
      <c r="K2132" s="23" t="s">
        <v>107</v>
      </c>
      <c r="L2132" s="23" t="s">
        <v>16</v>
      </c>
      <c r="M2132" s="24"/>
    </row>
    <row r="2133" spans="1:13">
      <c r="A2133" s="19">
        <v>896164</v>
      </c>
      <c r="B2133" s="20" t="s">
        <v>3381</v>
      </c>
      <c r="C2133" s="19" t="s">
        <v>3382</v>
      </c>
      <c r="D2133" s="19" t="s">
        <v>3383</v>
      </c>
      <c r="E2133" s="20" t="s">
        <v>219</v>
      </c>
      <c r="F2133" s="20" t="s">
        <v>112</v>
      </c>
      <c r="G2133" s="20" t="s">
        <v>27</v>
      </c>
      <c r="H2133" s="20" t="s">
        <v>49</v>
      </c>
      <c r="I2133" s="20" t="s">
        <v>3384</v>
      </c>
      <c r="J2133" s="19" t="s">
        <v>94</v>
      </c>
      <c r="K2133" s="20" t="s">
        <v>15</v>
      </c>
      <c r="L2133" s="20" t="s">
        <v>18</v>
      </c>
      <c r="M2133" s="21"/>
    </row>
    <row r="2134" spans="1:13">
      <c r="A2134" s="22">
        <v>896485</v>
      </c>
      <c r="B2134" s="23" t="s">
        <v>4032</v>
      </c>
      <c r="C2134" s="22" t="s">
        <v>4033</v>
      </c>
      <c r="D2134" s="22" t="s">
        <v>4034</v>
      </c>
      <c r="E2134" s="23" t="s">
        <v>127</v>
      </c>
      <c r="F2134" s="23" t="s">
        <v>92</v>
      </c>
      <c r="G2134" s="23" t="s">
        <v>26</v>
      </c>
      <c r="H2134" s="23" t="s">
        <v>4011</v>
      </c>
      <c r="I2134" s="23" t="s">
        <v>129</v>
      </c>
      <c r="J2134" s="22" t="s">
        <v>1088</v>
      </c>
      <c r="K2134" s="23" t="s">
        <v>19</v>
      </c>
      <c r="L2134" s="23" t="s">
        <v>16</v>
      </c>
      <c r="M2134" s="24" t="s">
        <v>16</v>
      </c>
    </row>
    <row r="2135" spans="1:13">
      <c r="A2135" s="19">
        <v>2451729</v>
      </c>
      <c r="B2135" s="20" t="s">
        <v>1537</v>
      </c>
      <c r="C2135" s="19" t="s">
        <v>1538</v>
      </c>
      <c r="D2135" s="19" t="s">
        <v>1539</v>
      </c>
      <c r="E2135" s="20" t="s">
        <v>84</v>
      </c>
      <c r="F2135" s="20" t="s">
        <v>112</v>
      </c>
      <c r="G2135" s="20" t="s">
        <v>27</v>
      </c>
      <c r="H2135" s="20" t="s">
        <v>1540</v>
      </c>
      <c r="I2135" s="20" t="s">
        <v>1541</v>
      </c>
      <c r="J2135" s="19" t="s">
        <v>1088</v>
      </c>
      <c r="K2135" s="20" t="s">
        <v>107</v>
      </c>
      <c r="L2135" s="20" t="s">
        <v>18</v>
      </c>
      <c r="M2135" s="21" t="s">
        <v>222</v>
      </c>
    </row>
    <row r="2136" spans="1:13">
      <c r="A2136" s="22">
        <v>2388504</v>
      </c>
      <c r="B2136" s="23" t="s">
        <v>367</v>
      </c>
      <c r="C2136" s="22" t="s">
        <v>368</v>
      </c>
      <c r="D2136" s="22" t="s">
        <v>369</v>
      </c>
      <c r="E2136" s="23" t="s">
        <v>84</v>
      </c>
      <c r="F2136" s="23" t="s">
        <v>92</v>
      </c>
      <c r="G2136" s="23" t="s">
        <v>26</v>
      </c>
      <c r="H2136" s="23" t="s">
        <v>370</v>
      </c>
      <c r="I2136" s="23" t="s">
        <v>371</v>
      </c>
      <c r="J2136" s="22" t="s">
        <v>195</v>
      </c>
      <c r="K2136" s="23" t="s">
        <v>88</v>
      </c>
      <c r="L2136" s="23" t="s">
        <v>18</v>
      </c>
      <c r="M2136" s="24"/>
    </row>
    <row r="2137" spans="1:13">
      <c r="A2137" s="19">
        <v>2388500</v>
      </c>
      <c r="B2137" s="20" t="s">
        <v>424</v>
      </c>
      <c r="C2137" s="19" t="s">
        <v>425</v>
      </c>
      <c r="D2137" s="19" t="s">
        <v>426</v>
      </c>
      <c r="E2137" s="20" t="s">
        <v>84</v>
      </c>
      <c r="F2137" s="20" t="s">
        <v>112</v>
      </c>
      <c r="G2137" s="20" t="s">
        <v>26</v>
      </c>
      <c r="H2137" s="20" t="s">
        <v>427</v>
      </c>
      <c r="I2137" s="20" t="s">
        <v>428</v>
      </c>
      <c r="J2137" s="19" t="s">
        <v>94</v>
      </c>
      <c r="K2137" s="20" t="s">
        <v>107</v>
      </c>
      <c r="L2137" s="20" t="s">
        <v>16</v>
      </c>
      <c r="M2137" s="21"/>
    </row>
    <row r="2138" spans="1:13">
      <c r="A2138" s="22">
        <v>2325232</v>
      </c>
      <c r="B2138" s="23" t="s">
        <v>3151</v>
      </c>
      <c r="C2138" s="22" t="s">
        <v>3152</v>
      </c>
      <c r="D2138" s="22" t="s">
        <v>3153</v>
      </c>
      <c r="E2138" s="23" t="s">
        <v>127</v>
      </c>
      <c r="F2138" s="23" t="s">
        <v>112</v>
      </c>
      <c r="G2138" s="23" t="s">
        <v>26</v>
      </c>
      <c r="H2138" s="23" t="s">
        <v>3154</v>
      </c>
      <c r="I2138" s="23" t="s">
        <v>3155</v>
      </c>
      <c r="J2138" s="22" t="s">
        <v>94</v>
      </c>
      <c r="K2138" s="23" t="s">
        <v>19</v>
      </c>
      <c r="L2138" s="23" t="s">
        <v>16</v>
      </c>
      <c r="M2138" s="24"/>
    </row>
    <row r="2139" spans="1:13">
      <c r="A2139" s="19">
        <v>2329656</v>
      </c>
      <c r="B2139" s="20" t="s">
        <v>1090</v>
      </c>
      <c r="C2139" s="19" t="s">
        <v>1091</v>
      </c>
      <c r="D2139" s="19" t="s">
        <v>1092</v>
      </c>
      <c r="E2139" s="20" t="s">
        <v>84</v>
      </c>
      <c r="F2139" s="20" t="s">
        <v>112</v>
      </c>
      <c r="G2139" s="20" t="s">
        <v>27</v>
      </c>
      <c r="H2139" s="20" t="s">
        <v>1093</v>
      </c>
      <c r="I2139" s="20" t="s">
        <v>1094</v>
      </c>
      <c r="J2139" s="19" t="s">
        <v>1088</v>
      </c>
      <c r="K2139" s="20" t="s">
        <v>1089</v>
      </c>
      <c r="L2139" s="20" t="s">
        <v>18</v>
      </c>
      <c r="M2139" s="21"/>
    </row>
    <row r="2140" spans="1:13">
      <c r="A2140" s="22">
        <v>2472445</v>
      </c>
      <c r="B2140" s="23" t="s">
        <v>549</v>
      </c>
      <c r="C2140" s="22" t="s">
        <v>550</v>
      </c>
      <c r="D2140" s="22" t="s">
        <v>551</v>
      </c>
      <c r="E2140" s="23" t="s">
        <v>127</v>
      </c>
      <c r="F2140" s="23" t="s">
        <v>112</v>
      </c>
      <c r="G2140" s="23" t="s">
        <v>26</v>
      </c>
      <c r="H2140" s="23" t="s">
        <v>552</v>
      </c>
      <c r="I2140" s="23" t="s">
        <v>553</v>
      </c>
      <c r="J2140" s="22" t="s">
        <v>283</v>
      </c>
      <c r="K2140" s="23" t="s">
        <v>19</v>
      </c>
      <c r="L2140" s="23" t="s">
        <v>16</v>
      </c>
      <c r="M2140" s="24"/>
    </row>
    <row r="2141" spans="1:13">
      <c r="A2141" s="19">
        <v>2437338</v>
      </c>
      <c r="B2141" s="20" t="s">
        <v>6724</v>
      </c>
      <c r="C2141" s="19" t="s">
        <v>6725</v>
      </c>
      <c r="D2141" s="19" t="s">
        <v>6726</v>
      </c>
      <c r="E2141" s="20" t="s">
        <v>84</v>
      </c>
      <c r="F2141" s="20" t="s">
        <v>85</v>
      </c>
      <c r="G2141" s="20" t="s">
        <v>26</v>
      </c>
      <c r="H2141" s="20" t="s">
        <v>6727</v>
      </c>
      <c r="I2141" s="20" t="s">
        <v>6728</v>
      </c>
      <c r="J2141" s="19" t="s">
        <v>1088</v>
      </c>
      <c r="K2141" s="20" t="s">
        <v>206</v>
      </c>
      <c r="L2141" s="20" t="s">
        <v>18</v>
      </c>
      <c r="M2141" s="21" t="s">
        <v>222</v>
      </c>
    </row>
    <row r="2142" spans="1:13">
      <c r="A2142" s="22">
        <v>2397043</v>
      </c>
      <c r="B2142" s="23" t="s">
        <v>3879</v>
      </c>
      <c r="C2142" s="22" t="s">
        <v>3880</v>
      </c>
      <c r="D2142" s="22" t="s">
        <v>3881</v>
      </c>
      <c r="E2142" s="23" t="s">
        <v>127</v>
      </c>
      <c r="F2142" s="23" t="s">
        <v>92</v>
      </c>
      <c r="G2142" s="23" t="s">
        <v>27</v>
      </c>
      <c r="H2142" s="23" t="s">
        <v>3882</v>
      </c>
      <c r="I2142" s="23" t="s">
        <v>3882</v>
      </c>
      <c r="J2142" s="22" t="s">
        <v>283</v>
      </c>
      <c r="K2142" s="23" t="s">
        <v>3883</v>
      </c>
      <c r="L2142" s="23" t="s">
        <v>16</v>
      </c>
      <c r="M2142" s="24"/>
    </row>
    <row r="2143" spans="1:13">
      <c r="A2143" s="19">
        <v>2430410</v>
      </c>
      <c r="B2143" s="20" t="s">
        <v>361</v>
      </c>
      <c r="C2143" s="19" t="s">
        <v>362</v>
      </c>
      <c r="D2143" s="19" t="s">
        <v>363</v>
      </c>
      <c r="E2143" s="20" t="s">
        <v>219</v>
      </c>
      <c r="F2143" s="20" t="s">
        <v>92</v>
      </c>
      <c r="G2143" s="20" t="s">
        <v>27</v>
      </c>
      <c r="H2143" s="20" t="s">
        <v>364</v>
      </c>
      <c r="I2143" s="20" t="s">
        <v>365</v>
      </c>
      <c r="J2143" s="19" t="s">
        <v>195</v>
      </c>
      <c r="K2143" s="20" t="s">
        <v>366</v>
      </c>
      <c r="L2143" s="20" t="s">
        <v>18</v>
      </c>
      <c r="M2143" s="21" t="s">
        <v>222</v>
      </c>
    </row>
    <row r="2144" spans="1:13">
      <c r="A2144" s="22">
        <v>913908</v>
      </c>
      <c r="B2144" s="23" t="s">
        <v>5969</v>
      </c>
      <c r="C2144" s="22" t="s">
        <v>5970</v>
      </c>
      <c r="D2144" s="22" t="s">
        <v>5971</v>
      </c>
      <c r="E2144" s="23" t="s">
        <v>127</v>
      </c>
      <c r="F2144" s="23" t="s">
        <v>92</v>
      </c>
      <c r="G2144" s="23" t="s">
        <v>26</v>
      </c>
      <c r="H2144" s="23" t="s">
        <v>5972</v>
      </c>
      <c r="I2144" s="23" t="s">
        <v>5973</v>
      </c>
      <c r="J2144" s="22" t="s">
        <v>195</v>
      </c>
      <c r="K2144" s="23" t="s">
        <v>19</v>
      </c>
      <c r="L2144" s="23" t="s">
        <v>16</v>
      </c>
      <c r="M2144" s="24"/>
    </row>
    <row r="2145" spans="1:13">
      <c r="A2145" s="19">
        <v>2315792</v>
      </c>
      <c r="B2145" s="20" t="s">
        <v>236</v>
      </c>
      <c r="C2145" s="19" t="s">
        <v>237</v>
      </c>
      <c r="D2145" s="19" t="s">
        <v>238</v>
      </c>
      <c r="E2145" s="20" t="s">
        <v>84</v>
      </c>
      <c r="F2145" s="20" t="s">
        <v>112</v>
      </c>
      <c r="G2145" s="20" t="s">
        <v>25</v>
      </c>
      <c r="H2145" s="20" t="s">
        <v>239</v>
      </c>
      <c r="I2145" s="20" t="s">
        <v>240</v>
      </c>
      <c r="J2145" s="19" t="s">
        <v>94</v>
      </c>
      <c r="K2145" s="20" t="s">
        <v>206</v>
      </c>
      <c r="L2145" s="20" t="s">
        <v>16</v>
      </c>
      <c r="M2145" s="21" t="s">
        <v>49</v>
      </c>
    </row>
    <row r="2146" spans="1:13">
      <c r="A2146" s="22">
        <v>2443977</v>
      </c>
      <c r="B2146" s="23" t="s">
        <v>3456</v>
      </c>
      <c r="C2146" s="22" t="s">
        <v>3457</v>
      </c>
      <c r="D2146" s="22" t="s">
        <v>3458</v>
      </c>
      <c r="E2146" s="23" t="s">
        <v>219</v>
      </c>
      <c r="F2146" s="23" t="s">
        <v>92</v>
      </c>
      <c r="G2146" s="23" t="s">
        <v>27</v>
      </c>
      <c r="H2146" s="23" t="s">
        <v>3459</v>
      </c>
      <c r="I2146" s="23" t="s">
        <v>3460</v>
      </c>
      <c r="J2146" s="22" t="s">
        <v>94</v>
      </c>
      <c r="K2146" s="23" t="s">
        <v>2699</v>
      </c>
      <c r="L2146" s="23" t="s">
        <v>18</v>
      </c>
      <c r="M2146" s="24" t="s">
        <v>3461</v>
      </c>
    </row>
    <row r="2147" spans="1:13">
      <c r="A2147" s="19">
        <v>2470771</v>
      </c>
      <c r="B2147" s="20" t="s">
        <v>7755</v>
      </c>
      <c r="C2147" s="19" t="s">
        <v>7756</v>
      </c>
      <c r="D2147" s="19" t="s">
        <v>7757</v>
      </c>
      <c r="E2147" s="20" t="s">
        <v>84</v>
      </c>
      <c r="F2147" s="20" t="s">
        <v>92</v>
      </c>
      <c r="G2147" s="20" t="s">
        <v>26</v>
      </c>
      <c r="H2147" s="20" t="s">
        <v>7758</v>
      </c>
      <c r="I2147" s="20" t="s">
        <v>7759</v>
      </c>
      <c r="J2147" s="19" t="s">
        <v>9103</v>
      </c>
      <c r="K2147" s="20" t="s">
        <v>206</v>
      </c>
      <c r="L2147" s="20" t="s">
        <v>18</v>
      </c>
      <c r="M2147" s="21" t="s">
        <v>7760</v>
      </c>
    </row>
    <row r="2148" spans="1:13">
      <c r="A2148" s="22">
        <v>2441374</v>
      </c>
      <c r="B2148" s="23" t="s">
        <v>89</v>
      </c>
      <c r="C2148" s="22" t="s">
        <v>90</v>
      </c>
      <c r="D2148" s="22" t="s">
        <v>91</v>
      </c>
      <c r="E2148" s="23" t="s">
        <v>84</v>
      </c>
      <c r="F2148" s="23" t="s">
        <v>92</v>
      </c>
      <c r="G2148" s="23" t="s">
        <v>27</v>
      </c>
      <c r="H2148" s="22" t="s">
        <v>86</v>
      </c>
      <c r="I2148" s="23" t="s">
        <v>93</v>
      </c>
      <c r="J2148" s="22" t="s">
        <v>94</v>
      </c>
      <c r="K2148" s="23" t="s">
        <v>95</v>
      </c>
      <c r="L2148" s="23" t="s">
        <v>18</v>
      </c>
      <c r="M2148" s="24"/>
    </row>
    <row r="2149" spans="1:13">
      <c r="A2149" s="19">
        <v>2481184</v>
      </c>
      <c r="B2149" s="20" t="s">
        <v>2772</v>
      </c>
      <c r="C2149" s="19" t="s">
        <v>2773</v>
      </c>
      <c r="D2149" s="19" t="s">
        <v>2774</v>
      </c>
      <c r="E2149" s="20" t="s">
        <v>127</v>
      </c>
      <c r="F2149" s="20" t="s">
        <v>92</v>
      </c>
      <c r="G2149" s="20" t="s">
        <v>25</v>
      </c>
      <c r="H2149" s="20" t="s">
        <v>2775</v>
      </c>
      <c r="I2149" s="20" t="s">
        <v>2776</v>
      </c>
      <c r="J2149" s="19" t="s">
        <v>94</v>
      </c>
      <c r="K2149" s="20" t="s">
        <v>2777</v>
      </c>
      <c r="L2149" s="20" t="s">
        <v>16</v>
      </c>
      <c r="M2149" s="21"/>
    </row>
    <row r="2150" spans="1:13">
      <c r="A2150" s="22">
        <v>2470770</v>
      </c>
      <c r="B2150" s="23" t="s">
        <v>279</v>
      </c>
      <c r="C2150" s="22" t="s">
        <v>280</v>
      </c>
      <c r="D2150" s="22" t="s">
        <v>281</v>
      </c>
      <c r="E2150" s="23" t="s">
        <v>219</v>
      </c>
      <c r="F2150" s="23" t="s">
        <v>92</v>
      </c>
      <c r="G2150" s="23" t="s">
        <v>27</v>
      </c>
      <c r="H2150" s="23" t="s">
        <v>282</v>
      </c>
      <c r="I2150" s="23" t="s">
        <v>282</v>
      </c>
      <c r="J2150" s="22" t="s">
        <v>283</v>
      </c>
      <c r="K2150" s="23" t="s">
        <v>284</v>
      </c>
      <c r="L2150" s="23" t="s">
        <v>16</v>
      </c>
      <c r="M2150" s="24"/>
    </row>
    <row r="2151" spans="1:13">
      <c r="A2151" s="19">
        <v>2136186</v>
      </c>
      <c r="B2151" s="20" t="s">
        <v>6093</v>
      </c>
      <c r="C2151" s="19" t="s">
        <v>6094</v>
      </c>
      <c r="D2151" s="19" t="s">
        <v>6095</v>
      </c>
      <c r="E2151" s="20" t="s">
        <v>84</v>
      </c>
      <c r="F2151" s="20" t="s">
        <v>112</v>
      </c>
      <c r="G2151" s="20" t="s">
        <v>26</v>
      </c>
      <c r="H2151" s="20" t="s">
        <v>6096</v>
      </c>
      <c r="I2151" s="20" t="s">
        <v>6097</v>
      </c>
      <c r="J2151" s="19" t="s">
        <v>94</v>
      </c>
      <c r="K2151" s="20" t="s">
        <v>107</v>
      </c>
      <c r="L2151" s="20" t="s">
        <v>18</v>
      </c>
      <c r="M2151" s="21"/>
    </row>
    <row r="2152" spans="1:13">
      <c r="A2152" s="22">
        <v>2470064</v>
      </c>
      <c r="B2152" s="23" t="s">
        <v>3836</v>
      </c>
      <c r="C2152" s="22" t="s">
        <v>3837</v>
      </c>
      <c r="D2152" s="22" t="s">
        <v>3838</v>
      </c>
      <c r="E2152" s="23" t="s">
        <v>219</v>
      </c>
      <c r="F2152" s="23" t="s">
        <v>92</v>
      </c>
      <c r="G2152" s="23" t="s">
        <v>27</v>
      </c>
      <c r="H2152" s="23" t="s">
        <v>3839</v>
      </c>
      <c r="I2152" s="23" t="s">
        <v>3839</v>
      </c>
      <c r="J2152" s="22" t="s">
        <v>94</v>
      </c>
      <c r="K2152" s="23" t="s">
        <v>3840</v>
      </c>
      <c r="L2152" s="23" t="s">
        <v>16</v>
      </c>
      <c r="M2152" s="24" t="s">
        <v>38</v>
      </c>
    </row>
    <row r="2153" spans="1:13">
      <c r="A2153" s="19">
        <v>2474464</v>
      </c>
      <c r="B2153" s="20" t="s">
        <v>418</v>
      </c>
      <c r="C2153" s="19" t="s">
        <v>419</v>
      </c>
      <c r="D2153" s="19" t="s">
        <v>420</v>
      </c>
      <c r="E2153" s="20" t="s">
        <v>84</v>
      </c>
      <c r="F2153" s="20" t="s">
        <v>92</v>
      </c>
      <c r="G2153" s="20" t="s">
        <v>26</v>
      </c>
      <c r="H2153" s="20" t="s">
        <v>421</v>
      </c>
      <c r="I2153" s="20" t="s">
        <v>422</v>
      </c>
      <c r="J2153" s="19" t="s">
        <v>9104</v>
      </c>
      <c r="K2153" s="20" t="s">
        <v>107</v>
      </c>
      <c r="L2153" s="20" t="s">
        <v>18</v>
      </c>
      <c r="M2153" s="21" t="s">
        <v>423</v>
      </c>
    </row>
    <row r="2154" spans="1:13">
      <c r="A2154" s="22">
        <v>589960</v>
      </c>
      <c r="B2154" s="23" t="s">
        <v>1878</v>
      </c>
      <c r="C2154" s="22" t="s">
        <v>1879</v>
      </c>
      <c r="D2154" s="22" t="s">
        <v>1880</v>
      </c>
      <c r="E2154" s="23" t="s">
        <v>219</v>
      </c>
      <c r="F2154" s="23" t="s">
        <v>112</v>
      </c>
      <c r="G2154" s="23" t="s">
        <v>27</v>
      </c>
      <c r="H2154" s="23" t="s">
        <v>1881</v>
      </c>
      <c r="I2154" s="23" t="s">
        <v>1882</v>
      </c>
      <c r="J2154" s="22" t="s">
        <v>195</v>
      </c>
      <c r="K2154" s="23" t="s">
        <v>967</v>
      </c>
      <c r="L2154" s="23" t="s">
        <v>16</v>
      </c>
      <c r="M2154" s="24" t="s">
        <v>49</v>
      </c>
    </row>
    <row r="2155" spans="1:13">
      <c r="A2155" s="19">
        <v>654163</v>
      </c>
      <c r="B2155" s="20" t="s">
        <v>5179</v>
      </c>
      <c r="C2155" s="19" t="s">
        <v>5180</v>
      </c>
      <c r="D2155" s="19" t="s">
        <v>5181</v>
      </c>
      <c r="E2155" s="20" t="s">
        <v>127</v>
      </c>
      <c r="F2155" s="20" t="s">
        <v>92</v>
      </c>
      <c r="G2155" s="20" t="s">
        <v>25</v>
      </c>
      <c r="H2155" s="20" t="s">
        <v>5182</v>
      </c>
      <c r="I2155" s="20" t="s">
        <v>5183</v>
      </c>
      <c r="J2155" s="19" t="s">
        <v>283</v>
      </c>
      <c r="K2155" s="20" t="s">
        <v>5184</v>
      </c>
      <c r="L2155" s="20" t="s">
        <v>18</v>
      </c>
      <c r="M2155" s="21" t="s">
        <v>222</v>
      </c>
    </row>
    <row r="2156" spans="1:13">
      <c r="A2156" s="22">
        <v>2445499</v>
      </c>
      <c r="B2156" s="23" t="s">
        <v>4040</v>
      </c>
      <c r="C2156" s="22" t="s">
        <v>4041</v>
      </c>
      <c r="D2156" s="22" t="s">
        <v>4042</v>
      </c>
      <c r="E2156" s="23" t="s">
        <v>127</v>
      </c>
      <c r="F2156" s="23" t="s">
        <v>112</v>
      </c>
      <c r="G2156" s="23" t="s">
        <v>26</v>
      </c>
      <c r="H2156" s="23" t="s">
        <v>4043</v>
      </c>
      <c r="I2156" s="23" t="s">
        <v>4044</v>
      </c>
      <c r="J2156" s="22" t="s">
        <v>4045</v>
      </c>
      <c r="K2156" s="23" t="s">
        <v>206</v>
      </c>
      <c r="L2156" s="23" t="s">
        <v>16</v>
      </c>
      <c r="M2156" s="24"/>
    </row>
    <row r="2157" spans="1:13">
      <c r="A2157" s="19">
        <v>896245</v>
      </c>
      <c r="B2157" s="20" t="s">
        <v>5324</v>
      </c>
      <c r="C2157" s="19" t="s">
        <v>5325</v>
      </c>
      <c r="D2157" s="19" t="s">
        <v>5326</v>
      </c>
      <c r="E2157" s="20" t="s">
        <v>219</v>
      </c>
      <c r="F2157" s="20" t="s">
        <v>112</v>
      </c>
      <c r="G2157" s="20" t="s">
        <v>27</v>
      </c>
      <c r="H2157" s="20" t="s">
        <v>5327</v>
      </c>
      <c r="I2157" s="20" t="s">
        <v>5328</v>
      </c>
      <c r="J2157" s="19" t="s">
        <v>1088</v>
      </c>
      <c r="K2157" s="20" t="s">
        <v>967</v>
      </c>
      <c r="L2157" s="20" t="s">
        <v>16</v>
      </c>
      <c r="M2157" s="21"/>
    </row>
    <row r="2158" spans="1:13">
      <c r="A2158" s="22">
        <v>2414892</v>
      </c>
      <c r="B2158" s="23" t="s">
        <v>3864</v>
      </c>
      <c r="C2158" s="22" t="s">
        <v>3865</v>
      </c>
      <c r="D2158" s="22" t="s">
        <v>3866</v>
      </c>
      <c r="E2158" s="23" t="s">
        <v>84</v>
      </c>
      <c r="F2158" s="23" t="s">
        <v>112</v>
      </c>
      <c r="G2158" s="23" t="s">
        <v>25</v>
      </c>
      <c r="H2158" s="23" t="s">
        <v>3867</v>
      </c>
      <c r="I2158" s="23" t="s">
        <v>3868</v>
      </c>
      <c r="J2158" s="22" t="s">
        <v>94</v>
      </c>
      <c r="K2158" s="23" t="s">
        <v>15</v>
      </c>
      <c r="L2158" s="23" t="s">
        <v>16</v>
      </c>
      <c r="M2158" s="24"/>
    </row>
    <row r="2159" spans="1:13">
      <c r="A2159" s="19">
        <v>2475722</v>
      </c>
      <c r="B2159" s="20" t="s">
        <v>4400</v>
      </c>
      <c r="C2159" s="19" t="s">
        <v>4401</v>
      </c>
      <c r="D2159" s="19" t="s">
        <v>4402</v>
      </c>
      <c r="E2159" s="20" t="s">
        <v>84</v>
      </c>
      <c r="F2159" s="20" t="s">
        <v>92</v>
      </c>
      <c r="G2159" s="20" t="s">
        <v>27</v>
      </c>
      <c r="H2159" s="20" t="s">
        <v>4403</v>
      </c>
      <c r="I2159" s="20" t="s">
        <v>4404</v>
      </c>
      <c r="J2159" s="19" t="s">
        <v>195</v>
      </c>
      <c r="K2159" s="20" t="s">
        <v>4405</v>
      </c>
      <c r="L2159" s="20" t="s">
        <v>18</v>
      </c>
      <c r="M2159" s="21"/>
    </row>
    <row r="2160" spans="1:13">
      <c r="A2160" s="22">
        <v>2322732</v>
      </c>
      <c r="B2160" s="23" t="s">
        <v>719</v>
      </c>
      <c r="C2160" s="22" t="s">
        <v>720</v>
      </c>
      <c r="D2160" s="22" t="s">
        <v>721</v>
      </c>
      <c r="E2160" s="23" t="s">
        <v>84</v>
      </c>
      <c r="F2160" s="23" t="s">
        <v>92</v>
      </c>
      <c r="G2160" s="23" t="s">
        <v>27</v>
      </c>
      <c r="H2160" s="23" t="s">
        <v>722</v>
      </c>
      <c r="I2160" s="23" t="s">
        <v>723</v>
      </c>
      <c r="J2160" s="22" t="s">
        <v>94</v>
      </c>
      <c r="K2160" s="23" t="s">
        <v>724</v>
      </c>
      <c r="L2160" s="23" t="s">
        <v>18</v>
      </c>
      <c r="M2160" s="24"/>
    </row>
    <row r="2161" spans="1:13">
      <c r="A2161" s="19">
        <v>2433149</v>
      </c>
      <c r="B2161" s="20" t="s">
        <v>962</v>
      </c>
      <c r="C2161" s="19" t="s">
        <v>963</v>
      </c>
      <c r="D2161" s="19" t="s">
        <v>964</v>
      </c>
      <c r="E2161" s="20" t="s">
        <v>219</v>
      </c>
      <c r="F2161" s="20" t="s">
        <v>112</v>
      </c>
      <c r="G2161" s="20" t="s">
        <v>25</v>
      </c>
      <c r="H2161" s="20" t="s">
        <v>965</v>
      </c>
      <c r="I2161" s="20" t="s">
        <v>966</v>
      </c>
      <c r="J2161" s="19" t="s">
        <v>195</v>
      </c>
      <c r="K2161" s="20" t="s">
        <v>967</v>
      </c>
      <c r="L2161" s="20" t="s">
        <v>18</v>
      </c>
      <c r="M2161" s="21"/>
    </row>
    <row r="2162" spans="1:13">
      <c r="A2162" s="22">
        <v>2437335</v>
      </c>
      <c r="B2162" s="23" t="s">
        <v>216</v>
      </c>
      <c r="C2162" s="22" t="s">
        <v>217</v>
      </c>
      <c r="D2162" s="22" t="s">
        <v>218</v>
      </c>
      <c r="E2162" s="23" t="s">
        <v>219</v>
      </c>
      <c r="F2162" s="23" t="s">
        <v>92</v>
      </c>
      <c r="G2162" s="23" t="s">
        <v>27</v>
      </c>
      <c r="H2162" s="23" t="s">
        <v>220</v>
      </c>
      <c r="I2162" s="23" t="s">
        <v>220</v>
      </c>
      <c r="J2162" s="22" t="s">
        <v>94</v>
      </c>
      <c r="K2162" s="23" t="s">
        <v>221</v>
      </c>
      <c r="L2162" s="23" t="s">
        <v>18</v>
      </c>
      <c r="M2162" s="24" t="s">
        <v>222</v>
      </c>
    </row>
    <row r="2163" spans="1:13">
      <c r="A2163" s="19">
        <v>2483674</v>
      </c>
      <c r="B2163" s="20" t="s">
        <v>8936</v>
      </c>
      <c r="C2163" s="19" t="s">
        <v>8937</v>
      </c>
      <c r="D2163" s="19" t="s">
        <v>8938</v>
      </c>
      <c r="E2163" s="20" t="s">
        <v>127</v>
      </c>
      <c r="F2163" s="20" t="s">
        <v>92</v>
      </c>
      <c r="G2163" s="20" t="s">
        <v>8939</v>
      </c>
      <c r="H2163" s="20" t="s">
        <v>8940</v>
      </c>
      <c r="I2163" s="20" t="s">
        <v>8940</v>
      </c>
      <c r="J2163" s="19" t="s">
        <v>94</v>
      </c>
      <c r="K2163" s="20" t="s">
        <v>8941</v>
      </c>
      <c r="L2163" s="20" t="s">
        <v>18</v>
      </c>
      <c r="M2163" s="21"/>
    </row>
    <row r="2164" spans="1:13">
      <c r="A2164" s="22">
        <v>2393385</v>
      </c>
      <c r="B2164" s="23" t="s">
        <v>1083</v>
      </c>
      <c r="C2164" s="22" t="s">
        <v>1084</v>
      </c>
      <c r="D2164" s="22" t="s">
        <v>1085</v>
      </c>
      <c r="E2164" s="23" t="s">
        <v>84</v>
      </c>
      <c r="F2164" s="23" t="s">
        <v>112</v>
      </c>
      <c r="G2164" s="23" t="s">
        <v>27</v>
      </c>
      <c r="H2164" s="23" t="s">
        <v>1086</v>
      </c>
      <c r="I2164" s="23" t="s">
        <v>1087</v>
      </c>
      <c r="J2164" s="22" t="s">
        <v>1088</v>
      </c>
      <c r="K2164" s="23" t="s">
        <v>1089</v>
      </c>
      <c r="L2164" s="23" t="s">
        <v>18</v>
      </c>
      <c r="M2164" s="24" t="s">
        <v>222</v>
      </c>
    </row>
    <row r="2165" spans="1:13">
      <c r="A2165" s="19">
        <v>2430411</v>
      </c>
      <c r="B2165" s="20" t="s">
        <v>813</v>
      </c>
      <c r="C2165" s="19" t="s">
        <v>814</v>
      </c>
      <c r="D2165" s="19" t="s">
        <v>815</v>
      </c>
      <c r="E2165" s="20" t="s">
        <v>84</v>
      </c>
      <c r="F2165" s="20" t="s">
        <v>92</v>
      </c>
      <c r="G2165" s="20" t="s">
        <v>25</v>
      </c>
      <c r="H2165" s="20" t="s">
        <v>816</v>
      </c>
      <c r="I2165" s="20" t="s">
        <v>817</v>
      </c>
      <c r="J2165" s="19" t="s">
        <v>283</v>
      </c>
      <c r="K2165" s="20" t="s">
        <v>818</v>
      </c>
      <c r="L2165" s="20" t="s">
        <v>16</v>
      </c>
      <c r="M2165" s="21"/>
    </row>
  </sheetData>
  <autoFilter ref="H3:H2126" xr:uid="{9B7CD269-6DB8-4118-A17C-4686C2E6D6A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21822-73AA-4C4A-865F-DDDE2ACCFAFF}">
  <dimension ref="A1:K70643"/>
  <sheetViews>
    <sheetView workbookViewId="0">
      <selection activeCell="F336" sqref="F336"/>
    </sheetView>
  </sheetViews>
  <sheetFormatPr defaultRowHeight="15" customHeight="1"/>
  <cols>
    <col min="1" max="10" width="17" customWidth="1"/>
  </cols>
  <sheetData>
    <row r="1" spans="1:11">
      <c r="A1">
        <v>1</v>
      </c>
      <c r="B1">
        <v>2</v>
      </c>
      <c r="C1">
        <v>3</v>
      </c>
      <c r="D1">
        <v>4</v>
      </c>
      <c r="E1">
        <v>5</v>
      </c>
      <c r="F1">
        <v>6</v>
      </c>
      <c r="G1">
        <v>7</v>
      </c>
      <c r="H1">
        <v>8</v>
      </c>
      <c r="I1">
        <v>9</v>
      </c>
      <c r="J1">
        <v>10</v>
      </c>
      <c r="K1">
        <v>11</v>
      </c>
    </row>
    <row r="2" spans="1:11" ht="15.75">
      <c r="A2" s="1" t="s">
        <v>51</v>
      </c>
      <c r="B2" s="1" t="s">
        <v>52</v>
      </c>
      <c r="C2" s="1" t="s">
        <v>3</v>
      </c>
      <c r="D2" s="1" t="s">
        <v>54</v>
      </c>
      <c r="E2" s="1" t="s">
        <v>53</v>
      </c>
      <c r="F2" s="1" t="s">
        <v>55</v>
      </c>
      <c r="G2" s="1" t="s">
        <v>56</v>
      </c>
      <c r="H2" s="1" t="s">
        <v>57</v>
      </c>
      <c r="I2" s="1" t="s">
        <v>9105</v>
      </c>
      <c r="J2" s="1" t="s">
        <v>59</v>
      </c>
      <c r="K2" s="1" t="s">
        <v>9106</v>
      </c>
    </row>
    <row r="3" spans="1:11">
      <c r="A3" s="3">
        <v>2476045</v>
      </c>
      <c r="B3" t="s">
        <v>9107</v>
      </c>
      <c r="C3" t="s">
        <v>7</v>
      </c>
      <c r="D3" t="s">
        <v>9108</v>
      </c>
      <c r="E3" s="28">
        <v>46042</v>
      </c>
      <c r="F3" t="s">
        <v>9109</v>
      </c>
      <c r="G3" s="3" t="s">
        <v>9110</v>
      </c>
      <c r="H3" t="s">
        <v>9111</v>
      </c>
      <c r="I3" s="28">
        <v>46203</v>
      </c>
      <c r="J3" t="s">
        <v>9112</v>
      </c>
      <c r="K3" t="s">
        <v>9113</v>
      </c>
    </row>
    <row r="4" spans="1:11">
      <c r="A4" s="3">
        <v>2478572</v>
      </c>
      <c r="B4" t="s">
        <v>9114</v>
      </c>
      <c r="C4" t="s">
        <v>8</v>
      </c>
      <c r="D4" t="s">
        <v>9115</v>
      </c>
      <c r="E4" s="28">
        <v>46254</v>
      </c>
      <c r="F4" t="s">
        <v>9109</v>
      </c>
      <c r="G4" s="3" t="s">
        <v>9116</v>
      </c>
      <c r="H4" t="s">
        <v>9117</v>
      </c>
      <c r="I4" s="28">
        <v>46310</v>
      </c>
      <c r="J4" t="s">
        <v>9118</v>
      </c>
      <c r="K4" t="s">
        <v>31</v>
      </c>
    </row>
    <row r="5" spans="1:11">
      <c r="A5" s="3">
        <v>2479335</v>
      </c>
      <c r="B5" t="s">
        <v>9119</v>
      </c>
      <c r="C5" t="s">
        <v>8</v>
      </c>
      <c r="D5" t="s">
        <v>9115</v>
      </c>
      <c r="E5" s="28">
        <v>46254</v>
      </c>
      <c r="F5" t="s">
        <v>9109</v>
      </c>
      <c r="G5" s="3" t="s">
        <v>9116</v>
      </c>
      <c r="H5" t="s">
        <v>9117</v>
      </c>
      <c r="I5" s="28">
        <v>46310</v>
      </c>
      <c r="J5" t="s">
        <v>9118</v>
      </c>
      <c r="K5" t="s">
        <v>31</v>
      </c>
    </row>
    <row r="6" spans="1:11">
      <c r="A6" s="3">
        <v>2479361</v>
      </c>
      <c r="B6" t="s">
        <v>3615</v>
      </c>
      <c r="C6" t="s">
        <v>7</v>
      </c>
      <c r="D6" t="s">
        <v>9115</v>
      </c>
      <c r="E6" s="28">
        <v>46254</v>
      </c>
      <c r="F6" t="s">
        <v>9109</v>
      </c>
      <c r="G6" s="3" t="s">
        <v>9120</v>
      </c>
      <c r="H6" t="s">
        <v>5324</v>
      </c>
      <c r="I6" s="28">
        <v>46310</v>
      </c>
      <c r="J6" t="s">
        <v>9118</v>
      </c>
      <c r="K6" t="s">
        <v>31</v>
      </c>
    </row>
    <row r="7" spans="1:11">
      <c r="A7" s="3">
        <v>2479396</v>
      </c>
      <c r="B7" t="s">
        <v>4981</v>
      </c>
      <c r="C7" t="s">
        <v>7</v>
      </c>
      <c r="D7" t="s">
        <v>9115</v>
      </c>
      <c r="E7" s="28">
        <v>46254</v>
      </c>
      <c r="F7" t="s">
        <v>9109</v>
      </c>
      <c r="G7" s="3" t="s">
        <v>9120</v>
      </c>
      <c r="H7" t="s">
        <v>5324</v>
      </c>
      <c r="I7" s="28">
        <v>46310</v>
      </c>
      <c r="J7" t="s">
        <v>9118</v>
      </c>
      <c r="K7" t="s">
        <v>31</v>
      </c>
    </row>
    <row r="8" spans="1:11">
      <c r="A8" s="3">
        <v>2479899</v>
      </c>
      <c r="B8" t="s">
        <v>4838</v>
      </c>
      <c r="C8" t="s">
        <v>7</v>
      </c>
      <c r="D8" t="s">
        <v>9108</v>
      </c>
      <c r="E8" s="28">
        <v>46053</v>
      </c>
      <c r="F8" t="s">
        <v>9109</v>
      </c>
      <c r="G8" s="3" t="s">
        <v>9121</v>
      </c>
      <c r="H8" t="s">
        <v>9122</v>
      </c>
      <c r="I8" s="28">
        <v>46301</v>
      </c>
      <c r="J8" t="s">
        <v>9118</v>
      </c>
      <c r="K8" t="s">
        <v>31</v>
      </c>
    </row>
    <row r="9" spans="1:11">
      <c r="A9" s="3">
        <v>2480129</v>
      </c>
      <c r="B9" t="s">
        <v>9123</v>
      </c>
      <c r="C9" t="s">
        <v>8</v>
      </c>
      <c r="D9" t="s">
        <v>9115</v>
      </c>
      <c r="E9" s="28">
        <v>46254</v>
      </c>
      <c r="F9" t="s">
        <v>9109</v>
      </c>
      <c r="G9" s="3" t="s">
        <v>9120</v>
      </c>
      <c r="H9" t="s">
        <v>5324</v>
      </c>
      <c r="I9" s="28">
        <v>46310</v>
      </c>
      <c r="J9" t="s">
        <v>9118</v>
      </c>
      <c r="K9" t="s">
        <v>31</v>
      </c>
    </row>
    <row r="10" spans="1:11">
      <c r="A10" s="3">
        <v>2480265</v>
      </c>
      <c r="B10" t="s">
        <v>9124</v>
      </c>
      <c r="C10" t="s">
        <v>8</v>
      </c>
      <c r="D10" t="s">
        <v>9115</v>
      </c>
      <c r="E10" s="28">
        <v>46254</v>
      </c>
      <c r="F10" t="s">
        <v>9109</v>
      </c>
      <c r="G10" s="3" t="s">
        <v>9116</v>
      </c>
      <c r="H10" t="s">
        <v>9117</v>
      </c>
      <c r="I10" s="28">
        <v>46310</v>
      </c>
      <c r="J10" t="s">
        <v>9118</v>
      </c>
      <c r="K10" t="s">
        <v>31</v>
      </c>
    </row>
    <row r="11" spans="1:11">
      <c r="A11" s="3">
        <v>2480270</v>
      </c>
      <c r="B11" t="s">
        <v>9125</v>
      </c>
      <c r="C11" t="s">
        <v>8</v>
      </c>
      <c r="D11" t="s">
        <v>9115</v>
      </c>
      <c r="E11" s="28">
        <v>46254</v>
      </c>
      <c r="F11" t="s">
        <v>9109</v>
      </c>
      <c r="G11" s="3" t="s">
        <v>9116</v>
      </c>
      <c r="H11" t="s">
        <v>9117</v>
      </c>
      <c r="I11" s="28">
        <v>46310</v>
      </c>
      <c r="J11" t="s">
        <v>9118</v>
      </c>
      <c r="K11" t="s">
        <v>31</v>
      </c>
    </row>
    <row r="12" spans="1:11">
      <c r="A12" s="3">
        <v>2480307</v>
      </c>
      <c r="B12" t="s">
        <v>9126</v>
      </c>
      <c r="C12" t="s">
        <v>7</v>
      </c>
      <c r="D12" t="s">
        <v>9115</v>
      </c>
      <c r="E12" s="28">
        <v>46254</v>
      </c>
      <c r="F12" t="s">
        <v>9109</v>
      </c>
      <c r="G12" s="3" t="s">
        <v>9120</v>
      </c>
      <c r="H12" t="s">
        <v>5324</v>
      </c>
      <c r="I12" s="28">
        <v>46310</v>
      </c>
      <c r="J12" t="s">
        <v>9118</v>
      </c>
      <c r="K12" t="s">
        <v>31</v>
      </c>
    </row>
    <row r="13" spans="1:11">
      <c r="A13" s="3">
        <v>2481699</v>
      </c>
      <c r="B13" t="s">
        <v>9127</v>
      </c>
      <c r="C13" t="s">
        <v>8</v>
      </c>
      <c r="D13" t="s">
        <v>9108</v>
      </c>
      <c r="E13" s="28">
        <v>46058</v>
      </c>
      <c r="F13" t="s">
        <v>9109</v>
      </c>
      <c r="G13" s="3" t="s">
        <v>9128</v>
      </c>
      <c r="H13" t="s">
        <v>4040</v>
      </c>
      <c r="I13" s="28">
        <v>46323</v>
      </c>
      <c r="J13" t="s">
        <v>9118</v>
      </c>
      <c r="K13" t="s">
        <v>31</v>
      </c>
    </row>
    <row r="14" spans="1:11">
      <c r="A14" s="3">
        <v>2484070</v>
      </c>
      <c r="B14" t="s">
        <v>3933</v>
      </c>
      <c r="C14" t="s">
        <v>8</v>
      </c>
      <c r="D14" t="s">
        <v>9108</v>
      </c>
      <c r="E14" s="28">
        <v>46067</v>
      </c>
      <c r="F14" t="s">
        <v>9109</v>
      </c>
      <c r="G14" s="3" t="s">
        <v>9129</v>
      </c>
      <c r="H14" t="s">
        <v>962</v>
      </c>
      <c r="I14" s="28">
        <v>46314</v>
      </c>
      <c r="J14" t="s">
        <v>9118</v>
      </c>
      <c r="K14" t="s">
        <v>31</v>
      </c>
    </row>
    <row r="15" spans="1:11">
      <c r="A15" s="3">
        <v>2485779</v>
      </c>
      <c r="B15" t="s">
        <v>9130</v>
      </c>
      <c r="C15" t="s">
        <v>8</v>
      </c>
      <c r="D15" t="s">
        <v>9115</v>
      </c>
      <c r="E15" s="28">
        <v>46254</v>
      </c>
      <c r="F15" t="s">
        <v>9109</v>
      </c>
      <c r="G15" s="3" t="s">
        <v>9116</v>
      </c>
      <c r="H15" t="s">
        <v>9117</v>
      </c>
      <c r="I15" s="28">
        <v>46310</v>
      </c>
      <c r="J15" t="s">
        <v>9118</v>
      </c>
      <c r="K15" t="s">
        <v>31</v>
      </c>
    </row>
    <row r="16" spans="1:11">
      <c r="A16" s="3">
        <v>2485951</v>
      </c>
      <c r="B16" t="s">
        <v>9131</v>
      </c>
      <c r="C16" t="s">
        <v>8</v>
      </c>
      <c r="D16" t="s">
        <v>9108</v>
      </c>
      <c r="E16" s="28">
        <v>46072</v>
      </c>
      <c r="F16" t="s">
        <v>9109</v>
      </c>
      <c r="G16" s="3" t="s">
        <v>9129</v>
      </c>
      <c r="H16" t="s">
        <v>962</v>
      </c>
      <c r="I16" s="28">
        <v>46314</v>
      </c>
      <c r="J16" t="s">
        <v>9118</v>
      </c>
      <c r="K16" t="s">
        <v>31</v>
      </c>
    </row>
    <row r="17" spans="1:11">
      <c r="A17" s="3">
        <v>2492364</v>
      </c>
      <c r="B17" t="s">
        <v>4346</v>
      </c>
      <c r="C17" t="s">
        <v>7</v>
      </c>
      <c r="D17" t="s">
        <v>9115</v>
      </c>
      <c r="E17" s="28">
        <v>46254</v>
      </c>
      <c r="F17" t="s">
        <v>9109</v>
      </c>
      <c r="G17" s="3" t="s">
        <v>9120</v>
      </c>
      <c r="H17" t="s">
        <v>5324</v>
      </c>
      <c r="I17" s="28">
        <v>46310</v>
      </c>
      <c r="J17" t="s">
        <v>9118</v>
      </c>
      <c r="K17" t="s">
        <v>31</v>
      </c>
    </row>
    <row r="18" spans="1:11">
      <c r="A18" s="3">
        <v>2492921</v>
      </c>
      <c r="B18" t="s">
        <v>5812</v>
      </c>
      <c r="C18" t="s">
        <v>8</v>
      </c>
      <c r="D18" t="s">
        <v>9115</v>
      </c>
      <c r="E18" s="28">
        <v>46254</v>
      </c>
      <c r="F18" t="s">
        <v>9109</v>
      </c>
      <c r="G18" s="3" t="s">
        <v>9120</v>
      </c>
      <c r="H18" t="s">
        <v>5324</v>
      </c>
      <c r="I18" s="28">
        <v>46310</v>
      </c>
      <c r="J18" t="s">
        <v>9118</v>
      </c>
      <c r="K18" t="s">
        <v>31</v>
      </c>
    </row>
    <row r="19" spans="1:11">
      <c r="A19" s="3">
        <v>2505092</v>
      </c>
      <c r="B19" t="s">
        <v>6707</v>
      </c>
      <c r="C19" t="s">
        <v>8</v>
      </c>
      <c r="D19" t="s">
        <v>9108</v>
      </c>
      <c r="E19" s="28">
        <v>46133</v>
      </c>
      <c r="F19" t="s">
        <v>9109</v>
      </c>
      <c r="G19" s="3" t="s">
        <v>9121</v>
      </c>
      <c r="H19" t="s">
        <v>9122</v>
      </c>
      <c r="I19" s="28">
        <v>46301</v>
      </c>
      <c r="J19" t="s">
        <v>9118</v>
      </c>
      <c r="K19" t="s">
        <v>31</v>
      </c>
    </row>
    <row r="20" spans="1:11">
      <c r="A20" s="3">
        <v>2505263</v>
      </c>
      <c r="B20" t="s">
        <v>9132</v>
      </c>
      <c r="C20" t="s">
        <v>8</v>
      </c>
      <c r="D20" t="s">
        <v>9115</v>
      </c>
      <c r="E20" s="28">
        <v>46254</v>
      </c>
      <c r="F20" t="s">
        <v>9109</v>
      </c>
      <c r="G20" s="3" t="s">
        <v>9116</v>
      </c>
      <c r="H20" t="s">
        <v>9117</v>
      </c>
      <c r="I20" s="28">
        <v>46310</v>
      </c>
      <c r="J20" t="s">
        <v>9118</v>
      </c>
      <c r="K20" t="s">
        <v>31</v>
      </c>
    </row>
    <row r="21" spans="1:11">
      <c r="A21" s="3">
        <v>2507177</v>
      </c>
      <c r="B21" t="s">
        <v>2642</v>
      </c>
      <c r="C21" t="s">
        <v>7</v>
      </c>
      <c r="D21" t="s">
        <v>9108</v>
      </c>
      <c r="E21" s="28">
        <v>46142</v>
      </c>
      <c r="F21" t="s">
        <v>9109</v>
      </c>
      <c r="G21" s="3" t="s">
        <v>9133</v>
      </c>
      <c r="H21" t="s">
        <v>9134</v>
      </c>
      <c r="I21" s="28">
        <v>46269</v>
      </c>
      <c r="J21" t="s">
        <v>9118</v>
      </c>
      <c r="K21" t="s">
        <v>30</v>
      </c>
    </row>
    <row r="22" spans="1:11">
      <c r="A22" s="3">
        <v>2507191</v>
      </c>
      <c r="B22" t="s">
        <v>5789</v>
      </c>
      <c r="C22" t="s">
        <v>7</v>
      </c>
      <c r="D22" t="s">
        <v>9108</v>
      </c>
      <c r="E22" s="28">
        <v>46142</v>
      </c>
      <c r="F22" t="s">
        <v>9109</v>
      </c>
      <c r="G22" s="3" t="s">
        <v>9133</v>
      </c>
      <c r="H22" t="s">
        <v>9134</v>
      </c>
      <c r="I22" s="28">
        <v>46272</v>
      </c>
      <c r="J22" t="s">
        <v>9135</v>
      </c>
      <c r="K22" t="s">
        <v>30</v>
      </c>
    </row>
    <row r="23" spans="1:11">
      <c r="A23" s="3">
        <v>2507278</v>
      </c>
      <c r="B23" t="s">
        <v>1232</v>
      </c>
      <c r="C23" t="s">
        <v>8</v>
      </c>
      <c r="D23" t="s">
        <v>9108</v>
      </c>
      <c r="E23" s="28">
        <v>46142</v>
      </c>
      <c r="F23" t="s">
        <v>9109</v>
      </c>
      <c r="G23" s="3" t="s">
        <v>9136</v>
      </c>
      <c r="H23" t="s">
        <v>9137</v>
      </c>
      <c r="I23" s="28">
        <v>46269</v>
      </c>
      <c r="J23" t="s">
        <v>9135</v>
      </c>
      <c r="K23" t="s">
        <v>30</v>
      </c>
    </row>
    <row r="24" spans="1:11">
      <c r="A24" s="3">
        <v>2507395</v>
      </c>
      <c r="B24" t="s">
        <v>8406</v>
      </c>
      <c r="C24" t="s">
        <v>8</v>
      </c>
      <c r="D24" t="s">
        <v>9108</v>
      </c>
      <c r="E24" s="28">
        <v>46142</v>
      </c>
      <c r="F24" t="s">
        <v>9109</v>
      </c>
      <c r="G24" s="3" t="s">
        <v>9133</v>
      </c>
      <c r="H24" t="s">
        <v>9134</v>
      </c>
      <c r="I24" s="28">
        <v>46272</v>
      </c>
      <c r="J24" t="s">
        <v>9135</v>
      </c>
      <c r="K24" t="s">
        <v>30</v>
      </c>
    </row>
    <row r="25" spans="1:11">
      <c r="A25" s="3">
        <v>2507397</v>
      </c>
      <c r="B25" t="s">
        <v>9138</v>
      </c>
      <c r="C25" t="s">
        <v>7</v>
      </c>
      <c r="D25" t="s">
        <v>9108</v>
      </c>
      <c r="E25" s="28">
        <v>46142</v>
      </c>
      <c r="F25" t="s">
        <v>9109</v>
      </c>
      <c r="G25" s="3" t="s">
        <v>9136</v>
      </c>
      <c r="H25" t="s">
        <v>9137</v>
      </c>
      <c r="I25" s="28">
        <v>46268</v>
      </c>
      <c r="J25" t="s">
        <v>9135</v>
      </c>
      <c r="K25" t="s">
        <v>30</v>
      </c>
    </row>
    <row r="26" spans="1:11">
      <c r="A26" s="3">
        <v>2507421</v>
      </c>
      <c r="B26" t="s">
        <v>9139</v>
      </c>
      <c r="C26" t="s">
        <v>8</v>
      </c>
      <c r="D26" t="s">
        <v>9108</v>
      </c>
      <c r="E26" s="28">
        <v>46142</v>
      </c>
      <c r="F26" t="s">
        <v>9109</v>
      </c>
      <c r="G26" s="3" t="s">
        <v>9133</v>
      </c>
      <c r="H26" t="s">
        <v>9134</v>
      </c>
      <c r="I26" s="28">
        <v>46272</v>
      </c>
      <c r="J26" t="s">
        <v>9135</v>
      </c>
      <c r="K26" t="s">
        <v>30</v>
      </c>
    </row>
    <row r="27" spans="1:11">
      <c r="A27" s="3">
        <v>2507425</v>
      </c>
      <c r="B27" t="s">
        <v>9140</v>
      </c>
      <c r="C27" t="s">
        <v>8</v>
      </c>
      <c r="D27" t="s">
        <v>9108</v>
      </c>
      <c r="E27" s="28">
        <v>46142</v>
      </c>
      <c r="F27" t="s">
        <v>9109</v>
      </c>
      <c r="G27" s="3" t="s">
        <v>9136</v>
      </c>
      <c r="H27" t="s">
        <v>9137</v>
      </c>
      <c r="I27" s="28">
        <v>46269</v>
      </c>
      <c r="J27" t="s">
        <v>9135</v>
      </c>
      <c r="K27" t="s">
        <v>30</v>
      </c>
    </row>
    <row r="28" spans="1:11">
      <c r="A28" s="3">
        <v>2507435</v>
      </c>
      <c r="B28" t="s">
        <v>4993</v>
      </c>
      <c r="C28" t="s">
        <v>8</v>
      </c>
      <c r="D28" t="s">
        <v>9108</v>
      </c>
      <c r="E28" s="28">
        <v>46142</v>
      </c>
      <c r="F28" t="s">
        <v>9109</v>
      </c>
      <c r="G28" s="3" t="s">
        <v>9133</v>
      </c>
      <c r="H28" t="s">
        <v>9134</v>
      </c>
      <c r="I28" s="28">
        <v>46272</v>
      </c>
      <c r="J28" t="s">
        <v>9135</v>
      </c>
      <c r="K28" t="s">
        <v>30</v>
      </c>
    </row>
    <row r="29" spans="1:11">
      <c r="A29" s="3">
        <v>2507493</v>
      </c>
      <c r="B29" t="s">
        <v>9141</v>
      </c>
      <c r="C29" t="s">
        <v>8</v>
      </c>
      <c r="D29" t="s">
        <v>9108</v>
      </c>
      <c r="E29" s="28">
        <v>46142</v>
      </c>
      <c r="F29" t="s">
        <v>9109</v>
      </c>
      <c r="G29" s="3" t="s">
        <v>9136</v>
      </c>
      <c r="H29" t="s">
        <v>9137</v>
      </c>
      <c r="I29" s="28">
        <v>46269</v>
      </c>
      <c r="J29" t="s">
        <v>9135</v>
      </c>
      <c r="K29" t="s">
        <v>30</v>
      </c>
    </row>
    <row r="30" spans="1:11">
      <c r="A30" s="3">
        <v>2507496</v>
      </c>
      <c r="B30" t="s">
        <v>2245</v>
      </c>
      <c r="C30" t="s">
        <v>7</v>
      </c>
      <c r="D30" t="s">
        <v>9108</v>
      </c>
      <c r="E30" s="28">
        <v>46142</v>
      </c>
      <c r="F30" t="s">
        <v>9109</v>
      </c>
      <c r="G30" s="3" t="s">
        <v>9133</v>
      </c>
      <c r="H30" t="s">
        <v>9134</v>
      </c>
      <c r="I30" s="28">
        <v>46272</v>
      </c>
      <c r="J30" t="s">
        <v>9135</v>
      </c>
      <c r="K30" t="s">
        <v>30</v>
      </c>
    </row>
    <row r="31" spans="1:11">
      <c r="A31" s="3">
        <v>2507499</v>
      </c>
      <c r="B31" t="s">
        <v>9142</v>
      </c>
      <c r="C31" t="s">
        <v>8</v>
      </c>
      <c r="D31" t="s">
        <v>9108</v>
      </c>
      <c r="E31" s="28">
        <v>46142</v>
      </c>
      <c r="F31" t="s">
        <v>9109</v>
      </c>
      <c r="G31" s="3" t="s">
        <v>9133</v>
      </c>
      <c r="H31" t="s">
        <v>9134</v>
      </c>
      <c r="I31" s="28">
        <v>46272</v>
      </c>
      <c r="J31" t="s">
        <v>9135</v>
      </c>
      <c r="K31" t="s">
        <v>30</v>
      </c>
    </row>
    <row r="32" spans="1:11">
      <c r="A32" s="3">
        <v>2507505</v>
      </c>
      <c r="B32" t="s">
        <v>3524</v>
      </c>
      <c r="C32" t="s">
        <v>7</v>
      </c>
      <c r="D32" t="s">
        <v>9108</v>
      </c>
      <c r="E32" s="28">
        <v>46142</v>
      </c>
      <c r="F32" t="s">
        <v>9109</v>
      </c>
      <c r="G32" s="3" t="s">
        <v>9133</v>
      </c>
      <c r="H32" t="s">
        <v>9134</v>
      </c>
      <c r="I32" s="28">
        <v>46272</v>
      </c>
      <c r="J32" t="s">
        <v>9135</v>
      </c>
      <c r="K32" t="s">
        <v>30</v>
      </c>
    </row>
    <row r="33" spans="1:11">
      <c r="A33" s="3">
        <v>2507506</v>
      </c>
      <c r="B33" t="s">
        <v>119</v>
      </c>
      <c r="C33" t="s">
        <v>7</v>
      </c>
      <c r="D33" t="s">
        <v>9108</v>
      </c>
      <c r="E33" s="28">
        <v>46142</v>
      </c>
      <c r="F33" t="s">
        <v>9109</v>
      </c>
      <c r="G33" s="3" t="s">
        <v>9136</v>
      </c>
      <c r="H33" t="s">
        <v>9137</v>
      </c>
      <c r="I33" s="28">
        <v>46274</v>
      </c>
      <c r="J33" t="s">
        <v>9135</v>
      </c>
      <c r="K33" t="s">
        <v>30</v>
      </c>
    </row>
    <row r="34" spans="1:11">
      <c r="A34" s="3">
        <v>2511223</v>
      </c>
      <c r="B34" t="s">
        <v>6971</v>
      </c>
      <c r="C34" t="s">
        <v>7</v>
      </c>
      <c r="D34" t="s">
        <v>9108</v>
      </c>
      <c r="E34" s="28">
        <v>46163</v>
      </c>
      <c r="F34" t="s">
        <v>9109</v>
      </c>
      <c r="G34" s="3" t="s">
        <v>9143</v>
      </c>
      <c r="H34" t="s">
        <v>191</v>
      </c>
      <c r="I34" s="28">
        <v>46275</v>
      </c>
      <c r="J34" t="s">
        <v>9118</v>
      </c>
      <c r="K34" t="s">
        <v>30</v>
      </c>
    </row>
    <row r="35" spans="1:11">
      <c r="A35" s="3">
        <v>2511224</v>
      </c>
      <c r="B35" t="s">
        <v>2561</v>
      </c>
      <c r="C35" t="s">
        <v>7</v>
      </c>
      <c r="D35" t="s">
        <v>9108</v>
      </c>
      <c r="E35" s="28">
        <v>46163</v>
      </c>
      <c r="F35" t="s">
        <v>9109</v>
      </c>
      <c r="G35" s="3" t="s">
        <v>9143</v>
      </c>
      <c r="H35" t="s">
        <v>191</v>
      </c>
      <c r="I35" s="28">
        <v>46275</v>
      </c>
      <c r="J35" t="s">
        <v>9118</v>
      </c>
      <c r="K35" t="s">
        <v>30</v>
      </c>
    </row>
    <row r="36" spans="1:11">
      <c r="A36" s="3">
        <v>2511225</v>
      </c>
      <c r="B36" t="s">
        <v>9144</v>
      </c>
      <c r="C36" t="s">
        <v>7</v>
      </c>
      <c r="D36" t="s">
        <v>9108</v>
      </c>
      <c r="E36" s="28">
        <v>46163</v>
      </c>
      <c r="F36" t="s">
        <v>9109</v>
      </c>
      <c r="G36" s="3" t="s">
        <v>9143</v>
      </c>
      <c r="H36" t="s">
        <v>191</v>
      </c>
      <c r="I36" s="28">
        <v>46275</v>
      </c>
      <c r="J36" t="s">
        <v>9118</v>
      </c>
      <c r="K36" t="s">
        <v>30</v>
      </c>
    </row>
    <row r="37" spans="1:11">
      <c r="A37" s="3">
        <v>2511226</v>
      </c>
      <c r="B37" t="s">
        <v>5931</v>
      </c>
      <c r="C37" t="s">
        <v>7</v>
      </c>
      <c r="D37" t="s">
        <v>9108</v>
      </c>
      <c r="E37" s="28">
        <v>46163</v>
      </c>
      <c r="F37" t="s">
        <v>9109</v>
      </c>
      <c r="G37" s="3" t="s">
        <v>9143</v>
      </c>
      <c r="H37" t="s">
        <v>191</v>
      </c>
      <c r="I37" s="28">
        <v>46275</v>
      </c>
      <c r="J37" t="s">
        <v>9118</v>
      </c>
      <c r="K37" t="s">
        <v>30</v>
      </c>
    </row>
    <row r="38" spans="1:11">
      <c r="A38" s="3">
        <v>2511227</v>
      </c>
      <c r="B38" t="s">
        <v>4012</v>
      </c>
      <c r="C38" t="s">
        <v>8</v>
      </c>
      <c r="D38" t="s">
        <v>9108</v>
      </c>
      <c r="E38" s="28">
        <v>46163</v>
      </c>
      <c r="F38" t="s">
        <v>9109</v>
      </c>
      <c r="G38" s="3" t="s">
        <v>9143</v>
      </c>
      <c r="H38" t="s">
        <v>191</v>
      </c>
      <c r="I38" s="28">
        <v>46275</v>
      </c>
      <c r="J38" t="s">
        <v>9118</v>
      </c>
      <c r="K38" t="s">
        <v>30</v>
      </c>
    </row>
    <row r="39" spans="1:11">
      <c r="A39" s="3">
        <v>2511228</v>
      </c>
      <c r="B39" t="s">
        <v>2261</v>
      </c>
      <c r="C39" t="s">
        <v>7</v>
      </c>
      <c r="D39" t="s">
        <v>9108</v>
      </c>
      <c r="E39" s="28">
        <v>46163</v>
      </c>
      <c r="F39" t="s">
        <v>9109</v>
      </c>
      <c r="G39" s="3" t="s">
        <v>9143</v>
      </c>
      <c r="H39" t="s">
        <v>191</v>
      </c>
      <c r="I39" s="28">
        <v>46275</v>
      </c>
      <c r="J39" t="s">
        <v>9118</v>
      </c>
      <c r="K39" t="s">
        <v>30</v>
      </c>
    </row>
    <row r="40" spans="1:11">
      <c r="A40" s="3">
        <v>2511232</v>
      </c>
      <c r="B40" t="s">
        <v>8392</v>
      </c>
      <c r="C40" t="s">
        <v>8</v>
      </c>
      <c r="D40" t="s">
        <v>9108</v>
      </c>
      <c r="E40" s="28">
        <v>46163</v>
      </c>
      <c r="F40" t="s">
        <v>9109</v>
      </c>
      <c r="G40" s="3" t="s">
        <v>9143</v>
      </c>
      <c r="H40" t="s">
        <v>191</v>
      </c>
      <c r="I40" s="28">
        <v>46275</v>
      </c>
      <c r="J40" t="s">
        <v>9118</v>
      </c>
      <c r="K40" t="s">
        <v>30</v>
      </c>
    </row>
    <row r="41" spans="1:11">
      <c r="A41" s="3">
        <v>2511233</v>
      </c>
      <c r="B41" t="s">
        <v>9145</v>
      </c>
      <c r="C41" t="s">
        <v>8</v>
      </c>
      <c r="D41" t="s">
        <v>9108</v>
      </c>
      <c r="E41" s="28">
        <v>46163</v>
      </c>
      <c r="F41" t="s">
        <v>9109</v>
      </c>
      <c r="G41" s="3" t="s">
        <v>9143</v>
      </c>
      <c r="H41" t="s">
        <v>191</v>
      </c>
      <c r="I41" s="28">
        <v>46275</v>
      </c>
      <c r="J41" t="s">
        <v>9118</v>
      </c>
      <c r="K41" t="s">
        <v>30</v>
      </c>
    </row>
    <row r="42" spans="1:11">
      <c r="A42" s="3">
        <v>2511234</v>
      </c>
      <c r="B42" t="s">
        <v>9146</v>
      </c>
      <c r="C42" t="s">
        <v>8</v>
      </c>
      <c r="D42" t="s">
        <v>9108</v>
      </c>
      <c r="E42" s="28">
        <v>46163</v>
      </c>
      <c r="F42" t="s">
        <v>9109</v>
      </c>
      <c r="G42" s="3" t="s">
        <v>9143</v>
      </c>
      <c r="H42" t="s">
        <v>191</v>
      </c>
      <c r="I42" s="28">
        <v>46275</v>
      </c>
      <c r="J42" t="s">
        <v>9118</v>
      </c>
      <c r="K42" t="s">
        <v>30</v>
      </c>
    </row>
    <row r="43" spans="1:11">
      <c r="A43" s="3">
        <v>2511236</v>
      </c>
      <c r="B43" t="s">
        <v>8240</v>
      </c>
      <c r="C43" t="s">
        <v>8</v>
      </c>
      <c r="D43" t="s">
        <v>9108</v>
      </c>
      <c r="E43" s="28">
        <v>46163</v>
      </c>
      <c r="F43" t="s">
        <v>9109</v>
      </c>
      <c r="G43" s="3" t="s">
        <v>9143</v>
      </c>
      <c r="H43" t="s">
        <v>191</v>
      </c>
      <c r="I43" s="28">
        <v>46275</v>
      </c>
      <c r="J43" t="s">
        <v>9118</v>
      </c>
      <c r="K43" t="s">
        <v>30</v>
      </c>
    </row>
    <row r="44" spans="1:11">
      <c r="A44" s="3">
        <v>2511240</v>
      </c>
      <c r="B44" t="s">
        <v>3905</v>
      </c>
      <c r="C44" t="s">
        <v>8</v>
      </c>
      <c r="D44" t="s">
        <v>9108</v>
      </c>
      <c r="E44" s="28">
        <v>46163</v>
      </c>
      <c r="F44" t="s">
        <v>9109</v>
      </c>
      <c r="G44" s="3" t="s">
        <v>9143</v>
      </c>
      <c r="H44" t="s">
        <v>191</v>
      </c>
      <c r="I44" s="28">
        <v>46275</v>
      </c>
      <c r="J44" t="s">
        <v>9118</v>
      </c>
      <c r="K44" t="s">
        <v>30</v>
      </c>
    </row>
    <row r="45" spans="1:11">
      <c r="A45" s="3">
        <v>2511242</v>
      </c>
      <c r="B45" t="s">
        <v>5780</v>
      </c>
      <c r="C45" t="s">
        <v>8</v>
      </c>
      <c r="D45" t="s">
        <v>9108</v>
      </c>
      <c r="E45" s="28">
        <v>46163</v>
      </c>
      <c r="F45" t="s">
        <v>9109</v>
      </c>
      <c r="G45" s="3" t="s">
        <v>9143</v>
      </c>
      <c r="H45" t="s">
        <v>191</v>
      </c>
      <c r="I45" s="28">
        <v>46275</v>
      </c>
      <c r="J45" t="s">
        <v>9118</v>
      </c>
      <c r="K45" t="s">
        <v>30</v>
      </c>
    </row>
    <row r="46" spans="1:11">
      <c r="A46" s="3">
        <v>2511244</v>
      </c>
      <c r="B46" t="s">
        <v>5051</v>
      </c>
      <c r="C46" t="s">
        <v>7</v>
      </c>
      <c r="D46" t="s">
        <v>9108</v>
      </c>
      <c r="E46" s="28">
        <v>46163</v>
      </c>
      <c r="F46" t="s">
        <v>9109</v>
      </c>
      <c r="G46" s="3" t="s">
        <v>9143</v>
      </c>
      <c r="H46" t="s">
        <v>191</v>
      </c>
      <c r="I46" s="28">
        <v>46275</v>
      </c>
      <c r="J46" t="s">
        <v>9118</v>
      </c>
      <c r="K46" t="s">
        <v>30</v>
      </c>
    </row>
    <row r="47" spans="1:11">
      <c r="A47" s="3">
        <v>2511246</v>
      </c>
      <c r="B47" t="s">
        <v>8693</v>
      </c>
      <c r="C47" t="s">
        <v>8</v>
      </c>
      <c r="D47" t="s">
        <v>9108</v>
      </c>
      <c r="E47" s="28">
        <v>46163</v>
      </c>
      <c r="F47" t="s">
        <v>9109</v>
      </c>
      <c r="G47" s="3" t="s">
        <v>9143</v>
      </c>
      <c r="H47" t="s">
        <v>191</v>
      </c>
      <c r="I47" s="28">
        <v>46275</v>
      </c>
      <c r="J47" t="s">
        <v>9118</v>
      </c>
      <c r="K47" t="s">
        <v>30</v>
      </c>
    </row>
    <row r="48" spans="1:11">
      <c r="A48" s="3">
        <v>2511247</v>
      </c>
      <c r="B48" t="s">
        <v>5169</v>
      </c>
      <c r="C48" t="s">
        <v>8</v>
      </c>
      <c r="D48" t="s">
        <v>9108</v>
      </c>
      <c r="E48" s="28">
        <v>46163</v>
      </c>
      <c r="F48" t="s">
        <v>9109</v>
      </c>
      <c r="G48" s="3" t="s">
        <v>9143</v>
      </c>
      <c r="H48" t="s">
        <v>191</v>
      </c>
      <c r="I48" s="28">
        <v>46275</v>
      </c>
      <c r="J48" t="s">
        <v>9118</v>
      </c>
      <c r="K48" t="s">
        <v>30</v>
      </c>
    </row>
    <row r="49" spans="1:11">
      <c r="A49" s="3">
        <v>2511248</v>
      </c>
      <c r="B49" t="s">
        <v>8688</v>
      </c>
      <c r="C49" t="s">
        <v>8</v>
      </c>
      <c r="D49" t="s">
        <v>9108</v>
      </c>
      <c r="E49" s="28">
        <v>46163</v>
      </c>
      <c r="F49" t="s">
        <v>9109</v>
      </c>
      <c r="G49" s="3" t="s">
        <v>9143</v>
      </c>
      <c r="H49" t="s">
        <v>191</v>
      </c>
      <c r="I49" s="28">
        <v>46275</v>
      </c>
      <c r="J49" t="s">
        <v>9118</v>
      </c>
      <c r="K49" t="s">
        <v>30</v>
      </c>
    </row>
    <row r="50" spans="1:11">
      <c r="A50" s="3">
        <v>2511249</v>
      </c>
      <c r="B50" t="s">
        <v>3076</v>
      </c>
      <c r="C50" t="s">
        <v>7</v>
      </c>
      <c r="D50" t="s">
        <v>9108</v>
      </c>
      <c r="E50" s="28">
        <v>46163</v>
      </c>
      <c r="F50" t="s">
        <v>9109</v>
      </c>
      <c r="G50" s="3" t="s">
        <v>9143</v>
      </c>
      <c r="H50" t="s">
        <v>191</v>
      </c>
      <c r="I50" s="28">
        <v>46275</v>
      </c>
      <c r="J50" t="s">
        <v>9118</v>
      </c>
      <c r="K50" t="s">
        <v>30</v>
      </c>
    </row>
    <row r="51" spans="1:11">
      <c r="A51" s="3">
        <v>2511250</v>
      </c>
      <c r="B51" t="s">
        <v>5060</v>
      </c>
      <c r="C51" t="s">
        <v>7</v>
      </c>
      <c r="D51" t="s">
        <v>9108</v>
      </c>
      <c r="E51" s="28">
        <v>46163</v>
      </c>
      <c r="F51" t="s">
        <v>9109</v>
      </c>
      <c r="G51" s="3" t="s">
        <v>9143</v>
      </c>
      <c r="H51" t="s">
        <v>191</v>
      </c>
      <c r="I51" s="28">
        <v>46275</v>
      </c>
      <c r="J51" t="s">
        <v>9118</v>
      </c>
      <c r="K51" t="s">
        <v>30</v>
      </c>
    </row>
    <row r="52" spans="1:11">
      <c r="A52" s="3">
        <v>2511254</v>
      </c>
      <c r="B52" t="s">
        <v>8397</v>
      </c>
      <c r="C52" t="s">
        <v>8</v>
      </c>
      <c r="D52" t="s">
        <v>9108</v>
      </c>
      <c r="E52" s="28">
        <v>46163</v>
      </c>
      <c r="F52" t="s">
        <v>9109</v>
      </c>
      <c r="G52" s="3" t="s">
        <v>9143</v>
      </c>
      <c r="H52" t="s">
        <v>191</v>
      </c>
      <c r="I52" s="28">
        <v>46275</v>
      </c>
      <c r="J52" t="s">
        <v>9118</v>
      </c>
      <c r="K52" t="s">
        <v>30</v>
      </c>
    </row>
    <row r="53" spans="1:11">
      <c r="A53" s="3">
        <v>2511258</v>
      </c>
      <c r="B53" t="s">
        <v>9147</v>
      </c>
      <c r="C53" t="s">
        <v>7</v>
      </c>
      <c r="D53" t="s">
        <v>9108</v>
      </c>
      <c r="E53" s="28">
        <v>46163</v>
      </c>
      <c r="F53" t="s">
        <v>9109</v>
      </c>
      <c r="G53" s="3" t="s">
        <v>9143</v>
      </c>
      <c r="H53" t="s">
        <v>191</v>
      </c>
      <c r="I53" s="28">
        <v>46275</v>
      </c>
      <c r="J53" t="s">
        <v>9118</v>
      </c>
      <c r="K53" t="s">
        <v>30</v>
      </c>
    </row>
    <row r="54" spans="1:11">
      <c r="A54" s="3">
        <v>2511259</v>
      </c>
      <c r="B54" t="s">
        <v>5205</v>
      </c>
      <c r="C54" t="s">
        <v>8</v>
      </c>
      <c r="D54" t="s">
        <v>9108</v>
      </c>
      <c r="E54" s="28">
        <v>46163</v>
      </c>
      <c r="F54" t="s">
        <v>9109</v>
      </c>
      <c r="G54" s="3" t="s">
        <v>9143</v>
      </c>
      <c r="H54" t="s">
        <v>191</v>
      </c>
      <c r="I54" s="28">
        <v>46275</v>
      </c>
      <c r="J54" t="s">
        <v>9118</v>
      </c>
      <c r="K54" t="s">
        <v>30</v>
      </c>
    </row>
    <row r="55" spans="1:11">
      <c r="A55" s="3">
        <v>2511260</v>
      </c>
      <c r="B55" t="s">
        <v>1366</v>
      </c>
      <c r="C55" t="s">
        <v>8</v>
      </c>
      <c r="D55" t="s">
        <v>9108</v>
      </c>
      <c r="E55" s="28">
        <v>46163</v>
      </c>
      <c r="F55" t="s">
        <v>9109</v>
      </c>
      <c r="G55" s="3" t="s">
        <v>9143</v>
      </c>
      <c r="H55" t="s">
        <v>191</v>
      </c>
      <c r="I55" s="28">
        <v>46275</v>
      </c>
      <c r="J55" t="s">
        <v>9118</v>
      </c>
      <c r="K55" t="s">
        <v>30</v>
      </c>
    </row>
    <row r="56" spans="1:11">
      <c r="A56" s="3">
        <v>2511267</v>
      </c>
      <c r="B56" t="s">
        <v>2021</v>
      </c>
      <c r="C56" t="s">
        <v>8</v>
      </c>
      <c r="D56" t="s">
        <v>9108</v>
      </c>
      <c r="E56" s="28">
        <v>46163</v>
      </c>
      <c r="F56" t="s">
        <v>9109</v>
      </c>
      <c r="G56" s="3" t="s">
        <v>9143</v>
      </c>
      <c r="H56" t="s">
        <v>191</v>
      </c>
      <c r="I56" s="28">
        <v>46275</v>
      </c>
      <c r="J56" t="s">
        <v>9118</v>
      </c>
      <c r="K56" t="s">
        <v>30</v>
      </c>
    </row>
    <row r="57" spans="1:11">
      <c r="A57" s="3">
        <v>2511269</v>
      </c>
      <c r="B57" t="s">
        <v>4086</v>
      </c>
      <c r="C57" t="s">
        <v>8</v>
      </c>
      <c r="D57" t="s">
        <v>9108</v>
      </c>
      <c r="E57" s="28">
        <v>46163</v>
      </c>
      <c r="F57" t="s">
        <v>9109</v>
      </c>
      <c r="G57" s="3" t="s">
        <v>9143</v>
      </c>
      <c r="H57" t="s">
        <v>191</v>
      </c>
      <c r="I57" s="28">
        <v>46275</v>
      </c>
      <c r="J57" t="s">
        <v>9118</v>
      </c>
      <c r="K57" t="s">
        <v>30</v>
      </c>
    </row>
    <row r="58" spans="1:11">
      <c r="A58" s="3">
        <v>2511270</v>
      </c>
      <c r="B58" t="s">
        <v>7746</v>
      </c>
      <c r="C58" t="s">
        <v>8</v>
      </c>
      <c r="D58" t="s">
        <v>9108</v>
      </c>
      <c r="E58" s="28">
        <v>46163</v>
      </c>
      <c r="F58" t="s">
        <v>9109</v>
      </c>
      <c r="G58" s="3" t="s">
        <v>9143</v>
      </c>
      <c r="H58" t="s">
        <v>191</v>
      </c>
      <c r="I58" s="28">
        <v>46275</v>
      </c>
      <c r="J58" t="s">
        <v>9118</v>
      </c>
      <c r="K58" t="s">
        <v>30</v>
      </c>
    </row>
    <row r="59" spans="1:11">
      <c r="A59" s="3">
        <v>2511271</v>
      </c>
      <c r="B59" t="s">
        <v>4474</v>
      </c>
      <c r="C59" t="s">
        <v>8</v>
      </c>
      <c r="D59" t="s">
        <v>9108</v>
      </c>
      <c r="E59" s="28">
        <v>46163</v>
      </c>
      <c r="F59" t="s">
        <v>9109</v>
      </c>
      <c r="G59" s="3" t="s">
        <v>9143</v>
      </c>
      <c r="H59" t="s">
        <v>191</v>
      </c>
      <c r="I59" s="28">
        <v>46275</v>
      </c>
      <c r="J59" t="s">
        <v>9118</v>
      </c>
      <c r="K59" t="s">
        <v>30</v>
      </c>
    </row>
    <row r="60" spans="1:11">
      <c r="A60" s="3">
        <v>2511272</v>
      </c>
      <c r="B60" t="s">
        <v>9148</v>
      </c>
      <c r="C60" t="s">
        <v>8</v>
      </c>
      <c r="D60" t="s">
        <v>9108</v>
      </c>
      <c r="E60" s="28">
        <v>46163</v>
      </c>
      <c r="F60" t="s">
        <v>9109</v>
      </c>
      <c r="G60" s="3" t="s">
        <v>9143</v>
      </c>
      <c r="H60" t="s">
        <v>191</v>
      </c>
      <c r="I60" s="28">
        <v>46275</v>
      </c>
      <c r="J60" t="s">
        <v>9118</v>
      </c>
      <c r="K60" t="s">
        <v>30</v>
      </c>
    </row>
    <row r="61" spans="1:11">
      <c r="A61" s="3">
        <v>2511276</v>
      </c>
      <c r="B61" t="s">
        <v>4332</v>
      </c>
      <c r="C61" t="s">
        <v>7</v>
      </c>
      <c r="D61" t="s">
        <v>9108</v>
      </c>
      <c r="E61" s="28">
        <v>46163</v>
      </c>
      <c r="F61" t="s">
        <v>9109</v>
      </c>
      <c r="G61" s="3" t="s">
        <v>9143</v>
      </c>
      <c r="H61" t="s">
        <v>191</v>
      </c>
      <c r="I61" s="28">
        <v>46280</v>
      </c>
      <c r="J61" t="s">
        <v>9118</v>
      </c>
      <c r="K61" t="s">
        <v>30</v>
      </c>
    </row>
    <row r="62" spans="1:11">
      <c r="A62" s="3">
        <v>2511277</v>
      </c>
      <c r="B62" t="s">
        <v>7161</v>
      </c>
      <c r="C62" t="s">
        <v>8</v>
      </c>
      <c r="D62" t="s">
        <v>9108</v>
      </c>
      <c r="E62" s="28">
        <v>46163</v>
      </c>
      <c r="F62" t="s">
        <v>9109</v>
      </c>
      <c r="G62" s="3" t="s">
        <v>9143</v>
      </c>
      <c r="H62" t="s">
        <v>191</v>
      </c>
      <c r="I62" s="28">
        <v>46280</v>
      </c>
      <c r="J62" t="s">
        <v>9118</v>
      </c>
      <c r="K62" t="s">
        <v>30</v>
      </c>
    </row>
    <row r="63" spans="1:11">
      <c r="A63" s="3">
        <v>2511278</v>
      </c>
      <c r="B63" t="s">
        <v>1681</v>
      </c>
      <c r="C63" t="s">
        <v>8</v>
      </c>
      <c r="D63" t="s">
        <v>9108</v>
      </c>
      <c r="E63" s="28">
        <v>46163</v>
      </c>
      <c r="F63" t="s">
        <v>9109</v>
      </c>
      <c r="G63" s="3" t="s">
        <v>9143</v>
      </c>
      <c r="H63" t="s">
        <v>191</v>
      </c>
      <c r="I63" s="28">
        <v>46280</v>
      </c>
      <c r="J63" t="s">
        <v>9118</v>
      </c>
      <c r="K63" t="s">
        <v>30</v>
      </c>
    </row>
    <row r="64" spans="1:11">
      <c r="A64" s="3">
        <v>2511279</v>
      </c>
      <c r="B64" t="s">
        <v>5154</v>
      </c>
      <c r="C64" t="s">
        <v>8</v>
      </c>
      <c r="D64" t="s">
        <v>9108</v>
      </c>
      <c r="E64" s="28">
        <v>46163</v>
      </c>
      <c r="F64" t="s">
        <v>9109</v>
      </c>
      <c r="G64" s="3" t="s">
        <v>9143</v>
      </c>
      <c r="H64" t="s">
        <v>191</v>
      </c>
      <c r="I64" s="28">
        <v>46280</v>
      </c>
      <c r="J64" t="s">
        <v>9118</v>
      </c>
      <c r="K64" t="s">
        <v>30</v>
      </c>
    </row>
    <row r="65" spans="1:11">
      <c r="A65" s="3">
        <v>2511281</v>
      </c>
      <c r="B65" t="s">
        <v>4689</v>
      </c>
      <c r="C65" t="s">
        <v>8</v>
      </c>
      <c r="D65" t="s">
        <v>9108</v>
      </c>
      <c r="E65" s="28">
        <v>46163</v>
      </c>
      <c r="F65" t="s">
        <v>9109</v>
      </c>
      <c r="G65" s="3" t="s">
        <v>9143</v>
      </c>
      <c r="H65" t="s">
        <v>191</v>
      </c>
      <c r="I65" s="28">
        <v>46280</v>
      </c>
      <c r="J65" t="s">
        <v>9118</v>
      </c>
      <c r="K65" t="s">
        <v>30</v>
      </c>
    </row>
    <row r="66" spans="1:11">
      <c r="A66" s="3">
        <v>2511284</v>
      </c>
      <c r="B66" t="s">
        <v>5250</v>
      </c>
      <c r="C66" t="s">
        <v>8</v>
      </c>
      <c r="D66" t="s">
        <v>9108</v>
      </c>
      <c r="E66" s="28">
        <v>46163</v>
      </c>
      <c r="F66" t="s">
        <v>9109</v>
      </c>
      <c r="G66" s="3" t="s">
        <v>9143</v>
      </c>
      <c r="H66" t="s">
        <v>191</v>
      </c>
      <c r="I66" s="28">
        <v>46280</v>
      </c>
      <c r="J66" t="s">
        <v>9118</v>
      </c>
      <c r="K66" t="s">
        <v>30</v>
      </c>
    </row>
    <row r="67" spans="1:11">
      <c r="A67" s="3">
        <v>2511285</v>
      </c>
      <c r="B67" t="s">
        <v>7932</v>
      </c>
      <c r="C67" t="s">
        <v>8</v>
      </c>
      <c r="D67" t="s">
        <v>9108</v>
      </c>
      <c r="E67" s="28">
        <v>46163</v>
      </c>
      <c r="F67" t="s">
        <v>9109</v>
      </c>
      <c r="G67" s="3" t="s">
        <v>9143</v>
      </c>
      <c r="H67" t="s">
        <v>191</v>
      </c>
      <c r="I67" s="28">
        <v>46280</v>
      </c>
      <c r="J67" t="s">
        <v>9118</v>
      </c>
      <c r="K67" t="s">
        <v>30</v>
      </c>
    </row>
    <row r="68" spans="1:11">
      <c r="A68" s="3">
        <v>2511290</v>
      </c>
      <c r="B68" t="s">
        <v>9149</v>
      </c>
      <c r="C68" t="s">
        <v>8</v>
      </c>
      <c r="D68" t="s">
        <v>9108</v>
      </c>
      <c r="E68" s="28">
        <v>46163</v>
      </c>
      <c r="F68" t="s">
        <v>9109</v>
      </c>
      <c r="G68" s="3" t="s">
        <v>9143</v>
      </c>
      <c r="H68" t="s">
        <v>191</v>
      </c>
      <c r="I68" s="28">
        <v>46280</v>
      </c>
      <c r="J68" t="s">
        <v>9118</v>
      </c>
      <c r="K68" t="s">
        <v>30</v>
      </c>
    </row>
    <row r="69" spans="1:11">
      <c r="A69" s="3">
        <v>2511291</v>
      </c>
      <c r="B69" t="s">
        <v>5149</v>
      </c>
      <c r="C69" t="s">
        <v>8</v>
      </c>
      <c r="D69" t="s">
        <v>9108</v>
      </c>
      <c r="E69" s="28">
        <v>46163</v>
      </c>
      <c r="F69" t="s">
        <v>9109</v>
      </c>
      <c r="G69" s="3" t="s">
        <v>9143</v>
      </c>
      <c r="H69" t="s">
        <v>191</v>
      </c>
      <c r="I69" s="28">
        <v>46280</v>
      </c>
      <c r="J69" t="s">
        <v>9118</v>
      </c>
      <c r="K69" t="s">
        <v>30</v>
      </c>
    </row>
    <row r="70" spans="1:11">
      <c r="A70" s="3">
        <v>2511292</v>
      </c>
      <c r="B70" t="s">
        <v>5163</v>
      </c>
      <c r="C70" t="s">
        <v>8</v>
      </c>
      <c r="D70" t="s">
        <v>9108</v>
      </c>
      <c r="E70" s="28">
        <v>46163</v>
      </c>
      <c r="F70" t="s">
        <v>9109</v>
      </c>
      <c r="G70" s="3" t="s">
        <v>9143</v>
      </c>
      <c r="H70" t="s">
        <v>191</v>
      </c>
      <c r="I70" s="28">
        <v>46280</v>
      </c>
      <c r="J70" t="s">
        <v>9118</v>
      </c>
      <c r="K70" t="s">
        <v>30</v>
      </c>
    </row>
    <row r="71" spans="1:11">
      <c r="A71" s="3">
        <v>2511296</v>
      </c>
      <c r="B71" t="s">
        <v>1370</v>
      </c>
      <c r="C71" t="s">
        <v>8</v>
      </c>
      <c r="D71" t="s">
        <v>9108</v>
      </c>
      <c r="E71" s="28">
        <v>46163</v>
      </c>
      <c r="F71" t="s">
        <v>9109</v>
      </c>
      <c r="G71" s="3" t="s">
        <v>9143</v>
      </c>
      <c r="H71" t="s">
        <v>191</v>
      </c>
      <c r="I71" s="28">
        <v>46280</v>
      </c>
      <c r="J71" t="s">
        <v>9118</v>
      </c>
      <c r="K71" t="s">
        <v>30</v>
      </c>
    </row>
    <row r="72" spans="1:11">
      <c r="A72" s="3">
        <v>2511298</v>
      </c>
      <c r="B72" t="s">
        <v>8986</v>
      </c>
      <c r="C72" t="s">
        <v>8</v>
      </c>
      <c r="D72" t="s">
        <v>9108</v>
      </c>
      <c r="E72" s="28">
        <v>46163</v>
      </c>
      <c r="F72" t="s">
        <v>9109</v>
      </c>
      <c r="G72" s="3" t="s">
        <v>9143</v>
      </c>
      <c r="H72" t="s">
        <v>191</v>
      </c>
      <c r="I72" s="28">
        <v>46280</v>
      </c>
      <c r="J72" t="s">
        <v>9118</v>
      </c>
      <c r="K72" t="s">
        <v>30</v>
      </c>
    </row>
    <row r="73" spans="1:11">
      <c r="A73" s="3">
        <v>2511301</v>
      </c>
      <c r="B73" t="s">
        <v>9150</v>
      </c>
      <c r="C73" t="s">
        <v>8</v>
      </c>
      <c r="D73" t="s">
        <v>9108</v>
      </c>
      <c r="E73" s="28">
        <v>46163</v>
      </c>
      <c r="F73" t="s">
        <v>9109</v>
      </c>
      <c r="G73" s="3" t="s">
        <v>9143</v>
      </c>
      <c r="H73" t="s">
        <v>191</v>
      </c>
      <c r="I73" s="28">
        <v>46280</v>
      </c>
      <c r="J73" t="s">
        <v>9118</v>
      </c>
      <c r="K73" t="s">
        <v>30</v>
      </c>
    </row>
    <row r="74" spans="1:11">
      <c r="A74" s="3">
        <v>2511302</v>
      </c>
      <c r="B74" t="s">
        <v>9151</v>
      </c>
      <c r="C74" t="s">
        <v>8</v>
      </c>
      <c r="D74" t="s">
        <v>9108</v>
      </c>
      <c r="E74" s="28">
        <v>46163</v>
      </c>
      <c r="F74" t="s">
        <v>9109</v>
      </c>
      <c r="G74" s="3" t="s">
        <v>9143</v>
      </c>
      <c r="H74" t="s">
        <v>191</v>
      </c>
      <c r="I74" s="28">
        <v>46280</v>
      </c>
      <c r="J74" t="s">
        <v>9118</v>
      </c>
      <c r="K74" t="s">
        <v>30</v>
      </c>
    </row>
    <row r="75" spans="1:11">
      <c r="A75" s="3">
        <v>2511310</v>
      </c>
      <c r="B75" t="s">
        <v>8645</v>
      </c>
      <c r="C75" t="s">
        <v>7</v>
      </c>
      <c r="D75" t="s">
        <v>9108</v>
      </c>
      <c r="E75" s="28">
        <v>46163</v>
      </c>
      <c r="F75" t="s">
        <v>9109</v>
      </c>
      <c r="G75" s="3" t="s">
        <v>9143</v>
      </c>
      <c r="H75" t="s">
        <v>191</v>
      </c>
      <c r="I75" s="28">
        <v>46280</v>
      </c>
      <c r="J75" t="s">
        <v>9118</v>
      </c>
      <c r="K75" t="s">
        <v>30</v>
      </c>
    </row>
    <row r="76" spans="1:11">
      <c r="A76" s="3">
        <v>2511311</v>
      </c>
      <c r="B76" t="s">
        <v>9152</v>
      </c>
      <c r="C76" t="s">
        <v>8</v>
      </c>
      <c r="D76" t="s">
        <v>9108</v>
      </c>
      <c r="E76" s="28">
        <v>46163</v>
      </c>
      <c r="F76" t="s">
        <v>9109</v>
      </c>
      <c r="G76" s="3" t="s">
        <v>9143</v>
      </c>
      <c r="H76" t="s">
        <v>191</v>
      </c>
      <c r="I76" s="28">
        <v>46280</v>
      </c>
      <c r="J76" t="s">
        <v>9118</v>
      </c>
      <c r="K76" t="s">
        <v>30</v>
      </c>
    </row>
    <row r="77" spans="1:11">
      <c r="A77" s="3">
        <v>2511314</v>
      </c>
      <c r="B77" t="s">
        <v>9153</v>
      </c>
      <c r="C77" t="s">
        <v>7</v>
      </c>
      <c r="D77" t="s">
        <v>9108</v>
      </c>
      <c r="E77" s="28">
        <v>46163</v>
      </c>
      <c r="F77" t="s">
        <v>9109</v>
      </c>
      <c r="G77" s="3" t="s">
        <v>9143</v>
      </c>
      <c r="H77" t="s">
        <v>191</v>
      </c>
      <c r="I77" s="28">
        <v>46280</v>
      </c>
      <c r="J77" t="s">
        <v>9118</v>
      </c>
      <c r="K77" t="s">
        <v>30</v>
      </c>
    </row>
    <row r="78" spans="1:11">
      <c r="A78" s="3">
        <v>2511315</v>
      </c>
      <c r="B78" t="s">
        <v>3938</v>
      </c>
      <c r="C78" t="s">
        <v>8</v>
      </c>
      <c r="D78" t="s">
        <v>9108</v>
      </c>
      <c r="E78" s="28">
        <v>46163</v>
      </c>
      <c r="F78" t="s">
        <v>9109</v>
      </c>
      <c r="G78" s="3" t="s">
        <v>9143</v>
      </c>
      <c r="H78" t="s">
        <v>191</v>
      </c>
      <c r="I78" s="28">
        <v>46280</v>
      </c>
      <c r="J78" t="s">
        <v>9118</v>
      </c>
      <c r="K78" t="s">
        <v>30</v>
      </c>
    </row>
    <row r="79" spans="1:11">
      <c r="A79" s="3">
        <v>2511316</v>
      </c>
      <c r="B79" t="s">
        <v>5888</v>
      </c>
      <c r="C79" t="s">
        <v>8</v>
      </c>
      <c r="D79" t="s">
        <v>9108</v>
      </c>
      <c r="E79" s="28">
        <v>46163</v>
      </c>
      <c r="F79" t="s">
        <v>9109</v>
      </c>
      <c r="G79" s="3" t="s">
        <v>9143</v>
      </c>
      <c r="H79" t="s">
        <v>191</v>
      </c>
      <c r="I79" s="28">
        <v>46280</v>
      </c>
      <c r="J79" t="s">
        <v>9118</v>
      </c>
      <c r="K79" t="s">
        <v>30</v>
      </c>
    </row>
    <row r="80" spans="1:11">
      <c r="A80" s="3">
        <v>2511317</v>
      </c>
      <c r="B80" t="s">
        <v>2800</v>
      </c>
      <c r="C80" t="s">
        <v>7</v>
      </c>
      <c r="D80" t="s">
        <v>9108</v>
      </c>
      <c r="E80" s="28">
        <v>46163</v>
      </c>
      <c r="F80" t="s">
        <v>9109</v>
      </c>
      <c r="G80" s="3" t="s">
        <v>9143</v>
      </c>
      <c r="H80" t="s">
        <v>191</v>
      </c>
      <c r="I80" s="28">
        <v>46280</v>
      </c>
      <c r="J80" t="s">
        <v>9118</v>
      </c>
      <c r="K80" t="s">
        <v>30</v>
      </c>
    </row>
    <row r="81" spans="1:11">
      <c r="A81" s="3">
        <v>2511338</v>
      </c>
      <c r="B81" t="s">
        <v>7219</v>
      </c>
      <c r="C81" t="s">
        <v>7</v>
      </c>
      <c r="D81" t="s">
        <v>9108</v>
      </c>
      <c r="E81" s="28">
        <v>46163</v>
      </c>
      <c r="F81" t="s">
        <v>9109</v>
      </c>
      <c r="G81" s="3" t="s">
        <v>9143</v>
      </c>
      <c r="H81" t="s">
        <v>191</v>
      </c>
      <c r="I81" s="28">
        <v>46280</v>
      </c>
      <c r="J81" t="s">
        <v>9118</v>
      </c>
      <c r="K81" t="s">
        <v>30</v>
      </c>
    </row>
    <row r="82" spans="1:11">
      <c r="A82" s="3">
        <v>2512287</v>
      </c>
      <c r="B82" t="s">
        <v>2821</v>
      </c>
      <c r="C82" t="s">
        <v>7</v>
      </c>
      <c r="D82" t="s">
        <v>9108</v>
      </c>
      <c r="E82" s="28">
        <v>46170</v>
      </c>
      <c r="F82" t="s">
        <v>9109</v>
      </c>
      <c r="G82" s="3" t="s">
        <v>9154</v>
      </c>
      <c r="H82" t="s">
        <v>424</v>
      </c>
      <c r="I82" s="28">
        <v>46282</v>
      </c>
      <c r="J82" t="s">
        <v>9118</v>
      </c>
      <c r="K82" t="s">
        <v>30</v>
      </c>
    </row>
    <row r="83" spans="1:11">
      <c r="A83" s="3">
        <v>2512288</v>
      </c>
      <c r="B83" t="s">
        <v>9155</v>
      </c>
      <c r="C83" t="s">
        <v>8</v>
      </c>
      <c r="D83" t="s">
        <v>9108</v>
      </c>
      <c r="E83" s="28">
        <v>46170</v>
      </c>
      <c r="F83" t="s">
        <v>9109</v>
      </c>
      <c r="G83" s="3" t="s">
        <v>9156</v>
      </c>
      <c r="H83" t="s">
        <v>424</v>
      </c>
      <c r="I83" s="28">
        <v>46282</v>
      </c>
      <c r="J83" t="s">
        <v>9118</v>
      </c>
      <c r="K83" t="s">
        <v>30</v>
      </c>
    </row>
    <row r="84" spans="1:11">
      <c r="A84" s="3">
        <v>2512289</v>
      </c>
      <c r="B84" t="s">
        <v>2130</v>
      </c>
      <c r="C84" t="s">
        <v>8</v>
      </c>
      <c r="D84" t="s">
        <v>9108</v>
      </c>
      <c r="E84" s="28">
        <v>46170</v>
      </c>
      <c r="F84" t="s">
        <v>9109</v>
      </c>
      <c r="G84" s="3" t="s">
        <v>9154</v>
      </c>
      <c r="H84" t="s">
        <v>424</v>
      </c>
      <c r="I84" s="28">
        <v>46282</v>
      </c>
      <c r="J84" t="s">
        <v>9118</v>
      </c>
      <c r="K84" t="s">
        <v>30</v>
      </c>
    </row>
    <row r="85" spans="1:11">
      <c r="A85" s="3">
        <v>2512290</v>
      </c>
      <c r="B85" t="s">
        <v>8800</v>
      </c>
      <c r="C85" t="s">
        <v>8</v>
      </c>
      <c r="D85" t="s">
        <v>9108</v>
      </c>
      <c r="E85" s="28">
        <v>46170</v>
      </c>
      <c r="F85" t="s">
        <v>9109</v>
      </c>
      <c r="G85" s="3" t="s">
        <v>9154</v>
      </c>
      <c r="H85" t="s">
        <v>424</v>
      </c>
      <c r="I85" s="28">
        <v>46282</v>
      </c>
      <c r="J85" t="s">
        <v>9118</v>
      </c>
      <c r="K85" t="s">
        <v>30</v>
      </c>
    </row>
    <row r="86" spans="1:11">
      <c r="A86" s="3">
        <v>2512291</v>
      </c>
      <c r="B86" t="s">
        <v>9157</v>
      </c>
      <c r="C86" t="s">
        <v>8</v>
      </c>
      <c r="D86" t="s">
        <v>9108</v>
      </c>
      <c r="E86" s="28">
        <v>46170</v>
      </c>
      <c r="F86" t="s">
        <v>9109</v>
      </c>
      <c r="G86" s="3" t="s">
        <v>9154</v>
      </c>
      <c r="H86" t="s">
        <v>424</v>
      </c>
      <c r="I86" s="28">
        <v>46282</v>
      </c>
      <c r="J86" t="s">
        <v>9118</v>
      </c>
      <c r="K86" t="s">
        <v>30</v>
      </c>
    </row>
    <row r="87" spans="1:11">
      <c r="A87" s="3">
        <v>2512292</v>
      </c>
      <c r="B87" t="s">
        <v>8798</v>
      </c>
      <c r="C87" t="s">
        <v>8</v>
      </c>
      <c r="D87" t="s">
        <v>9108</v>
      </c>
      <c r="E87" s="28">
        <v>46170</v>
      </c>
      <c r="F87" t="s">
        <v>9109</v>
      </c>
      <c r="G87" s="3" t="s">
        <v>9156</v>
      </c>
      <c r="H87" t="s">
        <v>424</v>
      </c>
      <c r="I87" s="28">
        <v>46282</v>
      </c>
      <c r="J87" t="s">
        <v>9118</v>
      </c>
      <c r="K87" t="s">
        <v>30</v>
      </c>
    </row>
    <row r="88" spans="1:11">
      <c r="A88" s="3">
        <v>2512293</v>
      </c>
      <c r="B88" t="s">
        <v>9158</v>
      </c>
      <c r="C88" t="s">
        <v>7</v>
      </c>
      <c r="D88" t="s">
        <v>9108</v>
      </c>
      <c r="E88" s="28">
        <v>46170</v>
      </c>
      <c r="F88" t="s">
        <v>9109</v>
      </c>
      <c r="G88" s="3" t="s">
        <v>9154</v>
      </c>
      <c r="H88" t="s">
        <v>424</v>
      </c>
      <c r="I88" s="28">
        <v>46282</v>
      </c>
      <c r="J88" t="s">
        <v>9118</v>
      </c>
      <c r="K88" t="s">
        <v>30</v>
      </c>
    </row>
    <row r="89" spans="1:11">
      <c r="A89" s="3">
        <v>2512294</v>
      </c>
      <c r="B89" t="s">
        <v>1472</v>
      </c>
      <c r="C89" t="s">
        <v>8</v>
      </c>
      <c r="D89" t="s">
        <v>9108</v>
      </c>
      <c r="E89" s="28">
        <v>46170</v>
      </c>
      <c r="F89" t="s">
        <v>9109</v>
      </c>
      <c r="G89" s="3" t="s">
        <v>9156</v>
      </c>
      <c r="H89" t="s">
        <v>424</v>
      </c>
      <c r="I89" s="28">
        <v>46282</v>
      </c>
      <c r="J89" t="s">
        <v>9118</v>
      </c>
      <c r="K89" t="s">
        <v>30</v>
      </c>
    </row>
    <row r="90" spans="1:11">
      <c r="A90" s="3">
        <v>2512295</v>
      </c>
      <c r="B90" t="s">
        <v>3095</v>
      </c>
      <c r="C90" t="s">
        <v>7</v>
      </c>
      <c r="D90" t="s">
        <v>9108</v>
      </c>
      <c r="E90" s="28">
        <v>46170</v>
      </c>
      <c r="F90" t="s">
        <v>9109</v>
      </c>
      <c r="G90" s="3" t="s">
        <v>9154</v>
      </c>
      <c r="H90" t="s">
        <v>424</v>
      </c>
      <c r="I90" s="28">
        <v>46282</v>
      </c>
      <c r="J90" t="s">
        <v>9118</v>
      </c>
      <c r="K90" t="s">
        <v>30</v>
      </c>
    </row>
    <row r="91" spans="1:11">
      <c r="A91" s="3">
        <v>2512296</v>
      </c>
      <c r="B91" t="s">
        <v>9159</v>
      </c>
      <c r="C91" t="s">
        <v>8</v>
      </c>
      <c r="D91" t="s">
        <v>9108</v>
      </c>
      <c r="E91" s="28">
        <v>46170</v>
      </c>
      <c r="F91" t="s">
        <v>9109</v>
      </c>
      <c r="G91" s="3" t="s">
        <v>9154</v>
      </c>
      <c r="H91" t="s">
        <v>424</v>
      </c>
      <c r="I91" s="28">
        <v>46282</v>
      </c>
      <c r="J91" t="s">
        <v>9118</v>
      </c>
      <c r="K91" t="s">
        <v>30</v>
      </c>
    </row>
    <row r="92" spans="1:11">
      <c r="A92" s="3">
        <v>2512297</v>
      </c>
      <c r="B92" t="s">
        <v>6895</v>
      </c>
      <c r="C92" t="s">
        <v>8</v>
      </c>
      <c r="D92" t="s">
        <v>9108</v>
      </c>
      <c r="E92" s="28">
        <v>46170</v>
      </c>
      <c r="F92" t="s">
        <v>9109</v>
      </c>
      <c r="G92" s="3" t="s">
        <v>9156</v>
      </c>
      <c r="H92" t="s">
        <v>424</v>
      </c>
      <c r="I92" s="28">
        <v>46282</v>
      </c>
      <c r="J92" t="s">
        <v>9118</v>
      </c>
      <c r="K92" t="s">
        <v>30</v>
      </c>
    </row>
    <row r="93" spans="1:11">
      <c r="A93" s="3">
        <v>2512298</v>
      </c>
      <c r="B93" t="s">
        <v>5245</v>
      </c>
      <c r="C93" t="s">
        <v>8</v>
      </c>
      <c r="D93" t="s">
        <v>9108</v>
      </c>
      <c r="E93" s="28">
        <v>46170</v>
      </c>
      <c r="F93" t="s">
        <v>9109</v>
      </c>
      <c r="G93" s="3" t="s">
        <v>9154</v>
      </c>
      <c r="H93" t="s">
        <v>424</v>
      </c>
      <c r="I93" s="28">
        <v>46282</v>
      </c>
      <c r="J93" t="s">
        <v>9118</v>
      </c>
      <c r="K93" t="s">
        <v>30</v>
      </c>
    </row>
    <row r="94" spans="1:11">
      <c r="A94" s="3">
        <v>2512299</v>
      </c>
      <c r="B94" t="s">
        <v>6103</v>
      </c>
      <c r="C94" t="s">
        <v>7</v>
      </c>
      <c r="D94" t="s">
        <v>9108</v>
      </c>
      <c r="E94" s="28">
        <v>46170</v>
      </c>
      <c r="F94" t="s">
        <v>9109</v>
      </c>
      <c r="G94" s="3" t="s">
        <v>9154</v>
      </c>
      <c r="H94" t="s">
        <v>424</v>
      </c>
      <c r="I94" s="28">
        <v>46282</v>
      </c>
      <c r="J94" t="s">
        <v>9118</v>
      </c>
      <c r="K94" t="s">
        <v>30</v>
      </c>
    </row>
    <row r="95" spans="1:11">
      <c r="A95" s="3">
        <v>2512300</v>
      </c>
      <c r="B95" t="s">
        <v>1631</v>
      </c>
      <c r="C95" t="s">
        <v>7</v>
      </c>
      <c r="D95" t="s">
        <v>9108</v>
      </c>
      <c r="E95" s="28">
        <v>46170</v>
      </c>
      <c r="F95" t="s">
        <v>9109</v>
      </c>
      <c r="G95" s="3" t="s">
        <v>9156</v>
      </c>
      <c r="H95" t="s">
        <v>424</v>
      </c>
      <c r="I95" s="28">
        <v>46282</v>
      </c>
      <c r="J95" t="s">
        <v>9118</v>
      </c>
      <c r="K95" t="s">
        <v>30</v>
      </c>
    </row>
    <row r="96" spans="1:11">
      <c r="A96" s="3">
        <v>2512301</v>
      </c>
      <c r="B96" t="s">
        <v>2878</v>
      </c>
      <c r="C96" t="s">
        <v>8</v>
      </c>
      <c r="D96" t="s">
        <v>9108</v>
      </c>
      <c r="E96" s="28">
        <v>46170</v>
      </c>
      <c r="F96" t="s">
        <v>9109</v>
      </c>
      <c r="G96" s="3" t="s">
        <v>9154</v>
      </c>
      <c r="H96" t="s">
        <v>424</v>
      </c>
      <c r="I96" s="28">
        <v>46282</v>
      </c>
      <c r="J96" t="s">
        <v>9118</v>
      </c>
      <c r="K96" t="s">
        <v>30</v>
      </c>
    </row>
    <row r="97" spans="1:11">
      <c r="A97" s="3">
        <v>2512303</v>
      </c>
      <c r="B97" t="s">
        <v>5258</v>
      </c>
      <c r="C97" t="s">
        <v>8</v>
      </c>
      <c r="D97" t="s">
        <v>9108</v>
      </c>
      <c r="E97" s="28">
        <v>46170</v>
      </c>
      <c r="F97" t="s">
        <v>9109</v>
      </c>
      <c r="G97" s="3" t="s">
        <v>9154</v>
      </c>
      <c r="H97" t="s">
        <v>424</v>
      </c>
      <c r="I97" s="28">
        <v>46282</v>
      </c>
      <c r="J97" t="s">
        <v>9118</v>
      </c>
      <c r="K97" t="s">
        <v>30</v>
      </c>
    </row>
    <row r="98" spans="1:11">
      <c r="A98" s="3">
        <v>2512304</v>
      </c>
      <c r="B98" t="s">
        <v>1807</v>
      </c>
      <c r="C98" t="s">
        <v>8</v>
      </c>
      <c r="D98" t="s">
        <v>9108</v>
      </c>
      <c r="E98" s="28">
        <v>46170</v>
      </c>
      <c r="F98" t="s">
        <v>9109</v>
      </c>
      <c r="G98" s="3" t="s">
        <v>9156</v>
      </c>
      <c r="H98" t="s">
        <v>424</v>
      </c>
      <c r="I98" s="28">
        <v>46282</v>
      </c>
      <c r="J98" t="s">
        <v>9118</v>
      </c>
      <c r="K98" t="s">
        <v>30</v>
      </c>
    </row>
    <row r="99" spans="1:11">
      <c r="A99" s="3">
        <v>2512305</v>
      </c>
      <c r="B99" t="s">
        <v>9160</v>
      </c>
      <c r="C99" t="s">
        <v>8</v>
      </c>
      <c r="D99" t="s">
        <v>9108</v>
      </c>
      <c r="E99" s="28">
        <v>46170</v>
      </c>
      <c r="F99" t="s">
        <v>9109</v>
      </c>
      <c r="G99" s="3" t="s">
        <v>9156</v>
      </c>
      <c r="H99" t="s">
        <v>424</v>
      </c>
      <c r="I99" s="28">
        <v>46282</v>
      </c>
      <c r="J99" t="s">
        <v>9118</v>
      </c>
      <c r="K99" t="s">
        <v>30</v>
      </c>
    </row>
    <row r="100" spans="1:11">
      <c r="A100" s="3">
        <v>2512306</v>
      </c>
      <c r="B100" t="s">
        <v>2778</v>
      </c>
      <c r="C100" t="s">
        <v>7</v>
      </c>
      <c r="D100" t="s">
        <v>9108</v>
      </c>
      <c r="E100" s="28">
        <v>46170</v>
      </c>
      <c r="F100" t="s">
        <v>9109</v>
      </c>
      <c r="G100" s="3" t="s">
        <v>9156</v>
      </c>
      <c r="H100" t="s">
        <v>424</v>
      </c>
      <c r="I100" s="28">
        <v>46282</v>
      </c>
      <c r="J100" t="s">
        <v>9118</v>
      </c>
      <c r="K100" t="s">
        <v>30</v>
      </c>
    </row>
    <row r="101" spans="1:11">
      <c r="A101" s="3">
        <v>2512307</v>
      </c>
      <c r="B101" t="s">
        <v>5263</v>
      </c>
      <c r="C101" t="s">
        <v>8</v>
      </c>
      <c r="D101" t="s">
        <v>9108</v>
      </c>
      <c r="E101" s="28">
        <v>46170</v>
      </c>
      <c r="F101" t="s">
        <v>9109</v>
      </c>
      <c r="G101" s="3" t="s">
        <v>9156</v>
      </c>
      <c r="H101" t="s">
        <v>424</v>
      </c>
      <c r="I101" s="28">
        <v>46282</v>
      </c>
      <c r="J101" t="s">
        <v>9118</v>
      </c>
      <c r="K101" t="s">
        <v>30</v>
      </c>
    </row>
    <row r="102" spans="1:11">
      <c r="A102" s="3">
        <v>2512308</v>
      </c>
      <c r="B102" t="s">
        <v>3498</v>
      </c>
      <c r="C102" t="s">
        <v>7</v>
      </c>
      <c r="D102" t="s">
        <v>9108</v>
      </c>
      <c r="E102" s="28">
        <v>46170</v>
      </c>
      <c r="F102" t="s">
        <v>9109</v>
      </c>
      <c r="G102" s="3" t="s">
        <v>9156</v>
      </c>
      <c r="H102" t="s">
        <v>424</v>
      </c>
      <c r="I102" s="28">
        <v>46282</v>
      </c>
      <c r="J102" t="s">
        <v>9118</v>
      </c>
      <c r="K102" t="s">
        <v>30</v>
      </c>
    </row>
    <row r="103" spans="1:11">
      <c r="A103" s="3">
        <v>2512309</v>
      </c>
      <c r="B103" t="s">
        <v>8880</v>
      </c>
      <c r="C103" t="s">
        <v>8</v>
      </c>
      <c r="D103" t="s">
        <v>9108</v>
      </c>
      <c r="E103" s="28">
        <v>46170</v>
      </c>
      <c r="F103" t="s">
        <v>9109</v>
      </c>
      <c r="G103" s="3" t="s">
        <v>9156</v>
      </c>
      <c r="H103" t="s">
        <v>424</v>
      </c>
      <c r="I103" s="28">
        <v>46282</v>
      </c>
      <c r="J103" t="s">
        <v>9118</v>
      </c>
      <c r="K103" t="s">
        <v>30</v>
      </c>
    </row>
    <row r="104" spans="1:11">
      <c r="A104" s="3">
        <v>2512310</v>
      </c>
      <c r="B104" t="s">
        <v>5237</v>
      </c>
      <c r="C104" t="s">
        <v>8</v>
      </c>
      <c r="D104" t="s">
        <v>9108</v>
      </c>
      <c r="E104" s="28">
        <v>46170</v>
      </c>
      <c r="F104" t="s">
        <v>9109</v>
      </c>
      <c r="G104" s="3" t="s">
        <v>9156</v>
      </c>
      <c r="H104" t="s">
        <v>424</v>
      </c>
      <c r="I104" s="28">
        <v>46282</v>
      </c>
      <c r="J104" t="s">
        <v>9118</v>
      </c>
      <c r="K104" t="s">
        <v>30</v>
      </c>
    </row>
    <row r="105" spans="1:11">
      <c r="A105" s="3">
        <v>2512311</v>
      </c>
      <c r="B105" t="s">
        <v>7189</v>
      </c>
      <c r="C105" t="s">
        <v>7</v>
      </c>
      <c r="D105" t="s">
        <v>9108</v>
      </c>
      <c r="E105" s="28">
        <v>46170</v>
      </c>
      <c r="F105" t="s">
        <v>9109</v>
      </c>
      <c r="G105" s="3" t="s">
        <v>9156</v>
      </c>
      <c r="H105" t="s">
        <v>424</v>
      </c>
      <c r="I105" s="28">
        <v>46282</v>
      </c>
      <c r="J105" t="s">
        <v>9118</v>
      </c>
      <c r="K105" t="s">
        <v>30</v>
      </c>
    </row>
    <row r="106" spans="1:11">
      <c r="A106" s="3">
        <v>2512312</v>
      </c>
      <c r="B106" t="s">
        <v>7807</v>
      </c>
      <c r="C106" t="s">
        <v>8</v>
      </c>
      <c r="D106" t="s">
        <v>9108</v>
      </c>
      <c r="E106" s="28">
        <v>46170</v>
      </c>
      <c r="F106" t="s">
        <v>9109</v>
      </c>
      <c r="G106" s="3" t="s">
        <v>9156</v>
      </c>
      <c r="H106" t="s">
        <v>424</v>
      </c>
      <c r="I106" s="28">
        <v>46282</v>
      </c>
      <c r="J106" t="s">
        <v>9118</v>
      </c>
      <c r="K106" t="s">
        <v>30</v>
      </c>
    </row>
    <row r="107" spans="1:11">
      <c r="A107" s="3">
        <v>2512313</v>
      </c>
      <c r="B107" t="s">
        <v>2109</v>
      </c>
      <c r="C107" t="s">
        <v>7</v>
      </c>
      <c r="D107" t="s">
        <v>9108</v>
      </c>
      <c r="E107" s="28">
        <v>46170</v>
      </c>
      <c r="F107" t="s">
        <v>9109</v>
      </c>
      <c r="G107" s="3" t="s">
        <v>9156</v>
      </c>
      <c r="H107" t="s">
        <v>424</v>
      </c>
      <c r="I107" s="28">
        <v>46282</v>
      </c>
      <c r="J107" t="s">
        <v>9118</v>
      </c>
      <c r="K107" t="s">
        <v>30</v>
      </c>
    </row>
    <row r="108" spans="1:11">
      <c r="A108" s="3">
        <v>2512314</v>
      </c>
      <c r="B108" t="s">
        <v>3113</v>
      </c>
      <c r="C108" t="s">
        <v>7</v>
      </c>
      <c r="D108" t="s">
        <v>9108</v>
      </c>
      <c r="E108" s="28">
        <v>46170</v>
      </c>
      <c r="F108" t="s">
        <v>9109</v>
      </c>
      <c r="G108" s="3" t="s">
        <v>9156</v>
      </c>
      <c r="H108" t="s">
        <v>424</v>
      </c>
      <c r="I108" s="28">
        <v>46282</v>
      </c>
      <c r="J108" t="s">
        <v>9118</v>
      </c>
      <c r="K108" t="s">
        <v>30</v>
      </c>
    </row>
    <row r="109" spans="1:11">
      <c r="A109" s="3">
        <v>2512315</v>
      </c>
      <c r="B109" t="s">
        <v>1385</v>
      </c>
      <c r="C109" t="s">
        <v>8</v>
      </c>
      <c r="D109" t="s">
        <v>9108</v>
      </c>
      <c r="E109" s="28">
        <v>46170</v>
      </c>
      <c r="F109" t="s">
        <v>9109</v>
      </c>
      <c r="G109" s="3" t="s">
        <v>9154</v>
      </c>
      <c r="H109" t="s">
        <v>424</v>
      </c>
      <c r="I109" s="28">
        <v>46282</v>
      </c>
      <c r="J109" t="s">
        <v>9118</v>
      </c>
      <c r="K109" t="s">
        <v>30</v>
      </c>
    </row>
    <row r="110" spans="1:11">
      <c r="A110" s="3">
        <v>2512316</v>
      </c>
      <c r="B110" t="s">
        <v>2788</v>
      </c>
      <c r="C110" t="s">
        <v>8</v>
      </c>
      <c r="D110" t="s">
        <v>9108</v>
      </c>
      <c r="E110" s="28">
        <v>46170</v>
      </c>
      <c r="F110" t="s">
        <v>9109</v>
      </c>
      <c r="G110" s="3" t="s">
        <v>9156</v>
      </c>
      <c r="H110" t="s">
        <v>424</v>
      </c>
      <c r="I110" s="28">
        <v>46282</v>
      </c>
      <c r="J110" t="s">
        <v>9118</v>
      </c>
      <c r="K110" t="s">
        <v>30</v>
      </c>
    </row>
    <row r="111" spans="1:11">
      <c r="A111" s="3">
        <v>2512317</v>
      </c>
      <c r="B111" t="s">
        <v>1587</v>
      </c>
      <c r="C111" t="s">
        <v>7</v>
      </c>
      <c r="D111" t="s">
        <v>9108</v>
      </c>
      <c r="E111" s="28">
        <v>46170</v>
      </c>
      <c r="F111" t="s">
        <v>9109</v>
      </c>
      <c r="G111" s="3" t="s">
        <v>9156</v>
      </c>
      <c r="H111" t="s">
        <v>424</v>
      </c>
      <c r="I111" s="28">
        <v>46282</v>
      </c>
      <c r="J111" t="s">
        <v>9118</v>
      </c>
      <c r="K111" t="s">
        <v>30</v>
      </c>
    </row>
    <row r="112" spans="1:11">
      <c r="A112" s="3">
        <v>2512318</v>
      </c>
      <c r="B112" t="s">
        <v>590</v>
      </c>
      <c r="C112" t="s">
        <v>8</v>
      </c>
      <c r="D112" t="s">
        <v>9108</v>
      </c>
      <c r="E112" s="28">
        <v>46170</v>
      </c>
      <c r="F112" t="s">
        <v>9109</v>
      </c>
      <c r="G112" s="3" t="s">
        <v>9154</v>
      </c>
      <c r="H112" t="s">
        <v>424</v>
      </c>
      <c r="I112" s="28">
        <v>46282</v>
      </c>
      <c r="J112" t="s">
        <v>9118</v>
      </c>
      <c r="K112" t="s">
        <v>30</v>
      </c>
    </row>
    <row r="113" spans="1:11">
      <c r="A113" s="3">
        <v>2512319</v>
      </c>
      <c r="B113" t="s">
        <v>3344</v>
      </c>
      <c r="C113" t="s">
        <v>8</v>
      </c>
      <c r="D113" t="s">
        <v>9108</v>
      </c>
      <c r="E113" s="28">
        <v>46170</v>
      </c>
      <c r="F113" t="s">
        <v>9109</v>
      </c>
      <c r="G113" s="3" t="s">
        <v>9156</v>
      </c>
      <c r="H113" t="s">
        <v>424</v>
      </c>
      <c r="I113" s="28">
        <v>46282</v>
      </c>
      <c r="J113" t="s">
        <v>9118</v>
      </c>
      <c r="K113" t="s">
        <v>30</v>
      </c>
    </row>
    <row r="114" spans="1:11">
      <c r="A114" s="3">
        <v>2512320</v>
      </c>
      <c r="B114" t="s">
        <v>8682</v>
      </c>
      <c r="C114" t="s">
        <v>8</v>
      </c>
      <c r="D114" t="s">
        <v>9108</v>
      </c>
      <c r="E114" s="28">
        <v>46170</v>
      </c>
      <c r="F114" t="s">
        <v>9109</v>
      </c>
      <c r="G114" s="3" t="s">
        <v>9154</v>
      </c>
      <c r="H114" t="s">
        <v>424</v>
      </c>
      <c r="I114" s="28">
        <v>46282</v>
      </c>
      <c r="J114" t="s">
        <v>9118</v>
      </c>
      <c r="K114" t="s">
        <v>30</v>
      </c>
    </row>
    <row r="115" spans="1:11">
      <c r="A115" s="3">
        <v>2512321</v>
      </c>
      <c r="B115" t="s">
        <v>9161</v>
      </c>
      <c r="C115" t="s">
        <v>7</v>
      </c>
      <c r="D115" t="s">
        <v>9108</v>
      </c>
      <c r="E115" s="28">
        <v>46170</v>
      </c>
      <c r="F115" t="s">
        <v>9109</v>
      </c>
      <c r="G115" s="3" t="s">
        <v>9156</v>
      </c>
      <c r="H115" t="s">
        <v>424</v>
      </c>
      <c r="I115" s="28">
        <v>46282</v>
      </c>
      <c r="J115" t="s">
        <v>9118</v>
      </c>
      <c r="K115" t="s">
        <v>30</v>
      </c>
    </row>
    <row r="116" spans="1:11">
      <c r="A116" s="3">
        <v>2512322</v>
      </c>
      <c r="B116" t="s">
        <v>9162</v>
      </c>
      <c r="C116" t="s">
        <v>7</v>
      </c>
      <c r="D116" t="s">
        <v>9108</v>
      </c>
      <c r="E116" s="28">
        <v>46170</v>
      </c>
      <c r="F116" t="s">
        <v>9109</v>
      </c>
      <c r="G116" s="3" t="s">
        <v>9154</v>
      </c>
      <c r="H116" t="s">
        <v>424</v>
      </c>
      <c r="I116" s="28">
        <v>46282</v>
      </c>
      <c r="J116" t="s">
        <v>9118</v>
      </c>
      <c r="K116" t="s">
        <v>30</v>
      </c>
    </row>
    <row r="117" spans="1:11">
      <c r="A117" s="3">
        <v>2512323</v>
      </c>
      <c r="B117" t="s">
        <v>2206</v>
      </c>
      <c r="C117" t="s">
        <v>8</v>
      </c>
      <c r="D117" t="s">
        <v>9108</v>
      </c>
      <c r="E117" s="28">
        <v>46170</v>
      </c>
      <c r="F117" t="s">
        <v>9109</v>
      </c>
      <c r="G117" s="3" t="s">
        <v>9156</v>
      </c>
      <c r="H117" t="s">
        <v>424</v>
      </c>
      <c r="I117" s="28">
        <v>46282</v>
      </c>
      <c r="J117" t="s">
        <v>9118</v>
      </c>
      <c r="K117" t="s">
        <v>30</v>
      </c>
    </row>
    <row r="118" spans="1:11">
      <c r="A118" s="3">
        <v>2512324</v>
      </c>
      <c r="B118" t="s">
        <v>9163</v>
      </c>
      <c r="C118" t="s">
        <v>7</v>
      </c>
      <c r="D118" t="s">
        <v>9108</v>
      </c>
      <c r="E118" s="28">
        <v>46170</v>
      </c>
      <c r="F118" t="s">
        <v>9109</v>
      </c>
      <c r="G118" s="3" t="s">
        <v>9154</v>
      </c>
      <c r="H118" t="s">
        <v>424</v>
      </c>
      <c r="I118" s="28">
        <v>46282</v>
      </c>
      <c r="J118" t="s">
        <v>9118</v>
      </c>
      <c r="K118" t="s">
        <v>30</v>
      </c>
    </row>
    <row r="119" spans="1:11">
      <c r="A119" s="3">
        <v>2512325</v>
      </c>
      <c r="B119" t="s">
        <v>9164</v>
      </c>
      <c r="C119" t="s">
        <v>7</v>
      </c>
      <c r="D119" t="s">
        <v>9108</v>
      </c>
      <c r="E119" s="28">
        <v>46170</v>
      </c>
      <c r="F119" t="s">
        <v>9109</v>
      </c>
      <c r="G119" s="3" t="s">
        <v>9156</v>
      </c>
      <c r="H119" t="s">
        <v>424</v>
      </c>
      <c r="I119" s="28">
        <v>46282</v>
      </c>
      <c r="J119" t="s">
        <v>9118</v>
      </c>
      <c r="K119" t="s">
        <v>30</v>
      </c>
    </row>
    <row r="120" spans="1:11">
      <c r="A120" s="3">
        <v>2512326</v>
      </c>
      <c r="B120" t="s">
        <v>9165</v>
      </c>
      <c r="C120" t="s">
        <v>7</v>
      </c>
      <c r="D120" t="s">
        <v>9108</v>
      </c>
      <c r="E120" s="28">
        <v>46170</v>
      </c>
      <c r="F120" t="s">
        <v>9109</v>
      </c>
      <c r="G120" s="3" t="s">
        <v>9154</v>
      </c>
      <c r="H120" t="s">
        <v>424</v>
      </c>
      <c r="I120" s="28">
        <v>46282</v>
      </c>
      <c r="J120" t="s">
        <v>9118</v>
      </c>
      <c r="K120" t="s">
        <v>30</v>
      </c>
    </row>
    <row r="121" spans="1:11">
      <c r="A121" s="3">
        <v>2512327</v>
      </c>
      <c r="B121" t="s">
        <v>3869</v>
      </c>
      <c r="C121" t="s">
        <v>8</v>
      </c>
      <c r="D121" t="s">
        <v>9108</v>
      </c>
      <c r="E121" s="28">
        <v>46170</v>
      </c>
      <c r="F121" t="s">
        <v>9109</v>
      </c>
      <c r="G121" s="3" t="s">
        <v>9154</v>
      </c>
      <c r="H121" t="s">
        <v>424</v>
      </c>
      <c r="I121" s="28">
        <v>46282</v>
      </c>
      <c r="J121" t="s">
        <v>9118</v>
      </c>
      <c r="K121" t="s">
        <v>30</v>
      </c>
    </row>
    <row r="122" spans="1:11">
      <c r="A122" s="3">
        <v>2512328</v>
      </c>
      <c r="B122" t="s">
        <v>9166</v>
      </c>
      <c r="C122" t="s">
        <v>7</v>
      </c>
      <c r="D122" t="s">
        <v>9108</v>
      </c>
      <c r="E122" s="28">
        <v>46170</v>
      </c>
      <c r="F122" t="s">
        <v>9109</v>
      </c>
      <c r="G122" s="3" t="s">
        <v>9156</v>
      </c>
      <c r="H122" t="s">
        <v>424</v>
      </c>
      <c r="I122" s="28">
        <v>46282</v>
      </c>
      <c r="J122" t="s">
        <v>9118</v>
      </c>
      <c r="K122" t="s">
        <v>30</v>
      </c>
    </row>
    <row r="123" spans="1:11">
      <c r="A123" s="3">
        <v>2512329</v>
      </c>
      <c r="B123" t="s">
        <v>6850</v>
      </c>
      <c r="C123" t="s">
        <v>7</v>
      </c>
      <c r="D123" t="s">
        <v>9108</v>
      </c>
      <c r="E123" s="28">
        <v>46170</v>
      </c>
      <c r="F123" t="s">
        <v>9109</v>
      </c>
      <c r="G123" s="3" t="s">
        <v>9154</v>
      </c>
      <c r="H123" t="s">
        <v>424</v>
      </c>
      <c r="I123" s="28">
        <v>46282</v>
      </c>
      <c r="J123" t="s">
        <v>9118</v>
      </c>
      <c r="K123" t="s">
        <v>30</v>
      </c>
    </row>
    <row r="124" spans="1:11">
      <c r="A124" s="3">
        <v>2512330</v>
      </c>
      <c r="B124" t="s">
        <v>8650</v>
      </c>
      <c r="C124" t="s">
        <v>7</v>
      </c>
      <c r="D124" t="s">
        <v>9108</v>
      </c>
      <c r="E124" s="28">
        <v>46170</v>
      </c>
      <c r="F124" t="s">
        <v>9109</v>
      </c>
      <c r="G124" s="3" t="s">
        <v>9156</v>
      </c>
      <c r="H124" t="s">
        <v>424</v>
      </c>
      <c r="I124" s="28">
        <v>46282</v>
      </c>
      <c r="J124" t="s">
        <v>9118</v>
      </c>
      <c r="K124" t="s">
        <v>30</v>
      </c>
    </row>
    <row r="125" spans="1:11">
      <c r="A125" s="3">
        <v>2512331</v>
      </c>
      <c r="B125" t="s">
        <v>5300</v>
      </c>
      <c r="C125" t="s">
        <v>8</v>
      </c>
      <c r="D125" t="s">
        <v>9108</v>
      </c>
      <c r="E125" s="28">
        <v>46170</v>
      </c>
      <c r="F125" t="s">
        <v>9109</v>
      </c>
      <c r="G125" s="3" t="s">
        <v>9156</v>
      </c>
      <c r="H125" t="s">
        <v>424</v>
      </c>
      <c r="I125" s="28">
        <v>46282</v>
      </c>
      <c r="J125" t="s">
        <v>9118</v>
      </c>
      <c r="K125" t="s">
        <v>30</v>
      </c>
    </row>
    <row r="126" spans="1:11">
      <c r="A126" s="3">
        <v>2512332</v>
      </c>
      <c r="B126" t="s">
        <v>6108</v>
      </c>
      <c r="C126" t="s">
        <v>7</v>
      </c>
      <c r="D126" t="s">
        <v>9108</v>
      </c>
      <c r="E126" s="28">
        <v>46170</v>
      </c>
      <c r="F126" t="s">
        <v>9109</v>
      </c>
      <c r="G126" s="3" t="s">
        <v>9156</v>
      </c>
      <c r="H126" t="s">
        <v>424</v>
      </c>
      <c r="I126" s="28">
        <v>46282</v>
      </c>
      <c r="J126" t="s">
        <v>9118</v>
      </c>
      <c r="K126" t="s">
        <v>30</v>
      </c>
    </row>
    <row r="127" spans="1:11">
      <c r="A127" s="3">
        <v>2512333</v>
      </c>
      <c r="B127" t="s">
        <v>3973</v>
      </c>
      <c r="C127" t="s">
        <v>7</v>
      </c>
      <c r="D127" t="s">
        <v>9108</v>
      </c>
      <c r="E127" s="28">
        <v>46170</v>
      </c>
      <c r="F127" t="s">
        <v>9109</v>
      </c>
      <c r="G127" s="3" t="s">
        <v>9156</v>
      </c>
      <c r="H127" t="s">
        <v>424</v>
      </c>
      <c r="I127" s="28">
        <v>46282</v>
      </c>
      <c r="J127" t="s">
        <v>9118</v>
      </c>
      <c r="K127" t="s">
        <v>30</v>
      </c>
    </row>
    <row r="128" spans="1:11">
      <c r="A128" s="3">
        <v>2512334</v>
      </c>
      <c r="B128" t="s">
        <v>6656</v>
      </c>
      <c r="C128" t="s">
        <v>8</v>
      </c>
      <c r="D128" t="s">
        <v>9108</v>
      </c>
      <c r="E128" s="28">
        <v>46170</v>
      </c>
      <c r="F128" t="s">
        <v>9109</v>
      </c>
      <c r="G128" s="3" t="s">
        <v>9154</v>
      </c>
      <c r="H128" t="s">
        <v>424</v>
      </c>
      <c r="I128" s="28">
        <v>46282</v>
      </c>
      <c r="J128" t="s">
        <v>9118</v>
      </c>
      <c r="K128" t="s">
        <v>30</v>
      </c>
    </row>
    <row r="129" spans="1:11">
      <c r="A129" s="3">
        <v>2512335</v>
      </c>
      <c r="B129" t="s">
        <v>9167</v>
      </c>
      <c r="C129" t="s">
        <v>8</v>
      </c>
      <c r="D129" t="s">
        <v>9108</v>
      </c>
      <c r="E129" s="28">
        <v>46170</v>
      </c>
      <c r="F129" t="s">
        <v>9109</v>
      </c>
      <c r="G129" s="3" t="s">
        <v>9154</v>
      </c>
      <c r="H129" t="s">
        <v>424</v>
      </c>
      <c r="I129" s="28">
        <v>46282</v>
      </c>
      <c r="J129" t="s">
        <v>9118</v>
      </c>
      <c r="K129" t="s">
        <v>30</v>
      </c>
    </row>
    <row r="130" spans="1:11">
      <c r="A130" s="3">
        <v>2512336</v>
      </c>
      <c r="B130" t="s">
        <v>656</v>
      </c>
      <c r="C130" t="s">
        <v>8</v>
      </c>
      <c r="D130" t="s">
        <v>9108</v>
      </c>
      <c r="E130" s="28">
        <v>46170</v>
      </c>
      <c r="F130" t="s">
        <v>9109</v>
      </c>
      <c r="G130" s="3" t="s">
        <v>9156</v>
      </c>
      <c r="H130" t="s">
        <v>424</v>
      </c>
      <c r="I130" s="28">
        <v>46282</v>
      </c>
      <c r="J130" t="s">
        <v>9118</v>
      </c>
      <c r="K130" t="s">
        <v>30</v>
      </c>
    </row>
    <row r="131" spans="1:11">
      <c r="A131" s="3">
        <v>2512337</v>
      </c>
      <c r="B131" t="s">
        <v>7984</v>
      </c>
      <c r="C131" t="s">
        <v>8</v>
      </c>
      <c r="D131" t="s">
        <v>9108</v>
      </c>
      <c r="E131" s="28">
        <v>46170</v>
      </c>
      <c r="F131" t="s">
        <v>9109</v>
      </c>
      <c r="G131" s="3" t="s">
        <v>9154</v>
      </c>
      <c r="H131" t="s">
        <v>424</v>
      </c>
      <c r="I131" s="28">
        <v>46282</v>
      </c>
      <c r="J131" t="s">
        <v>9118</v>
      </c>
      <c r="K131" t="s">
        <v>30</v>
      </c>
    </row>
    <row r="132" spans="1:11">
      <c r="A132" s="3">
        <v>2512338</v>
      </c>
      <c r="B132" t="s">
        <v>8852</v>
      </c>
      <c r="C132" t="s">
        <v>8</v>
      </c>
      <c r="D132" t="s">
        <v>9108</v>
      </c>
      <c r="E132" s="28">
        <v>46170</v>
      </c>
      <c r="F132" t="s">
        <v>9109</v>
      </c>
      <c r="G132" s="3" t="s">
        <v>9156</v>
      </c>
      <c r="H132" t="s">
        <v>424</v>
      </c>
      <c r="I132" s="28">
        <v>46282</v>
      </c>
      <c r="J132" t="s">
        <v>9118</v>
      </c>
      <c r="K132" t="s">
        <v>30</v>
      </c>
    </row>
    <row r="133" spans="1:11">
      <c r="A133" s="3">
        <v>2512339</v>
      </c>
      <c r="B133" t="s">
        <v>9168</v>
      </c>
      <c r="C133" t="s">
        <v>7</v>
      </c>
      <c r="D133" t="s">
        <v>9108</v>
      </c>
      <c r="E133" s="28">
        <v>46170</v>
      </c>
      <c r="F133" t="s">
        <v>9109</v>
      </c>
      <c r="G133" s="3" t="s">
        <v>9154</v>
      </c>
      <c r="H133" t="s">
        <v>424</v>
      </c>
      <c r="I133" s="28">
        <v>46282</v>
      </c>
      <c r="J133" t="s">
        <v>9118</v>
      </c>
      <c r="K133" t="s">
        <v>30</v>
      </c>
    </row>
    <row r="134" spans="1:11">
      <c r="A134" s="3">
        <v>2512340</v>
      </c>
      <c r="B134" t="s">
        <v>4830</v>
      </c>
      <c r="C134" t="s">
        <v>7</v>
      </c>
      <c r="D134" t="s">
        <v>9108</v>
      </c>
      <c r="E134" s="28">
        <v>46170</v>
      </c>
      <c r="F134" t="s">
        <v>9109</v>
      </c>
      <c r="G134" s="3" t="s">
        <v>9154</v>
      </c>
      <c r="H134" t="s">
        <v>424</v>
      </c>
      <c r="I134" s="28">
        <v>46282</v>
      </c>
      <c r="J134" t="s">
        <v>9118</v>
      </c>
      <c r="K134" t="s">
        <v>30</v>
      </c>
    </row>
    <row r="135" spans="1:11">
      <c r="A135" s="3">
        <v>2512341</v>
      </c>
      <c r="B135" t="s">
        <v>2873</v>
      </c>
      <c r="C135" t="s">
        <v>8</v>
      </c>
      <c r="D135" t="s">
        <v>9108</v>
      </c>
      <c r="E135" s="28">
        <v>46170</v>
      </c>
      <c r="F135" t="s">
        <v>9109</v>
      </c>
      <c r="G135" s="3" t="s">
        <v>9154</v>
      </c>
      <c r="H135" t="s">
        <v>424</v>
      </c>
      <c r="I135" s="28">
        <v>46282</v>
      </c>
      <c r="J135" t="s">
        <v>9118</v>
      </c>
      <c r="K135" t="s">
        <v>30</v>
      </c>
    </row>
    <row r="136" spans="1:11">
      <c r="A136" s="3">
        <v>2512342</v>
      </c>
      <c r="B136" t="s">
        <v>3625</v>
      </c>
      <c r="C136" t="s">
        <v>7</v>
      </c>
      <c r="D136" t="s">
        <v>9108</v>
      </c>
      <c r="E136" s="28">
        <v>46170</v>
      </c>
      <c r="F136" t="s">
        <v>9109</v>
      </c>
      <c r="G136" s="3" t="s">
        <v>9154</v>
      </c>
      <c r="H136" t="s">
        <v>424</v>
      </c>
      <c r="I136" s="28">
        <v>46282</v>
      </c>
      <c r="J136" t="s">
        <v>9118</v>
      </c>
      <c r="K136" t="s">
        <v>30</v>
      </c>
    </row>
    <row r="137" spans="1:11">
      <c r="A137" s="3">
        <v>2512343</v>
      </c>
      <c r="B137" t="s">
        <v>9169</v>
      </c>
      <c r="C137" t="s">
        <v>8</v>
      </c>
      <c r="D137" t="s">
        <v>9108</v>
      </c>
      <c r="E137" s="28">
        <v>46170</v>
      </c>
      <c r="F137" t="s">
        <v>9109</v>
      </c>
      <c r="G137" s="3" t="s">
        <v>9156</v>
      </c>
      <c r="H137" t="s">
        <v>424</v>
      </c>
      <c r="I137" s="28">
        <v>46282</v>
      </c>
      <c r="J137" t="s">
        <v>9118</v>
      </c>
      <c r="K137" t="s">
        <v>30</v>
      </c>
    </row>
    <row r="138" spans="1:11">
      <c r="A138" s="3">
        <v>2512344</v>
      </c>
      <c r="B138" t="s">
        <v>9170</v>
      </c>
      <c r="C138" t="s">
        <v>7</v>
      </c>
      <c r="D138" t="s">
        <v>9108</v>
      </c>
      <c r="E138" s="28">
        <v>46170</v>
      </c>
      <c r="F138" t="s">
        <v>9109</v>
      </c>
      <c r="G138" s="3" t="s">
        <v>9154</v>
      </c>
      <c r="H138" t="s">
        <v>424</v>
      </c>
      <c r="I138" s="28">
        <v>46282</v>
      </c>
      <c r="J138" t="s">
        <v>9118</v>
      </c>
      <c r="K138" t="s">
        <v>30</v>
      </c>
    </row>
    <row r="139" spans="1:11">
      <c r="A139" s="3">
        <v>2512345</v>
      </c>
      <c r="B139" t="s">
        <v>8877</v>
      </c>
      <c r="C139" t="s">
        <v>8</v>
      </c>
      <c r="D139" t="s">
        <v>9108</v>
      </c>
      <c r="E139" s="28">
        <v>46170</v>
      </c>
      <c r="F139" t="s">
        <v>9109</v>
      </c>
      <c r="G139" s="3" t="s">
        <v>9154</v>
      </c>
      <c r="H139" t="s">
        <v>424</v>
      </c>
      <c r="I139" s="28">
        <v>46282</v>
      </c>
      <c r="J139" t="s">
        <v>9118</v>
      </c>
      <c r="K139" t="s">
        <v>30</v>
      </c>
    </row>
    <row r="140" spans="1:11">
      <c r="A140" s="3">
        <v>2512346</v>
      </c>
      <c r="B140" t="s">
        <v>9171</v>
      </c>
      <c r="C140" t="s">
        <v>8</v>
      </c>
      <c r="D140" t="s">
        <v>9108</v>
      </c>
      <c r="E140" s="28">
        <v>46170</v>
      </c>
      <c r="F140" t="s">
        <v>9109</v>
      </c>
      <c r="G140" s="3" t="s">
        <v>9156</v>
      </c>
      <c r="H140" t="s">
        <v>424</v>
      </c>
      <c r="I140" s="28">
        <v>46282</v>
      </c>
      <c r="J140" t="s">
        <v>9118</v>
      </c>
      <c r="K140" t="s">
        <v>30</v>
      </c>
    </row>
    <row r="141" spans="1:11">
      <c r="A141" s="3">
        <v>2512347</v>
      </c>
      <c r="B141" t="s">
        <v>570</v>
      </c>
      <c r="C141" t="s">
        <v>8</v>
      </c>
      <c r="D141" t="s">
        <v>9108</v>
      </c>
      <c r="E141" s="28">
        <v>46170</v>
      </c>
      <c r="F141" t="s">
        <v>9109</v>
      </c>
      <c r="G141" s="3" t="s">
        <v>9154</v>
      </c>
      <c r="H141" t="s">
        <v>424</v>
      </c>
      <c r="I141" s="28">
        <v>46282</v>
      </c>
      <c r="J141" t="s">
        <v>9118</v>
      </c>
      <c r="K141" t="s">
        <v>30</v>
      </c>
    </row>
    <row r="142" spans="1:11">
      <c r="A142" s="3">
        <v>2512348</v>
      </c>
      <c r="B142" t="s">
        <v>4351</v>
      </c>
      <c r="C142" t="s">
        <v>7</v>
      </c>
      <c r="D142" t="s">
        <v>9108</v>
      </c>
      <c r="E142" s="28">
        <v>46170</v>
      </c>
      <c r="F142" t="s">
        <v>9109</v>
      </c>
      <c r="G142" s="3" t="s">
        <v>9154</v>
      </c>
      <c r="H142" t="s">
        <v>424</v>
      </c>
      <c r="I142" s="28">
        <v>46282</v>
      </c>
      <c r="J142" t="s">
        <v>9118</v>
      </c>
      <c r="K142" t="s">
        <v>30</v>
      </c>
    </row>
    <row r="143" spans="1:11">
      <c r="A143" s="3">
        <v>2512349</v>
      </c>
      <c r="B143" t="s">
        <v>686</v>
      </c>
      <c r="C143" t="s">
        <v>8</v>
      </c>
      <c r="D143" t="s">
        <v>9108</v>
      </c>
      <c r="E143" s="28">
        <v>46170</v>
      </c>
      <c r="F143" t="s">
        <v>9109</v>
      </c>
      <c r="G143" s="3" t="s">
        <v>9154</v>
      </c>
      <c r="H143" t="s">
        <v>424</v>
      </c>
      <c r="I143" s="28">
        <v>46282</v>
      </c>
      <c r="J143" t="s">
        <v>9118</v>
      </c>
      <c r="K143" t="s">
        <v>30</v>
      </c>
    </row>
    <row r="144" spans="1:11">
      <c r="A144" s="3">
        <v>2512350</v>
      </c>
      <c r="B144" t="s">
        <v>8147</v>
      </c>
      <c r="C144" t="s">
        <v>8</v>
      </c>
      <c r="D144" t="s">
        <v>9108</v>
      </c>
      <c r="E144" s="28">
        <v>46170</v>
      </c>
      <c r="F144" t="s">
        <v>9109</v>
      </c>
      <c r="G144" s="3" t="s">
        <v>9154</v>
      </c>
      <c r="H144" t="s">
        <v>424</v>
      </c>
      <c r="I144" s="28">
        <v>46282</v>
      </c>
      <c r="J144" t="s">
        <v>9118</v>
      </c>
      <c r="K144" t="s">
        <v>30</v>
      </c>
    </row>
    <row r="145" spans="1:11">
      <c r="A145" s="3">
        <v>2512351</v>
      </c>
      <c r="B145" t="s">
        <v>9172</v>
      </c>
      <c r="C145" t="s">
        <v>8</v>
      </c>
      <c r="D145" t="s">
        <v>9108</v>
      </c>
      <c r="E145" s="28">
        <v>46170</v>
      </c>
      <c r="F145" t="s">
        <v>9109</v>
      </c>
      <c r="G145" s="3" t="s">
        <v>9156</v>
      </c>
      <c r="H145" t="s">
        <v>424</v>
      </c>
      <c r="I145" s="28">
        <v>46282</v>
      </c>
      <c r="J145" t="s">
        <v>9118</v>
      </c>
      <c r="K145" t="s">
        <v>30</v>
      </c>
    </row>
    <row r="146" spans="1:11">
      <c r="A146" s="3">
        <v>2512352</v>
      </c>
      <c r="B146" t="s">
        <v>7213</v>
      </c>
      <c r="C146" t="s">
        <v>7</v>
      </c>
      <c r="D146" t="s">
        <v>9108</v>
      </c>
      <c r="E146" s="28">
        <v>46170</v>
      </c>
      <c r="F146" t="s">
        <v>9109</v>
      </c>
      <c r="G146" s="3" t="s">
        <v>9156</v>
      </c>
      <c r="H146" t="s">
        <v>424</v>
      </c>
      <c r="I146" s="28">
        <v>46282</v>
      </c>
      <c r="J146" t="s">
        <v>9118</v>
      </c>
      <c r="K146" t="s">
        <v>30</v>
      </c>
    </row>
    <row r="147" spans="1:11">
      <c r="A147" s="3">
        <v>2512353</v>
      </c>
      <c r="B147" t="s">
        <v>8857</v>
      </c>
      <c r="C147" t="s">
        <v>8</v>
      </c>
      <c r="D147" t="s">
        <v>9108</v>
      </c>
      <c r="E147" s="28">
        <v>46170</v>
      </c>
      <c r="F147" t="s">
        <v>9109</v>
      </c>
      <c r="G147" s="3" t="s">
        <v>9154</v>
      </c>
      <c r="H147" t="s">
        <v>424</v>
      </c>
      <c r="I147" s="28">
        <v>46282</v>
      </c>
      <c r="J147" t="s">
        <v>9118</v>
      </c>
      <c r="K147" t="s">
        <v>30</v>
      </c>
    </row>
    <row r="148" spans="1:11">
      <c r="A148" s="3">
        <v>2512354</v>
      </c>
      <c r="B148" t="s">
        <v>2601</v>
      </c>
      <c r="C148" t="s">
        <v>7</v>
      </c>
      <c r="D148" t="s">
        <v>9108</v>
      </c>
      <c r="E148" s="28">
        <v>46170</v>
      </c>
      <c r="F148" t="s">
        <v>9109</v>
      </c>
      <c r="G148" s="3" t="s">
        <v>9154</v>
      </c>
      <c r="H148" t="s">
        <v>424</v>
      </c>
      <c r="I148" s="28">
        <v>46282</v>
      </c>
      <c r="J148" t="s">
        <v>9118</v>
      </c>
      <c r="K148" t="s">
        <v>30</v>
      </c>
    </row>
    <row r="149" spans="1:11">
      <c r="A149" s="3">
        <v>2512355</v>
      </c>
      <c r="B149" t="s">
        <v>2196</v>
      </c>
      <c r="C149" t="s">
        <v>7</v>
      </c>
      <c r="D149" t="s">
        <v>9108</v>
      </c>
      <c r="E149" s="28">
        <v>46170</v>
      </c>
      <c r="F149" t="s">
        <v>9109</v>
      </c>
      <c r="G149" s="3" t="s">
        <v>9156</v>
      </c>
      <c r="H149" t="s">
        <v>424</v>
      </c>
      <c r="I149" s="28">
        <v>46282</v>
      </c>
      <c r="J149" t="s">
        <v>9118</v>
      </c>
      <c r="K149" t="s">
        <v>30</v>
      </c>
    </row>
    <row r="150" spans="1:11">
      <c r="A150" s="3">
        <v>2512357</v>
      </c>
      <c r="B150" t="s">
        <v>9173</v>
      </c>
      <c r="C150" t="s">
        <v>7</v>
      </c>
      <c r="D150" t="s">
        <v>9108</v>
      </c>
      <c r="E150" s="28">
        <v>46170</v>
      </c>
      <c r="F150" t="s">
        <v>9109</v>
      </c>
      <c r="G150" s="3" t="s">
        <v>9156</v>
      </c>
      <c r="H150" t="s">
        <v>424</v>
      </c>
      <c r="I150" s="28">
        <v>46282</v>
      </c>
      <c r="J150" t="s">
        <v>9118</v>
      </c>
      <c r="K150" t="s">
        <v>30</v>
      </c>
    </row>
    <row r="151" spans="1:11">
      <c r="A151" s="3">
        <v>2512358</v>
      </c>
      <c r="B151" t="s">
        <v>2144</v>
      </c>
      <c r="C151" t="s">
        <v>8</v>
      </c>
      <c r="D151" t="s">
        <v>9108</v>
      </c>
      <c r="E151" s="28">
        <v>46170</v>
      </c>
      <c r="F151" t="s">
        <v>9109</v>
      </c>
      <c r="G151" s="3" t="s">
        <v>9156</v>
      </c>
      <c r="H151" t="s">
        <v>424</v>
      </c>
      <c r="I151" s="28">
        <v>46282</v>
      </c>
      <c r="J151" t="s">
        <v>9118</v>
      </c>
      <c r="K151" t="s">
        <v>30</v>
      </c>
    </row>
    <row r="152" spans="1:11">
      <c r="A152" s="3">
        <v>2512359</v>
      </c>
      <c r="B152" t="s">
        <v>3357</v>
      </c>
      <c r="C152" t="s">
        <v>8</v>
      </c>
      <c r="D152" t="s">
        <v>9108</v>
      </c>
      <c r="E152" s="28">
        <v>46170</v>
      </c>
      <c r="F152" t="s">
        <v>9109</v>
      </c>
      <c r="G152" s="3" t="s">
        <v>9154</v>
      </c>
      <c r="H152" t="s">
        <v>424</v>
      </c>
      <c r="I152" s="28">
        <v>46282</v>
      </c>
      <c r="J152" t="s">
        <v>9118</v>
      </c>
      <c r="K152" t="s">
        <v>30</v>
      </c>
    </row>
    <row r="153" spans="1:11">
      <c r="A153" s="3">
        <v>2512360</v>
      </c>
      <c r="B153" t="s">
        <v>1318</v>
      </c>
      <c r="C153" t="s">
        <v>8</v>
      </c>
      <c r="D153" t="s">
        <v>9108</v>
      </c>
      <c r="E153" s="28">
        <v>46170</v>
      </c>
      <c r="F153" t="s">
        <v>9109</v>
      </c>
      <c r="G153" s="3" t="s">
        <v>9154</v>
      </c>
      <c r="H153" t="s">
        <v>424</v>
      </c>
      <c r="I153" s="28">
        <v>46282</v>
      </c>
      <c r="J153" t="s">
        <v>9118</v>
      </c>
      <c r="K153" t="s">
        <v>30</v>
      </c>
    </row>
    <row r="154" spans="1:11">
      <c r="A154" s="3">
        <v>2512361</v>
      </c>
      <c r="B154" t="s">
        <v>9174</v>
      </c>
      <c r="C154" t="s">
        <v>8</v>
      </c>
      <c r="D154" t="s">
        <v>9108</v>
      </c>
      <c r="E154" s="28">
        <v>46170</v>
      </c>
      <c r="F154" t="s">
        <v>9109</v>
      </c>
      <c r="G154" s="3" t="s">
        <v>9154</v>
      </c>
      <c r="H154" t="s">
        <v>424</v>
      </c>
      <c r="I154" s="28">
        <v>46282</v>
      </c>
      <c r="J154" t="s">
        <v>9118</v>
      </c>
      <c r="K154" t="s">
        <v>30</v>
      </c>
    </row>
    <row r="155" spans="1:11">
      <c r="A155" s="3">
        <v>2512362</v>
      </c>
      <c r="B155" t="s">
        <v>9175</v>
      </c>
      <c r="C155" t="s">
        <v>8</v>
      </c>
      <c r="D155" t="s">
        <v>9108</v>
      </c>
      <c r="E155" s="28">
        <v>46170</v>
      </c>
      <c r="F155" t="s">
        <v>9109</v>
      </c>
      <c r="G155" s="3" t="s">
        <v>9156</v>
      </c>
      <c r="H155" t="s">
        <v>424</v>
      </c>
      <c r="I155" s="28">
        <v>46282</v>
      </c>
      <c r="J155" t="s">
        <v>9118</v>
      </c>
      <c r="K155" t="s">
        <v>30</v>
      </c>
    </row>
    <row r="156" spans="1:11">
      <c r="A156" s="3">
        <v>2512363</v>
      </c>
      <c r="B156" t="s">
        <v>435</v>
      </c>
      <c r="C156" t="s">
        <v>7</v>
      </c>
      <c r="D156" t="s">
        <v>9108</v>
      </c>
      <c r="E156" s="28">
        <v>46170</v>
      </c>
      <c r="F156" t="s">
        <v>9109</v>
      </c>
      <c r="G156" s="3" t="s">
        <v>9154</v>
      </c>
      <c r="H156" t="s">
        <v>424</v>
      </c>
      <c r="I156" s="28">
        <v>46282</v>
      </c>
      <c r="J156" t="s">
        <v>9118</v>
      </c>
      <c r="K156" t="s">
        <v>30</v>
      </c>
    </row>
    <row r="157" spans="1:11">
      <c r="A157" s="3">
        <v>2512364</v>
      </c>
      <c r="B157" t="s">
        <v>8676</v>
      </c>
      <c r="C157" t="s">
        <v>8</v>
      </c>
      <c r="D157" t="s">
        <v>9108</v>
      </c>
      <c r="E157" s="28">
        <v>46170</v>
      </c>
      <c r="F157" t="s">
        <v>9109</v>
      </c>
      <c r="G157" s="3" t="s">
        <v>9154</v>
      </c>
      <c r="H157" t="s">
        <v>424</v>
      </c>
      <c r="I157" s="28">
        <v>46282</v>
      </c>
      <c r="J157" t="s">
        <v>9118</v>
      </c>
      <c r="K157" t="s">
        <v>30</v>
      </c>
    </row>
    <row r="158" spans="1:11">
      <c r="A158" s="3">
        <v>2512365</v>
      </c>
      <c r="B158" t="s">
        <v>6900</v>
      </c>
      <c r="C158" t="s">
        <v>8</v>
      </c>
      <c r="D158" t="s">
        <v>9108</v>
      </c>
      <c r="E158" s="28">
        <v>46170</v>
      </c>
      <c r="F158" t="s">
        <v>9109</v>
      </c>
      <c r="G158" s="3" t="s">
        <v>9154</v>
      </c>
      <c r="H158" t="s">
        <v>424</v>
      </c>
      <c r="I158" s="28">
        <v>46282</v>
      </c>
      <c r="J158" t="s">
        <v>9118</v>
      </c>
      <c r="K158" t="s">
        <v>30</v>
      </c>
    </row>
    <row r="159" spans="1:11">
      <c r="A159" s="3">
        <v>2512369</v>
      </c>
      <c r="B159" t="s">
        <v>8334</v>
      </c>
      <c r="C159" t="s">
        <v>7</v>
      </c>
      <c r="D159" t="s">
        <v>9108</v>
      </c>
      <c r="E159" s="28">
        <v>46170</v>
      </c>
      <c r="F159" t="s">
        <v>9109</v>
      </c>
      <c r="G159" s="3" t="s">
        <v>9154</v>
      </c>
      <c r="H159" t="s">
        <v>424</v>
      </c>
      <c r="I159" s="28">
        <v>46282</v>
      </c>
      <c r="J159" t="s">
        <v>9118</v>
      </c>
      <c r="K159" t="s">
        <v>30</v>
      </c>
    </row>
    <row r="160" spans="1:11">
      <c r="A160" s="3">
        <v>2512370</v>
      </c>
      <c r="B160" t="s">
        <v>4133</v>
      </c>
      <c r="C160" t="s">
        <v>7</v>
      </c>
      <c r="D160" t="s">
        <v>9108</v>
      </c>
      <c r="E160" s="28">
        <v>46170</v>
      </c>
      <c r="F160" t="s">
        <v>9109</v>
      </c>
      <c r="G160" s="3" t="s">
        <v>9156</v>
      </c>
      <c r="H160" t="s">
        <v>424</v>
      </c>
      <c r="I160" s="28">
        <v>46282</v>
      </c>
      <c r="J160" t="s">
        <v>9118</v>
      </c>
      <c r="K160" t="s">
        <v>30</v>
      </c>
    </row>
    <row r="161" spans="1:11">
      <c r="A161" s="3">
        <v>2516745</v>
      </c>
      <c r="B161" t="s">
        <v>9176</v>
      </c>
      <c r="C161" t="s">
        <v>8</v>
      </c>
      <c r="D161" t="s">
        <v>9108</v>
      </c>
      <c r="E161" s="28">
        <v>46191</v>
      </c>
      <c r="F161" t="s">
        <v>9109</v>
      </c>
      <c r="G161" s="3" t="s">
        <v>9177</v>
      </c>
      <c r="H161" t="s">
        <v>9134</v>
      </c>
      <c r="I161" s="28">
        <v>46276</v>
      </c>
      <c r="J161" t="s">
        <v>9118</v>
      </c>
      <c r="K161" t="s">
        <v>30</v>
      </c>
    </row>
    <row r="162" spans="1:11">
      <c r="A162" s="3">
        <v>2516748</v>
      </c>
      <c r="B162" t="s">
        <v>6395</v>
      </c>
      <c r="C162" t="s">
        <v>8</v>
      </c>
      <c r="D162" t="s">
        <v>9108</v>
      </c>
      <c r="E162" s="28">
        <v>46191</v>
      </c>
      <c r="F162" t="s">
        <v>9109</v>
      </c>
      <c r="G162" s="3" t="s">
        <v>9178</v>
      </c>
      <c r="H162" t="s">
        <v>424</v>
      </c>
      <c r="I162" s="28">
        <v>46269</v>
      </c>
      <c r="J162" t="s">
        <v>9118</v>
      </c>
      <c r="K162" t="s">
        <v>30</v>
      </c>
    </row>
    <row r="163" spans="1:11">
      <c r="A163" s="3">
        <v>2516749</v>
      </c>
      <c r="B163" t="s">
        <v>6752</v>
      </c>
      <c r="C163" t="s">
        <v>7</v>
      </c>
      <c r="D163" t="s">
        <v>9108</v>
      </c>
      <c r="E163" s="28">
        <v>46191</v>
      </c>
      <c r="F163" t="s">
        <v>9109</v>
      </c>
      <c r="G163" s="3" t="s">
        <v>9177</v>
      </c>
      <c r="H163" t="s">
        <v>9134</v>
      </c>
      <c r="I163" s="28">
        <v>46276</v>
      </c>
      <c r="J163" t="s">
        <v>9118</v>
      </c>
      <c r="K163" t="s">
        <v>30</v>
      </c>
    </row>
    <row r="164" spans="1:11">
      <c r="A164" s="3">
        <v>2516751</v>
      </c>
      <c r="B164" t="s">
        <v>9179</v>
      </c>
      <c r="C164" t="s">
        <v>8</v>
      </c>
      <c r="D164" t="s">
        <v>9108</v>
      </c>
      <c r="E164" s="28">
        <v>46191</v>
      </c>
      <c r="F164" t="s">
        <v>9109</v>
      </c>
      <c r="G164" s="3" t="s">
        <v>9177</v>
      </c>
      <c r="H164" t="s">
        <v>9134</v>
      </c>
      <c r="I164" s="28">
        <v>46276</v>
      </c>
      <c r="J164" t="s">
        <v>9118</v>
      </c>
      <c r="K164" t="s">
        <v>30</v>
      </c>
    </row>
    <row r="165" spans="1:11">
      <c r="A165" s="3">
        <v>2516760</v>
      </c>
      <c r="B165" t="s">
        <v>4853</v>
      </c>
      <c r="C165" t="s">
        <v>7</v>
      </c>
      <c r="D165" t="s">
        <v>9108</v>
      </c>
      <c r="E165" s="28">
        <v>46191</v>
      </c>
      <c r="F165" t="s">
        <v>9109</v>
      </c>
      <c r="G165" s="3" t="s">
        <v>9177</v>
      </c>
      <c r="H165" t="s">
        <v>9134</v>
      </c>
      <c r="I165" s="28">
        <v>46276</v>
      </c>
      <c r="J165" t="s">
        <v>9118</v>
      </c>
      <c r="K165" t="s">
        <v>30</v>
      </c>
    </row>
    <row r="166" spans="1:11">
      <c r="A166" s="3">
        <v>2516768</v>
      </c>
      <c r="B166" t="s">
        <v>8344</v>
      </c>
      <c r="C166" t="s">
        <v>8</v>
      </c>
      <c r="D166" t="s">
        <v>9108</v>
      </c>
      <c r="E166" s="28">
        <v>46191</v>
      </c>
      <c r="F166" t="s">
        <v>9109</v>
      </c>
      <c r="G166" s="3" t="s">
        <v>9177</v>
      </c>
      <c r="H166" t="s">
        <v>9134</v>
      </c>
      <c r="I166" s="28">
        <v>46276</v>
      </c>
      <c r="J166" t="s">
        <v>9118</v>
      </c>
      <c r="K166" t="s">
        <v>30</v>
      </c>
    </row>
    <row r="167" spans="1:11">
      <c r="A167" s="3">
        <v>2516771</v>
      </c>
      <c r="B167" t="s">
        <v>8522</v>
      </c>
      <c r="C167" t="s">
        <v>7</v>
      </c>
      <c r="D167" t="s">
        <v>9108</v>
      </c>
      <c r="E167" s="28">
        <v>46191</v>
      </c>
      <c r="F167" t="s">
        <v>9109</v>
      </c>
      <c r="G167" s="3" t="s">
        <v>9177</v>
      </c>
      <c r="H167" t="s">
        <v>9134</v>
      </c>
      <c r="I167" s="28">
        <v>46276</v>
      </c>
      <c r="J167" t="s">
        <v>9118</v>
      </c>
      <c r="K167" t="s">
        <v>30</v>
      </c>
    </row>
    <row r="168" spans="1:11">
      <c r="A168" s="3">
        <v>2516778</v>
      </c>
      <c r="B168" t="s">
        <v>6448</v>
      </c>
      <c r="C168" t="s">
        <v>8</v>
      </c>
      <c r="D168" t="s">
        <v>9108</v>
      </c>
      <c r="E168" s="28">
        <v>46191</v>
      </c>
      <c r="F168" t="s">
        <v>9109</v>
      </c>
      <c r="G168" s="3" t="s">
        <v>9180</v>
      </c>
      <c r="H168" t="s">
        <v>9181</v>
      </c>
      <c r="I168" s="28">
        <v>46290</v>
      </c>
      <c r="J168" t="s">
        <v>9118</v>
      </c>
      <c r="K168" t="s">
        <v>30</v>
      </c>
    </row>
    <row r="169" spans="1:11">
      <c r="A169" s="3">
        <v>2516785</v>
      </c>
      <c r="B169" t="s">
        <v>9182</v>
      </c>
      <c r="C169" t="s">
        <v>7</v>
      </c>
      <c r="D169" t="s">
        <v>9108</v>
      </c>
      <c r="E169" s="28">
        <v>46191</v>
      </c>
      <c r="F169" t="s">
        <v>9109</v>
      </c>
      <c r="G169" s="3" t="s">
        <v>9183</v>
      </c>
      <c r="H169" t="s">
        <v>424</v>
      </c>
      <c r="I169" s="28">
        <v>46273</v>
      </c>
      <c r="J169" t="s">
        <v>9135</v>
      </c>
      <c r="K169" t="s">
        <v>30</v>
      </c>
    </row>
    <row r="170" spans="1:11">
      <c r="A170" s="3">
        <v>2516788</v>
      </c>
      <c r="B170" t="s">
        <v>6153</v>
      </c>
      <c r="C170" t="s">
        <v>7</v>
      </c>
      <c r="D170" t="s">
        <v>9108</v>
      </c>
      <c r="E170" s="28">
        <v>46191</v>
      </c>
      <c r="F170" t="s">
        <v>9109</v>
      </c>
      <c r="G170" s="3" t="s">
        <v>9178</v>
      </c>
      <c r="H170" t="s">
        <v>424</v>
      </c>
      <c r="I170" s="28">
        <v>46269</v>
      </c>
      <c r="J170" t="s">
        <v>9118</v>
      </c>
      <c r="K170" t="s">
        <v>30</v>
      </c>
    </row>
    <row r="171" spans="1:11">
      <c r="A171" s="3">
        <v>2516789</v>
      </c>
      <c r="B171" t="s">
        <v>8127</v>
      </c>
      <c r="C171" t="s">
        <v>8</v>
      </c>
      <c r="D171" t="s">
        <v>9108</v>
      </c>
      <c r="E171" s="28">
        <v>46191</v>
      </c>
      <c r="F171" t="s">
        <v>9109</v>
      </c>
      <c r="G171" s="3" t="s">
        <v>9177</v>
      </c>
      <c r="H171" t="s">
        <v>9134</v>
      </c>
      <c r="I171" s="28">
        <v>46276</v>
      </c>
      <c r="J171" t="s">
        <v>9118</v>
      </c>
      <c r="K171" t="s">
        <v>30</v>
      </c>
    </row>
    <row r="172" spans="1:11">
      <c r="A172" s="3">
        <v>2516797</v>
      </c>
      <c r="B172" t="s">
        <v>5089</v>
      </c>
      <c r="C172" t="s">
        <v>7</v>
      </c>
      <c r="D172" t="s">
        <v>9108</v>
      </c>
      <c r="E172" s="28">
        <v>46191</v>
      </c>
      <c r="F172" t="s">
        <v>9109</v>
      </c>
      <c r="G172" s="3" t="s">
        <v>9177</v>
      </c>
      <c r="H172" t="s">
        <v>9134</v>
      </c>
      <c r="I172" s="28">
        <v>46276</v>
      </c>
      <c r="J172" t="s">
        <v>9118</v>
      </c>
      <c r="K172" t="s">
        <v>30</v>
      </c>
    </row>
    <row r="173" spans="1:11">
      <c r="A173" s="3">
        <v>2516798</v>
      </c>
      <c r="B173" t="s">
        <v>9184</v>
      </c>
      <c r="C173" t="s">
        <v>8</v>
      </c>
      <c r="D173" t="s">
        <v>9108</v>
      </c>
      <c r="E173" s="28">
        <v>46191</v>
      </c>
      <c r="F173" t="s">
        <v>9109</v>
      </c>
      <c r="G173" s="3" t="s">
        <v>9178</v>
      </c>
      <c r="H173" t="s">
        <v>424</v>
      </c>
      <c r="I173" s="28">
        <v>46269</v>
      </c>
      <c r="J173" t="s">
        <v>9135</v>
      </c>
      <c r="K173" t="s">
        <v>30</v>
      </c>
    </row>
    <row r="174" spans="1:11">
      <c r="A174" s="3">
        <v>2516799</v>
      </c>
      <c r="B174" t="s">
        <v>9185</v>
      </c>
      <c r="C174" t="s">
        <v>8</v>
      </c>
      <c r="D174" t="s">
        <v>9108</v>
      </c>
      <c r="E174" s="28">
        <v>46191</v>
      </c>
      <c r="F174" t="s">
        <v>9109</v>
      </c>
      <c r="G174" s="3" t="s">
        <v>9177</v>
      </c>
      <c r="H174" t="s">
        <v>9134</v>
      </c>
      <c r="I174" s="28">
        <v>46276</v>
      </c>
      <c r="J174" t="s">
        <v>9118</v>
      </c>
      <c r="K174" t="s">
        <v>30</v>
      </c>
    </row>
    <row r="175" spans="1:11">
      <c r="A175" s="3">
        <v>2516805</v>
      </c>
      <c r="B175" t="s">
        <v>9186</v>
      </c>
      <c r="C175" t="s">
        <v>7</v>
      </c>
      <c r="D175" t="s">
        <v>9108</v>
      </c>
      <c r="E175" s="28">
        <v>46191</v>
      </c>
      <c r="F175" t="s">
        <v>9109</v>
      </c>
      <c r="G175" s="3" t="s">
        <v>9177</v>
      </c>
      <c r="H175" t="s">
        <v>9134</v>
      </c>
      <c r="I175" s="28">
        <v>46276</v>
      </c>
      <c r="J175" t="s">
        <v>9118</v>
      </c>
      <c r="K175" t="s">
        <v>30</v>
      </c>
    </row>
    <row r="176" spans="1:11">
      <c r="A176" s="3">
        <v>2516807</v>
      </c>
      <c r="B176" t="s">
        <v>268</v>
      </c>
      <c r="C176" t="s">
        <v>7</v>
      </c>
      <c r="D176" t="s">
        <v>9108</v>
      </c>
      <c r="E176" s="28">
        <v>46191</v>
      </c>
      <c r="F176" t="s">
        <v>9109</v>
      </c>
      <c r="G176" s="3" t="s">
        <v>9178</v>
      </c>
      <c r="H176" t="s">
        <v>424</v>
      </c>
      <c r="I176" s="28">
        <v>46269</v>
      </c>
      <c r="J176" t="s">
        <v>9118</v>
      </c>
      <c r="K176" t="s">
        <v>30</v>
      </c>
    </row>
    <row r="177" spans="1:11">
      <c r="A177" s="3">
        <v>2516809</v>
      </c>
      <c r="B177" t="s">
        <v>6341</v>
      </c>
      <c r="C177" t="s">
        <v>8</v>
      </c>
      <c r="D177" t="s">
        <v>9108</v>
      </c>
      <c r="E177" s="28">
        <v>46191</v>
      </c>
      <c r="F177" t="s">
        <v>9109</v>
      </c>
      <c r="G177" s="3" t="s">
        <v>9180</v>
      </c>
      <c r="H177" t="s">
        <v>9181</v>
      </c>
      <c r="I177" s="28">
        <v>46290</v>
      </c>
      <c r="J177" t="s">
        <v>9118</v>
      </c>
      <c r="K177" t="s">
        <v>30</v>
      </c>
    </row>
    <row r="178" spans="1:11">
      <c r="A178" s="3">
        <v>2516818</v>
      </c>
      <c r="B178" t="s">
        <v>9187</v>
      </c>
      <c r="C178" t="s">
        <v>7</v>
      </c>
      <c r="D178" t="s">
        <v>9108</v>
      </c>
      <c r="E178" s="28">
        <v>46191</v>
      </c>
      <c r="F178" t="s">
        <v>9109</v>
      </c>
      <c r="G178" s="3" t="s">
        <v>9177</v>
      </c>
      <c r="H178" t="s">
        <v>9134</v>
      </c>
      <c r="I178" s="28">
        <v>46276</v>
      </c>
      <c r="J178" t="s">
        <v>9118</v>
      </c>
      <c r="K178" t="s">
        <v>30</v>
      </c>
    </row>
    <row r="179" spans="1:11">
      <c r="A179" s="3">
        <v>2516819</v>
      </c>
      <c r="B179" t="s">
        <v>6701</v>
      </c>
      <c r="C179" t="s">
        <v>7</v>
      </c>
      <c r="D179" t="s">
        <v>9108</v>
      </c>
      <c r="E179" s="28">
        <v>46191</v>
      </c>
      <c r="F179" t="s">
        <v>9109</v>
      </c>
      <c r="G179" s="3" t="s">
        <v>9180</v>
      </c>
      <c r="H179" t="s">
        <v>9181</v>
      </c>
      <c r="I179" s="28">
        <v>46290</v>
      </c>
      <c r="J179" t="s">
        <v>9118</v>
      </c>
      <c r="K179" t="s">
        <v>30</v>
      </c>
    </row>
    <row r="180" spans="1:11">
      <c r="A180" s="3">
        <v>2516822</v>
      </c>
      <c r="B180" t="s">
        <v>6049</v>
      </c>
      <c r="C180" t="s">
        <v>7</v>
      </c>
      <c r="D180" t="s">
        <v>9108</v>
      </c>
      <c r="E180" s="28">
        <v>46191</v>
      </c>
      <c r="F180" t="s">
        <v>9109</v>
      </c>
      <c r="G180" s="3" t="s">
        <v>9177</v>
      </c>
      <c r="H180" t="s">
        <v>9134</v>
      </c>
      <c r="I180" s="28">
        <v>46276</v>
      </c>
      <c r="J180" t="s">
        <v>9118</v>
      </c>
      <c r="K180" t="s">
        <v>30</v>
      </c>
    </row>
    <row r="181" spans="1:11">
      <c r="A181" s="3">
        <v>2516823</v>
      </c>
      <c r="B181" t="s">
        <v>9188</v>
      </c>
      <c r="C181" t="s">
        <v>7</v>
      </c>
      <c r="D181" t="s">
        <v>9108</v>
      </c>
      <c r="E181" s="28">
        <v>46191</v>
      </c>
      <c r="F181" t="s">
        <v>9109</v>
      </c>
      <c r="G181" s="3" t="s">
        <v>9177</v>
      </c>
      <c r="H181" t="s">
        <v>9134</v>
      </c>
      <c r="I181" s="28">
        <v>46276</v>
      </c>
      <c r="J181" t="s">
        <v>9118</v>
      </c>
      <c r="K181" t="s">
        <v>30</v>
      </c>
    </row>
    <row r="182" spans="1:11">
      <c r="A182" s="3">
        <v>2516825</v>
      </c>
      <c r="B182" t="s">
        <v>9189</v>
      </c>
      <c r="C182" t="s">
        <v>8</v>
      </c>
      <c r="D182" t="s">
        <v>9108</v>
      </c>
      <c r="E182" s="28">
        <v>46191</v>
      </c>
      <c r="F182" t="s">
        <v>9109</v>
      </c>
      <c r="G182" s="3" t="s">
        <v>9180</v>
      </c>
      <c r="H182" t="s">
        <v>9181</v>
      </c>
      <c r="I182" s="28">
        <v>46290</v>
      </c>
      <c r="J182" t="s">
        <v>9118</v>
      </c>
      <c r="K182" t="s">
        <v>30</v>
      </c>
    </row>
    <row r="183" spans="1:11">
      <c r="A183" s="3">
        <v>2516827</v>
      </c>
      <c r="B183" t="s">
        <v>618</v>
      </c>
      <c r="C183" t="s">
        <v>8</v>
      </c>
      <c r="D183" t="s">
        <v>9108</v>
      </c>
      <c r="E183" s="28">
        <v>46191</v>
      </c>
      <c r="F183" t="s">
        <v>9109</v>
      </c>
      <c r="G183" s="3" t="s">
        <v>9177</v>
      </c>
      <c r="H183" t="s">
        <v>9134</v>
      </c>
      <c r="I183" s="28">
        <v>46276</v>
      </c>
      <c r="J183" t="s">
        <v>9118</v>
      </c>
      <c r="K183" t="s">
        <v>30</v>
      </c>
    </row>
    <row r="184" spans="1:11">
      <c r="A184" s="3">
        <v>2516828</v>
      </c>
      <c r="B184" t="s">
        <v>1875</v>
      </c>
      <c r="C184" t="s">
        <v>7</v>
      </c>
      <c r="D184" t="s">
        <v>9108</v>
      </c>
      <c r="E184" s="28">
        <v>46191</v>
      </c>
      <c r="F184" t="s">
        <v>9109</v>
      </c>
      <c r="G184" s="3" t="s">
        <v>9177</v>
      </c>
      <c r="H184" t="s">
        <v>9134</v>
      </c>
      <c r="I184" s="28">
        <v>46276</v>
      </c>
      <c r="J184" t="s">
        <v>9118</v>
      </c>
      <c r="K184" t="s">
        <v>30</v>
      </c>
    </row>
    <row r="185" spans="1:11">
      <c r="A185" s="3">
        <v>2516836</v>
      </c>
      <c r="B185" t="s">
        <v>9190</v>
      </c>
      <c r="C185" t="s">
        <v>7</v>
      </c>
      <c r="D185" t="s">
        <v>9108</v>
      </c>
      <c r="E185" s="28">
        <v>46191</v>
      </c>
      <c r="F185" t="s">
        <v>9109</v>
      </c>
      <c r="G185" s="3" t="s">
        <v>9177</v>
      </c>
      <c r="H185" t="s">
        <v>9134</v>
      </c>
      <c r="I185" s="28">
        <v>46276</v>
      </c>
      <c r="J185" t="s">
        <v>9118</v>
      </c>
      <c r="K185" t="s">
        <v>30</v>
      </c>
    </row>
    <row r="186" spans="1:11">
      <c r="A186" s="3">
        <v>2516840</v>
      </c>
      <c r="B186" t="s">
        <v>9191</v>
      </c>
      <c r="C186" t="s">
        <v>8</v>
      </c>
      <c r="D186" t="s">
        <v>9108</v>
      </c>
      <c r="E186" s="28">
        <v>46191</v>
      </c>
      <c r="F186" t="s">
        <v>9109</v>
      </c>
      <c r="G186" s="3" t="s">
        <v>9183</v>
      </c>
      <c r="H186" t="s">
        <v>424</v>
      </c>
      <c r="I186" s="28">
        <v>46269</v>
      </c>
      <c r="J186" t="s">
        <v>9135</v>
      </c>
      <c r="K186" t="s">
        <v>30</v>
      </c>
    </row>
    <row r="187" spans="1:11">
      <c r="A187" s="3">
        <v>2516843</v>
      </c>
      <c r="B187" t="s">
        <v>9192</v>
      </c>
      <c r="C187" t="s">
        <v>7</v>
      </c>
      <c r="D187" t="s">
        <v>9108</v>
      </c>
      <c r="E187" s="28">
        <v>46191</v>
      </c>
      <c r="F187" t="s">
        <v>9109</v>
      </c>
      <c r="G187" s="3" t="s">
        <v>9177</v>
      </c>
      <c r="H187" t="s">
        <v>9134</v>
      </c>
      <c r="I187" s="28">
        <v>46276</v>
      </c>
      <c r="J187" t="s">
        <v>9118</v>
      </c>
      <c r="K187" t="s">
        <v>30</v>
      </c>
    </row>
    <row r="188" spans="1:11">
      <c r="A188" s="3">
        <v>2516845</v>
      </c>
      <c r="B188" t="s">
        <v>7358</v>
      </c>
      <c r="C188" t="s">
        <v>8</v>
      </c>
      <c r="D188" t="s">
        <v>9108</v>
      </c>
      <c r="E188" s="28">
        <v>46191</v>
      </c>
      <c r="F188" t="s">
        <v>9109</v>
      </c>
      <c r="G188" s="3" t="s">
        <v>9177</v>
      </c>
      <c r="H188" t="s">
        <v>9134</v>
      </c>
      <c r="I188" s="28">
        <v>46276</v>
      </c>
      <c r="J188" t="s">
        <v>9118</v>
      </c>
      <c r="K188" t="s">
        <v>30</v>
      </c>
    </row>
    <row r="189" spans="1:11">
      <c r="A189" s="3">
        <v>2516851</v>
      </c>
      <c r="B189" t="s">
        <v>4118</v>
      </c>
      <c r="C189" t="s">
        <v>7</v>
      </c>
      <c r="D189" t="s">
        <v>9108</v>
      </c>
      <c r="E189" s="28">
        <v>46191</v>
      </c>
      <c r="F189" t="s">
        <v>9109</v>
      </c>
      <c r="G189" s="3" t="s">
        <v>9177</v>
      </c>
      <c r="H189" t="s">
        <v>9134</v>
      </c>
      <c r="I189" s="28">
        <v>46276</v>
      </c>
      <c r="J189" t="s">
        <v>9118</v>
      </c>
      <c r="K189" t="s">
        <v>30</v>
      </c>
    </row>
    <row r="190" spans="1:11">
      <c r="A190" s="3">
        <v>2516852</v>
      </c>
      <c r="B190" t="s">
        <v>4944</v>
      </c>
      <c r="C190" t="s">
        <v>7</v>
      </c>
      <c r="D190" t="s">
        <v>9108</v>
      </c>
      <c r="E190" s="28">
        <v>46191</v>
      </c>
      <c r="F190" t="s">
        <v>9109</v>
      </c>
      <c r="G190" s="3" t="s">
        <v>9180</v>
      </c>
      <c r="H190" t="s">
        <v>9181</v>
      </c>
      <c r="I190" s="28">
        <v>46290</v>
      </c>
      <c r="J190" t="s">
        <v>9118</v>
      </c>
      <c r="K190" t="s">
        <v>30</v>
      </c>
    </row>
    <row r="191" spans="1:11">
      <c r="A191" s="3">
        <v>2516853</v>
      </c>
      <c r="B191" t="s">
        <v>6748</v>
      </c>
      <c r="C191" t="s">
        <v>7</v>
      </c>
      <c r="D191" t="s">
        <v>9108</v>
      </c>
      <c r="E191" s="28">
        <v>46191</v>
      </c>
      <c r="F191" t="s">
        <v>9109</v>
      </c>
      <c r="G191" s="3" t="s">
        <v>9177</v>
      </c>
      <c r="H191" t="s">
        <v>9134</v>
      </c>
      <c r="I191" s="28">
        <v>46276</v>
      </c>
      <c r="J191" t="s">
        <v>9118</v>
      </c>
      <c r="K191" t="s">
        <v>30</v>
      </c>
    </row>
    <row r="192" spans="1:11">
      <c r="A192" s="3">
        <v>2516858</v>
      </c>
      <c r="B192" t="s">
        <v>4870</v>
      </c>
      <c r="C192" t="s">
        <v>7</v>
      </c>
      <c r="D192" t="s">
        <v>9108</v>
      </c>
      <c r="E192" s="28">
        <v>46191</v>
      </c>
      <c r="F192" t="s">
        <v>9109</v>
      </c>
      <c r="G192" s="3" t="s">
        <v>9177</v>
      </c>
      <c r="H192" t="s">
        <v>9134</v>
      </c>
      <c r="I192" s="28">
        <v>46276</v>
      </c>
      <c r="J192" t="s">
        <v>9118</v>
      </c>
      <c r="K192" t="s">
        <v>30</v>
      </c>
    </row>
    <row r="193" spans="1:11">
      <c r="A193" s="3">
        <v>2516859</v>
      </c>
      <c r="B193" t="s">
        <v>9193</v>
      </c>
      <c r="C193" t="s">
        <v>8</v>
      </c>
      <c r="D193" t="s">
        <v>9108</v>
      </c>
      <c r="E193" s="28">
        <v>46191</v>
      </c>
      <c r="F193" t="s">
        <v>9109</v>
      </c>
      <c r="G193" s="3" t="s">
        <v>9183</v>
      </c>
      <c r="H193" t="s">
        <v>424</v>
      </c>
      <c r="I193" s="28">
        <v>46269</v>
      </c>
      <c r="J193" t="s">
        <v>9118</v>
      </c>
      <c r="K193" t="s">
        <v>30</v>
      </c>
    </row>
    <row r="194" spans="1:11">
      <c r="A194" s="3">
        <v>2516861</v>
      </c>
      <c r="B194" t="s">
        <v>9194</v>
      </c>
      <c r="C194" t="s">
        <v>8</v>
      </c>
      <c r="D194" t="s">
        <v>9108</v>
      </c>
      <c r="E194" s="28">
        <v>46191</v>
      </c>
      <c r="F194" t="s">
        <v>9109</v>
      </c>
      <c r="G194" s="3" t="s">
        <v>9177</v>
      </c>
      <c r="H194" t="s">
        <v>9134</v>
      </c>
      <c r="I194" s="28">
        <v>46276</v>
      </c>
      <c r="J194" t="s">
        <v>9118</v>
      </c>
      <c r="K194" t="s">
        <v>30</v>
      </c>
    </row>
    <row r="195" spans="1:11">
      <c r="A195" s="3">
        <v>2516863</v>
      </c>
      <c r="B195" t="s">
        <v>1547</v>
      </c>
      <c r="C195" t="s">
        <v>7</v>
      </c>
      <c r="D195" t="s">
        <v>9108</v>
      </c>
      <c r="E195" s="28">
        <v>46191</v>
      </c>
      <c r="F195" t="s">
        <v>9109</v>
      </c>
      <c r="G195" s="3" t="s">
        <v>9177</v>
      </c>
      <c r="H195" t="s">
        <v>9134</v>
      </c>
      <c r="I195" s="28">
        <v>46276</v>
      </c>
      <c r="J195" t="s">
        <v>9118</v>
      </c>
      <c r="K195" t="s">
        <v>30</v>
      </c>
    </row>
    <row r="196" spans="1:11">
      <c r="A196" s="3">
        <v>2516864</v>
      </c>
      <c r="B196" t="s">
        <v>4621</v>
      </c>
      <c r="C196" t="s">
        <v>8</v>
      </c>
      <c r="D196" t="s">
        <v>9108</v>
      </c>
      <c r="E196" s="28">
        <v>46191</v>
      </c>
      <c r="F196" t="s">
        <v>9109</v>
      </c>
      <c r="G196" s="3" t="s">
        <v>9183</v>
      </c>
      <c r="H196" t="s">
        <v>424</v>
      </c>
      <c r="I196" s="28">
        <v>46269</v>
      </c>
      <c r="J196" t="s">
        <v>9135</v>
      </c>
      <c r="K196" t="s">
        <v>30</v>
      </c>
    </row>
    <row r="197" spans="1:11">
      <c r="A197" s="3">
        <v>2516865</v>
      </c>
      <c r="B197" t="s">
        <v>4587</v>
      </c>
      <c r="C197" t="s">
        <v>8</v>
      </c>
      <c r="D197" t="s">
        <v>9108</v>
      </c>
      <c r="E197" s="28">
        <v>46191</v>
      </c>
      <c r="F197" t="s">
        <v>9109</v>
      </c>
      <c r="G197" s="3" t="s">
        <v>9183</v>
      </c>
      <c r="H197" t="s">
        <v>424</v>
      </c>
      <c r="I197" s="28">
        <v>46269</v>
      </c>
      <c r="J197" t="s">
        <v>9135</v>
      </c>
      <c r="K197" t="s">
        <v>30</v>
      </c>
    </row>
    <row r="198" spans="1:11">
      <c r="A198" s="3">
        <v>2516866</v>
      </c>
      <c r="B198" t="s">
        <v>9195</v>
      </c>
      <c r="C198" t="s">
        <v>7</v>
      </c>
      <c r="D198" t="s">
        <v>9108</v>
      </c>
      <c r="E198" s="28">
        <v>46191</v>
      </c>
      <c r="F198" t="s">
        <v>9109</v>
      </c>
      <c r="G198" s="3" t="s">
        <v>9177</v>
      </c>
      <c r="H198" t="s">
        <v>9134</v>
      </c>
      <c r="I198" s="28">
        <v>46276</v>
      </c>
      <c r="J198" t="s">
        <v>9118</v>
      </c>
      <c r="K198" t="s">
        <v>30</v>
      </c>
    </row>
    <row r="199" spans="1:11">
      <c r="A199" s="3">
        <v>2516871</v>
      </c>
      <c r="B199" t="s">
        <v>5026</v>
      </c>
      <c r="C199" t="s">
        <v>7</v>
      </c>
      <c r="D199" t="s">
        <v>9108</v>
      </c>
      <c r="E199" s="28">
        <v>46191</v>
      </c>
      <c r="F199" t="s">
        <v>9109</v>
      </c>
      <c r="G199" s="3" t="s">
        <v>9177</v>
      </c>
      <c r="H199" t="s">
        <v>9134</v>
      </c>
      <c r="I199" s="28">
        <v>46276</v>
      </c>
      <c r="J199" t="s">
        <v>9118</v>
      </c>
      <c r="K199" t="s">
        <v>30</v>
      </c>
    </row>
    <row r="200" spans="1:11">
      <c r="A200" s="3">
        <v>2516872</v>
      </c>
      <c r="B200" t="s">
        <v>4123</v>
      </c>
      <c r="C200" t="s">
        <v>7</v>
      </c>
      <c r="D200" t="s">
        <v>9108</v>
      </c>
      <c r="E200" s="28">
        <v>46191</v>
      </c>
      <c r="F200" t="s">
        <v>9109</v>
      </c>
      <c r="G200" s="3" t="s">
        <v>9177</v>
      </c>
      <c r="H200" t="s">
        <v>9134</v>
      </c>
      <c r="I200" s="28">
        <v>46276</v>
      </c>
      <c r="J200" t="s">
        <v>9118</v>
      </c>
      <c r="K200" t="s">
        <v>30</v>
      </c>
    </row>
    <row r="201" spans="1:11">
      <c r="A201" s="3">
        <v>2516873</v>
      </c>
      <c r="B201" t="s">
        <v>2888</v>
      </c>
      <c r="C201" t="s">
        <v>7</v>
      </c>
      <c r="D201" t="s">
        <v>9108</v>
      </c>
      <c r="E201" s="28">
        <v>46191</v>
      </c>
      <c r="F201" t="s">
        <v>9109</v>
      </c>
      <c r="G201" s="3" t="s">
        <v>9177</v>
      </c>
      <c r="H201" t="s">
        <v>9134</v>
      </c>
      <c r="I201" s="28">
        <v>46276</v>
      </c>
      <c r="J201" t="s">
        <v>9118</v>
      </c>
      <c r="K201" t="s">
        <v>30</v>
      </c>
    </row>
    <row r="202" spans="1:11">
      <c r="A202" s="3">
        <v>2516874</v>
      </c>
      <c r="B202" t="s">
        <v>6044</v>
      </c>
      <c r="C202" t="s">
        <v>7</v>
      </c>
      <c r="D202" t="s">
        <v>9108</v>
      </c>
      <c r="E202" s="28">
        <v>46191</v>
      </c>
      <c r="F202" t="s">
        <v>9109</v>
      </c>
      <c r="G202" s="3" t="s">
        <v>9177</v>
      </c>
      <c r="H202" t="s">
        <v>9134</v>
      </c>
      <c r="I202" s="28">
        <v>46276</v>
      </c>
      <c r="J202" t="s">
        <v>9118</v>
      </c>
      <c r="K202" t="s">
        <v>30</v>
      </c>
    </row>
    <row r="203" spans="1:11">
      <c r="A203" s="3">
        <v>2516875</v>
      </c>
      <c r="B203" t="s">
        <v>4113</v>
      </c>
      <c r="C203" t="s">
        <v>7</v>
      </c>
      <c r="D203" t="s">
        <v>9108</v>
      </c>
      <c r="E203" s="28">
        <v>46191</v>
      </c>
      <c r="F203" t="s">
        <v>9109</v>
      </c>
      <c r="G203" s="3" t="s">
        <v>9177</v>
      </c>
      <c r="H203" t="s">
        <v>9134</v>
      </c>
      <c r="I203" s="28">
        <v>46276</v>
      </c>
      <c r="J203" t="s">
        <v>9118</v>
      </c>
      <c r="K203" t="s">
        <v>30</v>
      </c>
    </row>
    <row r="204" spans="1:11">
      <c r="A204" s="3">
        <v>2516878</v>
      </c>
      <c r="B204" t="s">
        <v>3493</v>
      </c>
      <c r="C204" t="s">
        <v>7</v>
      </c>
      <c r="D204" t="s">
        <v>9108</v>
      </c>
      <c r="E204" s="28">
        <v>46191</v>
      </c>
      <c r="F204" t="s">
        <v>9109</v>
      </c>
      <c r="G204" s="3" t="s">
        <v>9177</v>
      </c>
      <c r="H204" t="s">
        <v>9134</v>
      </c>
      <c r="I204" s="28">
        <v>46276</v>
      </c>
      <c r="J204" t="s">
        <v>9118</v>
      </c>
      <c r="K204" t="s">
        <v>30</v>
      </c>
    </row>
    <row r="205" spans="1:11">
      <c r="A205" s="3">
        <v>2516883</v>
      </c>
      <c r="B205" t="s">
        <v>1246</v>
      </c>
      <c r="C205" t="s">
        <v>8</v>
      </c>
      <c r="D205" t="s">
        <v>9108</v>
      </c>
      <c r="E205" s="28">
        <v>46191</v>
      </c>
      <c r="F205" t="s">
        <v>9109</v>
      </c>
      <c r="G205" s="3" t="s">
        <v>9178</v>
      </c>
      <c r="H205" t="s">
        <v>424</v>
      </c>
      <c r="I205" s="28">
        <v>46272</v>
      </c>
      <c r="J205" t="s">
        <v>9135</v>
      </c>
      <c r="K205" t="s">
        <v>30</v>
      </c>
    </row>
    <row r="206" spans="1:11">
      <c r="A206" s="3">
        <v>2516884</v>
      </c>
      <c r="B206" t="s">
        <v>7829</v>
      </c>
      <c r="C206" t="s">
        <v>8</v>
      </c>
      <c r="D206" t="s">
        <v>9108</v>
      </c>
      <c r="E206" s="28">
        <v>46191</v>
      </c>
      <c r="F206" t="s">
        <v>9109</v>
      </c>
      <c r="G206" s="3" t="s">
        <v>9177</v>
      </c>
      <c r="H206" t="s">
        <v>9134</v>
      </c>
      <c r="I206" s="28">
        <v>46276</v>
      </c>
      <c r="J206" t="s">
        <v>9118</v>
      </c>
      <c r="K206" t="s">
        <v>30</v>
      </c>
    </row>
    <row r="207" spans="1:11">
      <c r="A207" s="3">
        <v>2516885</v>
      </c>
      <c r="B207" t="s">
        <v>5749</v>
      </c>
      <c r="C207" t="s">
        <v>7</v>
      </c>
      <c r="D207" t="s">
        <v>9108</v>
      </c>
      <c r="E207" s="28">
        <v>46191</v>
      </c>
      <c r="F207" t="s">
        <v>9109</v>
      </c>
      <c r="G207" s="3" t="s">
        <v>9178</v>
      </c>
      <c r="H207" t="s">
        <v>424</v>
      </c>
      <c r="I207" s="28">
        <v>46269</v>
      </c>
      <c r="J207" t="s">
        <v>9118</v>
      </c>
      <c r="K207" t="s">
        <v>30</v>
      </c>
    </row>
    <row r="208" spans="1:11">
      <c r="A208" s="3">
        <v>2516886</v>
      </c>
      <c r="B208" t="s">
        <v>6648</v>
      </c>
      <c r="C208" t="s">
        <v>8</v>
      </c>
      <c r="D208" t="s">
        <v>9108</v>
      </c>
      <c r="E208" s="28">
        <v>46191</v>
      </c>
      <c r="F208" t="s">
        <v>9109</v>
      </c>
      <c r="G208" s="3" t="s">
        <v>9178</v>
      </c>
      <c r="H208" t="s">
        <v>424</v>
      </c>
      <c r="I208" s="28">
        <v>46269</v>
      </c>
      <c r="J208" t="s">
        <v>9135</v>
      </c>
      <c r="K208" t="s">
        <v>30</v>
      </c>
    </row>
    <row r="209" spans="1:11">
      <c r="A209" s="3">
        <v>2516888</v>
      </c>
      <c r="B209" t="s">
        <v>4370</v>
      </c>
      <c r="C209" t="s">
        <v>8</v>
      </c>
      <c r="D209" t="s">
        <v>9108</v>
      </c>
      <c r="E209" s="28">
        <v>46191</v>
      </c>
      <c r="F209" t="s">
        <v>9109</v>
      </c>
      <c r="G209" s="3" t="s">
        <v>9178</v>
      </c>
      <c r="H209" t="s">
        <v>424</v>
      </c>
      <c r="I209" s="28">
        <v>46269</v>
      </c>
      <c r="J209" t="s">
        <v>9135</v>
      </c>
      <c r="K209" t="s">
        <v>30</v>
      </c>
    </row>
    <row r="210" spans="1:11">
      <c r="A210" s="3">
        <v>2518805</v>
      </c>
      <c r="B210" t="s">
        <v>2632</v>
      </c>
      <c r="C210" t="s">
        <v>7</v>
      </c>
      <c r="D210" t="s">
        <v>9108</v>
      </c>
      <c r="E210" s="28">
        <v>46203</v>
      </c>
      <c r="F210" t="s">
        <v>9109</v>
      </c>
      <c r="G210" s="3" t="s">
        <v>9196</v>
      </c>
      <c r="H210" t="s">
        <v>4040</v>
      </c>
      <c r="I210" s="28">
        <v>46309</v>
      </c>
      <c r="J210" t="s">
        <v>9118</v>
      </c>
      <c r="K210" t="s">
        <v>31</v>
      </c>
    </row>
    <row r="211" spans="1:11">
      <c r="A211" s="3">
        <v>2518810</v>
      </c>
      <c r="B211" t="s">
        <v>9197</v>
      </c>
      <c r="C211" t="s">
        <v>7</v>
      </c>
      <c r="D211" t="s">
        <v>9108</v>
      </c>
      <c r="E211" s="28">
        <v>46203</v>
      </c>
      <c r="F211" t="s">
        <v>9109</v>
      </c>
      <c r="G211" s="3" t="s">
        <v>9196</v>
      </c>
      <c r="H211" t="s">
        <v>4040</v>
      </c>
      <c r="I211" s="28">
        <v>46309</v>
      </c>
      <c r="J211" t="s">
        <v>9118</v>
      </c>
      <c r="K211" t="s">
        <v>31</v>
      </c>
    </row>
    <row r="212" spans="1:11">
      <c r="A212" s="3">
        <v>2518811</v>
      </c>
      <c r="B212" t="s">
        <v>5764</v>
      </c>
      <c r="C212" t="s">
        <v>7</v>
      </c>
      <c r="D212" t="s">
        <v>9108</v>
      </c>
      <c r="E212" s="28">
        <v>46203</v>
      </c>
      <c r="F212" t="s">
        <v>9109</v>
      </c>
      <c r="G212" s="3" t="s">
        <v>9196</v>
      </c>
      <c r="H212" t="s">
        <v>4040</v>
      </c>
      <c r="I212" s="28">
        <v>46309</v>
      </c>
      <c r="J212" t="s">
        <v>9118</v>
      </c>
      <c r="K212" t="s">
        <v>31</v>
      </c>
    </row>
    <row r="213" spans="1:11">
      <c r="A213" s="3">
        <v>2518812</v>
      </c>
      <c r="B213" t="s">
        <v>2733</v>
      </c>
      <c r="C213" t="s">
        <v>8</v>
      </c>
      <c r="D213" t="s">
        <v>9108</v>
      </c>
      <c r="E213" s="28">
        <v>46203</v>
      </c>
      <c r="F213" t="s">
        <v>9109</v>
      </c>
      <c r="G213" s="3" t="s">
        <v>9196</v>
      </c>
      <c r="H213" t="s">
        <v>4040</v>
      </c>
      <c r="I213" s="28">
        <v>46309</v>
      </c>
      <c r="J213" t="s">
        <v>9118</v>
      </c>
      <c r="K213" t="s">
        <v>31</v>
      </c>
    </row>
    <row r="214" spans="1:11">
      <c r="A214" s="3">
        <v>2518813</v>
      </c>
      <c r="B214" t="s">
        <v>3224</v>
      </c>
      <c r="C214" t="s">
        <v>7</v>
      </c>
      <c r="D214" t="s">
        <v>9108</v>
      </c>
      <c r="E214" s="28">
        <v>46203</v>
      </c>
      <c r="F214" t="s">
        <v>9109</v>
      </c>
      <c r="G214" s="3" t="s">
        <v>9196</v>
      </c>
      <c r="H214" t="s">
        <v>4040</v>
      </c>
      <c r="I214" s="28">
        <v>46309</v>
      </c>
      <c r="J214" t="s">
        <v>9118</v>
      </c>
      <c r="K214" t="s">
        <v>31</v>
      </c>
    </row>
    <row r="215" spans="1:11">
      <c r="A215" s="3">
        <v>2518814</v>
      </c>
      <c r="B215" t="s">
        <v>1793</v>
      </c>
      <c r="C215" t="s">
        <v>8</v>
      </c>
      <c r="D215" t="s">
        <v>9108</v>
      </c>
      <c r="E215" s="28">
        <v>46203</v>
      </c>
      <c r="F215" t="s">
        <v>9109</v>
      </c>
      <c r="G215" s="3" t="s">
        <v>9196</v>
      </c>
      <c r="H215" t="s">
        <v>4040</v>
      </c>
      <c r="I215" s="28">
        <v>46309</v>
      </c>
      <c r="J215" t="s">
        <v>9118</v>
      </c>
      <c r="K215" t="s">
        <v>31</v>
      </c>
    </row>
    <row r="216" spans="1:11">
      <c r="A216" s="3">
        <v>2518815</v>
      </c>
      <c r="B216" t="s">
        <v>8007</v>
      </c>
      <c r="C216" t="s">
        <v>8</v>
      </c>
      <c r="D216" t="s">
        <v>9108</v>
      </c>
      <c r="E216" s="28">
        <v>46203</v>
      </c>
      <c r="F216" t="s">
        <v>9109</v>
      </c>
      <c r="G216" s="3" t="s">
        <v>9196</v>
      </c>
      <c r="H216" t="s">
        <v>4040</v>
      </c>
      <c r="I216" s="28">
        <v>46309</v>
      </c>
      <c r="J216" t="s">
        <v>9118</v>
      </c>
      <c r="K216" t="s">
        <v>31</v>
      </c>
    </row>
    <row r="217" spans="1:11">
      <c r="A217" s="3">
        <v>2518816</v>
      </c>
      <c r="B217" t="s">
        <v>4035</v>
      </c>
      <c r="C217" t="s">
        <v>8</v>
      </c>
      <c r="D217" t="s">
        <v>9108</v>
      </c>
      <c r="E217" s="28">
        <v>46203</v>
      </c>
      <c r="F217" t="s">
        <v>9109</v>
      </c>
      <c r="G217" s="3" t="s">
        <v>9196</v>
      </c>
      <c r="H217" t="s">
        <v>4040</v>
      </c>
      <c r="I217" s="28">
        <v>46309</v>
      </c>
      <c r="J217" t="s">
        <v>9118</v>
      </c>
      <c r="K217" t="s">
        <v>31</v>
      </c>
    </row>
    <row r="218" spans="1:11">
      <c r="A218" s="3">
        <v>2518817</v>
      </c>
      <c r="B218" t="s">
        <v>8046</v>
      </c>
      <c r="C218" t="s">
        <v>8</v>
      </c>
      <c r="D218" t="s">
        <v>9108</v>
      </c>
      <c r="E218" s="28">
        <v>46203</v>
      </c>
      <c r="F218" t="s">
        <v>9109</v>
      </c>
      <c r="G218" s="3" t="s">
        <v>9196</v>
      </c>
      <c r="H218" t="s">
        <v>4040</v>
      </c>
      <c r="I218" s="28">
        <v>46309</v>
      </c>
      <c r="J218" t="s">
        <v>9118</v>
      </c>
      <c r="K218" t="s">
        <v>31</v>
      </c>
    </row>
    <row r="219" spans="1:11">
      <c r="A219" s="3">
        <v>2518819</v>
      </c>
      <c r="B219" t="s">
        <v>4105</v>
      </c>
      <c r="C219" t="s">
        <v>7</v>
      </c>
      <c r="D219" t="s">
        <v>9108</v>
      </c>
      <c r="E219" s="28">
        <v>46203</v>
      </c>
      <c r="F219" t="s">
        <v>9109</v>
      </c>
      <c r="G219" s="3" t="s">
        <v>9196</v>
      </c>
      <c r="H219" t="s">
        <v>4040</v>
      </c>
      <c r="I219" s="28">
        <v>46309</v>
      </c>
      <c r="J219" t="s">
        <v>9118</v>
      </c>
      <c r="K219" t="s">
        <v>31</v>
      </c>
    </row>
    <row r="220" spans="1:11">
      <c r="A220" s="3">
        <v>2518820</v>
      </c>
      <c r="B220" t="s">
        <v>4913</v>
      </c>
      <c r="C220" t="s">
        <v>7</v>
      </c>
      <c r="D220" t="s">
        <v>9108</v>
      </c>
      <c r="E220" s="28">
        <v>46203</v>
      </c>
      <c r="F220" t="s">
        <v>9109</v>
      </c>
      <c r="G220" s="3" t="s">
        <v>9196</v>
      </c>
      <c r="H220" t="s">
        <v>4040</v>
      </c>
      <c r="I220" s="28">
        <v>46309</v>
      </c>
      <c r="J220" t="s">
        <v>9118</v>
      </c>
      <c r="K220" t="s">
        <v>31</v>
      </c>
    </row>
    <row r="221" spans="1:11">
      <c r="A221" s="3">
        <v>2518821</v>
      </c>
      <c r="B221" t="s">
        <v>6464</v>
      </c>
      <c r="C221" t="s">
        <v>8</v>
      </c>
      <c r="D221" t="s">
        <v>9108</v>
      </c>
      <c r="E221" s="28">
        <v>46203</v>
      </c>
      <c r="F221" t="s">
        <v>9109</v>
      </c>
      <c r="G221" s="3" t="s">
        <v>9196</v>
      </c>
      <c r="H221" t="s">
        <v>4040</v>
      </c>
      <c r="I221" s="28">
        <v>46309</v>
      </c>
      <c r="J221" t="s">
        <v>9118</v>
      </c>
      <c r="K221" t="s">
        <v>31</v>
      </c>
    </row>
    <row r="222" spans="1:11">
      <c r="A222" s="3">
        <v>2518822</v>
      </c>
      <c r="B222" t="s">
        <v>9198</v>
      </c>
      <c r="C222" t="s">
        <v>8</v>
      </c>
      <c r="D222" t="s">
        <v>9108</v>
      </c>
      <c r="E222" s="28">
        <v>46203</v>
      </c>
      <c r="F222" t="s">
        <v>9109</v>
      </c>
      <c r="G222" s="3" t="s">
        <v>9196</v>
      </c>
      <c r="H222" t="s">
        <v>4040</v>
      </c>
      <c r="I222" s="28">
        <v>46309</v>
      </c>
      <c r="J222" t="s">
        <v>9118</v>
      </c>
      <c r="K222" t="s">
        <v>31</v>
      </c>
    </row>
    <row r="223" spans="1:11">
      <c r="A223" s="3">
        <v>2518823</v>
      </c>
      <c r="B223" t="s">
        <v>9199</v>
      </c>
      <c r="C223" t="s">
        <v>7</v>
      </c>
      <c r="D223" t="s">
        <v>9108</v>
      </c>
      <c r="E223" s="28">
        <v>46203</v>
      </c>
      <c r="F223" t="s">
        <v>9109</v>
      </c>
      <c r="G223" s="3" t="s">
        <v>9196</v>
      </c>
      <c r="H223" t="s">
        <v>4040</v>
      </c>
      <c r="I223" s="28">
        <v>46309</v>
      </c>
      <c r="J223" t="s">
        <v>9118</v>
      </c>
      <c r="K223" t="s">
        <v>31</v>
      </c>
    </row>
    <row r="224" spans="1:11">
      <c r="A224" s="3">
        <v>2518824</v>
      </c>
      <c r="B224" t="s">
        <v>4804</v>
      </c>
      <c r="C224" t="s">
        <v>7</v>
      </c>
      <c r="D224" t="s">
        <v>9108</v>
      </c>
      <c r="E224" s="28">
        <v>46203</v>
      </c>
      <c r="F224" t="s">
        <v>9109</v>
      </c>
      <c r="G224" s="3" t="s">
        <v>9196</v>
      </c>
      <c r="H224" t="s">
        <v>4040</v>
      </c>
      <c r="I224" s="28">
        <v>46309</v>
      </c>
      <c r="J224" t="s">
        <v>9118</v>
      </c>
      <c r="K224" t="s">
        <v>31</v>
      </c>
    </row>
    <row r="225" spans="1:11">
      <c r="A225" s="3">
        <v>2518825</v>
      </c>
      <c r="B225" t="s">
        <v>8187</v>
      </c>
      <c r="C225" t="s">
        <v>8</v>
      </c>
      <c r="D225" t="s">
        <v>9108</v>
      </c>
      <c r="E225" s="28">
        <v>46203</v>
      </c>
      <c r="F225" t="s">
        <v>9109</v>
      </c>
      <c r="G225" s="3" t="s">
        <v>9196</v>
      </c>
      <c r="H225" t="s">
        <v>4040</v>
      </c>
      <c r="I225" s="28">
        <v>46309</v>
      </c>
      <c r="J225" t="s">
        <v>9118</v>
      </c>
      <c r="K225" t="s">
        <v>31</v>
      </c>
    </row>
    <row r="226" spans="1:11">
      <c r="A226" s="3">
        <v>2518826</v>
      </c>
      <c r="B226" t="s">
        <v>9200</v>
      </c>
      <c r="C226" t="s">
        <v>8</v>
      </c>
      <c r="D226" t="s">
        <v>9108</v>
      </c>
      <c r="E226" s="28">
        <v>46203</v>
      </c>
      <c r="F226" t="s">
        <v>9109</v>
      </c>
      <c r="G226" s="3" t="s">
        <v>9196</v>
      </c>
      <c r="H226" t="s">
        <v>4040</v>
      </c>
      <c r="I226" s="28">
        <v>46309</v>
      </c>
      <c r="J226" t="s">
        <v>9118</v>
      </c>
      <c r="K226" t="s">
        <v>31</v>
      </c>
    </row>
    <row r="227" spans="1:11">
      <c r="A227" s="3">
        <v>2518827</v>
      </c>
      <c r="B227" t="s">
        <v>6474</v>
      </c>
      <c r="C227" t="s">
        <v>8</v>
      </c>
      <c r="D227" t="s">
        <v>9108</v>
      </c>
      <c r="E227" s="28">
        <v>46203</v>
      </c>
      <c r="F227" t="s">
        <v>9109</v>
      </c>
      <c r="G227" s="3" t="s">
        <v>9196</v>
      </c>
      <c r="H227" t="s">
        <v>4040</v>
      </c>
      <c r="I227" s="28">
        <v>46309</v>
      </c>
      <c r="J227" t="s">
        <v>9118</v>
      </c>
      <c r="K227" t="s">
        <v>31</v>
      </c>
    </row>
    <row r="228" spans="1:11">
      <c r="A228" s="3">
        <v>2518828</v>
      </c>
      <c r="B228" t="s">
        <v>9201</v>
      </c>
      <c r="C228" t="s">
        <v>8</v>
      </c>
      <c r="D228" t="s">
        <v>9108</v>
      </c>
      <c r="E228" s="28">
        <v>46203</v>
      </c>
      <c r="F228" t="s">
        <v>9109</v>
      </c>
      <c r="G228" s="3" t="s">
        <v>9196</v>
      </c>
      <c r="H228" t="s">
        <v>4040</v>
      </c>
      <c r="I228" s="28">
        <v>46309</v>
      </c>
      <c r="J228" t="s">
        <v>9118</v>
      </c>
      <c r="K228" t="s">
        <v>31</v>
      </c>
    </row>
    <row r="229" spans="1:11">
      <c r="A229" s="3">
        <v>2518829</v>
      </c>
      <c r="B229" t="s">
        <v>6469</v>
      </c>
      <c r="C229" t="s">
        <v>8</v>
      </c>
      <c r="D229" t="s">
        <v>9108</v>
      </c>
      <c r="E229" s="28">
        <v>46203</v>
      </c>
      <c r="F229" t="s">
        <v>9109</v>
      </c>
      <c r="G229" s="3" t="s">
        <v>9196</v>
      </c>
      <c r="H229" t="s">
        <v>4040</v>
      </c>
      <c r="I229" s="28">
        <v>46309</v>
      </c>
      <c r="J229" t="s">
        <v>9118</v>
      </c>
      <c r="K229" t="s">
        <v>31</v>
      </c>
    </row>
    <row r="230" spans="1:11">
      <c r="A230" s="3">
        <v>2518830</v>
      </c>
      <c r="B230" t="s">
        <v>9202</v>
      </c>
      <c r="C230" t="s">
        <v>7</v>
      </c>
      <c r="D230" t="s">
        <v>9108</v>
      </c>
      <c r="E230" s="28">
        <v>46203</v>
      </c>
      <c r="F230" t="s">
        <v>9109</v>
      </c>
      <c r="G230" s="3" t="s">
        <v>9196</v>
      </c>
      <c r="H230" t="s">
        <v>4040</v>
      </c>
      <c r="I230" s="28">
        <v>46309</v>
      </c>
      <c r="J230" t="s">
        <v>9118</v>
      </c>
      <c r="K230" t="s">
        <v>31</v>
      </c>
    </row>
    <row r="231" spans="1:11">
      <c r="A231" s="3">
        <v>2518831</v>
      </c>
      <c r="B231" t="s">
        <v>4711</v>
      </c>
      <c r="C231" t="s">
        <v>8</v>
      </c>
      <c r="D231" t="s">
        <v>9108</v>
      </c>
      <c r="E231" s="28">
        <v>46203</v>
      </c>
      <c r="F231" t="s">
        <v>9109</v>
      </c>
      <c r="G231" s="3" t="s">
        <v>9196</v>
      </c>
      <c r="H231" t="s">
        <v>4040</v>
      </c>
      <c r="I231" s="28">
        <v>46309</v>
      </c>
      <c r="J231" t="s">
        <v>9118</v>
      </c>
      <c r="K231" t="s">
        <v>31</v>
      </c>
    </row>
    <row r="232" spans="1:11">
      <c r="A232" s="3">
        <v>2519578</v>
      </c>
      <c r="B232" t="s">
        <v>9203</v>
      </c>
      <c r="C232" t="s">
        <v>7</v>
      </c>
      <c r="D232" t="s">
        <v>9108</v>
      </c>
      <c r="E232" s="28">
        <v>46205</v>
      </c>
      <c r="F232" t="s">
        <v>9109</v>
      </c>
      <c r="G232" s="3" t="s">
        <v>9204</v>
      </c>
      <c r="H232" t="s">
        <v>306</v>
      </c>
      <c r="I232" s="28">
        <v>46272</v>
      </c>
      <c r="J232" t="s">
        <v>9135</v>
      </c>
      <c r="K232" t="s">
        <v>30</v>
      </c>
    </row>
    <row r="233" spans="1:11">
      <c r="A233" s="3">
        <v>2519580</v>
      </c>
      <c r="B233" t="s">
        <v>3979</v>
      </c>
      <c r="C233" t="s">
        <v>7</v>
      </c>
      <c r="D233" t="s">
        <v>9108</v>
      </c>
      <c r="E233" s="28">
        <v>46205</v>
      </c>
      <c r="F233" t="s">
        <v>9109</v>
      </c>
      <c r="G233" s="3" t="s">
        <v>9205</v>
      </c>
      <c r="H233" t="s">
        <v>4400</v>
      </c>
      <c r="I233" s="28">
        <v>46289</v>
      </c>
      <c r="J233" t="s">
        <v>9118</v>
      </c>
      <c r="K233" t="s">
        <v>30</v>
      </c>
    </row>
    <row r="234" spans="1:11">
      <c r="A234" s="3">
        <v>2519582</v>
      </c>
      <c r="B234" t="s">
        <v>2291</v>
      </c>
      <c r="C234" t="s">
        <v>8</v>
      </c>
      <c r="D234" t="s">
        <v>9108</v>
      </c>
      <c r="E234" s="28">
        <v>46205</v>
      </c>
      <c r="F234" t="s">
        <v>9109</v>
      </c>
      <c r="G234" s="3" t="s">
        <v>9205</v>
      </c>
      <c r="H234" t="s">
        <v>4400</v>
      </c>
      <c r="I234" s="28">
        <v>46289</v>
      </c>
      <c r="J234" t="s">
        <v>9118</v>
      </c>
      <c r="K234" t="s">
        <v>30</v>
      </c>
    </row>
    <row r="235" spans="1:11">
      <c r="A235" s="3">
        <v>2519585</v>
      </c>
      <c r="B235" t="s">
        <v>4554</v>
      </c>
      <c r="C235" t="s">
        <v>8</v>
      </c>
      <c r="D235" t="s">
        <v>9108</v>
      </c>
      <c r="E235" s="28">
        <v>46205</v>
      </c>
      <c r="F235" t="s">
        <v>9109</v>
      </c>
      <c r="G235" s="3" t="s">
        <v>9205</v>
      </c>
      <c r="H235" t="s">
        <v>4400</v>
      </c>
      <c r="I235" s="28">
        <v>46289</v>
      </c>
      <c r="J235" t="s">
        <v>9118</v>
      </c>
      <c r="K235" t="s">
        <v>30</v>
      </c>
    </row>
    <row r="236" spans="1:11">
      <c r="A236" s="3">
        <v>2519587</v>
      </c>
      <c r="B236" t="s">
        <v>2303</v>
      </c>
      <c r="C236" t="s">
        <v>8</v>
      </c>
      <c r="D236" t="s">
        <v>9108</v>
      </c>
      <c r="E236" s="28">
        <v>46205</v>
      </c>
      <c r="F236" t="s">
        <v>9109</v>
      </c>
      <c r="G236" s="3" t="s">
        <v>9206</v>
      </c>
      <c r="H236" t="s">
        <v>4400</v>
      </c>
      <c r="I236" s="28">
        <v>46289</v>
      </c>
      <c r="J236" t="s">
        <v>9118</v>
      </c>
      <c r="K236" t="s">
        <v>30</v>
      </c>
    </row>
    <row r="237" spans="1:11">
      <c r="A237" s="3">
        <v>2519588</v>
      </c>
      <c r="B237" t="s">
        <v>7917</v>
      </c>
      <c r="C237" t="s">
        <v>8</v>
      </c>
      <c r="D237" t="s">
        <v>9108</v>
      </c>
      <c r="E237" s="28">
        <v>46205</v>
      </c>
      <c r="F237" t="s">
        <v>9109</v>
      </c>
      <c r="G237" s="3" t="s">
        <v>9205</v>
      </c>
      <c r="H237" t="s">
        <v>4400</v>
      </c>
      <c r="I237" s="28">
        <v>46289</v>
      </c>
      <c r="J237" t="s">
        <v>9118</v>
      </c>
      <c r="K237" t="s">
        <v>30</v>
      </c>
    </row>
    <row r="238" spans="1:11">
      <c r="A238" s="3">
        <v>2519589</v>
      </c>
      <c r="B238" t="s">
        <v>5754</v>
      </c>
      <c r="C238" t="s">
        <v>7</v>
      </c>
      <c r="D238" t="s">
        <v>9108</v>
      </c>
      <c r="E238" s="28">
        <v>46205</v>
      </c>
      <c r="F238" t="s">
        <v>9109</v>
      </c>
      <c r="G238" s="3" t="s">
        <v>9205</v>
      </c>
      <c r="H238" t="s">
        <v>4400</v>
      </c>
      <c r="I238" s="28">
        <v>46289</v>
      </c>
      <c r="J238" t="s">
        <v>9118</v>
      </c>
      <c r="K238" t="s">
        <v>30</v>
      </c>
    </row>
    <row r="239" spans="1:11">
      <c r="A239" s="3">
        <v>2519590</v>
      </c>
      <c r="B239" t="s">
        <v>2201</v>
      </c>
      <c r="C239" t="s">
        <v>8</v>
      </c>
      <c r="D239" t="s">
        <v>9108</v>
      </c>
      <c r="E239" s="28">
        <v>46205</v>
      </c>
      <c r="F239" t="s">
        <v>9109</v>
      </c>
      <c r="G239" s="3" t="s">
        <v>9207</v>
      </c>
      <c r="H239" t="s">
        <v>89</v>
      </c>
      <c r="I239" s="28">
        <v>46324</v>
      </c>
      <c r="J239" t="s">
        <v>9118</v>
      </c>
      <c r="K239" t="s">
        <v>31</v>
      </c>
    </row>
    <row r="240" spans="1:11">
      <c r="A240" s="3">
        <v>2519591</v>
      </c>
      <c r="B240" t="s">
        <v>4663</v>
      </c>
      <c r="C240" t="s">
        <v>8</v>
      </c>
      <c r="D240" t="s">
        <v>9108</v>
      </c>
      <c r="E240" s="28">
        <v>46205</v>
      </c>
      <c r="F240" t="s">
        <v>9109</v>
      </c>
      <c r="G240" s="3" t="s">
        <v>9206</v>
      </c>
      <c r="H240" t="s">
        <v>4400</v>
      </c>
      <c r="I240" s="28">
        <v>46289</v>
      </c>
      <c r="J240" t="s">
        <v>9118</v>
      </c>
      <c r="K240" t="s">
        <v>30</v>
      </c>
    </row>
    <row r="241" spans="1:11">
      <c r="A241" s="3">
        <v>2519592</v>
      </c>
      <c r="B241" t="s">
        <v>1066</v>
      </c>
      <c r="C241" t="s">
        <v>8</v>
      </c>
      <c r="D241" t="s">
        <v>9108</v>
      </c>
      <c r="E241" s="28">
        <v>46205</v>
      </c>
      <c r="F241" t="s">
        <v>9109</v>
      </c>
      <c r="G241" s="3" t="s">
        <v>9206</v>
      </c>
      <c r="H241" t="s">
        <v>4400</v>
      </c>
      <c r="I241" s="28">
        <v>46289</v>
      </c>
      <c r="J241" t="s">
        <v>9118</v>
      </c>
      <c r="K241" t="s">
        <v>30</v>
      </c>
    </row>
    <row r="242" spans="1:11">
      <c r="A242" s="3">
        <v>2519593</v>
      </c>
      <c r="B242" t="s">
        <v>6548</v>
      </c>
      <c r="C242" t="s">
        <v>8</v>
      </c>
      <c r="D242" t="s">
        <v>9108</v>
      </c>
      <c r="E242" s="28">
        <v>46205</v>
      </c>
      <c r="F242" t="s">
        <v>9109</v>
      </c>
      <c r="G242" s="3" t="s">
        <v>9205</v>
      </c>
      <c r="H242" t="s">
        <v>4400</v>
      </c>
      <c r="I242" s="28">
        <v>46289</v>
      </c>
      <c r="J242" t="s">
        <v>9118</v>
      </c>
      <c r="K242" t="s">
        <v>30</v>
      </c>
    </row>
    <row r="243" spans="1:11">
      <c r="A243" s="3">
        <v>2519594</v>
      </c>
      <c r="B243" t="s">
        <v>6534</v>
      </c>
      <c r="C243" t="s">
        <v>8</v>
      </c>
      <c r="D243" t="s">
        <v>9108</v>
      </c>
      <c r="E243" s="28">
        <v>46205</v>
      </c>
      <c r="F243" t="s">
        <v>9109</v>
      </c>
      <c r="G243" s="3" t="s">
        <v>9205</v>
      </c>
      <c r="H243" t="s">
        <v>4400</v>
      </c>
      <c r="I243" s="28">
        <v>46289</v>
      </c>
      <c r="J243" t="s">
        <v>9118</v>
      </c>
      <c r="K243" t="s">
        <v>30</v>
      </c>
    </row>
    <row r="244" spans="1:11">
      <c r="A244" s="3">
        <v>2519595</v>
      </c>
      <c r="B244" t="s">
        <v>4311</v>
      </c>
      <c r="C244" t="s">
        <v>8</v>
      </c>
      <c r="D244" t="s">
        <v>9108</v>
      </c>
      <c r="E244" s="28">
        <v>46205</v>
      </c>
      <c r="F244" t="s">
        <v>9109</v>
      </c>
      <c r="G244" s="3" t="s">
        <v>9206</v>
      </c>
      <c r="H244" t="s">
        <v>4400</v>
      </c>
      <c r="I244" s="28">
        <v>46289</v>
      </c>
      <c r="J244" t="s">
        <v>9118</v>
      </c>
      <c r="K244" t="s">
        <v>30</v>
      </c>
    </row>
    <row r="245" spans="1:11">
      <c r="A245" s="3">
        <v>2519596</v>
      </c>
      <c r="B245" t="s">
        <v>4278</v>
      </c>
      <c r="C245" t="s">
        <v>8</v>
      </c>
      <c r="D245" t="s">
        <v>9108</v>
      </c>
      <c r="E245" s="28">
        <v>46205</v>
      </c>
      <c r="F245" t="s">
        <v>9109</v>
      </c>
      <c r="G245" s="3" t="s">
        <v>9207</v>
      </c>
      <c r="H245" t="s">
        <v>89</v>
      </c>
      <c r="I245" s="28">
        <v>46324</v>
      </c>
      <c r="J245" t="s">
        <v>9118</v>
      </c>
      <c r="K245" t="s">
        <v>31</v>
      </c>
    </row>
    <row r="246" spans="1:11">
      <c r="A246" s="3">
        <v>2519598</v>
      </c>
      <c r="B246" t="s">
        <v>4566</v>
      </c>
      <c r="C246" t="s">
        <v>8</v>
      </c>
      <c r="D246" t="s">
        <v>9108</v>
      </c>
      <c r="E246" s="28">
        <v>46205</v>
      </c>
      <c r="F246" t="s">
        <v>9109</v>
      </c>
      <c r="G246" s="3" t="s">
        <v>9205</v>
      </c>
      <c r="H246" t="s">
        <v>4400</v>
      </c>
      <c r="I246" s="28">
        <v>46289</v>
      </c>
      <c r="J246" t="s">
        <v>9118</v>
      </c>
      <c r="K246" t="s">
        <v>30</v>
      </c>
    </row>
    <row r="247" spans="1:11">
      <c r="A247" s="3">
        <v>2519600</v>
      </c>
      <c r="B247" t="s">
        <v>1462</v>
      </c>
      <c r="C247" t="s">
        <v>8</v>
      </c>
      <c r="D247" t="s">
        <v>9108</v>
      </c>
      <c r="E247" s="28">
        <v>46205</v>
      </c>
      <c r="F247" t="s">
        <v>9109</v>
      </c>
      <c r="G247" s="3" t="s">
        <v>9207</v>
      </c>
      <c r="H247" t="s">
        <v>89</v>
      </c>
      <c r="I247" s="28">
        <v>46324</v>
      </c>
      <c r="J247" t="s">
        <v>9118</v>
      </c>
      <c r="K247" t="s">
        <v>31</v>
      </c>
    </row>
    <row r="248" spans="1:11">
      <c r="A248" s="3">
        <v>2519612</v>
      </c>
      <c r="B248" t="s">
        <v>8312</v>
      </c>
      <c r="C248" t="s">
        <v>8</v>
      </c>
      <c r="D248" t="s">
        <v>9108</v>
      </c>
      <c r="E248" s="28">
        <v>46205</v>
      </c>
      <c r="F248" t="s">
        <v>9109</v>
      </c>
      <c r="G248" s="3" t="s">
        <v>9205</v>
      </c>
      <c r="H248" t="s">
        <v>4400</v>
      </c>
      <c r="I248" s="28">
        <v>46289</v>
      </c>
      <c r="J248" t="s">
        <v>9118</v>
      </c>
      <c r="K248" t="s">
        <v>30</v>
      </c>
    </row>
    <row r="249" spans="1:11">
      <c r="A249" s="3">
        <v>2519616</v>
      </c>
      <c r="B249" t="s">
        <v>2329</v>
      </c>
      <c r="C249" t="s">
        <v>8</v>
      </c>
      <c r="D249" t="s">
        <v>9108</v>
      </c>
      <c r="E249" s="28">
        <v>46205</v>
      </c>
      <c r="F249" t="s">
        <v>9109</v>
      </c>
      <c r="G249" s="3" t="s">
        <v>9206</v>
      </c>
      <c r="H249" t="s">
        <v>4400</v>
      </c>
      <c r="I249" s="28">
        <v>46289</v>
      </c>
      <c r="J249" t="s">
        <v>9118</v>
      </c>
      <c r="K249" t="s">
        <v>30</v>
      </c>
    </row>
    <row r="250" spans="1:11">
      <c r="A250" s="3">
        <v>2519623</v>
      </c>
      <c r="B250" t="s">
        <v>3275</v>
      </c>
      <c r="C250" t="s">
        <v>7</v>
      </c>
      <c r="D250" t="s">
        <v>9108</v>
      </c>
      <c r="E250" s="28">
        <v>46205</v>
      </c>
      <c r="F250" t="s">
        <v>9109</v>
      </c>
      <c r="G250" s="3" t="s">
        <v>9207</v>
      </c>
      <c r="H250" t="s">
        <v>89</v>
      </c>
      <c r="I250" s="28">
        <v>46324</v>
      </c>
      <c r="J250" t="s">
        <v>9118</v>
      </c>
      <c r="K250" t="s">
        <v>31</v>
      </c>
    </row>
    <row r="251" spans="1:11">
      <c r="A251" s="3">
        <v>2519628</v>
      </c>
      <c r="B251" t="s">
        <v>5808</v>
      </c>
      <c r="C251" t="s">
        <v>8</v>
      </c>
      <c r="D251" t="s">
        <v>9108</v>
      </c>
      <c r="E251" s="28">
        <v>46205</v>
      </c>
      <c r="F251" t="s">
        <v>9109</v>
      </c>
      <c r="G251" s="3" t="s">
        <v>9205</v>
      </c>
      <c r="H251" t="s">
        <v>4400</v>
      </c>
      <c r="I251" s="28">
        <v>46289</v>
      </c>
      <c r="J251" t="s">
        <v>9118</v>
      </c>
      <c r="K251" t="s">
        <v>30</v>
      </c>
    </row>
    <row r="252" spans="1:11">
      <c r="A252" s="3">
        <v>2519629</v>
      </c>
      <c r="B252" t="s">
        <v>9208</v>
      </c>
      <c r="C252" t="s">
        <v>8</v>
      </c>
      <c r="D252" t="s">
        <v>9108</v>
      </c>
      <c r="E252" s="28">
        <v>46205</v>
      </c>
      <c r="F252" t="s">
        <v>9109</v>
      </c>
      <c r="G252" s="3" t="s">
        <v>9207</v>
      </c>
      <c r="H252" t="s">
        <v>89</v>
      </c>
      <c r="I252" s="28">
        <v>46324</v>
      </c>
      <c r="J252" t="s">
        <v>9118</v>
      </c>
      <c r="K252" t="s">
        <v>31</v>
      </c>
    </row>
    <row r="253" spans="1:11">
      <c r="A253" s="3">
        <v>2519631</v>
      </c>
      <c r="B253" t="s">
        <v>2338</v>
      </c>
      <c r="C253" t="s">
        <v>8</v>
      </c>
      <c r="D253" t="s">
        <v>9108</v>
      </c>
      <c r="E253" s="28">
        <v>46205</v>
      </c>
      <c r="F253" t="s">
        <v>9109</v>
      </c>
      <c r="G253" s="3" t="s">
        <v>9206</v>
      </c>
      <c r="H253" t="s">
        <v>4400</v>
      </c>
      <c r="I253" s="28">
        <v>46289</v>
      </c>
      <c r="J253" t="s">
        <v>9118</v>
      </c>
      <c r="K253" t="s">
        <v>30</v>
      </c>
    </row>
    <row r="254" spans="1:11">
      <c r="A254" s="3">
        <v>2519632</v>
      </c>
      <c r="B254" t="s">
        <v>9209</v>
      </c>
      <c r="C254" t="s">
        <v>7</v>
      </c>
      <c r="D254" t="s">
        <v>9108</v>
      </c>
      <c r="E254" s="28">
        <v>46205</v>
      </c>
      <c r="F254" t="s">
        <v>9109</v>
      </c>
      <c r="G254" s="3" t="s">
        <v>9207</v>
      </c>
      <c r="H254" t="s">
        <v>89</v>
      </c>
      <c r="I254" s="28">
        <v>46324</v>
      </c>
      <c r="J254" t="s">
        <v>9118</v>
      </c>
      <c r="K254" t="s">
        <v>31</v>
      </c>
    </row>
    <row r="255" spans="1:11">
      <c r="A255" s="3">
        <v>2519633</v>
      </c>
      <c r="B255" t="s">
        <v>9210</v>
      </c>
      <c r="C255" t="s">
        <v>8</v>
      </c>
      <c r="D255" t="s">
        <v>9108</v>
      </c>
      <c r="E255" s="28">
        <v>46205</v>
      </c>
      <c r="F255" t="s">
        <v>9109</v>
      </c>
      <c r="G255" s="3" t="s">
        <v>9204</v>
      </c>
      <c r="H255" t="s">
        <v>306</v>
      </c>
      <c r="I255" s="28">
        <v>46272</v>
      </c>
      <c r="J255" t="s">
        <v>9118</v>
      </c>
      <c r="K255" t="s">
        <v>30</v>
      </c>
    </row>
    <row r="256" spans="1:11">
      <c r="A256" s="3">
        <v>2519636</v>
      </c>
      <c r="B256" t="s">
        <v>1737</v>
      </c>
      <c r="C256" t="s">
        <v>8</v>
      </c>
      <c r="D256" t="s">
        <v>9108</v>
      </c>
      <c r="E256" s="28">
        <v>46205</v>
      </c>
      <c r="F256" t="s">
        <v>9109</v>
      </c>
      <c r="G256" s="3" t="s">
        <v>9204</v>
      </c>
      <c r="H256" t="s">
        <v>306</v>
      </c>
      <c r="I256" s="28">
        <v>46272</v>
      </c>
      <c r="J256" t="s">
        <v>9118</v>
      </c>
      <c r="K256" t="s">
        <v>30</v>
      </c>
    </row>
    <row r="257" spans="1:11">
      <c r="A257" s="3">
        <v>2519640</v>
      </c>
      <c r="B257" t="s">
        <v>9211</v>
      </c>
      <c r="C257" t="s">
        <v>7</v>
      </c>
      <c r="D257" t="s">
        <v>9108</v>
      </c>
      <c r="E257" s="28">
        <v>46205</v>
      </c>
      <c r="F257" t="s">
        <v>9109</v>
      </c>
      <c r="G257" s="3" t="s">
        <v>9207</v>
      </c>
      <c r="H257" t="s">
        <v>89</v>
      </c>
      <c r="I257" s="28">
        <v>46324</v>
      </c>
      <c r="J257" t="s">
        <v>9118</v>
      </c>
      <c r="K257" t="s">
        <v>31</v>
      </c>
    </row>
    <row r="258" spans="1:11">
      <c r="A258" s="3">
        <v>2519642</v>
      </c>
      <c r="B258" t="s">
        <v>4021</v>
      </c>
      <c r="C258" t="s">
        <v>8</v>
      </c>
      <c r="D258" t="s">
        <v>9108</v>
      </c>
      <c r="E258" s="28">
        <v>46205</v>
      </c>
      <c r="F258" t="s">
        <v>9109</v>
      </c>
      <c r="G258" s="3" t="s">
        <v>9206</v>
      </c>
      <c r="H258" t="s">
        <v>4400</v>
      </c>
      <c r="I258" s="28">
        <v>46289</v>
      </c>
      <c r="J258" t="s">
        <v>9118</v>
      </c>
      <c r="K258" t="s">
        <v>30</v>
      </c>
    </row>
    <row r="259" spans="1:11">
      <c r="A259" s="3">
        <v>2519644</v>
      </c>
      <c r="B259" t="s">
        <v>9212</v>
      </c>
      <c r="C259" t="s">
        <v>7</v>
      </c>
      <c r="D259" t="s">
        <v>9108</v>
      </c>
      <c r="E259" s="28">
        <v>46205</v>
      </c>
      <c r="F259" t="s">
        <v>9109</v>
      </c>
      <c r="G259" s="3" t="s">
        <v>9204</v>
      </c>
      <c r="H259" t="s">
        <v>306</v>
      </c>
      <c r="I259" s="28">
        <v>46272</v>
      </c>
      <c r="J259" t="s">
        <v>9118</v>
      </c>
      <c r="K259" t="s">
        <v>30</v>
      </c>
    </row>
    <row r="260" spans="1:11">
      <c r="A260" s="3">
        <v>2519647</v>
      </c>
      <c r="B260" t="s">
        <v>8919</v>
      </c>
      <c r="C260" t="s">
        <v>8</v>
      </c>
      <c r="D260" t="s">
        <v>9108</v>
      </c>
      <c r="E260" s="28">
        <v>46205</v>
      </c>
      <c r="F260" t="s">
        <v>9109</v>
      </c>
      <c r="G260" s="3" t="s">
        <v>9207</v>
      </c>
      <c r="H260" t="s">
        <v>89</v>
      </c>
      <c r="I260" s="28">
        <v>46324</v>
      </c>
      <c r="J260" t="s">
        <v>9118</v>
      </c>
      <c r="K260" t="s">
        <v>31</v>
      </c>
    </row>
    <row r="261" spans="1:11">
      <c r="A261" s="3">
        <v>2519648</v>
      </c>
      <c r="B261" t="s">
        <v>781</v>
      </c>
      <c r="C261" t="s">
        <v>8</v>
      </c>
      <c r="D261" t="s">
        <v>9108</v>
      </c>
      <c r="E261" s="28">
        <v>46205</v>
      </c>
      <c r="F261" t="s">
        <v>9109</v>
      </c>
      <c r="G261" s="3" t="s">
        <v>9207</v>
      </c>
      <c r="H261" t="s">
        <v>89</v>
      </c>
      <c r="I261" s="28">
        <v>46324</v>
      </c>
      <c r="J261" t="s">
        <v>9118</v>
      </c>
      <c r="K261" t="s">
        <v>31</v>
      </c>
    </row>
    <row r="262" spans="1:11">
      <c r="A262" s="3">
        <v>2519652</v>
      </c>
      <c r="B262" t="s">
        <v>2714</v>
      </c>
      <c r="C262" t="s">
        <v>8</v>
      </c>
      <c r="D262" t="s">
        <v>9108</v>
      </c>
      <c r="E262" s="28">
        <v>46205</v>
      </c>
      <c r="F262" t="s">
        <v>9109</v>
      </c>
      <c r="G262" s="3" t="s">
        <v>9207</v>
      </c>
      <c r="H262" t="s">
        <v>89</v>
      </c>
      <c r="I262" s="28">
        <v>46324</v>
      </c>
      <c r="J262" t="s">
        <v>9118</v>
      </c>
      <c r="K262" t="s">
        <v>31</v>
      </c>
    </row>
    <row r="263" spans="1:11">
      <c r="A263" s="3">
        <v>2519655</v>
      </c>
      <c r="B263" t="s">
        <v>3993</v>
      </c>
      <c r="C263" t="s">
        <v>7</v>
      </c>
      <c r="D263" t="s">
        <v>9108</v>
      </c>
      <c r="E263" s="28">
        <v>46205</v>
      </c>
      <c r="F263" t="s">
        <v>9109</v>
      </c>
      <c r="G263" s="3" t="s">
        <v>9205</v>
      </c>
      <c r="H263" t="s">
        <v>4400</v>
      </c>
      <c r="I263" s="28">
        <v>46289</v>
      </c>
      <c r="J263" t="s">
        <v>9118</v>
      </c>
      <c r="K263" t="s">
        <v>30</v>
      </c>
    </row>
    <row r="264" spans="1:11">
      <c r="A264" s="3">
        <v>2519656</v>
      </c>
      <c r="B264" t="s">
        <v>9213</v>
      </c>
      <c r="C264" t="s">
        <v>7</v>
      </c>
      <c r="D264" t="s">
        <v>9108</v>
      </c>
      <c r="E264" s="28">
        <v>46205</v>
      </c>
      <c r="F264" t="s">
        <v>9109</v>
      </c>
      <c r="G264" s="3" t="s">
        <v>9204</v>
      </c>
      <c r="H264" t="s">
        <v>306</v>
      </c>
      <c r="I264" s="28">
        <v>46272</v>
      </c>
      <c r="J264" t="s">
        <v>9118</v>
      </c>
      <c r="K264" t="s">
        <v>30</v>
      </c>
    </row>
    <row r="265" spans="1:11">
      <c r="A265" s="3">
        <v>2519657</v>
      </c>
      <c r="B265" t="s">
        <v>8114</v>
      </c>
      <c r="C265" t="s">
        <v>8</v>
      </c>
      <c r="D265" t="s">
        <v>9108</v>
      </c>
      <c r="E265" s="28">
        <v>46205</v>
      </c>
      <c r="F265" t="s">
        <v>9109</v>
      </c>
      <c r="G265" s="3" t="s">
        <v>9205</v>
      </c>
      <c r="H265" t="s">
        <v>4400</v>
      </c>
      <c r="I265" s="28">
        <v>46289</v>
      </c>
      <c r="J265" t="s">
        <v>9118</v>
      </c>
      <c r="K265" t="s">
        <v>30</v>
      </c>
    </row>
    <row r="266" spans="1:11">
      <c r="A266" s="3">
        <v>2519658</v>
      </c>
      <c r="B266" t="s">
        <v>1502</v>
      </c>
      <c r="C266" t="s">
        <v>8</v>
      </c>
      <c r="D266" t="s">
        <v>9108</v>
      </c>
      <c r="E266" s="28">
        <v>46205</v>
      </c>
      <c r="F266" t="s">
        <v>9109</v>
      </c>
      <c r="G266" s="3" t="s">
        <v>9207</v>
      </c>
      <c r="H266" t="s">
        <v>89</v>
      </c>
      <c r="I266" s="28">
        <v>46324</v>
      </c>
      <c r="J266" t="s">
        <v>9118</v>
      </c>
      <c r="K266" t="s">
        <v>31</v>
      </c>
    </row>
    <row r="267" spans="1:11">
      <c r="A267" s="3">
        <v>2519665</v>
      </c>
      <c r="B267" t="s">
        <v>4616</v>
      </c>
      <c r="C267" t="s">
        <v>8</v>
      </c>
      <c r="D267" t="s">
        <v>9108</v>
      </c>
      <c r="E267" s="28">
        <v>46205</v>
      </c>
      <c r="F267" t="s">
        <v>9109</v>
      </c>
      <c r="G267" s="3" t="s">
        <v>9205</v>
      </c>
      <c r="H267" t="s">
        <v>4400</v>
      </c>
      <c r="I267" s="28">
        <v>46289</v>
      </c>
      <c r="J267" t="s">
        <v>9118</v>
      </c>
      <c r="K267" t="s">
        <v>30</v>
      </c>
    </row>
    <row r="268" spans="1:11">
      <c r="A268" s="3">
        <v>2519669</v>
      </c>
      <c r="B268" t="s">
        <v>9214</v>
      </c>
      <c r="C268" t="s">
        <v>8</v>
      </c>
      <c r="D268" t="s">
        <v>9108</v>
      </c>
      <c r="E268" s="28">
        <v>46205</v>
      </c>
      <c r="F268" t="s">
        <v>9109</v>
      </c>
      <c r="G268" s="3" t="s">
        <v>9207</v>
      </c>
      <c r="H268" t="s">
        <v>89</v>
      </c>
      <c r="I268" s="28">
        <v>46324</v>
      </c>
      <c r="J268" t="s">
        <v>9118</v>
      </c>
      <c r="K268" t="s">
        <v>31</v>
      </c>
    </row>
    <row r="269" spans="1:11">
      <c r="A269" s="3">
        <v>2519671</v>
      </c>
      <c r="B269" t="s">
        <v>3330</v>
      </c>
      <c r="C269" t="s">
        <v>7</v>
      </c>
      <c r="D269" t="s">
        <v>9108</v>
      </c>
      <c r="E269" s="28">
        <v>46205</v>
      </c>
      <c r="F269" t="s">
        <v>9109</v>
      </c>
      <c r="G269" s="3" t="s">
        <v>9206</v>
      </c>
      <c r="H269" t="s">
        <v>4400</v>
      </c>
      <c r="I269" s="28">
        <v>46289</v>
      </c>
      <c r="J269" t="s">
        <v>9118</v>
      </c>
      <c r="K269" t="s">
        <v>30</v>
      </c>
    </row>
    <row r="270" spans="1:11">
      <c r="A270" s="3">
        <v>2519677</v>
      </c>
      <c r="B270" t="s">
        <v>8230</v>
      </c>
      <c r="C270" t="s">
        <v>8</v>
      </c>
      <c r="D270" t="s">
        <v>9108</v>
      </c>
      <c r="E270" s="28">
        <v>46205</v>
      </c>
      <c r="F270" t="s">
        <v>9109</v>
      </c>
      <c r="G270" s="3" t="s">
        <v>9207</v>
      </c>
      <c r="H270" t="s">
        <v>89</v>
      </c>
      <c r="I270" s="28">
        <v>46324</v>
      </c>
      <c r="J270" t="s">
        <v>9118</v>
      </c>
      <c r="K270" t="s">
        <v>31</v>
      </c>
    </row>
    <row r="271" spans="1:11">
      <c r="A271" s="3">
        <v>2519678</v>
      </c>
      <c r="B271" t="s">
        <v>494</v>
      </c>
      <c r="C271" t="s">
        <v>7</v>
      </c>
      <c r="D271" t="s">
        <v>9108</v>
      </c>
      <c r="E271" s="28">
        <v>46205</v>
      </c>
      <c r="F271" t="s">
        <v>9109</v>
      </c>
      <c r="G271" s="3" t="s">
        <v>9207</v>
      </c>
      <c r="H271" t="s">
        <v>89</v>
      </c>
      <c r="I271" s="28">
        <v>46324</v>
      </c>
      <c r="J271" t="s">
        <v>9118</v>
      </c>
      <c r="K271" t="s">
        <v>31</v>
      </c>
    </row>
    <row r="272" spans="1:11">
      <c r="A272" s="3">
        <v>2519680</v>
      </c>
      <c r="B272" t="s">
        <v>4570</v>
      </c>
      <c r="C272" t="s">
        <v>8</v>
      </c>
      <c r="D272" t="s">
        <v>9108</v>
      </c>
      <c r="E272" s="28">
        <v>46205</v>
      </c>
      <c r="F272" t="s">
        <v>9109</v>
      </c>
      <c r="G272" s="3" t="s">
        <v>9206</v>
      </c>
      <c r="H272" t="s">
        <v>4400</v>
      </c>
      <c r="I272" s="28">
        <v>46289</v>
      </c>
      <c r="J272" t="s">
        <v>9118</v>
      </c>
      <c r="K272" t="s">
        <v>30</v>
      </c>
    </row>
    <row r="273" spans="1:11">
      <c r="A273" s="3">
        <v>2519683</v>
      </c>
      <c r="B273" t="s">
        <v>6577</v>
      </c>
      <c r="C273" t="s">
        <v>8</v>
      </c>
      <c r="D273" t="s">
        <v>9108</v>
      </c>
      <c r="E273" s="28">
        <v>46205</v>
      </c>
      <c r="F273" t="s">
        <v>9109</v>
      </c>
      <c r="G273" s="3" t="s">
        <v>9205</v>
      </c>
      <c r="H273" t="s">
        <v>4400</v>
      </c>
      <c r="I273" s="28">
        <v>46289</v>
      </c>
      <c r="J273" t="s">
        <v>9118</v>
      </c>
      <c r="K273" t="s">
        <v>30</v>
      </c>
    </row>
    <row r="274" spans="1:11">
      <c r="A274" s="3">
        <v>2519684</v>
      </c>
      <c r="B274" t="s">
        <v>3640</v>
      </c>
      <c r="C274" t="s">
        <v>7</v>
      </c>
      <c r="D274" t="s">
        <v>9108</v>
      </c>
      <c r="E274" s="28">
        <v>46205</v>
      </c>
      <c r="F274" t="s">
        <v>9109</v>
      </c>
      <c r="G274" s="3" t="s">
        <v>9207</v>
      </c>
      <c r="H274" t="s">
        <v>89</v>
      </c>
      <c r="I274" s="28">
        <v>46324</v>
      </c>
      <c r="J274" t="s">
        <v>9118</v>
      </c>
      <c r="K274" t="s">
        <v>31</v>
      </c>
    </row>
    <row r="275" spans="1:11">
      <c r="A275" s="3">
        <v>2519688</v>
      </c>
      <c r="B275" t="s">
        <v>2938</v>
      </c>
      <c r="C275" t="s">
        <v>7</v>
      </c>
      <c r="D275" t="s">
        <v>9108</v>
      </c>
      <c r="E275" s="28">
        <v>46205</v>
      </c>
      <c r="F275" t="s">
        <v>9109</v>
      </c>
      <c r="G275" s="3" t="s">
        <v>9207</v>
      </c>
      <c r="H275" t="s">
        <v>89</v>
      </c>
      <c r="I275" s="28">
        <v>46324</v>
      </c>
      <c r="J275" t="s">
        <v>9118</v>
      </c>
      <c r="K275" t="s">
        <v>31</v>
      </c>
    </row>
    <row r="276" spans="1:11">
      <c r="A276" s="3">
        <v>2519689</v>
      </c>
      <c r="B276" t="s">
        <v>5119</v>
      </c>
      <c r="C276" t="s">
        <v>8</v>
      </c>
      <c r="D276" t="s">
        <v>9108</v>
      </c>
      <c r="E276" s="28">
        <v>46205</v>
      </c>
      <c r="F276" t="s">
        <v>9109</v>
      </c>
      <c r="G276" s="3" t="s">
        <v>9204</v>
      </c>
      <c r="H276" t="s">
        <v>306</v>
      </c>
      <c r="I276" s="28">
        <v>46272</v>
      </c>
      <c r="J276" t="s">
        <v>9118</v>
      </c>
      <c r="K276" t="s">
        <v>30</v>
      </c>
    </row>
    <row r="277" spans="1:11">
      <c r="A277" s="3">
        <v>2519698</v>
      </c>
      <c r="B277" t="s">
        <v>9215</v>
      </c>
      <c r="C277" t="s">
        <v>8</v>
      </c>
      <c r="D277" t="s">
        <v>9108</v>
      </c>
      <c r="E277" s="28">
        <v>46205</v>
      </c>
      <c r="F277" t="s">
        <v>9109</v>
      </c>
      <c r="G277" s="3" t="s">
        <v>9205</v>
      </c>
      <c r="H277" t="s">
        <v>4400</v>
      </c>
      <c r="I277" s="28">
        <v>46289</v>
      </c>
      <c r="J277" t="s">
        <v>9118</v>
      </c>
      <c r="K277" t="s">
        <v>30</v>
      </c>
    </row>
    <row r="278" spans="1:11">
      <c r="A278" s="3">
        <v>2519700</v>
      </c>
      <c r="B278" t="s">
        <v>9216</v>
      </c>
      <c r="C278" t="s">
        <v>8</v>
      </c>
      <c r="D278" t="s">
        <v>9108</v>
      </c>
      <c r="E278" s="28">
        <v>46205</v>
      </c>
      <c r="F278" t="s">
        <v>9109</v>
      </c>
      <c r="G278" s="3" t="s">
        <v>9205</v>
      </c>
      <c r="H278" t="s">
        <v>4400</v>
      </c>
      <c r="I278" s="28">
        <v>46289</v>
      </c>
      <c r="J278" t="s">
        <v>9118</v>
      </c>
      <c r="K278" t="s">
        <v>30</v>
      </c>
    </row>
    <row r="279" spans="1:11">
      <c r="A279" s="3">
        <v>2519701</v>
      </c>
      <c r="B279" t="s">
        <v>3340</v>
      </c>
      <c r="C279" t="s">
        <v>8</v>
      </c>
      <c r="D279" t="s">
        <v>9108</v>
      </c>
      <c r="E279" s="28">
        <v>46205</v>
      </c>
      <c r="F279" t="s">
        <v>9109</v>
      </c>
      <c r="G279" s="3" t="s">
        <v>9206</v>
      </c>
      <c r="H279" t="s">
        <v>4400</v>
      </c>
      <c r="I279" s="28">
        <v>46289</v>
      </c>
      <c r="J279" t="s">
        <v>9118</v>
      </c>
      <c r="K279" t="s">
        <v>30</v>
      </c>
    </row>
    <row r="280" spans="1:11">
      <c r="A280" s="3">
        <v>2519704</v>
      </c>
      <c r="B280" t="s">
        <v>8532</v>
      </c>
      <c r="C280" t="s">
        <v>7</v>
      </c>
      <c r="D280" t="s">
        <v>9108</v>
      </c>
      <c r="E280" s="28">
        <v>46205</v>
      </c>
      <c r="F280" t="s">
        <v>9109</v>
      </c>
      <c r="G280" s="3" t="s">
        <v>9205</v>
      </c>
      <c r="H280" t="s">
        <v>4400</v>
      </c>
      <c r="I280" s="28">
        <v>46289</v>
      </c>
      <c r="J280" t="s">
        <v>9118</v>
      </c>
      <c r="K280" t="s">
        <v>30</v>
      </c>
    </row>
    <row r="281" spans="1:11">
      <c r="A281" s="3">
        <v>2519705</v>
      </c>
      <c r="B281" t="s">
        <v>3280</v>
      </c>
      <c r="C281" t="s">
        <v>7</v>
      </c>
      <c r="D281" t="s">
        <v>9108</v>
      </c>
      <c r="E281" s="28">
        <v>46205</v>
      </c>
      <c r="F281" t="s">
        <v>9109</v>
      </c>
      <c r="G281" s="3" t="s">
        <v>9205</v>
      </c>
      <c r="H281" t="s">
        <v>4400</v>
      </c>
      <c r="I281" s="28">
        <v>46289</v>
      </c>
      <c r="J281" t="s">
        <v>9118</v>
      </c>
      <c r="K281" t="s">
        <v>30</v>
      </c>
    </row>
    <row r="282" spans="1:11">
      <c r="A282" s="3">
        <v>2519708</v>
      </c>
      <c r="B282" t="s">
        <v>9217</v>
      </c>
      <c r="C282" t="s">
        <v>8</v>
      </c>
      <c r="D282" t="s">
        <v>9108</v>
      </c>
      <c r="E282" s="28">
        <v>46205</v>
      </c>
      <c r="F282" t="s">
        <v>9109</v>
      </c>
      <c r="G282" s="3" t="s">
        <v>9206</v>
      </c>
      <c r="H282" t="s">
        <v>4400</v>
      </c>
      <c r="I282" s="28">
        <v>46289</v>
      </c>
      <c r="J282" t="s">
        <v>9118</v>
      </c>
      <c r="K282" t="s">
        <v>30</v>
      </c>
    </row>
    <row r="283" spans="1:11">
      <c r="A283" s="3">
        <v>2519709</v>
      </c>
      <c r="B283" t="s">
        <v>7128</v>
      </c>
      <c r="C283" t="s">
        <v>8</v>
      </c>
      <c r="D283" t="s">
        <v>9108</v>
      </c>
      <c r="E283" s="28">
        <v>46205</v>
      </c>
      <c r="F283" t="s">
        <v>9109</v>
      </c>
      <c r="G283" s="3" t="s">
        <v>9205</v>
      </c>
      <c r="H283" t="s">
        <v>4400</v>
      </c>
      <c r="I283" s="28">
        <v>46289</v>
      </c>
      <c r="J283" t="s">
        <v>9118</v>
      </c>
      <c r="K283" t="s">
        <v>30</v>
      </c>
    </row>
    <row r="284" spans="1:11">
      <c r="A284" s="3">
        <v>2519710</v>
      </c>
      <c r="B284" t="s">
        <v>9218</v>
      </c>
      <c r="C284" t="s">
        <v>8</v>
      </c>
      <c r="D284" t="s">
        <v>9108</v>
      </c>
      <c r="E284" s="28">
        <v>46205</v>
      </c>
      <c r="F284" t="s">
        <v>9109</v>
      </c>
      <c r="G284" s="3" t="s">
        <v>9206</v>
      </c>
      <c r="H284" t="s">
        <v>4400</v>
      </c>
      <c r="I284" s="28">
        <v>46289</v>
      </c>
      <c r="J284" t="s">
        <v>9118</v>
      </c>
      <c r="K284" t="s">
        <v>30</v>
      </c>
    </row>
    <row r="285" spans="1:11">
      <c r="A285" s="3">
        <v>2519711</v>
      </c>
      <c r="B285" t="s">
        <v>4723</v>
      </c>
      <c r="C285" t="s">
        <v>8</v>
      </c>
      <c r="D285" t="s">
        <v>9108</v>
      </c>
      <c r="E285" s="28">
        <v>46205</v>
      </c>
      <c r="F285" t="s">
        <v>9109</v>
      </c>
      <c r="G285" s="3" t="s">
        <v>9206</v>
      </c>
      <c r="H285" t="s">
        <v>4400</v>
      </c>
      <c r="I285" s="28">
        <v>46289</v>
      </c>
      <c r="J285" t="s">
        <v>9118</v>
      </c>
      <c r="K285" t="s">
        <v>30</v>
      </c>
    </row>
    <row r="286" spans="1:11">
      <c r="A286" s="3">
        <v>2519715</v>
      </c>
      <c r="B286" t="s">
        <v>9219</v>
      </c>
      <c r="C286" t="s">
        <v>8</v>
      </c>
      <c r="D286" t="s">
        <v>9108</v>
      </c>
      <c r="E286" s="28">
        <v>46205</v>
      </c>
      <c r="F286" t="s">
        <v>9109</v>
      </c>
      <c r="G286" s="3" t="s">
        <v>9206</v>
      </c>
      <c r="H286" t="s">
        <v>4400</v>
      </c>
      <c r="I286" s="28">
        <v>46289</v>
      </c>
      <c r="J286" t="s">
        <v>9118</v>
      </c>
      <c r="K286" t="s">
        <v>30</v>
      </c>
    </row>
    <row r="287" spans="1:11">
      <c r="A287" s="3">
        <v>2519716</v>
      </c>
      <c r="B287" t="s">
        <v>2067</v>
      </c>
      <c r="C287" t="s">
        <v>8</v>
      </c>
      <c r="D287" t="s">
        <v>9108</v>
      </c>
      <c r="E287" s="28">
        <v>46205</v>
      </c>
      <c r="F287" t="s">
        <v>9109</v>
      </c>
      <c r="G287" s="3" t="s">
        <v>9207</v>
      </c>
      <c r="H287" t="s">
        <v>89</v>
      </c>
      <c r="I287" s="28">
        <v>46324</v>
      </c>
      <c r="J287" t="s">
        <v>9118</v>
      </c>
      <c r="K287" t="s">
        <v>31</v>
      </c>
    </row>
    <row r="288" spans="1:11">
      <c r="A288" s="3">
        <v>2519717</v>
      </c>
      <c r="B288" t="s">
        <v>8507</v>
      </c>
      <c r="C288" t="s">
        <v>7</v>
      </c>
      <c r="D288" t="s">
        <v>9108</v>
      </c>
      <c r="E288" s="28">
        <v>46205</v>
      </c>
      <c r="F288" t="s">
        <v>9109</v>
      </c>
      <c r="G288" s="3" t="s">
        <v>9206</v>
      </c>
      <c r="H288" t="s">
        <v>4400</v>
      </c>
      <c r="I288" s="28">
        <v>46289</v>
      </c>
      <c r="J288" t="s">
        <v>9118</v>
      </c>
      <c r="K288" t="s">
        <v>30</v>
      </c>
    </row>
    <row r="289" spans="1:11">
      <c r="A289" s="3">
        <v>2519719</v>
      </c>
      <c r="B289" t="s">
        <v>7166</v>
      </c>
      <c r="C289" t="s">
        <v>8</v>
      </c>
      <c r="D289" t="s">
        <v>9108</v>
      </c>
      <c r="E289" s="28">
        <v>46205</v>
      </c>
      <c r="F289" t="s">
        <v>9109</v>
      </c>
      <c r="G289" s="3" t="s">
        <v>9207</v>
      </c>
      <c r="H289" t="s">
        <v>89</v>
      </c>
      <c r="I289" s="28">
        <v>46324</v>
      </c>
      <c r="J289" t="s">
        <v>9118</v>
      </c>
      <c r="K289" t="s">
        <v>31</v>
      </c>
    </row>
    <row r="290" spans="1:11">
      <c r="A290" s="3">
        <v>2519735</v>
      </c>
      <c r="B290" t="s">
        <v>4257</v>
      </c>
      <c r="C290" t="s">
        <v>8</v>
      </c>
      <c r="D290" t="s">
        <v>9108</v>
      </c>
      <c r="E290" s="28">
        <v>46205</v>
      </c>
      <c r="F290" t="s">
        <v>9109</v>
      </c>
      <c r="G290" s="3" t="s">
        <v>9207</v>
      </c>
      <c r="H290" t="s">
        <v>89</v>
      </c>
      <c r="I290" s="28">
        <v>46324</v>
      </c>
      <c r="J290" t="s">
        <v>9118</v>
      </c>
      <c r="K290" t="s">
        <v>31</v>
      </c>
    </row>
    <row r="291" spans="1:11">
      <c r="A291" s="3">
        <v>2519781</v>
      </c>
      <c r="B291" t="s">
        <v>9220</v>
      </c>
      <c r="C291" t="s">
        <v>8</v>
      </c>
      <c r="D291" t="s">
        <v>9108</v>
      </c>
      <c r="E291" s="28">
        <v>46205</v>
      </c>
      <c r="F291" t="s">
        <v>9109</v>
      </c>
      <c r="G291" s="3" t="s">
        <v>9205</v>
      </c>
      <c r="H291" t="s">
        <v>4400</v>
      </c>
      <c r="I291" s="28">
        <v>46289</v>
      </c>
      <c r="J291" t="s">
        <v>9118</v>
      </c>
      <c r="K291" t="s">
        <v>30</v>
      </c>
    </row>
    <row r="292" spans="1:11">
      <c r="A292" s="3">
        <v>2519823</v>
      </c>
      <c r="B292" t="s">
        <v>2083</v>
      </c>
      <c r="C292" t="s">
        <v>8</v>
      </c>
      <c r="D292" t="s">
        <v>9108</v>
      </c>
      <c r="E292" s="28">
        <v>46205</v>
      </c>
      <c r="F292" t="s">
        <v>9109</v>
      </c>
      <c r="G292" s="3" t="s">
        <v>9207</v>
      </c>
      <c r="H292" t="s">
        <v>89</v>
      </c>
      <c r="I292" s="28">
        <v>46324</v>
      </c>
      <c r="J292" t="s">
        <v>9118</v>
      </c>
      <c r="K292" t="s">
        <v>31</v>
      </c>
    </row>
    <row r="293" spans="1:11">
      <c r="A293" s="3">
        <v>2519826</v>
      </c>
      <c r="B293" t="s">
        <v>9221</v>
      </c>
      <c r="C293" t="s">
        <v>8</v>
      </c>
      <c r="D293" t="s">
        <v>9108</v>
      </c>
      <c r="E293" s="28">
        <v>46205</v>
      </c>
      <c r="F293" t="s">
        <v>9109</v>
      </c>
      <c r="G293" s="3" t="s">
        <v>9205</v>
      </c>
      <c r="H293" t="s">
        <v>4400</v>
      </c>
      <c r="I293" s="28">
        <v>46289</v>
      </c>
      <c r="J293" t="s">
        <v>9118</v>
      </c>
      <c r="K293" t="s">
        <v>30</v>
      </c>
    </row>
    <row r="294" spans="1:11">
      <c r="A294" s="3">
        <v>2519833</v>
      </c>
      <c r="B294" t="s">
        <v>1669</v>
      </c>
      <c r="C294" t="s">
        <v>7</v>
      </c>
      <c r="D294" t="s">
        <v>9108</v>
      </c>
      <c r="E294" s="28">
        <v>46205</v>
      </c>
      <c r="F294" t="s">
        <v>9109</v>
      </c>
      <c r="G294" s="3" t="s">
        <v>9204</v>
      </c>
      <c r="H294" t="s">
        <v>306</v>
      </c>
      <c r="I294" s="28">
        <v>46272</v>
      </c>
      <c r="J294" t="s">
        <v>9118</v>
      </c>
      <c r="K294" t="s">
        <v>30</v>
      </c>
    </row>
    <row r="295" spans="1:11">
      <c r="A295" s="3">
        <v>2520921</v>
      </c>
      <c r="B295" t="s">
        <v>8073</v>
      </c>
      <c r="C295" t="s">
        <v>8</v>
      </c>
      <c r="D295" t="s">
        <v>9108</v>
      </c>
      <c r="E295" s="28">
        <v>46210</v>
      </c>
      <c r="F295" t="s">
        <v>9109</v>
      </c>
      <c r="G295" s="3" t="s">
        <v>9206</v>
      </c>
      <c r="H295" t="s">
        <v>4400</v>
      </c>
      <c r="I295" s="28">
        <v>46289</v>
      </c>
      <c r="J295" t="s">
        <v>9118</v>
      </c>
      <c r="K295" t="s">
        <v>30</v>
      </c>
    </row>
    <row r="296" spans="1:11">
      <c r="A296" s="3">
        <v>2520922</v>
      </c>
      <c r="B296" t="s">
        <v>3013</v>
      </c>
      <c r="C296" t="s">
        <v>7</v>
      </c>
      <c r="D296" t="s">
        <v>9108</v>
      </c>
      <c r="E296" s="28">
        <v>46210</v>
      </c>
      <c r="F296" t="s">
        <v>9109</v>
      </c>
      <c r="G296" s="3" t="s">
        <v>9207</v>
      </c>
      <c r="H296" t="s">
        <v>89</v>
      </c>
      <c r="I296" s="28">
        <v>46324</v>
      </c>
      <c r="J296" t="s">
        <v>9118</v>
      </c>
      <c r="K296" t="s">
        <v>31</v>
      </c>
    </row>
    <row r="297" spans="1:11">
      <c r="A297" s="3">
        <v>2520923</v>
      </c>
      <c r="B297" t="s">
        <v>7705</v>
      </c>
      <c r="C297" t="s">
        <v>7</v>
      </c>
      <c r="D297" t="s">
        <v>9108</v>
      </c>
      <c r="E297" s="28">
        <v>46210</v>
      </c>
      <c r="F297" t="s">
        <v>9109</v>
      </c>
      <c r="G297" s="3" t="s">
        <v>9207</v>
      </c>
      <c r="H297" t="s">
        <v>89</v>
      </c>
      <c r="I297" s="28">
        <v>46324</v>
      </c>
      <c r="J297" t="s">
        <v>9118</v>
      </c>
      <c r="K297" t="s">
        <v>31</v>
      </c>
    </row>
    <row r="298" spans="1:11">
      <c r="A298" s="3">
        <v>2520924</v>
      </c>
      <c r="B298" t="s">
        <v>2104</v>
      </c>
      <c r="C298" t="s">
        <v>8</v>
      </c>
      <c r="D298" t="s">
        <v>9108</v>
      </c>
      <c r="E298" s="28">
        <v>46210</v>
      </c>
      <c r="F298" t="s">
        <v>9109</v>
      </c>
      <c r="G298" s="3" t="s">
        <v>9207</v>
      </c>
      <c r="H298" t="s">
        <v>89</v>
      </c>
      <c r="I298" s="28">
        <v>46324</v>
      </c>
      <c r="J298" t="s">
        <v>9118</v>
      </c>
      <c r="K298" t="s">
        <v>31</v>
      </c>
    </row>
    <row r="299" spans="1:11">
      <c r="A299" s="3">
        <v>2520925</v>
      </c>
      <c r="B299" t="s">
        <v>9222</v>
      </c>
      <c r="C299" t="s">
        <v>8</v>
      </c>
      <c r="D299" t="s">
        <v>9108</v>
      </c>
      <c r="E299" s="28">
        <v>46210</v>
      </c>
      <c r="F299" t="s">
        <v>9109</v>
      </c>
      <c r="G299" s="3" t="s">
        <v>9128</v>
      </c>
      <c r="H299" t="s">
        <v>4040</v>
      </c>
      <c r="I299" s="28">
        <v>46323</v>
      </c>
      <c r="J299" t="s">
        <v>9118</v>
      </c>
      <c r="K299" t="s">
        <v>31</v>
      </c>
    </row>
    <row r="300" spans="1:11">
      <c r="A300" s="3">
        <v>2520926</v>
      </c>
      <c r="B300" t="s">
        <v>8548</v>
      </c>
      <c r="C300" t="s">
        <v>7</v>
      </c>
      <c r="D300" t="s">
        <v>9108</v>
      </c>
      <c r="E300" s="28">
        <v>46210</v>
      </c>
      <c r="F300" t="s">
        <v>9109</v>
      </c>
      <c r="G300" s="3" t="s">
        <v>9207</v>
      </c>
      <c r="H300" t="s">
        <v>89</v>
      </c>
      <c r="I300" s="28">
        <v>46324</v>
      </c>
      <c r="J300" t="s">
        <v>9118</v>
      </c>
      <c r="K300" t="s">
        <v>31</v>
      </c>
    </row>
    <row r="301" spans="1:11">
      <c r="A301" s="3">
        <v>2520927</v>
      </c>
      <c r="B301" t="s">
        <v>8527</v>
      </c>
      <c r="C301" t="s">
        <v>7</v>
      </c>
      <c r="D301" t="s">
        <v>9108</v>
      </c>
      <c r="E301" s="28">
        <v>46210</v>
      </c>
      <c r="F301" t="s">
        <v>9109</v>
      </c>
      <c r="G301" s="3" t="s">
        <v>9207</v>
      </c>
      <c r="H301" t="s">
        <v>89</v>
      </c>
      <c r="I301" s="28">
        <v>46324</v>
      </c>
      <c r="J301" t="s">
        <v>9118</v>
      </c>
      <c r="K301" t="s">
        <v>31</v>
      </c>
    </row>
    <row r="302" spans="1:11">
      <c r="A302" s="3">
        <v>2520928</v>
      </c>
      <c r="B302" t="s">
        <v>6812</v>
      </c>
      <c r="C302" t="s">
        <v>7</v>
      </c>
      <c r="D302" t="s">
        <v>9108</v>
      </c>
      <c r="E302" s="28">
        <v>46210</v>
      </c>
      <c r="F302" t="s">
        <v>9109</v>
      </c>
      <c r="G302" s="3" t="s">
        <v>9206</v>
      </c>
      <c r="H302" t="s">
        <v>4400</v>
      </c>
      <c r="I302" s="28">
        <v>46289</v>
      </c>
      <c r="J302" t="s">
        <v>9118</v>
      </c>
      <c r="K302" t="s">
        <v>30</v>
      </c>
    </row>
    <row r="303" spans="1:11">
      <c r="A303" s="3">
        <v>2520929</v>
      </c>
      <c r="B303" t="s">
        <v>2136</v>
      </c>
      <c r="C303" t="s">
        <v>8</v>
      </c>
      <c r="D303" t="s">
        <v>9108</v>
      </c>
      <c r="E303" s="28">
        <v>46210</v>
      </c>
      <c r="F303" t="s">
        <v>9109</v>
      </c>
      <c r="G303" s="3" t="s">
        <v>9207</v>
      </c>
      <c r="H303" t="s">
        <v>89</v>
      </c>
      <c r="I303" s="28">
        <v>46324</v>
      </c>
      <c r="J303" t="s">
        <v>9118</v>
      </c>
      <c r="K303" t="s">
        <v>31</v>
      </c>
    </row>
    <row r="304" spans="1:11">
      <c r="A304" s="3">
        <v>2520930</v>
      </c>
      <c r="B304" t="s">
        <v>5936</v>
      </c>
      <c r="C304" t="s">
        <v>8</v>
      </c>
      <c r="D304" t="s">
        <v>9108</v>
      </c>
      <c r="E304" s="28">
        <v>46210</v>
      </c>
      <c r="F304" t="s">
        <v>9109</v>
      </c>
      <c r="G304" s="3" t="s">
        <v>9206</v>
      </c>
      <c r="H304" t="s">
        <v>4400</v>
      </c>
      <c r="I304" s="28">
        <v>46289</v>
      </c>
      <c r="J304" t="s">
        <v>9118</v>
      </c>
      <c r="K304" t="s">
        <v>30</v>
      </c>
    </row>
    <row r="305" spans="1:11">
      <c r="A305" s="3">
        <v>2520931</v>
      </c>
      <c r="B305" t="s">
        <v>4522</v>
      </c>
      <c r="C305" t="s">
        <v>8</v>
      </c>
      <c r="D305" t="s">
        <v>9108</v>
      </c>
      <c r="E305" s="28">
        <v>46210</v>
      </c>
      <c r="F305" t="s">
        <v>9109</v>
      </c>
      <c r="G305" s="3" t="s">
        <v>9223</v>
      </c>
      <c r="H305" t="s">
        <v>412</v>
      </c>
      <c r="I305" s="28">
        <v>46337</v>
      </c>
      <c r="J305" t="s">
        <v>9118</v>
      </c>
      <c r="K305" t="s">
        <v>32</v>
      </c>
    </row>
    <row r="306" spans="1:11">
      <c r="A306" s="3">
        <v>2520932</v>
      </c>
      <c r="B306" t="s">
        <v>9224</v>
      </c>
      <c r="C306" t="s">
        <v>8</v>
      </c>
      <c r="D306" t="s">
        <v>9108</v>
      </c>
      <c r="E306" s="28">
        <v>46210</v>
      </c>
      <c r="F306" t="s">
        <v>9109</v>
      </c>
      <c r="G306" s="3" t="s">
        <v>9225</v>
      </c>
      <c r="H306" t="s">
        <v>9226</v>
      </c>
      <c r="I306" s="28">
        <v>46310</v>
      </c>
      <c r="J306" t="s">
        <v>9118</v>
      </c>
      <c r="K306" t="s">
        <v>31</v>
      </c>
    </row>
    <row r="307" spans="1:11">
      <c r="A307" s="3">
        <v>2520933</v>
      </c>
      <c r="B307" t="s">
        <v>797</v>
      </c>
      <c r="C307" t="s">
        <v>7</v>
      </c>
      <c r="D307" t="s">
        <v>9108</v>
      </c>
      <c r="E307" s="28">
        <v>46210</v>
      </c>
      <c r="F307" t="s">
        <v>9109</v>
      </c>
      <c r="G307" s="3" t="s">
        <v>9227</v>
      </c>
      <c r="H307" t="s">
        <v>216</v>
      </c>
      <c r="I307" s="28">
        <v>46296</v>
      </c>
      <c r="J307" t="s">
        <v>9118</v>
      </c>
      <c r="K307" t="s">
        <v>31</v>
      </c>
    </row>
    <row r="308" spans="1:11">
      <c r="A308" s="3">
        <v>2520934</v>
      </c>
      <c r="B308" t="s">
        <v>6834</v>
      </c>
      <c r="C308" t="s">
        <v>7</v>
      </c>
      <c r="D308" t="s">
        <v>9108</v>
      </c>
      <c r="E308" s="28">
        <v>46210</v>
      </c>
      <c r="F308" t="s">
        <v>9109</v>
      </c>
      <c r="G308" s="3" t="s">
        <v>9225</v>
      </c>
      <c r="H308" t="s">
        <v>9226</v>
      </c>
      <c r="I308" s="28">
        <v>46310</v>
      </c>
      <c r="J308" t="s">
        <v>9118</v>
      </c>
      <c r="K308" t="s">
        <v>31</v>
      </c>
    </row>
    <row r="309" spans="1:11">
      <c r="A309" s="3">
        <v>2520935</v>
      </c>
      <c r="B309" t="s">
        <v>9228</v>
      </c>
      <c r="C309" t="s">
        <v>8</v>
      </c>
      <c r="D309" t="s">
        <v>9108</v>
      </c>
      <c r="E309" s="28">
        <v>46210</v>
      </c>
      <c r="F309" t="s">
        <v>9109</v>
      </c>
      <c r="G309" s="3" t="s">
        <v>9223</v>
      </c>
      <c r="H309" t="s">
        <v>412</v>
      </c>
      <c r="I309" s="28">
        <v>46337</v>
      </c>
      <c r="J309" t="s">
        <v>9118</v>
      </c>
      <c r="K309" t="s">
        <v>32</v>
      </c>
    </row>
    <row r="310" spans="1:11">
      <c r="A310" s="3">
        <v>2520936</v>
      </c>
      <c r="B310" t="s">
        <v>7203</v>
      </c>
      <c r="C310" t="s">
        <v>8</v>
      </c>
      <c r="D310" t="s">
        <v>9108</v>
      </c>
      <c r="E310" s="28">
        <v>46210</v>
      </c>
      <c r="F310" t="s">
        <v>9109</v>
      </c>
      <c r="G310" s="3" t="s">
        <v>9225</v>
      </c>
      <c r="H310" t="s">
        <v>9226</v>
      </c>
      <c r="I310" s="28">
        <v>46310</v>
      </c>
      <c r="J310" t="s">
        <v>9118</v>
      </c>
      <c r="K310" t="s">
        <v>31</v>
      </c>
    </row>
    <row r="311" spans="1:11">
      <c r="A311" s="3">
        <v>2520937</v>
      </c>
      <c r="B311" t="s">
        <v>2370</v>
      </c>
      <c r="C311" t="s">
        <v>8</v>
      </c>
      <c r="D311" t="s">
        <v>9108</v>
      </c>
      <c r="E311" s="28">
        <v>46210</v>
      </c>
      <c r="F311" t="s">
        <v>9109</v>
      </c>
      <c r="G311" s="3" t="s">
        <v>9225</v>
      </c>
      <c r="H311" t="s">
        <v>9226</v>
      </c>
      <c r="I311" s="28">
        <v>46310</v>
      </c>
      <c r="J311" t="s">
        <v>9118</v>
      </c>
      <c r="K311" t="s">
        <v>31</v>
      </c>
    </row>
    <row r="312" spans="1:11">
      <c r="A312" s="3">
        <v>2520938</v>
      </c>
      <c r="B312" t="s">
        <v>1308</v>
      </c>
      <c r="C312" t="s">
        <v>8</v>
      </c>
      <c r="D312" t="s">
        <v>9108</v>
      </c>
      <c r="E312" s="28">
        <v>46210</v>
      </c>
      <c r="F312" t="s">
        <v>9109</v>
      </c>
      <c r="G312" s="3" t="s">
        <v>9225</v>
      </c>
      <c r="H312" t="s">
        <v>9226</v>
      </c>
      <c r="I312" s="28">
        <v>46310</v>
      </c>
      <c r="J312" t="s">
        <v>9118</v>
      </c>
      <c r="K312" t="s">
        <v>31</v>
      </c>
    </row>
    <row r="313" spans="1:11">
      <c r="A313" s="3">
        <v>2520939</v>
      </c>
      <c r="B313" t="s">
        <v>9229</v>
      </c>
      <c r="C313" t="s">
        <v>8</v>
      </c>
      <c r="D313" t="s">
        <v>9108</v>
      </c>
      <c r="E313" s="28">
        <v>46210</v>
      </c>
      <c r="F313" t="s">
        <v>9109</v>
      </c>
      <c r="G313" s="3" t="s">
        <v>9225</v>
      </c>
      <c r="H313" t="s">
        <v>9226</v>
      </c>
      <c r="I313" s="28">
        <v>46310</v>
      </c>
      <c r="J313" t="s">
        <v>9118</v>
      </c>
      <c r="K313" t="s">
        <v>31</v>
      </c>
    </row>
    <row r="314" spans="1:11">
      <c r="A314" s="3">
        <v>2520940</v>
      </c>
      <c r="B314" t="s">
        <v>4416</v>
      </c>
      <c r="C314" t="s">
        <v>8</v>
      </c>
      <c r="D314" t="s">
        <v>9108</v>
      </c>
      <c r="E314" s="28">
        <v>46210</v>
      </c>
      <c r="F314" t="s">
        <v>9109</v>
      </c>
      <c r="G314" s="3" t="s">
        <v>9230</v>
      </c>
      <c r="H314" t="s">
        <v>89</v>
      </c>
      <c r="I314" s="28">
        <v>46272</v>
      </c>
      <c r="J314" t="s">
        <v>9118</v>
      </c>
      <c r="K314" t="s">
        <v>30</v>
      </c>
    </row>
    <row r="315" spans="1:11">
      <c r="A315" s="3">
        <v>2520941</v>
      </c>
      <c r="B315" t="s">
        <v>9231</v>
      </c>
      <c r="C315" t="s">
        <v>7</v>
      </c>
      <c r="D315" t="s">
        <v>9108</v>
      </c>
      <c r="E315" s="28">
        <v>46210</v>
      </c>
      <c r="F315" t="s">
        <v>9109</v>
      </c>
      <c r="G315" s="3" t="s">
        <v>9227</v>
      </c>
      <c r="H315" t="s">
        <v>216</v>
      </c>
      <c r="I315" s="28">
        <v>46296</v>
      </c>
      <c r="J315" t="s">
        <v>9118</v>
      </c>
      <c r="K315" t="s">
        <v>31</v>
      </c>
    </row>
    <row r="316" spans="1:11">
      <c r="A316" s="3">
        <v>2520943</v>
      </c>
      <c r="B316" t="s">
        <v>1399</v>
      </c>
      <c r="C316" t="s">
        <v>8</v>
      </c>
      <c r="D316" t="s">
        <v>9108</v>
      </c>
      <c r="E316" s="28">
        <v>46210</v>
      </c>
      <c r="F316" t="s">
        <v>9109</v>
      </c>
      <c r="G316" s="3" t="s">
        <v>9128</v>
      </c>
      <c r="H316" t="s">
        <v>4040</v>
      </c>
      <c r="I316" s="28">
        <v>46323</v>
      </c>
      <c r="J316" t="s">
        <v>9118</v>
      </c>
      <c r="K316" t="s">
        <v>31</v>
      </c>
    </row>
    <row r="317" spans="1:11">
      <c r="A317" s="3">
        <v>2520944</v>
      </c>
      <c r="B317" t="s">
        <v>9232</v>
      </c>
      <c r="C317" t="s">
        <v>8</v>
      </c>
      <c r="D317" t="s">
        <v>9108</v>
      </c>
      <c r="E317" s="28">
        <v>46210</v>
      </c>
      <c r="F317" t="s">
        <v>9109</v>
      </c>
      <c r="G317" s="3" t="s">
        <v>9223</v>
      </c>
      <c r="H317" t="s">
        <v>412</v>
      </c>
      <c r="I317" s="28">
        <v>46337</v>
      </c>
      <c r="J317" t="s">
        <v>9118</v>
      </c>
      <c r="K317" t="s">
        <v>32</v>
      </c>
    </row>
    <row r="318" spans="1:11">
      <c r="A318" s="3">
        <v>2520945</v>
      </c>
      <c r="B318" t="s">
        <v>2352</v>
      </c>
      <c r="C318" t="s">
        <v>8</v>
      </c>
      <c r="D318" t="s">
        <v>9108</v>
      </c>
      <c r="E318" s="28">
        <v>46210</v>
      </c>
      <c r="F318" t="s">
        <v>9109</v>
      </c>
      <c r="G318" s="3" t="s">
        <v>9223</v>
      </c>
      <c r="H318" t="s">
        <v>412</v>
      </c>
      <c r="I318" s="28">
        <v>46337</v>
      </c>
      <c r="J318" t="s">
        <v>9118</v>
      </c>
      <c r="K318" t="s">
        <v>32</v>
      </c>
    </row>
    <row r="319" spans="1:11">
      <c r="A319" s="3">
        <v>2520946</v>
      </c>
      <c r="B319" t="s">
        <v>9233</v>
      </c>
      <c r="C319" t="s">
        <v>8</v>
      </c>
      <c r="D319" t="s">
        <v>9108</v>
      </c>
      <c r="E319" s="28">
        <v>46210</v>
      </c>
      <c r="F319" t="s">
        <v>9109</v>
      </c>
      <c r="G319" s="3" t="s">
        <v>9225</v>
      </c>
      <c r="H319" t="s">
        <v>9226</v>
      </c>
      <c r="I319" s="28">
        <v>46310</v>
      </c>
      <c r="J319" t="s">
        <v>9118</v>
      </c>
      <c r="K319" t="s">
        <v>31</v>
      </c>
    </row>
    <row r="320" spans="1:11">
      <c r="A320" s="3">
        <v>2520947</v>
      </c>
      <c r="B320" t="s">
        <v>9234</v>
      </c>
      <c r="C320" t="s">
        <v>8</v>
      </c>
      <c r="D320" t="s">
        <v>9108</v>
      </c>
      <c r="E320" s="28">
        <v>46210</v>
      </c>
      <c r="F320" t="s">
        <v>9109</v>
      </c>
      <c r="G320" s="3" t="s">
        <v>9227</v>
      </c>
      <c r="H320" t="s">
        <v>216</v>
      </c>
      <c r="I320" s="28">
        <v>46296</v>
      </c>
      <c r="J320" t="s">
        <v>9118</v>
      </c>
      <c r="K320" t="s">
        <v>31</v>
      </c>
    </row>
    <row r="321" spans="1:11">
      <c r="A321" s="3">
        <v>2520948</v>
      </c>
      <c r="B321" t="s">
        <v>3946</v>
      </c>
      <c r="C321" t="s">
        <v>8</v>
      </c>
      <c r="D321" t="s">
        <v>9108</v>
      </c>
      <c r="E321" s="28">
        <v>46210</v>
      </c>
      <c r="F321" t="s">
        <v>9109</v>
      </c>
      <c r="G321" s="3" t="s">
        <v>9128</v>
      </c>
      <c r="H321" t="s">
        <v>4040</v>
      </c>
      <c r="I321" s="28">
        <v>46323</v>
      </c>
      <c r="J321" t="s">
        <v>9118</v>
      </c>
      <c r="K321" t="s">
        <v>31</v>
      </c>
    </row>
    <row r="322" spans="1:11">
      <c r="A322" s="3">
        <v>2520949</v>
      </c>
      <c r="B322" t="s">
        <v>1644</v>
      </c>
      <c r="C322" t="s">
        <v>7</v>
      </c>
      <c r="D322" t="s">
        <v>9108</v>
      </c>
      <c r="E322" s="28">
        <v>46210</v>
      </c>
      <c r="F322" t="s">
        <v>9109</v>
      </c>
      <c r="G322" s="3" t="s">
        <v>9225</v>
      </c>
      <c r="H322" t="s">
        <v>9226</v>
      </c>
      <c r="I322" s="28">
        <v>46310</v>
      </c>
      <c r="J322" t="s">
        <v>9118</v>
      </c>
      <c r="K322" t="s">
        <v>31</v>
      </c>
    </row>
    <row r="323" spans="1:11">
      <c r="A323" s="3">
        <v>2520950</v>
      </c>
      <c r="B323" t="s">
        <v>5232</v>
      </c>
      <c r="C323" t="s">
        <v>7</v>
      </c>
      <c r="D323" t="s">
        <v>9108</v>
      </c>
      <c r="E323" s="28">
        <v>46210</v>
      </c>
      <c r="F323" t="s">
        <v>9109</v>
      </c>
      <c r="G323" s="3" t="s">
        <v>9227</v>
      </c>
      <c r="H323" t="s">
        <v>216</v>
      </c>
      <c r="I323" s="28">
        <v>46296</v>
      </c>
      <c r="J323" t="s">
        <v>9118</v>
      </c>
      <c r="K323" t="s">
        <v>31</v>
      </c>
    </row>
    <row r="324" spans="1:11">
      <c r="A324" s="3">
        <v>2520951</v>
      </c>
      <c r="B324" t="s">
        <v>2841</v>
      </c>
      <c r="C324" t="s">
        <v>8</v>
      </c>
      <c r="D324" t="s">
        <v>9108</v>
      </c>
      <c r="E324" s="28">
        <v>46210</v>
      </c>
      <c r="F324" t="s">
        <v>9109</v>
      </c>
      <c r="G324" s="3" t="s">
        <v>9225</v>
      </c>
      <c r="H324" t="s">
        <v>9226</v>
      </c>
      <c r="I324" s="28">
        <v>46310</v>
      </c>
      <c r="J324" t="s">
        <v>9118</v>
      </c>
      <c r="K324" t="s">
        <v>31</v>
      </c>
    </row>
    <row r="325" spans="1:11">
      <c r="A325" s="3">
        <v>2520952</v>
      </c>
      <c r="B325" t="s">
        <v>1784</v>
      </c>
      <c r="C325" t="s">
        <v>8</v>
      </c>
      <c r="D325" t="s">
        <v>9108</v>
      </c>
      <c r="E325" s="28">
        <v>46210</v>
      </c>
      <c r="F325" t="s">
        <v>9109</v>
      </c>
      <c r="G325" s="3" t="s">
        <v>9235</v>
      </c>
      <c r="H325" t="s">
        <v>6724</v>
      </c>
      <c r="I325" s="28">
        <v>46322</v>
      </c>
      <c r="J325" t="s">
        <v>9118</v>
      </c>
      <c r="K325" t="s">
        <v>31</v>
      </c>
    </row>
    <row r="326" spans="1:11">
      <c r="A326" s="3">
        <v>2520953</v>
      </c>
      <c r="B326" t="s">
        <v>9236</v>
      </c>
      <c r="C326" t="s">
        <v>8</v>
      </c>
      <c r="D326" t="s">
        <v>9108</v>
      </c>
      <c r="E326" s="28">
        <v>46210</v>
      </c>
      <c r="F326" t="s">
        <v>9109</v>
      </c>
      <c r="G326" s="3" t="s">
        <v>9128</v>
      </c>
      <c r="H326" t="s">
        <v>4040</v>
      </c>
      <c r="I326" s="28">
        <v>46323</v>
      </c>
      <c r="J326" t="s">
        <v>9118</v>
      </c>
      <c r="K326" t="s">
        <v>31</v>
      </c>
    </row>
    <row r="327" spans="1:11">
      <c r="A327" s="3">
        <v>2520954</v>
      </c>
      <c r="B327" t="s">
        <v>1649</v>
      </c>
      <c r="C327" t="s">
        <v>8</v>
      </c>
      <c r="D327" t="s">
        <v>9108</v>
      </c>
      <c r="E327" s="28">
        <v>46210</v>
      </c>
      <c r="F327" t="s">
        <v>9109</v>
      </c>
      <c r="G327" s="3" t="s">
        <v>9225</v>
      </c>
      <c r="H327" t="s">
        <v>9226</v>
      </c>
      <c r="I327" s="28">
        <v>46310</v>
      </c>
      <c r="J327" t="s">
        <v>9118</v>
      </c>
      <c r="K327" t="s">
        <v>31</v>
      </c>
    </row>
    <row r="328" spans="1:11">
      <c r="A328" s="3">
        <v>2520958</v>
      </c>
      <c r="B328" t="s">
        <v>6059</v>
      </c>
      <c r="C328" t="s">
        <v>7</v>
      </c>
      <c r="D328" t="s">
        <v>9108</v>
      </c>
      <c r="E328" s="28">
        <v>46210</v>
      </c>
      <c r="F328" t="s">
        <v>9109</v>
      </c>
      <c r="G328" s="3" t="s">
        <v>9227</v>
      </c>
      <c r="H328" t="s">
        <v>216</v>
      </c>
      <c r="I328" s="28">
        <v>46296</v>
      </c>
      <c r="J328" t="s">
        <v>9118</v>
      </c>
      <c r="K328" t="s">
        <v>31</v>
      </c>
    </row>
    <row r="329" spans="1:11">
      <c r="A329" s="3">
        <v>2520959</v>
      </c>
      <c r="B329" t="s">
        <v>3605</v>
      </c>
      <c r="C329" t="s">
        <v>7</v>
      </c>
      <c r="D329" t="s">
        <v>9108</v>
      </c>
      <c r="E329" s="28">
        <v>46210</v>
      </c>
      <c r="F329" t="s">
        <v>9109</v>
      </c>
      <c r="G329" s="3" t="s">
        <v>9225</v>
      </c>
      <c r="H329" t="s">
        <v>9226</v>
      </c>
      <c r="I329" s="28">
        <v>46310</v>
      </c>
      <c r="J329" t="s">
        <v>9118</v>
      </c>
      <c r="K329" t="s">
        <v>31</v>
      </c>
    </row>
    <row r="330" spans="1:11">
      <c r="A330" s="3">
        <v>2520960</v>
      </c>
      <c r="B330" t="s">
        <v>9049</v>
      </c>
      <c r="C330" t="s">
        <v>8</v>
      </c>
      <c r="D330" t="s">
        <v>9108</v>
      </c>
      <c r="E330" s="28">
        <v>46210</v>
      </c>
      <c r="F330" t="s">
        <v>9109</v>
      </c>
      <c r="G330" s="3" t="s">
        <v>9128</v>
      </c>
      <c r="H330" t="s">
        <v>4040</v>
      </c>
      <c r="I330" s="28">
        <v>46323</v>
      </c>
      <c r="J330" t="s">
        <v>9118</v>
      </c>
      <c r="K330" t="s">
        <v>31</v>
      </c>
    </row>
    <row r="331" spans="1:11">
      <c r="A331" s="3">
        <v>2520963</v>
      </c>
      <c r="B331" t="s">
        <v>7284</v>
      </c>
      <c r="C331" t="s">
        <v>8</v>
      </c>
      <c r="D331" t="s">
        <v>9108</v>
      </c>
      <c r="E331" s="28">
        <v>46210</v>
      </c>
      <c r="F331" t="s">
        <v>9109</v>
      </c>
      <c r="G331" s="3" t="s">
        <v>9230</v>
      </c>
      <c r="H331" t="s">
        <v>89</v>
      </c>
      <c r="I331" s="28">
        <v>46272</v>
      </c>
      <c r="J331" t="s">
        <v>9118</v>
      </c>
      <c r="K331" t="s">
        <v>30</v>
      </c>
    </row>
    <row r="332" spans="1:11">
      <c r="A332" s="3">
        <v>2520964</v>
      </c>
      <c r="B332" t="s">
        <v>9237</v>
      </c>
      <c r="C332" t="s">
        <v>8</v>
      </c>
      <c r="D332" t="s">
        <v>9108</v>
      </c>
      <c r="E332" s="28">
        <v>46210</v>
      </c>
      <c r="F332" t="s">
        <v>9109</v>
      </c>
      <c r="G332" s="3" t="s">
        <v>9128</v>
      </c>
      <c r="H332" t="s">
        <v>4040</v>
      </c>
      <c r="I332" s="28">
        <v>46323</v>
      </c>
      <c r="J332" t="s">
        <v>9118</v>
      </c>
      <c r="K332" t="s">
        <v>31</v>
      </c>
    </row>
    <row r="333" spans="1:11">
      <c r="A333" s="3">
        <v>2520965</v>
      </c>
      <c r="B333" t="s">
        <v>4411</v>
      </c>
      <c r="C333" t="s">
        <v>8</v>
      </c>
      <c r="D333" t="s">
        <v>9108</v>
      </c>
      <c r="E333" s="28">
        <v>46210</v>
      </c>
      <c r="F333" t="s">
        <v>9109</v>
      </c>
      <c r="G333" s="3" t="s">
        <v>9230</v>
      </c>
      <c r="H333" t="s">
        <v>89</v>
      </c>
      <c r="I333" s="28">
        <v>46272</v>
      </c>
      <c r="J333" t="s">
        <v>9118</v>
      </c>
      <c r="K333" t="s">
        <v>30</v>
      </c>
    </row>
    <row r="334" spans="1:11">
      <c r="A334" s="3">
        <v>2520966</v>
      </c>
      <c r="B334" t="s">
        <v>7288</v>
      </c>
      <c r="C334" t="s">
        <v>8</v>
      </c>
      <c r="D334" t="s">
        <v>9108</v>
      </c>
      <c r="E334" s="28">
        <v>46210</v>
      </c>
      <c r="F334" t="s">
        <v>9109</v>
      </c>
      <c r="G334" s="3" t="s">
        <v>9230</v>
      </c>
      <c r="H334" t="s">
        <v>89</v>
      </c>
      <c r="I334" s="28">
        <v>46272</v>
      </c>
      <c r="J334" t="s">
        <v>9118</v>
      </c>
      <c r="K334" t="s">
        <v>30</v>
      </c>
    </row>
    <row r="335" spans="1:11">
      <c r="A335" s="3">
        <v>2520967</v>
      </c>
      <c r="B335" t="s">
        <v>1417</v>
      </c>
      <c r="C335" t="s">
        <v>8</v>
      </c>
      <c r="D335" t="s">
        <v>9108</v>
      </c>
      <c r="E335" s="28">
        <v>46210</v>
      </c>
      <c r="F335" t="s">
        <v>9109</v>
      </c>
      <c r="G335" s="3" t="s">
        <v>9225</v>
      </c>
      <c r="H335" t="s">
        <v>9226</v>
      </c>
      <c r="I335" s="28">
        <v>46310</v>
      </c>
      <c r="J335" t="s">
        <v>9118</v>
      </c>
      <c r="K335" t="s">
        <v>31</v>
      </c>
    </row>
    <row r="336" spans="1:11">
      <c r="A336" s="3">
        <v>2520968</v>
      </c>
      <c r="B336" t="s">
        <v>8947</v>
      </c>
      <c r="C336" t="s">
        <v>8</v>
      </c>
      <c r="D336" t="s">
        <v>9108</v>
      </c>
      <c r="E336" s="28">
        <v>46210</v>
      </c>
      <c r="F336" t="s">
        <v>9109</v>
      </c>
      <c r="G336" s="3" t="s">
        <v>9230</v>
      </c>
      <c r="H336" t="s">
        <v>89</v>
      </c>
      <c r="I336" s="28">
        <v>46272</v>
      </c>
      <c r="J336" t="s">
        <v>9118</v>
      </c>
      <c r="K336" t="s">
        <v>30</v>
      </c>
    </row>
    <row r="337" spans="1:11">
      <c r="A337" s="3">
        <v>2520969</v>
      </c>
      <c r="B337" t="s">
        <v>5291</v>
      </c>
      <c r="C337" t="s">
        <v>8</v>
      </c>
      <c r="D337" t="s">
        <v>9108</v>
      </c>
      <c r="E337" s="28">
        <v>46210</v>
      </c>
      <c r="F337" t="s">
        <v>9109</v>
      </c>
      <c r="G337" s="3" t="s">
        <v>9128</v>
      </c>
      <c r="H337" t="s">
        <v>4040</v>
      </c>
      <c r="I337" s="28">
        <v>46323</v>
      </c>
      <c r="J337" t="s">
        <v>9118</v>
      </c>
      <c r="K337" t="s">
        <v>31</v>
      </c>
    </row>
    <row r="338" spans="1:11">
      <c r="A338" s="3">
        <v>2520971</v>
      </c>
      <c r="B338" t="s">
        <v>8552</v>
      </c>
      <c r="C338" t="s">
        <v>7</v>
      </c>
      <c r="D338" t="s">
        <v>9108</v>
      </c>
      <c r="E338" s="28">
        <v>46210</v>
      </c>
      <c r="F338" t="s">
        <v>9109</v>
      </c>
      <c r="G338" s="3" t="s">
        <v>9227</v>
      </c>
      <c r="H338" t="s">
        <v>216</v>
      </c>
      <c r="I338" s="28">
        <v>46296</v>
      </c>
      <c r="J338" t="s">
        <v>9118</v>
      </c>
      <c r="K338" t="s">
        <v>31</v>
      </c>
    </row>
    <row r="339" spans="1:11">
      <c r="A339" s="3">
        <v>2520972</v>
      </c>
      <c r="B339" t="s">
        <v>7496</v>
      </c>
      <c r="C339" t="s">
        <v>7</v>
      </c>
      <c r="D339" t="s">
        <v>9108</v>
      </c>
      <c r="E339" s="28">
        <v>46210</v>
      </c>
      <c r="F339" t="s">
        <v>9109</v>
      </c>
      <c r="G339" s="3" t="s">
        <v>9227</v>
      </c>
      <c r="H339" t="s">
        <v>216</v>
      </c>
      <c r="I339" s="28">
        <v>46296</v>
      </c>
      <c r="J339" t="s">
        <v>9118</v>
      </c>
      <c r="K339" t="s">
        <v>31</v>
      </c>
    </row>
    <row r="340" spans="1:11">
      <c r="A340" s="3">
        <v>2520973</v>
      </c>
      <c r="B340" t="s">
        <v>8308</v>
      </c>
      <c r="C340" t="s">
        <v>8</v>
      </c>
      <c r="D340" t="s">
        <v>9108</v>
      </c>
      <c r="E340" s="28">
        <v>46210</v>
      </c>
      <c r="F340" t="s">
        <v>9109</v>
      </c>
      <c r="G340" s="3" t="s">
        <v>9128</v>
      </c>
      <c r="H340" t="s">
        <v>4040</v>
      </c>
      <c r="I340" s="28">
        <v>46323</v>
      </c>
      <c r="J340" t="s">
        <v>9118</v>
      </c>
      <c r="K340" t="s">
        <v>31</v>
      </c>
    </row>
    <row r="341" spans="1:11">
      <c r="A341" s="3">
        <v>2520974</v>
      </c>
      <c r="B341" t="s">
        <v>6237</v>
      </c>
      <c r="C341" t="s">
        <v>8</v>
      </c>
      <c r="D341" t="s">
        <v>9108</v>
      </c>
      <c r="E341" s="28">
        <v>46210</v>
      </c>
      <c r="F341" t="s">
        <v>9109</v>
      </c>
      <c r="G341" s="3" t="s">
        <v>9230</v>
      </c>
      <c r="H341" t="s">
        <v>89</v>
      </c>
      <c r="I341" s="28">
        <v>46272</v>
      </c>
      <c r="J341" t="s">
        <v>9118</v>
      </c>
      <c r="K341" t="s">
        <v>30</v>
      </c>
    </row>
    <row r="342" spans="1:11">
      <c r="A342" s="3">
        <v>2520975</v>
      </c>
      <c r="B342" t="s">
        <v>9238</v>
      </c>
      <c r="C342" t="s">
        <v>8</v>
      </c>
      <c r="D342" t="s">
        <v>9108</v>
      </c>
      <c r="E342" s="28">
        <v>46210</v>
      </c>
      <c r="F342" t="s">
        <v>9109</v>
      </c>
      <c r="G342" s="3" t="s">
        <v>9227</v>
      </c>
      <c r="H342" t="s">
        <v>216</v>
      </c>
      <c r="I342" s="28">
        <v>46296</v>
      </c>
      <c r="J342" t="s">
        <v>9118</v>
      </c>
      <c r="K342" t="s">
        <v>31</v>
      </c>
    </row>
    <row r="343" spans="1:11">
      <c r="A343" s="3">
        <v>2520976</v>
      </c>
      <c r="B343" t="s">
        <v>8734</v>
      </c>
      <c r="C343" t="s">
        <v>8</v>
      </c>
      <c r="D343" t="s">
        <v>9108</v>
      </c>
      <c r="E343" s="28">
        <v>46210</v>
      </c>
      <c r="F343" t="s">
        <v>9109</v>
      </c>
      <c r="G343" s="3" t="s">
        <v>9235</v>
      </c>
      <c r="H343" t="s">
        <v>6724</v>
      </c>
      <c r="I343" s="28">
        <v>46322</v>
      </c>
      <c r="J343" t="s">
        <v>9118</v>
      </c>
      <c r="K343" t="s">
        <v>31</v>
      </c>
    </row>
    <row r="344" spans="1:11">
      <c r="A344" s="3">
        <v>2520977</v>
      </c>
      <c r="B344" t="s">
        <v>2365</v>
      </c>
      <c r="C344" t="s">
        <v>8</v>
      </c>
      <c r="D344" t="s">
        <v>9108</v>
      </c>
      <c r="E344" s="28">
        <v>46210</v>
      </c>
      <c r="F344" t="s">
        <v>9109</v>
      </c>
      <c r="G344" s="3" t="s">
        <v>9128</v>
      </c>
      <c r="H344" t="s">
        <v>4040</v>
      </c>
      <c r="I344" s="28">
        <v>46323</v>
      </c>
      <c r="J344" t="s">
        <v>9118</v>
      </c>
      <c r="K344" t="s">
        <v>31</v>
      </c>
    </row>
    <row r="345" spans="1:11">
      <c r="A345" s="3">
        <v>2520980</v>
      </c>
      <c r="B345" t="s">
        <v>9239</v>
      </c>
      <c r="C345" t="s">
        <v>8</v>
      </c>
      <c r="D345" t="s">
        <v>9108</v>
      </c>
      <c r="E345" s="28">
        <v>46210</v>
      </c>
      <c r="F345" t="s">
        <v>9109</v>
      </c>
      <c r="G345" s="3" t="s">
        <v>9230</v>
      </c>
      <c r="H345" t="s">
        <v>89</v>
      </c>
      <c r="I345" s="28">
        <v>46272</v>
      </c>
      <c r="J345" t="s">
        <v>9118</v>
      </c>
      <c r="K345" t="s">
        <v>30</v>
      </c>
    </row>
    <row r="346" spans="1:11">
      <c r="A346" s="3">
        <v>2520981</v>
      </c>
      <c r="B346" t="s">
        <v>1746</v>
      </c>
      <c r="C346" t="s">
        <v>8</v>
      </c>
      <c r="D346" t="s">
        <v>9108</v>
      </c>
      <c r="E346" s="28">
        <v>46210</v>
      </c>
      <c r="F346" t="s">
        <v>9109</v>
      </c>
      <c r="G346" s="3" t="s">
        <v>9230</v>
      </c>
      <c r="H346" t="s">
        <v>89</v>
      </c>
      <c r="I346" s="28">
        <v>46272</v>
      </c>
      <c r="J346" t="s">
        <v>9118</v>
      </c>
      <c r="K346" t="s">
        <v>30</v>
      </c>
    </row>
    <row r="347" spans="1:11">
      <c r="A347" s="3">
        <v>2520982</v>
      </c>
      <c r="B347" t="s">
        <v>9240</v>
      </c>
      <c r="C347" t="s">
        <v>8</v>
      </c>
      <c r="D347" t="s">
        <v>9108</v>
      </c>
      <c r="E347" s="28">
        <v>46210</v>
      </c>
      <c r="F347" t="s">
        <v>9109</v>
      </c>
      <c r="G347" s="3" t="s">
        <v>9128</v>
      </c>
      <c r="H347" t="s">
        <v>4040</v>
      </c>
      <c r="I347" s="28">
        <v>46323</v>
      </c>
      <c r="J347" t="s">
        <v>9118</v>
      </c>
      <c r="K347" t="s">
        <v>31</v>
      </c>
    </row>
    <row r="348" spans="1:11">
      <c r="A348" s="3">
        <v>2520983</v>
      </c>
      <c r="B348" t="s">
        <v>802</v>
      </c>
      <c r="C348" t="s">
        <v>8</v>
      </c>
      <c r="D348" t="s">
        <v>9108</v>
      </c>
      <c r="E348" s="28">
        <v>46210</v>
      </c>
      <c r="F348" t="s">
        <v>9109</v>
      </c>
      <c r="G348" s="3" t="s">
        <v>9128</v>
      </c>
      <c r="H348" t="s">
        <v>4040</v>
      </c>
      <c r="I348" s="28">
        <v>46323</v>
      </c>
      <c r="J348" t="s">
        <v>9118</v>
      </c>
      <c r="K348" t="s">
        <v>31</v>
      </c>
    </row>
    <row r="349" spans="1:11">
      <c r="A349" s="3">
        <v>2520984</v>
      </c>
      <c r="B349" t="s">
        <v>2405</v>
      </c>
      <c r="C349" t="s">
        <v>8</v>
      </c>
      <c r="D349" t="s">
        <v>9108</v>
      </c>
      <c r="E349" s="28">
        <v>46210</v>
      </c>
      <c r="F349" t="s">
        <v>9109</v>
      </c>
      <c r="G349" s="3" t="s">
        <v>9227</v>
      </c>
      <c r="H349" t="s">
        <v>216</v>
      </c>
      <c r="I349" s="28">
        <v>46296</v>
      </c>
      <c r="J349" t="s">
        <v>9118</v>
      </c>
      <c r="K349" t="s">
        <v>31</v>
      </c>
    </row>
    <row r="350" spans="1:11">
      <c r="A350" s="3">
        <v>2520985</v>
      </c>
      <c r="B350" t="s">
        <v>7536</v>
      </c>
      <c r="C350" t="s">
        <v>7</v>
      </c>
      <c r="D350" t="s">
        <v>9108</v>
      </c>
      <c r="E350" s="28">
        <v>46210</v>
      </c>
      <c r="F350" t="s">
        <v>9109</v>
      </c>
      <c r="G350" s="3" t="s">
        <v>9235</v>
      </c>
      <c r="H350" t="s">
        <v>6724</v>
      </c>
      <c r="I350" s="28">
        <v>46322</v>
      </c>
      <c r="J350" t="s">
        <v>9118</v>
      </c>
      <c r="K350" t="s">
        <v>31</v>
      </c>
    </row>
    <row r="351" spans="1:11">
      <c r="A351" s="3">
        <v>2520986</v>
      </c>
      <c r="B351" t="s">
        <v>4058</v>
      </c>
      <c r="C351" t="s">
        <v>8</v>
      </c>
      <c r="D351" t="s">
        <v>9108</v>
      </c>
      <c r="E351" s="28">
        <v>46210</v>
      </c>
      <c r="F351" t="s">
        <v>9109</v>
      </c>
      <c r="G351" s="3" t="s">
        <v>9227</v>
      </c>
      <c r="H351" t="s">
        <v>216</v>
      </c>
      <c r="I351" s="28">
        <v>46296</v>
      </c>
      <c r="J351" t="s">
        <v>9118</v>
      </c>
      <c r="K351" t="s">
        <v>31</v>
      </c>
    </row>
    <row r="352" spans="1:11">
      <c r="A352" s="3">
        <v>2520987</v>
      </c>
      <c r="B352" t="s">
        <v>7185</v>
      </c>
      <c r="C352" t="s">
        <v>7</v>
      </c>
      <c r="D352" t="s">
        <v>9108</v>
      </c>
      <c r="E352" s="28">
        <v>46210</v>
      </c>
      <c r="F352" t="s">
        <v>9109</v>
      </c>
      <c r="G352" s="3" t="s">
        <v>9225</v>
      </c>
      <c r="H352" t="s">
        <v>9226</v>
      </c>
      <c r="I352" s="28">
        <v>46310</v>
      </c>
      <c r="J352" t="s">
        <v>9118</v>
      </c>
      <c r="K352" t="s">
        <v>31</v>
      </c>
    </row>
    <row r="353" spans="1:11">
      <c r="A353" s="3">
        <v>2520988</v>
      </c>
      <c r="B353" t="s">
        <v>819</v>
      </c>
      <c r="C353" t="s">
        <v>8</v>
      </c>
      <c r="D353" t="s">
        <v>9108</v>
      </c>
      <c r="E353" s="28">
        <v>46210</v>
      </c>
      <c r="F353" t="s">
        <v>9109</v>
      </c>
      <c r="G353" s="3" t="s">
        <v>9128</v>
      </c>
      <c r="H353" t="s">
        <v>4040</v>
      </c>
      <c r="I353" s="28">
        <v>46323</v>
      </c>
      <c r="J353" t="s">
        <v>9118</v>
      </c>
      <c r="K353" t="s">
        <v>31</v>
      </c>
    </row>
    <row r="354" spans="1:11">
      <c r="A354" s="3">
        <v>2520989</v>
      </c>
      <c r="B354" t="s">
        <v>9241</v>
      </c>
      <c r="C354" t="s">
        <v>8</v>
      </c>
      <c r="D354" t="s">
        <v>9108</v>
      </c>
      <c r="E354" s="28">
        <v>46210</v>
      </c>
      <c r="F354" t="s">
        <v>9109</v>
      </c>
      <c r="G354" s="3" t="s">
        <v>9227</v>
      </c>
      <c r="H354" t="s">
        <v>216</v>
      </c>
      <c r="I354" s="28">
        <v>46296</v>
      </c>
      <c r="J354" t="s">
        <v>9118</v>
      </c>
      <c r="K354" t="s">
        <v>31</v>
      </c>
    </row>
    <row r="355" spans="1:11">
      <c r="A355" s="3">
        <v>2520998</v>
      </c>
      <c r="B355" t="s">
        <v>791</v>
      </c>
      <c r="C355" t="s">
        <v>8</v>
      </c>
      <c r="D355" t="s">
        <v>9108</v>
      </c>
      <c r="E355" s="28">
        <v>46210</v>
      </c>
      <c r="F355" t="s">
        <v>9109</v>
      </c>
      <c r="G355" s="3" t="s">
        <v>9128</v>
      </c>
      <c r="H355" t="s">
        <v>4040</v>
      </c>
      <c r="I355" s="28">
        <v>46323</v>
      </c>
      <c r="J355" t="s">
        <v>9118</v>
      </c>
      <c r="K355" t="s">
        <v>31</v>
      </c>
    </row>
    <row r="356" spans="1:11">
      <c r="A356" s="3">
        <v>2521010</v>
      </c>
      <c r="B356" t="s">
        <v>5305</v>
      </c>
      <c r="C356" t="s">
        <v>8</v>
      </c>
      <c r="D356" t="s">
        <v>9108</v>
      </c>
      <c r="E356" s="28">
        <v>46210</v>
      </c>
      <c r="F356" t="s">
        <v>9109</v>
      </c>
      <c r="G356" s="3" t="s">
        <v>9223</v>
      </c>
      <c r="H356" t="s">
        <v>412</v>
      </c>
      <c r="I356" s="28">
        <v>46337</v>
      </c>
      <c r="J356" t="s">
        <v>9118</v>
      </c>
      <c r="K356" t="s">
        <v>32</v>
      </c>
    </row>
    <row r="357" spans="1:11">
      <c r="A357" s="3">
        <v>2521030</v>
      </c>
      <c r="B357" t="s">
        <v>4537</v>
      </c>
      <c r="C357" t="s">
        <v>8</v>
      </c>
      <c r="D357" t="s">
        <v>9108</v>
      </c>
      <c r="E357" s="28">
        <v>46210</v>
      </c>
      <c r="F357" t="s">
        <v>9109</v>
      </c>
      <c r="G357" s="3" t="s">
        <v>9242</v>
      </c>
      <c r="H357" t="s">
        <v>89</v>
      </c>
      <c r="I357" s="28">
        <v>46303</v>
      </c>
      <c r="J357" t="s">
        <v>9118</v>
      </c>
      <c r="K357" t="s">
        <v>31</v>
      </c>
    </row>
    <row r="358" spans="1:11">
      <c r="A358" s="3">
        <v>2521031</v>
      </c>
      <c r="B358" t="s">
        <v>5821</v>
      </c>
      <c r="C358" t="s">
        <v>8</v>
      </c>
      <c r="D358" t="s">
        <v>9108</v>
      </c>
      <c r="E358" s="28">
        <v>46210</v>
      </c>
      <c r="F358" t="s">
        <v>9109</v>
      </c>
      <c r="G358" s="3" t="s">
        <v>9243</v>
      </c>
      <c r="H358" t="s">
        <v>4040</v>
      </c>
      <c r="I358" s="28">
        <v>46303</v>
      </c>
      <c r="J358" t="s">
        <v>9118</v>
      </c>
      <c r="K358" t="s">
        <v>31</v>
      </c>
    </row>
    <row r="359" spans="1:11">
      <c r="A359" s="3">
        <v>2521032</v>
      </c>
      <c r="B359" t="s">
        <v>8604</v>
      </c>
      <c r="C359" t="s">
        <v>7</v>
      </c>
      <c r="D359" t="s">
        <v>9108</v>
      </c>
      <c r="E359" s="28">
        <v>46210</v>
      </c>
      <c r="F359" t="s">
        <v>9109</v>
      </c>
      <c r="G359" s="3" t="s">
        <v>9244</v>
      </c>
      <c r="H359" t="s">
        <v>9134</v>
      </c>
      <c r="I359" s="28">
        <v>46281</v>
      </c>
      <c r="J359" t="s">
        <v>9118</v>
      </c>
      <c r="K359" t="s">
        <v>30</v>
      </c>
    </row>
    <row r="360" spans="1:11">
      <c r="A360" s="3">
        <v>2521034</v>
      </c>
      <c r="B360" t="s">
        <v>4431</v>
      </c>
      <c r="C360" t="s">
        <v>8</v>
      </c>
      <c r="D360" t="s">
        <v>9108</v>
      </c>
      <c r="E360" s="28">
        <v>46210</v>
      </c>
      <c r="F360" t="s">
        <v>9109</v>
      </c>
      <c r="G360" s="3" t="s">
        <v>9243</v>
      </c>
      <c r="H360" t="s">
        <v>4040</v>
      </c>
      <c r="I360" s="28">
        <v>46281</v>
      </c>
      <c r="J360" t="s">
        <v>9118</v>
      </c>
      <c r="K360" t="s">
        <v>30</v>
      </c>
    </row>
    <row r="361" spans="1:11">
      <c r="A361" s="3">
        <v>2521035</v>
      </c>
      <c r="B361" t="s">
        <v>9245</v>
      </c>
      <c r="C361" t="s">
        <v>8</v>
      </c>
      <c r="D361" t="s">
        <v>9108</v>
      </c>
      <c r="E361" s="28">
        <v>46210</v>
      </c>
      <c r="F361" t="s">
        <v>9109</v>
      </c>
      <c r="G361" s="3" t="s">
        <v>9246</v>
      </c>
      <c r="H361" t="s">
        <v>89</v>
      </c>
      <c r="I361" s="28">
        <v>46281</v>
      </c>
      <c r="J361" t="s">
        <v>9118</v>
      </c>
      <c r="K361" t="s">
        <v>30</v>
      </c>
    </row>
    <row r="362" spans="1:11">
      <c r="A362" s="3">
        <v>2521036</v>
      </c>
      <c r="B362" t="s">
        <v>1408</v>
      </c>
      <c r="C362" t="s">
        <v>8</v>
      </c>
      <c r="D362" t="s">
        <v>9108</v>
      </c>
      <c r="E362" s="28">
        <v>46210</v>
      </c>
      <c r="F362" t="s">
        <v>9109</v>
      </c>
      <c r="G362" s="3" t="s">
        <v>9246</v>
      </c>
      <c r="H362" t="s">
        <v>89</v>
      </c>
      <c r="I362" s="28">
        <v>46281</v>
      </c>
      <c r="J362" t="s">
        <v>9118</v>
      </c>
      <c r="K362" t="s">
        <v>30</v>
      </c>
    </row>
    <row r="363" spans="1:11">
      <c r="A363" s="3">
        <v>2521037</v>
      </c>
      <c r="B363" t="s">
        <v>9247</v>
      </c>
      <c r="C363" t="s">
        <v>7</v>
      </c>
      <c r="D363" t="s">
        <v>9108</v>
      </c>
      <c r="E363" s="28">
        <v>46210</v>
      </c>
      <c r="F363" t="s">
        <v>9109</v>
      </c>
      <c r="G363" s="3" t="s">
        <v>9244</v>
      </c>
      <c r="H363" t="s">
        <v>9134</v>
      </c>
      <c r="I363" s="28">
        <v>46303</v>
      </c>
      <c r="J363" t="s">
        <v>9118</v>
      </c>
      <c r="K363" t="s">
        <v>31</v>
      </c>
    </row>
    <row r="364" spans="1:11">
      <c r="A364" s="3">
        <v>2521038</v>
      </c>
      <c r="B364" t="s">
        <v>9248</v>
      </c>
      <c r="C364" t="s">
        <v>7</v>
      </c>
      <c r="D364" t="s">
        <v>9108</v>
      </c>
      <c r="E364" s="28">
        <v>46210</v>
      </c>
      <c r="F364" t="s">
        <v>9109</v>
      </c>
      <c r="G364" s="3" t="s">
        <v>9244</v>
      </c>
      <c r="H364" t="s">
        <v>9134</v>
      </c>
      <c r="I364" s="28">
        <v>46303</v>
      </c>
      <c r="J364" t="s">
        <v>9118</v>
      </c>
      <c r="K364" t="s">
        <v>31</v>
      </c>
    </row>
    <row r="365" spans="1:11">
      <c r="A365" s="3">
        <v>2521039</v>
      </c>
      <c r="B365" t="s">
        <v>1413</v>
      </c>
      <c r="C365" t="s">
        <v>8</v>
      </c>
      <c r="D365" t="s">
        <v>9108</v>
      </c>
      <c r="E365" s="28">
        <v>46210</v>
      </c>
      <c r="F365" t="s">
        <v>9109</v>
      </c>
      <c r="G365" s="3" t="s">
        <v>9246</v>
      </c>
      <c r="H365" t="s">
        <v>89</v>
      </c>
      <c r="I365" s="28">
        <v>46281</v>
      </c>
      <c r="J365" t="s">
        <v>9118</v>
      </c>
      <c r="K365" t="s">
        <v>30</v>
      </c>
    </row>
    <row r="366" spans="1:11">
      <c r="A366" s="3">
        <v>2521040</v>
      </c>
      <c r="B366" t="s">
        <v>6479</v>
      </c>
      <c r="C366" t="s">
        <v>8</v>
      </c>
      <c r="D366" t="s">
        <v>9108</v>
      </c>
      <c r="E366" s="28">
        <v>46210</v>
      </c>
      <c r="F366" t="s">
        <v>9109</v>
      </c>
      <c r="G366" s="3" t="s">
        <v>9243</v>
      </c>
      <c r="H366" t="s">
        <v>4040</v>
      </c>
      <c r="I366" s="28">
        <v>46303</v>
      </c>
      <c r="J366" t="s">
        <v>9118</v>
      </c>
      <c r="K366" t="s">
        <v>31</v>
      </c>
    </row>
    <row r="367" spans="1:11">
      <c r="A367" s="3">
        <v>2521041</v>
      </c>
      <c r="B367" t="s">
        <v>4562</v>
      </c>
      <c r="C367" t="s">
        <v>8</v>
      </c>
      <c r="D367" t="s">
        <v>9108</v>
      </c>
      <c r="E367" s="28">
        <v>46210</v>
      </c>
      <c r="F367" t="s">
        <v>9109</v>
      </c>
      <c r="G367" s="3" t="s">
        <v>9244</v>
      </c>
      <c r="H367" t="s">
        <v>9134</v>
      </c>
      <c r="I367" s="28">
        <v>46281</v>
      </c>
      <c r="J367" t="s">
        <v>9118</v>
      </c>
      <c r="K367" t="s">
        <v>30</v>
      </c>
    </row>
    <row r="368" spans="1:11">
      <c r="A368" s="3">
        <v>2521042</v>
      </c>
      <c r="B368" t="s">
        <v>7798</v>
      </c>
      <c r="C368" t="s">
        <v>8</v>
      </c>
      <c r="D368" t="s">
        <v>9108</v>
      </c>
      <c r="E368" s="28">
        <v>46210</v>
      </c>
      <c r="F368" t="s">
        <v>9109</v>
      </c>
      <c r="G368" s="3" t="s">
        <v>9246</v>
      </c>
      <c r="H368" t="s">
        <v>89</v>
      </c>
      <c r="I368" s="28">
        <v>46281</v>
      </c>
      <c r="J368" t="s">
        <v>9118</v>
      </c>
      <c r="K368" t="s">
        <v>30</v>
      </c>
    </row>
    <row r="369" spans="1:11">
      <c r="A369" s="3">
        <v>2521043</v>
      </c>
      <c r="B369" t="s">
        <v>6484</v>
      </c>
      <c r="C369" t="s">
        <v>8</v>
      </c>
      <c r="D369" t="s">
        <v>9108</v>
      </c>
      <c r="E369" s="28">
        <v>46210</v>
      </c>
      <c r="F369" t="s">
        <v>9109</v>
      </c>
      <c r="G369" s="3" t="s">
        <v>9244</v>
      </c>
      <c r="H369" t="s">
        <v>9134</v>
      </c>
      <c r="I369" s="28">
        <v>46303</v>
      </c>
      <c r="J369" t="s">
        <v>9118</v>
      </c>
      <c r="K369" t="s">
        <v>31</v>
      </c>
    </row>
    <row r="370" spans="1:11">
      <c r="A370" s="3">
        <v>2521044</v>
      </c>
      <c r="B370" t="s">
        <v>4903</v>
      </c>
      <c r="C370" t="s">
        <v>7</v>
      </c>
      <c r="D370" t="s">
        <v>9108</v>
      </c>
      <c r="E370" s="28">
        <v>46210</v>
      </c>
      <c r="F370" t="s">
        <v>9109</v>
      </c>
      <c r="G370" s="3" t="s">
        <v>9242</v>
      </c>
      <c r="H370" t="s">
        <v>89</v>
      </c>
      <c r="I370" s="28">
        <v>46303</v>
      </c>
      <c r="J370" t="s">
        <v>9118</v>
      </c>
      <c r="K370" t="s">
        <v>31</v>
      </c>
    </row>
    <row r="371" spans="1:11">
      <c r="A371" s="3">
        <v>2521045</v>
      </c>
      <c r="B371" t="s">
        <v>5844</v>
      </c>
      <c r="C371" t="s">
        <v>8</v>
      </c>
      <c r="D371" t="s">
        <v>9108</v>
      </c>
      <c r="E371" s="28">
        <v>46210</v>
      </c>
      <c r="F371" t="s">
        <v>9109</v>
      </c>
      <c r="G371" s="3" t="s">
        <v>9246</v>
      </c>
      <c r="H371" t="s">
        <v>89</v>
      </c>
      <c r="I371" s="28">
        <v>46303</v>
      </c>
      <c r="J371" t="s">
        <v>9118</v>
      </c>
      <c r="K371" t="s">
        <v>31</v>
      </c>
    </row>
    <row r="372" spans="1:11">
      <c r="A372" s="3">
        <v>2521047</v>
      </c>
      <c r="B372" t="s">
        <v>3146</v>
      </c>
      <c r="C372" t="s">
        <v>7</v>
      </c>
      <c r="D372" t="s">
        <v>9108</v>
      </c>
      <c r="E372" s="28">
        <v>46210</v>
      </c>
      <c r="F372" t="s">
        <v>9109</v>
      </c>
      <c r="G372" s="3" t="s">
        <v>9230</v>
      </c>
      <c r="H372" t="s">
        <v>89</v>
      </c>
      <c r="I372" s="28">
        <v>46272</v>
      </c>
      <c r="J372" t="s">
        <v>9118</v>
      </c>
      <c r="K372" t="s">
        <v>30</v>
      </c>
    </row>
    <row r="373" spans="1:11">
      <c r="A373" s="3">
        <v>2521048</v>
      </c>
      <c r="B373" t="s">
        <v>9249</v>
      </c>
      <c r="C373" t="s">
        <v>7</v>
      </c>
      <c r="D373" t="s">
        <v>9108</v>
      </c>
      <c r="E373" s="28">
        <v>46210</v>
      </c>
      <c r="F373" t="s">
        <v>9109</v>
      </c>
      <c r="G373" s="3" t="s">
        <v>9244</v>
      </c>
      <c r="H373" t="s">
        <v>9134</v>
      </c>
      <c r="I373" s="28">
        <v>46303</v>
      </c>
      <c r="J373" t="s">
        <v>9118</v>
      </c>
      <c r="K373" t="s">
        <v>31</v>
      </c>
    </row>
    <row r="374" spans="1:11">
      <c r="A374" s="3">
        <v>2521049</v>
      </c>
      <c r="B374" t="s">
        <v>6039</v>
      </c>
      <c r="C374" t="s">
        <v>7</v>
      </c>
      <c r="D374" t="s">
        <v>9108</v>
      </c>
      <c r="E374" s="28">
        <v>46210</v>
      </c>
      <c r="F374" t="s">
        <v>9109</v>
      </c>
      <c r="G374" s="3" t="s">
        <v>9243</v>
      </c>
      <c r="H374" t="s">
        <v>4040</v>
      </c>
      <c r="I374" s="28">
        <v>46303</v>
      </c>
      <c r="J374" t="s">
        <v>9118</v>
      </c>
      <c r="K374" t="s">
        <v>31</v>
      </c>
    </row>
    <row r="375" spans="1:11">
      <c r="A375" s="3">
        <v>2521050</v>
      </c>
      <c r="B375" t="s">
        <v>6517</v>
      </c>
      <c r="C375" t="s">
        <v>8</v>
      </c>
      <c r="D375" t="s">
        <v>9108</v>
      </c>
      <c r="E375" s="28">
        <v>46210</v>
      </c>
      <c r="F375" t="s">
        <v>9109</v>
      </c>
      <c r="G375" s="3" t="s">
        <v>9244</v>
      </c>
      <c r="H375" t="s">
        <v>9134</v>
      </c>
      <c r="I375" s="28">
        <v>46281</v>
      </c>
      <c r="J375" t="s">
        <v>9118</v>
      </c>
      <c r="K375" t="s">
        <v>30</v>
      </c>
    </row>
    <row r="376" spans="1:11">
      <c r="A376" s="3">
        <v>2521051</v>
      </c>
      <c r="B376" t="s">
        <v>5008</v>
      </c>
      <c r="C376" t="s">
        <v>7</v>
      </c>
      <c r="D376" t="s">
        <v>9108</v>
      </c>
      <c r="E376" s="28">
        <v>46210</v>
      </c>
      <c r="F376" t="s">
        <v>9109</v>
      </c>
      <c r="G376" s="3" t="s">
        <v>9246</v>
      </c>
      <c r="H376" t="s">
        <v>89</v>
      </c>
      <c r="I376" s="28">
        <v>46303</v>
      </c>
      <c r="J376" t="s">
        <v>9118</v>
      </c>
      <c r="K376" t="s">
        <v>31</v>
      </c>
    </row>
    <row r="377" spans="1:11">
      <c r="A377" s="3">
        <v>2521052</v>
      </c>
      <c r="B377" t="s">
        <v>1395</v>
      </c>
      <c r="C377" t="s">
        <v>8</v>
      </c>
      <c r="D377" t="s">
        <v>9108</v>
      </c>
      <c r="E377" s="28">
        <v>46210</v>
      </c>
      <c r="F377" t="s">
        <v>9109</v>
      </c>
      <c r="G377" s="3" t="s">
        <v>9246</v>
      </c>
      <c r="H377" t="s">
        <v>89</v>
      </c>
      <c r="I377" s="28">
        <v>46303</v>
      </c>
      <c r="J377" t="s">
        <v>9118</v>
      </c>
      <c r="K377" t="s">
        <v>31</v>
      </c>
    </row>
    <row r="378" spans="1:11">
      <c r="A378" s="3">
        <v>2521053</v>
      </c>
      <c r="B378" t="s">
        <v>4630</v>
      </c>
      <c r="C378" t="s">
        <v>8</v>
      </c>
      <c r="D378" t="s">
        <v>9108</v>
      </c>
      <c r="E378" s="28">
        <v>46210</v>
      </c>
      <c r="F378" t="s">
        <v>9109</v>
      </c>
      <c r="G378" s="3" t="s">
        <v>9244</v>
      </c>
      <c r="H378" t="s">
        <v>9134</v>
      </c>
      <c r="I378" s="28">
        <v>46281</v>
      </c>
      <c r="J378" t="s">
        <v>9118</v>
      </c>
      <c r="K378" t="s">
        <v>30</v>
      </c>
    </row>
    <row r="379" spans="1:11">
      <c r="A379" s="3">
        <v>2521054</v>
      </c>
      <c r="B379" t="s">
        <v>1256</v>
      </c>
      <c r="C379" t="s">
        <v>8</v>
      </c>
      <c r="D379" t="s">
        <v>9108</v>
      </c>
      <c r="E379" s="28">
        <v>46210</v>
      </c>
      <c r="F379" t="s">
        <v>9109</v>
      </c>
      <c r="G379" s="3" t="s">
        <v>9242</v>
      </c>
      <c r="H379" t="s">
        <v>89</v>
      </c>
      <c r="I379" s="28">
        <v>46281</v>
      </c>
      <c r="J379" t="s">
        <v>9118</v>
      </c>
      <c r="K379" t="s">
        <v>30</v>
      </c>
    </row>
    <row r="380" spans="1:11">
      <c r="A380" s="3">
        <v>2521055</v>
      </c>
      <c r="B380" t="s">
        <v>3229</v>
      </c>
      <c r="C380" t="s">
        <v>7</v>
      </c>
      <c r="D380" t="s">
        <v>9108</v>
      </c>
      <c r="E380" s="28">
        <v>46210</v>
      </c>
      <c r="F380" t="s">
        <v>9109</v>
      </c>
      <c r="G380" s="3" t="s">
        <v>9230</v>
      </c>
      <c r="H380" t="s">
        <v>89</v>
      </c>
      <c r="I380" s="28">
        <v>46272</v>
      </c>
      <c r="J380" t="s">
        <v>9118</v>
      </c>
      <c r="K380" t="s">
        <v>30</v>
      </c>
    </row>
    <row r="381" spans="1:11">
      <c r="A381" s="3">
        <v>2521056</v>
      </c>
      <c r="B381" t="s">
        <v>7067</v>
      </c>
      <c r="C381" t="s">
        <v>7</v>
      </c>
      <c r="D381" t="s">
        <v>9108</v>
      </c>
      <c r="E381" s="28">
        <v>46210</v>
      </c>
      <c r="F381" t="s">
        <v>9109</v>
      </c>
      <c r="G381" s="3" t="s">
        <v>9244</v>
      </c>
      <c r="H381" t="s">
        <v>9134</v>
      </c>
      <c r="I381" s="28">
        <v>46303</v>
      </c>
      <c r="J381" t="s">
        <v>9118</v>
      </c>
      <c r="K381" t="s">
        <v>31</v>
      </c>
    </row>
    <row r="382" spans="1:11">
      <c r="A382" s="3">
        <v>2521057</v>
      </c>
      <c r="B382" t="s">
        <v>8608</v>
      </c>
      <c r="C382" t="s">
        <v>7</v>
      </c>
      <c r="D382" t="s">
        <v>9108</v>
      </c>
      <c r="E382" s="28">
        <v>46210</v>
      </c>
      <c r="F382" t="s">
        <v>9109</v>
      </c>
      <c r="G382" s="3" t="s">
        <v>9244</v>
      </c>
      <c r="H382" t="s">
        <v>9134</v>
      </c>
      <c r="I382" s="28">
        <v>46281</v>
      </c>
      <c r="J382" t="s">
        <v>9118</v>
      </c>
      <c r="K382" t="s">
        <v>30</v>
      </c>
    </row>
    <row r="383" spans="1:11">
      <c r="A383" s="3">
        <v>2521058</v>
      </c>
      <c r="B383" t="s">
        <v>6424</v>
      </c>
      <c r="C383" t="s">
        <v>8</v>
      </c>
      <c r="D383" t="s">
        <v>9108</v>
      </c>
      <c r="E383" s="28">
        <v>46210</v>
      </c>
      <c r="F383" t="s">
        <v>9109</v>
      </c>
      <c r="G383" s="3" t="s">
        <v>9243</v>
      </c>
      <c r="H383" t="s">
        <v>4040</v>
      </c>
      <c r="I383" s="28">
        <v>46303</v>
      </c>
      <c r="J383" t="s">
        <v>9118</v>
      </c>
      <c r="K383" t="s">
        <v>31</v>
      </c>
    </row>
    <row r="384" spans="1:11">
      <c r="A384" s="3">
        <v>2521059</v>
      </c>
      <c r="B384" t="s">
        <v>9250</v>
      </c>
      <c r="C384" t="s">
        <v>8</v>
      </c>
      <c r="D384" t="s">
        <v>9108</v>
      </c>
      <c r="E384" s="28">
        <v>46210</v>
      </c>
      <c r="F384" t="s">
        <v>9109</v>
      </c>
      <c r="G384" s="3" t="s">
        <v>9246</v>
      </c>
      <c r="H384" t="s">
        <v>89</v>
      </c>
      <c r="I384" s="28">
        <v>46281</v>
      </c>
      <c r="J384" t="s">
        <v>9118</v>
      </c>
      <c r="K384" t="s">
        <v>30</v>
      </c>
    </row>
    <row r="385" spans="1:11">
      <c r="A385" s="3">
        <v>2521060</v>
      </c>
      <c r="B385" t="s">
        <v>9251</v>
      </c>
      <c r="C385" t="s">
        <v>7</v>
      </c>
      <c r="D385" t="s">
        <v>9108</v>
      </c>
      <c r="E385" s="28">
        <v>46210</v>
      </c>
      <c r="F385" t="s">
        <v>9109</v>
      </c>
      <c r="G385" s="3" t="s">
        <v>9227</v>
      </c>
      <c r="H385" t="s">
        <v>216</v>
      </c>
      <c r="I385" s="28">
        <v>46296</v>
      </c>
      <c r="J385" t="s">
        <v>9118</v>
      </c>
      <c r="K385" t="s">
        <v>31</v>
      </c>
    </row>
    <row r="386" spans="1:11">
      <c r="A386" s="3">
        <v>2521061</v>
      </c>
      <c r="B386" t="s">
        <v>9252</v>
      </c>
      <c r="C386" t="s">
        <v>8</v>
      </c>
      <c r="D386" t="s">
        <v>9108</v>
      </c>
      <c r="E386" s="28">
        <v>46210</v>
      </c>
      <c r="F386" t="s">
        <v>9109</v>
      </c>
      <c r="G386" s="3" t="s">
        <v>9243</v>
      </c>
      <c r="H386" t="s">
        <v>4040</v>
      </c>
      <c r="I386" s="28">
        <v>46303</v>
      </c>
      <c r="J386" t="s">
        <v>9118</v>
      </c>
      <c r="K386" t="s">
        <v>31</v>
      </c>
    </row>
    <row r="387" spans="1:11">
      <c r="A387" s="3">
        <v>2521062</v>
      </c>
      <c r="B387" t="s">
        <v>2276</v>
      </c>
      <c r="C387" t="s">
        <v>8</v>
      </c>
      <c r="D387" t="s">
        <v>9108</v>
      </c>
      <c r="E387" s="28">
        <v>46210</v>
      </c>
      <c r="F387" t="s">
        <v>9109</v>
      </c>
      <c r="G387" s="3" t="s">
        <v>9227</v>
      </c>
      <c r="H387" t="s">
        <v>216</v>
      </c>
      <c r="I387" s="28">
        <v>46296</v>
      </c>
      <c r="J387" t="s">
        <v>9118</v>
      </c>
      <c r="K387" t="s">
        <v>31</v>
      </c>
    </row>
    <row r="388" spans="1:11">
      <c r="A388" s="3">
        <v>2521063</v>
      </c>
      <c r="B388" t="s">
        <v>2566</v>
      </c>
      <c r="C388" t="s">
        <v>7</v>
      </c>
      <c r="D388" t="s">
        <v>9108</v>
      </c>
      <c r="E388" s="28">
        <v>46210</v>
      </c>
      <c r="F388" t="s">
        <v>9109</v>
      </c>
      <c r="G388" s="3" t="s">
        <v>9227</v>
      </c>
      <c r="H388" t="s">
        <v>216</v>
      </c>
      <c r="I388" s="28">
        <v>46296</v>
      </c>
      <c r="J388" t="s">
        <v>9118</v>
      </c>
      <c r="K388" t="s">
        <v>31</v>
      </c>
    </row>
    <row r="389" spans="1:11">
      <c r="A389" s="3">
        <v>2521064</v>
      </c>
      <c r="B389" t="s">
        <v>2386</v>
      </c>
      <c r="C389" t="s">
        <v>8</v>
      </c>
      <c r="D389" t="s">
        <v>9108</v>
      </c>
      <c r="E389" s="28">
        <v>46210</v>
      </c>
      <c r="F389" t="s">
        <v>9109</v>
      </c>
      <c r="G389" s="3" t="s">
        <v>9242</v>
      </c>
      <c r="H389" t="s">
        <v>89</v>
      </c>
      <c r="I389" s="28">
        <v>46303</v>
      </c>
      <c r="J389" t="s">
        <v>9118</v>
      </c>
      <c r="K389" t="s">
        <v>31</v>
      </c>
    </row>
    <row r="390" spans="1:11">
      <c r="A390" s="3">
        <v>2521065</v>
      </c>
      <c r="B390" t="s">
        <v>259</v>
      </c>
      <c r="C390" t="s">
        <v>7</v>
      </c>
      <c r="D390" t="s">
        <v>9108</v>
      </c>
      <c r="E390" s="28">
        <v>46210</v>
      </c>
      <c r="F390" t="s">
        <v>9109</v>
      </c>
      <c r="G390" s="3" t="s">
        <v>9242</v>
      </c>
      <c r="H390" t="s">
        <v>89</v>
      </c>
      <c r="I390" s="28">
        <v>46303</v>
      </c>
      <c r="J390" t="s">
        <v>9118</v>
      </c>
      <c r="K390" t="s">
        <v>31</v>
      </c>
    </row>
    <row r="391" spans="1:11">
      <c r="A391" s="3">
        <v>2521066</v>
      </c>
      <c r="B391" t="s">
        <v>9253</v>
      </c>
      <c r="C391" t="s">
        <v>7</v>
      </c>
      <c r="D391" t="s">
        <v>9108</v>
      </c>
      <c r="E391" s="28">
        <v>46210</v>
      </c>
      <c r="F391" t="s">
        <v>9109</v>
      </c>
      <c r="G391" s="3" t="s">
        <v>9227</v>
      </c>
      <c r="H391" t="s">
        <v>216</v>
      </c>
      <c r="I391" s="28">
        <v>46296</v>
      </c>
      <c r="J391" t="s">
        <v>9118</v>
      </c>
      <c r="K391" t="s">
        <v>31</v>
      </c>
    </row>
    <row r="392" spans="1:11">
      <c r="A392" s="3">
        <v>2521067</v>
      </c>
      <c r="B392" t="s">
        <v>7824</v>
      </c>
      <c r="C392" t="s">
        <v>8</v>
      </c>
      <c r="D392" t="s">
        <v>9108</v>
      </c>
      <c r="E392" s="28">
        <v>46210</v>
      </c>
      <c r="F392" t="s">
        <v>9109</v>
      </c>
      <c r="G392" s="3" t="s">
        <v>9244</v>
      </c>
      <c r="H392" t="s">
        <v>9134</v>
      </c>
      <c r="I392" s="28">
        <v>46281</v>
      </c>
      <c r="J392" t="s">
        <v>9118</v>
      </c>
      <c r="K392" t="s">
        <v>30</v>
      </c>
    </row>
    <row r="393" spans="1:11">
      <c r="A393" s="3">
        <v>2521068</v>
      </c>
      <c r="B393" t="s">
        <v>9254</v>
      </c>
      <c r="C393" t="s">
        <v>8</v>
      </c>
      <c r="D393" t="s">
        <v>9108</v>
      </c>
      <c r="E393" s="28">
        <v>46210</v>
      </c>
      <c r="F393" t="s">
        <v>9109</v>
      </c>
      <c r="G393" s="3" t="s">
        <v>9246</v>
      </c>
      <c r="H393" t="s">
        <v>89</v>
      </c>
      <c r="I393" s="28">
        <v>46281</v>
      </c>
      <c r="J393" t="s">
        <v>9118</v>
      </c>
      <c r="K393" t="s">
        <v>30</v>
      </c>
    </row>
    <row r="394" spans="1:11">
      <c r="A394" s="3">
        <v>2521069</v>
      </c>
      <c r="B394" t="s">
        <v>3219</v>
      </c>
      <c r="C394" t="s">
        <v>7</v>
      </c>
      <c r="D394" t="s">
        <v>9108</v>
      </c>
      <c r="E394" s="28">
        <v>46210</v>
      </c>
      <c r="F394" t="s">
        <v>9109</v>
      </c>
      <c r="G394" s="3" t="s">
        <v>9243</v>
      </c>
      <c r="H394" t="s">
        <v>4040</v>
      </c>
      <c r="I394" s="28">
        <v>46303</v>
      </c>
      <c r="J394" t="s">
        <v>9118</v>
      </c>
      <c r="K394" t="s">
        <v>31</v>
      </c>
    </row>
    <row r="395" spans="1:11">
      <c r="A395" s="3">
        <v>2521070</v>
      </c>
      <c r="B395" t="s">
        <v>6410</v>
      </c>
      <c r="C395" t="s">
        <v>8</v>
      </c>
      <c r="D395" t="s">
        <v>9108</v>
      </c>
      <c r="E395" s="28">
        <v>46210</v>
      </c>
      <c r="F395" t="s">
        <v>9109</v>
      </c>
      <c r="G395" s="3" t="s">
        <v>9243</v>
      </c>
      <c r="H395" t="s">
        <v>4040</v>
      </c>
      <c r="I395" s="28">
        <v>46281</v>
      </c>
      <c r="J395" t="s">
        <v>9118</v>
      </c>
      <c r="K395" t="s">
        <v>30</v>
      </c>
    </row>
    <row r="396" spans="1:11">
      <c r="A396" s="3">
        <v>2521073</v>
      </c>
      <c r="B396" t="s">
        <v>9255</v>
      </c>
      <c r="C396" t="s">
        <v>8</v>
      </c>
      <c r="D396" t="s">
        <v>9108</v>
      </c>
      <c r="E396" s="28">
        <v>46210</v>
      </c>
      <c r="F396" t="s">
        <v>9109</v>
      </c>
      <c r="G396" s="3" t="s">
        <v>9246</v>
      </c>
      <c r="H396" t="s">
        <v>89</v>
      </c>
      <c r="I396" s="28">
        <v>46303</v>
      </c>
      <c r="J396" t="s">
        <v>9118</v>
      </c>
      <c r="K396" t="s">
        <v>31</v>
      </c>
    </row>
    <row r="397" spans="1:11">
      <c r="A397" s="3">
        <v>2521075</v>
      </c>
      <c r="B397" t="s">
        <v>1332</v>
      </c>
      <c r="C397" t="s">
        <v>8</v>
      </c>
      <c r="D397" t="s">
        <v>9108</v>
      </c>
      <c r="E397" s="28">
        <v>46210</v>
      </c>
      <c r="F397" t="s">
        <v>9109</v>
      </c>
      <c r="G397" s="3" t="s">
        <v>9244</v>
      </c>
      <c r="H397" t="s">
        <v>9134</v>
      </c>
      <c r="I397" s="28">
        <v>46303</v>
      </c>
      <c r="J397" t="s">
        <v>9118</v>
      </c>
      <c r="K397" t="s">
        <v>31</v>
      </c>
    </row>
    <row r="398" spans="1:11">
      <c r="A398" s="3">
        <v>2521076</v>
      </c>
      <c r="B398" t="s">
        <v>9256</v>
      </c>
      <c r="C398" t="s">
        <v>8</v>
      </c>
      <c r="D398" t="s">
        <v>9108</v>
      </c>
      <c r="E398" s="28">
        <v>46210</v>
      </c>
      <c r="F398" t="s">
        <v>9109</v>
      </c>
      <c r="G398" s="3" t="s">
        <v>9243</v>
      </c>
      <c r="H398" t="s">
        <v>4040</v>
      </c>
      <c r="I398" s="28">
        <v>46303</v>
      </c>
      <c r="J398" t="s">
        <v>9118</v>
      </c>
      <c r="K398" t="s">
        <v>31</v>
      </c>
    </row>
    <row r="399" spans="1:11">
      <c r="A399" s="3">
        <v>2521077</v>
      </c>
      <c r="B399" t="s">
        <v>6498</v>
      </c>
      <c r="C399" t="s">
        <v>8</v>
      </c>
      <c r="D399" t="s">
        <v>9108</v>
      </c>
      <c r="E399" s="28">
        <v>46210</v>
      </c>
      <c r="F399" t="s">
        <v>9109</v>
      </c>
      <c r="G399" s="3" t="s">
        <v>9244</v>
      </c>
      <c r="H399" t="s">
        <v>9134</v>
      </c>
      <c r="I399" s="28">
        <v>46281</v>
      </c>
      <c r="J399" t="s">
        <v>9118</v>
      </c>
      <c r="K399" t="s">
        <v>30</v>
      </c>
    </row>
    <row r="400" spans="1:11">
      <c r="A400" s="3">
        <v>2521078</v>
      </c>
      <c r="B400" t="s">
        <v>2528</v>
      </c>
      <c r="C400" t="s">
        <v>7</v>
      </c>
      <c r="D400" t="s">
        <v>9108</v>
      </c>
      <c r="E400" s="28">
        <v>46210</v>
      </c>
      <c r="F400" t="s">
        <v>9109</v>
      </c>
      <c r="G400" s="3" t="s">
        <v>9227</v>
      </c>
      <c r="H400" t="s">
        <v>216</v>
      </c>
      <c r="I400" s="28">
        <v>46296</v>
      </c>
      <c r="J400" t="s">
        <v>9118</v>
      </c>
      <c r="K400" t="s">
        <v>31</v>
      </c>
    </row>
    <row r="401" spans="1:11">
      <c r="A401" s="3">
        <v>2521079</v>
      </c>
      <c r="B401" t="s">
        <v>114</v>
      </c>
      <c r="C401" t="s">
        <v>8</v>
      </c>
      <c r="D401" t="s">
        <v>9108</v>
      </c>
      <c r="E401" s="28">
        <v>46210</v>
      </c>
      <c r="F401" t="s">
        <v>9109</v>
      </c>
      <c r="G401" s="3" t="s">
        <v>9244</v>
      </c>
      <c r="H401" t="s">
        <v>9134</v>
      </c>
      <c r="I401" s="28">
        <v>46281</v>
      </c>
      <c r="J401" t="s">
        <v>9118</v>
      </c>
      <c r="K401" t="s">
        <v>30</v>
      </c>
    </row>
    <row r="402" spans="1:11">
      <c r="A402" s="3">
        <v>2521081</v>
      </c>
      <c r="B402" t="s">
        <v>6865</v>
      </c>
      <c r="C402" t="s">
        <v>7</v>
      </c>
      <c r="D402" t="s">
        <v>9108</v>
      </c>
      <c r="E402" s="28">
        <v>46210</v>
      </c>
      <c r="F402" t="s">
        <v>9109</v>
      </c>
      <c r="G402" s="3" t="s">
        <v>9246</v>
      </c>
      <c r="H402" t="s">
        <v>89</v>
      </c>
      <c r="I402" s="28">
        <v>46303</v>
      </c>
      <c r="J402" t="s">
        <v>9118</v>
      </c>
      <c r="K402" t="s">
        <v>31</v>
      </c>
    </row>
    <row r="403" spans="1:11">
      <c r="A403" s="3">
        <v>2521082</v>
      </c>
      <c r="B403" t="s">
        <v>5839</v>
      </c>
      <c r="C403" t="s">
        <v>8</v>
      </c>
      <c r="D403" t="s">
        <v>9108</v>
      </c>
      <c r="E403" s="28">
        <v>46210</v>
      </c>
      <c r="F403" t="s">
        <v>9109</v>
      </c>
      <c r="G403" s="3" t="s">
        <v>9243</v>
      </c>
      <c r="H403" t="s">
        <v>4040</v>
      </c>
      <c r="I403" s="28">
        <v>46281</v>
      </c>
      <c r="J403" t="s">
        <v>9118</v>
      </c>
      <c r="K403" t="s">
        <v>30</v>
      </c>
    </row>
    <row r="404" spans="1:11">
      <c r="A404" s="3">
        <v>2521083</v>
      </c>
      <c r="B404" t="s">
        <v>9257</v>
      </c>
      <c r="C404" t="s">
        <v>8</v>
      </c>
      <c r="D404" t="s">
        <v>9108</v>
      </c>
      <c r="E404" s="28">
        <v>46210</v>
      </c>
      <c r="F404" t="s">
        <v>9109</v>
      </c>
      <c r="G404" s="3" t="s">
        <v>9227</v>
      </c>
      <c r="H404" t="s">
        <v>216</v>
      </c>
      <c r="I404" s="28">
        <v>46296</v>
      </c>
      <c r="J404" t="s">
        <v>9118</v>
      </c>
      <c r="K404" t="s">
        <v>31</v>
      </c>
    </row>
    <row r="405" spans="1:11">
      <c r="A405" s="3">
        <v>2521085</v>
      </c>
      <c r="B405" t="s">
        <v>4361</v>
      </c>
      <c r="C405" t="s">
        <v>8</v>
      </c>
      <c r="D405" t="s">
        <v>9108</v>
      </c>
      <c r="E405" s="28">
        <v>46210</v>
      </c>
      <c r="F405" t="s">
        <v>9109</v>
      </c>
      <c r="G405" s="3" t="s">
        <v>9230</v>
      </c>
      <c r="H405" t="s">
        <v>89</v>
      </c>
      <c r="I405" s="28">
        <v>46272</v>
      </c>
      <c r="J405" t="s">
        <v>9118</v>
      </c>
      <c r="K405" t="s">
        <v>30</v>
      </c>
    </row>
    <row r="406" spans="1:11">
      <c r="A406" s="3">
        <v>2521089</v>
      </c>
      <c r="B406" t="s">
        <v>9258</v>
      </c>
      <c r="C406" t="s">
        <v>8</v>
      </c>
      <c r="D406" t="s">
        <v>9108</v>
      </c>
      <c r="E406" s="28">
        <v>46210</v>
      </c>
      <c r="F406" t="s">
        <v>9109</v>
      </c>
      <c r="G406" s="3" t="s">
        <v>9230</v>
      </c>
      <c r="H406" t="s">
        <v>89</v>
      </c>
      <c r="I406" s="28">
        <v>46272</v>
      </c>
      <c r="J406" t="s">
        <v>9118</v>
      </c>
      <c r="K406" t="s">
        <v>30</v>
      </c>
    </row>
    <row r="407" spans="1:11">
      <c r="A407" s="3">
        <v>2521090</v>
      </c>
      <c r="B407" t="s">
        <v>4356</v>
      </c>
      <c r="C407" t="s">
        <v>8</v>
      </c>
      <c r="D407" t="s">
        <v>9108</v>
      </c>
      <c r="E407" s="28">
        <v>46210</v>
      </c>
      <c r="F407" t="s">
        <v>9109</v>
      </c>
      <c r="G407" s="3" t="s">
        <v>9244</v>
      </c>
      <c r="H407" t="s">
        <v>9134</v>
      </c>
      <c r="I407" s="28">
        <v>46281</v>
      </c>
      <c r="J407" t="s">
        <v>9118</v>
      </c>
      <c r="K407" t="s">
        <v>30</v>
      </c>
    </row>
    <row r="408" spans="1:11">
      <c r="A408" s="3">
        <v>2521092</v>
      </c>
      <c r="B408" t="s">
        <v>4542</v>
      </c>
      <c r="C408" t="s">
        <v>8</v>
      </c>
      <c r="D408" t="s">
        <v>9108</v>
      </c>
      <c r="E408" s="28">
        <v>46210</v>
      </c>
      <c r="F408" t="s">
        <v>9109</v>
      </c>
      <c r="G408" s="3" t="s">
        <v>9243</v>
      </c>
      <c r="H408" t="s">
        <v>4040</v>
      </c>
      <c r="I408" s="28">
        <v>46303</v>
      </c>
      <c r="J408" t="s">
        <v>9118</v>
      </c>
      <c r="K408" t="s">
        <v>31</v>
      </c>
    </row>
    <row r="409" spans="1:11">
      <c r="A409" s="3">
        <v>2521093</v>
      </c>
      <c r="B409" t="s">
        <v>3233</v>
      </c>
      <c r="C409" t="s">
        <v>7</v>
      </c>
      <c r="D409" t="s">
        <v>9108</v>
      </c>
      <c r="E409" s="28">
        <v>46210</v>
      </c>
      <c r="F409" t="s">
        <v>9109</v>
      </c>
      <c r="G409" s="3" t="s">
        <v>9230</v>
      </c>
      <c r="H409" t="s">
        <v>89</v>
      </c>
      <c r="I409" s="28">
        <v>46272</v>
      </c>
      <c r="J409" t="s">
        <v>9118</v>
      </c>
      <c r="K409" t="s">
        <v>30</v>
      </c>
    </row>
    <row r="410" spans="1:11">
      <c r="A410" s="3">
        <v>2521094</v>
      </c>
      <c r="B410" t="s">
        <v>4078</v>
      </c>
      <c r="C410" t="s">
        <v>7</v>
      </c>
      <c r="D410" t="s">
        <v>9108</v>
      </c>
      <c r="E410" s="28">
        <v>46210</v>
      </c>
      <c r="F410" t="s">
        <v>9109</v>
      </c>
      <c r="G410" s="3" t="s">
        <v>9246</v>
      </c>
      <c r="H410" t="s">
        <v>89</v>
      </c>
      <c r="I410" s="28">
        <v>46303</v>
      </c>
      <c r="J410" t="s">
        <v>9118</v>
      </c>
      <c r="K410" t="s">
        <v>31</v>
      </c>
    </row>
    <row r="411" spans="1:11">
      <c r="A411" s="3">
        <v>2521095</v>
      </c>
      <c r="B411" t="s">
        <v>4174</v>
      </c>
      <c r="C411" t="s">
        <v>7</v>
      </c>
      <c r="D411" t="s">
        <v>9108</v>
      </c>
      <c r="E411" s="28">
        <v>46210</v>
      </c>
      <c r="F411" t="s">
        <v>9109</v>
      </c>
      <c r="G411" s="3" t="s">
        <v>9246</v>
      </c>
      <c r="H411" t="s">
        <v>89</v>
      </c>
      <c r="I411" s="28">
        <v>46281</v>
      </c>
      <c r="J411" t="s">
        <v>9118</v>
      </c>
      <c r="K411" t="s">
        <v>30</v>
      </c>
    </row>
    <row r="412" spans="1:11">
      <c r="A412" s="3">
        <v>2521098</v>
      </c>
      <c r="B412" t="s">
        <v>8862</v>
      </c>
      <c r="C412" t="s">
        <v>8</v>
      </c>
      <c r="D412" t="s">
        <v>9108</v>
      </c>
      <c r="E412" s="28">
        <v>46210</v>
      </c>
      <c r="F412" t="s">
        <v>9109</v>
      </c>
      <c r="G412" s="3" t="s">
        <v>9244</v>
      </c>
      <c r="H412" t="s">
        <v>9134</v>
      </c>
      <c r="I412" s="28">
        <v>46281</v>
      </c>
      <c r="J412" t="s">
        <v>9118</v>
      </c>
      <c r="K412" t="s">
        <v>30</v>
      </c>
    </row>
    <row r="413" spans="1:11">
      <c r="A413" s="3">
        <v>2521099</v>
      </c>
      <c r="B413" t="s">
        <v>4138</v>
      </c>
      <c r="C413" t="s">
        <v>7</v>
      </c>
      <c r="D413" t="s">
        <v>9108</v>
      </c>
      <c r="E413" s="28">
        <v>46210</v>
      </c>
      <c r="F413" t="s">
        <v>9109</v>
      </c>
      <c r="G413" s="3" t="s">
        <v>9242</v>
      </c>
      <c r="H413" t="s">
        <v>89</v>
      </c>
      <c r="I413" s="28">
        <v>46281</v>
      </c>
      <c r="J413" t="s">
        <v>9118</v>
      </c>
      <c r="K413" t="s">
        <v>30</v>
      </c>
    </row>
    <row r="414" spans="1:11">
      <c r="A414" s="3">
        <v>2521100</v>
      </c>
      <c r="B414" t="s">
        <v>6512</v>
      </c>
      <c r="C414" t="s">
        <v>8</v>
      </c>
      <c r="D414" t="s">
        <v>9108</v>
      </c>
      <c r="E414" s="28">
        <v>46210</v>
      </c>
      <c r="F414" t="s">
        <v>9109</v>
      </c>
      <c r="G414" s="3" t="s">
        <v>9242</v>
      </c>
      <c r="H414" t="s">
        <v>89</v>
      </c>
      <c r="I414" s="28">
        <v>46281</v>
      </c>
      <c r="J414" t="s">
        <v>9118</v>
      </c>
      <c r="K414" t="s">
        <v>30</v>
      </c>
    </row>
    <row r="415" spans="1:11">
      <c r="A415" s="3">
        <v>2521101</v>
      </c>
      <c r="B415" t="s">
        <v>9053</v>
      </c>
      <c r="C415" t="s">
        <v>8</v>
      </c>
      <c r="D415" t="s">
        <v>9108</v>
      </c>
      <c r="E415" s="28">
        <v>46210</v>
      </c>
      <c r="F415" t="s">
        <v>9109</v>
      </c>
      <c r="G415" s="3" t="s">
        <v>9230</v>
      </c>
      <c r="H415" t="s">
        <v>89</v>
      </c>
      <c r="I415" s="28">
        <v>46272</v>
      </c>
      <c r="J415" t="s">
        <v>9118</v>
      </c>
      <c r="K415" t="s">
        <v>30</v>
      </c>
    </row>
    <row r="416" spans="1:11">
      <c r="A416" s="3">
        <v>2521102</v>
      </c>
      <c r="B416" t="s">
        <v>9259</v>
      </c>
      <c r="C416" t="s">
        <v>7</v>
      </c>
      <c r="D416" t="s">
        <v>9108</v>
      </c>
      <c r="E416" s="28">
        <v>46210</v>
      </c>
      <c r="F416" t="s">
        <v>9109</v>
      </c>
      <c r="G416" s="3" t="s">
        <v>9246</v>
      </c>
      <c r="H416" t="s">
        <v>89</v>
      </c>
      <c r="I416" s="28">
        <v>46303</v>
      </c>
      <c r="J416" t="s">
        <v>9118</v>
      </c>
      <c r="K416" t="s">
        <v>31</v>
      </c>
    </row>
    <row r="417" spans="1:11">
      <c r="A417" s="3">
        <v>2521103</v>
      </c>
      <c r="B417" t="s">
        <v>9260</v>
      </c>
      <c r="C417" t="s">
        <v>8</v>
      </c>
      <c r="D417" t="s">
        <v>9108</v>
      </c>
      <c r="E417" s="28">
        <v>46210</v>
      </c>
      <c r="F417" t="s">
        <v>9109</v>
      </c>
      <c r="G417" s="3" t="s">
        <v>9230</v>
      </c>
      <c r="H417" t="s">
        <v>89</v>
      </c>
      <c r="I417" s="28">
        <v>46272</v>
      </c>
      <c r="J417" t="s">
        <v>9118</v>
      </c>
      <c r="K417" t="s">
        <v>30</v>
      </c>
    </row>
    <row r="418" spans="1:11">
      <c r="A418" s="3">
        <v>2521104</v>
      </c>
      <c r="B418" t="s">
        <v>3417</v>
      </c>
      <c r="C418" t="s">
        <v>8</v>
      </c>
      <c r="D418" t="s">
        <v>9108</v>
      </c>
      <c r="E418" s="28">
        <v>46210</v>
      </c>
      <c r="F418" t="s">
        <v>9109</v>
      </c>
      <c r="G418" s="3" t="s">
        <v>9227</v>
      </c>
      <c r="H418" t="s">
        <v>216</v>
      </c>
      <c r="I418" s="28">
        <v>46296</v>
      </c>
      <c r="J418" t="s">
        <v>9118</v>
      </c>
      <c r="K418" t="s">
        <v>31</v>
      </c>
    </row>
    <row r="419" spans="1:11">
      <c r="A419" s="3">
        <v>2521105</v>
      </c>
      <c r="B419" t="s">
        <v>6589</v>
      </c>
      <c r="C419" t="s">
        <v>8</v>
      </c>
      <c r="D419" t="s">
        <v>9108</v>
      </c>
      <c r="E419" s="28">
        <v>46210</v>
      </c>
      <c r="F419" t="s">
        <v>9109</v>
      </c>
      <c r="G419" s="3" t="s">
        <v>9227</v>
      </c>
      <c r="H419" t="s">
        <v>216</v>
      </c>
      <c r="I419" s="28">
        <v>46296</v>
      </c>
      <c r="J419" t="s">
        <v>9118</v>
      </c>
      <c r="K419" t="s">
        <v>31</v>
      </c>
    </row>
    <row r="420" spans="1:11">
      <c r="A420" s="3">
        <v>2521107</v>
      </c>
      <c r="B420" t="s">
        <v>408</v>
      </c>
      <c r="C420" t="s">
        <v>7</v>
      </c>
      <c r="D420" t="s">
        <v>9108</v>
      </c>
      <c r="E420" s="28">
        <v>46210</v>
      </c>
      <c r="F420" t="s">
        <v>9109</v>
      </c>
      <c r="G420" s="3" t="s">
        <v>9244</v>
      </c>
      <c r="H420" t="s">
        <v>9134</v>
      </c>
      <c r="I420" s="28">
        <v>46281</v>
      </c>
      <c r="J420" t="s">
        <v>9118</v>
      </c>
      <c r="K420" t="s">
        <v>30</v>
      </c>
    </row>
    <row r="421" spans="1:11">
      <c r="A421" s="3">
        <v>2521108</v>
      </c>
      <c r="B421" t="s">
        <v>8639</v>
      </c>
      <c r="C421" t="s">
        <v>7</v>
      </c>
      <c r="D421" t="s">
        <v>9108</v>
      </c>
      <c r="E421" s="28">
        <v>46210</v>
      </c>
      <c r="F421" t="s">
        <v>9109</v>
      </c>
      <c r="G421" s="3" t="s">
        <v>9246</v>
      </c>
      <c r="H421" t="s">
        <v>89</v>
      </c>
      <c r="I421" s="28">
        <v>46281</v>
      </c>
      <c r="J421" t="s">
        <v>9118</v>
      </c>
      <c r="K421" t="s">
        <v>30</v>
      </c>
    </row>
    <row r="422" spans="1:11">
      <c r="A422" s="3">
        <v>2521109</v>
      </c>
      <c r="B422" t="s">
        <v>6855</v>
      </c>
      <c r="C422" t="s">
        <v>7</v>
      </c>
      <c r="D422" t="s">
        <v>9108</v>
      </c>
      <c r="E422" s="28">
        <v>46210</v>
      </c>
      <c r="F422" t="s">
        <v>9109</v>
      </c>
      <c r="G422" s="3" t="s">
        <v>9230</v>
      </c>
      <c r="H422" t="s">
        <v>89</v>
      </c>
      <c r="I422" s="28">
        <v>46272</v>
      </c>
      <c r="J422" t="s">
        <v>9118</v>
      </c>
      <c r="K422" t="s">
        <v>30</v>
      </c>
    </row>
    <row r="423" spans="1:11">
      <c r="A423" s="3">
        <v>2521110</v>
      </c>
      <c r="B423" t="s">
        <v>777</v>
      </c>
      <c r="C423" t="s">
        <v>8</v>
      </c>
      <c r="D423" t="s">
        <v>9108</v>
      </c>
      <c r="E423" s="28">
        <v>46210</v>
      </c>
      <c r="F423" t="s">
        <v>9109</v>
      </c>
      <c r="G423" s="3" t="s">
        <v>9243</v>
      </c>
      <c r="H423" t="s">
        <v>4040</v>
      </c>
      <c r="I423" s="28">
        <v>46303</v>
      </c>
      <c r="J423" t="s">
        <v>9118</v>
      </c>
      <c r="K423" t="s">
        <v>31</v>
      </c>
    </row>
    <row r="424" spans="1:11">
      <c r="A424" s="3">
        <v>2521111</v>
      </c>
      <c r="B424" t="s">
        <v>8899</v>
      </c>
      <c r="C424" t="s">
        <v>8</v>
      </c>
      <c r="D424" t="s">
        <v>9108</v>
      </c>
      <c r="E424" s="28">
        <v>46210</v>
      </c>
      <c r="F424" t="s">
        <v>9109</v>
      </c>
      <c r="G424" s="3" t="s">
        <v>9243</v>
      </c>
      <c r="H424" t="s">
        <v>4040</v>
      </c>
      <c r="I424" s="28">
        <v>46303</v>
      </c>
      <c r="J424" t="s">
        <v>9118</v>
      </c>
      <c r="K424" t="s">
        <v>31</v>
      </c>
    </row>
    <row r="425" spans="1:11">
      <c r="A425" s="3">
        <v>2521112</v>
      </c>
      <c r="B425" t="s">
        <v>3726</v>
      </c>
      <c r="C425" t="s">
        <v>8</v>
      </c>
      <c r="D425" t="s">
        <v>9108</v>
      </c>
      <c r="E425" s="28">
        <v>46210</v>
      </c>
      <c r="F425" t="s">
        <v>9109</v>
      </c>
      <c r="G425" s="3" t="s">
        <v>9230</v>
      </c>
      <c r="H425" t="s">
        <v>89</v>
      </c>
      <c r="I425" s="28">
        <v>46272</v>
      </c>
      <c r="J425" t="s">
        <v>9118</v>
      </c>
      <c r="K425" t="s">
        <v>30</v>
      </c>
    </row>
    <row r="426" spans="1:11">
      <c r="A426" s="3">
        <v>2521113</v>
      </c>
      <c r="B426" t="s">
        <v>4147</v>
      </c>
      <c r="C426" t="s">
        <v>7</v>
      </c>
      <c r="D426" t="s">
        <v>9108</v>
      </c>
      <c r="E426" s="28">
        <v>46210</v>
      </c>
      <c r="F426" t="s">
        <v>9109</v>
      </c>
      <c r="G426" s="3" t="s">
        <v>9243</v>
      </c>
      <c r="H426" t="s">
        <v>4040</v>
      </c>
      <c r="I426" s="28">
        <v>46281</v>
      </c>
      <c r="J426" t="s">
        <v>9118</v>
      </c>
      <c r="K426" t="s">
        <v>30</v>
      </c>
    </row>
    <row r="427" spans="1:11">
      <c r="A427" s="3">
        <v>2521114</v>
      </c>
      <c r="B427" t="s">
        <v>9261</v>
      </c>
      <c r="C427" t="s">
        <v>8</v>
      </c>
      <c r="D427" t="s">
        <v>9108</v>
      </c>
      <c r="E427" s="28">
        <v>46210</v>
      </c>
      <c r="F427" t="s">
        <v>9109</v>
      </c>
      <c r="G427" s="3" t="s">
        <v>9244</v>
      </c>
      <c r="H427" t="s">
        <v>9134</v>
      </c>
      <c r="I427" s="28">
        <v>46303</v>
      </c>
      <c r="J427" t="s">
        <v>9118</v>
      </c>
      <c r="K427" t="s">
        <v>31</v>
      </c>
    </row>
    <row r="428" spans="1:11">
      <c r="A428" s="3">
        <v>2521115</v>
      </c>
      <c r="B428" t="s">
        <v>5860</v>
      </c>
      <c r="C428" t="s">
        <v>8</v>
      </c>
      <c r="D428" t="s">
        <v>9108</v>
      </c>
      <c r="E428" s="28">
        <v>46210</v>
      </c>
      <c r="F428" t="s">
        <v>9109</v>
      </c>
      <c r="G428" s="3" t="s">
        <v>9246</v>
      </c>
      <c r="H428" t="s">
        <v>89</v>
      </c>
      <c r="I428" s="28">
        <v>46281</v>
      </c>
      <c r="J428" t="s">
        <v>9118</v>
      </c>
      <c r="K428" t="s">
        <v>30</v>
      </c>
    </row>
    <row r="429" spans="1:11">
      <c r="A429" s="3">
        <v>2521116</v>
      </c>
      <c r="B429" t="s">
        <v>5421</v>
      </c>
      <c r="C429" t="s">
        <v>8</v>
      </c>
      <c r="D429" t="s">
        <v>9108</v>
      </c>
      <c r="E429" s="28">
        <v>46210</v>
      </c>
      <c r="F429" t="s">
        <v>9109</v>
      </c>
      <c r="G429" s="3" t="s">
        <v>9244</v>
      </c>
      <c r="H429" t="s">
        <v>9134</v>
      </c>
      <c r="I429" s="28">
        <v>46281</v>
      </c>
      <c r="J429" t="s">
        <v>9118</v>
      </c>
      <c r="K429" t="s">
        <v>30</v>
      </c>
    </row>
    <row r="430" spans="1:11">
      <c r="A430" s="3">
        <v>2521117</v>
      </c>
      <c r="B430" t="s">
        <v>5831</v>
      </c>
      <c r="C430" t="s">
        <v>8</v>
      </c>
      <c r="D430" t="s">
        <v>9108</v>
      </c>
      <c r="E430" s="28">
        <v>46210</v>
      </c>
      <c r="F430" t="s">
        <v>9109</v>
      </c>
      <c r="G430" s="3" t="s">
        <v>9243</v>
      </c>
      <c r="H430" t="s">
        <v>4040</v>
      </c>
      <c r="I430" s="28">
        <v>46303</v>
      </c>
      <c r="J430" t="s">
        <v>9118</v>
      </c>
      <c r="K430" t="s">
        <v>31</v>
      </c>
    </row>
    <row r="431" spans="1:11">
      <c r="A431" s="3">
        <v>2521118</v>
      </c>
      <c r="B431" t="s">
        <v>9262</v>
      </c>
      <c r="C431" t="s">
        <v>8</v>
      </c>
      <c r="D431" t="s">
        <v>9108</v>
      </c>
      <c r="E431" s="28">
        <v>46210</v>
      </c>
      <c r="F431" t="s">
        <v>9109</v>
      </c>
      <c r="G431" s="3" t="s">
        <v>9244</v>
      </c>
      <c r="H431" t="s">
        <v>9134</v>
      </c>
      <c r="I431" s="28">
        <v>46303</v>
      </c>
      <c r="J431" t="s">
        <v>9118</v>
      </c>
      <c r="K431" t="s">
        <v>31</v>
      </c>
    </row>
    <row r="432" spans="1:11">
      <c r="A432" s="3">
        <v>2521119</v>
      </c>
      <c r="B432" t="s">
        <v>2965</v>
      </c>
      <c r="C432" t="s">
        <v>7</v>
      </c>
      <c r="D432" t="s">
        <v>9108</v>
      </c>
      <c r="E432" s="28">
        <v>46210</v>
      </c>
      <c r="F432" t="s">
        <v>9109</v>
      </c>
      <c r="G432" s="3" t="s">
        <v>9244</v>
      </c>
      <c r="H432" t="s">
        <v>9134</v>
      </c>
      <c r="I432" s="28">
        <v>46303</v>
      </c>
      <c r="J432" t="s">
        <v>9118</v>
      </c>
      <c r="K432" t="s">
        <v>31</v>
      </c>
    </row>
    <row r="433" spans="1:11">
      <c r="A433" s="3">
        <v>2521120</v>
      </c>
      <c r="B433" t="s">
        <v>5417</v>
      </c>
      <c r="C433" t="s">
        <v>8</v>
      </c>
      <c r="D433" t="s">
        <v>9108</v>
      </c>
      <c r="E433" s="28">
        <v>46210</v>
      </c>
      <c r="F433" t="s">
        <v>9109</v>
      </c>
      <c r="G433" s="3" t="s">
        <v>9244</v>
      </c>
      <c r="H433" t="s">
        <v>9134</v>
      </c>
      <c r="I433" s="28">
        <v>46281</v>
      </c>
      <c r="J433" t="s">
        <v>9118</v>
      </c>
      <c r="K433" t="s">
        <v>30</v>
      </c>
    </row>
    <row r="434" spans="1:11">
      <c r="A434" s="3">
        <v>2521121</v>
      </c>
      <c r="B434" t="s">
        <v>9263</v>
      </c>
      <c r="C434" t="s">
        <v>8</v>
      </c>
      <c r="D434" t="s">
        <v>9108</v>
      </c>
      <c r="E434" s="28">
        <v>46210</v>
      </c>
      <c r="F434" t="s">
        <v>9109</v>
      </c>
      <c r="G434" s="3" t="s">
        <v>9242</v>
      </c>
      <c r="H434" t="s">
        <v>89</v>
      </c>
      <c r="I434" s="28">
        <v>46281</v>
      </c>
      <c r="J434" t="s">
        <v>9118</v>
      </c>
      <c r="K434" t="s">
        <v>30</v>
      </c>
    </row>
    <row r="435" spans="1:11">
      <c r="A435" s="3">
        <v>2521122</v>
      </c>
      <c r="B435" t="s">
        <v>4958</v>
      </c>
      <c r="C435" t="s">
        <v>7</v>
      </c>
      <c r="D435" t="s">
        <v>9108</v>
      </c>
      <c r="E435" s="28">
        <v>46210</v>
      </c>
      <c r="F435" t="s">
        <v>9109</v>
      </c>
      <c r="G435" s="3" t="s">
        <v>9246</v>
      </c>
      <c r="H435" t="s">
        <v>89</v>
      </c>
      <c r="I435" s="28">
        <v>46281</v>
      </c>
      <c r="J435" t="s">
        <v>9118</v>
      </c>
      <c r="K435" t="s">
        <v>30</v>
      </c>
    </row>
    <row r="436" spans="1:11">
      <c r="A436" s="3">
        <v>2521123</v>
      </c>
      <c r="B436" t="s">
        <v>3733</v>
      </c>
      <c r="C436" t="s">
        <v>8</v>
      </c>
      <c r="D436" t="s">
        <v>9108</v>
      </c>
      <c r="E436" s="28">
        <v>46210</v>
      </c>
      <c r="F436" t="s">
        <v>9109</v>
      </c>
      <c r="G436" s="3" t="s">
        <v>9242</v>
      </c>
      <c r="H436" t="s">
        <v>89</v>
      </c>
      <c r="I436" s="28">
        <v>46303</v>
      </c>
      <c r="J436" t="s">
        <v>9118</v>
      </c>
      <c r="K436" t="s">
        <v>31</v>
      </c>
    </row>
    <row r="437" spans="1:11">
      <c r="A437" s="3">
        <v>2521124</v>
      </c>
      <c r="B437" t="s">
        <v>6844</v>
      </c>
      <c r="C437" t="s">
        <v>7</v>
      </c>
      <c r="D437" t="s">
        <v>9108</v>
      </c>
      <c r="E437" s="28">
        <v>46210</v>
      </c>
      <c r="F437" t="s">
        <v>9109</v>
      </c>
      <c r="G437" s="3" t="s">
        <v>9244</v>
      </c>
      <c r="H437" t="s">
        <v>9134</v>
      </c>
      <c r="I437" s="28">
        <v>46281</v>
      </c>
      <c r="J437" t="s">
        <v>9118</v>
      </c>
      <c r="K437" t="s">
        <v>30</v>
      </c>
    </row>
    <row r="438" spans="1:11">
      <c r="A438" s="3">
        <v>2521125</v>
      </c>
      <c r="B438" t="s">
        <v>9264</v>
      </c>
      <c r="C438" t="s">
        <v>8</v>
      </c>
      <c r="D438" t="s">
        <v>9108</v>
      </c>
      <c r="E438" s="28">
        <v>46210</v>
      </c>
      <c r="F438" t="s">
        <v>9109</v>
      </c>
      <c r="G438" s="3" t="s">
        <v>9244</v>
      </c>
      <c r="H438" t="s">
        <v>9134</v>
      </c>
      <c r="I438" s="28">
        <v>46281</v>
      </c>
      <c r="J438" t="s">
        <v>9118</v>
      </c>
      <c r="K438" t="s">
        <v>30</v>
      </c>
    </row>
    <row r="439" spans="1:11">
      <c r="A439" s="3">
        <v>2521126</v>
      </c>
      <c r="B439" t="s">
        <v>1429</v>
      </c>
      <c r="C439" t="s">
        <v>8</v>
      </c>
      <c r="D439" t="s">
        <v>9108</v>
      </c>
      <c r="E439" s="28">
        <v>46210</v>
      </c>
      <c r="F439" t="s">
        <v>9109</v>
      </c>
      <c r="G439" s="3" t="s">
        <v>9242</v>
      </c>
      <c r="H439" t="s">
        <v>89</v>
      </c>
      <c r="I439" s="28">
        <v>46281</v>
      </c>
      <c r="J439" t="s">
        <v>9118</v>
      </c>
      <c r="K439" t="s">
        <v>30</v>
      </c>
    </row>
    <row r="440" spans="1:11">
      <c r="A440" s="3">
        <v>2521127</v>
      </c>
      <c r="B440" t="s">
        <v>8469</v>
      </c>
      <c r="C440" t="s">
        <v>7</v>
      </c>
      <c r="D440" t="s">
        <v>9108</v>
      </c>
      <c r="E440" s="28">
        <v>46210</v>
      </c>
      <c r="F440" t="s">
        <v>9109</v>
      </c>
      <c r="G440" s="3" t="s">
        <v>9242</v>
      </c>
      <c r="H440" t="s">
        <v>89</v>
      </c>
      <c r="I440" s="28">
        <v>46303</v>
      </c>
      <c r="J440" t="s">
        <v>9118</v>
      </c>
      <c r="K440" t="s">
        <v>31</v>
      </c>
    </row>
    <row r="441" spans="1:11">
      <c r="A441" s="3">
        <v>2521128</v>
      </c>
      <c r="B441" t="s">
        <v>4142</v>
      </c>
      <c r="C441" t="s">
        <v>7</v>
      </c>
      <c r="D441" t="s">
        <v>9108</v>
      </c>
      <c r="E441" s="28">
        <v>46210</v>
      </c>
      <c r="F441" t="s">
        <v>9109</v>
      </c>
      <c r="G441" s="3" t="s">
        <v>9244</v>
      </c>
      <c r="H441" t="s">
        <v>9134</v>
      </c>
      <c r="I441" s="28">
        <v>46281</v>
      </c>
      <c r="J441" t="s">
        <v>9118</v>
      </c>
      <c r="K441" t="s">
        <v>30</v>
      </c>
    </row>
    <row r="442" spans="1:11">
      <c r="A442" s="3">
        <v>2521129</v>
      </c>
      <c r="B442" t="s">
        <v>4457</v>
      </c>
      <c r="C442" t="s">
        <v>7</v>
      </c>
      <c r="D442" t="s">
        <v>9108</v>
      </c>
      <c r="E442" s="28">
        <v>46210</v>
      </c>
      <c r="F442" t="s">
        <v>9109</v>
      </c>
      <c r="G442" s="3" t="s">
        <v>9244</v>
      </c>
      <c r="H442" t="s">
        <v>9134</v>
      </c>
      <c r="I442" s="28">
        <v>46281</v>
      </c>
      <c r="J442" t="s">
        <v>9118</v>
      </c>
      <c r="K442" t="s">
        <v>30</v>
      </c>
    </row>
    <row r="443" spans="1:11">
      <c r="A443" s="3">
        <v>2521130</v>
      </c>
      <c r="B443" t="s">
        <v>390</v>
      </c>
      <c r="C443" t="s">
        <v>7</v>
      </c>
      <c r="D443" t="s">
        <v>9108</v>
      </c>
      <c r="E443" s="28">
        <v>46210</v>
      </c>
      <c r="F443" t="s">
        <v>9109</v>
      </c>
      <c r="G443" s="3" t="s">
        <v>9244</v>
      </c>
      <c r="H443" t="s">
        <v>9134</v>
      </c>
      <c r="I443" s="28">
        <v>46281</v>
      </c>
      <c r="J443" t="s">
        <v>9118</v>
      </c>
      <c r="K443" t="s">
        <v>30</v>
      </c>
    </row>
    <row r="444" spans="1:11">
      <c r="A444" s="3">
        <v>2521131</v>
      </c>
      <c r="B444" t="s">
        <v>6434</v>
      </c>
      <c r="C444" t="s">
        <v>8</v>
      </c>
      <c r="D444" t="s">
        <v>9108</v>
      </c>
      <c r="E444" s="28">
        <v>46210</v>
      </c>
      <c r="F444" t="s">
        <v>9109</v>
      </c>
      <c r="G444" s="3" t="s">
        <v>9242</v>
      </c>
      <c r="H444" t="s">
        <v>89</v>
      </c>
      <c r="I444" s="28">
        <v>46303</v>
      </c>
      <c r="J444" t="s">
        <v>9118</v>
      </c>
      <c r="K444" t="s">
        <v>31</v>
      </c>
    </row>
    <row r="445" spans="1:11">
      <c r="A445" s="3">
        <v>2521132</v>
      </c>
      <c r="B445" t="s">
        <v>3428</v>
      </c>
      <c r="C445" t="s">
        <v>8</v>
      </c>
      <c r="D445" t="s">
        <v>9108</v>
      </c>
      <c r="E445" s="28">
        <v>46210</v>
      </c>
      <c r="F445" t="s">
        <v>9109</v>
      </c>
      <c r="G445" s="3" t="s">
        <v>9227</v>
      </c>
      <c r="H445" t="s">
        <v>216</v>
      </c>
      <c r="I445" s="28">
        <v>46296</v>
      </c>
      <c r="J445" t="s">
        <v>9118</v>
      </c>
      <c r="K445" t="s">
        <v>31</v>
      </c>
    </row>
    <row r="446" spans="1:11">
      <c r="A446" s="3">
        <v>2521134</v>
      </c>
      <c r="B446" t="s">
        <v>9265</v>
      </c>
      <c r="C446" t="s">
        <v>8</v>
      </c>
      <c r="D446" t="s">
        <v>9108</v>
      </c>
      <c r="E446" s="28">
        <v>46210</v>
      </c>
      <c r="F446" t="s">
        <v>9109</v>
      </c>
      <c r="G446" s="3" t="s">
        <v>9242</v>
      </c>
      <c r="H446" t="s">
        <v>89</v>
      </c>
      <c r="I446" s="28">
        <v>46303</v>
      </c>
      <c r="J446" t="s">
        <v>9118</v>
      </c>
      <c r="K446" t="s">
        <v>31</v>
      </c>
    </row>
    <row r="447" spans="1:11">
      <c r="A447" s="3">
        <v>2521135</v>
      </c>
      <c r="B447" t="s">
        <v>4843</v>
      </c>
      <c r="C447" t="s">
        <v>7</v>
      </c>
      <c r="D447" t="s">
        <v>9108</v>
      </c>
      <c r="E447" s="28">
        <v>46210</v>
      </c>
      <c r="F447" t="s">
        <v>9109</v>
      </c>
      <c r="G447" s="3" t="s">
        <v>9243</v>
      </c>
      <c r="H447" t="s">
        <v>4040</v>
      </c>
      <c r="I447" s="28">
        <v>46303</v>
      </c>
      <c r="J447" t="s">
        <v>9118</v>
      </c>
      <c r="K447" t="s">
        <v>31</v>
      </c>
    </row>
    <row r="448" spans="1:11">
      <c r="A448" s="3">
        <v>2521136</v>
      </c>
      <c r="B448" t="s">
        <v>6084</v>
      </c>
      <c r="C448" t="s">
        <v>7</v>
      </c>
      <c r="D448" t="s">
        <v>9108</v>
      </c>
      <c r="E448" s="28">
        <v>46210</v>
      </c>
      <c r="F448" t="s">
        <v>9109</v>
      </c>
      <c r="G448" s="3" t="s">
        <v>9230</v>
      </c>
      <c r="H448" t="s">
        <v>89</v>
      </c>
      <c r="I448" s="28">
        <v>46272</v>
      </c>
      <c r="J448" t="s">
        <v>9118</v>
      </c>
      <c r="K448" t="s">
        <v>30</v>
      </c>
    </row>
    <row r="449" spans="1:11">
      <c r="A449" s="3">
        <v>2521138</v>
      </c>
      <c r="B449" t="s">
        <v>9266</v>
      </c>
      <c r="C449" t="s">
        <v>7</v>
      </c>
      <c r="D449" t="s">
        <v>9108</v>
      </c>
      <c r="E449" s="28">
        <v>46210</v>
      </c>
      <c r="F449" t="s">
        <v>9109</v>
      </c>
      <c r="G449" s="3" t="s">
        <v>9242</v>
      </c>
      <c r="H449" t="s">
        <v>89</v>
      </c>
      <c r="I449" s="28">
        <v>46303</v>
      </c>
      <c r="J449" t="s">
        <v>9118</v>
      </c>
      <c r="K449" t="s">
        <v>31</v>
      </c>
    </row>
    <row r="450" spans="1:11">
      <c r="A450" s="3">
        <v>2521139</v>
      </c>
      <c r="B450" t="s">
        <v>6538</v>
      </c>
      <c r="C450" t="s">
        <v>8</v>
      </c>
      <c r="D450" t="s">
        <v>9108</v>
      </c>
      <c r="E450" s="28">
        <v>46210</v>
      </c>
      <c r="F450" t="s">
        <v>9109</v>
      </c>
      <c r="G450" s="3" t="s">
        <v>9242</v>
      </c>
      <c r="H450" t="s">
        <v>89</v>
      </c>
      <c r="I450" s="28">
        <v>46281</v>
      </c>
      <c r="J450" t="s">
        <v>9118</v>
      </c>
      <c r="K450" t="s">
        <v>30</v>
      </c>
    </row>
    <row r="451" spans="1:11">
      <c r="A451" s="3">
        <v>2521140</v>
      </c>
      <c r="B451" t="s">
        <v>9267</v>
      </c>
      <c r="C451" t="s">
        <v>7</v>
      </c>
      <c r="D451" t="s">
        <v>9108</v>
      </c>
      <c r="E451" s="28">
        <v>46210</v>
      </c>
      <c r="F451" t="s">
        <v>9109</v>
      </c>
      <c r="G451" s="3" t="s">
        <v>9246</v>
      </c>
      <c r="H451" t="s">
        <v>89</v>
      </c>
      <c r="I451" s="28">
        <v>46303</v>
      </c>
      <c r="J451" t="s">
        <v>9118</v>
      </c>
      <c r="K451" t="s">
        <v>31</v>
      </c>
    </row>
    <row r="452" spans="1:11">
      <c r="A452" s="3">
        <v>2521142</v>
      </c>
      <c r="B452" t="s">
        <v>2412</v>
      </c>
      <c r="C452" t="s">
        <v>8</v>
      </c>
      <c r="D452" t="s">
        <v>9108</v>
      </c>
      <c r="E452" s="28">
        <v>46210</v>
      </c>
      <c r="F452" t="s">
        <v>9109</v>
      </c>
      <c r="G452" s="3" t="s">
        <v>9230</v>
      </c>
      <c r="H452" t="s">
        <v>89</v>
      </c>
      <c r="I452" s="28">
        <v>46272</v>
      </c>
      <c r="J452" t="s">
        <v>9118</v>
      </c>
      <c r="K452" t="s">
        <v>30</v>
      </c>
    </row>
    <row r="453" spans="1:11">
      <c r="A453" s="3">
        <v>2521143</v>
      </c>
      <c r="B453" t="s">
        <v>8063</v>
      </c>
      <c r="C453" t="s">
        <v>7</v>
      </c>
      <c r="D453" t="s">
        <v>9108</v>
      </c>
      <c r="E453" s="28">
        <v>46210</v>
      </c>
      <c r="F453" t="s">
        <v>9109</v>
      </c>
      <c r="G453" s="3" t="s">
        <v>9246</v>
      </c>
      <c r="H453" t="s">
        <v>89</v>
      </c>
      <c r="I453" s="28">
        <v>46303</v>
      </c>
      <c r="J453" t="s">
        <v>9118</v>
      </c>
      <c r="K453" t="s">
        <v>31</v>
      </c>
    </row>
    <row r="454" spans="1:11">
      <c r="A454" s="3">
        <v>2521145</v>
      </c>
      <c r="B454" t="s">
        <v>4597</v>
      </c>
      <c r="C454" t="s">
        <v>8</v>
      </c>
      <c r="D454" t="s">
        <v>9108</v>
      </c>
      <c r="E454" s="28">
        <v>46210</v>
      </c>
      <c r="F454" t="s">
        <v>9109</v>
      </c>
      <c r="G454" s="3" t="s">
        <v>9242</v>
      </c>
      <c r="H454" t="s">
        <v>89</v>
      </c>
      <c r="I454" s="28">
        <v>46303</v>
      </c>
      <c r="J454" t="s">
        <v>9118</v>
      </c>
      <c r="K454" t="s">
        <v>31</v>
      </c>
    </row>
    <row r="455" spans="1:11">
      <c r="A455" s="3">
        <v>2521146</v>
      </c>
      <c r="B455" t="s">
        <v>6493</v>
      </c>
      <c r="C455" t="s">
        <v>8</v>
      </c>
      <c r="D455" t="s">
        <v>9108</v>
      </c>
      <c r="E455" s="28">
        <v>46210</v>
      </c>
      <c r="F455" t="s">
        <v>9109</v>
      </c>
      <c r="G455" s="3" t="s">
        <v>9230</v>
      </c>
      <c r="H455" t="s">
        <v>89</v>
      </c>
      <c r="I455" s="28">
        <v>46272</v>
      </c>
      <c r="J455" t="s">
        <v>9118</v>
      </c>
      <c r="K455" t="s">
        <v>30</v>
      </c>
    </row>
    <row r="456" spans="1:11">
      <c r="A456" s="3">
        <v>2521162</v>
      </c>
      <c r="B456" t="s">
        <v>9268</v>
      </c>
      <c r="C456" t="s">
        <v>7</v>
      </c>
      <c r="D456" t="s">
        <v>9108</v>
      </c>
      <c r="E456" s="28">
        <v>46210</v>
      </c>
      <c r="F456" t="s">
        <v>9109</v>
      </c>
      <c r="G456" s="3" t="s">
        <v>9206</v>
      </c>
      <c r="H456" t="s">
        <v>4400</v>
      </c>
      <c r="I456" s="28">
        <v>46289</v>
      </c>
      <c r="J456" t="s">
        <v>9118</v>
      </c>
      <c r="K456" t="s">
        <v>30</v>
      </c>
    </row>
    <row r="457" spans="1:11">
      <c r="A457" s="3">
        <v>2521166</v>
      </c>
      <c r="B457" t="s">
        <v>7531</v>
      </c>
      <c r="C457" t="s">
        <v>7</v>
      </c>
      <c r="D457" t="s">
        <v>9108</v>
      </c>
      <c r="E457" s="28">
        <v>46210</v>
      </c>
      <c r="F457" t="s">
        <v>9109</v>
      </c>
      <c r="G457" s="3" t="s">
        <v>9206</v>
      </c>
      <c r="H457" t="s">
        <v>4400</v>
      </c>
      <c r="I457" s="28">
        <v>46289</v>
      </c>
      <c r="J457" t="s">
        <v>9118</v>
      </c>
      <c r="K457" t="s">
        <v>30</v>
      </c>
    </row>
    <row r="458" spans="1:11">
      <c r="A458" s="3">
        <v>2521167</v>
      </c>
      <c r="B458" t="s">
        <v>4967</v>
      </c>
      <c r="C458" t="s">
        <v>7</v>
      </c>
      <c r="D458" t="s">
        <v>9108</v>
      </c>
      <c r="E458" s="28">
        <v>46210</v>
      </c>
      <c r="F458" t="s">
        <v>9109</v>
      </c>
      <c r="G458" s="3" t="s">
        <v>9206</v>
      </c>
      <c r="H458" t="s">
        <v>4400</v>
      </c>
      <c r="I458" s="28">
        <v>46289</v>
      </c>
      <c r="J458" t="s">
        <v>9118</v>
      </c>
      <c r="K458" t="s">
        <v>30</v>
      </c>
    </row>
    <row r="459" spans="1:11">
      <c r="A459" s="3">
        <v>2521168</v>
      </c>
      <c r="B459" t="s">
        <v>5348</v>
      </c>
      <c r="C459" t="s">
        <v>8</v>
      </c>
      <c r="D459" t="s">
        <v>9108</v>
      </c>
      <c r="E459" s="28">
        <v>46210</v>
      </c>
      <c r="F459" t="s">
        <v>9109</v>
      </c>
      <c r="G459" s="3" t="s">
        <v>9235</v>
      </c>
      <c r="H459" t="s">
        <v>6724</v>
      </c>
      <c r="I459" s="28">
        <v>46322</v>
      </c>
      <c r="J459" t="s">
        <v>9118</v>
      </c>
      <c r="K459" t="s">
        <v>31</v>
      </c>
    </row>
    <row r="460" spans="1:11">
      <c r="A460" s="3">
        <v>2521177</v>
      </c>
      <c r="B460" t="s">
        <v>8783</v>
      </c>
      <c r="C460" t="s">
        <v>8</v>
      </c>
      <c r="D460" t="s">
        <v>9108</v>
      </c>
      <c r="E460" s="28">
        <v>46210</v>
      </c>
      <c r="F460" t="s">
        <v>9109</v>
      </c>
      <c r="G460" s="3" t="s">
        <v>9206</v>
      </c>
      <c r="H460" t="s">
        <v>4400</v>
      </c>
      <c r="I460" s="28">
        <v>46289</v>
      </c>
      <c r="J460" t="s">
        <v>9118</v>
      </c>
      <c r="K460" t="s">
        <v>30</v>
      </c>
    </row>
    <row r="461" spans="1:11">
      <c r="A461" s="3">
        <v>2521179</v>
      </c>
      <c r="B461" t="s">
        <v>4795</v>
      </c>
      <c r="C461" t="s">
        <v>7</v>
      </c>
      <c r="D461" t="s">
        <v>9108</v>
      </c>
      <c r="E461" s="28">
        <v>46210</v>
      </c>
      <c r="F461" t="s">
        <v>9109</v>
      </c>
      <c r="G461" s="3" t="s">
        <v>9207</v>
      </c>
      <c r="H461" t="s">
        <v>89</v>
      </c>
      <c r="I461" s="28">
        <v>46324</v>
      </c>
      <c r="J461" t="s">
        <v>9118</v>
      </c>
      <c r="K461" t="s">
        <v>31</v>
      </c>
    </row>
    <row r="462" spans="1:11">
      <c r="A462" s="3">
        <v>2521180</v>
      </c>
      <c r="B462" t="s">
        <v>7274</v>
      </c>
      <c r="C462" t="s">
        <v>8</v>
      </c>
      <c r="D462" t="s">
        <v>9108</v>
      </c>
      <c r="E462" s="28">
        <v>46210</v>
      </c>
      <c r="F462" t="s">
        <v>9109</v>
      </c>
      <c r="G462" s="3" t="s">
        <v>9128</v>
      </c>
      <c r="H462" t="s">
        <v>4040</v>
      </c>
      <c r="I462" s="28">
        <v>46323</v>
      </c>
      <c r="J462" t="s">
        <v>9118</v>
      </c>
      <c r="K462" t="s">
        <v>31</v>
      </c>
    </row>
    <row r="463" spans="1:11">
      <c r="A463" s="3">
        <v>2521182</v>
      </c>
      <c r="B463" t="s">
        <v>9269</v>
      </c>
      <c r="C463" t="s">
        <v>7</v>
      </c>
      <c r="D463" t="s">
        <v>9108</v>
      </c>
      <c r="E463" s="28">
        <v>46210</v>
      </c>
      <c r="F463" t="s">
        <v>9109</v>
      </c>
      <c r="G463" s="3" t="s">
        <v>9225</v>
      </c>
      <c r="H463" t="s">
        <v>9226</v>
      </c>
      <c r="I463" s="28">
        <v>46310</v>
      </c>
      <c r="J463" t="s">
        <v>9118</v>
      </c>
      <c r="K463" t="s">
        <v>31</v>
      </c>
    </row>
    <row r="464" spans="1:11">
      <c r="A464" s="3">
        <v>2521183</v>
      </c>
      <c r="B464" t="s">
        <v>499</v>
      </c>
      <c r="C464" t="s">
        <v>7</v>
      </c>
      <c r="D464" t="s">
        <v>9108</v>
      </c>
      <c r="E464" s="28">
        <v>46210</v>
      </c>
      <c r="F464" t="s">
        <v>9109</v>
      </c>
      <c r="G464" s="3" t="s">
        <v>9207</v>
      </c>
      <c r="H464" t="s">
        <v>89</v>
      </c>
      <c r="I464" s="28">
        <v>46324</v>
      </c>
      <c r="J464" t="s">
        <v>9118</v>
      </c>
      <c r="K464" t="s">
        <v>31</v>
      </c>
    </row>
    <row r="465" spans="1:11">
      <c r="A465" s="3">
        <v>2521186</v>
      </c>
      <c r="B465" t="s">
        <v>2709</v>
      </c>
      <c r="C465" t="s">
        <v>8</v>
      </c>
      <c r="D465" t="s">
        <v>9108</v>
      </c>
      <c r="E465" s="28">
        <v>46210</v>
      </c>
      <c r="F465" t="s">
        <v>9109</v>
      </c>
      <c r="G465" s="3" t="s">
        <v>9235</v>
      </c>
      <c r="H465" t="s">
        <v>6724</v>
      </c>
      <c r="I465" s="28">
        <v>46322</v>
      </c>
      <c r="J465" t="s">
        <v>9118</v>
      </c>
      <c r="K465" t="s">
        <v>31</v>
      </c>
    </row>
    <row r="466" spans="1:11">
      <c r="A466" s="3">
        <v>2521187</v>
      </c>
      <c r="B466" t="s">
        <v>9270</v>
      </c>
      <c r="C466" t="s">
        <v>7</v>
      </c>
      <c r="D466" t="s">
        <v>9108</v>
      </c>
      <c r="E466" s="28">
        <v>46210</v>
      </c>
      <c r="F466" t="s">
        <v>9109</v>
      </c>
      <c r="G466" s="3" t="s">
        <v>9227</v>
      </c>
      <c r="H466" t="s">
        <v>216</v>
      </c>
      <c r="I466" s="28">
        <v>46296</v>
      </c>
      <c r="J466" t="s">
        <v>9118</v>
      </c>
      <c r="K466" t="s">
        <v>31</v>
      </c>
    </row>
    <row r="467" spans="1:11">
      <c r="A467" s="3">
        <v>2521188</v>
      </c>
      <c r="B467" t="s">
        <v>202</v>
      </c>
      <c r="C467" t="s">
        <v>7</v>
      </c>
      <c r="D467" t="s">
        <v>9108</v>
      </c>
      <c r="E467" s="28">
        <v>46210</v>
      </c>
      <c r="F467" t="s">
        <v>9109</v>
      </c>
      <c r="G467" s="3" t="s">
        <v>9227</v>
      </c>
      <c r="H467" t="s">
        <v>216</v>
      </c>
      <c r="I467" s="28">
        <v>46296</v>
      </c>
      <c r="J467" t="s">
        <v>9118</v>
      </c>
      <c r="K467" t="s">
        <v>31</v>
      </c>
    </row>
    <row r="468" spans="1:11">
      <c r="A468" s="3">
        <v>2521189</v>
      </c>
      <c r="B468" t="s">
        <v>9271</v>
      </c>
      <c r="C468" t="s">
        <v>8</v>
      </c>
      <c r="D468" t="s">
        <v>9108</v>
      </c>
      <c r="E468" s="28">
        <v>46210</v>
      </c>
      <c r="F468" t="s">
        <v>9109</v>
      </c>
      <c r="G468" s="3" t="s">
        <v>9225</v>
      </c>
      <c r="H468" t="s">
        <v>9226</v>
      </c>
      <c r="I468" s="28">
        <v>46310</v>
      </c>
      <c r="J468" t="s">
        <v>9118</v>
      </c>
      <c r="K468" t="s">
        <v>31</v>
      </c>
    </row>
    <row r="469" spans="1:11">
      <c r="A469" s="3">
        <v>2521190</v>
      </c>
      <c r="B469" t="s">
        <v>6562</v>
      </c>
      <c r="C469" t="s">
        <v>8</v>
      </c>
      <c r="D469" t="s">
        <v>9108</v>
      </c>
      <c r="E469" s="28">
        <v>46210</v>
      </c>
      <c r="F469" t="s">
        <v>9109</v>
      </c>
      <c r="G469" s="3" t="s">
        <v>9223</v>
      </c>
      <c r="H469" t="s">
        <v>412</v>
      </c>
      <c r="I469" s="28">
        <v>46337</v>
      </c>
      <c r="J469" t="s">
        <v>9118</v>
      </c>
      <c r="K469" t="s">
        <v>32</v>
      </c>
    </row>
    <row r="470" spans="1:11">
      <c r="A470" s="3">
        <v>2521191</v>
      </c>
      <c r="B470" t="s">
        <v>1803</v>
      </c>
      <c r="C470" t="s">
        <v>8</v>
      </c>
      <c r="D470" t="s">
        <v>9108</v>
      </c>
      <c r="E470" s="28">
        <v>46210</v>
      </c>
      <c r="F470" t="s">
        <v>9109</v>
      </c>
      <c r="G470" s="3" t="s">
        <v>9235</v>
      </c>
      <c r="H470" t="s">
        <v>6724</v>
      </c>
      <c r="I470" s="28">
        <v>46322</v>
      </c>
      <c r="J470" t="s">
        <v>9118</v>
      </c>
      <c r="K470" t="s">
        <v>31</v>
      </c>
    </row>
    <row r="471" spans="1:11">
      <c r="A471" s="3">
        <v>2521195</v>
      </c>
      <c r="B471" t="s">
        <v>9272</v>
      </c>
      <c r="C471" t="s">
        <v>8</v>
      </c>
      <c r="D471" t="s">
        <v>9108</v>
      </c>
      <c r="E471" s="28">
        <v>46210</v>
      </c>
      <c r="F471" t="s">
        <v>9109</v>
      </c>
      <c r="G471" s="3" t="s">
        <v>9235</v>
      </c>
      <c r="H471" t="s">
        <v>6724</v>
      </c>
      <c r="I471" s="28">
        <v>46322</v>
      </c>
      <c r="J471" t="s">
        <v>9118</v>
      </c>
      <c r="K471" t="s">
        <v>31</v>
      </c>
    </row>
    <row r="472" spans="1:11">
      <c r="A472" s="3">
        <v>2521197</v>
      </c>
      <c r="B472" t="s">
        <v>9273</v>
      </c>
      <c r="C472" t="s">
        <v>8</v>
      </c>
      <c r="D472" t="s">
        <v>9108</v>
      </c>
      <c r="E472" s="28">
        <v>46210</v>
      </c>
      <c r="F472" t="s">
        <v>9109</v>
      </c>
      <c r="G472" s="3" t="s">
        <v>9227</v>
      </c>
      <c r="H472" t="s">
        <v>216</v>
      </c>
      <c r="I472" s="28">
        <v>46296</v>
      </c>
      <c r="J472" t="s">
        <v>9118</v>
      </c>
      <c r="K472" t="s">
        <v>31</v>
      </c>
    </row>
    <row r="473" spans="1:11">
      <c r="A473" s="3">
        <v>2521198</v>
      </c>
      <c r="B473" t="s">
        <v>4752</v>
      </c>
      <c r="C473" t="s">
        <v>8</v>
      </c>
      <c r="D473" t="s">
        <v>9108</v>
      </c>
      <c r="E473" s="28">
        <v>46210</v>
      </c>
      <c r="F473" t="s">
        <v>9109</v>
      </c>
      <c r="G473" s="3" t="s">
        <v>9225</v>
      </c>
      <c r="H473" t="s">
        <v>9226</v>
      </c>
      <c r="I473" s="28">
        <v>46310</v>
      </c>
      <c r="J473" t="s">
        <v>9118</v>
      </c>
      <c r="K473" t="s">
        <v>31</v>
      </c>
    </row>
    <row r="474" spans="1:11">
      <c r="A474" s="3">
        <v>2521199</v>
      </c>
      <c r="B474" t="s">
        <v>2017</v>
      </c>
      <c r="C474" t="s">
        <v>8</v>
      </c>
      <c r="D474" t="s">
        <v>9108</v>
      </c>
      <c r="E474" s="28">
        <v>46210</v>
      </c>
      <c r="F474" t="s">
        <v>9109</v>
      </c>
      <c r="G474" s="3" t="s">
        <v>9225</v>
      </c>
      <c r="H474" t="s">
        <v>9226</v>
      </c>
      <c r="I474" s="28">
        <v>46310</v>
      </c>
      <c r="J474" t="s">
        <v>9118</v>
      </c>
      <c r="K474" t="s">
        <v>31</v>
      </c>
    </row>
    <row r="475" spans="1:11">
      <c r="A475" s="3">
        <v>2521200</v>
      </c>
      <c r="B475" t="s">
        <v>6304</v>
      </c>
      <c r="C475" t="s">
        <v>8</v>
      </c>
      <c r="D475" t="s">
        <v>9108</v>
      </c>
      <c r="E475" s="28">
        <v>46210</v>
      </c>
      <c r="F475" t="s">
        <v>9109</v>
      </c>
      <c r="G475" s="3" t="s">
        <v>9230</v>
      </c>
      <c r="H475" t="s">
        <v>89</v>
      </c>
      <c r="I475" s="28">
        <v>46272</v>
      </c>
      <c r="J475" t="s">
        <v>9118</v>
      </c>
      <c r="K475" t="s">
        <v>30</v>
      </c>
    </row>
    <row r="476" spans="1:11">
      <c r="A476" s="3">
        <v>2521202</v>
      </c>
      <c r="B476" t="s">
        <v>7208</v>
      </c>
      <c r="C476" t="s">
        <v>8</v>
      </c>
      <c r="D476" t="s">
        <v>9108</v>
      </c>
      <c r="E476" s="28">
        <v>46210</v>
      </c>
      <c r="F476" t="s">
        <v>9109</v>
      </c>
      <c r="G476" s="3" t="s">
        <v>9128</v>
      </c>
      <c r="H476" t="s">
        <v>4040</v>
      </c>
      <c r="I476" s="28">
        <v>46323</v>
      </c>
      <c r="J476" t="s">
        <v>9118</v>
      </c>
      <c r="K476" t="s">
        <v>31</v>
      </c>
    </row>
    <row r="477" spans="1:11">
      <c r="A477" s="3">
        <v>2521206</v>
      </c>
      <c r="B477" t="s">
        <v>9274</v>
      </c>
      <c r="C477" t="s">
        <v>7</v>
      </c>
      <c r="D477" t="s">
        <v>9108</v>
      </c>
      <c r="E477" s="28">
        <v>46210</v>
      </c>
      <c r="F477" t="s">
        <v>9109</v>
      </c>
      <c r="G477" s="3" t="s">
        <v>9225</v>
      </c>
      <c r="H477" t="s">
        <v>9226</v>
      </c>
      <c r="I477" s="28">
        <v>46310</v>
      </c>
      <c r="J477" t="s">
        <v>9118</v>
      </c>
      <c r="K477" t="s">
        <v>31</v>
      </c>
    </row>
    <row r="478" spans="1:11">
      <c r="A478" s="3">
        <v>2521207</v>
      </c>
      <c r="B478" t="s">
        <v>9010</v>
      </c>
      <c r="C478" t="s">
        <v>8</v>
      </c>
      <c r="D478" t="s">
        <v>9108</v>
      </c>
      <c r="E478" s="28">
        <v>46210</v>
      </c>
      <c r="F478" t="s">
        <v>9109</v>
      </c>
      <c r="G478" s="3" t="s">
        <v>9230</v>
      </c>
      <c r="H478" t="s">
        <v>89</v>
      </c>
      <c r="I478" s="28">
        <v>46272</v>
      </c>
      <c r="J478" t="s">
        <v>9118</v>
      </c>
      <c r="K478" t="s">
        <v>30</v>
      </c>
    </row>
    <row r="479" spans="1:11">
      <c r="A479" s="3">
        <v>2521208</v>
      </c>
      <c r="B479" t="s">
        <v>6438</v>
      </c>
      <c r="C479" t="s">
        <v>8</v>
      </c>
      <c r="D479" t="s">
        <v>9108</v>
      </c>
      <c r="E479" s="28">
        <v>46210</v>
      </c>
      <c r="F479" t="s">
        <v>9109</v>
      </c>
      <c r="G479" s="3" t="s">
        <v>9223</v>
      </c>
      <c r="H479" t="s">
        <v>412</v>
      </c>
      <c r="I479" s="28">
        <v>46337</v>
      </c>
      <c r="J479" t="s">
        <v>9118</v>
      </c>
      <c r="K479" t="s">
        <v>32</v>
      </c>
    </row>
    <row r="480" spans="1:11">
      <c r="A480" s="3">
        <v>2521209</v>
      </c>
      <c r="B480" t="s">
        <v>6572</v>
      </c>
      <c r="C480" t="s">
        <v>8</v>
      </c>
      <c r="D480" t="s">
        <v>9108</v>
      </c>
      <c r="E480" s="28">
        <v>46210</v>
      </c>
      <c r="F480" t="s">
        <v>9109</v>
      </c>
      <c r="G480" s="3" t="s">
        <v>9223</v>
      </c>
      <c r="H480" t="s">
        <v>412</v>
      </c>
      <c r="I480" s="28">
        <v>46337</v>
      </c>
      <c r="J480" t="s">
        <v>9118</v>
      </c>
      <c r="K480" t="s">
        <v>32</v>
      </c>
    </row>
    <row r="481" spans="1:11">
      <c r="A481" s="3">
        <v>2521211</v>
      </c>
      <c r="B481" t="s">
        <v>9275</v>
      </c>
      <c r="C481" t="s">
        <v>8</v>
      </c>
      <c r="D481" t="s">
        <v>9108</v>
      </c>
      <c r="E481" s="28">
        <v>46210</v>
      </c>
      <c r="F481" t="s">
        <v>9109</v>
      </c>
      <c r="G481" s="3" t="s">
        <v>9235</v>
      </c>
      <c r="H481" t="s">
        <v>6724</v>
      </c>
      <c r="I481" s="28">
        <v>46322</v>
      </c>
      <c r="J481" t="s">
        <v>9118</v>
      </c>
      <c r="K481" t="s">
        <v>31</v>
      </c>
    </row>
    <row r="482" spans="1:11">
      <c r="A482" s="3">
        <v>2521212</v>
      </c>
      <c r="B482" t="s">
        <v>7194</v>
      </c>
      <c r="C482" t="s">
        <v>8</v>
      </c>
      <c r="D482" t="s">
        <v>9108</v>
      </c>
      <c r="E482" s="28">
        <v>46210</v>
      </c>
      <c r="F482" t="s">
        <v>9109</v>
      </c>
      <c r="G482" s="3" t="s">
        <v>9230</v>
      </c>
      <c r="H482" t="s">
        <v>89</v>
      </c>
      <c r="I482" s="28">
        <v>46272</v>
      </c>
      <c r="J482" t="s">
        <v>9118</v>
      </c>
      <c r="K482" t="s">
        <v>30</v>
      </c>
    </row>
    <row r="483" spans="1:11">
      <c r="A483" s="3">
        <v>2521213</v>
      </c>
      <c r="B483" t="s">
        <v>3920</v>
      </c>
      <c r="C483" t="s">
        <v>8</v>
      </c>
      <c r="D483" t="s">
        <v>9108</v>
      </c>
      <c r="E483" s="28">
        <v>46210</v>
      </c>
      <c r="F483" t="s">
        <v>9109</v>
      </c>
      <c r="G483" s="3" t="s">
        <v>9230</v>
      </c>
      <c r="H483" t="s">
        <v>89</v>
      </c>
      <c r="I483" s="28">
        <v>46272</v>
      </c>
      <c r="J483" t="s">
        <v>9118</v>
      </c>
      <c r="K483" t="s">
        <v>30</v>
      </c>
    </row>
    <row r="484" spans="1:11">
      <c r="A484" s="3">
        <v>2521217</v>
      </c>
      <c r="B484" t="s">
        <v>9015</v>
      </c>
      <c r="C484" t="s">
        <v>8</v>
      </c>
      <c r="D484" t="s">
        <v>9108</v>
      </c>
      <c r="E484" s="28">
        <v>46210</v>
      </c>
      <c r="F484" t="s">
        <v>9109</v>
      </c>
      <c r="G484" s="3" t="s">
        <v>9230</v>
      </c>
      <c r="H484" t="s">
        <v>89</v>
      </c>
      <c r="I484" s="28">
        <v>46272</v>
      </c>
      <c r="J484" t="s">
        <v>9118</v>
      </c>
      <c r="K484" t="s">
        <v>30</v>
      </c>
    </row>
    <row r="485" spans="1:11">
      <c r="A485" s="3">
        <v>2521222</v>
      </c>
      <c r="B485" t="s">
        <v>1347</v>
      </c>
      <c r="C485" t="s">
        <v>8</v>
      </c>
      <c r="D485" t="s">
        <v>9108</v>
      </c>
      <c r="E485" s="28">
        <v>46210</v>
      </c>
      <c r="F485" t="s">
        <v>9109</v>
      </c>
      <c r="G485" s="3" t="s">
        <v>9235</v>
      </c>
      <c r="H485" t="s">
        <v>6724</v>
      </c>
      <c r="I485" s="28">
        <v>46322</v>
      </c>
      <c r="J485" t="s">
        <v>9118</v>
      </c>
      <c r="K485" t="s">
        <v>31</v>
      </c>
    </row>
    <row r="486" spans="1:11">
      <c r="A486" s="3">
        <v>2521224</v>
      </c>
      <c r="B486" t="s">
        <v>3700</v>
      </c>
      <c r="C486" t="s">
        <v>8</v>
      </c>
      <c r="D486" t="s">
        <v>9108</v>
      </c>
      <c r="E486" s="28">
        <v>46210</v>
      </c>
      <c r="F486" t="s">
        <v>9109</v>
      </c>
      <c r="G486" s="3" t="s">
        <v>9225</v>
      </c>
      <c r="H486" t="s">
        <v>9226</v>
      </c>
      <c r="I486" s="28">
        <v>46310</v>
      </c>
      <c r="J486" t="s">
        <v>9118</v>
      </c>
      <c r="K486" t="s">
        <v>31</v>
      </c>
    </row>
    <row r="487" spans="1:11">
      <c r="A487" s="3">
        <v>2521238</v>
      </c>
      <c r="B487" t="s">
        <v>1303</v>
      </c>
      <c r="C487" t="s">
        <v>8</v>
      </c>
      <c r="D487" t="s">
        <v>9108</v>
      </c>
      <c r="E487" s="28">
        <v>46210</v>
      </c>
      <c r="F487" t="s">
        <v>9109</v>
      </c>
      <c r="G487" s="3" t="s">
        <v>9206</v>
      </c>
      <c r="H487" t="s">
        <v>4400</v>
      </c>
      <c r="I487" s="28">
        <v>46289</v>
      </c>
      <c r="J487" t="s">
        <v>9118</v>
      </c>
      <c r="K487" t="s">
        <v>30</v>
      </c>
    </row>
    <row r="488" spans="1:11">
      <c r="A488" s="3">
        <v>2521240</v>
      </c>
      <c r="B488" t="s">
        <v>1291</v>
      </c>
      <c r="C488" t="s">
        <v>8</v>
      </c>
      <c r="D488" t="s">
        <v>9108</v>
      </c>
      <c r="E488" s="28">
        <v>46210</v>
      </c>
      <c r="F488" t="s">
        <v>9109</v>
      </c>
      <c r="G488" s="3" t="s">
        <v>9225</v>
      </c>
      <c r="H488" t="s">
        <v>9226</v>
      </c>
      <c r="I488" s="28">
        <v>46310</v>
      </c>
      <c r="J488" t="s">
        <v>9118</v>
      </c>
      <c r="K488" t="s">
        <v>31</v>
      </c>
    </row>
    <row r="489" spans="1:11">
      <c r="A489" s="3">
        <v>2521242</v>
      </c>
      <c r="B489" t="s">
        <v>4668</v>
      </c>
      <c r="C489" t="s">
        <v>8</v>
      </c>
      <c r="D489" t="s">
        <v>9108</v>
      </c>
      <c r="E489" s="28">
        <v>46210</v>
      </c>
      <c r="F489" t="s">
        <v>9109</v>
      </c>
      <c r="G489" s="3" t="s">
        <v>9243</v>
      </c>
      <c r="H489" t="s">
        <v>4040</v>
      </c>
      <c r="I489" s="28">
        <v>46303</v>
      </c>
      <c r="J489" t="s">
        <v>9118</v>
      </c>
      <c r="K489" t="s">
        <v>31</v>
      </c>
    </row>
    <row r="490" spans="1:11">
      <c r="A490" s="3">
        <v>2521243</v>
      </c>
      <c r="B490" t="s">
        <v>3847</v>
      </c>
      <c r="C490" t="s">
        <v>7</v>
      </c>
      <c r="D490" t="s">
        <v>9108</v>
      </c>
      <c r="E490" s="28">
        <v>46210</v>
      </c>
      <c r="F490" t="s">
        <v>9109</v>
      </c>
      <c r="G490" s="3" t="s">
        <v>9242</v>
      </c>
      <c r="H490" t="s">
        <v>89</v>
      </c>
      <c r="I490" s="28">
        <v>46281</v>
      </c>
      <c r="J490" t="s">
        <v>9118</v>
      </c>
      <c r="K490" t="s">
        <v>30</v>
      </c>
    </row>
    <row r="491" spans="1:11">
      <c r="A491" s="3">
        <v>2521244</v>
      </c>
      <c r="B491" t="s">
        <v>3851</v>
      </c>
      <c r="C491" t="s">
        <v>7</v>
      </c>
      <c r="D491" t="s">
        <v>9108</v>
      </c>
      <c r="E491" s="28">
        <v>46210</v>
      </c>
      <c r="F491" t="s">
        <v>9109</v>
      </c>
      <c r="G491" s="3" t="s">
        <v>9246</v>
      </c>
      <c r="H491" t="s">
        <v>89</v>
      </c>
      <c r="I491" s="28">
        <v>46281</v>
      </c>
      <c r="J491" t="s">
        <v>9118</v>
      </c>
      <c r="K491" t="s">
        <v>30</v>
      </c>
    </row>
    <row r="492" spans="1:11">
      <c r="A492" s="3">
        <v>2521245</v>
      </c>
      <c r="B492" t="s">
        <v>3560</v>
      </c>
      <c r="C492" t="s">
        <v>7</v>
      </c>
      <c r="D492" t="s">
        <v>9108</v>
      </c>
      <c r="E492" s="28">
        <v>46210</v>
      </c>
      <c r="F492" t="s">
        <v>9109</v>
      </c>
      <c r="G492" s="3" t="s">
        <v>9230</v>
      </c>
      <c r="H492" t="s">
        <v>89</v>
      </c>
      <c r="I492" s="28">
        <v>46272</v>
      </c>
      <c r="J492" t="s">
        <v>9118</v>
      </c>
      <c r="K492" t="s">
        <v>30</v>
      </c>
    </row>
    <row r="493" spans="1:11">
      <c r="A493" s="3">
        <v>2521246</v>
      </c>
      <c r="B493" t="s">
        <v>7036</v>
      </c>
      <c r="C493" t="s">
        <v>7</v>
      </c>
      <c r="D493" t="s">
        <v>9108</v>
      </c>
      <c r="E493" s="28">
        <v>46210</v>
      </c>
      <c r="F493" t="s">
        <v>9109</v>
      </c>
      <c r="G493" s="3" t="s">
        <v>9243</v>
      </c>
      <c r="H493" t="s">
        <v>4040</v>
      </c>
      <c r="I493" s="28">
        <v>46303</v>
      </c>
      <c r="J493" t="s">
        <v>9118</v>
      </c>
      <c r="K493" t="s">
        <v>31</v>
      </c>
    </row>
    <row r="494" spans="1:11">
      <c r="A494" s="3">
        <v>2521247</v>
      </c>
      <c r="B494" t="s">
        <v>7646</v>
      </c>
      <c r="C494" t="s">
        <v>7</v>
      </c>
      <c r="D494" t="s">
        <v>9108</v>
      </c>
      <c r="E494" s="28">
        <v>46210</v>
      </c>
      <c r="F494" t="s">
        <v>9109</v>
      </c>
      <c r="G494" s="3" t="s">
        <v>9246</v>
      </c>
      <c r="H494" t="s">
        <v>89</v>
      </c>
      <c r="I494" s="28">
        <v>46303</v>
      </c>
      <c r="J494" t="s">
        <v>9118</v>
      </c>
      <c r="K494" t="s">
        <v>31</v>
      </c>
    </row>
    <row r="495" spans="1:11">
      <c r="A495" s="3">
        <v>2521248</v>
      </c>
      <c r="B495" t="s">
        <v>565</v>
      </c>
      <c r="C495" t="s">
        <v>7</v>
      </c>
      <c r="D495" t="s">
        <v>9108</v>
      </c>
      <c r="E495" s="28">
        <v>46210</v>
      </c>
      <c r="F495" t="s">
        <v>9109</v>
      </c>
      <c r="G495" s="3" t="s">
        <v>9230</v>
      </c>
      <c r="H495" t="s">
        <v>89</v>
      </c>
      <c r="I495" s="28">
        <v>46272</v>
      </c>
      <c r="J495" t="s">
        <v>9118</v>
      </c>
      <c r="K495" t="s">
        <v>30</v>
      </c>
    </row>
    <row r="496" spans="1:11">
      <c r="A496" s="3">
        <v>2521249</v>
      </c>
      <c r="B496" t="s">
        <v>7062</v>
      </c>
      <c r="C496" t="s">
        <v>7</v>
      </c>
      <c r="D496" t="s">
        <v>9108</v>
      </c>
      <c r="E496" s="28">
        <v>46210</v>
      </c>
      <c r="F496" t="s">
        <v>9109</v>
      </c>
      <c r="G496" s="3" t="s">
        <v>9242</v>
      </c>
      <c r="H496" t="s">
        <v>89</v>
      </c>
      <c r="I496" s="28">
        <v>46281</v>
      </c>
      <c r="J496" t="s">
        <v>9118</v>
      </c>
      <c r="K496" t="s">
        <v>30</v>
      </c>
    </row>
    <row r="497" spans="1:11">
      <c r="A497" s="3">
        <v>2521250</v>
      </c>
      <c r="B497" t="s">
        <v>3478</v>
      </c>
      <c r="C497" t="s">
        <v>7</v>
      </c>
      <c r="D497" t="s">
        <v>9108</v>
      </c>
      <c r="E497" s="28">
        <v>46210</v>
      </c>
      <c r="F497" t="s">
        <v>9109</v>
      </c>
      <c r="G497" s="3" t="s">
        <v>9230</v>
      </c>
      <c r="H497" t="s">
        <v>89</v>
      </c>
      <c r="I497" s="28">
        <v>46272</v>
      </c>
      <c r="J497" t="s">
        <v>9118</v>
      </c>
      <c r="K497" t="s">
        <v>30</v>
      </c>
    </row>
    <row r="498" spans="1:11">
      <c r="A498" s="3">
        <v>2521251</v>
      </c>
      <c r="B498" t="s">
        <v>5759</v>
      </c>
      <c r="C498" t="s">
        <v>7</v>
      </c>
      <c r="D498" t="s">
        <v>9108</v>
      </c>
      <c r="E498" s="28">
        <v>46210</v>
      </c>
      <c r="F498" t="s">
        <v>9109</v>
      </c>
      <c r="G498" s="3" t="s">
        <v>9244</v>
      </c>
      <c r="H498" t="s">
        <v>9134</v>
      </c>
      <c r="I498" s="28">
        <v>46281</v>
      </c>
      <c r="J498" t="s">
        <v>9118</v>
      </c>
      <c r="K498" t="s">
        <v>30</v>
      </c>
    </row>
    <row r="499" spans="1:11">
      <c r="A499" s="3">
        <v>2521253</v>
      </c>
      <c r="B499" t="s">
        <v>4179</v>
      </c>
      <c r="C499" t="s">
        <v>7</v>
      </c>
      <c r="D499" t="s">
        <v>9108</v>
      </c>
      <c r="E499" s="28">
        <v>46210</v>
      </c>
      <c r="F499" t="s">
        <v>9109</v>
      </c>
      <c r="G499" s="3" t="s">
        <v>9243</v>
      </c>
      <c r="H499" t="s">
        <v>4040</v>
      </c>
      <c r="I499" s="28">
        <v>46281</v>
      </c>
      <c r="J499" t="s">
        <v>9118</v>
      </c>
      <c r="K499" t="s">
        <v>30</v>
      </c>
    </row>
    <row r="500" spans="1:11">
      <c r="A500" s="3">
        <v>2521254</v>
      </c>
      <c r="B500" t="s">
        <v>3472</v>
      </c>
      <c r="C500" t="s">
        <v>7</v>
      </c>
      <c r="D500" t="s">
        <v>9108</v>
      </c>
      <c r="E500" s="28">
        <v>46210</v>
      </c>
      <c r="F500" t="s">
        <v>9109</v>
      </c>
      <c r="G500" s="3" t="s">
        <v>9230</v>
      </c>
      <c r="H500" t="s">
        <v>89</v>
      </c>
      <c r="I500" s="28">
        <v>46272</v>
      </c>
      <c r="J500" t="s">
        <v>9118</v>
      </c>
      <c r="K500" t="s">
        <v>30</v>
      </c>
    </row>
    <row r="501" spans="1:11">
      <c r="A501" s="3">
        <v>2521255</v>
      </c>
      <c r="B501" t="s">
        <v>223</v>
      </c>
      <c r="C501" t="s">
        <v>8</v>
      </c>
      <c r="D501" t="s">
        <v>9108</v>
      </c>
      <c r="E501" s="28">
        <v>46210</v>
      </c>
      <c r="F501" t="s">
        <v>9109</v>
      </c>
      <c r="G501" s="3" t="s">
        <v>9230</v>
      </c>
      <c r="H501" t="s">
        <v>89</v>
      </c>
      <c r="I501" s="28">
        <v>46272</v>
      </c>
      <c r="J501" t="s">
        <v>9118</v>
      </c>
      <c r="K501" t="s">
        <v>30</v>
      </c>
    </row>
    <row r="502" spans="1:11">
      <c r="A502" s="3">
        <v>2521256</v>
      </c>
      <c r="B502" t="s">
        <v>1095</v>
      </c>
      <c r="C502" t="s">
        <v>8</v>
      </c>
      <c r="D502" t="s">
        <v>9108</v>
      </c>
      <c r="E502" s="28">
        <v>46210</v>
      </c>
      <c r="F502" t="s">
        <v>9109</v>
      </c>
      <c r="G502" s="3" t="s">
        <v>9227</v>
      </c>
      <c r="H502" t="s">
        <v>216</v>
      </c>
      <c r="I502" s="28">
        <v>46296</v>
      </c>
      <c r="J502" t="s">
        <v>9118</v>
      </c>
      <c r="K502" t="s">
        <v>31</v>
      </c>
    </row>
    <row r="503" spans="1:11">
      <c r="A503" s="3">
        <v>2521257</v>
      </c>
      <c r="B503" t="s">
        <v>1110</v>
      </c>
      <c r="C503" t="s">
        <v>8</v>
      </c>
      <c r="D503" t="s">
        <v>9108</v>
      </c>
      <c r="E503" s="28">
        <v>46210</v>
      </c>
      <c r="F503" t="s">
        <v>9109</v>
      </c>
      <c r="G503" s="3" t="s">
        <v>9227</v>
      </c>
      <c r="H503" t="s">
        <v>216</v>
      </c>
      <c r="I503" s="28">
        <v>46296</v>
      </c>
      <c r="J503" t="s">
        <v>9118</v>
      </c>
      <c r="K503" t="s">
        <v>31</v>
      </c>
    </row>
    <row r="504" spans="1:11">
      <c r="A504" s="3">
        <v>2521258</v>
      </c>
      <c r="B504" t="s">
        <v>2731</v>
      </c>
      <c r="C504" t="s">
        <v>8</v>
      </c>
      <c r="D504" t="s">
        <v>9108</v>
      </c>
      <c r="E504" s="28">
        <v>46210</v>
      </c>
      <c r="F504" t="s">
        <v>9109</v>
      </c>
      <c r="G504" s="3" t="s">
        <v>9244</v>
      </c>
      <c r="H504" t="s">
        <v>9134</v>
      </c>
      <c r="I504" s="28">
        <v>46281</v>
      </c>
      <c r="J504" t="s">
        <v>9118</v>
      </c>
      <c r="K504" t="s">
        <v>30</v>
      </c>
    </row>
    <row r="505" spans="1:11">
      <c r="A505" s="3">
        <v>2521259</v>
      </c>
      <c r="B505" t="s">
        <v>6957</v>
      </c>
      <c r="C505" t="s">
        <v>7</v>
      </c>
      <c r="D505" t="s">
        <v>9108</v>
      </c>
      <c r="E505" s="28">
        <v>46210</v>
      </c>
      <c r="F505" t="s">
        <v>9109</v>
      </c>
      <c r="G505" s="3" t="s">
        <v>9246</v>
      </c>
      <c r="H505" t="s">
        <v>89</v>
      </c>
      <c r="I505" s="28">
        <v>46303</v>
      </c>
      <c r="J505" t="s">
        <v>9118</v>
      </c>
      <c r="K505" t="s">
        <v>31</v>
      </c>
    </row>
    <row r="506" spans="1:11">
      <c r="A506" s="3">
        <v>2521262</v>
      </c>
      <c r="B506" t="s">
        <v>1467</v>
      </c>
      <c r="C506" t="s">
        <v>8</v>
      </c>
      <c r="D506" t="s">
        <v>9108</v>
      </c>
      <c r="E506" s="28">
        <v>46210</v>
      </c>
      <c r="F506" t="s">
        <v>9109</v>
      </c>
      <c r="G506" s="3" t="s">
        <v>9244</v>
      </c>
      <c r="H506" t="s">
        <v>9134</v>
      </c>
      <c r="I506" s="28">
        <v>46281</v>
      </c>
      <c r="J506" t="s">
        <v>9118</v>
      </c>
      <c r="K506" t="s">
        <v>30</v>
      </c>
    </row>
    <row r="507" spans="1:11">
      <c r="A507" s="3">
        <v>2521263</v>
      </c>
      <c r="B507" t="s">
        <v>6507</v>
      </c>
      <c r="C507" t="s">
        <v>8</v>
      </c>
      <c r="D507" t="s">
        <v>9108</v>
      </c>
      <c r="E507" s="28">
        <v>46210</v>
      </c>
      <c r="F507" t="s">
        <v>9109</v>
      </c>
      <c r="G507" s="3" t="s">
        <v>9243</v>
      </c>
      <c r="H507" t="s">
        <v>4040</v>
      </c>
      <c r="I507" s="28">
        <v>46303</v>
      </c>
      <c r="J507" t="s">
        <v>9118</v>
      </c>
      <c r="K507" t="s">
        <v>31</v>
      </c>
    </row>
    <row r="508" spans="1:11">
      <c r="A508" s="3">
        <v>2521264</v>
      </c>
      <c r="B508" t="s">
        <v>9276</v>
      </c>
      <c r="C508" t="s">
        <v>8</v>
      </c>
      <c r="D508" t="s">
        <v>9108</v>
      </c>
      <c r="E508" s="28">
        <v>46210</v>
      </c>
      <c r="F508" t="s">
        <v>9109</v>
      </c>
      <c r="G508" s="3" t="s">
        <v>9243</v>
      </c>
      <c r="H508" t="s">
        <v>4040</v>
      </c>
      <c r="I508" s="28">
        <v>46303</v>
      </c>
      <c r="J508" t="s">
        <v>9118</v>
      </c>
      <c r="K508" t="s">
        <v>31</v>
      </c>
    </row>
    <row r="509" spans="1:11">
      <c r="A509" s="3">
        <v>2521265</v>
      </c>
      <c r="B509" t="s">
        <v>7732</v>
      </c>
      <c r="C509" t="s">
        <v>7</v>
      </c>
      <c r="D509" t="s">
        <v>9108</v>
      </c>
      <c r="E509" s="28">
        <v>46210</v>
      </c>
      <c r="F509" t="s">
        <v>9109</v>
      </c>
      <c r="G509" s="3" t="s">
        <v>9277</v>
      </c>
      <c r="H509" t="s">
        <v>89</v>
      </c>
      <c r="I509" s="28">
        <v>46274</v>
      </c>
      <c r="J509" t="s">
        <v>9135</v>
      </c>
      <c r="K509" t="s">
        <v>30</v>
      </c>
    </row>
    <row r="510" spans="1:11">
      <c r="A510" s="3">
        <v>2521266</v>
      </c>
      <c r="B510" t="s">
        <v>9278</v>
      </c>
      <c r="C510" t="s">
        <v>7</v>
      </c>
      <c r="D510" t="s">
        <v>9108</v>
      </c>
      <c r="E510" s="28">
        <v>46210</v>
      </c>
      <c r="F510" t="s">
        <v>9109</v>
      </c>
      <c r="G510" s="3" t="s">
        <v>9277</v>
      </c>
      <c r="H510" t="s">
        <v>89</v>
      </c>
      <c r="I510" s="28">
        <v>46269</v>
      </c>
      <c r="J510" t="s">
        <v>9118</v>
      </c>
      <c r="K510" t="s">
        <v>30</v>
      </c>
    </row>
    <row r="511" spans="1:11">
      <c r="A511" s="3">
        <v>2521269</v>
      </c>
      <c r="B511" t="s">
        <v>6912</v>
      </c>
      <c r="C511" t="s">
        <v>7</v>
      </c>
      <c r="D511" t="s">
        <v>9108</v>
      </c>
      <c r="E511" s="28">
        <v>46210</v>
      </c>
      <c r="F511" t="s">
        <v>9109</v>
      </c>
      <c r="G511" s="3" t="s">
        <v>9227</v>
      </c>
      <c r="H511" t="s">
        <v>216</v>
      </c>
      <c r="I511" s="28">
        <v>46296</v>
      </c>
      <c r="J511" t="s">
        <v>9118</v>
      </c>
      <c r="K511" t="s">
        <v>31</v>
      </c>
    </row>
    <row r="512" spans="1:11">
      <c r="A512" s="3">
        <v>2521271</v>
      </c>
      <c r="B512" t="s">
        <v>5633</v>
      </c>
      <c r="C512" t="s">
        <v>8</v>
      </c>
      <c r="D512" t="s">
        <v>9108</v>
      </c>
      <c r="E512" s="28">
        <v>46210</v>
      </c>
      <c r="F512" t="s">
        <v>9109</v>
      </c>
      <c r="G512" s="3" t="s">
        <v>9244</v>
      </c>
      <c r="H512" t="s">
        <v>9134</v>
      </c>
      <c r="I512" s="28">
        <v>46281</v>
      </c>
      <c r="J512" t="s">
        <v>9118</v>
      </c>
      <c r="K512" t="s">
        <v>30</v>
      </c>
    </row>
    <row r="513" spans="1:11">
      <c r="A513" s="3">
        <v>2521272</v>
      </c>
      <c r="B513" t="s">
        <v>9279</v>
      </c>
      <c r="C513" t="s">
        <v>8</v>
      </c>
      <c r="D513" t="s">
        <v>9108</v>
      </c>
      <c r="E513" s="28">
        <v>46210</v>
      </c>
      <c r="F513" t="s">
        <v>9109</v>
      </c>
      <c r="G513" s="3" t="s">
        <v>9242</v>
      </c>
      <c r="H513" t="s">
        <v>89</v>
      </c>
      <c r="I513" s="28">
        <v>46281</v>
      </c>
      <c r="J513" t="s">
        <v>9118</v>
      </c>
      <c r="K513" t="s">
        <v>30</v>
      </c>
    </row>
    <row r="514" spans="1:11">
      <c r="A514" s="3">
        <v>2521273</v>
      </c>
      <c r="B514" t="s">
        <v>7480</v>
      </c>
      <c r="C514" t="s">
        <v>7</v>
      </c>
      <c r="D514" t="s">
        <v>9108</v>
      </c>
      <c r="E514" s="28">
        <v>46210</v>
      </c>
      <c r="F514" t="s">
        <v>9109</v>
      </c>
      <c r="G514" s="3" t="s">
        <v>9244</v>
      </c>
      <c r="H514" t="s">
        <v>9134</v>
      </c>
      <c r="I514" s="28">
        <v>46281</v>
      </c>
      <c r="J514" t="s">
        <v>9118</v>
      </c>
      <c r="K514" t="s">
        <v>30</v>
      </c>
    </row>
    <row r="515" spans="1:11">
      <c r="A515" s="3">
        <v>2521274</v>
      </c>
      <c r="B515" t="s">
        <v>8478</v>
      </c>
      <c r="C515" t="s">
        <v>7</v>
      </c>
      <c r="D515" t="s">
        <v>9108</v>
      </c>
      <c r="E515" s="28">
        <v>46210</v>
      </c>
      <c r="F515" t="s">
        <v>9109</v>
      </c>
      <c r="G515" s="3" t="s">
        <v>9243</v>
      </c>
      <c r="H515" t="s">
        <v>4040</v>
      </c>
      <c r="I515" s="28">
        <v>46303</v>
      </c>
      <c r="J515" t="s">
        <v>9118</v>
      </c>
      <c r="K515" t="s">
        <v>31</v>
      </c>
    </row>
    <row r="516" spans="1:11">
      <c r="A516" s="3">
        <v>2521275</v>
      </c>
      <c r="B516" t="s">
        <v>2358</v>
      </c>
      <c r="C516" t="s">
        <v>8</v>
      </c>
      <c r="D516" t="s">
        <v>9108</v>
      </c>
      <c r="E516" s="28">
        <v>46210</v>
      </c>
      <c r="F516" t="s">
        <v>9109</v>
      </c>
      <c r="G516" s="3" t="s">
        <v>9230</v>
      </c>
      <c r="H516" t="s">
        <v>89</v>
      </c>
      <c r="I516" s="28">
        <v>46272</v>
      </c>
      <c r="J516" t="s">
        <v>9118</v>
      </c>
      <c r="K516" t="s">
        <v>30</v>
      </c>
    </row>
    <row r="517" spans="1:11">
      <c r="A517" s="3">
        <v>2521276</v>
      </c>
      <c r="B517" t="s">
        <v>9280</v>
      </c>
      <c r="C517" t="s">
        <v>8</v>
      </c>
      <c r="D517" t="s">
        <v>9108</v>
      </c>
      <c r="E517" s="28">
        <v>46210</v>
      </c>
      <c r="F517" t="s">
        <v>9109</v>
      </c>
      <c r="G517" s="3" t="s">
        <v>9246</v>
      </c>
      <c r="H517" t="s">
        <v>89</v>
      </c>
      <c r="I517" s="28">
        <v>46281</v>
      </c>
      <c r="J517" t="s">
        <v>9118</v>
      </c>
      <c r="K517" t="s">
        <v>30</v>
      </c>
    </row>
    <row r="518" spans="1:11">
      <c r="A518" s="3">
        <v>2521277</v>
      </c>
      <c r="B518" t="s">
        <v>1636</v>
      </c>
      <c r="C518" t="s">
        <v>8</v>
      </c>
      <c r="D518" t="s">
        <v>9108</v>
      </c>
      <c r="E518" s="28">
        <v>46210</v>
      </c>
      <c r="F518" t="s">
        <v>9109</v>
      </c>
      <c r="G518" s="3" t="s">
        <v>9277</v>
      </c>
      <c r="H518" t="s">
        <v>89</v>
      </c>
      <c r="I518" s="28">
        <v>46274</v>
      </c>
      <c r="J518" t="s">
        <v>9135</v>
      </c>
      <c r="K518" t="s">
        <v>30</v>
      </c>
    </row>
    <row r="519" spans="1:11">
      <c r="A519" s="3">
        <v>2521278</v>
      </c>
      <c r="B519" t="s">
        <v>9281</v>
      </c>
      <c r="C519" t="s">
        <v>8</v>
      </c>
      <c r="D519" t="s">
        <v>9108</v>
      </c>
      <c r="E519" s="28">
        <v>46210</v>
      </c>
      <c r="F519" t="s">
        <v>9109</v>
      </c>
      <c r="G519" s="3" t="s">
        <v>9246</v>
      </c>
      <c r="H519" t="s">
        <v>89</v>
      </c>
      <c r="I519" s="28">
        <v>46303</v>
      </c>
      <c r="J519" t="s">
        <v>9118</v>
      </c>
      <c r="K519" t="s">
        <v>31</v>
      </c>
    </row>
    <row r="520" spans="1:11">
      <c r="A520" s="3">
        <v>2521279</v>
      </c>
      <c r="B520" t="s">
        <v>8576</v>
      </c>
      <c r="C520" t="s">
        <v>7</v>
      </c>
      <c r="D520" t="s">
        <v>9108</v>
      </c>
      <c r="E520" s="28">
        <v>46210</v>
      </c>
      <c r="F520" t="s">
        <v>9109</v>
      </c>
      <c r="G520" s="3" t="s">
        <v>9244</v>
      </c>
      <c r="H520" t="s">
        <v>9134</v>
      </c>
      <c r="I520" s="28">
        <v>46281</v>
      </c>
      <c r="J520" t="s">
        <v>9118</v>
      </c>
      <c r="K520" t="s">
        <v>30</v>
      </c>
    </row>
    <row r="521" spans="1:11">
      <c r="A521" s="3">
        <v>2521280</v>
      </c>
      <c r="B521" t="s">
        <v>609</v>
      </c>
      <c r="C521" t="s">
        <v>8</v>
      </c>
      <c r="D521" t="s">
        <v>9108</v>
      </c>
      <c r="E521" s="28">
        <v>46210</v>
      </c>
      <c r="F521" t="s">
        <v>9109</v>
      </c>
      <c r="G521" s="3" t="s">
        <v>9243</v>
      </c>
      <c r="H521" t="s">
        <v>4040</v>
      </c>
      <c r="I521" s="28">
        <v>46303</v>
      </c>
      <c r="J521" t="s">
        <v>9118</v>
      </c>
      <c r="K521" t="s">
        <v>31</v>
      </c>
    </row>
    <row r="522" spans="1:11">
      <c r="A522" s="3">
        <v>2521281</v>
      </c>
      <c r="B522" t="s">
        <v>4880</v>
      </c>
      <c r="C522" t="s">
        <v>7</v>
      </c>
      <c r="D522" t="s">
        <v>9108</v>
      </c>
      <c r="E522" s="28">
        <v>46210</v>
      </c>
      <c r="F522" t="s">
        <v>9109</v>
      </c>
      <c r="G522" s="3" t="s">
        <v>9244</v>
      </c>
      <c r="H522" t="s">
        <v>9134</v>
      </c>
      <c r="I522" s="28">
        <v>46303</v>
      </c>
      <c r="J522" t="s">
        <v>9118</v>
      </c>
      <c r="K522" t="s">
        <v>31</v>
      </c>
    </row>
    <row r="523" spans="1:11">
      <c r="A523" s="3">
        <v>2521282</v>
      </c>
      <c r="B523" t="s">
        <v>2466</v>
      </c>
      <c r="C523" t="s">
        <v>7</v>
      </c>
      <c r="D523" t="s">
        <v>9108</v>
      </c>
      <c r="E523" s="28">
        <v>46210</v>
      </c>
      <c r="F523" t="s">
        <v>9109</v>
      </c>
      <c r="G523" s="3" t="s">
        <v>9227</v>
      </c>
      <c r="H523" t="s">
        <v>216</v>
      </c>
      <c r="I523" s="28">
        <v>46296</v>
      </c>
      <c r="J523" t="s">
        <v>9118</v>
      </c>
      <c r="K523" t="s">
        <v>31</v>
      </c>
    </row>
    <row r="524" spans="1:11">
      <c r="A524" s="3">
        <v>2521283</v>
      </c>
      <c r="B524" t="s">
        <v>9282</v>
      </c>
      <c r="C524" t="s">
        <v>8</v>
      </c>
      <c r="D524" t="s">
        <v>9108</v>
      </c>
      <c r="E524" s="28">
        <v>46210</v>
      </c>
      <c r="F524" t="s">
        <v>9109</v>
      </c>
      <c r="G524" s="3" t="s">
        <v>9230</v>
      </c>
      <c r="H524" t="s">
        <v>89</v>
      </c>
      <c r="I524" s="28">
        <v>46272</v>
      </c>
      <c r="J524" t="s">
        <v>9118</v>
      </c>
      <c r="K524" t="s">
        <v>30</v>
      </c>
    </row>
    <row r="525" spans="1:11">
      <c r="A525" s="3">
        <v>2521284</v>
      </c>
      <c r="B525" t="s">
        <v>8974</v>
      </c>
      <c r="C525" t="s">
        <v>8</v>
      </c>
      <c r="D525" t="s">
        <v>9108</v>
      </c>
      <c r="E525" s="28">
        <v>46210</v>
      </c>
      <c r="F525" t="s">
        <v>9109</v>
      </c>
      <c r="G525" s="3" t="s">
        <v>9230</v>
      </c>
      <c r="H525" t="s">
        <v>89</v>
      </c>
      <c r="I525" s="28">
        <v>46272</v>
      </c>
      <c r="J525" t="s">
        <v>9118</v>
      </c>
      <c r="K525" t="s">
        <v>30</v>
      </c>
    </row>
    <row r="526" spans="1:11">
      <c r="A526" s="3">
        <v>2521285</v>
      </c>
      <c r="B526" t="s">
        <v>4885</v>
      </c>
      <c r="C526" t="s">
        <v>7</v>
      </c>
      <c r="D526" t="s">
        <v>9108</v>
      </c>
      <c r="E526" s="28">
        <v>46210</v>
      </c>
      <c r="F526" t="s">
        <v>9109</v>
      </c>
      <c r="G526" s="3" t="s">
        <v>9242</v>
      </c>
      <c r="H526" t="s">
        <v>89</v>
      </c>
      <c r="I526" s="28">
        <v>46281</v>
      </c>
      <c r="J526" t="s">
        <v>9118</v>
      </c>
      <c r="K526" t="s">
        <v>30</v>
      </c>
    </row>
    <row r="527" spans="1:11">
      <c r="A527" s="3">
        <v>2521287</v>
      </c>
      <c r="B527" t="s">
        <v>1140</v>
      </c>
      <c r="C527" t="s">
        <v>8</v>
      </c>
      <c r="D527" t="s">
        <v>9108</v>
      </c>
      <c r="E527" s="28">
        <v>46210</v>
      </c>
      <c r="F527" t="s">
        <v>9109</v>
      </c>
      <c r="G527" s="3" t="s">
        <v>9246</v>
      </c>
      <c r="H527" t="s">
        <v>89</v>
      </c>
      <c r="I527" s="28">
        <v>46281</v>
      </c>
      <c r="J527" t="s">
        <v>9118</v>
      </c>
      <c r="K527" t="s">
        <v>30</v>
      </c>
    </row>
    <row r="528" spans="1:11">
      <c r="A528" s="3">
        <v>2521288</v>
      </c>
      <c r="B528" t="s">
        <v>7058</v>
      </c>
      <c r="C528" t="s">
        <v>7</v>
      </c>
      <c r="D528" t="s">
        <v>9108</v>
      </c>
      <c r="E528" s="28">
        <v>46210</v>
      </c>
      <c r="F528" t="s">
        <v>9109</v>
      </c>
      <c r="G528" s="3" t="s">
        <v>9242</v>
      </c>
      <c r="H528" t="s">
        <v>89</v>
      </c>
      <c r="I528" s="28">
        <v>46303</v>
      </c>
      <c r="J528" t="s">
        <v>9118</v>
      </c>
      <c r="K528" t="s">
        <v>31</v>
      </c>
    </row>
    <row r="529" spans="1:11">
      <c r="A529" s="3">
        <v>2521289</v>
      </c>
      <c r="B529" t="s">
        <v>1135</v>
      </c>
      <c r="C529" t="s">
        <v>8</v>
      </c>
      <c r="D529" t="s">
        <v>9108</v>
      </c>
      <c r="E529" s="28">
        <v>46210</v>
      </c>
      <c r="F529" t="s">
        <v>9109</v>
      </c>
      <c r="G529" s="3" t="s">
        <v>9246</v>
      </c>
      <c r="H529" t="s">
        <v>89</v>
      </c>
      <c r="I529" s="28">
        <v>46281</v>
      </c>
      <c r="J529" t="s">
        <v>9118</v>
      </c>
      <c r="K529" t="s">
        <v>30</v>
      </c>
    </row>
    <row r="530" spans="1:11">
      <c r="A530" s="3">
        <v>2521291</v>
      </c>
      <c r="B530" t="s">
        <v>9283</v>
      </c>
      <c r="C530" t="s">
        <v>8</v>
      </c>
      <c r="D530" t="s">
        <v>9108</v>
      </c>
      <c r="E530" s="28">
        <v>46210</v>
      </c>
      <c r="F530" t="s">
        <v>9109</v>
      </c>
      <c r="G530" s="3" t="s">
        <v>9277</v>
      </c>
      <c r="H530" t="s">
        <v>89</v>
      </c>
      <c r="I530" s="28">
        <v>46272</v>
      </c>
      <c r="J530" t="s">
        <v>9135</v>
      </c>
      <c r="K530" t="s">
        <v>30</v>
      </c>
    </row>
    <row r="531" spans="1:11">
      <c r="A531" s="3">
        <v>2521292</v>
      </c>
      <c r="B531" t="s">
        <v>8058</v>
      </c>
      <c r="C531" t="s">
        <v>7</v>
      </c>
      <c r="D531" t="s">
        <v>9108</v>
      </c>
      <c r="E531" s="28">
        <v>46210</v>
      </c>
      <c r="F531" t="s">
        <v>9109</v>
      </c>
      <c r="G531" s="3" t="s">
        <v>9246</v>
      </c>
      <c r="H531" t="s">
        <v>89</v>
      </c>
      <c r="I531" s="28">
        <v>46303</v>
      </c>
      <c r="J531" t="s">
        <v>9118</v>
      </c>
      <c r="K531" t="s">
        <v>31</v>
      </c>
    </row>
    <row r="532" spans="1:11">
      <c r="A532" s="3">
        <v>2521294</v>
      </c>
      <c r="B532" t="s">
        <v>1450</v>
      </c>
      <c r="C532" t="s">
        <v>8</v>
      </c>
      <c r="D532" t="s">
        <v>9108</v>
      </c>
      <c r="E532" s="28">
        <v>46210</v>
      </c>
      <c r="F532" t="s">
        <v>9109</v>
      </c>
      <c r="G532" s="3" t="s">
        <v>9242</v>
      </c>
      <c r="H532" t="s">
        <v>89</v>
      </c>
      <c r="I532" s="28">
        <v>46303</v>
      </c>
      <c r="J532" t="s">
        <v>9118</v>
      </c>
      <c r="K532" t="s">
        <v>31</v>
      </c>
    </row>
    <row r="533" spans="1:11">
      <c r="A533" s="3">
        <v>2521295</v>
      </c>
      <c r="B533" t="s">
        <v>6947</v>
      </c>
      <c r="C533" t="s">
        <v>7</v>
      </c>
      <c r="D533" t="s">
        <v>9108</v>
      </c>
      <c r="E533" s="28">
        <v>46210</v>
      </c>
      <c r="F533" t="s">
        <v>9109</v>
      </c>
      <c r="G533" s="3" t="s">
        <v>9242</v>
      </c>
      <c r="H533" t="s">
        <v>89</v>
      </c>
      <c r="I533" s="28">
        <v>46281</v>
      </c>
      <c r="J533" t="s">
        <v>9118</v>
      </c>
      <c r="K533" t="s">
        <v>30</v>
      </c>
    </row>
    <row r="534" spans="1:11">
      <c r="A534" s="3">
        <v>2521297</v>
      </c>
      <c r="B534" t="s">
        <v>9284</v>
      </c>
      <c r="C534" t="s">
        <v>7</v>
      </c>
      <c r="D534" t="s">
        <v>9108</v>
      </c>
      <c r="E534" s="28">
        <v>46210</v>
      </c>
      <c r="F534" t="s">
        <v>9109</v>
      </c>
      <c r="G534" s="3" t="s">
        <v>9246</v>
      </c>
      <c r="H534" t="s">
        <v>89</v>
      </c>
      <c r="I534" s="28">
        <v>46281</v>
      </c>
      <c r="J534" t="s">
        <v>9118</v>
      </c>
      <c r="K534" t="s">
        <v>30</v>
      </c>
    </row>
    <row r="535" spans="1:11">
      <c r="A535" s="3">
        <v>2521298</v>
      </c>
      <c r="B535" t="s">
        <v>9285</v>
      </c>
      <c r="C535" t="s">
        <v>8</v>
      </c>
      <c r="D535" t="s">
        <v>9108</v>
      </c>
      <c r="E535" s="28">
        <v>46210</v>
      </c>
      <c r="F535" t="s">
        <v>9109</v>
      </c>
      <c r="G535" s="3" t="s">
        <v>9230</v>
      </c>
      <c r="H535" t="s">
        <v>89</v>
      </c>
      <c r="I535" s="28">
        <v>46272</v>
      </c>
      <c r="J535" t="s">
        <v>9118</v>
      </c>
      <c r="K535" t="s">
        <v>30</v>
      </c>
    </row>
    <row r="536" spans="1:11">
      <c r="A536" s="3">
        <v>2521299</v>
      </c>
      <c r="B536" t="s">
        <v>2545</v>
      </c>
      <c r="C536" t="s">
        <v>7</v>
      </c>
      <c r="D536" t="s">
        <v>9108</v>
      </c>
      <c r="E536" s="28">
        <v>46210</v>
      </c>
      <c r="F536" t="s">
        <v>9109</v>
      </c>
      <c r="G536" s="3" t="s">
        <v>9244</v>
      </c>
      <c r="H536" t="s">
        <v>9134</v>
      </c>
      <c r="I536" s="28">
        <v>46281</v>
      </c>
      <c r="J536" t="s">
        <v>9118</v>
      </c>
      <c r="K536" t="s">
        <v>30</v>
      </c>
    </row>
    <row r="537" spans="1:11">
      <c r="A537" s="3">
        <v>2521300</v>
      </c>
      <c r="B537" t="s">
        <v>4890</v>
      </c>
      <c r="C537" t="s">
        <v>7</v>
      </c>
      <c r="D537" t="s">
        <v>9108</v>
      </c>
      <c r="E537" s="28">
        <v>46210</v>
      </c>
      <c r="F537" t="s">
        <v>9109</v>
      </c>
      <c r="G537" s="3" t="s">
        <v>9246</v>
      </c>
      <c r="H537" t="s">
        <v>89</v>
      </c>
      <c r="I537" s="28">
        <v>46281</v>
      </c>
      <c r="J537" t="s">
        <v>9118</v>
      </c>
      <c r="K537" t="s">
        <v>30</v>
      </c>
    </row>
    <row r="538" spans="1:11">
      <c r="A538" s="3">
        <v>2521304</v>
      </c>
      <c r="B538" t="s">
        <v>6962</v>
      </c>
      <c r="C538" t="s">
        <v>7</v>
      </c>
      <c r="D538" t="s">
        <v>9108</v>
      </c>
      <c r="E538" s="28">
        <v>46210</v>
      </c>
      <c r="F538" t="s">
        <v>9109</v>
      </c>
      <c r="G538" s="3" t="s">
        <v>9246</v>
      </c>
      <c r="H538" t="s">
        <v>89</v>
      </c>
      <c r="I538" s="28">
        <v>46303</v>
      </c>
      <c r="J538" t="s">
        <v>9118</v>
      </c>
      <c r="K538" t="s">
        <v>31</v>
      </c>
    </row>
    <row r="539" spans="1:11">
      <c r="A539" s="3">
        <v>2521305</v>
      </c>
      <c r="B539" t="s">
        <v>9286</v>
      </c>
      <c r="C539" t="s">
        <v>7</v>
      </c>
      <c r="D539" t="s">
        <v>9108</v>
      </c>
      <c r="E539" s="28">
        <v>46210</v>
      </c>
      <c r="F539" t="s">
        <v>9109</v>
      </c>
      <c r="G539" s="3" t="s">
        <v>9230</v>
      </c>
      <c r="H539" t="s">
        <v>89</v>
      </c>
      <c r="I539" s="28">
        <v>46272</v>
      </c>
      <c r="J539" t="s">
        <v>9118</v>
      </c>
      <c r="K539" t="s">
        <v>30</v>
      </c>
    </row>
    <row r="540" spans="1:11">
      <c r="A540" s="3">
        <v>2521306</v>
      </c>
      <c r="B540" t="s">
        <v>4217</v>
      </c>
      <c r="C540" t="s">
        <v>7</v>
      </c>
      <c r="D540" t="s">
        <v>9108</v>
      </c>
      <c r="E540" s="28">
        <v>46210</v>
      </c>
      <c r="F540" t="s">
        <v>9109</v>
      </c>
      <c r="G540" s="3" t="s">
        <v>9244</v>
      </c>
      <c r="H540" t="s">
        <v>9134</v>
      </c>
      <c r="I540" s="28">
        <v>46281</v>
      </c>
      <c r="J540" t="s">
        <v>9118</v>
      </c>
      <c r="K540" t="s">
        <v>30</v>
      </c>
    </row>
    <row r="541" spans="1:11">
      <c r="A541" s="3">
        <v>2521307</v>
      </c>
      <c r="B541" t="s">
        <v>9287</v>
      </c>
      <c r="C541" t="s">
        <v>8</v>
      </c>
      <c r="D541" t="s">
        <v>9108</v>
      </c>
      <c r="E541" s="28">
        <v>46210</v>
      </c>
      <c r="F541" t="s">
        <v>9109</v>
      </c>
      <c r="G541" s="3" t="s">
        <v>9227</v>
      </c>
      <c r="H541" t="s">
        <v>216</v>
      </c>
      <c r="I541" s="28">
        <v>46296</v>
      </c>
      <c r="J541" t="s">
        <v>9118</v>
      </c>
      <c r="K541" t="s">
        <v>31</v>
      </c>
    </row>
    <row r="542" spans="1:11">
      <c r="A542" s="3">
        <v>2521308</v>
      </c>
      <c r="B542" t="s">
        <v>6522</v>
      </c>
      <c r="C542" t="s">
        <v>8</v>
      </c>
      <c r="D542" t="s">
        <v>9108</v>
      </c>
      <c r="E542" s="28">
        <v>46210</v>
      </c>
      <c r="F542" t="s">
        <v>9109</v>
      </c>
      <c r="G542" s="3" t="s">
        <v>9242</v>
      </c>
      <c r="H542" t="s">
        <v>89</v>
      </c>
      <c r="I542" s="28">
        <v>46281</v>
      </c>
      <c r="J542" t="s">
        <v>9118</v>
      </c>
      <c r="K542" t="s">
        <v>30</v>
      </c>
    </row>
    <row r="543" spans="1:11">
      <c r="A543" s="3">
        <v>2521309</v>
      </c>
      <c r="B543" t="s">
        <v>6691</v>
      </c>
      <c r="C543" t="s">
        <v>7</v>
      </c>
      <c r="D543" t="s">
        <v>9108</v>
      </c>
      <c r="E543" s="28">
        <v>46210</v>
      </c>
      <c r="F543" t="s">
        <v>9109</v>
      </c>
      <c r="G543" s="3" t="s">
        <v>9246</v>
      </c>
      <c r="H543" t="s">
        <v>89</v>
      </c>
      <c r="I543" s="28">
        <v>46281</v>
      </c>
      <c r="J543" t="s">
        <v>9118</v>
      </c>
      <c r="K543" t="s">
        <v>30</v>
      </c>
    </row>
    <row r="544" spans="1:11">
      <c r="A544" s="3">
        <v>2521311</v>
      </c>
      <c r="B544" t="s">
        <v>6985</v>
      </c>
      <c r="C544" t="s">
        <v>7</v>
      </c>
      <c r="D544" t="s">
        <v>9108</v>
      </c>
      <c r="E544" s="28">
        <v>46210</v>
      </c>
      <c r="F544" t="s">
        <v>9109</v>
      </c>
      <c r="G544" s="3" t="s">
        <v>9246</v>
      </c>
      <c r="H544" t="s">
        <v>89</v>
      </c>
      <c r="I544" s="28">
        <v>46303</v>
      </c>
      <c r="J544" t="s">
        <v>9118</v>
      </c>
      <c r="K544" t="s">
        <v>31</v>
      </c>
    </row>
    <row r="545" spans="1:11">
      <c r="A545" s="3">
        <v>2521319</v>
      </c>
      <c r="B545" t="s">
        <v>3238</v>
      </c>
      <c r="C545" t="s">
        <v>7</v>
      </c>
      <c r="D545" t="s">
        <v>9108</v>
      </c>
      <c r="E545" s="28">
        <v>46210</v>
      </c>
      <c r="F545" t="s">
        <v>9109</v>
      </c>
      <c r="G545" s="3" t="s">
        <v>9207</v>
      </c>
      <c r="H545" t="s">
        <v>89</v>
      </c>
      <c r="I545" s="28">
        <v>46324</v>
      </c>
      <c r="J545" t="s">
        <v>9118</v>
      </c>
      <c r="K545" t="s">
        <v>31</v>
      </c>
    </row>
    <row r="546" spans="1:11">
      <c r="A546" s="3">
        <v>2521320</v>
      </c>
      <c r="B546" t="s">
        <v>4419</v>
      </c>
      <c r="C546" t="s">
        <v>8</v>
      </c>
      <c r="D546" t="s">
        <v>9108</v>
      </c>
      <c r="E546" s="28">
        <v>46210</v>
      </c>
      <c r="F546" t="s">
        <v>9109</v>
      </c>
      <c r="G546" s="3" t="s">
        <v>9225</v>
      </c>
      <c r="H546" t="s">
        <v>9226</v>
      </c>
      <c r="I546" s="28">
        <v>46310</v>
      </c>
      <c r="J546" t="s">
        <v>9118</v>
      </c>
      <c r="K546" t="s">
        <v>31</v>
      </c>
    </row>
    <row r="547" spans="1:11">
      <c r="A547" s="3">
        <v>2521370</v>
      </c>
      <c r="B547" t="s">
        <v>255</v>
      </c>
      <c r="C547" t="s">
        <v>7</v>
      </c>
      <c r="D547" t="s">
        <v>9108</v>
      </c>
      <c r="E547" s="28">
        <v>46210</v>
      </c>
      <c r="F547" t="s">
        <v>9109</v>
      </c>
      <c r="G547" s="3" t="s">
        <v>9246</v>
      </c>
      <c r="H547" t="s">
        <v>89</v>
      </c>
      <c r="I547" s="28">
        <v>46303</v>
      </c>
      <c r="J547" t="s">
        <v>9118</v>
      </c>
      <c r="K547" t="s">
        <v>31</v>
      </c>
    </row>
    <row r="548" spans="1:11">
      <c r="A548" s="3">
        <v>2521617</v>
      </c>
      <c r="B548" t="s">
        <v>8460</v>
      </c>
      <c r="C548" t="s">
        <v>7</v>
      </c>
      <c r="D548" t="s">
        <v>9108</v>
      </c>
      <c r="E548" s="28">
        <v>46212</v>
      </c>
      <c r="F548" t="s">
        <v>9109</v>
      </c>
      <c r="G548" s="3" t="s">
        <v>9288</v>
      </c>
      <c r="H548" t="s">
        <v>2772</v>
      </c>
      <c r="I548" s="28">
        <v>46328</v>
      </c>
      <c r="J548" t="s">
        <v>9118</v>
      </c>
      <c r="K548" t="s">
        <v>32</v>
      </c>
    </row>
    <row r="549" spans="1:11">
      <c r="A549" s="3">
        <v>2521620</v>
      </c>
      <c r="B549" t="s">
        <v>9289</v>
      </c>
      <c r="C549" t="s">
        <v>8</v>
      </c>
      <c r="D549" t="s">
        <v>9108</v>
      </c>
      <c r="E549" s="28">
        <v>46212</v>
      </c>
      <c r="F549" t="s">
        <v>9109</v>
      </c>
      <c r="G549" s="3" t="s">
        <v>9290</v>
      </c>
      <c r="H549" t="s">
        <v>279</v>
      </c>
      <c r="I549" s="28">
        <v>46318</v>
      </c>
      <c r="J549" t="s">
        <v>9118</v>
      </c>
      <c r="K549" t="s">
        <v>31</v>
      </c>
    </row>
    <row r="550" spans="1:11">
      <c r="A550" s="3">
        <v>2521621</v>
      </c>
      <c r="B550" t="s">
        <v>9291</v>
      </c>
      <c r="C550" t="s">
        <v>8</v>
      </c>
      <c r="D550" t="s">
        <v>9108</v>
      </c>
      <c r="E550" s="28">
        <v>46212</v>
      </c>
      <c r="F550" t="s">
        <v>9109</v>
      </c>
      <c r="G550" s="3" t="s">
        <v>9292</v>
      </c>
      <c r="H550" t="s">
        <v>1083</v>
      </c>
      <c r="I550" s="28">
        <v>46304</v>
      </c>
      <c r="J550" t="s">
        <v>9118</v>
      </c>
      <c r="K550" t="s">
        <v>31</v>
      </c>
    </row>
    <row r="551" spans="1:11">
      <c r="A551" s="3">
        <v>2521623</v>
      </c>
      <c r="B551" t="s">
        <v>109</v>
      </c>
      <c r="C551" t="s">
        <v>7</v>
      </c>
      <c r="D551" t="s">
        <v>9108</v>
      </c>
      <c r="E551" s="28">
        <v>46212</v>
      </c>
      <c r="F551" t="s">
        <v>9109</v>
      </c>
      <c r="G551" s="3" t="s">
        <v>9129</v>
      </c>
      <c r="H551" t="s">
        <v>962</v>
      </c>
      <c r="I551" s="28">
        <v>46314</v>
      </c>
      <c r="J551" t="s">
        <v>9118</v>
      </c>
      <c r="K551" t="s">
        <v>31</v>
      </c>
    </row>
    <row r="552" spans="1:11">
      <c r="A552" s="3">
        <v>2521624</v>
      </c>
      <c r="B552" t="s">
        <v>9293</v>
      </c>
      <c r="C552" t="s">
        <v>7</v>
      </c>
      <c r="D552" t="s">
        <v>9108</v>
      </c>
      <c r="E552" s="28">
        <v>46212</v>
      </c>
      <c r="F552" t="s">
        <v>9109</v>
      </c>
      <c r="G552" s="3" t="s">
        <v>9288</v>
      </c>
      <c r="H552" t="s">
        <v>2772</v>
      </c>
      <c r="I552" s="28">
        <v>46328</v>
      </c>
      <c r="J552" t="s">
        <v>9118</v>
      </c>
      <c r="K552" t="s">
        <v>32</v>
      </c>
    </row>
    <row r="553" spans="1:11">
      <c r="A553" s="3">
        <v>2521625</v>
      </c>
      <c r="B553" t="s">
        <v>4848</v>
      </c>
      <c r="C553" t="s">
        <v>7</v>
      </c>
      <c r="D553" t="s">
        <v>9108</v>
      </c>
      <c r="E553" s="28">
        <v>46212</v>
      </c>
      <c r="F553" t="s">
        <v>9109</v>
      </c>
      <c r="G553" s="3" t="s">
        <v>9129</v>
      </c>
      <c r="H553" t="s">
        <v>962</v>
      </c>
      <c r="I553" s="28">
        <v>46314</v>
      </c>
      <c r="J553" t="s">
        <v>9118</v>
      </c>
      <c r="K553" t="s">
        <v>31</v>
      </c>
    </row>
    <row r="554" spans="1:11">
      <c r="A554" s="3">
        <v>2521626</v>
      </c>
      <c r="B554" t="s">
        <v>9294</v>
      </c>
      <c r="C554" t="s">
        <v>8</v>
      </c>
      <c r="D554" t="s">
        <v>9108</v>
      </c>
      <c r="E554" s="28">
        <v>46212</v>
      </c>
      <c r="F554" t="s">
        <v>9109</v>
      </c>
      <c r="G554" s="3" t="s">
        <v>9288</v>
      </c>
      <c r="H554" t="s">
        <v>2772</v>
      </c>
      <c r="I554" s="28">
        <v>46328</v>
      </c>
      <c r="J554" t="s">
        <v>9118</v>
      </c>
      <c r="K554" t="s">
        <v>32</v>
      </c>
    </row>
    <row r="555" spans="1:11">
      <c r="A555" s="3">
        <v>2521627</v>
      </c>
      <c r="B555" t="s">
        <v>9295</v>
      </c>
      <c r="C555" t="s">
        <v>7</v>
      </c>
      <c r="D555" t="s">
        <v>9108</v>
      </c>
      <c r="E555" s="28">
        <v>46212</v>
      </c>
      <c r="F555" t="s">
        <v>9109</v>
      </c>
      <c r="G555" s="3" t="s">
        <v>9290</v>
      </c>
      <c r="H555" t="s">
        <v>279</v>
      </c>
      <c r="I555" s="28">
        <v>46318</v>
      </c>
      <c r="J555" t="s">
        <v>9118</v>
      </c>
      <c r="K555" t="s">
        <v>31</v>
      </c>
    </row>
    <row r="556" spans="1:11">
      <c r="A556" s="3">
        <v>2521628</v>
      </c>
      <c r="B556" t="s">
        <v>5961</v>
      </c>
      <c r="C556" t="s">
        <v>7</v>
      </c>
      <c r="D556" t="s">
        <v>9108</v>
      </c>
      <c r="E556" s="28">
        <v>46212</v>
      </c>
      <c r="F556" t="s">
        <v>9109</v>
      </c>
      <c r="G556" s="3" t="s">
        <v>9292</v>
      </c>
      <c r="H556" t="s">
        <v>1083</v>
      </c>
      <c r="I556" s="28">
        <v>46304</v>
      </c>
      <c r="J556" t="s">
        <v>9118</v>
      </c>
      <c r="K556" t="s">
        <v>31</v>
      </c>
    </row>
    <row r="557" spans="1:11">
      <c r="A557" s="3">
        <v>2521630</v>
      </c>
      <c r="B557" t="s">
        <v>3590</v>
      </c>
      <c r="C557" t="s">
        <v>7</v>
      </c>
      <c r="D557" t="s">
        <v>9108</v>
      </c>
      <c r="E557" s="28">
        <v>46212</v>
      </c>
      <c r="F557" t="s">
        <v>9109</v>
      </c>
      <c r="G557" s="3" t="s">
        <v>9290</v>
      </c>
      <c r="H557" t="s">
        <v>279</v>
      </c>
      <c r="I557" s="28">
        <v>46318</v>
      </c>
      <c r="J557" t="s">
        <v>9118</v>
      </c>
      <c r="K557" t="s">
        <v>31</v>
      </c>
    </row>
    <row r="558" spans="1:11">
      <c r="A558" s="3">
        <v>2521631</v>
      </c>
      <c r="B558" t="s">
        <v>130</v>
      </c>
      <c r="C558" t="s">
        <v>8</v>
      </c>
      <c r="D558" t="s">
        <v>9108</v>
      </c>
      <c r="E558" s="28">
        <v>46212</v>
      </c>
      <c r="F558" t="s">
        <v>9109</v>
      </c>
      <c r="G558" s="3" t="s">
        <v>9129</v>
      </c>
      <c r="H558" t="s">
        <v>962</v>
      </c>
      <c r="I558" s="28">
        <v>46314</v>
      </c>
      <c r="J558" t="s">
        <v>9118</v>
      </c>
      <c r="K558" t="s">
        <v>31</v>
      </c>
    </row>
    <row r="559" spans="1:11">
      <c r="A559" s="3">
        <v>2521632</v>
      </c>
      <c r="B559" t="s">
        <v>8872</v>
      </c>
      <c r="C559" t="s">
        <v>8</v>
      </c>
      <c r="D559" t="s">
        <v>9108</v>
      </c>
      <c r="E559" s="28">
        <v>46212</v>
      </c>
      <c r="F559" t="s">
        <v>9109</v>
      </c>
      <c r="G559" s="3" t="s">
        <v>9288</v>
      </c>
      <c r="H559" t="s">
        <v>2772</v>
      </c>
      <c r="I559" s="28">
        <v>46328</v>
      </c>
      <c r="J559" t="s">
        <v>9118</v>
      </c>
      <c r="K559" t="s">
        <v>32</v>
      </c>
    </row>
    <row r="560" spans="1:11">
      <c r="A560" s="3">
        <v>2521633</v>
      </c>
      <c r="B560" t="s">
        <v>8754</v>
      </c>
      <c r="C560" t="s">
        <v>7</v>
      </c>
      <c r="D560" t="s">
        <v>9108</v>
      </c>
      <c r="E560" s="28">
        <v>46212</v>
      </c>
      <c r="F560" t="s">
        <v>9109</v>
      </c>
      <c r="G560" s="3" t="s">
        <v>9129</v>
      </c>
      <c r="H560" t="s">
        <v>962</v>
      </c>
      <c r="I560" s="28">
        <v>46314</v>
      </c>
      <c r="J560" t="s">
        <v>9118</v>
      </c>
      <c r="K560" t="s">
        <v>31</v>
      </c>
    </row>
    <row r="561" spans="1:11">
      <c r="A561" s="3">
        <v>2521634</v>
      </c>
      <c r="B561" t="s">
        <v>8710</v>
      </c>
      <c r="C561" t="s">
        <v>8</v>
      </c>
      <c r="D561" t="s">
        <v>9108</v>
      </c>
      <c r="E561" s="28">
        <v>46212</v>
      </c>
      <c r="F561" t="s">
        <v>9109</v>
      </c>
      <c r="G561" s="3" t="s">
        <v>9288</v>
      </c>
      <c r="H561" t="s">
        <v>2772</v>
      </c>
      <c r="I561" s="28">
        <v>46328</v>
      </c>
      <c r="J561" t="s">
        <v>9118</v>
      </c>
      <c r="K561" t="s">
        <v>32</v>
      </c>
    </row>
    <row r="562" spans="1:11">
      <c r="A562" s="3">
        <v>2521636</v>
      </c>
      <c r="B562" t="s">
        <v>9296</v>
      </c>
      <c r="C562" t="s">
        <v>7</v>
      </c>
      <c r="D562" t="s">
        <v>9108</v>
      </c>
      <c r="E562" s="28">
        <v>46212</v>
      </c>
      <c r="F562" t="s">
        <v>9109</v>
      </c>
      <c r="G562" s="3" t="s">
        <v>9297</v>
      </c>
      <c r="H562" t="s">
        <v>9122</v>
      </c>
      <c r="I562" s="28">
        <v>46328</v>
      </c>
      <c r="J562" t="s">
        <v>9118</v>
      </c>
      <c r="K562" t="s">
        <v>32</v>
      </c>
    </row>
    <row r="563" spans="1:11">
      <c r="A563" s="3">
        <v>2521637</v>
      </c>
      <c r="B563" t="s">
        <v>6976</v>
      </c>
      <c r="C563" t="s">
        <v>7</v>
      </c>
      <c r="D563" t="s">
        <v>9108</v>
      </c>
      <c r="E563" s="28">
        <v>46212</v>
      </c>
      <c r="F563" t="s">
        <v>9109</v>
      </c>
      <c r="G563" s="3" t="s">
        <v>9288</v>
      </c>
      <c r="H563" t="s">
        <v>2772</v>
      </c>
      <c r="I563" s="28">
        <v>46328</v>
      </c>
      <c r="J563" t="s">
        <v>9118</v>
      </c>
      <c r="K563" t="s">
        <v>32</v>
      </c>
    </row>
    <row r="564" spans="1:11">
      <c r="A564" s="3">
        <v>2521638</v>
      </c>
      <c r="B564" t="s">
        <v>9298</v>
      </c>
      <c r="C564" t="s">
        <v>8</v>
      </c>
      <c r="D564" t="s">
        <v>9108</v>
      </c>
      <c r="E564" s="28">
        <v>46212</v>
      </c>
      <c r="F564" t="s">
        <v>9109</v>
      </c>
      <c r="G564" s="3" t="s">
        <v>9297</v>
      </c>
      <c r="H564" t="s">
        <v>9122</v>
      </c>
      <c r="I564" s="28">
        <v>46328</v>
      </c>
      <c r="J564" t="s">
        <v>9118</v>
      </c>
      <c r="K564" t="s">
        <v>32</v>
      </c>
    </row>
    <row r="565" spans="1:11">
      <c r="A565" s="3">
        <v>2521639</v>
      </c>
      <c r="B565" t="s">
        <v>9299</v>
      </c>
      <c r="C565" t="s">
        <v>8</v>
      </c>
      <c r="D565" t="s">
        <v>9108</v>
      </c>
      <c r="E565" s="28">
        <v>46212</v>
      </c>
      <c r="F565" t="s">
        <v>9109</v>
      </c>
      <c r="G565" s="3" t="s">
        <v>9297</v>
      </c>
      <c r="H565" t="s">
        <v>9122</v>
      </c>
      <c r="I565" s="28">
        <v>46328</v>
      </c>
      <c r="J565" t="s">
        <v>9118</v>
      </c>
      <c r="K565" t="s">
        <v>32</v>
      </c>
    </row>
    <row r="566" spans="1:11">
      <c r="A566" s="3">
        <v>2521641</v>
      </c>
      <c r="B566" t="s">
        <v>9300</v>
      </c>
      <c r="C566" t="s">
        <v>7</v>
      </c>
      <c r="D566" t="s">
        <v>9108</v>
      </c>
      <c r="E566" s="28">
        <v>46212</v>
      </c>
      <c r="F566" t="s">
        <v>9109</v>
      </c>
      <c r="G566" s="3" t="s">
        <v>9292</v>
      </c>
      <c r="H566" t="s">
        <v>1083</v>
      </c>
      <c r="I566" s="28">
        <v>46304</v>
      </c>
      <c r="J566" t="s">
        <v>9118</v>
      </c>
      <c r="K566" t="s">
        <v>31</v>
      </c>
    </row>
    <row r="567" spans="1:11">
      <c r="A567" s="3">
        <v>2521642</v>
      </c>
      <c r="B567" t="s">
        <v>9301</v>
      </c>
      <c r="C567" t="s">
        <v>7</v>
      </c>
      <c r="D567" t="s">
        <v>9108</v>
      </c>
      <c r="E567" s="28">
        <v>46212</v>
      </c>
      <c r="F567" t="s">
        <v>9109</v>
      </c>
      <c r="G567" s="3" t="s">
        <v>9290</v>
      </c>
      <c r="H567" t="s">
        <v>279</v>
      </c>
      <c r="I567" s="28">
        <v>46318</v>
      </c>
      <c r="J567" t="s">
        <v>9118</v>
      </c>
      <c r="K567" t="s">
        <v>31</v>
      </c>
    </row>
    <row r="568" spans="1:11">
      <c r="A568" s="3">
        <v>2521643</v>
      </c>
      <c r="B568" t="s">
        <v>6620</v>
      </c>
      <c r="C568" t="s">
        <v>8</v>
      </c>
      <c r="D568" t="s">
        <v>9108</v>
      </c>
      <c r="E568" s="28">
        <v>46212</v>
      </c>
      <c r="F568" t="s">
        <v>9109</v>
      </c>
      <c r="G568" s="3" t="s">
        <v>9288</v>
      </c>
      <c r="H568" t="s">
        <v>2772</v>
      </c>
      <c r="I568" s="28">
        <v>46328</v>
      </c>
      <c r="J568" t="s">
        <v>9118</v>
      </c>
      <c r="K568" t="s">
        <v>32</v>
      </c>
    </row>
    <row r="569" spans="1:11">
      <c r="A569" s="3">
        <v>2521644</v>
      </c>
      <c r="B569" t="s">
        <v>6195</v>
      </c>
      <c r="C569" t="s">
        <v>7</v>
      </c>
      <c r="D569" t="s">
        <v>9108</v>
      </c>
      <c r="E569" s="28">
        <v>46212</v>
      </c>
      <c r="F569" t="s">
        <v>9109</v>
      </c>
      <c r="G569" s="3" t="s">
        <v>9129</v>
      </c>
      <c r="H569" t="s">
        <v>962</v>
      </c>
      <c r="I569" s="28">
        <v>46314</v>
      </c>
      <c r="J569" t="s">
        <v>9118</v>
      </c>
      <c r="K569" t="s">
        <v>31</v>
      </c>
    </row>
    <row r="570" spans="1:11">
      <c r="A570" s="3">
        <v>2521645</v>
      </c>
      <c r="B570" t="s">
        <v>8493</v>
      </c>
      <c r="C570" t="s">
        <v>7</v>
      </c>
      <c r="D570" t="s">
        <v>9108</v>
      </c>
      <c r="E570" s="28">
        <v>46212</v>
      </c>
      <c r="F570" t="s">
        <v>9109</v>
      </c>
      <c r="G570" s="3" t="s">
        <v>9288</v>
      </c>
      <c r="H570" t="s">
        <v>2772</v>
      </c>
      <c r="I570" s="28">
        <v>46328</v>
      </c>
      <c r="J570" t="s">
        <v>9118</v>
      </c>
      <c r="K570" t="s">
        <v>32</v>
      </c>
    </row>
    <row r="571" spans="1:11">
      <c r="A571" s="3">
        <v>2521647</v>
      </c>
      <c r="B571" t="s">
        <v>5031</v>
      </c>
      <c r="C571" t="s">
        <v>7</v>
      </c>
      <c r="D571" t="s">
        <v>9108</v>
      </c>
      <c r="E571" s="28">
        <v>46212</v>
      </c>
      <c r="F571" t="s">
        <v>9109</v>
      </c>
      <c r="G571" s="3" t="s">
        <v>9292</v>
      </c>
      <c r="H571" t="s">
        <v>1083</v>
      </c>
      <c r="I571" s="28">
        <v>46304</v>
      </c>
      <c r="J571" t="s">
        <v>9118</v>
      </c>
      <c r="K571" t="s">
        <v>31</v>
      </c>
    </row>
    <row r="572" spans="1:11">
      <c r="A572" s="3">
        <v>2521648</v>
      </c>
      <c r="B572" t="s">
        <v>9302</v>
      </c>
      <c r="C572" t="s">
        <v>7</v>
      </c>
      <c r="D572" t="s">
        <v>9108</v>
      </c>
      <c r="E572" s="28">
        <v>46212</v>
      </c>
      <c r="F572" t="s">
        <v>9109</v>
      </c>
      <c r="G572" s="3" t="s">
        <v>9297</v>
      </c>
      <c r="H572" t="s">
        <v>9122</v>
      </c>
      <c r="I572" s="28">
        <v>46328</v>
      </c>
      <c r="J572" t="s">
        <v>9118</v>
      </c>
      <c r="K572" t="s">
        <v>32</v>
      </c>
    </row>
    <row r="573" spans="1:11">
      <c r="A573" s="3">
        <v>2521649</v>
      </c>
      <c r="B573" t="s">
        <v>9303</v>
      </c>
      <c r="C573" t="s">
        <v>8</v>
      </c>
      <c r="D573" t="s">
        <v>9108</v>
      </c>
      <c r="E573" s="28">
        <v>46212</v>
      </c>
      <c r="F573" t="s">
        <v>9109</v>
      </c>
      <c r="G573" s="3" t="s">
        <v>9129</v>
      </c>
      <c r="H573" t="s">
        <v>962</v>
      </c>
      <c r="I573" s="28">
        <v>46314</v>
      </c>
      <c r="J573" t="s">
        <v>9118</v>
      </c>
      <c r="K573" t="s">
        <v>31</v>
      </c>
    </row>
    <row r="574" spans="1:11">
      <c r="A574" s="3">
        <v>2521650</v>
      </c>
      <c r="B574" t="s">
        <v>7672</v>
      </c>
      <c r="C574" t="s">
        <v>7</v>
      </c>
      <c r="D574" t="s">
        <v>9108</v>
      </c>
      <c r="E574" s="28">
        <v>46212</v>
      </c>
      <c r="F574" t="s">
        <v>9109</v>
      </c>
      <c r="G574" s="3" t="s">
        <v>9129</v>
      </c>
      <c r="H574" t="s">
        <v>962</v>
      </c>
      <c r="I574" s="28">
        <v>46314</v>
      </c>
      <c r="J574" t="s">
        <v>9118</v>
      </c>
      <c r="K574" t="s">
        <v>31</v>
      </c>
    </row>
    <row r="575" spans="1:11">
      <c r="A575" s="3">
        <v>2521651</v>
      </c>
      <c r="B575" t="s">
        <v>9304</v>
      </c>
      <c r="C575" t="s">
        <v>7</v>
      </c>
      <c r="D575" t="s">
        <v>9108</v>
      </c>
      <c r="E575" s="28">
        <v>46212</v>
      </c>
      <c r="F575" t="s">
        <v>9109</v>
      </c>
      <c r="G575" s="3" t="s">
        <v>9288</v>
      </c>
      <c r="H575" t="s">
        <v>2772</v>
      </c>
      <c r="I575" s="28">
        <v>46328</v>
      </c>
      <c r="J575" t="s">
        <v>9118</v>
      </c>
      <c r="K575" t="s">
        <v>32</v>
      </c>
    </row>
    <row r="576" spans="1:11">
      <c r="A576" s="3">
        <v>2521652</v>
      </c>
      <c r="B576" t="s">
        <v>5910</v>
      </c>
      <c r="C576" t="s">
        <v>8</v>
      </c>
      <c r="D576" t="s">
        <v>9108</v>
      </c>
      <c r="E576" s="28">
        <v>46212</v>
      </c>
      <c r="F576" t="s">
        <v>9109</v>
      </c>
      <c r="G576" s="3" t="s">
        <v>9129</v>
      </c>
      <c r="H576" t="s">
        <v>962</v>
      </c>
      <c r="I576" s="28">
        <v>46314</v>
      </c>
      <c r="J576" t="s">
        <v>9118</v>
      </c>
      <c r="K576" t="s">
        <v>31</v>
      </c>
    </row>
    <row r="577" spans="1:11">
      <c r="A577" s="3">
        <v>2521653</v>
      </c>
      <c r="B577" t="s">
        <v>6185</v>
      </c>
      <c r="C577" t="s">
        <v>7</v>
      </c>
      <c r="D577" t="s">
        <v>9108</v>
      </c>
      <c r="E577" s="28">
        <v>46212</v>
      </c>
      <c r="F577" t="s">
        <v>9109</v>
      </c>
      <c r="G577" s="3" t="s">
        <v>9288</v>
      </c>
      <c r="H577" t="s">
        <v>2772</v>
      </c>
      <c r="I577" s="28">
        <v>46328</v>
      </c>
      <c r="J577" t="s">
        <v>9118</v>
      </c>
      <c r="K577" t="s">
        <v>32</v>
      </c>
    </row>
    <row r="578" spans="1:11">
      <c r="A578" s="3">
        <v>2521654</v>
      </c>
      <c r="B578" t="s">
        <v>8662</v>
      </c>
      <c r="C578" t="s">
        <v>7</v>
      </c>
      <c r="D578" t="s">
        <v>9108</v>
      </c>
      <c r="E578" s="28">
        <v>46212</v>
      </c>
      <c r="F578" t="s">
        <v>9109</v>
      </c>
      <c r="G578" s="3" t="s">
        <v>9288</v>
      </c>
      <c r="H578" t="s">
        <v>2772</v>
      </c>
      <c r="I578" s="28">
        <v>46328</v>
      </c>
      <c r="J578" t="s">
        <v>9118</v>
      </c>
      <c r="K578" t="s">
        <v>32</v>
      </c>
    </row>
    <row r="579" spans="1:11">
      <c r="A579" s="3">
        <v>2521657</v>
      </c>
      <c r="B579" t="s">
        <v>9305</v>
      </c>
      <c r="C579" t="s">
        <v>7</v>
      </c>
      <c r="D579" t="s">
        <v>9108</v>
      </c>
      <c r="E579" s="28">
        <v>46212</v>
      </c>
      <c r="F579" t="s">
        <v>9109</v>
      </c>
      <c r="G579" s="3" t="s">
        <v>9297</v>
      </c>
      <c r="H579" t="s">
        <v>9122</v>
      </c>
      <c r="I579" s="28">
        <v>46328</v>
      </c>
      <c r="J579" t="s">
        <v>9118</v>
      </c>
      <c r="K579" t="s">
        <v>32</v>
      </c>
    </row>
    <row r="580" spans="1:11">
      <c r="A580" s="3">
        <v>2521658</v>
      </c>
      <c r="B580" t="s">
        <v>7475</v>
      </c>
      <c r="C580" t="s">
        <v>7</v>
      </c>
      <c r="D580" t="s">
        <v>9108</v>
      </c>
      <c r="E580" s="28">
        <v>46212</v>
      </c>
      <c r="F580" t="s">
        <v>9109</v>
      </c>
      <c r="G580" s="3" t="s">
        <v>9290</v>
      </c>
      <c r="H580" t="s">
        <v>279</v>
      </c>
      <c r="I580" s="28">
        <v>46318</v>
      </c>
      <c r="J580" t="s">
        <v>9118</v>
      </c>
      <c r="K580" t="s">
        <v>31</v>
      </c>
    </row>
    <row r="581" spans="1:11">
      <c r="A581" s="3">
        <v>2521659</v>
      </c>
      <c r="B581" t="s">
        <v>4068</v>
      </c>
      <c r="C581" t="s">
        <v>7</v>
      </c>
      <c r="D581" t="s">
        <v>9108</v>
      </c>
      <c r="E581" s="28">
        <v>46212</v>
      </c>
      <c r="F581" t="s">
        <v>9109</v>
      </c>
      <c r="G581" s="3" t="s">
        <v>9292</v>
      </c>
      <c r="H581" t="s">
        <v>1083</v>
      </c>
      <c r="I581" s="28">
        <v>46304</v>
      </c>
      <c r="J581" t="s">
        <v>9118</v>
      </c>
      <c r="K581" t="s">
        <v>31</v>
      </c>
    </row>
    <row r="582" spans="1:11">
      <c r="A582" s="3">
        <v>2521660</v>
      </c>
      <c r="B582" t="s">
        <v>4716</v>
      </c>
      <c r="C582" t="s">
        <v>8</v>
      </c>
      <c r="D582" t="s">
        <v>9108</v>
      </c>
      <c r="E582" s="28">
        <v>46212</v>
      </c>
      <c r="F582" t="s">
        <v>9109</v>
      </c>
      <c r="G582" s="3" t="s">
        <v>9288</v>
      </c>
      <c r="H582" t="s">
        <v>2772</v>
      </c>
      <c r="I582" s="28">
        <v>46328</v>
      </c>
      <c r="J582" t="s">
        <v>9118</v>
      </c>
      <c r="K582" t="s">
        <v>32</v>
      </c>
    </row>
    <row r="583" spans="1:11">
      <c r="A583" s="3">
        <v>2521661</v>
      </c>
      <c r="B583" t="s">
        <v>1405</v>
      </c>
      <c r="C583" t="s">
        <v>8</v>
      </c>
      <c r="D583" t="s">
        <v>9108</v>
      </c>
      <c r="E583" s="28">
        <v>46212</v>
      </c>
      <c r="F583" t="s">
        <v>9109</v>
      </c>
      <c r="G583" s="3" t="s">
        <v>9129</v>
      </c>
      <c r="H583" t="s">
        <v>962</v>
      </c>
      <c r="I583" s="28">
        <v>46314</v>
      </c>
      <c r="J583" t="s">
        <v>9118</v>
      </c>
      <c r="K583" t="s">
        <v>31</v>
      </c>
    </row>
    <row r="584" spans="1:11">
      <c r="A584" s="3">
        <v>2521662</v>
      </c>
      <c r="B584" t="s">
        <v>9306</v>
      </c>
      <c r="C584" t="s">
        <v>8</v>
      </c>
      <c r="D584" t="s">
        <v>9108</v>
      </c>
      <c r="E584" s="28">
        <v>46212</v>
      </c>
      <c r="F584" t="s">
        <v>9109</v>
      </c>
      <c r="G584" s="3" t="s">
        <v>9297</v>
      </c>
      <c r="H584" t="s">
        <v>9122</v>
      </c>
      <c r="I584" s="28">
        <v>46328</v>
      </c>
      <c r="J584" t="s">
        <v>9118</v>
      </c>
      <c r="K584" t="s">
        <v>32</v>
      </c>
    </row>
    <row r="585" spans="1:11">
      <c r="A585" s="3">
        <v>2521663</v>
      </c>
      <c r="B585" t="s">
        <v>9307</v>
      </c>
      <c r="C585" t="s">
        <v>7</v>
      </c>
      <c r="D585" t="s">
        <v>9108</v>
      </c>
      <c r="E585" s="28">
        <v>46212</v>
      </c>
      <c r="F585" t="s">
        <v>9109</v>
      </c>
      <c r="G585" s="3" t="s">
        <v>9288</v>
      </c>
      <c r="H585" t="s">
        <v>2772</v>
      </c>
      <c r="I585" s="28">
        <v>46328</v>
      </c>
      <c r="J585" t="s">
        <v>9118</v>
      </c>
      <c r="K585" t="s">
        <v>32</v>
      </c>
    </row>
    <row r="586" spans="1:11">
      <c r="A586" s="3">
        <v>2521664</v>
      </c>
      <c r="B586" t="s">
        <v>9308</v>
      </c>
      <c r="C586" t="s">
        <v>8</v>
      </c>
      <c r="D586" t="s">
        <v>9108</v>
      </c>
      <c r="E586" s="28">
        <v>46212</v>
      </c>
      <c r="F586" t="s">
        <v>9109</v>
      </c>
      <c r="G586" s="3" t="s">
        <v>9297</v>
      </c>
      <c r="H586" t="s">
        <v>9122</v>
      </c>
      <c r="I586" s="28">
        <v>46328</v>
      </c>
      <c r="J586" t="s">
        <v>9118</v>
      </c>
      <c r="K586" t="s">
        <v>32</v>
      </c>
    </row>
    <row r="587" spans="1:11">
      <c r="A587" s="3">
        <v>2521665</v>
      </c>
      <c r="B587" t="s">
        <v>637</v>
      </c>
      <c r="C587" t="s">
        <v>8</v>
      </c>
      <c r="D587" t="s">
        <v>9108</v>
      </c>
      <c r="E587" s="28">
        <v>46212</v>
      </c>
      <c r="F587" t="s">
        <v>9109</v>
      </c>
      <c r="G587" s="3" t="s">
        <v>9288</v>
      </c>
      <c r="H587" t="s">
        <v>2772</v>
      </c>
      <c r="I587" s="28">
        <v>46328</v>
      </c>
      <c r="J587" t="s">
        <v>9118</v>
      </c>
      <c r="K587" t="s">
        <v>32</v>
      </c>
    </row>
    <row r="588" spans="1:11">
      <c r="A588" s="3">
        <v>2521666</v>
      </c>
      <c r="B588" t="s">
        <v>4699</v>
      </c>
      <c r="C588" t="s">
        <v>8</v>
      </c>
      <c r="D588" t="s">
        <v>9108</v>
      </c>
      <c r="E588" s="28">
        <v>46212</v>
      </c>
      <c r="F588" t="s">
        <v>9109</v>
      </c>
      <c r="G588" s="3" t="s">
        <v>9288</v>
      </c>
      <c r="H588" t="s">
        <v>2772</v>
      </c>
      <c r="I588" s="28">
        <v>46328</v>
      </c>
      <c r="J588" t="s">
        <v>9118</v>
      </c>
      <c r="K588" t="s">
        <v>32</v>
      </c>
    </row>
    <row r="589" spans="1:11">
      <c r="A589" s="3">
        <v>2521667</v>
      </c>
      <c r="B589" t="s">
        <v>9309</v>
      </c>
      <c r="C589" t="s">
        <v>7</v>
      </c>
      <c r="D589" t="s">
        <v>9108</v>
      </c>
      <c r="E589" s="28">
        <v>46212</v>
      </c>
      <c r="F589" t="s">
        <v>9109</v>
      </c>
      <c r="G589" s="3" t="s">
        <v>9297</v>
      </c>
      <c r="H589" t="s">
        <v>9122</v>
      </c>
      <c r="I589" s="28">
        <v>46328</v>
      </c>
      <c r="J589" t="s">
        <v>9118</v>
      </c>
      <c r="K589" t="s">
        <v>32</v>
      </c>
    </row>
    <row r="590" spans="1:11">
      <c r="A590" s="3">
        <v>2521668</v>
      </c>
      <c r="B590" t="s">
        <v>2660</v>
      </c>
      <c r="C590" t="s">
        <v>7</v>
      </c>
      <c r="D590" t="s">
        <v>9108</v>
      </c>
      <c r="E590" s="28">
        <v>46212</v>
      </c>
      <c r="F590" t="s">
        <v>9109</v>
      </c>
      <c r="G590" s="3" t="s">
        <v>9292</v>
      </c>
      <c r="H590" t="s">
        <v>1083</v>
      </c>
      <c r="I590" s="28">
        <v>46304</v>
      </c>
      <c r="J590" t="s">
        <v>9118</v>
      </c>
      <c r="K590" t="s">
        <v>31</v>
      </c>
    </row>
    <row r="591" spans="1:11">
      <c r="A591" s="3">
        <v>2521670</v>
      </c>
      <c r="B591" t="s">
        <v>9310</v>
      </c>
      <c r="C591" t="s">
        <v>8</v>
      </c>
      <c r="D591" t="s">
        <v>9108</v>
      </c>
      <c r="E591" s="28">
        <v>46212</v>
      </c>
      <c r="F591" t="s">
        <v>9109</v>
      </c>
      <c r="G591" s="3" t="s">
        <v>9297</v>
      </c>
      <c r="H591" t="s">
        <v>9122</v>
      </c>
      <c r="I591" s="28">
        <v>46328</v>
      </c>
      <c r="J591" t="s">
        <v>9118</v>
      </c>
      <c r="K591" t="s">
        <v>32</v>
      </c>
    </row>
    <row r="592" spans="1:11">
      <c r="A592" s="3">
        <v>2521671</v>
      </c>
      <c r="B592" t="s">
        <v>662</v>
      </c>
      <c r="C592" t="s">
        <v>8</v>
      </c>
      <c r="D592" t="s">
        <v>9108</v>
      </c>
      <c r="E592" s="28">
        <v>46212</v>
      </c>
      <c r="F592" t="s">
        <v>9109</v>
      </c>
      <c r="G592" s="3" t="s">
        <v>9292</v>
      </c>
      <c r="H592" t="s">
        <v>1083</v>
      </c>
      <c r="I592" s="28">
        <v>46304</v>
      </c>
      <c r="J592" t="s">
        <v>9118</v>
      </c>
      <c r="K592" t="s">
        <v>31</v>
      </c>
    </row>
    <row r="593" spans="1:11">
      <c r="A593" s="3">
        <v>2521672</v>
      </c>
      <c r="B593" t="s">
        <v>1119</v>
      </c>
      <c r="C593" t="s">
        <v>8</v>
      </c>
      <c r="D593" t="s">
        <v>9108</v>
      </c>
      <c r="E593" s="28">
        <v>46212</v>
      </c>
      <c r="F593" t="s">
        <v>9109</v>
      </c>
      <c r="G593" s="3" t="s">
        <v>9292</v>
      </c>
      <c r="H593" t="s">
        <v>1083</v>
      </c>
      <c r="I593" s="28">
        <v>46304</v>
      </c>
      <c r="J593" t="s">
        <v>9118</v>
      </c>
      <c r="K593" t="s">
        <v>31</v>
      </c>
    </row>
    <row r="594" spans="1:11">
      <c r="A594" s="3">
        <v>2521674</v>
      </c>
      <c r="B594" t="s">
        <v>9311</v>
      </c>
      <c r="C594" t="s">
        <v>7</v>
      </c>
      <c r="D594" t="s">
        <v>9108</v>
      </c>
      <c r="E594" s="28">
        <v>46212</v>
      </c>
      <c r="F594" t="s">
        <v>9109</v>
      </c>
      <c r="G594" s="3" t="s">
        <v>9288</v>
      </c>
      <c r="H594" t="s">
        <v>2772</v>
      </c>
      <c r="I594" s="28">
        <v>46328</v>
      </c>
      <c r="J594" t="s">
        <v>9118</v>
      </c>
      <c r="K594" t="s">
        <v>32</v>
      </c>
    </row>
    <row r="595" spans="1:11">
      <c r="A595" s="3">
        <v>2521675</v>
      </c>
      <c r="B595" t="s">
        <v>6924</v>
      </c>
      <c r="C595" t="s">
        <v>7</v>
      </c>
      <c r="D595" t="s">
        <v>9108</v>
      </c>
      <c r="E595" s="28">
        <v>46212</v>
      </c>
      <c r="F595" t="s">
        <v>9109</v>
      </c>
      <c r="G595" s="3" t="s">
        <v>9288</v>
      </c>
      <c r="H595" t="s">
        <v>2772</v>
      </c>
      <c r="I595" s="28">
        <v>46328</v>
      </c>
      <c r="J595" t="s">
        <v>9118</v>
      </c>
      <c r="K595" t="s">
        <v>32</v>
      </c>
    </row>
    <row r="596" spans="1:11">
      <c r="A596" s="3">
        <v>2521676</v>
      </c>
      <c r="B596" t="s">
        <v>2680</v>
      </c>
      <c r="C596" t="s">
        <v>8</v>
      </c>
      <c r="D596" t="s">
        <v>9108</v>
      </c>
      <c r="E596" s="28">
        <v>46212</v>
      </c>
      <c r="F596" t="s">
        <v>9109</v>
      </c>
      <c r="G596" s="3" t="s">
        <v>9288</v>
      </c>
      <c r="H596" t="s">
        <v>2772</v>
      </c>
      <c r="I596" s="28">
        <v>46328</v>
      </c>
      <c r="J596" t="s">
        <v>9118</v>
      </c>
      <c r="K596" t="s">
        <v>32</v>
      </c>
    </row>
    <row r="597" spans="1:11">
      <c r="A597" s="3">
        <v>2521678</v>
      </c>
      <c r="B597" t="s">
        <v>7788</v>
      </c>
      <c r="C597" t="s">
        <v>8</v>
      </c>
      <c r="D597" t="s">
        <v>9108</v>
      </c>
      <c r="E597" s="28">
        <v>46212</v>
      </c>
      <c r="F597" t="s">
        <v>9109</v>
      </c>
      <c r="G597" s="3" t="s">
        <v>9292</v>
      </c>
      <c r="H597" t="s">
        <v>1083</v>
      </c>
      <c r="I597" s="28">
        <v>46304</v>
      </c>
      <c r="J597" t="s">
        <v>9118</v>
      </c>
      <c r="K597" t="s">
        <v>31</v>
      </c>
    </row>
    <row r="598" spans="1:11">
      <c r="A598" s="3">
        <v>2521679</v>
      </c>
      <c r="B598" t="s">
        <v>7803</v>
      </c>
      <c r="C598" t="s">
        <v>8</v>
      </c>
      <c r="D598" t="s">
        <v>9108</v>
      </c>
      <c r="E598" s="28">
        <v>46212</v>
      </c>
      <c r="F598" t="s">
        <v>9109</v>
      </c>
      <c r="G598" s="3" t="s">
        <v>9290</v>
      </c>
      <c r="H598" t="s">
        <v>279</v>
      </c>
      <c r="I598" s="28">
        <v>46318</v>
      </c>
      <c r="J598" t="s">
        <v>9118</v>
      </c>
      <c r="K598" t="s">
        <v>31</v>
      </c>
    </row>
    <row r="599" spans="1:11">
      <c r="A599" s="3">
        <v>2521680</v>
      </c>
      <c r="B599" t="s">
        <v>708</v>
      </c>
      <c r="C599" t="s">
        <v>8</v>
      </c>
      <c r="D599" t="s">
        <v>9108</v>
      </c>
      <c r="E599" s="28">
        <v>46212</v>
      </c>
      <c r="F599" t="s">
        <v>9109</v>
      </c>
      <c r="G599" s="3" t="s">
        <v>9129</v>
      </c>
      <c r="H599" t="s">
        <v>962</v>
      </c>
      <c r="I599" s="28">
        <v>46314</v>
      </c>
      <c r="J599" t="s">
        <v>9118</v>
      </c>
      <c r="K599" t="s">
        <v>31</v>
      </c>
    </row>
    <row r="600" spans="1:11">
      <c r="A600" s="3">
        <v>2521681</v>
      </c>
      <c r="B600" t="s">
        <v>9312</v>
      </c>
      <c r="C600" t="s">
        <v>8</v>
      </c>
      <c r="D600" t="s">
        <v>9108</v>
      </c>
      <c r="E600" s="28">
        <v>46212</v>
      </c>
      <c r="F600" t="s">
        <v>9109</v>
      </c>
      <c r="G600" s="3" t="s">
        <v>9288</v>
      </c>
      <c r="H600" t="s">
        <v>2772</v>
      </c>
      <c r="I600" s="28">
        <v>46328</v>
      </c>
      <c r="J600" t="s">
        <v>9118</v>
      </c>
      <c r="K600" t="s">
        <v>32</v>
      </c>
    </row>
    <row r="601" spans="1:11">
      <c r="A601" s="3">
        <v>2521682</v>
      </c>
      <c r="B601" t="s">
        <v>9313</v>
      </c>
      <c r="C601" t="s">
        <v>7</v>
      </c>
      <c r="D601" t="s">
        <v>9108</v>
      </c>
      <c r="E601" s="28">
        <v>46212</v>
      </c>
      <c r="F601" t="s">
        <v>9109</v>
      </c>
      <c r="G601" s="3" t="s">
        <v>9297</v>
      </c>
      <c r="H601" t="s">
        <v>9122</v>
      </c>
      <c r="I601" s="28">
        <v>46328</v>
      </c>
      <c r="J601" t="s">
        <v>9118</v>
      </c>
      <c r="K601" t="s">
        <v>32</v>
      </c>
    </row>
    <row r="602" spans="1:11">
      <c r="A602" s="3">
        <v>2521683</v>
      </c>
      <c r="B602" t="s">
        <v>5241</v>
      </c>
      <c r="C602" t="s">
        <v>8</v>
      </c>
      <c r="D602" t="s">
        <v>9108</v>
      </c>
      <c r="E602" s="28">
        <v>46212</v>
      </c>
      <c r="F602" t="s">
        <v>9109</v>
      </c>
      <c r="G602" s="3" t="s">
        <v>9292</v>
      </c>
      <c r="H602" t="s">
        <v>1083</v>
      </c>
      <c r="I602" s="28">
        <v>46304</v>
      </c>
      <c r="J602" t="s">
        <v>9118</v>
      </c>
      <c r="K602" t="s">
        <v>31</v>
      </c>
    </row>
    <row r="603" spans="1:11">
      <c r="A603" s="3">
        <v>2521684</v>
      </c>
      <c r="B603" t="s">
        <v>7884</v>
      </c>
      <c r="C603" t="s">
        <v>8</v>
      </c>
      <c r="D603" t="s">
        <v>9108</v>
      </c>
      <c r="E603" s="28">
        <v>46212</v>
      </c>
      <c r="F603" t="s">
        <v>9109</v>
      </c>
      <c r="G603" s="3" t="s">
        <v>9297</v>
      </c>
      <c r="H603" t="s">
        <v>9122</v>
      </c>
      <c r="I603" s="28">
        <v>46328</v>
      </c>
      <c r="J603" t="s">
        <v>9118</v>
      </c>
      <c r="K603" t="s">
        <v>32</v>
      </c>
    </row>
    <row r="604" spans="1:11">
      <c r="A604" s="3">
        <v>2521685</v>
      </c>
      <c r="B604" t="s">
        <v>3434</v>
      </c>
      <c r="C604" t="s">
        <v>8</v>
      </c>
      <c r="D604" t="s">
        <v>9108</v>
      </c>
      <c r="E604" s="28">
        <v>46212</v>
      </c>
      <c r="F604" t="s">
        <v>9109</v>
      </c>
      <c r="G604" s="3" t="s">
        <v>9297</v>
      </c>
      <c r="H604" t="s">
        <v>9122</v>
      </c>
      <c r="I604" s="28">
        <v>46328</v>
      </c>
      <c r="J604" t="s">
        <v>9118</v>
      </c>
      <c r="K604" t="s">
        <v>32</v>
      </c>
    </row>
    <row r="605" spans="1:11">
      <c r="A605" s="3">
        <v>2521686</v>
      </c>
      <c r="B605" t="s">
        <v>5884</v>
      </c>
      <c r="C605" t="s">
        <v>8</v>
      </c>
      <c r="D605" t="s">
        <v>9108</v>
      </c>
      <c r="E605" s="28">
        <v>46212</v>
      </c>
      <c r="F605" t="s">
        <v>9109</v>
      </c>
      <c r="G605" s="3" t="s">
        <v>9129</v>
      </c>
      <c r="H605" t="s">
        <v>962</v>
      </c>
      <c r="I605" s="28">
        <v>46314</v>
      </c>
      <c r="J605" t="s">
        <v>9118</v>
      </c>
      <c r="K605" t="s">
        <v>31</v>
      </c>
    </row>
    <row r="606" spans="1:11">
      <c r="A606" s="3">
        <v>2521688</v>
      </c>
      <c r="B606" t="s">
        <v>4452</v>
      </c>
      <c r="C606" t="s">
        <v>8</v>
      </c>
      <c r="D606" t="s">
        <v>9108</v>
      </c>
      <c r="E606" s="28">
        <v>46212</v>
      </c>
      <c r="F606" t="s">
        <v>9109</v>
      </c>
      <c r="G606" s="3" t="s">
        <v>9129</v>
      </c>
      <c r="H606" t="s">
        <v>962</v>
      </c>
      <c r="I606" s="28">
        <v>46314</v>
      </c>
      <c r="J606" t="s">
        <v>9118</v>
      </c>
      <c r="K606" t="s">
        <v>31</v>
      </c>
    </row>
    <row r="607" spans="1:11">
      <c r="A607" s="3">
        <v>2521689</v>
      </c>
      <c r="B607" t="s">
        <v>9314</v>
      </c>
      <c r="C607" t="s">
        <v>8</v>
      </c>
      <c r="D607" t="s">
        <v>9108</v>
      </c>
      <c r="E607" s="28">
        <v>46212</v>
      </c>
      <c r="F607" t="s">
        <v>9109</v>
      </c>
      <c r="G607" s="3" t="s">
        <v>9297</v>
      </c>
      <c r="H607" t="s">
        <v>9122</v>
      </c>
      <c r="I607" s="28">
        <v>46328</v>
      </c>
      <c r="J607" t="s">
        <v>9118</v>
      </c>
      <c r="K607" t="s">
        <v>32</v>
      </c>
    </row>
    <row r="608" spans="1:11">
      <c r="A608" s="3">
        <v>2521690</v>
      </c>
      <c r="B608" t="s">
        <v>9315</v>
      </c>
      <c r="C608" t="s">
        <v>8</v>
      </c>
      <c r="D608" t="s">
        <v>9108</v>
      </c>
      <c r="E608" s="28">
        <v>46212</v>
      </c>
      <c r="F608" t="s">
        <v>9109</v>
      </c>
      <c r="G608" s="3" t="s">
        <v>9297</v>
      </c>
      <c r="H608" t="s">
        <v>9122</v>
      </c>
      <c r="I608" s="28">
        <v>46328</v>
      </c>
      <c r="J608" t="s">
        <v>9118</v>
      </c>
      <c r="K608" t="s">
        <v>32</v>
      </c>
    </row>
    <row r="609" spans="1:11">
      <c r="A609" s="3">
        <v>2521692</v>
      </c>
      <c r="B609" t="s">
        <v>5044</v>
      </c>
      <c r="C609" t="s">
        <v>8</v>
      </c>
      <c r="D609" t="s">
        <v>9108</v>
      </c>
      <c r="E609" s="28">
        <v>46212</v>
      </c>
      <c r="F609" t="s">
        <v>9109</v>
      </c>
      <c r="G609" s="3" t="s">
        <v>9297</v>
      </c>
      <c r="H609" t="s">
        <v>9122</v>
      </c>
      <c r="I609" s="28">
        <v>46328</v>
      </c>
      <c r="J609" t="s">
        <v>9118</v>
      </c>
      <c r="K609" t="s">
        <v>32</v>
      </c>
    </row>
    <row r="610" spans="1:11">
      <c r="A610" s="3">
        <v>2521693</v>
      </c>
      <c r="B610" t="s">
        <v>5019</v>
      </c>
      <c r="C610" t="s">
        <v>7</v>
      </c>
      <c r="D610" t="s">
        <v>9108</v>
      </c>
      <c r="E610" s="28">
        <v>46212</v>
      </c>
      <c r="F610" t="s">
        <v>9109</v>
      </c>
      <c r="G610" s="3" t="s">
        <v>9129</v>
      </c>
      <c r="H610" t="s">
        <v>962</v>
      </c>
      <c r="I610" s="28">
        <v>46314</v>
      </c>
      <c r="J610" t="s">
        <v>9118</v>
      </c>
      <c r="K610" t="s">
        <v>31</v>
      </c>
    </row>
    <row r="611" spans="1:11">
      <c r="A611" s="3">
        <v>2521694</v>
      </c>
      <c r="B611" t="s">
        <v>9316</v>
      </c>
      <c r="C611" t="s">
        <v>7</v>
      </c>
      <c r="D611" t="s">
        <v>9108</v>
      </c>
      <c r="E611" s="28">
        <v>46212</v>
      </c>
      <c r="F611" t="s">
        <v>9109</v>
      </c>
      <c r="G611" s="3" t="s">
        <v>9129</v>
      </c>
      <c r="H611" t="s">
        <v>962</v>
      </c>
      <c r="I611" s="28">
        <v>46314</v>
      </c>
      <c r="J611" t="s">
        <v>9118</v>
      </c>
      <c r="K611" t="s">
        <v>31</v>
      </c>
    </row>
    <row r="612" spans="1:11">
      <c r="A612" s="3">
        <v>2521695</v>
      </c>
      <c r="B612" t="s">
        <v>9317</v>
      </c>
      <c r="C612" t="s">
        <v>7</v>
      </c>
      <c r="D612" t="s">
        <v>9108</v>
      </c>
      <c r="E612" s="28">
        <v>46212</v>
      </c>
      <c r="F612" t="s">
        <v>9109</v>
      </c>
      <c r="G612" s="3" t="s">
        <v>9288</v>
      </c>
      <c r="H612" t="s">
        <v>2772</v>
      </c>
      <c r="I612" s="28">
        <v>46328</v>
      </c>
      <c r="J612" t="s">
        <v>9118</v>
      </c>
      <c r="K612" t="s">
        <v>32</v>
      </c>
    </row>
    <row r="613" spans="1:11">
      <c r="A613" s="3">
        <v>2521696</v>
      </c>
      <c r="B613" t="s">
        <v>9318</v>
      </c>
      <c r="C613" t="s">
        <v>8</v>
      </c>
      <c r="D613" t="s">
        <v>9108</v>
      </c>
      <c r="E613" s="28">
        <v>46212</v>
      </c>
      <c r="F613" t="s">
        <v>9109</v>
      </c>
      <c r="G613" s="3" t="s">
        <v>9297</v>
      </c>
      <c r="H613" t="s">
        <v>9122</v>
      </c>
      <c r="I613" s="28">
        <v>46328</v>
      </c>
      <c r="J613" t="s">
        <v>9118</v>
      </c>
      <c r="K613" t="s">
        <v>32</v>
      </c>
    </row>
    <row r="614" spans="1:11">
      <c r="A614" s="3">
        <v>2521697</v>
      </c>
      <c r="B614" t="s">
        <v>533</v>
      </c>
      <c r="C614" t="s">
        <v>7</v>
      </c>
      <c r="D614" t="s">
        <v>9108</v>
      </c>
      <c r="E614" s="28">
        <v>46212</v>
      </c>
      <c r="F614" t="s">
        <v>9109</v>
      </c>
      <c r="G614" s="3" t="s">
        <v>9129</v>
      </c>
      <c r="H614" t="s">
        <v>962</v>
      </c>
      <c r="I614" s="28">
        <v>46314</v>
      </c>
      <c r="J614" t="s">
        <v>9118</v>
      </c>
      <c r="K614" t="s">
        <v>31</v>
      </c>
    </row>
    <row r="615" spans="1:11">
      <c r="A615" s="3">
        <v>2521698</v>
      </c>
      <c r="B615" t="s">
        <v>9319</v>
      </c>
      <c r="C615" t="s">
        <v>8</v>
      </c>
      <c r="D615" t="s">
        <v>9108</v>
      </c>
      <c r="E615" s="28">
        <v>46212</v>
      </c>
      <c r="F615" t="s">
        <v>9109</v>
      </c>
      <c r="G615" s="3" t="s">
        <v>9129</v>
      </c>
      <c r="H615" t="s">
        <v>962</v>
      </c>
      <c r="I615" s="28">
        <v>46314</v>
      </c>
      <c r="J615" t="s">
        <v>9118</v>
      </c>
      <c r="K615" t="s">
        <v>31</v>
      </c>
    </row>
    <row r="616" spans="1:11">
      <c r="A616" s="3">
        <v>2521699</v>
      </c>
      <c r="B616" t="s">
        <v>4694</v>
      </c>
      <c r="C616" t="s">
        <v>8</v>
      </c>
      <c r="D616" t="s">
        <v>9108</v>
      </c>
      <c r="E616" s="28">
        <v>46212</v>
      </c>
      <c r="F616" t="s">
        <v>9109</v>
      </c>
      <c r="G616" s="3" t="s">
        <v>9290</v>
      </c>
      <c r="H616" t="s">
        <v>279</v>
      </c>
      <c r="I616" s="28">
        <v>46318</v>
      </c>
      <c r="J616" t="s">
        <v>9118</v>
      </c>
      <c r="K616" t="s">
        <v>31</v>
      </c>
    </row>
    <row r="617" spans="1:11">
      <c r="A617" s="3">
        <v>2521700</v>
      </c>
      <c r="B617" t="s">
        <v>141</v>
      </c>
      <c r="C617" t="s">
        <v>7</v>
      </c>
      <c r="D617" t="s">
        <v>9108</v>
      </c>
      <c r="E617" s="28">
        <v>46212</v>
      </c>
      <c r="F617" t="s">
        <v>9109</v>
      </c>
      <c r="G617" s="3" t="s">
        <v>9129</v>
      </c>
      <c r="H617" t="s">
        <v>962</v>
      </c>
      <c r="I617" s="28">
        <v>46314</v>
      </c>
      <c r="J617" t="s">
        <v>9118</v>
      </c>
      <c r="K617" t="s">
        <v>31</v>
      </c>
    </row>
    <row r="618" spans="1:11">
      <c r="A618" s="3">
        <v>2521701</v>
      </c>
      <c r="B618" t="s">
        <v>9320</v>
      </c>
      <c r="C618" t="s">
        <v>7</v>
      </c>
      <c r="D618" t="s">
        <v>9108</v>
      </c>
      <c r="E618" s="28">
        <v>46212</v>
      </c>
      <c r="F618" t="s">
        <v>9109</v>
      </c>
      <c r="G618" s="3" t="s">
        <v>9297</v>
      </c>
      <c r="H618" t="s">
        <v>9122</v>
      </c>
      <c r="I618" s="28">
        <v>46328</v>
      </c>
      <c r="J618" t="s">
        <v>9118</v>
      </c>
      <c r="K618" t="s">
        <v>32</v>
      </c>
    </row>
    <row r="619" spans="1:11">
      <c r="A619" s="3">
        <v>2521702</v>
      </c>
      <c r="B619" t="s">
        <v>9321</v>
      </c>
      <c r="C619" t="s">
        <v>7</v>
      </c>
      <c r="D619" t="s">
        <v>9108</v>
      </c>
      <c r="E619" s="28">
        <v>46212</v>
      </c>
      <c r="F619" t="s">
        <v>9109</v>
      </c>
      <c r="G619" s="3" t="s">
        <v>9292</v>
      </c>
      <c r="H619" t="s">
        <v>1083</v>
      </c>
      <c r="I619" s="28">
        <v>46304</v>
      </c>
      <c r="J619" t="s">
        <v>9118</v>
      </c>
      <c r="K619" t="s">
        <v>31</v>
      </c>
    </row>
    <row r="620" spans="1:11">
      <c r="A620" s="3">
        <v>2521703</v>
      </c>
      <c r="B620" t="s">
        <v>9322</v>
      </c>
      <c r="C620" t="s">
        <v>7</v>
      </c>
      <c r="D620" t="s">
        <v>9108</v>
      </c>
      <c r="E620" s="28">
        <v>46212</v>
      </c>
      <c r="F620" t="s">
        <v>9109</v>
      </c>
      <c r="G620" s="3" t="s">
        <v>9297</v>
      </c>
      <c r="H620" t="s">
        <v>9122</v>
      </c>
      <c r="I620" s="28">
        <v>46328</v>
      </c>
      <c r="J620" t="s">
        <v>9118</v>
      </c>
      <c r="K620" t="s">
        <v>32</v>
      </c>
    </row>
    <row r="621" spans="1:11">
      <c r="A621" s="3">
        <v>2521704</v>
      </c>
      <c r="B621" t="s">
        <v>4283</v>
      </c>
      <c r="C621" t="s">
        <v>8</v>
      </c>
      <c r="D621" t="s">
        <v>9108</v>
      </c>
      <c r="E621" s="28">
        <v>46212</v>
      </c>
      <c r="F621" t="s">
        <v>9109</v>
      </c>
      <c r="G621" s="3" t="s">
        <v>9129</v>
      </c>
      <c r="H621" t="s">
        <v>962</v>
      </c>
      <c r="I621" s="28">
        <v>46314</v>
      </c>
      <c r="J621" t="s">
        <v>9118</v>
      </c>
      <c r="K621" t="s">
        <v>31</v>
      </c>
    </row>
    <row r="622" spans="1:11">
      <c r="A622" s="3">
        <v>2521705</v>
      </c>
      <c r="B622" t="s">
        <v>9323</v>
      </c>
      <c r="C622" t="s">
        <v>7</v>
      </c>
      <c r="D622" t="s">
        <v>9108</v>
      </c>
      <c r="E622" s="28">
        <v>46212</v>
      </c>
      <c r="F622" t="s">
        <v>9109</v>
      </c>
      <c r="G622" s="3" t="s">
        <v>9129</v>
      </c>
      <c r="H622" t="s">
        <v>962</v>
      </c>
      <c r="I622" s="28">
        <v>46314</v>
      </c>
      <c r="J622" t="s">
        <v>9118</v>
      </c>
      <c r="K622" t="s">
        <v>31</v>
      </c>
    </row>
    <row r="623" spans="1:11">
      <c r="A623" s="3">
        <v>2521706</v>
      </c>
      <c r="B623" t="s">
        <v>6024</v>
      </c>
      <c r="C623" t="s">
        <v>7</v>
      </c>
      <c r="D623" t="s">
        <v>9108</v>
      </c>
      <c r="E623" s="28">
        <v>46212</v>
      </c>
      <c r="F623" t="s">
        <v>9109</v>
      </c>
      <c r="G623" s="3" t="s">
        <v>9290</v>
      </c>
      <c r="H623" t="s">
        <v>279</v>
      </c>
      <c r="I623" s="28">
        <v>46318</v>
      </c>
      <c r="J623" t="s">
        <v>9118</v>
      </c>
      <c r="K623" t="s">
        <v>31</v>
      </c>
    </row>
    <row r="624" spans="1:11">
      <c r="A624" s="3">
        <v>2521707</v>
      </c>
      <c r="B624" t="s">
        <v>2954</v>
      </c>
      <c r="C624" t="s">
        <v>7</v>
      </c>
      <c r="D624" t="s">
        <v>9108</v>
      </c>
      <c r="E624" s="28">
        <v>46212</v>
      </c>
      <c r="F624" t="s">
        <v>9109</v>
      </c>
      <c r="G624" s="3" t="s">
        <v>9129</v>
      </c>
      <c r="H624" t="s">
        <v>962</v>
      </c>
      <c r="I624" s="28">
        <v>46314</v>
      </c>
      <c r="J624" t="s">
        <v>9118</v>
      </c>
      <c r="K624" t="s">
        <v>31</v>
      </c>
    </row>
    <row r="625" spans="1:11">
      <c r="A625" s="3">
        <v>2521708</v>
      </c>
      <c r="B625" t="s">
        <v>9324</v>
      </c>
      <c r="C625" t="s">
        <v>7</v>
      </c>
      <c r="D625" t="s">
        <v>9108</v>
      </c>
      <c r="E625" s="28">
        <v>46212</v>
      </c>
      <c r="F625" t="s">
        <v>9109</v>
      </c>
      <c r="G625" s="3" t="s">
        <v>9288</v>
      </c>
      <c r="H625" t="s">
        <v>2772</v>
      </c>
      <c r="I625" s="28">
        <v>46328</v>
      </c>
      <c r="J625" t="s">
        <v>9118</v>
      </c>
      <c r="K625" t="s">
        <v>32</v>
      </c>
    </row>
    <row r="626" spans="1:11">
      <c r="A626" s="3">
        <v>2521709</v>
      </c>
      <c r="B626" t="s">
        <v>4899</v>
      </c>
      <c r="C626" t="s">
        <v>7</v>
      </c>
      <c r="D626" t="s">
        <v>9108</v>
      </c>
      <c r="E626" s="28">
        <v>46212</v>
      </c>
      <c r="F626" t="s">
        <v>9109</v>
      </c>
      <c r="G626" s="3" t="s">
        <v>9129</v>
      </c>
      <c r="H626" t="s">
        <v>962</v>
      </c>
      <c r="I626" s="28">
        <v>46314</v>
      </c>
      <c r="J626" t="s">
        <v>9118</v>
      </c>
      <c r="K626" t="s">
        <v>31</v>
      </c>
    </row>
    <row r="627" spans="1:11">
      <c r="A627" s="3">
        <v>2521710</v>
      </c>
      <c r="B627" t="s">
        <v>6839</v>
      </c>
      <c r="C627" t="s">
        <v>7</v>
      </c>
      <c r="D627" t="s">
        <v>9108</v>
      </c>
      <c r="E627" s="28">
        <v>46212</v>
      </c>
      <c r="F627" t="s">
        <v>9109</v>
      </c>
      <c r="G627" s="3" t="s">
        <v>9129</v>
      </c>
      <c r="H627" t="s">
        <v>962</v>
      </c>
      <c r="I627" s="28">
        <v>46314</v>
      </c>
      <c r="J627" t="s">
        <v>9118</v>
      </c>
      <c r="K627" t="s">
        <v>31</v>
      </c>
    </row>
    <row r="628" spans="1:11">
      <c r="A628" s="3">
        <v>2521711</v>
      </c>
      <c r="B628" t="s">
        <v>9325</v>
      </c>
      <c r="C628" t="s">
        <v>7</v>
      </c>
      <c r="D628" t="s">
        <v>9108</v>
      </c>
      <c r="E628" s="28">
        <v>46212</v>
      </c>
      <c r="F628" t="s">
        <v>9109</v>
      </c>
      <c r="G628" s="3" t="s">
        <v>9297</v>
      </c>
      <c r="H628" t="s">
        <v>9122</v>
      </c>
      <c r="I628" s="28">
        <v>46328</v>
      </c>
      <c r="J628" t="s">
        <v>9118</v>
      </c>
      <c r="K628" t="s">
        <v>32</v>
      </c>
    </row>
    <row r="629" spans="1:11">
      <c r="A629" s="3">
        <v>2521712</v>
      </c>
      <c r="B629" t="s">
        <v>7880</v>
      </c>
      <c r="C629" t="s">
        <v>8</v>
      </c>
      <c r="D629" t="s">
        <v>9108</v>
      </c>
      <c r="E629" s="28">
        <v>46212</v>
      </c>
      <c r="F629" t="s">
        <v>9109</v>
      </c>
      <c r="G629" s="3" t="s">
        <v>9292</v>
      </c>
      <c r="H629" t="s">
        <v>1083</v>
      </c>
      <c r="I629" s="28">
        <v>46304</v>
      </c>
      <c r="J629" t="s">
        <v>9118</v>
      </c>
      <c r="K629" t="s">
        <v>31</v>
      </c>
    </row>
    <row r="630" spans="1:11">
      <c r="A630" s="3">
        <v>2521713</v>
      </c>
      <c r="B630" t="s">
        <v>9326</v>
      </c>
      <c r="C630" t="s">
        <v>7</v>
      </c>
      <c r="D630" t="s">
        <v>9108</v>
      </c>
      <c r="E630" s="28">
        <v>46212</v>
      </c>
      <c r="F630" t="s">
        <v>9109</v>
      </c>
      <c r="G630" s="3" t="s">
        <v>9290</v>
      </c>
      <c r="H630" t="s">
        <v>279</v>
      </c>
      <c r="I630" s="28">
        <v>46318</v>
      </c>
      <c r="J630" t="s">
        <v>9118</v>
      </c>
      <c r="K630" t="s">
        <v>31</v>
      </c>
    </row>
    <row r="631" spans="1:11">
      <c r="A631" s="3">
        <v>2521714</v>
      </c>
      <c r="B631" t="s">
        <v>9327</v>
      </c>
      <c r="C631" t="s">
        <v>7</v>
      </c>
      <c r="D631" t="s">
        <v>9108</v>
      </c>
      <c r="E631" s="28">
        <v>46212</v>
      </c>
      <c r="F631" t="s">
        <v>9109</v>
      </c>
      <c r="G631" s="3" t="s">
        <v>9288</v>
      </c>
      <c r="H631" t="s">
        <v>2772</v>
      </c>
      <c r="I631" s="28">
        <v>46328</v>
      </c>
      <c r="J631" t="s">
        <v>9118</v>
      </c>
      <c r="K631" t="s">
        <v>32</v>
      </c>
    </row>
    <row r="632" spans="1:11">
      <c r="A632" s="3">
        <v>2521715</v>
      </c>
      <c r="B632" t="s">
        <v>7591</v>
      </c>
      <c r="C632" t="s">
        <v>7</v>
      </c>
      <c r="D632" t="s">
        <v>9108</v>
      </c>
      <c r="E632" s="28">
        <v>46212</v>
      </c>
      <c r="F632" t="s">
        <v>9109</v>
      </c>
      <c r="G632" s="3" t="s">
        <v>9297</v>
      </c>
      <c r="H632" t="s">
        <v>9122</v>
      </c>
      <c r="I632" s="28">
        <v>46328</v>
      </c>
      <c r="J632" t="s">
        <v>9118</v>
      </c>
      <c r="K632" t="s">
        <v>32</v>
      </c>
    </row>
    <row r="633" spans="1:11">
      <c r="A633" s="3">
        <v>2521716</v>
      </c>
      <c r="B633" t="s">
        <v>1518</v>
      </c>
      <c r="C633" t="s">
        <v>8</v>
      </c>
      <c r="D633" t="s">
        <v>9108</v>
      </c>
      <c r="E633" s="28">
        <v>46212</v>
      </c>
      <c r="F633" t="s">
        <v>9109</v>
      </c>
      <c r="G633" s="3" t="s">
        <v>9328</v>
      </c>
      <c r="H633" t="s">
        <v>9329</v>
      </c>
      <c r="I633" s="28">
        <v>46329</v>
      </c>
      <c r="J633" t="s">
        <v>9118</v>
      </c>
      <c r="K633" t="s">
        <v>32</v>
      </c>
    </row>
    <row r="634" spans="1:11">
      <c r="A634" s="3">
        <v>2521717</v>
      </c>
      <c r="B634" t="s">
        <v>9330</v>
      </c>
      <c r="C634" t="s">
        <v>8</v>
      </c>
      <c r="D634" t="s">
        <v>9108</v>
      </c>
      <c r="E634" s="28">
        <v>46212</v>
      </c>
      <c r="F634" t="s">
        <v>9109</v>
      </c>
      <c r="G634" s="3" t="s">
        <v>9328</v>
      </c>
      <c r="H634" t="s">
        <v>9329</v>
      </c>
      <c r="I634" s="28">
        <v>46329</v>
      </c>
      <c r="J634" t="s">
        <v>9118</v>
      </c>
      <c r="K634" t="s">
        <v>32</v>
      </c>
    </row>
    <row r="635" spans="1:11">
      <c r="A635" s="3">
        <v>2521718</v>
      </c>
      <c r="B635" t="s">
        <v>5989</v>
      </c>
      <c r="C635" t="s">
        <v>7</v>
      </c>
      <c r="D635" t="s">
        <v>9108</v>
      </c>
      <c r="E635" s="28">
        <v>46212</v>
      </c>
      <c r="F635" t="s">
        <v>9109</v>
      </c>
      <c r="G635" s="3" t="s">
        <v>9331</v>
      </c>
      <c r="H635" t="s">
        <v>9332</v>
      </c>
      <c r="I635" s="28">
        <v>46337</v>
      </c>
      <c r="J635" t="s">
        <v>9118</v>
      </c>
      <c r="K635" t="s">
        <v>32</v>
      </c>
    </row>
    <row r="636" spans="1:11">
      <c r="A636" s="3">
        <v>2521719</v>
      </c>
      <c r="B636" t="s">
        <v>7722</v>
      </c>
      <c r="C636" t="s">
        <v>7</v>
      </c>
      <c r="D636" t="s">
        <v>9108</v>
      </c>
      <c r="E636" s="28">
        <v>46212</v>
      </c>
      <c r="F636" t="s">
        <v>9109</v>
      </c>
      <c r="G636" s="3" t="s">
        <v>9328</v>
      </c>
      <c r="H636" t="s">
        <v>9329</v>
      </c>
      <c r="I636" s="28">
        <v>46329</v>
      </c>
      <c r="J636" t="s">
        <v>9118</v>
      </c>
      <c r="K636" t="s">
        <v>32</v>
      </c>
    </row>
    <row r="637" spans="1:11">
      <c r="A637" s="3">
        <v>2521720</v>
      </c>
      <c r="B637" t="s">
        <v>3253</v>
      </c>
      <c r="C637" t="s">
        <v>7</v>
      </c>
      <c r="D637" t="s">
        <v>9108</v>
      </c>
      <c r="E637" s="28">
        <v>46212</v>
      </c>
      <c r="F637" t="s">
        <v>9109</v>
      </c>
      <c r="G637" s="3" t="s">
        <v>9333</v>
      </c>
      <c r="H637" t="s">
        <v>9332</v>
      </c>
      <c r="I637" s="28">
        <v>46337</v>
      </c>
      <c r="J637" t="s">
        <v>9118</v>
      </c>
      <c r="K637" t="s">
        <v>32</v>
      </c>
    </row>
    <row r="638" spans="1:11">
      <c r="A638" s="3">
        <v>2521721</v>
      </c>
      <c r="B638" t="s">
        <v>3620</v>
      </c>
      <c r="C638" t="s">
        <v>7</v>
      </c>
      <c r="D638" t="s">
        <v>9108</v>
      </c>
      <c r="E638" s="28">
        <v>46212</v>
      </c>
      <c r="F638" t="s">
        <v>9109</v>
      </c>
      <c r="G638" s="3" t="s">
        <v>9331</v>
      </c>
      <c r="H638" t="s">
        <v>9332</v>
      </c>
      <c r="I638" s="28">
        <v>46337</v>
      </c>
      <c r="J638" t="s">
        <v>9118</v>
      </c>
      <c r="K638" t="s">
        <v>32</v>
      </c>
    </row>
    <row r="639" spans="1:11">
      <c r="A639" s="3">
        <v>2521722</v>
      </c>
      <c r="B639" t="s">
        <v>8450</v>
      </c>
      <c r="C639" t="s">
        <v>7</v>
      </c>
      <c r="D639" t="s">
        <v>9108</v>
      </c>
      <c r="E639" s="28">
        <v>46212</v>
      </c>
      <c r="F639" t="s">
        <v>9109</v>
      </c>
      <c r="G639" s="3" t="s">
        <v>9334</v>
      </c>
      <c r="H639" t="s">
        <v>9332</v>
      </c>
      <c r="I639" s="28">
        <v>46325</v>
      </c>
      <c r="J639" t="s">
        <v>9118</v>
      </c>
      <c r="K639" t="s">
        <v>31</v>
      </c>
    </row>
    <row r="640" spans="1:11">
      <c r="A640" s="3">
        <v>2521723</v>
      </c>
      <c r="B640" t="s">
        <v>9335</v>
      </c>
      <c r="C640" t="s">
        <v>7</v>
      </c>
      <c r="D640" t="s">
        <v>9108</v>
      </c>
      <c r="E640" s="28">
        <v>46212</v>
      </c>
      <c r="F640" t="s">
        <v>9109</v>
      </c>
      <c r="G640" s="3" t="s">
        <v>9333</v>
      </c>
      <c r="H640" t="s">
        <v>9332</v>
      </c>
      <c r="I640" s="28">
        <v>46337</v>
      </c>
      <c r="J640" t="s">
        <v>9118</v>
      </c>
      <c r="K640" t="s">
        <v>32</v>
      </c>
    </row>
    <row r="641" spans="1:11">
      <c r="A641" s="3">
        <v>2521724</v>
      </c>
      <c r="B641" t="s">
        <v>3313</v>
      </c>
      <c r="C641" t="s">
        <v>7</v>
      </c>
      <c r="D641" t="s">
        <v>9108</v>
      </c>
      <c r="E641" s="28">
        <v>46212</v>
      </c>
      <c r="F641" t="s">
        <v>9109</v>
      </c>
      <c r="G641" s="3" t="s">
        <v>9333</v>
      </c>
      <c r="H641" t="s">
        <v>9332</v>
      </c>
      <c r="I641" s="28">
        <v>46337</v>
      </c>
      <c r="J641" t="s">
        <v>9118</v>
      </c>
      <c r="K641" t="s">
        <v>32</v>
      </c>
    </row>
    <row r="642" spans="1:11">
      <c r="A642" s="3">
        <v>2521725</v>
      </c>
      <c r="B642" t="s">
        <v>3180</v>
      </c>
      <c r="C642" t="s">
        <v>7</v>
      </c>
      <c r="D642" t="s">
        <v>9108</v>
      </c>
      <c r="E642" s="28">
        <v>46212</v>
      </c>
      <c r="F642" t="s">
        <v>9109</v>
      </c>
      <c r="G642" s="3" t="s">
        <v>9333</v>
      </c>
      <c r="H642" t="s">
        <v>9332</v>
      </c>
      <c r="I642" s="28">
        <v>46337</v>
      </c>
      <c r="J642" t="s">
        <v>9118</v>
      </c>
      <c r="K642" t="s">
        <v>32</v>
      </c>
    </row>
    <row r="643" spans="1:11">
      <c r="A643" s="3">
        <v>2521726</v>
      </c>
      <c r="B643" t="s">
        <v>8914</v>
      </c>
      <c r="C643" t="s">
        <v>8</v>
      </c>
      <c r="D643" t="s">
        <v>9108</v>
      </c>
      <c r="E643" s="28">
        <v>46212</v>
      </c>
      <c r="F643" t="s">
        <v>9109</v>
      </c>
      <c r="G643" s="3" t="s">
        <v>9331</v>
      </c>
      <c r="H643" t="s">
        <v>9332</v>
      </c>
      <c r="I643" s="28">
        <v>46337</v>
      </c>
      <c r="J643" t="s">
        <v>9118</v>
      </c>
      <c r="K643" t="s">
        <v>32</v>
      </c>
    </row>
    <row r="644" spans="1:11">
      <c r="A644" s="3">
        <v>2521727</v>
      </c>
      <c r="B644" t="s">
        <v>3575</v>
      </c>
      <c r="C644" t="s">
        <v>7</v>
      </c>
      <c r="D644" t="s">
        <v>9108</v>
      </c>
      <c r="E644" s="28">
        <v>46212</v>
      </c>
      <c r="F644" t="s">
        <v>9109</v>
      </c>
      <c r="G644" s="3" t="s">
        <v>9331</v>
      </c>
      <c r="H644" t="s">
        <v>9332</v>
      </c>
      <c r="I644" s="28">
        <v>46337</v>
      </c>
      <c r="J644" t="s">
        <v>9118</v>
      </c>
      <c r="K644" t="s">
        <v>32</v>
      </c>
    </row>
    <row r="645" spans="1:11">
      <c r="A645" s="3">
        <v>2521728</v>
      </c>
      <c r="B645" t="s">
        <v>3248</v>
      </c>
      <c r="C645" t="s">
        <v>7</v>
      </c>
      <c r="D645" t="s">
        <v>9108</v>
      </c>
      <c r="E645" s="28">
        <v>46212</v>
      </c>
      <c r="F645" t="s">
        <v>9109</v>
      </c>
      <c r="G645" s="3" t="s">
        <v>9331</v>
      </c>
      <c r="H645" t="s">
        <v>9332</v>
      </c>
      <c r="I645" s="28">
        <v>46337</v>
      </c>
      <c r="J645" t="s">
        <v>9118</v>
      </c>
      <c r="K645" t="s">
        <v>32</v>
      </c>
    </row>
    <row r="646" spans="1:11">
      <c r="A646" s="3">
        <v>2521729</v>
      </c>
      <c r="B646" t="s">
        <v>6098</v>
      </c>
      <c r="C646" t="s">
        <v>7</v>
      </c>
      <c r="D646" t="s">
        <v>9108</v>
      </c>
      <c r="E646" s="28">
        <v>46212</v>
      </c>
      <c r="F646" t="s">
        <v>9109</v>
      </c>
      <c r="G646" s="3" t="s">
        <v>9328</v>
      </c>
      <c r="H646" t="s">
        <v>9329</v>
      </c>
      <c r="I646" s="28">
        <v>46329</v>
      </c>
      <c r="J646" t="s">
        <v>9118</v>
      </c>
      <c r="K646" t="s">
        <v>32</v>
      </c>
    </row>
    <row r="647" spans="1:11">
      <c r="A647" s="3">
        <v>2521730</v>
      </c>
      <c r="B647" t="s">
        <v>8377</v>
      </c>
      <c r="C647" t="s">
        <v>8</v>
      </c>
      <c r="D647" t="s">
        <v>9108</v>
      </c>
      <c r="E647" s="28">
        <v>46212</v>
      </c>
      <c r="F647" t="s">
        <v>9109</v>
      </c>
      <c r="G647" s="3" t="s">
        <v>9328</v>
      </c>
      <c r="H647" t="s">
        <v>9329</v>
      </c>
      <c r="I647" s="28">
        <v>46329</v>
      </c>
      <c r="J647" t="s">
        <v>9118</v>
      </c>
      <c r="K647" t="s">
        <v>32</v>
      </c>
    </row>
    <row r="648" spans="1:11">
      <c r="A648" s="3">
        <v>2521731</v>
      </c>
      <c r="B648" t="s">
        <v>7108</v>
      </c>
      <c r="C648" t="s">
        <v>7</v>
      </c>
      <c r="D648" t="s">
        <v>9108</v>
      </c>
      <c r="E648" s="28">
        <v>46212</v>
      </c>
      <c r="F648" t="s">
        <v>9109</v>
      </c>
      <c r="G648" s="3" t="s">
        <v>9333</v>
      </c>
      <c r="H648" t="s">
        <v>9332</v>
      </c>
      <c r="I648" s="28">
        <v>46337</v>
      </c>
      <c r="J648" t="s">
        <v>9118</v>
      </c>
      <c r="K648" t="s">
        <v>32</v>
      </c>
    </row>
    <row r="649" spans="1:11">
      <c r="A649" s="3">
        <v>2521732</v>
      </c>
      <c r="B649" t="s">
        <v>7875</v>
      </c>
      <c r="C649" t="s">
        <v>8</v>
      </c>
      <c r="D649" t="s">
        <v>9108</v>
      </c>
      <c r="E649" s="28">
        <v>46212</v>
      </c>
      <c r="F649" t="s">
        <v>9109</v>
      </c>
      <c r="G649" s="3" t="s">
        <v>9328</v>
      </c>
      <c r="H649" t="s">
        <v>9329</v>
      </c>
      <c r="I649" s="28">
        <v>46329</v>
      </c>
      <c r="J649" t="s">
        <v>9118</v>
      </c>
      <c r="K649" t="s">
        <v>32</v>
      </c>
    </row>
    <row r="650" spans="1:11">
      <c r="A650" s="3">
        <v>2521733</v>
      </c>
      <c r="B650" t="s">
        <v>9336</v>
      </c>
      <c r="C650" t="s">
        <v>8</v>
      </c>
      <c r="D650" t="s">
        <v>9108</v>
      </c>
      <c r="E650" s="28">
        <v>46212</v>
      </c>
      <c r="F650" t="s">
        <v>9109</v>
      </c>
      <c r="G650" s="3" t="s">
        <v>9333</v>
      </c>
      <c r="H650" t="s">
        <v>9332</v>
      </c>
      <c r="I650" s="28">
        <v>46337</v>
      </c>
      <c r="J650" t="s">
        <v>9118</v>
      </c>
      <c r="K650" t="s">
        <v>32</v>
      </c>
    </row>
    <row r="651" spans="1:11">
      <c r="A651" s="3">
        <v>2521734</v>
      </c>
      <c r="B651" t="s">
        <v>9337</v>
      </c>
      <c r="C651" t="s">
        <v>8</v>
      </c>
      <c r="D651" t="s">
        <v>9108</v>
      </c>
      <c r="E651" s="28">
        <v>46212</v>
      </c>
      <c r="F651" t="s">
        <v>9109</v>
      </c>
      <c r="G651" s="3" t="s">
        <v>9331</v>
      </c>
      <c r="H651" t="s">
        <v>9332</v>
      </c>
      <c r="I651" s="28">
        <v>46337</v>
      </c>
      <c r="J651" t="s">
        <v>9118</v>
      </c>
      <c r="K651" t="s">
        <v>32</v>
      </c>
    </row>
    <row r="652" spans="1:11">
      <c r="A652" s="3">
        <v>2521735</v>
      </c>
      <c r="B652" t="s">
        <v>2481</v>
      </c>
      <c r="C652" t="s">
        <v>7</v>
      </c>
      <c r="D652" t="s">
        <v>9108</v>
      </c>
      <c r="E652" s="28">
        <v>46212</v>
      </c>
      <c r="F652" t="s">
        <v>9109</v>
      </c>
      <c r="G652" s="3" t="s">
        <v>9328</v>
      </c>
      <c r="H652" t="s">
        <v>9329</v>
      </c>
      <c r="I652" s="28">
        <v>46329</v>
      </c>
      <c r="J652" t="s">
        <v>9118</v>
      </c>
      <c r="K652" t="s">
        <v>32</v>
      </c>
    </row>
    <row r="653" spans="1:11">
      <c r="A653" s="3">
        <v>2521736</v>
      </c>
      <c r="B653" t="s">
        <v>4790</v>
      </c>
      <c r="C653" t="s">
        <v>7</v>
      </c>
      <c r="D653" t="s">
        <v>9108</v>
      </c>
      <c r="E653" s="28">
        <v>46212</v>
      </c>
      <c r="F653" t="s">
        <v>9109</v>
      </c>
      <c r="G653" s="3" t="s">
        <v>9334</v>
      </c>
      <c r="H653" t="s">
        <v>9332</v>
      </c>
      <c r="I653" s="28">
        <v>46325</v>
      </c>
      <c r="J653" t="s">
        <v>9118</v>
      </c>
      <c r="K653" t="s">
        <v>31</v>
      </c>
    </row>
    <row r="654" spans="1:11">
      <c r="A654" s="3">
        <v>2521737</v>
      </c>
      <c r="B654" t="s">
        <v>6300</v>
      </c>
      <c r="C654" t="s">
        <v>8</v>
      </c>
      <c r="D654" t="s">
        <v>9108</v>
      </c>
      <c r="E654" s="28">
        <v>46212</v>
      </c>
      <c r="F654" t="s">
        <v>9109</v>
      </c>
      <c r="G654" s="3" t="s">
        <v>9328</v>
      </c>
      <c r="H654" t="s">
        <v>9329</v>
      </c>
      <c r="I654" s="28">
        <v>46329</v>
      </c>
      <c r="J654" t="s">
        <v>9118</v>
      </c>
      <c r="K654" t="s">
        <v>32</v>
      </c>
    </row>
    <row r="655" spans="1:11">
      <c r="A655" s="3">
        <v>2521738</v>
      </c>
      <c r="B655" t="s">
        <v>9338</v>
      </c>
      <c r="C655" t="s">
        <v>8</v>
      </c>
      <c r="D655" t="s">
        <v>9108</v>
      </c>
      <c r="E655" s="28">
        <v>46212</v>
      </c>
      <c r="F655" t="s">
        <v>9109</v>
      </c>
      <c r="G655" s="3" t="s">
        <v>9328</v>
      </c>
      <c r="H655" t="s">
        <v>9329</v>
      </c>
      <c r="I655" s="28">
        <v>46329</v>
      </c>
      <c r="J655" t="s">
        <v>9118</v>
      </c>
      <c r="K655" t="s">
        <v>32</v>
      </c>
    </row>
    <row r="656" spans="1:11">
      <c r="A656" s="3">
        <v>2521739</v>
      </c>
      <c r="B656" t="s">
        <v>9063</v>
      </c>
      <c r="C656" t="s">
        <v>8</v>
      </c>
      <c r="D656" t="s">
        <v>9108</v>
      </c>
      <c r="E656" s="28">
        <v>46212</v>
      </c>
      <c r="F656" t="s">
        <v>9109</v>
      </c>
      <c r="G656" s="3" t="s">
        <v>9328</v>
      </c>
      <c r="H656" t="s">
        <v>9329</v>
      </c>
      <c r="I656" s="28">
        <v>46329</v>
      </c>
      <c r="J656" t="s">
        <v>9118</v>
      </c>
      <c r="K656" t="s">
        <v>32</v>
      </c>
    </row>
    <row r="657" spans="1:11">
      <c r="A657" s="3">
        <v>2521740</v>
      </c>
      <c r="B657" t="s">
        <v>3195</v>
      </c>
      <c r="C657" t="s">
        <v>7</v>
      </c>
      <c r="D657" t="s">
        <v>9108</v>
      </c>
      <c r="E657" s="28">
        <v>46212</v>
      </c>
      <c r="F657" t="s">
        <v>9109</v>
      </c>
      <c r="G657" s="3" t="s">
        <v>9333</v>
      </c>
      <c r="H657" t="s">
        <v>9332</v>
      </c>
      <c r="I657" s="28">
        <v>46337</v>
      </c>
      <c r="J657" t="s">
        <v>9118</v>
      </c>
      <c r="K657" t="s">
        <v>32</v>
      </c>
    </row>
    <row r="658" spans="1:11">
      <c r="A658" s="3">
        <v>2521741</v>
      </c>
      <c r="B658" t="s">
        <v>8362</v>
      </c>
      <c r="C658" t="s">
        <v>7</v>
      </c>
      <c r="D658" t="s">
        <v>9108</v>
      </c>
      <c r="E658" s="28">
        <v>46212</v>
      </c>
      <c r="F658" t="s">
        <v>9109</v>
      </c>
      <c r="G658" s="3" t="s">
        <v>9328</v>
      </c>
      <c r="H658" t="s">
        <v>9329</v>
      </c>
      <c r="I658" s="28">
        <v>46329</v>
      </c>
      <c r="J658" t="s">
        <v>9118</v>
      </c>
      <c r="K658" t="s">
        <v>32</v>
      </c>
    </row>
    <row r="659" spans="1:11">
      <c r="A659" s="3">
        <v>2521742</v>
      </c>
      <c r="B659" t="s">
        <v>9339</v>
      </c>
      <c r="C659" t="s">
        <v>7</v>
      </c>
      <c r="D659" t="s">
        <v>9108</v>
      </c>
      <c r="E659" s="28">
        <v>46212</v>
      </c>
      <c r="F659" t="s">
        <v>9109</v>
      </c>
      <c r="G659" s="3" t="s">
        <v>9328</v>
      </c>
      <c r="H659" t="s">
        <v>9329</v>
      </c>
      <c r="I659" s="28">
        <v>46329</v>
      </c>
      <c r="J659" t="s">
        <v>9118</v>
      </c>
      <c r="K659" t="s">
        <v>32</v>
      </c>
    </row>
    <row r="660" spans="1:11">
      <c r="A660" s="3">
        <v>2521743</v>
      </c>
      <c r="B660" t="s">
        <v>8369</v>
      </c>
      <c r="C660" t="s">
        <v>8</v>
      </c>
      <c r="D660" t="s">
        <v>9108</v>
      </c>
      <c r="E660" s="28">
        <v>46212</v>
      </c>
      <c r="F660" t="s">
        <v>9109</v>
      </c>
      <c r="G660" s="3" t="s">
        <v>9328</v>
      </c>
      <c r="H660" t="s">
        <v>9329</v>
      </c>
      <c r="I660" s="28">
        <v>46329</v>
      </c>
      <c r="J660" t="s">
        <v>9118</v>
      </c>
      <c r="K660" t="s">
        <v>32</v>
      </c>
    </row>
    <row r="661" spans="1:11">
      <c r="A661" s="3">
        <v>2521744</v>
      </c>
      <c r="B661" t="s">
        <v>6128</v>
      </c>
      <c r="C661" t="s">
        <v>7</v>
      </c>
      <c r="D661" t="s">
        <v>9108</v>
      </c>
      <c r="E661" s="28">
        <v>46212</v>
      </c>
      <c r="F661" t="s">
        <v>9109</v>
      </c>
      <c r="G661" s="3" t="s">
        <v>9328</v>
      </c>
      <c r="H661" t="s">
        <v>9329</v>
      </c>
      <c r="I661" s="28">
        <v>46329</v>
      </c>
      <c r="J661" t="s">
        <v>9118</v>
      </c>
      <c r="K661" t="s">
        <v>32</v>
      </c>
    </row>
    <row r="662" spans="1:11">
      <c r="A662" s="3">
        <v>2521745</v>
      </c>
      <c r="B662" t="s">
        <v>3260</v>
      </c>
      <c r="C662" t="s">
        <v>7</v>
      </c>
      <c r="D662" t="s">
        <v>9108</v>
      </c>
      <c r="E662" s="28">
        <v>46212</v>
      </c>
      <c r="F662" t="s">
        <v>9109</v>
      </c>
      <c r="G662" s="3" t="s">
        <v>9328</v>
      </c>
      <c r="H662" t="s">
        <v>9329</v>
      </c>
      <c r="I662" s="28">
        <v>46329</v>
      </c>
      <c r="J662" t="s">
        <v>9118</v>
      </c>
      <c r="K662" t="s">
        <v>32</v>
      </c>
    </row>
    <row r="663" spans="1:11">
      <c r="A663" s="3">
        <v>2521746</v>
      </c>
      <c r="B663" t="s">
        <v>8365</v>
      </c>
      <c r="C663" t="s">
        <v>8</v>
      </c>
      <c r="D663" t="s">
        <v>9108</v>
      </c>
      <c r="E663" s="28">
        <v>46212</v>
      </c>
      <c r="F663" t="s">
        <v>9109</v>
      </c>
      <c r="G663" s="3" t="s">
        <v>9328</v>
      </c>
      <c r="H663" t="s">
        <v>9329</v>
      </c>
      <c r="I663" s="28">
        <v>46329</v>
      </c>
      <c r="J663" t="s">
        <v>9118</v>
      </c>
      <c r="K663" t="s">
        <v>32</v>
      </c>
    </row>
    <row r="664" spans="1:11">
      <c r="A664" s="3">
        <v>2521747</v>
      </c>
      <c r="B664" t="s">
        <v>3205</v>
      </c>
      <c r="C664" t="s">
        <v>7</v>
      </c>
      <c r="D664" t="s">
        <v>9108</v>
      </c>
      <c r="E664" s="28">
        <v>46212</v>
      </c>
      <c r="F664" t="s">
        <v>9109</v>
      </c>
      <c r="G664" s="3" t="s">
        <v>9328</v>
      </c>
      <c r="H664" t="s">
        <v>9329</v>
      </c>
      <c r="I664" s="28">
        <v>46329</v>
      </c>
      <c r="J664" t="s">
        <v>9118</v>
      </c>
      <c r="K664" t="s">
        <v>32</v>
      </c>
    </row>
    <row r="665" spans="1:11">
      <c r="A665" s="3">
        <v>2521748</v>
      </c>
      <c r="B665" t="s">
        <v>5471</v>
      </c>
      <c r="C665" t="s">
        <v>8</v>
      </c>
      <c r="D665" t="s">
        <v>9108</v>
      </c>
      <c r="E665" s="28">
        <v>46212</v>
      </c>
      <c r="F665" t="s">
        <v>9109</v>
      </c>
      <c r="G665" s="3" t="s">
        <v>9334</v>
      </c>
      <c r="H665" t="s">
        <v>9332</v>
      </c>
      <c r="I665" s="28">
        <v>46325</v>
      </c>
      <c r="J665" t="s">
        <v>9118</v>
      </c>
      <c r="K665" t="s">
        <v>31</v>
      </c>
    </row>
    <row r="666" spans="1:11">
      <c r="A666" s="3">
        <v>2521749</v>
      </c>
      <c r="B666" t="s">
        <v>3108</v>
      </c>
      <c r="C666" t="s">
        <v>7</v>
      </c>
      <c r="D666" t="s">
        <v>9108</v>
      </c>
      <c r="E666" s="28">
        <v>46212</v>
      </c>
      <c r="F666" t="s">
        <v>9109</v>
      </c>
      <c r="G666" s="3" t="s">
        <v>9333</v>
      </c>
      <c r="H666" t="s">
        <v>9332</v>
      </c>
      <c r="I666" s="28">
        <v>46337</v>
      </c>
      <c r="J666" t="s">
        <v>9118</v>
      </c>
      <c r="K666" t="s">
        <v>32</v>
      </c>
    </row>
    <row r="667" spans="1:11">
      <c r="A667" s="3">
        <v>2521750</v>
      </c>
      <c r="B667" t="s">
        <v>8235</v>
      </c>
      <c r="C667" t="s">
        <v>8</v>
      </c>
      <c r="D667" t="s">
        <v>9108</v>
      </c>
      <c r="E667" s="28">
        <v>46212</v>
      </c>
      <c r="F667" t="s">
        <v>9109</v>
      </c>
      <c r="G667" s="3" t="s">
        <v>9333</v>
      </c>
      <c r="H667" t="s">
        <v>9332</v>
      </c>
      <c r="I667" s="28">
        <v>46337</v>
      </c>
      <c r="J667" t="s">
        <v>9118</v>
      </c>
      <c r="K667" t="s">
        <v>32</v>
      </c>
    </row>
    <row r="668" spans="1:11">
      <c r="A668" s="3">
        <v>2521751</v>
      </c>
      <c r="B668" t="s">
        <v>9340</v>
      </c>
      <c r="C668" t="s">
        <v>7</v>
      </c>
      <c r="D668" t="s">
        <v>9108</v>
      </c>
      <c r="E668" s="28">
        <v>46212</v>
      </c>
      <c r="F668" t="s">
        <v>9109</v>
      </c>
      <c r="G668" s="3" t="s">
        <v>9334</v>
      </c>
      <c r="H668" t="s">
        <v>9332</v>
      </c>
      <c r="I668" s="28">
        <v>46325</v>
      </c>
      <c r="J668" t="s">
        <v>9118</v>
      </c>
      <c r="K668" t="s">
        <v>31</v>
      </c>
    </row>
    <row r="669" spans="1:11">
      <c r="A669" s="3">
        <v>2521752</v>
      </c>
      <c r="B669" t="s">
        <v>5185</v>
      </c>
      <c r="C669" t="s">
        <v>7</v>
      </c>
      <c r="D669" t="s">
        <v>9108</v>
      </c>
      <c r="E669" s="28">
        <v>46212</v>
      </c>
      <c r="F669" t="s">
        <v>9109</v>
      </c>
      <c r="G669" s="3" t="s">
        <v>9328</v>
      </c>
      <c r="H669" t="s">
        <v>9329</v>
      </c>
      <c r="I669" s="28">
        <v>46329</v>
      </c>
      <c r="J669" t="s">
        <v>9118</v>
      </c>
      <c r="K669" t="s">
        <v>32</v>
      </c>
    </row>
    <row r="670" spans="1:11">
      <c r="A670" s="3">
        <v>2521753</v>
      </c>
      <c r="B670" t="s">
        <v>2859</v>
      </c>
      <c r="C670" t="s">
        <v>8</v>
      </c>
      <c r="D670" t="s">
        <v>9108</v>
      </c>
      <c r="E670" s="28">
        <v>46212</v>
      </c>
      <c r="F670" t="s">
        <v>9109</v>
      </c>
      <c r="G670" s="3" t="s">
        <v>9328</v>
      </c>
      <c r="H670" t="s">
        <v>9329</v>
      </c>
      <c r="I670" s="28">
        <v>46329</v>
      </c>
      <c r="J670" t="s">
        <v>9118</v>
      </c>
      <c r="K670" t="s">
        <v>32</v>
      </c>
    </row>
    <row r="671" spans="1:11">
      <c r="A671" s="3">
        <v>2521754</v>
      </c>
      <c r="B671" t="s">
        <v>7629</v>
      </c>
      <c r="C671" t="s">
        <v>7</v>
      </c>
      <c r="D671" t="s">
        <v>9108</v>
      </c>
      <c r="E671" s="28">
        <v>46212</v>
      </c>
      <c r="F671" t="s">
        <v>9109</v>
      </c>
      <c r="G671" s="3" t="s">
        <v>9331</v>
      </c>
      <c r="H671" t="s">
        <v>9332</v>
      </c>
      <c r="I671" s="28">
        <v>46337</v>
      </c>
      <c r="J671" t="s">
        <v>9118</v>
      </c>
      <c r="K671" t="s">
        <v>32</v>
      </c>
    </row>
    <row r="672" spans="1:11">
      <c r="A672" s="3">
        <v>2521755</v>
      </c>
      <c r="B672" t="s">
        <v>772</v>
      </c>
      <c r="C672" t="s">
        <v>7</v>
      </c>
      <c r="D672" t="s">
        <v>9108</v>
      </c>
      <c r="E672" s="28">
        <v>46212</v>
      </c>
      <c r="F672" t="s">
        <v>9109</v>
      </c>
      <c r="G672" s="3" t="s">
        <v>9328</v>
      </c>
      <c r="H672" t="s">
        <v>9329</v>
      </c>
      <c r="I672" s="28">
        <v>46329</v>
      </c>
      <c r="J672" t="s">
        <v>9118</v>
      </c>
      <c r="K672" t="s">
        <v>32</v>
      </c>
    </row>
    <row r="673" spans="1:11">
      <c r="A673" s="3">
        <v>2521756</v>
      </c>
      <c r="B673" t="s">
        <v>2456</v>
      </c>
      <c r="C673" t="s">
        <v>7</v>
      </c>
      <c r="D673" t="s">
        <v>9108</v>
      </c>
      <c r="E673" s="28">
        <v>46212</v>
      </c>
      <c r="F673" t="s">
        <v>9109</v>
      </c>
      <c r="G673" s="3" t="s">
        <v>9328</v>
      </c>
      <c r="H673" t="s">
        <v>9329</v>
      </c>
      <c r="I673" s="28">
        <v>46329</v>
      </c>
      <c r="J673" t="s">
        <v>9118</v>
      </c>
      <c r="K673" t="s">
        <v>32</v>
      </c>
    </row>
    <row r="674" spans="1:11">
      <c r="A674" s="3">
        <v>2521757</v>
      </c>
      <c r="B674" t="s">
        <v>6938</v>
      </c>
      <c r="C674" t="s">
        <v>7</v>
      </c>
      <c r="D674" t="s">
        <v>9108</v>
      </c>
      <c r="E674" s="28">
        <v>46212</v>
      </c>
      <c r="F674" t="s">
        <v>9109</v>
      </c>
      <c r="G674" s="3" t="s">
        <v>9334</v>
      </c>
      <c r="H674" t="s">
        <v>9332</v>
      </c>
      <c r="I674" s="28">
        <v>46325</v>
      </c>
      <c r="J674" t="s">
        <v>9118</v>
      </c>
      <c r="K674" t="s">
        <v>31</v>
      </c>
    </row>
    <row r="675" spans="1:11">
      <c r="A675" s="3">
        <v>2521758</v>
      </c>
      <c r="B675" t="s">
        <v>1214</v>
      </c>
      <c r="C675" t="s">
        <v>8</v>
      </c>
      <c r="D675" t="s">
        <v>9108</v>
      </c>
      <c r="E675" s="28">
        <v>46212</v>
      </c>
      <c r="F675" t="s">
        <v>9109</v>
      </c>
      <c r="G675" s="3" t="s">
        <v>9328</v>
      </c>
      <c r="H675" t="s">
        <v>9329</v>
      </c>
      <c r="I675" s="28">
        <v>46329</v>
      </c>
      <c r="J675" t="s">
        <v>9118</v>
      </c>
      <c r="K675" t="s">
        <v>32</v>
      </c>
    </row>
    <row r="676" spans="1:11">
      <c r="A676" s="3">
        <v>2521759</v>
      </c>
      <c r="B676" t="s">
        <v>7279</v>
      </c>
      <c r="C676" t="s">
        <v>8</v>
      </c>
      <c r="D676" t="s">
        <v>9108</v>
      </c>
      <c r="E676" s="28">
        <v>46212</v>
      </c>
      <c r="F676" t="s">
        <v>9109</v>
      </c>
      <c r="G676" s="3" t="s">
        <v>9328</v>
      </c>
      <c r="H676" t="s">
        <v>9329</v>
      </c>
      <c r="I676" s="28">
        <v>46329</v>
      </c>
      <c r="J676" t="s">
        <v>9118</v>
      </c>
      <c r="K676" t="s">
        <v>32</v>
      </c>
    </row>
    <row r="677" spans="1:11">
      <c r="A677" s="3">
        <v>2521760</v>
      </c>
      <c r="B677" t="s">
        <v>8765</v>
      </c>
      <c r="C677" t="s">
        <v>7</v>
      </c>
      <c r="D677" t="s">
        <v>9108</v>
      </c>
      <c r="E677" s="28">
        <v>46212</v>
      </c>
      <c r="F677" t="s">
        <v>9109</v>
      </c>
      <c r="G677" s="3" t="s">
        <v>9334</v>
      </c>
      <c r="H677" t="s">
        <v>9332</v>
      </c>
      <c r="I677" s="28">
        <v>46325</v>
      </c>
      <c r="J677" t="s">
        <v>9118</v>
      </c>
      <c r="K677" t="s">
        <v>31</v>
      </c>
    </row>
    <row r="678" spans="1:11">
      <c r="A678" s="3">
        <v>2521761</v>
      </c>
      <c r="B678" t="s">
        <v>6772</v>
      </c>
      <c r="C678" t="s">
        <v>7</v>
      </c>
      <c r="D678" t="s">
        <v>9108</v>
      </c>
      <c r="E678" s="28">
        <v>46212</v>
      </c>
      <c r="F678" t="s">
        <v>9109</v>
      </c>
      <c r="G678" s="3" t="s">
        <v>9328</v>
      </c>
      <c r="H678" t="s">
        <v>9329</v>
      </c>
      <c r="I678" s="28">
        <v>46329</v>
      </c>
      <c r="J678" t="s">
        <v>9118</v>
      </c>
      <c r="K678" t="s">
        <v>32</v>
      </c>
    </row>
    <row r="679" spans="1:11">
      <c r="A679" s="3">
        <v>2521762</v>
      </c>
      <c r="B679" t="s">
        <v>2501</v>
      </c>
      <c r="C679" t="s">
        <v>7</v>
      </c>
      <c r="D679" t="s">
        <v>9108</v>
      </c>
      <c r="E679" s="28">
        <v>46212</v>
      </c>
      <c r="F679" t="s">
        <v>9109</v>
      </c>
      <c r="G679" s="3" t="s">
        <v>9328</v>
      </c>
      <c r="H679" t="s">
        <v>9329</v>
      </c>
      <c r="I679" s="28">
        <v>46329</v>
      </c>
      <c r="J679" t="s">
        <v>9118</v>
      </c>
      <c r="K679" t="s">
        <v>32</v>
      </c>
    </row>
    <row r="680" spans="1:11">
      <c r="A680" s="3">
        <v>2521763</v>
      </c>
      <c r="B680" t="s">
        <v>7620</v>
      </c>
      <c r="C680" t="s">
        <v>7</v>
      </c>
      <c r="D680" t="s">
        <v>9108</v>
      </c>
      <c r="E680" s="28">
        <v>46212</v>
      </c>
      <c r="F680" t="s">
        <v>9109</v>
      </c>
      <c r="G680" s="3" t="s">
        <v>9328</v>
      </c>
      <c r="H680" t="s">
        <v>9329</v>
      </c>
      <c r="I680" s="28">
        <v>46329</v>
      </c>
      <c r="J680" t="s">
        <v>9118</v>
      </c>
      <c r="K680" t="s">
        <v>32</v>
      </c>
    </row>
    <row r="681" spans="1:11">
      <c r="A681" s="3">
        <v>2521764</v>
      </c>
      <c r="B681" t="s">
        <v>5466</v>
      </c>
      <c r="C681" t="s">
        <v>8</v>
      </c>
      <c r="D681" t="s">
        <v>9108</v>
      </c>
      <c r="E681" s="28">
        <v>46212</v>
      </c>
      <c r="F681" t="s">
        <v>9109</v>
      </c>
      <c r="G681" s="3" t="s">
        <v>9333</v>
      </c>
      <c r="H681" t="s">
        <v>9332</v>
      </c>
      <c r="I681" s="28">
        <v>46337</v>
      </c>
      <c r="J681" t="s">
        <v>9118</v>
      </c>
      <c r="K681" t="s">
        <v>32</v>
      </c>
    </row>
    <row r="682" spans="1:11">
      <c r="A682" s="3">
        <v>2521765</v>
      </c>
      <c r="B682" t="s">
        <v>626</v>
      </c>
      <c r="C682" t="s">
        <v>8</v>
      </c>
      <c r="D682" t="s">
        <v>9108</v>
      </c>
      <c r="E682" s="28">
        <v>46212</v>
      </c>
      <c r="F682" t="s">
        <v>9109</v>
      </c>
      <c r="G682" s="3" t="s">
        <v>9328</v>
      </c>
      <c r="H682" t="s">
        <v>9329</v>
      </c>
      <c r="I682" s="28">
        <v>46329</v>
      </c>
      <c r="J682" t="s">
        <v>9118</v>
      </c>
      <c r="K682" t="s">
        <v>32</v>
      </c>
    </row>
    <row r="683" spans="1:11">
      <c r="A683" s="3">
        <v>2521766</v>
      </c>
      <c r="B683" t="s">
        <v>1567</v>
      </c>
      <c r="C683" t="s">
        <v>7</v>
      </c>
      <c r="D683" t="s">
        <v>9108</v>
      </c>
      <c r="E683" s="28">
        <v>46212</v>
      </c>
      <c r="F683" t="s">
        <v>9109</v>
      </c>
      <c r="G683" s="3" t="s">
        <v>9328</v>
      </c>
      <c r="H683" t="s">
        <v>9329</v>
      </c>
      <c r="I683" s="28">
        <v>46329</v>
      </c>
      <c r="J683" t="s">
        <v>9118</v>
      </c>
      <c r="K683" t="s">
        <v>32</v>
      </c>
    </row>
    <row r="684" spans="1:11">
      <c r="A684" s="3">
        <v>2521767</v>
      </c>
      <c r="B684" t="s">
        <v>3565</v>
      </c>
      <c r="C684" t="s">
        <v>7</v>
      </c>
      <c r="D684" t="s">
        <v>9108</v>
      </c>
      <c r="E684" s="28">
        <v>46212</v>
      </c>
      <c r="F684" t="s">
        <v>9109</v>
      </c>
      <c r="G684" s="3" t="s">
        <v>9333</v>
      </c>
      <c r="H684" t="s">
        <v>9332</v>
      </c>
      <c r="I684" s="28">
        <v>46337</v>
      </c>
      <c r="J684" t="s">
        <v>9118</v>
      </c>
      <c r="K684" t="s">
        <v>32</v>
      </c>
    </row>
    <row r="685" spans="1:11">
      <c r="A685" s="3">
        <v>2521768</v>
      </c>
      <c r="B685" t="s">
        <v>3323</v>
      </c>
      <c r="C685" t="s">
        <v>7</v>
      </c>
      <c r="D685" t="s">
        <v>9108</v>
      </c>
      <c r="E685" s="28">
        <v>46212</v>
      </c>
      <c r="F685" t="s">
        <v>9109</v>
      </c>
      <c r="G685" s="3" t="s">
        <v>9328</v>
      </c>
      <c r="H685" t="s">
        <v>9329</v>
      </c>
      <c r="I685" s="28">
        <v>46329</v>
      </c>
      <c r="J685" t="s">
        <v>9118</v>
      </c>
      <c r="K685" t="s">
        <v>32</v>
      </c>
    </row>
    <row r="686" spans="1:11">
      <c r="A686" s="3">
        <v>2521769</v>
      </c>
      <c r="B686" t="s">
        <v>4469</v>
      </c>
      <c r="C686" t="s">
        <v>8</v>
      </c>
      <c r="D686" t="s">
        <v>9108</v>
      </c>
      <c r="E686" s="28">
        <v>46212</v>
      </c>
      <c r="F686" t="s">
        <v>9109</v>
      </c>
      <c r="G686" s="3" t="s">
        <v>9333</v>
      </c>
      <c r="H686" t="s">
        <v>9332</v>
      </c>
      <c r="I686" s="28">
        <v>46337</v>
      </c>
      <c r="J686" t="s">
        <v>9118</v>
      </c>
      <c r="K686" t="s">
        <v>32</v>
      </c>
    </row>
    <row r="687" spans="1:11">
      <c r="A687" s="3">
        <v>2521784</v>
      </c>
      <c r="B687" t="s">
        <v>8023</v>
      </c>
      <c r="C687" t="s">
        <v>8</v>
      </c>
      <c r="D687" t="s">
        <v>9108</v>
      </c>
      <c r="E687" s="28">
        <v>46212</v>
      </c>
      <c r="F687" t="s">
        <v>9109</v>
      </c>
      <c r="G687" s="3" t="s">
        <v>9129</v>
      </c>
      <c r="H687" t="s">
        <v>962</v>
      </c>
      <c r="I687" s="28">
        <v>46314</v>
      </c>
      <c r="J687" t="s">
        <v>9118</v>
      </c>
      <c r="K687" t="s">
        <v>31</v>
      </c>
    </row>
    <row r="688" spans="1:11">
      <c r="A688" s="3">
        <v>2521785</v>
      </c>
      <c r="B688" t="s">
        <v>7751</v>
      </c>
      <c r="C688" t="s">
        <v>7</v>
      </c>
      <c r="D688" t="s">
        <v>9108</v>
      </c>
      <c r="E688" s="28">
        <v>46212</v>
      </c>
      <c r="F688" t="s">
        <v>9109</v>
      </c>
      <c r="G688" s="3" t="s">
        <v>9129</v>
      </c>
      <c r="H688" t="s">
        <v>962</v>
      </c>
      <c r="I688" s="28">
        <v>46314</v>
      </c>
      <c r="J688" t="s">
        <v>9118</v>
      </c>
      <c r="K688" t="s">
        <v>31</v>
      </c>
    </row>
    <row r="689" spans="1:11">
      <c r="A689" s="3">
        <v>2521787</v>
      </c>
      <c r="B689" t="s">
        <v>1266</v>
      </c>
      <c r="C689" t="s">
        <v>8</v>
      </c>
      <c r="D689" t="s">
        <v>9108</v>
      </c>
      <c r="E689" s="28">
        <v>46212</v>
      </c>
      <c r="F689" t="s">
        <v>9109</v>
      </c>
      <c r="G689" s="3" t="s">
        <v>9129</v>
      </c>
      <c r="H689" t="s">
        <v>962</v>
      </c>
      <c r="I689" s="28">
        <v>46314</v>
      </c>
      <c r="J689" t="s">
        <v>9118</v>
      </c>
      <c r="K689" t="s">
        <v>31</v>
      </c>
    </row>
    <row r="690" spans="1:11">
      <c r="A690" s="3">
        <v>2521789</v>
      </c>
      <c r="B690" t="s">
        <v>4679</v>
      </c>
      <c r="C690" t="s">
        <v>8</v>
      </c>
      <c r="D690" t="s">
        <v>9108</v>
      </c>
      <c r="E690" s="28">
        <v>46212</v>
      </c>
      <c r="F690" t="s">
        <v>9109</v>
      </c>
      <c r="G690" s="3" t="s">
        <v>9292</v>
      </c>
      <c r="H690" t="s">
        <v>1083</v>
      </c>
      <c r="I690" s="28">
        <v>46304</v>
      </c>
      <c r="J690" t="s">
        <v>9118</v>
      </c>
      <c r="K690" t="s">
        <v>31</v>
      </c>
    </row>
    <row r="691" spans="1:11">
      <c r="A691" s="3">
        <v>2521790</v>
      </c>
      <c r="B691" t="s">
        <v>8036</v>
      </c>
      <c r="C691" t="s">
        <v>8</v>
      </c>
      <c r="D691" t="s">
        <v>9108</v>
      </c>
      <c r="E691" s="28">
        <v>46212</v>
      </c>
      <c r="F691" t="s">
        <v>9109</v>
      </c>
      <c r="G691" s="3" t="s">
        <v>9290</v>
      </c>
      <c r="H691" t="s">
        <v>279</v>
      </c>
      <c r="I691" s="28">
        <v>46318</v>
      </c>
      <c r="J691" t="s">
        <v>9118</v>
      </c>
      <c r="K691" t="s">
        <v>31</v>
      </c>
    </row>
    <row r="692" spans="1:11">
      <c r="A692" s="3">
        <v>2521791</v>
      </c>
      <c r="B692" t="s">
        <v>1980</v>
      </c>
      <c r="C692" t="s">
        <v>8</v>
      </c>
      <c r="D692" t="s">
        <v>9108</v>
      </c>
      <c r="E692" s="28">
        <v>46212</v>
      </c>
      <c r="F692" t="s">
        <v>9109</v>
      </c>
      <c r="G692" s="3" t="s">
        <v>9292</v>
      </c>
      <c r="H692" t="s">
        <v>1083</v>
      </c>
      <c r="I692" s="28">
        <v>46304</v>
      </c>
      <c r="J692" t="s">
        <v>9118</v>
      </c>
      <c r="K692" t="s">
        <v>31</v>
      </c>
    </row>
    <row r="693" spans="1:11">
      <c r="A693" s="3">
        <v>2521793</v>
      </c>
      <c r="B693" t="s">
        <v>6120</v>
      </c>
      <c r="C693" t="s">
        <v>7</v>
      </c>
      <c r="D693" t="s">
        <v>9108</v>
      </c>
      <c r="E693" s="28">
        <v>46212</v>
      </c>
      <c r="F693" t="s">
        <v>9109</v>
      </c>
      <c r="G693" s="3" t="s">
        <v>9297</v>
      </c>
      <c r="H693" t="s">
        <v>9122</v>
      </c>
      <c r="I693" s="28">
        <v>46328</v>
      </c>
      <c r="J693" t="s">
        <v>9118</v>
      </c>
      <c r="K693" t="s">
        <v>32</v>
      </c>
    </row>
    <row r="694" spans="1:11">
      <c r="A694" s="3">
        <v>2521797</v>
      </c>
      <c r="B694" t="s">
        <v>977</v>
      </c>
      <c r="C694" t="s">
        <v>8</v>
      </c>
      <c r="D694" t="s">
        <v>9108</v>
      </c>
      <c r="E694" s="28">
        <v>46212</v>
      </c>
      <c r="F694" t="s">
        <v>9109</v>
      </c>
      <c r="G694" s="3" t="s">
        <v>9129</v>
      </c>
      <c r="H694" t="s">
        <v>962</v>
      </c>
      <c r="I694" s="28">
        <v>46314</v>
      </c>
      <c r="J694" t="s">
        <v>9118</v>
      </c>
      <c r="K694" t="s">
        <v>31</v>
      </c>
    </row>
    <row r="695" spans="1:11">
      <c r="A695" s="3">
        <v>2521800</v>
      </c>
      <c r="B695" t="s">
        <v>4018</v>
      </c>
      <c r="C695" t="s">
        <v>8</v>
      </c>
      <c r="D695" t="s">
        <v>9108</v>
      </c>
      <c r="E695" s="28">
        <v>46212</v>
      </c>
      <c r="F695" t="s">
        <v>9109</v>
      </c>
      <c r="G695" s="3" t="s">
        <v>9129</v>
      </c>
      <c r="H695" t="s">
        <v>962</v>
      </c>
      <c r="I695" s="28">
        <v>46314</v>
      </c>
      <c r="J695" t="s">
        <v>9118</v>
      </c>
      <c r="K695" t="s">
        <v>31</v>
      </c>
    </row>
    <row r="696" spans="1:11">
      <c r="A696" s="3">
        <v>2521802</v>
      </c>
      <c r="B696" t="s">
        <v>1402</v>
      </c>
      <c r="C696" t="s">
        <v>8</v>
      </c>
      <c r="D696" t="s">
        <v>9108</v>
      </c>
      <c r="E696" s="28">
        <v>46212</v>
      </c>
      <c r="F696" t="s">
        <v>9109</v>
      </c>
      <c r="G696" s="3" t="s">
        <v>9129</v>
      </c>
      <c r="H696" t="s">
        <v>962</v>
      </c>
      <c r="I696" s="28">
        <v>46314</v>
      </c>
      <c r="J696" t="s">
        <v>9118</v>
      </c>
      <c r="K696" t="s">
        <v>31</v>
      </c>
    </row>
    <row r="697" spans="1:11">
      <c r="A697" s="3">
        <v>2521803</v>
      </c>
      <c r="B697" t="s">
        <v>9341</v>
      </c>
      <c r="C697" t="s">
        <v>8</v>
      </c>
      <c r="D697" t="s">
        <v>9108</v>
      </c>
      <c r="E697" s="28">
        <v>46212</v>
      </c>
      <c r="F697" t="s">
        <v>9109</v>
      </c>
      <c r="G697" s="3" t="s">
        <v>9288</v>
      </c>
      <c r="H697" t="s">
        <v>2772</v>
      </c>
      <c r="I697" s="28">
        <v>46328</v>
      </c>
      <c r="J697" t="s">
        <v>9118</v>
      </c>
      <c r="K697" t="s">
        <v>32</v>
      </c>
    </row>
    <row r="698" spans="1:11">
      <c r="A698" s="3">
        <v>2521804</v>
      </c>
      <c r="B698" t="s">
        <v>6830</v>
      </c>
      <c r="C698" t="s">
        <v>8</v>
      </c>
      <c r="D698" t="s">
        <v>9108</v>
      </c>
      <c r="E698" s="28">
        <v>46212</v>
      </c>
      <c r="F698" t="s">
        <v>9109</v>
      </c>
      <c r="G698" s="3" t="s">
        <v>9290</v>
      </c>
      <c r="H698" t="s">
        <v>279</v>
      </c>
      <c r="I698" s="28">
        <v>46318</v>
      </c>
      <c r="J698" t="s">
        <v>9118</v>
      </c>
      <c r="K698" t="s">
        <v>31</v>
      </c>
    </row>
    <row r="699" spans="1:11">
      <c r="A699" s="3">
        <v>2521806</v>
      </c>
      <c r="B699" t="s">
        <v>9342</v>
      </c>
      <c r="C699" t="s">
        <v>8</v>
      </c>
      <c r="D699" t="s">
        <v>9108</v>
      </c>
      <c r="E699" s="28">
        <v>46212</v>
      </c>
      <c r="F699" t="s">
        <v>9109</v>
      </c>
      <c r="G699" s="3" t="s">
        <v>9290</v>
      </c>
      <c r="H699" t="s">
        <v>279</v>
      </c>
      <c r="I699" s="28">
        <v>46318</v>
      </c>
      <c r="J699" t="s">
        <v>9118</v>
      </c>
      <c r="K699" t="s">
        <v>31</v>
      </c>
    </row>
    <row r="700" spans="1:11">
      <c r="A700" s="3">
        <v>2521807</v>
      </c>
      <c r="B700" t="s">
        <v>9343</v>
      </c>
      <c r="C700" t="s">
        <v>8</v>
      </c>
      <c r="D700" t="s">
        <v>9108</v>
      </c>
      <c r="E700" s="28">
        <v>46212</v>
      </c>
      <c r="F700" t="s">
        <v>9109</v>
      </c>
      <c r="G700" s="3" t="s">
        <v>9288</v>
      </c>
      <c r="H700" t="s">
        <v>2772</v>
      </c>
      <c r="I700" s="28">
        <v>46328</v>
      </c>
      <c r="J700" t="s">
        <v>9118</v>
      </c>
      <c r="K700" t="s">
        <v>32</v>
      </c>
    </row>
    <row r="701" spans="1:11">
      <c r="A701" s="3">
        <v>2521810</v>
      </c>
      <c r="B701" t="s">
        <v>9344</v>
      </c>
      <c r="C701" t="s">
        <v>8</v>
      </c>
      <c r="D701" t="s">
        <v>9108</v>
      </c>
      <c r="E701" s="28">
        <v>46212</v>
      </c>
      <c r="F701" t="s">
        <v>9109</v>
      </c>
      <c r="G701" s="3" t="s">
        <v>9297</v>
      </c>
      <c r="H701" t="s">
        <v>9122</v>
      </c>
      <c r="I701" s="28">
        <v>46328</v>
      </c>
      <c r="J701" t="s">
        <v>9118</v>
      </c>
      <c r="K701" t="s">
        <v>32</v>
      </c>
    </row>
    <row r="702" spans="1:11">
      <c r="A702" s="3">
        <v>2521811</v>
      </c>
      <c r="B702" t="s">
        <v>1147</v>
      </c>
      <c r="C702" t="s">
        <v>8</v>
      </c>
      <c r="D702" t="s">
        <v>9108</v>
      </c>
      <c r="E702" s="28">
        <v>46212</v>
      </c>
      <c r="F702" t="s">
        <v>9109</v>
      </c>
      <c r="G702" s="3" t="s">
        <v>9297</v>
      </c>
      <c r="H702" t="s">
        <v>9122</v>
      </c>
      <c r="I702" s="28">
        <v>46328</v>
      </c>
      <c r="J702" t="s">
        <v>9118</v>
      </c>
      <c r="K702" t="s">
        <v>32</v>
      </c>
    </row>
    <row r="703" spans="1:11">
      <c r="A703" s="3">
        <v>2521813</v>
      </c>
      <c r="B703" t="s">
        <v>9345</v>
      </c>
      <c r="C703" t="s">
        <v>7</v>
      </c>
      <c r="D703" t="s">
        <v>9108</v>
      </c>
      <c r="E703" s="28">
        <v>46212</v>
      </c>
      <c r="F703" t="s">
        <v>9109</v>
      </c>
      <c r="G703" s="3" t="s">
        <v>9297</v>
      </c>
      <c r="H703" t="s">
        <v>9122</v>
      </c>
      <c r="I703" s="28">
        <v>46328</v>
      </c>
      <c r="J703" t="s">
        <v>9118</v>
      </c>
      <c r="K703" t="s">
        <v>32</v>
      </c>
    </row>
    <row r="704" spans="1:11">
      <c r="A704" s="3">
        <v>2521815</v>
      </c>
      <c r="B704" t="s">
        <v>7994</v>
      </c>
      <c r="C704" t="s">
        <v>8</v>
      </c>
      <c r="D704" t="s">
        <v>9108</v>
      </c>
      <c r="E704" s="28">
        <v>46212</v>
      </c>
      <c r="F704" t="s">
        <v>9109</v>
      </c>
      <c r="G704" s="3" t="s">
        <v>9129</v>
      </c>
      <c r="H704" t="s">
        <v>962</v>
      </c>
      <c r="I704" s="28">
        <v>46314</v>
      </c>
      <c r="J704" t="s">
        <v>9118</v>
      </c>
      <c r="K704" t="s">
        <v>31</v>
      </c>
    </row>
    <row r="705" spans="1:11">
      <c r="A705" s="3">
        <v>2521821</v>
      </c>
      <c r="B705" t="s">
        <v>9346</v>
      </c>
      <c r="C705" t="s">
        <v>8</v>
      </c>
      <c r="D705" t="s">
        <v>9108</v>
      </c>
      <c r="E705" s="28">
        <v>46212</v>
      </c>
      <c r="F705" t="s">
        <v>9109</v>
      </c>
      <c r="G705" s="3" t="s">
        <v>9290</v>
      </c>
      <c r="H705" t="s">
        <v>279</v>
      </c>
      <c r="I705" s="28">
        <v>46318</v>
      </c>
      <c r="J705" t="s">
        <v>9118</v>
      </c>
      <c r="K705" t="s">
        <v>31</v>
      </c>
    </row>
    <row r="706" spans="1:11">
      <c r="A706" s="3">
        <v>2521823</v>
      </c>
      <c r="B706" t="s">
        <v>1687</v>
      </c>
      <c r="C706" t="s">
        <v>8</v>
      </c>
      <c r="D706" t="s">
        <v>9108</v>
      </c>
      <c r="E706" s="28">
        <v>46212</v>
      </c>
      <c r="F706" t="s">
        <v>9109</v>
      </c>
      <c r="G706" s="3" t="s">
        <v>9292</v>
      </c>
      <c r="H706" t="s">
        <v>1083</v>
      </c>
      <c r="I706" s="28">
        <v>46304</v>
      </c>
      <c r="J706" t="s">
        <v>9118</v>
      </c>
      <c r="K706" t="s">
        <v>31</v>
      </c>
    </row>
    <row r="707" spans="1:11">
      <c r="A707" s="3">
        <v>2521825</v>
      </c>
      <c r="B707" t="s">
        <v>6246</v>
      </c>
      <c r="C707" t="s">
        <v>8</v>
      </c>
      <c r="D707" t="s">
        <v>9108</v>
      </c>
      <c r="E707" s="28">
        <v>46212</v>
      </c>
      <c r="F707" t="s">
        <v>9109</v>
      </c>
      <c r="G707" s="3" t="s">
        <v>9290</v>
      </c>
      <c r="H707" t="s">
        <v>279</v>
      </c>
      <c r="I707" s="28">
        <v>46318</v>
      </c>
      <c r="J707" t="s">
        <v>9118</v>
      </c>
      <c r="K707" t="s">
        <v>31</v>
      </c>
    </row>
    <row r="708" spans="1:11">
      <c r="A708" s="3">
        <v>2521829</v>
      </c>
      <c r="B708" t="s">
        <v>7860</v>
      </c>
      <c r="C708" t="s">
        <v>8</v>
      </c>
      <c r="D708" t="s">
        <v>9108</v>
      </c>
      <c r="E708" s="28">
        <v>46212</v>
      </c>
      <c r="F708" t="s">
        <v>9109</v>
      </c>
      <c r="G708" s="3" t="s">
        <v>9292</v>
      </c>
      <c r="H708" t="s">
        <v>1083</v>
      </c>
      <c r="I708" s="28">
        <v>46304</v>
      </c>
      <c r="J708" t="s">
        <v>9118</v>
      </c>
      <c r="K708" t="s">
        <v>31</v>
      </c>
    </row>
    <row r="709" spans="1:11">
      <c r="A709" s="3">
        <v>2521831</v>
      </c>
      <c r="B709" t="s">
        <v>1055</v>
      </c>
      <c r="C709" t="s">
        <v>8</v>
      </c>
      <c r="D709" t="s">
        <v>9108</v>
      </c>
      <c r="E709" s="28">
        <v>46212</v>
      </c>
      <c r="F709" t="s">
        <v>9109</v>
      </c>
      <c r="G709" s="3" t="s">
        <v>9288</v>
      </c>
      <c r="H709" t="s">
        <v>2772</v>
      </c>
      <c r="I709" s="28">
        <v>46328</v>
      </c>
      <c r="J709" t="s">
        <v>9118</v>
      </c>
      <c r="K709" t="s">
        <v>32</v>
      </c>
    </row>
    <row r="710" spans="1:11">
      <c r="A710" s="3">
        <v>2521833</v>
      </c>
      <c r="B710" t="s">
        <v>988</v>
      </c>
      <c r="C710" t="s">
        <v>8</v>
      </c>
      <c r="D710" t="s">
        <v>9108</v>
      </c>
      <c r="E710" s="28">
        <v>46212</v>
      </c>
      <c r="F710" t="s">
        <v>9109</v>
      </c>
      <c r="G710" s="3" t="s">
        <v>9292</v>
      </c>
      <c r="H710" t="s">
        <v>1083</v>
      </c>
      <c r="I710" s="28">
        <v>46304</v>
      </c>
      <c r="J710" t="s">
        <v>9118</v>
      </c>
      <c r="K710" t="s">
        <v>31</v>
      </c>
    </row>
    <row r="711" spans="1:11">
      <c r="A711" s="3">
        <v>2521834</v>
      </c>
      <c r="B711" t="s">
        <v>462</v>
      </c>
      <c r="C711" t="s">
        <v>8</v>
      </c>
      <c r="D711" t="s">
        <v>9108</v>
      </c>
      <c r="E711" s="28">
        <v>46212</v>
      </c>
      <c r="F711" t="s">
        <v>9109</v>
      </c>
      <c r="G711" s="3" t="s">
        <v>9328</v>
      </c>
      <c r="H711" t="s">
        <v>9329</v>
      </c>
      <c r="I711" s="28">
        <v>46329</v>
      </c>
      <c r="J711" t="s">
        <v>9118</v>
      </c>
      <c r="K711" t="s">
        <v>32</v>
      </c>
    </row>
    <row r="712" spans="1:11">
      <c r="A712" s="3">
        <v>2521835</v>
      </c>
      <c r="B712" t="s">
        <v>8833</v>
      </c>
      <c r="C712" t="s">
        <v>8</v>
      </c>
      <c r="D712" t="s">
        <v>9108</v>
      </c>
      <c r="E712" s="28">
        <v>46212</v>
      </c>
      <c r="F712" t="s">
        <v>9109</v>
      </c>
      <c r="G712" s="3" t="s">
        <v>9333</v>
      </c>
      <c r="H712" t="s">
        <v>9332</v>
      </c>
      <c r="I712" s="28">
        <v>46337</v>
      </c>
      <c r="J712" t="s">
        <v>9118</v>
      </c>
      <c r="K712" t="s">
        <v>32</v>
      </c>
    </row>
    <row r="713" spans="1:11">
      <c r="A713" s="3">
        <v>2521836</v>
      </c>
      <c r="B713" t="s">
        <v>181</v>
      </c>
      <c r="C713" t="s">
        <v>8</v>
      </c>
      <c r="D713" t="s">
        <v>9108</v>
      </c>
      <c r="E713" s="28">
        <v>46212</v>
      </c>
      <c r="F713" t="s">
        <v>9109</v>
      </c>
      <c r="G713" s="3" t="s">
        <v>9328</v>
      </c>
      <c r="H713" t="s">
        <v>9329</v>
      </c>
      <c r="I713" s="28">
        <v>46329</v>
      </c>
      <c r="J713" t="s">
        <v>9118</v>
      </c>
      <c r="K713" t="s">
        <v>32</v>
      </c>
    </row>
    <row r="714" spans="1:11">
      <c r="A714" s="3">
        <v>2521837</v>
      </c>
      <c r="B714" t="s">
        <v>8891</v>
      </c>
      <c r="C714" t="s">
        <v>8</v>
      </c>
      <c r="D714" t="s">
        <v>9108</v>
      </c>
      <c r="E714" s="28">
        <v>46212</v>
      </c>
      <c r="F714" t="s">
        <v>9109</v>
      </c>
      <c r="G714" s="3" t="s">
        <v>9333</v>
      </c>
      <c r="H714" t="s">
        <v>9332</v>
      </c>
      <c r="I714" s="28">
        <v>46337</v>
      </c>
      <c r="J714" t="s">
        <v>9118</v>
      </c>
      <c r="K714" t="s">
        <v>32</v>
      </c>
    </row>
    <row r="715" spans="1:11">
      <c r="A715" s="3">
        <v>2521838</v>
      </c>
      <c r="B715" t="s">
        <v>8286</v>
      </c>
      <c r="C715" t="s">
        <v>8</v>
      </c>
      <c r="D715" t="s">
        <v>9108</v>
      </c>
      <c r="E715" s="28">
        <v>46212</v>
      </c>
      <c r="F715" t="s">
        <v>9109</v>
      </c>
      <c r="G715" s="3" t="s">
        <v>9328</v>
      </c>
      <c r="H715" t="s">
        <v>9329</v>
      </c>
      <c r="I715" s="28">
        <v>46329</v>
      </c>
      <c r="J715" t="s">
        <v>9118</v>
      </c>
      <c r="K715" t="s">
        <v>32</v>
      </c>
    </row>
    <row r="716" spans="1:11">
      <c r="A716" s="3">
        <v>2521839</v>
      </c>
      <c r="B716" t="s">
        <v>8249</v>
      </c>
      <c r="C716" t="s">
        <v>8</v>
      </c>
      <c r="D716" t="s">
        <v>9108</v>
      </c>
      <c r="E716" s="28">
        <v>46212</v>
      </c>
      <c r="F716" t="s">
        <v>9109</v>
      </c>
      <c r="G716" s="3" t="s">
        <v>9328</v>
      </c>
      <c r="H716" t="s">
        <v>9329</v>
      </c>
      <c r="I716" s="28">
        <v>46329</v>
      </c>
      <c r="J716" t="s">
        <v>9118</v>
      </c>
      <c r="K716" t="s">
        <v>32</v>
      </c>
    </row>
    <row r="717" spans="1:11">
      <c r="A717" s="3">
        <v>2521840</v>
      </c>
      <c r="B717" t="s">
        <v>3738</v>
      </c>
      <c r="C717" t="s">
        <v>8</v>
      </c>
      <c r="D717" t="s">
        <v>9108</v>
      </c>
      <c r="E717" s="28">
        <v>46212</v>
      </c>
      <c r="F717" t="s">
        <v>9109</v>
      </c>
      <c r="G717" s="3" t="s">
        <v>9334</v>
      </c>
      <c r="H717" t="s">
        <v>9332</v>
      </c>
      <c r="I717" s="28">
        <v>46325</v>
      </c>
      <c r="J717" t="s">
        <v>9118</v>
      </c>
      <c r="K717" t="s">
        <v>31</v>
      </c>
    </row>
    <row r="718" spans="1:11">
      <c r="A718" s="3">
        <v>2521841</v>
      </c>
      <c r="B718" t="s">
        <v>2851</v>
      </c>
      <c r="C718" t="s">
        <v>8</v>
      </c>
      <c r="D718" t="s">
        <v>9108</v>
      </c>
      <c r="E718" s="28">
        <v>46212</v>
      </c>
      <c r="F718" t="s">
        <v>9109</v>
      </c>
      <c r="G718" s="3" t="s">
        <v>9328</v>
      </c>
      <c r="H718" t="s">
        <v>9329</v>
      </c>
      <c r="I718" s="28">
        <v>46329</v>
      </c>
      <c r="J718" t="s">
        <v>9118</v>
      </c>
      <c r="K718" t="s">
        <v>32</v>
      </c>
    </row>
    <row r="719" spans="1:11">
      <c r="A719" s="3">
        <v>2521842</v>
      </c>
      <c r="B719" t="s">
        <v>734</v>
      </c>
      <c r="C719" t="s">
        <v>8</v>
      </c>
      <c r="D719" t="s">
        <v>9108</v>
      </c>
      <c r="E719" s="28">
        <v>46212</v>
      </c>
      <c r="F719" t="s">
        <v>9109</v>
      </c>
      <c r="G719" s="3" t="s">
        <v>9328</v>
      </c>
      <c r="H719" t="s">
        <v>9329</v>
      </c>
      <c r="I719" s="28">
        <v>46329</v>
      </c>
      <c r="J719" t="s">
        <v>9118</v>
      </c>
      <c r="K719" t="s">
        <v>32</v>
      </c>
    </row>
    <row r="720" spans="1:11">
      <c r="A720" s="3">
        <v>2521843</v>
      </c>
      <c r="B720" t="s">
        <v>1904</v>
      </c>
      <c r="C720" t="s">
        <v>8</v>
      </c>
      <c r="D720" t="s">
        <v>9108</v>
      </c>
      <c r="E720" s="28">
        <v>46212</v>
      </c>
      <c r="F720" t="s">
        <v>9109</v>
      </c>
      <c r="G720" s="3" t="s">
        <v>9334</v>
      </c>
      <c r="H720" t="s">
        <v>9332</v>
      </c>
      <c r="I720" s="28">
        <v>46325</v>
      </c>
      <c r="J720" t="s">
        <v>9118</v>
      </c>
      <c r="K720" t="s">
        <v>31</v>
      </c>
    </row>
    <row r="721" spans="1:11">
      <c r="A721" s="3">
        <v>2521844</v>
      </c>
      <c r="B721" t="s">
        <v>764</v>
      </c>
      <c r="C721" t="s">
        <v>8</v>
      </c>
      <c r="D721" t="s">
        <v>9108</v>
      </c>
      <c r="E721" s="28">
        <v>46212</v>
      </c>
      <c r="F721" t="s">
        <v>9109</v>
      </c>
      <c r="G721" s="3" t="s">
        <v>9328</v>
      </c>
      <c r="H721" t="s">
        <v>9329</v>
      </c>
      <c r="I721" s="28">
        <v>46329</v>
      </c>
      <c r="J721" t="s">
        <v>9118</v>
      </c>
      <c r="K721" t="s">
        <v>32</v>
      </c>
    </row>
    <row r="722" spans="1:11">
      <c r="A722" s="3">
        <v>2521845</v>
      </c>
      <c r="B722" t="s">
        <v>2846</v>
      </c>
      <c r="C722" t="s">
        <v>8</v>
      </c>
      <c r="D722" t="s">
        <v>9108</v>
      </c>
      <c r="E722" s="28">
        <v>46212</v>
      </c>
      <c r="F722" t="s">
        <v>9109</v>
      </c>
      <c r="G722" s="3" t="s">
        <v>9328</v>
      </c>
      <c r="H722" t="s">
        <v>9329</v>
      </c>
      <c r="I722" s="28">
        <v>46329</v>
      </c>
      <c r="J722" t="s">
        <v>9118</v>
      </c>
      <c r="K722" t="s">
        <v>32</v>
      </c>
    </row>
    <row r="723" spans="1:11">
      <c r="A723" s="3">
        <v>2521846</v>
      </c>
      <c r="B723" t="s">
        <v>9347</v>
      </c>
      <c r="C723" t="s">
        <v>8</v>
      </c>
      <c r="D723" t="s">
        <v>9108</v>
      </c>
      <c r="E723" s="28">
        <v>46212</v>
      </c>
      <c r="F723" t="s">
        <v>9109</v>
      </c>
      <c r="G723" s="3" t="s">
        <v>9334</v>
      </c>
      <c r="H723" t="s">
        <v>9332</v>
      </c>
      <c r="I723" s="28">
        <v>46325</v>
      </c>
      <c r="J723" t="s">
        <v>9118</v>
      </c>
      <c r="K723" t="s">
        <v>31</v>
      </c>
    </row>
    <row r="724" spans="1:11">
      <c r="A724" s="3">
        <v>2521885</v>
      </c>
      <c r="B724" t="s">
        <v>2670</v>
      </c>
      <c r="C724" t="s">
        <v>8</v>
      </c>
      <c r="D724" t="s">
        <v>9108</v>
      </c>
      <c r="E724" s="28">
        <v>46212</v>
      </c>
      <c r="F724" t="s">
        <v>9109</v>
      </c>
      <c r="G724" s="3" t="s">
        <v>9292</v>
      </c>
      <c r="H724" t="s">
        <v>1083</v>
      </c>
      <c r="I724" s="28">
        <v>46304</v>
      </c>
      <c r="J724" t="s">
        <v>9118</v>
      </c>
      <c r="K724" t="s">
        <v>31</v>
      </c>
    </row>
    <row r="725" spans="1:11">
      <c r="A725" s="3">
        <v>2522797</v>
      </c>
      <c r="B725" t="s">
        <v>8003</v>
      </c>
      <c r="C725" t="s">
        <v>8</v>
      </c>
      <c r="D725" t="s">
        <v>9108</v>
      </c>
      <c r="E725" s="28">
        <v>46217</v>
      </c>
      <c r="F725" t="s">
        <v>9109</v>
      </c>
      <c r="G725" s="3" t="s">
        <v>9348</v>
      </c>
      <c r="H725" t="s">
        <v>4400</v>
      </c>
      <c r="I725" s="28">
        <v>46335</v>
      </c>
      <c r="J725" t="s">
        <v>9118</v>
      </c>
      <c r="K725" t="s">
        <v>32</v>
      </c>
    </row>
    <row r="726" spans="1:11">
      <c r="A726" s="3">
        <v>2522800</v>
      </c>
      <c r="B726" t="s">
        <v>8018</v>
      </c>
      <c r="C726" t="s">
        <v>8</v>
      </c>
      <c r="D726" t="s">
        <v>9108</v>
      </c>
      <c r="E726" s="28">
        <v>46217</v>
      </c>
      <c r="F726" t="s">
        <v>9109</v>
      </c>
      <c r="G726" s="3" t="s">
        <v>9348</v>
      </c>
      <c r="H726" t="s">
        <v>4400</v>
      </c>
      <c r="I726" s="28">
        <v>46335</v>
      </c>
      <c r="J726" t="s">
        <v>9118</v>
      </c>
      <c r="K726" t="s">
        <v>32</v>
      </c>
    </row>
    <row r="727" spans="1:11">
      <c r="A727" s="3">
        <v>2522803</v>
      </c>
      <c r="B727" t="s">
        <v>693</v>
      </c>
      <c r="C727" t="s">
        <v>7</v>
      </c>
      <c r="D727" t="s">
        <v>9108</v>
      </c>
      <c r="E727" s="28">
        <v>46217</v>
      </c>
      <c r="F727" t="s">
        <v>9109</v>
      </c>
      <c r="G727" s="3" t="s">
        <v>9348</v>
      </c>
      <c r="H727" t="s">
        <v>4400</v>
      </c>
      <c r="I727" s="28">
        <v>46335</v>
      </c>
      <c r="J727" t="s">
        <v>9118</v>
      </c>
      <c r="K727" t="s">
        <v>32</v>
      </c>
    </row>
    <row r="728" spans="1:11">
      <c r="A728" s="3">
        <v>2522807</v>
      </c>
      <c r="B728" t="s">
        <v>9349</v>
      </c>
      <c r="C728" t="s">
        <v>8</v>
      </c>
      <c r="D728" t="s">
        <v>9108</v>
      </c>
      <c r="E728" s="28">
        <v>46217</v>
      </c>
      <c r="F728" t="s">
        <v>9109</v>
      </c>
      <c r="G728" s="3" t="s">
        <v>9348</v>
      </c>
      <c r="H728" t="s">
        <v>4400</v>
      </c>
      <c r="I728" s="28">
        <v>46335</v>
      </c>
      <c r="J728" t="s">
        <v>9118</v>
      </c>
      <c r="K728" t="s">
        <v>32</v>
      </c>
    </row>
    <row r="729" spans="1:11">
      <c r="A729" s="3">
        <v>2522808</v>
      </c>
      <c r="B729" t="s">
        <v>8244</v>
      </c>
      <c r="C729" t="s">
        <v>7</v>
      </c>
      <c r="D729" t="s">
        <v>9108</v>
      </c>
      <c r="E729" s="28">
        <v>46217</v>
      </c>
      <c r="F729" t="s">
        <v>9109</v>
      </c>
      <c r="G729" s="3" t="s">
        <v>9348</v>
      </c>
      <c r="H729" t="s">
        <v>4400</v>
      </c>
      <c r="I729" s="28">
        <v>46335</v>
      </c>
      <c r="J729" t="s">
        <v>9118</v>
      </c>
      <c r="K729" t="s">
        <v>32</v>
      </c>
    </row>
    <row r="730" spans="1:11">
      <c r="A730" s="3">
        <v>2522810</v>
      </c>
      <c r="B730" t="s">
        <v>2175</v>
      </c>
      <c r="C730" t="s">
        <v>8</v>
      </c>
      <c r="D730" t="s">
        <v>9108</v>
      </c>
      <c r="E730" s="28">
        <v>46217</v>
      </c>
      <c r="F730" t="s">
        <v>9109</v>
      </c>
      <c r="G730" s="3" t="s">
        <v>9348</v>
      </c>
      <c r="H730" t="s">
        <v>4400</v>
      </c>
      <c r="I730" s="28">
        <v>46335</v>
      </c>
      <c r="J730" t="s">
        <v>9118</v>
      </c>
      <c r="K730" t="s">
        <v>32</v>
      </c>
    </row>
    <row r="731" spans="1:11">
      <c r="A731" s="3">
        <v>2522817</v>
      </c>
      <c r="B731" t="s">
        <v>9350</v>
      </c>
      <c r="C731" t="s">
        <v>8</v>
      </c>
      <c r="D731" t="s">
        <v>9108</v>
      </c>
      <c r="E731" s="28">
        <v>46217</v>
      </c>
      <c r="F731" t="s">
        <v>9109</v>
      </c>
      <c r="G731" s="3" t="s">
        <v>9351</v>
      </c>
      <c r="H731" t="s">
        <v>9352</v>
      </c>
      <c r="I731" s="28">
        <v>46310</v>
      </c>
      <c r="J731" t="s">
        <v>9118</v>
      </c>
      <c r="K731" t="s">
        <v>31</v>
      </c>
    </row>
    <row r="732" spans="1:11">
      <c r="A732" s="3">
        <v>2522821</v>
      </c>
      <c r="B732" t="s">
        <v>9353</v>
      </c>
      <c r="C732" t="s">
        <v>8</v>
      </c>
      <c r="D732" t="s">
        <v>9108</v>
      </c>
      <c r="E732" s="28">
        <v>46217</v>
      </c>
      <c r="F732" t="s">
        <v>9109</v>
      </c>
      <c r="G732" s="3" t="s">
        <v>9351</v>
      </c>
      <c r="H732" t="s">
        <v>9352</v>
      </c>
      <c r="I732" s="28">
        <v>46310</v>
      </c>
      <c r="J732" t="s">
        <v>9118</v>
      </c>
      <c r="K732" t="s">
        <v>31</v>
      </c>
    </row>
    <row r="733" spans="1:11">
      <c r="A733" s="3">
        <v>2522824</v>
      </c>
      <c r="B733" t="s">
        <v>9354</v>
      </c>
      <c r="C733" t="s">
        <v>7</v>
      </c>
      <c r="D733" t="s">
        <v>9108</v>
      </c>
      <c r="E733" s="28">
        <v>46217</v>
      </c>
      <c r="F733" t="s">
        <v>9109</v>
      </c>
      <c r="G733" s="3" t="s">
        <v>9351</v>
      </c>
      <c r="H733" t="s">
        <v>9352</v>
      </c>
      <c r="I733" s="28">
        <v>46310</v>
      </c>
      <c r="J733" t="s">
        <v>9118</v>
      </c>
      <c r="K733" t="s">
        <v>31</v>
      </c>
    </row>
    <row r="734" spans="1:11">
      <c r="A734" s="3">
        <v>2522828</v>
      </c>
      <c r="B734" t="s">
        <v>9355</v>
      </c>
      <c r="C734" t="s">
        <v>8</v>
      </c>
      <c r="D734" t="s">
        <v>9108</v>
      </c>
      <c r="E734" s="28">
        <v>46217</v>
      </c>
      <c r="F734" t="s">
        <v>9109</v>
      </c>
      <c r="G734" s="3" t="s">
        <v>9351</v>
      </c>
      <c r="H734" t="s">
        <v>9352</v>
      </c>
      <c r="I734" s="28">
        <v>46310</v>
      </c>
      <c r="J734" t="s">
        <v>9118</v>
      </c>
      <c r="K734" t="s">
        <v>31</v>
      </c>
    </row>
    <row r="735" spans="1:11">
      <c r="A735" s="3">
        <v>2522834</v>
      </c>
      <c r="B735" t="s">
        <v>9356</v>
      </c>
      <c r="C735" t="s">
        <v>8</v>
      </c>
      <c r="D735" t="s">
        <v>9108</v>
      </c>
      <c r="E735" s="28">
        <v>46217</v>
      </c>
      <c r="F735" t="s">
        <v>9109</v>
      </c>
      <c r="G735" s="3" t="s">
        <v>9351</v>
      </c>
      <c r="H735" t="s">
        <v>9352</v>
      </c>
      <c r="I735" s="28">
        <v>46310</v>
      </c>
      <c r="J735" t="s">
        <v>9118</v>
      </c>
      <c r="K735" t="s">
        <v>31</v>
      </c>
    </row>
    <row r="736" spans="1:11">
      <c r="A736" s="3">
        <v>2522843</v>
      </c>
      <c r="B736" t="s">
        <v>9357</v>
      </c>
      <c r="C736" t="s">
        <v>7</v>
      </c>
      <c r="D736" t="s">
        <v>9108</v>
      </c>
      <c r="E736" s="28">
        <v>46217</v>
      </c>
      <c r="F736" t="s">
        <v>9109</v>
      </c>
      <c r="G736" s="3" t="s">
        <v>9351</v>
      </c>
      <c r="H736" t="s">
        <v>9352</v>
      </c>
      <c r="I736" s="28">
        <v>46310</v>
      </c>
      <c r="J736" t="s">
        <v>9118</v>
      </c>
      <c r="K736" t="s">
        <v>31</v>
      </c>
    </row>
    <row r="737" spans="1:11">
      <c r="A737" s="3">
        <v>2522847</v>
      </c>
      <c r="B737" t="s">
        <v>9358</v>
      </c>
      <c r="C737" t="s">
        <v>8</v>
      </c>
      <c r="D737" t="s">
        <v>9108</v>
      </c>
      <c r="E737" s="28">
        <v>46217</v>
      </c>
      <c r="F737" t="s">
        <v>9109</v>
      </c>
      <c r="G737" s="3" t="s">
        <v>9351</v>
      </c>
      <c r="H737" t="s">
        <v>9352</v>
      </c>
      <c r="I737" s="28">
        <v>46310</v>
      </c>
      <c r="J737" t="s">
        <v>9118</v>
      </c>
      <c r="K737" t="s">
        <v>31</v>
      </c>
    </row>
    <row r="738" spans="1:11">
      <c r="A738" s="3">
        <v>2522848</v>
      </c>
      <c r="B738" t="s">
        <v>5785</v>
      </c>
      <c r="C738" t="s">
        <v>8</v>
      </c>
      <c r="D738" t="s">
        <v>9108</v>
      </c>
      <c r="E738" s="28">
        <v>46217</v>
      </c>
      <c r="F738" t="s">
        <v>9109</v>
      </c>
      <c r="G738" s="3" t="s">
        <v>9348</v>
      </c>
      <c r="H738" t="s">
        <v>4400</v>
      </c>
      <c r="I738" s="28">
        <v>46335</v>
      </c>
      <c r="J738" t="s">
        <v>9118</v>
      </c>
      <c r="K738" t="s">
        <v>32</v>
      </c>
    </row>
    <row r="739" spans="1:11">
      <c r="A739" s="3">
        <v>2522849</v>
      </c>
      <c r="B739" t="s">
        <v>3032</v>
      </c>
      <c r="C739" t="s">
        <v>7</v>
      </c>
      <c r="D739" t="s">
        <v>9108</v>
      </c>
      <c r="E739" s="28">
        <v>46217</v>
      </c>
      <c r="F739" t="s">
        <v>9109</v>
      </c>
      <c r="G739" s="3" t="s">
        <v>9348</v>
      </c>
      <c r="H739" t="s">
        <v>4400</v>
      </c>
      <c r="I739" s="28">
        <v>46335</v>
      </c>
      <c r="J739" t="s">
        <v>9118</v>
      </c>
      <c r="K739" t="s">
        <v>32</v>
      </c>
    </row>
    <row r="740" spans="1:11">
      <c r="A740" s="3">
        <v>2522851</v>
      </c>
      <c r="B740" t="s">
        <v>2795</v>
      </c>
      <c r="C740" t="s">
        <v>7</v>
      </c>
      <c r="D740" t="s">
        <v>9108</v>
      </c>
      <c r="E740" s="28">
        <v>46217</v>
      </c>
      <c r="F740" t="s">
        <v>9109</v>
      </c>
      <c r="G740" s="3" t="s">
        <v>9348</v>
      </c>
      <c r="H740" t="s">
        <v>4400</v>
      </c>
      <c r="I740" s="28">
        <v>46335</v>
      </c>
      <c r="J740" t="s">
        <v>9118</v>
      </c>
      <c r="K740" t="s">
        <v>32</v>
      </c>
    </row>
    <row r="741" spans="1:11">
      <c r="A741" s="3">
        <v>2522852</v>
      </c>
      <c r="B741" t="s">
        <v>1152</v>
      </c>
      <c r="C741" t="s">
        <v>8</v>
      </c>
      <c r="D741" t="s">
        <v>9108</v>
      </c>
      <c r="E741" s="28">
        <v>46217</v>
      </c>
      <c r="F741" t="s">
        <v>9109</v>
      </c>
      <c r="G741" s="3" t="s">
        <v>9348</v>
      </c>
      <c r="H741" t="s">
        <v>4400</v>
      </c>
      <c r="I741" s="28">
        <v>46335</v>
      </c>
      <c r="J741" t="s">
        <v>9118</v>
      </c>
      <c r="K741" t="s">
        <v>32</v>
      </c>
    </row>
    <row r="742" spans="1:11">
      <c r="A742" s="3">
        <v>2522853</v>
      </c>
      <c r="B742" t="s">
        <v>3318</v>
      </c>
      <c r="C742" t="s">
        <v>7</v>
      </c>
      <c r="D742" t="s">
        <v>9108</v>
      </c>
      <c r="E742" s="28">
        <v>46217</v>
      </c>
      <c r="F742" t="s">
        <v>9109</v>
      </c>
      <c r="G742" s="3" t="s">
        <v>9348</v>
      </c>
      <c r="H742" t="s">
        <v>4400</v>
      </c>
      <c r="I742" s="28">
        <v>46335</v>
      </c>
      <c r="J742" t="s">
        <v>9118</v>
      </c>
      <c r="K742" t="s">
        <v>32</v>
      </c>
    </row>
    <row r="743" spans="1:11">
      <c r="A743" s="3">
        <v>2522854</v>
      </c>
      <c r="B743" t="s">
        <v>395</v>
      </c>
      <c r="C743" t="s">
        <v>7</v>
      </c>
      <c r="D743" t="s">
        <v>9108</v>
      </c>
      <c r="E743" s="28">
        <v>46217</v>
      </c>
      <c r="F743" t="s">
        <v>9109</v>
      </c>
      <c r="G743" s="3" t="s">
        <v>9348</v>
      </c>
      <c r="H743" t="s">
        <v>4400</v>
      </c>
      <c r="I743" s="28">
        <v>46335</v>
      </c>
      <c r="J743" t="s">
        <v>9118</v>
      </c>
      <c r="K743" t="s">
        <v>32</v>
      </c>
    </row>
    <row r="744" spans="1:11">
      <c r="A744" s="3">
        <v>2522855</v>
      </c>
      <c r="B744" t="s">
        <v>1658</v>
      </c>
      <c r="C744" t="s">
        <v>8</v>
      </c>
      <c r="D744" t="s">
        <v>9108</v>
      </c>
      <c r="E744" s="28">
        <v>46217</v>
      </c>
      <c r="F744" t="s">
        <v>9109</v>
      </c>
      <c r="G744" s="3" t="s">
        <v>9348</v>
      </c>
      <c r="H744" t="s">
        <v>4400</v>
      </c>
      <c r="I744" s="28">
        <v>46335</v>
      </c>
      <c r="J744" t="s">
        <v>9118</v>
      </c>
      <c r="K744" t="s">
        <v>32</v>
      </c>
    </row>
    <row r="745" spans="1:11">
      <c r="A745" s="3">
        <v>2522856</v>
      </c>
      <c r="B745" t="s">
        <v>4815</v>
      </c>
      <c r="C745" t="s">
        <v>7</v>
      </c>
      <c r="D745" t="s">
        <v>9108</v>
      </c>
      <c r="E745" s="28">
        <v>46217</v>
      </c>
      <c r="F745" t="s">
        <v>9109</v>
      </c>
      <c r="G745" s="3" t="s">
        <v>9348</v>
      </c>
      <c r="H745" t="s">
        <v>4400</v>
      </c>
      <c r="I745" s="28">
        <v>46335</v>
      </c>
      <c r="J745" t="s">
        <v>9118</v>
      </c>
      <c r="K745" t="s">
        <v>32</v>
      </c>
    </row>
    <row r="746" spans="1:11">
      <c r="A746" s="3">
        <v>2522857</v>
      </c>
      <c r="B746" t="s">
        <v>3805</v>
      </c>
      <c r="C746" t="s">
        <v>7</v>
      </c>
      <c r="D746" t="s">
        <v>9108</v>
      </c>
      <c r="E746" s="28">
        <v>46217</v>
      </c>
      <c r="F746" t="s">
        <v>9109</v>
      </c>
      <c r="G746" s="3" t="s">
        <v>9348</v>
      </c>
      <c r="H746" t="s">
        <v>4400</v>
      </c>
      <c r="I746" s="28">
        <v>46335</v>
      </c>
      <c r="J746" t="s">
        <v>9118</v>
      </c>
      <c r="K746" t="s">
        <v>32</v>
      </c>
    </row>
    <row r="747" spans="1:11">
      <c r="A747" s="3">
        <v>2522858</v>
      </c>
      <c r="B747" t="s">
        <v>3091</v>
      </c>
      <c r="C747" t="s">
        <v>7</v>
      </c>
      <c r="D747" t="s">
        <v>9108</v>
      </c>
      <c r="E747" s="28">
        <v>46217</v>
      </c>
      <c r="F747" t="s">
        <v>9109</v>
      </c>
      <c r="G747" s="3" t="s">
        <v>9348</v>
      </c>
      <c r="H747" t="s">
        <v>4400</v>
      </c>
      <c r="I747" s="28">
        <v>46335</v>
      </c>
      <c r="J747" t="s">
        <v>9118</v>
      </c>
      <c r="K747" t="s">
        <v>32</v>
      </c>
    </row>
    <row r="748" spans="1:11">
      <c r="A748" s="3">
        <v>2522859</v>
      </c>
      <c r="B748" t="s">
        <v>3859</v>
      </c>
      <c r="C748" t="s">
        <v>7</v>
      </c>
      <c r="D748" t="s">
        <v>9108</v>
      </c>
      <c r="E748" s="28">
        <v>46217</v>
      </c>
      <c r="F748" t="s">
        <v>9109</v>
      </c>
      <c r="G748" s="3" t="s">
        <v>9348</v>
      </c>
      <c r="H748" t="s">
        <v>4400</v>
      </c>
      <c r="I748" s="28">
        <v>46335</v>
      </c>
      <c r="J748" t="s">
        <v>9118</v>
      </c>
      <c r="K748" t="s">
        <v>32</v>
      </c>
    </row>
    <row r="749" spans="1:11">
      <c r="A749" s="3">
        <v>2522861</v>
      </c>
      <c r="B749" t="s">
        <v>2980</v>
      </c>
      <c r="C749" t="s">
        <v>7</v>
      </c>
      <c r="D749" t="s">
        <v>9108</v>
      </c>
      <c r="E749" s="28">
        <v>46217</v>
      </c>
      <c r="F749" t="s">
        <v>9109</v>
      </c>
      <c r="G749" s="3" t="s">
        <v>9348</v>
      </c>
      <c r="H749" t="s">
        <v>4400</v>
      </c>
      <c r="I749" s="28">
        <v>46335</v>
      </c>
      <c r="J749" t="s">
        <v>9118</v>
      </c>
      <c r="K749" t="s">
        <v>32</v>
      </c>
    </row>
    <row r="750" spans="1:11">
      <c r="A750" s="3">
        <v>2522862</v>
      </c>
      <c r="B750" t="s">
        <v>2027</v>
      </c>
      <c r="C750" t="s">
        <v>8</v>
      </c>
      <c r="D750" t="s">
        <v>9108</v>
      </c>
      <c r="E750" s="28">
        <v>46217</v>
      </c>
      <c r="F750" t="s">
        <v>9109</v>
      </c>
      <c r="G750" s="3" t="s">
        <v>9348</v>
      </c>
      <c r="H750" t="s">
        <v>4400</v>
      </c>
      <c r="I750" s="28">
        <v>46335</v>
      </c>
      <c r="J750" t="s">
        <v>9118</v>
      </c>
      <c r="K750" t="s">
        <v>32</v>
      </c>
    </row>
    <row r="751" spans="1:11">
      <c r="A751" s="3">
        <v>2522863</v>
      </c>
      <c r="B751" t="s">
        <v>3335</v>
      </c>
      <c r="C751" t="s">
        <v>7</v>
      </c>
      <c r="D751" t="s">
        <v>9108</v>
      </c>
      <c r="E751" s="28">
        <v>46217</v>
      </c>
      <c r="F751" t="s">
        <v>9109</v>
      </c>
      <c r="G751" s="3" t="s">
        <v>9348</v>
      </c>
      <c r="H751" t="s">
        <v>4400</v>
      </c>
      <c r="I751" s="28">
        <v>46335</v>
      </c>
      <c r="J751" t="s">
        <v>9118</v>
      </c>
      <c r="K751" t="s">
        <v>32</v>
      </c>
    </row>
    <row r="752" spans="1:11">
      <c r="A752" s="3">
        <v>2522864</v>
      </c>
      <c r="B752" t="s">
        <v>5039</v>
      </c>
      <c r="C752" t="s">
        <v>7</v>
      </c>
      <c r="D752" t="s">
        <v>9108</v>
      </c>
      <c r="E752" s="28">
        <v>46217</v>
      </c>
      <c r="F752" t="s">
        <v>9109</v>
      </c>
      <c r="G752" s="3" t="s">
        <v>9348</v>
      </c>
      <c r="H752" t="s">
        <v>4400</v>
      </c>
      <c r="I752" s="28">
        <v>46335</v>
      </c>
      <c r="J752" t="s">
        <v>9118</v>
      </c>
      <c r="K752" t="s">
        <v>32</v>
      </c>
    </row>
    <row r="753" spans="1:11">
      <c r="A753" s="3">
        <v>2522865</v>
      </c>
      <c r="B753" t="s">
        <v>8672</v>
      </c>
      <c r="C753" t="s">
        <v>8</v>
      </c>
      <c r="D753" t="s">
        <v>9108</v>
      </c>
      <c r="E753" s="28">
        <v>46217</v>
      </c>
      <c r="F753" t="s">
        <v>9109</v>
      </c>
      <c r="G753" s="3" t="s">
        <v>9348</v>
      </c>
      <c r="H753" t="s">
        <v>4400</v>
      </c>
      <c r="I753" s="28">
        <v>46335</v>
      </c>
      <c r="J753" t="s">
        <v>9118</v>
      </c>
      <c r="K753" t="s">
        <v>32</v>
      </c>
    </row>
    <row r="754" spans="1:11">
      <c r="A754" s="3">
        <v>2522866</v>
      </c>
      <c r="B754" t="s">
        <v>3519</v>
      </c>
      <c r="C754" t="s">
        <v>7</v>
      </c>
      <c r="D754" t="s">
        <v>9108</v>
      </c>
      <c r="E754" s="28">
        <v>46217</v>
      </c>
      <c r="F754" t="s">
        <v>9109</v>
      </c>
      <c r="G754" s="3" t="s">
        <v>9348</v>
      </c>
      <c r="H754" t="s">
        <v>4400</v>
      </c>
      <c r="I754" s="28">
        <v>46335</v>
      </c>
      <c r="J754" t="s">
        <v>9118</v>
      </c>
      <c r="K754" t="s">
        <v>32</v>
      </c>
    </row>
    <row r="755" spans="1:11">
      <c r="A755" s="3">
        <v>2522867</v>
      </c>
      <c r="B755" t="s">
        <v>9359</v>
      </c>
      <c r="C755" t="s">
        <v>8</v>
      </c>
      <c r="D755" t="s">
        <v>9108</v>
      </c>
      <c r="E755" s="28">
        <v>46217</v>
      </c>
      <c r="F755" t="s">
        <v>9109</v>
      </c>
      <c r="G755" s="3" t="s">
        <v>9351</v>
      </c>
      <c r="H755" t="s">
        <v>9352</v>
      </c>
      <c r="I755" s="28">
        <v>46310</v>
      </c>
      <c r="J755" t="s">
        <v>9118</v>
      </c>
      <c r="K755" t="s">
        <v>31</v>
      </c>
    </row>
    <row r="756" spans="1:11">
      <c r="A756" s="3">
        <v>2522879</v>
      </c>
      <c r="B756" t="s">
        <v>7316</v>
      </c>
      <c r="C756" t="s">
        <v>8</v>
      </c>
      <c r="D756" t="s">
        <v>9108</v>
      </c>
      <c r="E756" s="28">
        <v>46217</v>
      </c>
      <c r="F756" t="s">
        <v>9109</v>
      </c>
      <c r="G756" s="3" t="s">
        <v>9351</v>
      </c>
      <c r="H756" t="s">
        <v>9352</v>
      </c>
      <c r="I756" s="28">
        <v>46310</v>
      </c>
      <c r="J756" t="s">
        <v>9118</v>
      </c>
      <c r="K756" t="s">
        <v>31</v>
      </c>
    </row>
    <row r="757" spans="1:11">
      <c r="A757" s="3">
        <v>2522886</v>
      </c>
      <c r="B757" t="s">
        <v>9360</v>
      </c>
      <c r="C757" t="s">
        <v>7</v>
      </c>
      <c r="D757" t="s">
        <v>9108</v>
      </c>
      <c r="E757" s="28">
        <v>46217</v>
      </c>
      <c r="F757" t="s">
        <v>9109</v>
      </c>
      <c r="G757" s="3" t="s">
        <v>9351</v>
      </c>
      <c r="H757" t="s">
        <v>9352</v>
      </c>
      <c r="I757" s="28">
        <v>46310</v>
      </c>
      <c r="J757" t="s">
        <v>9118</v>
      </c>
      <c r="K757" t="s">
        <v>31</v>
      </c>
    </row>
    <row r="758" spans="1:11">
      <c r="A758" s="3">
        <v>2522894</v>
      </c>
      <c r="B758" t="s">
        <v>4482</v>
      </c>
      <c r="C758" t="s">
        <v>8</v>
      </c>
      <c r="D758" t="s">
        <v>9108</v>
      </c>
      <c r="E758" s="28">
        <v>46217</v>
      </c>
      <c r="F758" t="s">
        <v>9109</v>
      </c>
      <c r="G758" s="3" t="s">
        <v>9351</v>
      </c>
      <c r="H758" t="s">
        <v>9352</v>
      </c>
      <c r="I758" s="28">
        <v>46310</v>
      </c>
      <c r="J758" t="s">
        <v>9118</v>
      </c>
      <c r="K758" t="s">
        <v>31</v>
      </c>
    </row>
    <row r="759" spans="1:11">
      <c r="A759" s="3">
        <v>2522899</v>
      </c>
      <c r="B759" t="s">
        <v>9361</v>
      </c>
      <c r="C759" t="s">
        <v>7</v>
      </c>
      <c r="D759" t="s">
        <v>9108</v>
      </c>
      <c r="E759" s="28">
        <v>46217</v>
      </c>
      <c r="F759" t="s">
        <v>9109</v>
      </c>
      <c r="G759" s="3" t="s">
        <v>9351</v>
      </c>
      <c r="H759" t="s">
        <v>9352</v>
      </c>
      <c r="I759" s="28">
        <v>46310</v>
      </c>
      <c r="J759" t="s">
        <v>9118</v>
      </c>
      <c r="K759" t="s">
        <v>31</v>
      </c>
    </row>
    <row r="760" spans="1:11">
      <c r="A760" s="3">
        <v>2522902</v>
      </c>
      <c r="B760" t="s">
        <v>9362</v>
      </c>
      <c r="C760" t="s">
        <v>7</v>
      </c>
      <c r="D760" t="s">
        <v>9108</v>
      </c>
      <c r="E760" s="28">
        <v>46217</v>
      </c>
      <c r="F760" t="s">
        <v>9109</v>
      </c>
      <c r="G760" s="3" t="s">
        <v>9351</v>
      </c>
      <c r="H760" t="s">
        <v>9352</v>
      </c>
      <c r="I760" s="28">
        <v>46310</v>
      </c>
      <c r="J760" t="s">
        <v>9118</v>
      </c>
      <c r="K760" t="s">
        <v>31</v>
      </c>
    </row>
    <row r="761" spans="1:11">
      <c r="A761" s="3">
        <v>2522905</v>
      </c>
      <c r="B761" t="s">
        <v>9363</v>
      </c>
      <c r="C761" t="s">
        <v>8</v>
      </c>
      <c r="D761" t="s">
        <v>9108</v>
      </c>
      <c r="E761" s="28">
        <v>46217</v>
      </c>
      <c r="F761" t="s">
        <v>9109</v>
      </c>
      <c r="G761" s="3" t="s">
        <v>9351</v>
      </c>
      <c r="H761" t="s">
        <v>9352</v>
      </c>
      <c r="I761" s="28">
        <v>46310</v>
      </c>
      <c r="J761" t="s">
        <v>9118</v>
      </c>
      <c r="K761" t="s">
        <v>31</v>
      </c>
    </row>
    <row r="762" spans="1:11">
      <c r="A762" s="3">
        <v>2523372</v>
      </c>
      <c r="B762" t="s">
        <v>147</v>
      </c>
      <c r="C762" t="s">
        <v>8</v>
      </c>
      <c r="D762" t="s">
        <v>9108</v>
      </c>
      <c r="E762" s="28">
        <v>46219</v>
      </c>
      <c r="F762" t="s">
        <v>9109</v>
      </c>
      <c r="G762" s="3" t="s">
        <v>9364</v>
      </c>
      <c r="H762" t="s">
        <v>306</v>
      </c>
      <c r="I762" s="28">
        <v>46309</v>
      </c>
      <c r="J762" t="s">
        <v>9118</v>
      </c>
      <c r="K762" t="s">
        <v>31</v>
      </c>
    </row>
    <row r="763" spans="1:11">
      <c r="A763" s="3">
        <v>2523373</v>
      </c>
      <c r="B763" t="s">
        <v>6329</v>
      </c>
      <c r="C763" t="s">
        <v>8</v>
      </c>
      <c r="D763" t="s">
        <v>9108</v>
      </c>
      <c r="E763" s="28">
        <v>46219</v>
      </c>
      <c r="F763" t="s">
        <v>9109</v>
      </c>
      <c r="G763" s="3" t="s">
        <v>9364</v>
      </c>
      <c r="H763" t="s">
        <v>306</v>
      </c>
      <c r="I763" s="28">
        <v>46309</v>
      </c>
      <c r="J763" t="s">
        <v>9118</v>
      </c>
      <c r="K763" t="s">
        <v>31</v>
      </c>
    </row>
    <row r="764" spans="1:11">
      <c r="A764" s="3">
        <v>2523374</v>
      </c>
      <c r="B764" t="s">
        <v>4427</v>
      </c>
      <c r="C764" t="s">
        <v>8</v>
      </c>
      <c r="D764" t="s">
        <v>9108</v>
      </c>
      <c r="E764" s="28">
        <v>46219</v>
      </c>
      <c r="F764" t="s">
        <v>9109</v>
      </c>
      <c r="G764" s="3" t="s">
        <v>9364</v>
      </c>
      <c r="H764" t="s">
        <v>306</v>
      </c>
      <c r="I764" s="28">
        <v>46309</v>
      </c>
      <c r="J764" t="s">
        <v>9118</v>
      </c>
      <c r="K764" t="s">
        <v>31</v>
      </c>
    </row>
    <row r="765" spans="1:11">
      <c r="A765" s="3">
        <v>2523375</v>
      </c>
      <c r="B765" t="s">
        <v>5196</v>
      </c>
      <c r="C765" t="s">
        <v>8</v>
      </c>
      <c r="D765" t="s">
        <v>9108</v>
      </c>
      <c r="E765" s="28">
        <v>46219</v>
      </c>
      <c r="F765" t="s">
        <v>9109</v>
      </c>
      <c r="G765" s="3" t="s">
        <v>9365</v>
      </c>
      <c r="H765" t="s">
        <v>9122</v>
      </c>
      <c r="I765" s="28">
        <v>46342</v>
      </c>
      <c r="J765" t="s">
        <v>9118</v>
      </c>
      <c r="K765" t="s">
        <v>32</v>
      </c>
    </row>
    <row r="766" spans="1:11">
      <c r="A766" s="3">
        <v>2523376</v>
      </c>
      <c r="B766" t="s">
        <v>6263</v>
      </c>
      <c r="C766" t="s">
        <v>8</v>
      </c>
      <c r="D766" t="s">
        <v>9108</v>
      </c>
      <c r="E766" s="28">
        <v>46219</v>
      </c>
      <c r="F766" t="s">
        <v>9109</v>
      </c>
      <c r="G766" s="3" t="s">
        <v>9364</v>
      </c>
      <c r="H766" t="s">
        <v>306</v>
      </c>
      <c r="I766" s="28">
        <v>46309</v>
      </c>
      <c r="J766" t="s">
        <v>9118</v>
      </c>
      <c r="K766" t="s">
        <v>31</v>
      </c>
    </row>
    <row r="767" spans="1:11">
      <c r="A767" s="3">
        <v>2523377</v>
      </c>
      <c r="B767" t="s">
        <v>3799</v>
      </c>
      <c r="C767" t="s">
        <v>8</v>
      </c>
      <c r="D767" t="s">
        <v>9108</v>
      </c>
      <c r="E767" s="28">
        <v>46219</v>
      </c>
      <c r="F767" t="s">
        <v>9109</v>
      </c>
      <c r="G767" s="3" t="s">
        <v>9364</v>
      </c>
      <c r="H767" t="s">
        <v>306</v>
      </c>
      <c r="I767" s="28">
        <v>46309</v>
      </c>
      <c r="J767" t="s">
        <v>9118</v>
      </c>
      <c r="K767" t="s">
        <v>31</v>
      </c>
    </row>
    <row r="768" spans="1:11">
      <c r="A768" s="3">
        <v>2523378</v>
      </c>
      <c r="B768" t="s">
        <v>2240</v>
      </c>
      <c r="C768" t="s">
        <v>7</v>
      </c>
      <c r="D768" t="s">
        <v>9108</v>
      </c>
      <c r="E768" s="28">
        <v>46219</v>
      </c>
      <c r="F768" t="s">
        <v>9109</v>
      </c>
      <c r="G768" s="3" t="s">
        <v>9364</v>
      </c>
      <c r="H768" t="s">
        <v>306</v>
      </c>
      <c r="I768" s="28">
        <v>46309</v>
      </c>
      <c r="J768" t="s">
        <v>9118</v>
      </c>
      <c r="K768" t="s">
        <v>31</v>
      </c>
    </row>
    <row r="769" spans="1:11">
      <c r="A769" s="3">
        <v>2523379</v>
      </c>
      <c r="B769" t="s">
        <v>175</v>
      </c>
      <c r="C769" t="s">
        <v>8</v>
      </c>
      <c r="D769" t="s">
        <v>9108</v>
      </c>
      <c r="E769" s="28">
        <v>46219</v>
      </c>
      <c r="F769" t="s">
        <v>9109</v>
      </c>
      <c r="G769" s="3" t="s">
        <v>9365</v>
      </c>
      <c r="H769" t="s">
        <v>9122</v>
      </c>
      <c r="I769" s="28">
        <v>46342</v>
      </c>
      <c r="J769" t="s">
        <v>9118</v>
      </c>
      <c r="K769" t="s">
        <v>32</v>
      </c>
    </row>
    <row r="770" spans="1:11">
      <c r="A770" s="3">
        <v>2523380</v>
      </c>
      <c r="B770" t="s">
        <v>4527</v>
      </c>
      <c r="C770" t="s">
        <v>8</v>
      </c>
      <c r="D770" t="s">
        <v>9108</v>
      </c>
      <c r="E770" s="28">
        <v>46219</v>
      </c>
      <c r="F770" t="s">
        <v>9109</v>
      </c>
      <c r="G770" s="3" t="s">
        <v>9365</v>
      </c>
      <c r="H770" t="s">
        <v>9122</v>
      </c>
      <c r="I770" s="28">
        <v>46342</v>
      </c>
      <c r="J770" t="s">
        <v>9118</v>
      </c>
      <c r="K770" t="s">
        <v>32</v>
      </c>
    </row>
    <row r="771" spans="1:11">
      <c r="A771" s="3">
        <v>2523381</v>
      </c>
      <c r="B771" t="s">
        <v>9366</v>
      </c>
      <c r="C771" t="s">
        <v>8</v>
      </c>
      <c r="D771" t="s">
        <v>9108</v>
      </c>
      <c r="E771" s="28">
        <v>46219</v>
      </c>
      <c r="F771" t="s">
        <v>9109</v>
      </c>
      <c r="G771" s="3" t="s">
        <v>9364</v>
      </c>
      <c r="H771" t="s">
        <v>306</v>
      </c>
      <c r="I771" s="28">
        <v>46309</v>
      </c>
      <c r="J771" t="s">
        <v>9118</v>
      </c>
      <c r="K771" t="s">
        <v>31</v>
      </c>
    </row>
    <row r="772" spans="1:11">
      <c r="A772" s="3">
        <v>2523382</v>
      </c>
      <c r="B772" t="s">
        <v>6382</v>
      </c>
      <c r="C772" t="s">
        <v>8</v>
      </c>
      <c r="D772" t="s">
        <v>9108</v>
      </c>
      <c r="E772" s="28">
        <v>46219</v>
      </c>
      <c r="F772" t="s">
        <v>9109</v>
      </c>
      <c r="G772" s="3" t="s">
        <v>9365</v>
      </c>
      <c r="H772" t="s">
        <v>9122</v>
      </c>
      <c r="I772" s="28">
        <v>46342</v>
      </c>
      <c r="J772" t="s">
        <v>9118</v>
      </c>
      <c r="K772" t="s">
        <v>32</v>
      </c>
    </row>
    <row r="773" spans="1:11">
      <c r="A773" s="3">
        <v>2523383</v>
      </c>
      <c r="B773" t="s">
        <v>2864</v>
      </c>
      <c r="C773" t="s">
        <v>8</v>
      </c>
      <c r="D773" t="s">
        <v>9108</v>
      </c>
      <c r="E773" s="28">
        <v>46219</v>
      </c>
      <c r="F773" t="s">
        <v>9109</v>
      </c>
      <c r="G773" s="3" t="s">
        <v>9364</v>
      </c>
      <c r="H773" t="s">
        <v>306</v>
      </c>
      <c r="I773" s="28">
        <v>46309</v>
      </c>
      <c r="J773" t="s">
        <v>9118</v>
      </c>
      <c r="K773" t="s">
        <v>31</v>
      </c>
    </row>
    <row r="774" spans="1:11">
      <c r="A774" s="3">
        <v>2523384</v>
      </c>
      <c r="B774" t="s">
        <v>4916</v>
      </c>
      <c r="C774" t="s">
        <v>7</v>
      </c>
      <c r="D774" t="s">
        <v>9108</v>
      </c>
      <c r="E774" s="28">
        <v>46219</v>
      </c>
      <c r="F774" t="s">
        <v>9109</v>
      </c>
      <c r="G774" s="3" t="s">
        <v>9364</v>
      </c>
      <c r="H774" t="s">
        <v>306</v>
      </c>
      <c r="I774" s="28">
        <v>46309</v>
      </c>
      <c r="J774" t="s">
        <v>9118</v>
      </c>
      <c r="K774" t="s">
        <v>31</v>
      </c>
    </row>
    <row r="775" spans="1:11">
      <c r="A775" s="3">
        <v>2523385</v>
      </c>
      <c r="B775" t="s">
        <v>9367</v>
      </c>
      <c r="C775" t="s">
        <v>7</v>
      </c>
      <c r="D775" t="s">
        <v>9108</v>
      </c>
      <c r="E775" s="28">
        <v>46219</v>
      </c>
      <c r="F775" t="s">
        <v>9109</v>
      </c>
      <c r="G775" s="3" t="s">
        <v>9364</v>
      </c>
      <c r="H775" t="s">
        <v>306</v>
      </c>
      <c r="I775" s="28">
        <v>46309</v>
      </c>
      <c r="J775" t="s">
        <v>9118</v>
      </c>
      <c r="K775" t="s">
        <v>31</v>
      </c>
    </row>
    <row r="776" spans="1:11">
      <c r="A776" s="3">
        <v>2523386</v>
      </c>
      <c r="B776" t="s">
        <v>9368</v>
      </c>
      <c r="C776" t="s">
        <v>7</v>
      </c>
      <c r="D776" t="s">
        <v>9108</v>
      </c>
      <c r="E776" s="28">
        <v>46219</v>
      </c>
      <c r="F776" t="s">
        <v>9109</v>
      </c>
      <c r="G776" s="3" t="s">
        <v>9364</v>
      </c>
      <c r="H776" t="s">
        <v>306</v>
      </c>
      <c r="I776" s="28">
        <v>46309</v>
      </c>
      <c r="J776" t="s">
        <v>9118</v>
      </c>
      <c r="K776" t="s">
        <v>31</v>
      </c>
    </row>
    <row r="777" spans="1:11">
      <c r="A777" s="3">
        <v>2523387</v>
      </c>
      <c r="B777" t="s">
        <v>2895</v>
      </c>
      <c r="C777" t="s">
        <v>7</v>
      </c>
      <c r="D777" t="s">
        <v>9108</v>
      </c>
      <c r="E777" s="28">
        <v>46219</v>
      </c>
      <c r="F777" t="s">
        <v>9109</v>
      </c>
      <c r="G777" s="3" t="s">
        <v>9364</v>
      </c>
      <c r="H777" t="s">
        <v>306</v>
      </c>
      <c r="I777" s="28">
        <v>46309</v>
      </c>
      <c r="J777" t="s">
        <v>9118</v>
      </c>
      <c r="K777" t="s">
        <v>31</v>
      </c>
    </row>
    <row r="778" spans="1:11">
      <c r="A778" s="3">
        <v>2523388</v>
      </c>
      <c r="B778" t="s">
        <v>9369</v>
      </c>
      <c r="C778" t="s">
        <v>8</v>
      </c>
      <c r="D778" t="s">
        <v>9108</v>
      </c>
      <c r="E778" s="28">
        <v>46219</v>
      </c>
      <c r="F778" t="s">
        <v>9109</v>
      </c>
      <c r="G778" s="3" t="s">
        <v>9364</v>
      </c>
      <c r="H778" t="s">
        <v>306</v>
      </c>
      <c r="I778" s="28">
        <v>46309</v>
      </c>
      <c r="J778" t="s">
        <v>9118</v>
      </c>
      <c r="K778" t="s">
        <v>31</v>
      </c>
    </row>
    <row r="779" spans="1:11">
      <c r="A779" s="3">
        <v>2523390</v>
      </c>
      <c r="B779" t="s">
        <v>7741</v>
      </c>
      <c r="C779" t="s">
        <v>7</v>
      </c>
      <c r="D779" t="s">
        <v>9108</v>
      </c>
      <c r="E779" s="28">
        <v>46219</v>
      </c>
      <c r="F779" t="s">
        <v>9109</v>
      </c>
      <c r="G779" s="3" t="s">
        <v>9370</v>
      </c>
      <c r="H779" t="s">
        <v>306</v>
      </c>
      <c r="I779" s="28">
        <v>46314</v>
      </c>
      <c r="J779" t="s">
        <v>9118</v>
      </c>
      <c r="K779" t="s">
        <v>31</v>
      </c>
    </row>
    <row r="780" spans="1:11">
      <c r="A780" s="3">
        <v>2523391</v>
      </c>
      <c r="B780" t="s">
        <v>2836</v>
      </c>
      <c r="C780" t="s">
        <v>8</v>
      </c>
      <c r="D780" t="s">
        <v>9108</v>
      </c>
      <c r="E780" s="28">
        <v>46219</v>
      </c>
      <c r="F780" t="s">
        <v>9109</v>
      </c>
      <c r="G780" s="3" t="s">
        <v>9370</v>
      </c>
      <c r="H780" t="s">
        <v>306</v>
      </c>
      <c r="I780" s="28">
        <v>46314</v>
      </c>
      <c r="J780" t="s">
        <v>9118</v>
      </c>
      <c r="K780" t="s">
        <v>31</v>
      </c>
    </row>
    <row r="781" spans="1:11">
      <c r="A781" s="3">
        <v>2523392</v>
      </c>
      <c r="B781" t="s">
        <v>7935</v>
      </c>
      <c r="C781" t="s">
        <v>8</v>
      </c>
      <c r="D781" t="s">
        <v>9108</v>
      </c>
      <c r="E781" s="28">
        <v>46219</v>
      </c>
      <c r="F781" t="s">
        <v>9109</v>
      </c>
      <c r="G781" s="3" t="s">
        <v>9364</v>
      </c>
      <c r="H781" t="s">
        <v>306</v>
      </c>
      <c r="I781" s="28">
        <v>46309</v>
      </c>
      <c r="J781" t="s">
        <v>9118</v>
      </c>
      <c r="K781" t="s">
        <v>31</v>
      </c>
    </row>
    <row r="782" spans="1:11">
      <c r="A782" s="3">
        <v>2523393</v>
      </c>
      <c r="B782" t="s">
        <v>9371</v>
      </c>
      <c r="C782" t="s">
        <v>7</v>
      </c>
      <c r="D782" t="s">
        <v>9108</v>
      </c>
      <c r="E782" s="28">
        <v>46219</v>
      </c>
      <c r="F782" t="s">
        <v>9109</v>
      </c>
      <c r="G782" s="3" t="s">
        <v>9370</v>
      </c>
      <c r="H782" t="s">
        <v>306</v>
      </c>
      <c r="I782" s="28">
        <v>46314</v>
      </c>
      <c r="J782" t="s">
        <v>9118</v>
      </c>
      <c r="K782" t="s">
        <v>31</v>
      </c>
    </row>
    <row r="783" spans="1:11">
      <c r="A783" s="3">
        <v>2523394</v>
      </c>
      <c r="B783" t="s">
        <v>6242</v>
      </c>
      <c r="C783" t="s">
        <v>8</v>
      </c>
      <c r="D783" t="s">
        <v>9108</v>
      </c>
      <c r="E783" s="28">
        <v>46219</v>
      </c>
      <c r="F783" t="s">
        <v>9109</v>
      </c>
      <c r="G783" s="3" t="s">
        <v>9370</v>
      </c>
      <c r="H783" t="s">
        <v>306</v>
      </c>
      <c r="I783" s="28">
        <v>46314</v>
      </c>
      <c r="J783" t="s">
        <v>9118</v>
      </c>
      <c r="K783" t="s">
        <v>31</v>
      </c>
    </row>
    <row r="784" spans="1:11">
      <c r="A784" s="3">
        <v>2523395</v>
      </c>
      <c r="B784" t="s">
        <v>7546</v>
      </c>
      <c r="C784" t="s">
        <v>7</v>
      </c>
      <c r="D784" t="s">
        <v>9108</v>
      </c>
      <c r="E784" s="28">
        <v>46219</v>
      </c>
      <c r="F784" t="s">
        <v>9109</v>
      </c>
      <c r="G784" s="3" t="s">
        <v>9370</v>
      </c>
      <c r="H784" t="s">
        <v>306</v>
      </c>
      <c r="I784" s="28">
        <v>46314</v>
      </c>
      <c r="J784" t="s">
        <v>9118</v>
      </c>
      <c r="K784" t="s">
        <v>31</v>
      </c>
    </row>
    <row r="785" spans="1:11">
      <c r="A785" s="3">
        <v>2523396</v>
      </c>
      <c r="B785" t="s">
        <v>3402</v>
      </c>
      <c r="C785" t="s">
        <v>8</v>
      </c>
      <c r="D785" t="s">
        <v>9108</v>
      </c>
      <c r="E785" s="28">
        <v>46219</v>
      </c>
      <c r="F785" t="s">
        <v>9109</v>
      </c>
      <c r="G785" s="3" t="s">
        <v>9370</v>
      </c>
      <c r="H785" t="s">
        <v>306</v>
      </c>
      <c r="I785" s="28">
        <v>46314</v>
      </c>
      <c r="J785" t="s">
        <v>9118</v>
      </c>
      <c r="K785" t="s">
        <v>31</v>
      </c>
    </row>
    <row r="786" spans="1:11">
      <c r="A786" s="3">
        <v>2523397</v>
      </c>
      <c r="B786" t="s">
        <v>1029</v>
      </c>
      <c r="C786" t="s">
        <v>7</v>
      </c>
      <c r="D786" t="s">
        <v>9108</v>
      </c>
      <c r="E786" s="28">
        <v>46219</v>
      </c>
      <c r="F786" t="s">
        <v>9109</v>
      </c>
      <c r="G786" s="3" t="s">
        <v>9370</v>
      </c>
      <c r="H786" t="s">
        <v>306</v>
      </c>
      <c r="I786" s="28">
        <v>46314</v>
      </c>
      <c r="J786" t="s">
        <v>9118</v>
      </c>
      <c r="K786" t="s">
        <v>31</v>
      </c>
    </row>
    <row r="787" spans="1:11">
      <c r="A787" s="3">
        <v>2523398</v>
      </c>
      <c r="B787" t="s">
        <v>4703</v>
      </c>
      <c r="C787" t="s">
        <v>8</v>
      </c>
      <c r="D787" t="s">
        <v>9108</v>
      </c>
      <c r="E787" s="28">
        <v>46219</v>
      </c>
      <c r="F787" t="s">
        <v>9109</v>
      </c>
      <c r="G787" s="3" t="s">
        <v>9364</v>
      </c>
      <c r="H787" t="s">
        <v>306</v>
      </c>
      <c r="I787" s="28">
        <v>46309</v>
      </c>
      <c r="J787" t="s">
        <v>9118</v>
      </c>
      <c r="K787" t="s">
        <v>31</v>
      </c>
    </row>
    <row r="788" spans="1:11">
      <c r="A788" s="3">
        <v>2523399</v>
      </c>
      <c r="B788" t="s">
        <v>9372</v>
      </c>
      <c r="C788" t="s">
        <v>7</v>
      </c>
      <c r="D788" t="s">
        <v>9108</v>
      </c>
      <c r="E788" s="28">
        <v>46219</v>
      </c>
      <c r="F788" t="s">
        <v>9109</v>
      </c>
      <c r="G788" s="3" t="s">
        <v>9364</v>
      </c>
      <c r="H788" t="s">
        <v>306</v>
      </c>
      <c r="I788" s="28">
        <v>46309</v>
      </c>
      <c r="J788" t="s">
        <v>9118</v>
      </c>
      <c r="K788" t="s">
        <v>31</v>
      </c>
    </row>
    <row r="789" spans="1:11">
      <c r="A789" s="3">
        <v>2523400</v>
      </c>
      <c r="B789" t="s">
        <v>7581</v>
      </c>
      <c r="C789" t="s">
        <v>7</v>
      </c>
      <c r="D789" t="s">
        <v>9108</v>
      </c>
      <c r="E789" s="28">
        <v>46219</v>
      </c>
      <c r="F789" t="s">
        <v>9109</v>
      </c>
      <c r="G789" s="3" t="s">
        <v>9370</v>
      </c>
      <c r="H789" t="s">
        <v>306</v>
      </c>
      <c r="I789" s="28">
        <v>46314</v>
      </c>
      <c r="J789" t="s">
        <v>9118</v>
      </c>
      <c r="K789" t="s">
        <v>31</v>
      </c>
    </row>
    <row r="790" spans="1:11">
      <c r="A790" s="3">
        <v>2523401</v>
      </c>
      <c r="B790" t="s">
        <v>1883</v>
      </c>
      <c r="C790" t="s">
        <v>8</v>
      </c>
      <c r="D790" t="s">
        <v>9108</v>
      </c>
      <c r="E790" s="28">
        <v>46219</v>
      </c>
      <c r="F790" t="s">
        <v>9109</v>
      </c>
      <c r="G790" s="3" t="s">
        <v>9370</v>
      </c>
      <c r="H790" t="s">
        <v>306</v>
      </c>
      <c r="I790" s="28">
        <v>46314</v>
      </c>
      <c r="J790" t="s">
        <v>9118</v>
      </c>
      <c r="K790" t="s">
        <v>31</v>
      </c>
    </row>
    <row r="791" spans="1:11">
      <c r="A791" s="3">
        <v>2523408</v>
      </c>
      <c r="B791" t="s">
        <v>1286</v>
      </c>
      <c r="C791" t="s">
        <v>8</v>
      </c>
      <c r="D791" t="s">
        <v>9108</v>
      </c>
      <c r="E791" s="28">
        <v>46219</v>
      </c>
      <c r="F791" t="s">
        <v>9109</v>
      </c>
      <c r="G791" s="3" t="s">
        <v>9364</v>
      </c>
      <c r="H791" t="s">
        <v>306</v>
      </c>
      <c r="I791" s="28">
        <v>46309</v>
      </c>
      <c r="J791" t="s">
        <v>9118</v>
      </c>
      <c r="K791" t="s">
        <v>31</v>
      </c>
    </row>
    <row r="792" spans="1:11">
      <c r="A792" s="3">
        <v>2523416</v>
      </c>
      <c r="B792" t="s">
        <v>211</v>
      </c>
      <c r="C792" t="s">
        <v>8</v>
      </c>
      <c r="D792" t="s">
        <v>9108</v>
      </c>
      <c r="E792" s="28">
        <v>46219</v>
      </c>
      <c r="F792" t="s">
        <v>9109</v>
      </c>
      <c r="G792" s="3" t="s">
        <v>9364</v>
      </c>
      <c r="H792" t="s">
        <v>306</v>
      </c>
      <c r="I792" s="28">
        <v>46309</v>
      </c>
      <c r="J792" t="s">
        <v>9118</v>
      </c>
      <c r="K792" t="s">
        <v>31</v>
      </c>
    </row>
    <row r="793" spans="1:11">
      <c r="A793" s="3">
        <v>2523417</v>
      </c>
      <c r="B793" t="s">
        <v>9373</v>
      </c>
      <c r="C793" t="s">
        <v>8</v>
      </c>
      <c r="D793" t="s">
        <v>9108</v>
      </c>
      <c r="E793" s="28">
        <v>46219</v>
      </c>
      <c r="F793" t="s">
        <v>9109</v>
      </c>
      <c r="G793" s="3" t="s">
        <v>9364</v>
      </c>
      <c r="H793" t="s">
        <v>306</v>
      </c>
      <c r="I793" s="28">
        <v>46309</v>
      </c>
      <c r="J793" t="s">
        <v>9118</v>
      </c>
      <c r="K793" t="s">
        <v>31</v>
      </c>
    </row>
    <row r="794" spans="1:11">
      <c r="A794" s="3">
        <v>2523418</v>
      </c>
      <c r="B794" t="s">
        <v>2391</v>
      </c>
      <c r="C794" t="s">
        <v>8</v>
      </c>
      <c r="D794" t="s">
        <v>9108</v>
      </c>
      <c r="E794" s="28">
        <v>46219</v>
      </c>
      <c r="F794" t="s">
        <v>9109</v>
      </c>
      <c r="G794" s="3" t="s">
        <v>9365</v>
      </c>
      <c r="H794" t="s">
        <v>9122</v>
      </c>
      <c r="I794" s="28">
        <v>46342</v>
      </c>
      <c r="J794" t="s">
        <v>9118</v>
      </c>
      <c r="K794" t="s">
        <v>32</v>
      </c>
    </row>
    <row r="795" spans="1:11">
      <c r="A795" s="3">
        <v>2523419</v>
      </c>
      <c r="B795" t="s">
        <v>9374</v>
      </c>
      <c r="C795" t="s">
        <v>7</v>
      </c>
      <c r="D795" t="s">
        <v>9108</v>
      </c>
      <c r="E795" s="28">
        <v>46219</v>
      </c>
      <c r="F795" t="s">
        <v>9109</v>
      </c>
      <c r="G795" s="3" t="s">
        <v>9365</v>
      </c>
      <c r="H795" t="s">
        <v>9122</v>
      </c>
      <c r="I795" s="28">
        <v>46342</v>
      </c>
      <c r="J795" t="s">
        <v>9118</v>
      </c>
      <c r="K795" t="s">
        <v>32</v>
      </c>
    </row>
    <row r="796" spans="1:11">
      <c r="A796" s="3">
        <v>2523420</v>
      </c>
      <c r="B796" t="s">
        <v>9375</v>
      </c>
      <c r="C796" t="s">
        <v>8</v>
      </c>
      <c r="D796" t="s">
        <v>9108</v>
      </c>
      <c r="E796" s="28">
        <v>46219</v>
      </c>
      <c r="F796" t="s">
        <v>9109</v>
      </c>
      <c r="G796" s="3" t="s">
        <v>9364</v>
      </c>
      <c r="H796" t="s">
        <v>306</v>
      </c>
      <c r="I796" s="28">
        <v>46309</v>
      </c>
      <c r="J796" t="s">
        <v>9118</v>
      </c>
      <c r="K796" t="s">
        <v>31</v>
      </c>
    </row>
    <row r="797" spans="1:11">
      <c r="A797" s="3">
        <v>2523422</v>
      </c>
      <c r="B797" t="s">
        <v>9376</v>
      </c>
      <c r="C797" t="s">
        <v>8</v>
      </c>
      <c r="D797" t="s">
        <v>9108</v>
      </c>
      <c r="E797" s="28">
        <v>46219</v>
      </c>
      <c r="F797" t="s">
        <v>9109</v>
      </c>
      <c r="G797" s="3" t="s">
        <v>9364</v>
      </c>
      <c r="H797" t="s">
        <v>306</v>
      </c>
      <c r="I797" s="28">
        <v>46309</v>
      </c>
      <c r="J797" t="s">
        <v>9118</v>
      </c>
      <c r="K797" t="s">
        <v>31</v>
      </c>
    </row>
    <row r="798" spans="1:11">
      <c r="A798" s="3">
        <v>2523423</v>
      </c>
      <c r="B798" t="s">
        <v>9377</v>
      </c>
      <c r="C798" t="s">
        <v>8</v>
      </c>
      <c r="D798" t="s">
        <v>9108</v>
      </c>
      <c r="E798" s="28">
        <v>46219</v>
      </c>
      <c r="F798" t="s">
        <v>9109</v>
      </c>
      <c r="G798" s="3" t="s">
        <v>9364</v>
      </c>
      <c r="H798" t="s">
        <v>306</v>
      </c>
      <c r="I798" s="28">
        <v>46309</v>
      </c>
      <c r="J798" t="s">
        <v>9118</v>
      </c>
      <c r="K798" t="s">
        <v>31</v>
      </c>
    </row>
    <row r="799" spans="1:11">
      <c r="A799" s="3">
        <v>2523425</v>
      </c>
      <c r="B799" t="s">
        <v>4082</v>
      </c>
      <c r="C799" t="s">
        <v>8</v>
      </c>
      <c r="D799" t="s">
        <v>9108</v>
      </c>
      <c r="E799" s="28">
        <v>46219</v>
      </c>
      <c r="F799" t="s">
        <v>9109</v>
      </c>
      <c r="G799" s="3" t="s">
        <v>9364</v>
      </c>
      <c r="H799" t="s">
        <v>306</v>
      </c>
      <c r="I799" s="28">
        <v>46309</v>
      </c>
      <c r="J799" t="s">
        <v>9118</v>
      </c>
      <c r="K799" t="s">
        <v>31</v>
      </c>
    </row>
    <row r="800" spans="1:11">
      <c r="A800" s="3">
        <v>2523426</v>
      </c>
      <c r="B800" t="s">
        <v>8991</v>
      </c>
      <c r="C800" t="s">
        <v>8</v>
      </c>
      <c r="D800" t="s">
        <v>9108</v>
      </c>
      <c r="E800" s="28">
        <v>46219</v>
      </c>
      <c r="F800" t="s">
        <v>9109</v>
      </c>
      <c r="G800" s="3" t="s">
        <v>9364</v>
      </c>
      <c r="H800" t="s">
        <v>306</v>
      </c>
      <c r="I800" s="28">
        <v>46309</v>
      </c>
      <c r="J800" t="s">
        <v>9118</v>
      </c>
      <c r="K800" t="s">
        <v>31</v>
      </c>
    </row>
    <row r="801" spans="1:11">
      <c r="A801" s="3">
        <v>2523427</v>
      </c>
      <c r="B801" t="s">
        <v>9378</v>
      </c>
      <c r="C801" t="s">
        <v>8</v>
      </c>
      <c r="D801" t="s">
        <v>9108</v>
      </c>
      <c r="E801" s="28">
        <v>46219</v>
      </c>
      <c r="F801" t="s">
        <v>9109</v>
      </c>
      <c r="G801" s="3" t="s">
        <v>9370</v>
      </c>
      <c r="H801" t="s">
        <v>306</v>
      </c>
      <c r="I801" s="28">
        <v>46314</v>
      </c>
      <c r="J801" t="s">
        <v>9118</v>
      </c>
      <c r="K801" t="s">
        <v>31</v>
      </c>
    </row>
    <row r="802" spans="1:11">
      <c r="A802" s="3">
        <v>2523430</v>
      </c>
      <c r="B802" t="s">
        <v>9379</v>
      </c>
      <c r="C802" t="s">
        <v>8</v>
      </c>
      <c r="D802" t="s">
        <v>9108</v>
      </c>
      <c r="E802" s="28">
        <v>46219</v>
      </c>
      <c r="F802" t="s">
        <v>9109</v>
      </c>
      <c r="G802" s="3" t="s">
        <v>9364</v>
      </c>
      <c r="H802" t="s">
        <v>306</v>
      </c>
      <c r="I802" s="28">
        <v>46309</v>
      </c>
      <c r="J802" t="s">
        <v>9118</v>
      </c>
      <c r="K802" t="s">
        <v>31</v>
      </c>
    </row>
    <row r="803" spans="1:11">
      <c r="A803" s="3">
        <v>2523431</v>
      </c>
      <c r="B803" t="s">
        <v>9380</v>
      </c>
      <c r="C803" t="s">
        <v>8</v>
      </c>
      <c r="D803" t="s">
        <v>9108</v>
      </c>
      <c r="E803" s="28">
        <v>46219</v>
      </c>
      <c r="F803" t="s">
        <v>9109</v>
      </c>
      <c r="G803" s="3" t="s">
        <v>9370</v>
      </c>
      <c r="H803" t="s">
        <v>306</v>
      </c>
      <c r="I803" s="28">
        <v>46314</v>
      </c>
      <c r="J803" t="s">
        <v>9118</v>
      </c>
      <c r="K803" t="s">
        <v>31</v>
      </c>
    </row>
    <row r="804" spans="1:11">
      <c r="A804" s="3">
        <v>2523432</v>
      </c>
      <c r="B804" t="s">
        <v>6400</v>
      </c>
      <c r="C804" t="s">
        <v>8</v>
      </c>
      <c r="D804" t="s">
        <v>9108</v>
      </c>
      <c r="E804" s="28">
        <v>46219</v>
      </c>
      <c r="F804" t="s">
        <v>9109</v>
      </c>
      <c r="G804" s="3" t="s">
        <v>9370</v>
      </c>
      <c r="H804" t="s">
        <v>306</v>
      </c>
      <c r="I804" s="28">
        <v>46314</v>
      </c>
      <c r="J804" t="s">
        <v>9118</v>
      </c>
      <c r="K804" t="s">
        <v>31</v>
      </c>
    </row>
    <row r="805" spans="1:11">
      <c r="A805" s="3">
        <v>2523433</v>
      </c>
      <c r="B805" t="s">
        <v>1830</v>
      </c>
      <c r="C805" t="s">
        <v>8</v>
      </c>
      <c r="D805" t="s">
        <v>9108</v>
      </c>
      <c r="E805" s="28">
        <v>46219</v>
      </c>
      <c r="F805" t="s">
        <v>9109</v>
      </c>
      <c r="G805" s="3" t="s">
        <v>9370</v>
      </c>
      <c r="H805" t="s">
        <v>306</v>
      </c>
      <c r="I805" s="28">
        <v>46314</v>
      </c>
      <c r="J805" t="s">
        <v>9118</v>
      </c>
      <c r="K805" t="s">
        <v>31</v>
      </c>
    </row>
    <row r="806" spans="1:11">
      <c r="A806" s="3">
        <v>2523434</v>
      </c>
      <c r="B806" t="s">
        <v>9381</v>
      </c>
      <c r="C806" t="s">
        <v>8</v>
      </c>
      <c r="D806" t="s">
        <v>9108</v>
      </c>
      <c r="E806" s="28">
        <v>46219</v>
      </c>
      <c r="F806" t="s">
        <v>9109</v>
      </c>
      <c r="G806" s="3" t="s">
        <v>9370</v>
      </c>
      <c r="H806" t="s">
        <v>306</v>
      </c>
      <c r="I806" s="28">
        <v>46314</v>
      </c>
      <c r="J806" t="s">
        <v>9118</v>
      </c>
      <c r="K806" t="s">
        <v>31</v>
      </c>
    </row>
    <row r="807" spans="1:11">
      <c r="A807" s="3">
        <v>2523447</v>
      </c>
      <c r="B807" t="s">
        <v>207</v>
      </c>
      <c r="C807" t="s">
        <v>8</v>
      </c>
      <c r="D807" t="s">
        <v>9108</v>
      </c>
      <c r="E807" s="28">
        <v>46219</v>
      </c>
      <c r="F807" t="s">
        <v>9109</v>
      </c>
      <c r="G807" s="3" t="s">
        <v>9370</v>
      </c>
      <c r="H807" t="s">
        <v>306</v>
      </c>
      <c r="I807" s="28">
        <v>46314</v>
      </c>
      <c r="J807" t="s">
        <v>9118</v>
      </c>
      <c r="K807" t="s">
        <v>31</v>
      </c>
    </row>
    <row r="808" spans="1:11">
      <c r="A808" s="3">
        <v>2523448</v>
      </c>
      <c r="B808" t="s">
        <v>9382</v>
      </c>
      <c r="C808" t="s">
        <v>8</v>
      </c>
      <c r="D808" t="s">
        <v>9108</v>
      </c>
      <c r="E808" s="28">
        <v>46219</v>
      </c>
      <c r="F808" t="s">
        <v>9109</v>
      </c>
      <c r="G808" s="3" t="s">
        <v>9370</v>
      </c>
      <c r="H808" t="s">
        <v>306</v>
      </c>
      <c r="I808" s="28">
        <v>46314</v>
      </c>
      <c r="J808" t="s">
        <v>9118</v>
      </c>
      <c r="K808" t="s">
        <v>31</v>
      </c>
    </row>
    <row r="809" spans="1:11">
      <c r="A809" s="3">
        <v>2523449</v>
      </c>
      <c r="B809" t="s">
        <v>2744</v>
      </c>
      <c r="C809" t="s">
        <v>8</v>
      </c>
      <c r="D809" t="s">
        <v>9108</v>
      </c>
      <c r="E809" s="28">
        <v>46219</v>
      </c>
      <c r="F809" t="s">
        <v>9109</v>
      </c>
      <c r="G809" s="3" t="s">
        <v>9364</v>
      </c>
      <c r="H809" t="s">
        <v>306</v>
      </c>
      <c r="I809" s="28">
        <v>46330</v>
      </c>
      <c r="J809" t="s">
        <v>9118</v>
      </c>
      <c r="K809" t="s">
        <v>32</v>
      </c>
    </row>
    <row r="810" spans="1:11">
      <c r="A810" s="3">
        <v>2523450</v>
      </c>
      <c r="B810" t="s">
        <v>5660</v>
      </c>
      <c r="C810" t="s">
        <v>8</v>
      </c>
      <c r="D810" t="s">
        <v>9108</v>
      </c>
      <c r="E810" s="28">
        <v>46219</v>
      </c>
      <c r="F810" t="s">
        <v>9109</v>
      </c>
      <c r="G810" s="3" t="s">
        <v>9364</v>
      </c>
      <c r="H810" t="s">
        <v>306</v>
      </c>
      <c r="I810" s="28">
        <v>46330</v>
      </c>
      <c r="J810" t="s">
        <v>9118</v>
      </c>
      <c r="K810" t="s">
        <v>32</v>
      </c>
    </row>
    <row r="811" spans="1:11">
      <c r="A811" s="3">
        <v>2523451</v>
      </c>
      <c r="B811" t="s">
        <v>5700</v>
      </c>
      <c r="C811" t="s">
        <v>8</v>
      </c>
      <c r="D811" t="s">
        <v>9108</v>
      </c>
      <c r="E811" s="28">
        <v>46219</v>
      </c>
      <c r="F811" t="s">
        <v>9109</v>
      </c>
      <c r="G811" s="3" t="s">
        <v>9364</v>
      </c>
      <c r="H811" t="s">
        <v>306</v>
      </c>
      <c r="I811" s="28">
        <v>46330</v>
      </c>
      <c r="J811" t="s">
        <v>9118</v>
      </c>
      <c r="K811" t="s">
        <v>32</v>
      </c>
    </row>
    <row r="812" spans="1:11">
      <c r="A812" s="3">
        <v>2523452</v>
      </c>
      <c r="B812" t="s">
        <v>5555</v>
      </c>
      <c r="C812" t="s">
        <v>8</v>
      </c>
      <c r="D812" t="s">
        <v>9108</v>
      </c>
      <c r="E812" s="28">
        <v>46219</v>
      </c>
      <c r="F812" t="s">
        <v>9109</v>
      </c>
      <c r="G812" s="3" t="s">
        <v>9364</v>
      </c>
      <c r="H812" t="s">
        <v>306</v>
      </c>
      <c r="I812" s="28">
        <v>46330</v>
      </c>
      <c r="J812" t="s">
        <v>9118</v>
      </c>
      <c r="K812" t="s">
        <v>32</v>
      </c>
    </row>
    <row r="813" spans="1:11">
      <c r="A813" s="3">
        <v>2523453</v>
      </c>
      <c r="B813" t="s">
        <v>3423</v>
      </c>
      <c r="C813" t="s">
        <v>8</v>
      </c>
      <c r="D813" t="s">
        <v>9108</v>
      </c>
      <c r="E813" s="28">
        <v>46219</v>
      </c>
      <c r="F813" t="s">
        <v>9109</v>
      </c>
      <c r="G813" s="3" t="s">
        <v>9370</v>
      </c>
      <c r="H813" t="s">
        <v>306</v>
      </c>
      <c r="I813" s="28">
        <v>46314</v>
      </c>
      <c r="J813" t="s">
        <v>9118</v>
      </c>
      <c r="K813" t="s">
        <v>31</v>
      </c>
    </row>
    <row r="814" spans="1:11">
      <c r="A814" s="3">
        <v>2523454</v>
      </c>
      <c r="B814" t="s">
        <v>2975</v>
      </c>
      <c r="C814" t="s">
        <v>8</v>
      </c>
      <c r="D814" t="s">
        <v>9108</v>
      </c>
      <c r="E814" s="28">
        <v>46219</v>
      </c>
      <c r="F814" t="s">
        <v>9109</v>
      </c>
      <c r="G814" s="3" t="s">
        <v>9370</v>
      </c>
      <c r="H814" t="s">
        <v>306</v>
      </c>
      <c r="I814" s="28">
        <v>46314</v>
      </c>
      <c r="J814" t="s">
        <v>9118</v>
      </c>
      <c r="K814" t="s">
        <v>31</v>
      </c>
    </row>
    <row r="815" spans="1:11">
      <c r="A815" s="3">
        <v>2523455</v>
      </c>
      <c r="B815" t="s">
        <v>9383</v>
      </c>
      <c r="C815" t="s">
        <v>8</v>
      </c>
      <c r="D815" t="s">
        <v>9108</v>
      </c>
      <c r="E815" s="28">
        <v>46219</v>
      </c>
      <c r="F815" t="s">
        <v>9109</v>
      </c>
      <c r="G815" s="3" t="s">
        <v>9370</v>
      </c>
      <c r="H815" t="s">
        <v>306</v>
      </c>
      <c r="I815" s="28">
        <v>46314</v>
      </c>
      <c r="J815" t="s">
        <v>9118</v>
      </c>
      <c r="K815" t="s">
        <v>31</v>
      </c>
    </row>
    <row r="816" spans="1:11">
      <c r="A816" s="3">
        <v>2524472</v>
      </c>
      <c r="B816" t="s">
        <v>9384</v>
      </c>
      <c r="C816" t="s">
        <v>8</v>
      </c>
      <c r="D816" t="s">
        <v>9108</v>
      </c>
      <c r="E816" s="28">
        <v>46224</v>
      </c>
      <c r="F816" t="s">
        <v>9109</v>
      </c>
      <c r="G816" s="3" t="s">
        <v>9385</v>
      </c>
      <c r="H816" t="s">
        <v>9332</v>
      </c>
      <c r="I816" s="28">
        <v>46343</v>
      </c>
      <c r="J816" t="s">
        <v>9118</v>
      </c>
      <c r="K816" t="s">
        <v>32</v>
      </c>
    </row>
    <row r="817" spans="1:11">
      <c r="A817" s="3">
        <v>2524473</v>
      </c>
      <c r="B817" t="s">
        <v>9386</v>
      </c>
      <c r="C817" t="s">
        <v>7</v>
      </c>
      <c r="D817" t="s">
        <v>9108</v>
      </c>
      <c r="E817" s="28">
        <v>46224</v>
      </c>
      <c r="F817" t="s">
        <v>9109</v>
      </c>
      <c r="G817" s="3" t="s">
        <v>9385</v>
      </c>
      <c r="H817" t="s">
        <v>9332</v>
      </c>
      <c r="I817" s="28">
        <v>46343</v>
      </c>
      <c r="J817" t="s">
        <v>9118</v>
      </c>
      <c r="K817" t="s">
        <v>32</v>
      </c>
    </row>
    <row r="818" spans="1:11">
      <c r="A818" s="3">
        <v>2524474</v>
      </c>
      <c r="B818" t="s">
        <v>9387</v>
      </c>
      <c r="C818" t="s">
        <v>8</v>
      </c>
      <c r="D818" t="s">
        <v>9108</v>
      </c>
      <c r="E818" s="28">
        <v>46224</v>
      </c>
      <c r="F818" t="s">
        <v>9109</v>
      </c>
      <c r="G818" s="3" t="s">
        <v>9385</v>
      </c>
      <c r="H818" t="s">
        <v>9332</v>
      </c>
      <c r="I818" s="28">
        <v>46343</v>
      </c>
      <c r="J818" t="s">
        <v>9118</v>
      </c>
      <c r="K818" t="s">
        <v>32</v>
      </c>
    </row>
    <row r="819" spans="1:11">
      <c r="A819" s="3">
        <v>2524475</v>
      </c>
      <c r="B819" t="s">
        <v>9388</v>
      </c>
      <c r="C819" t="s">
        <v>8</v>
      </c>
      <c r="D819" t="s">
        <v>9108</v>
      </c>
      <c r="E819" s="28">
        <v>46224</v>
      </c>
      <c r="F819" t="s">
        <v>9109</v>
      </c>
      <c r="G819" s="3" t="s">
        <v>9385</v>
      </c>
      <c r="H819" t="s">
        <v>9332</v>
      </c>
      <c r="I819" s="28">
        <v>46343</v>
      </c>
      <c r="J819" t="s">
        <v>9118</v>
      </c>
      <c r="K819" t="s">
        <v>32</v>
      </c>
    </row>
    <row r="820" spans="1:11">
      <c r="A820" s="3">
        <v>2524476</v>
      </c>
      <c r="B820" t="s">
        <v>1445</v>
      </c>
      <c r="C820" t="s">
        <v>8</v>
      </c>
      <c r="D820" t="s">
        <v>9108</v>
      </c>
      <c r="E820" s="28">
        <v>46224</v>
      </c>
      <c r="F820" t="s">
        <v>9109</v>
      </c>
      <c r="G820" s="3" t="s">
        <v>9385</v>
      </c>
      <c r="H820" t="s">
        <v>9332</v>
      </c>
      <c r="I820" s="28">
        <v>46343</v>
      </c>
      <c r="J820" t="s">
        <v>9118</v>
      </c>
      <c r="K820" t="s">
        <v>32</v>
      </c>
    </row>
    <row r="821" spans="1:11">
      <c r="A821" s="3">
        <v>2524477</v>
      </c>
      <c r="B821" t="s">
        <v>4986</v>
      </c>
      <c r="C821" t="s">
        <v>7</v>
      </c>
      <c r="D821" t="s">
        <v>9108</v>
      </c>
      <c r="E821" s="28">
        <v>46224</v>
      </c>
      <c r="F821" t="s">
        <v>9109</v>
      </c>
      <c r="G821" s="3" t="s">
        <v>9385</v>
      </c>
      <c r="H821" t="s">
        <v>9332</v>
      </c>
      <c r="I821" s="28">
        <v>46343</v>
      </c>
      <c r="J821" t="s">
        <v>9118</v>
      </c>
      <c r="K821" t="s">
        <v>32</v>
      </c>
    </row>
    <row r="822" spans="1:11">
      <c r="A822" s="3">
        <v>2524478</v>
      </c>
      <c r="B822" t="s">
        <v>3215</v>
      </c>
      <c r="C822" t="s">
        <v>7</v>
      </c>
      <c r="D822" t="s">
        <v>9108</v>
      </c>
      <c r="E822" s="28">
        <v>46224</v>
      </c>
      <c r="F822" t="s">
        <v>9109</v>
      </c>
      <c r="G822" s="3" t="s">
        <v>9385</v>
      </c>
      <c r="H822" t="s">
        <v>9332</v>
      </c>
      <c r="I822" s="28">
        <v>46343</v>
      </c>
      <c r="J822" t="s">
        <v>9118</v>
      </c>
      <c r="K822" t="s">
        <v>32</v>
      </c>
    </row>
    <row r="823" spans="1:11">
      <c r="A823" s="3">
        <v>2524479</v>
      </c>
      <c r="B823" t="s">
        <v>8616</v>
      </c>
      <c r="C823" t="s">
        <v>7</v>
      </c>
      <c r="D823" t="s">
        <v>9108</v>
      </c>
      <c r="E823" s="28">
        <v>46224</v>
      </c>
      <c r="F823" t="s">
        <v>9109</v>
      </c>
      <c r="G823" s="3" t="s">
        <v>9385</v>
      </c>
      <c r="H823" t="s">
        <v>9332</v>
      </c>
      <c r="I823" s="28">
        <v>46343</v>
      </c>
      <c r="J823" t="s">
        <v>9118</v>
      </c>
      <c r="K823" t="s">
        <v>32</v>
      </c>
    </row>
    <row r="824" spans="1:11">
      <c r="A824" s="3">
        <v>2524480</v>
      </c>
      <c r="B824" t="s">
        <v>1123</v>
      </c>
      <c r="C824" t="s">
        <v>8</v>
      </c>
      <c r="D824" t="s">
        <v>9108</v>
      </c>
      <c r="E824" s="28">
        <v>46224</v>
      </c>
      <c r="F824" t="s">
        <v>9109</v>
      </c>
      <c r="G824" s="3" t="s">
        <v>9385</v>
      </c>
      <c r="H824" t="s">
        <v>9332</v>
      </c>
      <c r="I824" s="28">
        <v>46343</v>
      </c>
      <c r="J824" t="s">
        <v>9118</v>
      </c>
      <c r="K824" t="s">
        <v>32</v>
      </c>
    </row>
    <row r="825" spans="1:11">
      <c r="A825" s="3">
        <v>2524481</v>
      </c>
      <c r="B825" t="s">
        <v>4757</v>
      </c>
      <c r="C825" t="s">
        <v>7</v>
      </c>
      <c r="D825" t="s">
        <v>9108</v>
      </c>
      <c r="E825" s="28">
        <v>46224</v>
      </c>
      <c r="F825" t="s">
        <v>9109</v>
      </c>
      <c r="G825" s="3" t="s">
        <v>9389</v>
      </c>
      <c r="H825" t="s">
        <v>236</v>
      </c>
      <c r="I825" s="28">
        <v>46309</v>
      </c>
      <c r="J825" t="s">
        <v>9118</v>
      </c>
      <c r="K825" t="s">
        <v>31</v>
      </c>
    </row>
    <row r="826" spans="1:11">
      <c r="A826" s="3">
        <v>2524487</v>
      </c>
      <c r="B826" t="s">
        <v>7386</v>
      </c>
      <c r="C826" t="s">
        <v>8</v>
      </c>
      <c r="D826" t="s">
        <v>9108</v>
      </c>
      <c r="E826" s="28">
        <v>46224</v>
      </c>
      <c r="F826" t="s">
        <v>9109</v>
      </c>
      <c r="G826" s="3" t="s">
        <v>9385</v>
      </c>
      <c r="H826" t="s">
        <v>9332</v>
      </c>
      <c r="I826" s="28">
        <v>46343</v>
      </c>
      <c r="J826" t="s">
        <v>9118</v>
      </c>
      <c r="K826" t="s">
        <v>32</v>
      </c>
    </row>
    <row r="827" spans="1:11">
      <c r="A827" s="3">
        <v>2524488</v>
      </c>
      <c r="B827" t="s">
        <v>9390</v>
      </c>
      <c r="C827" t="s">
        <v>7</v>
      </c>
      <c r="D827" t="s">
        <v>9108</v>
      </c>
      <c r="E827" s="28">
        <v>46224</v>
      </c>
      <c r="F827" t="s">
        <v>9109</v>
      </c>
      <c r="G827" s="3" t="s">
        <v>9385</v>
      </c>
      <c r="H827" t="s">
        <v>9332</v>
      </c>
      <c r="I827" s="28">
        <v>46343</v>
      </c>
      <c r="J827" t="s">
        <v>9118</v>
      </c>
      <c r="K827" t="s">
        <v>32</v>
      </c>
    </row>
    <row r="828" spans="1:11">
      <c r="A828" s="3">
        <v>2524489</v>
      </c>
      <c r="B828" t="s">
        <v>9391</v>
      </c>
      <c r="C828" t="s">
        <v>8</v>
      </c>
      <c r="D828" t="s">
        <v>9108</v>
      </c>
      <c r="E828" s="28">
        <v>46224</v>
      </c>
      <c r="F828" t="s">
        <v>9109</v>
      </c>
      <c r="G828" s="3" t="s">
        <v>9385</v>
      </c>
      <c r="H828" t="s">
        <v>9332</v>
      </c>
      <c r="I828" s="28">
        <v>46343</v>
      </c>
      <c r="J828" t="s">
        <v>9118</v>
      </c>
      <c r="K828" t="s">
        <v>32</v>
      </c>
    </row>
    <row r="829" spans="1:11">
      <c r="A829" s="3">
        <v>2524490</v>
      </c>
      <c r="B829" t="s">
        <v>2250</v>
      </c>
      <c r="C829" t="s">
        <v>7</v>
      </c>
      <c r="D829" t="s">
        <v>9108</v>
      </c>
      <c r="E829" s="28">
        <v>46224</v>
      </c>
      <c r="F829" t="s">
        <v>9109</v>
      </c>
      <c r="G829" s="3" t="s">
        <v>9385</v>
      </c>
      <c r="H829" t="s">
        <v>9332</v>
      </c>
      <c r="I829" s="28">
        <v>46343</v>
      </c>
      <c r="J829" t="s">
        <v>9118</v>
      </c>
      <c r="K829" t="s">
        <v>32</v>
      </c>
    </row>
    <row r="830" spans="1:11">
      <c r="A830" s="3">
        <v>2524492</v>
      </c>
      <c r="B830" t="s">
        <v>3873</v>
      </c>
      <c r="C830" t="s">
        <v>7</v>
      </c>
      <c r="D830" t="s">
        <v>9108</v>
      </c>
      <c r="E830" s="28">
        <v>46224</v>
      </c>
      <c r="F830" t="s">
        <v>9109</v>
      </c>
      <c r="G830" s="3" t="s">
        <v>9392</v>
      </c>
      <c r="H830" t="s">
        <v>962</v>
      </c>
      <c r="I830" s="28">
        <v>46336</v>
      </c>
      <c r="J830" t="s">
        <v>9118</v>
      </c>
      <c r="K830" t="s">
        <v>32</v>
      </c>
    </row>
    <row r="831" spans="1:11">
      <c r="A831" s="3">
        <v>2524493</v>
      </c>
      <c r="B831" t="s">
        <v>5729</v>
      </c>
      <c r="C831" t="s">
        <v>8</v>
      </c>
      <c r="D831" t="s">
        <v>9108</v>
      </c>
      <c r="E831" s="28">
        <v>46224</v>
      </c>
      <c r="F831" t="s">
        <v>9109</v>
      </c>
      <c r="G831" s="3" t="s">
        <v>9385</v>
      </c>
      <c r="H831" t="s">
        <v>9332</v>
      </c>
      <c r="I831" s="28">
        <v>46343</v>
      </c>
      <c r="J831" t="s">
        <v>9118</v>
      </c>
      <c r="K831" t="s">
        <v>32</v>
      </c>
    </row>
    <row r="832" spans="1:11">
      <c r="A832" s="3">
        <v>2524496</v>
      </c>
      <c r="B832" t="s">
        <v>951</v>
      </c>
      <c r="C832" t="s">
        <v>8</v>
      </c>
      <c r="D832" t="s">
        <v>9108</v>
      </c>
      <c r="E832" s="28">
        <v>46224</v>
      </c>
      <c r="F832" t="s">
        <v>9109</v>
      </c>
      <c r="G832" s="3" t="s">
        <v>9392</v>
      </c>
      <c r="H832" t="s">
        <v>962</v>
      </c>
      <c r="I832" s="28">
        <v>46336</v>
      </c>
      <c r="J832" t="s">
        <v>9118</v>
      </c>
      <c r="K832" t="s">
        <v>32</v>
      </c>
    </row>
    <row r="833" spans="1:11">
      <c r="A833" s="3">
        <v>2524497</v>
      </c>
      <c r="B833" t="s">
        <v>9393</v>
      </c>
      <c r="C833" t="s">
        <v>7</v>
      </c>
      <c r="D833" t="s">
        <v>9108</v>
      </c>
      <c r="E833" s="28">
        <v>46224</v>
      </c>
      <c r="F833" t="s">
        <v>9109</v>
      </c>
      <c r="G833" s="3" t="s">
        <v>9392</v>
      </c>
      <c r="H833" t="s">
        <v>962</v>
      </c>
      <c r="I833" s="28">
        <v>46336</v>
      </c>
      <c r="J833" t="s">
        <v>9118</v>
      </c>
      <c r="K833" t="s">
        <v>32</v>
      </c>
    </row>
    <row r="834" spans="1:11">
      <c r="A834" s="3">
        <v>2524499</v>
      </c>
      <c r="B834" t="s">
        <v>5538</v>
      </c>
      <c r="C834" t="s">
        <v>8</v>
      </c>
      <c r="D834" t="s">
        <v>9108</v>
      </c>
      <c r="E834" s="28">
        <v>46224</v>
      </c>
      <c r="F834" t="s">
        <v>9109</v>
      </c>
      <c r="G834" s="3" t="s">
        <v>9385</v>
      </c>
      <c r="H834" t="s">
        <v>9332</v>
      </c>
      <c r="I834" s="28">
        <v>46343</v>
      </c>
      <c r="J834" t="s">
        <v>9118</v>
      </c>
      <c r="K834" t="s">
        <v>32</v>
      </c>
    </row>
    <row r="835" spans="1:11">
      <c r="A835" s="3">
        <v>2524500</v>
      </c>
      <c r="B835" t="s">
        <v>9394</v>
      </c>
      <c r="C835" t="s">
        <v>8</v>
      </c>
      <c r="D835" t="s">
        <v>9108</v>
      </c>
      <c r="E835" s="28">
        <v>46224</v>
      </c>
      <c r="F835" t="s">
        <v>9109</v>
      </c>
      <c r="G835" s="3" t="s">
        <v>9385</v>
      </c>
      <c r="H835" t="s">
        <v>9332</v>
      </c>
      <c r="I835" s="28">
        <v>46343</v>
      </c>
      <c r="J835" t="s">
        <v>9118</v>
      </c>
      <c r="K835" t="s">
        <v>32</v>
      </c>
    </row>
    <row r="836" spans="1:11">
      <c r="A836" s="3">
        <v>2524501</v>
      </c>
      <c r="B836" t="s">
        <v>7710</v>
      </c>
      <c r="C836" t="s">
        <v>7</v>
      </c>
      <c r="D836" t="s">
        <v>9108</v>
      </c>
      <c r="E836" s="28">
        <v>46224</v>
      </c>
      <c r="F836" t="s">
        <v>9109</v>
      </c>
      <c r="G836" s="3" t="s">
        <v>9385</v>
      </c>
      <c r="H836" t="s">
        <v>9332</v>
      </c>
      <c r="I836" s="28">
        <v>46343</v>
      </c>
      <c r="J836" t="s">
        <v>9118</v>
      </c>
      <c r="K836" t="s">
        <v>32</v>
      </c>
    </row>
    <row r="837" spans="1:11">
      <c r="A837" s="3">
        <v>2524503</v>
      </c>
      <c r="B837" t="s">
        <v>9068</v>
      </c>
      <c r="C837" t="s">
        <v>8</v>
      </c>
      <c r="D837" t="s">
        <v>9108</v>
      </c>
      <c r="E837" s="28">
        <v>46224</v>
      </c>
      <c r="F837" t="s">
        <v>9109</v>
      </c>
      <c r="G837" s="3" t="s">
        <v>9385</v>
      </c>
      <c r="H837" t="s">
        <v>9332</v>
      </c>
      <c r="I837" s="28">
        <v>46343</v>
      </c>
      <c r="J837" t="s">
        <v>9118</v>
      </c>
      <c r="K837" t="s">
        <v>32</v>
      </c>
    </row>
    <row r="838" spans="1:11">
      <c r="A838" s="3">
        <v>2524504</v>
      </c>
      <c r="B838" t="s">
        <v>5190</v>
      </c>
      <c r="C838" t="s">
        <v>7</v>
      </c>
      <c r="D838" t="s">
        <v>9108</v>
      </c>
      <c r="E838" s="28">
        <v>46224</v>
      </c>
      <c r="F838" t="s">
        <v>9109</v>
      </c>
      <c r="G838" s="3" t="s">
        <v>9395</v>
      </c>
      <c r="H838" t="s">
        <v>9329</v>
      </c>
      <c r="I838" s="28">
        <v>46330</v>
      </c>
      <c r="J838" t="s">
        <v>9118</v>
      </c>
      <c r="K838" t="s">
        <v>32</v>
      </c>
    </row>
    <row r="839" spans="1:11">
      <c r="A839" s="3">
        <v>2524505</v>
      </c>
      <c r="B839" t="s">
        <v>9396</v>
      </c>
      <c r="C839" t="s">
        <v>8</v>
      </c>
      <c r="D839" t="s">
        <v>9108</v>
      </c>
      <c r="E839" s="28">
        <v>46224</v>
      </c>
      <c r="F839" t="s">
        <v>9109</v>
      </c>
      <c r="G839" s="3" t="s">
        <v>9395</v>
      </c>
      <c r="H839" t="s">
        <v>9329</v>
      </c>
      <c r="I839" s="28">
        <v>46330</v>
      </c>
      <c r="J839" t="s">
        <v>9118</v>
      </c>
      <c r="K839" t="s">
        <v>32</v>
      </c>
    </row>
    <row r="840" spans="1:11">
      <c r="A840" s="3">
        <v>2524508</v>
      </c>
      <c r="B840" t="s">
        <v>3610</v>
      </c>
      <c r="C840" t="s">
        <v>7</v>
      </c>
      <c r="D840" t="s">
        <v>9108</v>
      </c>
      <c r="E840" s="28">
        <v>46224</v>
      </c>
      <c r="F840" t="s">
        <v>9109</v>
      </c>
      <c r="G840" s="3" t="s">
        <v>9395</v>
      </c>
      <c r="H840" t="s">
        <v>9329</v>
      </c>
      <c r="I840" s="28">
        <v>46330</v>
      </c>
      <c r="J840" t="s">
        <v>9118</v>
      </c>
      <c r="K840" t="s">
        <v>32</v>
      </c>
    </row>
    <row r="841" spans="1:11">
      <c r="A841" s="3">
        <v>2524509</v>
      </c>
      <c r="B841" t="s">
        <v>4738</v>
      </c>
      <c r="C841" t="s">
        <v>7</v>
      </c>
      <c r="D841" t="s">
        <v>9108</v>
      </c>
      <c r="E841" s="28">
        <v>46224</v>
      </c>
      <c r="F841" t="s">
        <v>9109</v>
      </c>
      <c r="G841" s="3" t="s">
        <v>9389</v>
      </c>
      <c r="H841" t="s">
        <v>236</v>
      </c>
      <c r="I841" s="28">
        <v>46309</v>
      </c>
      <c r="J841" t="s">
        <v>9118</v>
      </c>
      <c r="K841" t="s">
        <v>31</v>
      </c>
    </row>
    <row r="842" spans="1:11">
      <c r="A842" s="3">
        <v>2524510</v>
      </c>
      <c r="B842" t="s">
        <v>1493</v>
      </c>
      <c r="C842" t="s">
        <v>8</v>
      </c>
      <c r="D842" t="s">
        <v>9108</v>
      </c>
      <c r="E842" s="28">
        <v>46224</v>
      </c>
      <c r="F842" t="s">
        <v>9109</v>
      </c>
      <c r="G842" s="3" t="s">
        <v>9395</v>
      </c>
      <c r="H842" t="s">
        <v>9329</v>
      </c>
      <c r="I842" s="28">
        <v>46330</v>
      </c>
      <c r="J842" t="s">
        <v>9118</v>
      </c>
      <c r="K842" t="s">
        <v>32</v>
      </c>
    </row>
    <row r="843" spans="1:11">
      <c r="A843" s="3">
        <v>2524513</v>
      </c>
      <c r="B843" t="s">
        <v>4894</v>
      </c>
      <c r="C843" t="s">
        <v>7</v>
      </c>
      <c r="D843" t="s">
        <v>9108</v>
      </c>
      <c r="E843" s="28">
        <v>46224</v>
      </c>
      <c r="F843" t="s">
        <v>9109</v>
      </c>
      <c r="G843" s="3" t="s">
        <v>9395</v>
      </c>
      <c r="H843" t="s">
        <v>9329</v>
      </c>
      <c r="I843" s="28">
        <v>46330</v>
      </c>
      <c r="J843" t="s">
        <v>9118</v>
      </c>
      <c r="K843" t="s">
        <v>32</v>
      </c>
    </row>
    <row r="844" spans="1:11">
      <c r="A844" s="3">
        <v>2524514</v>
      </c>
      <c r="B844" t="s">
        <v>2089</v>
      </c>
      <c r="C844" t="s">
        <v>7</v>
      </c>
      <c r="D844" t="s">
        <v>9108</v>
      </c>
      <c r="E844" s="28">
        <v>46224</v>
      </c>
      <c r="F844" t="s">
        <v>9109</v>
      </c>
      <c r="G844" s="3" t="s">
        <v>9389</v>
      </c>
      <c r="H844" t="s">
        <v>236</v>
      </c>
      <c r="I844" s="28">
        <v>46309</v>
      </c>
      <c r="J844" t="s">
        <v>9118</v>
      </c>
      <c r="K844" t="s">
        <v>31</v>
      </c>
    </row>
    <row r="845" spans="1:11">
      <c r="A845" s="3">
        <v>2524515</v>
      </c>
      <c r="B845" t="s">
        <v>8165</v>
      </c>
      <c r="C845" t="s">
        <v>8</v>
      </c>
      <c r="D845" t="s">
        <v>9108</v>
      </c>
      <c r="E845" s="28">
        <v>46224</v>
      </c>
      <c r="F845" t="s">
        <v>9109</v>
      </c>
      <c r="G845" s="3" t="s">
        <v>9389</v>
      </c>
      <c r="H845" t="s">
        <v>236</v>
      </c>
      <c r="I845" s="28">
        <v>46309</v>
      </c>
      <c r="J845" t="s">
        <v>9118</v>
      </c>
      <c r="K845" t="s">
        <v>31</v>
      </c>
    </row>
    <row r="846" spans="1:11">
      <c r="A846" s="3">
        <v>2524516</v>
      </c>
      <c r="B846" t="s">
        <v>7662</v>
      </c>
      <c r="C846" t="s">
        <v>7</v>
      </c>
      <c r="D846" t="s">
        <v>9108</v>
      </c>
      <c r="E846" s="28">
        <v>46224</v>
      </c>
      <c r="F846" t="s">
        <v>9109</v>
      </c>
      <c r="G846" s="3" t="s">
        <v>9385</v>
      </c>
      <c r="H846" t="s">
        <v>9332</v>
      </c>
      <c r="I846" s="28">
        <v>46343</v>
      </c>
      <c r="J846" t="s">
        <v>9118</v>
      </c>
      <c r="K846" t="s">
        <v>32</v>
      </c>
    </row>
    <row r="847" spans="1:11">
      <c r="A847" s="3">
        <v>2524517</v>
      </c>
      <c r="B847" t="s">
        <v>3820</v>
      </c>
      <c r="C847" t="s">
        <v>8</v>
      </c>
      <c r="D847" t="s">
        <v>9108</v>
      </c>
      <c r="E847" s="28">
        <v>46224</v>
      </c>
      <c r="F847" t="s">
        <v>9109</v>
      </c>
      <c r="G847" s="3" t="s">
        <v>9385</v>
      </c>
      <c r="H847" t="s">
        <v>9332</v>
      </c>
      <c r="I847" s="28">
        <v>46343</v>
      </c>
      <c r="J847" t="s">
        <v>9118</v>
      </c>
      <c r="K847" t="s">
        <v>32</v>
      </c>
    </row>
    <row r="848" spans="1:11">
      <c r="A848" s="3">
        <v>2524518</v>
      </c>
      <c r="B848" t="s">
        <v>6074</v>
      </c>
      <c r="C848" t="s">
        <v>7</v>
      </c>
      <c r="D848" t="s">
        <v>9108</v>
      </c>
      <c r="E848" s="28">
        <v>46224</v>
      </c>
      <c r="F848" t="s">
        <v>9109</v>
      </c>
      <c r="G848" s="3" t="s">
        <v>9389</v>
      </c>
      <c r="H848" t="s">
        <v>236</v>
      </c>
      <c r="I848" s="28">
        <v>46309</v>
      </c>
      <c r="J848" t="s">
        <v>9118</v>
      </c>
      <c r="K848" t="s">
        <v>31</v>
      </c>
    </row>
    <row r="849" spans="1:11">
      <c r="A849" s="3">
        <v>2524519</v>
      </c>
      <c r="B849" t="s">
        <v>1324</v>
      </c>
      <c r="C849" t="s">
        <v>8</v>
      </c>
      <c r="D849" t="s">
        <v>9108</v>
      </c>
      <c r="E849" s="28">
        <v>46224</v>
      </c>
      <c r="F849" t="s">
        <v>9109</v>
      </c>
      <c r="G849" s="3" t="s">
        <v>9395</v>
      </c>
      <c r="H849" t="s">
        <v>9329</v>
      </c>
      <c r="I849" s="28">
        <v>46330</v>
      </c>
      <c r="J849" t="s">
        <v>9118</v>
      </c>
      <c r="K849" t="s">
        <v>32</v>
      </c>
    </row>
    <row r="850" spans="1:11">
      <c r="A850" s="3">
        <v>2524520</v>
      </c>
      <c r="B850" t="s">
        <v>9397</v>
      </c>
      <c r="C850" t="s">
        <v>7</v>
      </c>
      <c r="D850" t="s">
        <v>9108</v>
      </c>
      <c r="E850" s="28">
        <v>46224</v>
      </c>
      <c r="F850" t="s">
        <v>9109</v>
      </c>
      <c r="G850" s="3" t="s">
        <v>9385</v>
      </c>
      <c r="H850" t="s">
        <v>9332</v>
      </c>
      <c r="I850" s="28">
        <v>46343</v>
      </c>
      <c r="J850" t="s">
        <v>9118</v>
      </c>
      <c r="K850" t="s">
        <v>32</v>
      </c>
    </row>
    <row r="851" spans="1:11">
      <c r="A851" s="3">
        <v>2524521</v>
      </c>
      <c r="B851" t="s">
        <v>1627</v>
      </c>
      <c r="C851" t="s">
        <v>8</v>
      </c>
      <c r="D851" t="s">
        <v>9108</v>
      </c>
      <c r="E851" s="28">
        <v>46224</v>
      </c>
      <c r="F851" t="s">
        <v>9109</v>
      </c>
      <c r="G851" s="3" t="s">
        <v>9385</v>
      </c>
      <c r="H851" t="s">
        <v>9332</v>
      </c>
      <c r="I851" s="28">
        <v>46343</v>
      </c>
      <c r="J851" t="s">
        <v>9118</v>
      </c>
      <c r="K851" t="s">
        <v>32</v>
      </c>
    </row>
    <row r="852" spans="1:11">
      <c r="A852" s="3">
        <v>2524522</v>
      </c>
      <c r="B852" t="s">
        <v>5425</v>
      </c>
      <c r="C852" t="s">
        <v>8</v>
      </c>
      <c r="D852" t="s">
        <v>9108</v>
      </c>
      <c r="E852" s="28">
        <v>46224</v>
      </c>
      <c r="F852" t="s">
        <v>9109</v>
      </c>
      <c r="G852" s="3" t="s">
        <v>9395</v>
      </c>
      <c r="H852" t="s">
        <v>9329</v>
      </c>
      <c r="I852" s="28">
        <v>46330</v>
      </c>
      <c r="J852" t="s">
        <v>9118</v>
      </c>
      <c r="K852" t="s">
        <v>32</v>
      </c>
    </row>
    <row r="853" spans="1:11">
      <c r="A853" s="3">
        <v>2524524</v>
      </c>
      <c r="B853" t="s">
        <v>8227</v>
      </c>
      <c r="C853" t="s">
        <v>8</v>
      </c>
      <c r="D853" t="s">
        <v>9108</v>
      </c>
      <c r="E853" s="28">
        <v>46224</v>
      </c>
      <c r="F853" t="s">
        <v>9109</v>
      </c>
      <c r="G853" s="3" t="s">
        <v>9395</v>
      </c>
      <c r="H853" t="s">
        <v>9329</v>
      </c>
      <c r="I853" s="28">
        <v>46330</v>
      </c>
      <c r="J853" t="s">
        <v>9118</v>
      </c>
      <c r="K853" t="s">
        <v>32</v>
      </c>
    </row>
    <row r="854" spans="1:11">
      <c r="A854" s="3">
        <v>2524525</v>
      </c>
      <c r="B854" t="s">
        <v>2749</v>
      </c>
      <c r="C854" t="s">
        <v>7</v>
      </c>
      <c r="D854" t="s">
        <v>9108</v>
      </c>
      <c r="E854" s="28">
        <v>46224</v>
      </c>
      <c r="F854" t="s">
        <v>9109</v>
      </c>
      <c r="G854" s="3" t="s">
        <v>9389</v>
      </c>
      <c r="H854" t="s">
        <v>236</v>
      </c>
      <c r="I854" s="28">
        <v>46309</v>
      </c>
      <c r="J854" t="s">
        <v>9118</v>
      </c>
      <c r="K854" t="s">
        <v>31</v>
      </c>
    </row>
    <row r="855" spans="1:11">
      <c r="A855" s="3">
        <v>2524526</v>
      </c>
      <c r="B855" t="s">
        <v>9035</v>
      </c>
      <c r="C855" t="s">
        <v>8</v>
      </c>
      <c r="D855" t="s">
        <v>9108</v>
      </c>
      <c r="E855" s="28">
        <v>46224</v>
      </c>
      <c r="F855" t="s">
        <v>9109</v>
      </c>
      <c r="G855" s="3" t="s">
        <v>9389</v>
      </c>
      <c r="H855" t="s">
        <v>236</v>
      </c>
      <c r="I855" s="28">
        <v>46309</v>
      </c>
      <c r="J855" t="s">
        <v>9118</v>
      </c>
      <c r="K855" t="s">
        <v>31</v>
      </c>
    </row>
    <row r="856" spans="1:11">
      <c r="A856" s="3">
        <v>2524527</v>
      </c>
      <c r="B856" t="s">
        <v>6374</v>
      </c>
      <c r="C856" t="s">
        <v>8</v>
      </c>
      <c r="D856" t="s">
        <v>9108</v>
      </c>
      <c r="E856" s="28">
        <v>46224</v>
      </c>
      <c r="F856" t="s">
        <v>9109</v>
      </c>
      <c r="G856" s="3" t="s">
        <v>9395</v>
      </c>
      <c r="H856" t="s">
        <v>9329</v>
      </c>
      <c r="I856" s="28">
        <v>46330</v>
      </c>
      <c r="J856" t="s">
        <v>9118</v>
      </c>
      <c r="K856" t="s">
        <v>32</v>
      </c>
    </row>
    <row r="857" spans="1:11">
      <c r="A857" s="3">
        <v>2524529</v>
      </c>
      <c r="B857" t="s">
        <v>5374</v>
      </c>
      <c r="C857" t="s">
        <v>8</v>
      </c>
      <c r="D857" t="s">
        <v>9108</v>
      </c>
      <c r="E857" s="28">
        <v>46224</v>
      </c>
      <c r="F857" t="s">
        <v>9109</v>
      </c>
      <c r="G857" s="3" t="s">
        <v>9389</v>
      </c>
      <c r="H857" t="s">
        <v>236</v>
      </c>
      <c r="I857" s="28">
        <v>46309</v>
      </c>
      <c r="J857" t="s">
        <v>9118</v>
      </c>
      <c r="K857" t="s">
        <v>31</v>
      </c>
    </row>
    <row r="858" spans="1:11">
      <c r="A858" s="3">
        <v>2524530</v>
      </c>
      <c r="B858" t="s">
        <v>7727</v>
      </c>
      <c r="C858" t="s">
        <v>7</v>
      </c>
      <c r="D858" t="s">
        <v>9108</v>
      </c>
      <c r="E858" s="28">
        <v>46224</v>
      </c>
      <c r="F858" t="s">
        <v>9109</v>
      </c>
      <c r="G858" s="3" t="s">
        <v>9389</v>
      </c>
      <c r="H858" t="s">
        <v>236</v>
      </c>
      <c r="I858" s="28">
        <v>46309</v>
      </c>
      <c r="J858" t="s">
        <v>9118</v>
      </c>
      <c r="K858" t="s">
        <v>31</v>
      </c>
    </row>
    <row r="859" spans="1:11">
      <c r="A859" s="3">
        <v>2524532</v>
      </c>
      <c r="B859" t="s">
        <v>9398</v>
      </c>
      <c r="C859" t="s">
        <v>7</v>
      </c>
      <c r="D859" t="s">
        <v>9108</v>
      </c>
      <c r="E859" s="28">
        <v>46224</v>
      </c>
      <c r="F859" t="s">
        <v>9109</v>
      </c>
      <c r="G859" s="3" t="s">
        <v>9385</v>
      </c>
      <c r="H859" t="s">
        <v>9332</v>
      </c>
      <c r="I859" s="28">
        <v>46343</v>
      </c>
      <c r="J859" t="s">
        <v>9118</v>
      </c>
      <c r="K859" t="s">
        <v>32</v>
      </c>
    </row>
    <row r="860" spans="1:11">
      <c r="A860" s="3">
        <v>2524533</v>
      </c>
      <c r="B860" t="s">
        <v>2334</v>
      </c>
      <c r="C860" t="s">
        <v>8</v>
      </c>
      <c r="D860" t="s">
        <v>9108</v>
      </c>
      <c r="E860" s="28">
        <v>46224</v>
      </c>
      <c r="F860" t="s">
        <v>9109</v>
      </c>
      <c r="G860" s="3" t="s">
        <v>9389</v>
      </c>
      <c r="H860" t="s">
        <v>236</v>
      </c>
      <c r="I860" s="28">
        <v>46309</v>
      </c>
      <c r="J860" t="s">
        <v>9118</v>
      </c>
      <c r="K860" t="s">
        <v>31</v>
      </c>
    </row>
    <row r="861" spans="1:11">
      <c r="A861" s="3">
        <v>2524534</v>
      </c>
      <c r="B861" t="s">
        <v>4478</v>
      </c>
      <c r="C861" t="s">
        <v>7</v>
      </c>
      <c r="D861" t="s">
        <v>9108</v>
      </c>
      <c r="E861" s="28">
        <v>46224</v>
      </c>
      <c r="F861" t="s">
        <v>9109</v>
      </c>
      <c r="G861" s="3" t="s">
        <v>9395</v>
      </c>
      <c r="H861" t="s">
        <v>9329</v>
      </c>
      <c r="I861" s="28">
        <v>46330</v>
      </c>
      <c r="J861" t="s">
        <v>9118</v>
      </c>
      <c r="K861" t="s">
        <v>32</v>
      </c>
    </row>
    <row r="862" spans="1:11">
      <c r="A862" s="3">
        <v>2524535</v>
      </c>
      <c r="B862" t="s">
        <v>1698</v>
      </c>
      <c r="C862" t="s">
        <v>8</v>
      </c>
      <c r="D862" t="s">
        <v>9108</v>
      </c>
      <c r="E862" s="28">
        <v>46224</v>
      </c>
      <c r="F862" t="s">
        <v>9109</v>
      </c>
      <c r="G862" s="3" t="s">
        <v>9385</v>
      </c>
      <c r="H862" t="s">
        <v>9332</v>
      </c>
      <c r="I862" s="28">
        <v>46343</v>
      </c>
      <c r="J862" t="s">
        <v>9118</v>
      </c>
      <c r="K862" t="s">
        <v>32</v>
      </c>
    </row>
    <row r="863" spans="1:11">
      <c r="A863" s="3">
        <v>2524537</v>
      </c>
      <c r="B863" t="s">
        <v>1552</v>
      </c>
      <c r="C863" t="s">
        <v>7</v>
      </c>
      <c r="D863" t="s">
        <v>9108</v>
      </c>
      <c r="E863" s="28">
        <v>46224</v>
      </c>
      <c r="F863" t="s">
        <v>9109</v>
      </c>
      <c r="G863" s="3" t="s">
        <v>9389</v>
      </c>
      <c r="H863" t="s">
        <v>236</v>
      </c>
      <c r="I863" s="28">
        <v>46309</v>
      </c>
      <c r="J863" t="s">
        <v>9118</v>
      </c>
      <c r="K863" t="s">
        <v>31</v>
      </c>
    </row>
    <row r="864" spans="1:11">
      <c r="A864" s="3">
        <v>2524538</v>
      </c>
      <c r="B864" t="s">
        <v>8625</v>
      </c>
      <c r="C864" t="s">
        <v>7</v>
      </c>
      <c r="D864" t="s">
        <v>9108</v>
      </c>
      <c r="E864" s="28">
        <v>46224</v>
      </c>
      <c r="F864" t="s">
        <v>9109</v>
      </c>
      <c r="G864" s="3" t="s">
        <v>9389</v>
      </c>
      <c r="H864" t="s">
        <v>236</v>
      </c>
      <c r="I864" s="28">
        <v>46309</v>
      </c>
      <c r="J864" t="s">
        <v>9118</v>
      </c>
      <c r="K864" t="s">
        <v>31</v>
      </c>
    </row>
    <row r="865" spans="1:11">
      <c r="A865" s="3">
        <v>2524540</v>
      </c>
      <c r="B865" t="s">
        <v>3757</v>
      </c>
      <c r="C865" t="s">
        <v>8</v>
      </c>
      <c r="D865" t="s">
        <v>9108</v>
      </c>
      <c r="E865" s="28">
        <v>46224</v>
      </c>
      <c r="F865" t="s">
        <v>9109</v>
      </c>
      <c r="G865" s="3" t="s">
        <v>9389</v>
      </c>
      <c r="H865" t="s">
        <v>236</v>
      </c>
      <c r="I865" s="28">
        <v>46309</v>
      </c>
      <c r="J865" t="s">
        <v>9118</v>
      </c>
      <c r="K865" t="s">
        <v>31</v>
      </c>
    </row>
    <row r="866" spans="1:11">
      <c r="A866" s="3">
        <v>2524541</v>
      </c>
      <c r="B866" t="s">
        <v>7737</v>
      </c>
      <c r="C866" t="s">
        <v>7</v>
      </c>
      <c r="D866" t="s">
        <v>9108</v>
      </c>
      <c r="E866" s="28">
        <v>46224</v>
      </c>
      <c r="F866" t="s">
        <v>9109</v>
      </c>
      <c r="G866" s="3" t="s">
        <v>9395</v>
      </c>
      <c r="H866" t="s">
        <v>9329</v>
      </c>
      <c r="I866" s="28">
        <v>46330</v>
      </c>
      <c r="J866" t="s">
        <v>9118</v>
      </c>
      <c r="K866" t="s">
        <v>32</v>
      </c>
    </row>
    <row r="867" spans="1:11">
      <c r="A867" s="3">
        <v>2524542</v>
      </c>
      <c r="B867" t="s">
        <v>9399</v>
      </c>
      <c r="C867" t="s">
        <v>7</v>
      </c>
      <c r="D867" t="s">
        <v>9108</v>
      </c>
      <c r="E867" s="28">
        <v>46224</v>
      </c>
      <c r="F867" t="s">
        <v>9109</v>
      </c>
      <c r="G867" s="3" t="s">
        <v>9395</v>
      </c>
      <c r="H867" t="s">
        <v>9329</v>
      </c>
      <c r="I867" s="28">
        <v>46330</v>
      </c>
      <c r="J867" t="s">
        <v>9118</v>
      </c>
      <c r="K867" t="s">
        <v>32</v>
      </c>
    </row>
    <row r="868" spans="1:11">
      <c r="A868" s="3">
        <v>2524544</v>
      </c>
      <c r="B868" t="s">
        <v>2685</v>
      </c>
      <c r="C868" t="s">
        <v>8</v>
      </c>
      <c r="D868" t="s">
        <v>9108</v>
      </c>
      <c r="E868" s="28">
        <v>46224</v>
      </c>
      <c r="F868" t="s">
        <v>9109</v>
      </c>
      <c r="G868" s="3" t="s">
        <v>9389</v>
      </c>
      <c r="H868" t="s">
        <v>236</v>
      </c>
      <c r="I868" s="28">
        <v>46309</v>
      </c>
      <c r="J868" t="s">
        <v>9118</v>
      </c>
      <c r="K868" t="s">
        <v>31</v>
      </c>
    </row>
    <row r="869" spans="1:11">
      <c r="A869" s="3">
        <v>2524545</v>
      </c>
      <c r="B869" t="s">
        <v>6272</v>
      </c>
      <c r="C869" t="s">
        <v>8</v>
      </c>
      <c r="D869" t="s">
        <v>9108</v>
      </c>
      <c r="E869" s="28">
        <v>46224</v>
      </c>
      <c r="F869" t="s">
        <v>9109</v>
      </c>
      <c r="G869" s="3" t="s">
        <v>9395</v>
      </c>
      <c r="H869" t="s">
        <v>9329</v>
      </c>
      <c r="I869" s="28">
        <v>46330</v>
      </c>
      <c r="J869" t="s">
        <v>9118</v>
      </c>
      <c r="K869" t="s">
        <v>32</v>
      </c>
    </row>
    <row r="870" spans="1:11">
      <c r="A870" s="3">
        <v>2524546</v>
      </c>
      <c r="B870" t="s">
        <v>8180</v>
      </c>
      <c r="C870" t="s">
        <v>8</v>
      </c>
      <c r="D870" t="s">
        <v>9108</v>
      </c>
      <c r="E870" s="28">
        <v>46224</v>
      </c>
      <c r="F870" t="s">
        <v>9109</v>
      </c>
      <c r="G870" s="3" t="s">
        <v>9392</v>
      </c>
      <c r="H870" t="s">
        <v>962</v>
      </c>
      <c r="I870" s="28">
        <v>46336</v>
      </c>
      <c r="J870" t="s">
        <v>9118</v>
      </c>
      <c r="K870" t="s">
        <v>32</v>
      </c>
    </row>
    <row r="871" spans="1:11">
      <c r="A871" s="3">
        <v>2524547</v>
      </c>
      <c r="B871" t="s">
        <v>9400</v>
      </c>
      <c r="C871" t="s">
        <v>8</v>
      </c>
      <c r="D871" t="s">
        <v>9108</v>
      </c>
      <c r="E871" s="28">
        <v>46224</v>
      </c>
      <c r="F871" t="s">
        <v>9109</v>
      </c>
      <c r="G871" s="3" t="s">
        <v>9389</v>
      </c>
      <c r="H871" t="s">
        <v>236</v>
      </c>
      <c r="I871" s="28">
        <v>46309</v>
      </c>
      <c r="J871" t="s">
        <v>9118</v>
      </c>
      <c r="K871" t="s">
        <v>31</v>
      </c>
    </row>
    <row r="872" spans="1:11">
      <c r="A872" s="3">
        <v>2524548</v>
      </c>
      <c r="B872" t="s">
        <v>4924</v>
      </c>
      <c r="C872" t="s">
        <v>7</v>
      </c>
      <c r="D872" t="s">
        <v>9108</v>
      </c>
      <c r="E872" s="28">
        <v>46224</v>
      </c>
      <c r="F872" t="s">
        <v>9109</v>
      </c>
      <c r="G872" s="3" t="s">
        <v>9389</v>
      </c>
      <c r="H872" t="s">
        <v>236</v>
      </c>
      <c r="I872" s="28">
        <v>46309</v>
      </c>
      <c r="J872" t="s">
        <v>9118</v>
      </c>
      <c r="K872" t="s">
        <v>31</v>
      </c>
    </row>
    <row r="873" spans="1:11">
      <c r="A873" s="3">
        <v>2524549</v>
      </c>
      <c r="B873" t="s">
        <v>9401</v>
      </c>
      <c r="C873" t="s">
        <v>7</v>
      </c>
      <c r="D873" t="s">
        <v>9108</v>
      </c>
      <c r="E873" s="28">
        <v>46224</v>
      </c>
      <c r="F873" t="s">
        <v>9109</v>
      </c>
      <c r="G873" s="3" t="s">
        <v>9395</v>
      </c>
      <c r="H873" t="s">
        <v>9329</v>
      </c>
      <c r="I873" s="28">
        <v>46330</v>
      </c>
      <c r="J873" t="s">
        <v>9118</v>
      </c>
      <c r="K873" t="s">
        <v>32</v>
      </c>
    </row>
    <row r="874" spans="1:11">
      <c r="A874" s="3">
        <v>2524550</v>
      </c>
      <c r="B874" t="s">
        <v>6928</v>
      </c>
      <c r="C874" t="s">
        <v>7</v>
      </c>
      <c r="D874" t="s">
        <v>9108</v>
      </c>
      <c r="E874" s="28">
        <v>46224</v>
      </c>
      <c r="F874" t="s">
        <v>9109</v>
      </c>
      <c r="G874" s="3" t="s">
        <v>9389</v>
      </c>
      <c r="H874" t="s">
        <v>236</v>
      </c>
      <c r="I874" s="28">
        <v>46309</v>
      </c>
      <c r="J874" t="s">
        <v>9118</v>
      </c>
      <c r="K874" t="s">
        <v>31</v>
      </c>
    </row>
    <row r="875" spans="1:11">
      <c r="A875" s="3">
        <v>2524552</v>
      </c>
      <c r="B875" t="s">
        <v>7155</v>
      </c>
      <c r="C875" t="s">
        <v>8</v>
      </c>
      <c r="D875" t="s">
        <v>9108</v>
      </c>
      <c r="E875" s="28">
        <v>46224</v>
      </c>
      <c r="F875" t="s">
        <v>9109</v>
      </c>
      <c r="G875" s="3" t="s">
        <v>9395</v>
      </c>
      <c r="H875" t="s">
        <v>9329</v>
      </c>
      <c r="I875" s="28">
        <v>46330</v>
      </c>
      <c r="J875" t="s">
        <v>9118</v>
      </c>
      <c r="K875" t="s">
        <v>32</v>
      </c>
    </row>
    <row r="876" spans="1:11">
      <c r="A876" s="3">
        <v>2524553</v>
      </c>
      <c r="B876" t="s">
        <v>9402</v>
      </c>
      <c r="C876" t="s">
        <v>8</v>
      </c>
      <c r="D876" t="s">
        <v>9108</v>
      </c>
      <c r="E876" s="28">
        <v>46224</v>
      </c>
      <c r="F876" t="s">
        <v>9109</v>
      </c>
      <c r="G876" s="3" t="s">
        <v>9395</v>
      </c>
      <c r="H876" t="s">
        <v>9329</v>
      </c>
      <c r="I876" s="28">
        <v>46330</v>
      </c>
      <c r="J876" t="s">
        <v>9118</v>
      </c>
      <c r="K876" t="s">
        <v>32</v>
      </c>
    </row>
    <row r="877" spans="1:11">
      <c r="A877" s="3">
        <v>2524554</v>
      </c>
      <c r="B877" t="s">
        <v>9403</v>
      </c>
      <c r="C877" t="s">
        <v>8</v>
      </c>
      <c r="D877" t="s">
        <v>9108</v>
      </c>
      <c r="E877" s="28">
        <v>46224</v>
      </c>
      <c r="F877" t="s">
        <v>9109</v>
      </c>
      <c r="G877" s="3" t="s">
        <v>9395</v>
      </c>
      <c r="H877" t="s">
        <v>9329</v>
      </c>
      <c r="I877" s="28">
        <v>46330</v>
      </c>
      <c r="J877" t="s">
        <v>9118</v>
      </c>
      <c r="K877" t="s">
        <v>32</v>
      </c>
    </row>
    <row r="878" spans="1:11">
      <c r="A878" s="3">
        <v>2524556</v>
      </c>
      <c r="B878" t="s">
        <v>7138</v>
      </c>
      <c r="C878" t="s">
        <v>8</v>
      </c>
      <c r="D878" t="s">
        <v>9108</v>
      </c>
      <c r="E878" s="28">
        <v>46224</v>
      </c>
      <c r="F878" t="s">
        <v>9109</v>
      </c>
      <c r="G878" s="3" t="s">
        <v>9395</v>
      </c>
      <c r="H878" t="s">
        <v>9329</v>
      </c>
      <c r="I878" s="28">
        <v>46330</v>
      </c>
      <c r="J878" t="s">
        <v>9118</v>
      </c>
      <c r="K878" t="s">
        <v>32</v>
      </c>
    </row>
    <row r="879" spans="1:11">
      <c r="A879" s="3">
        <v>2524557</v>
      </c>
      <c r="B879" t="s">
        <v>3956</v>
      </c>
      <c r="C879" t="s">
        <v>7</v>
      </c>
      <c r="D879" t="s">
        <v>9108</v>
      </c>
      <c r="E879" s="28">
        <v>46224</v>
      </c>
      <c r="F879" t="s">
        <v>9109</v>
      </c>
      <c r="G879" s="3" t="s">
        <v>9395</v>
      </c>
      <c r="H879" t="s">
        <v>9329</v>
      </c>
      <c r="I879" s="28">
        <v>46330</v>
      </c>
      <c r="J879" t="s">
        <v>9118</v>
      </c>
      <c r="K879" t="s">
        <v>32</v>
      </c>
    </row>
    <row r="880" spans="1:11">
      <c r="A880" s="3">
        <v>2524558</v>
      </c>
      <c r="B880" t="s">
        <v>3057</v>
      </c>
      <c r="C880" t="s">
        <v>7</v>
      </c>
      <c r="D880" t="s">
        <v>9108</v>
      </c>
      <c r="E880" s="28">
        <v>46224</v>
      </c>
      <c r="F880" t="s">
        <v>9109</v>
      </c>
      <c r="G880" s="3" t="s">
        <v>9395</v>
      </c>
      <c r="H880" t="s">
        <v>9329</v>
      </c>
      <c r="I880" s="28">
        <v>46330</v>
      </c>
      <c r="J880" t="s">
        <v>9118</v>
      </c>
      <c r="K880" t="s">
        <v>32</v>
      </c>
    </row>
    <row r="881" spans="1:11">
      <c r="A881" s="3">
        <v>2524559</v>
      </c>
      <c r="B881" t="s">
        <v>5413</v>
      </c>
      <c r="C881" t="s">
        <v>8</v>
      </c>
      <c r="D881" t="s">
        <v>9108</v>
      </c>
      <c r="E881" s="28">
        <v>46224</v>
      </c>
      <c r="F881" t="s">
        <v>9109</v>
      </c>
      <c r="G881" s="3" t="s">
        <v>9389</v>
      </c>
      <c r="H881" t="s">
        <v>236</v>
      </c>
      <c r="I881" s="28">
        <v>46309</v>
      </c>
      <c r="J881" t="s">
        <v>9118</v>
      </c>
      <c r="K881" t="s">
        <v>31</v>
      </c>
    </row>
    <row r="882" spans="1:11">
      <c r="A882" s="3">
        <v>2524560</v>
      </c>
      <c r="B882" t="s">
        <v>6345</v>
      </c>
      <c r="C882" t="s">
        <v>8</v>
      </c>
      <c r="D882" t="s">
        <v>9108</v>
      </c>
      <c r="E882" s="28">
        <v>46224</v>
      </c>
      <c r="F882" t="s">
        <v>9109</v>
      </c>
      <c r="G882" s="3" t="s">
        <v>9395</v>
      </c>
      <c r="H882" t="s">
        <v>9329</v>
      </c>
      <c r="I882" s="28">
        <v>46330</v>
      </c>
      <c r="J882" t="s">
        <v>9118</v>
      </c>
      <c r="K882" t="s">
        <v>32</v>
      </c>
    </row>
    <row r="883" spans="1:11">
      <c r="A883" s="3">
        <v>2524562</v>
      </c>
      <c r="B883" t="s">
        <v>7354</v>
      </c>
      <c r="C883" t="s">
        <v>8</v>
      </c>
      <c r="D883" t="s">
        <v>9108</v>
      </c>
      <c r="E883" s="28">
        <v>46224</v>
      </c>
      <c r="F883" t="s">
        <v>9109</v>
      </c>
      <c r="G883" s="3" t="s">
        <v>9395</v>
      </c>
      <c r="H883" t="s">
        <v>9329</v>
      </c>
      <c r="I883" s="28">
        <v>46325</v>
      </c>
      <c r="J883" t="s">
        <v>9118</v>
      </c>
      <c r="K883" t="s">
        <v>31</v>
      </c>
    </row>
    <row r="884" spans="1:11">
      <c r="A884" s="3">
        <v>2524563</v>
      </c>
      <c r="B884" t="s">
        <v>6350</v>
      </c>
      <c r="C884" t="s">
        <v>8</v>
      </c>
      <c r="D884" t="s">
        <v>9108</v>
      </c>
      <c r="E884" s="28">
        <v>46224</v>
      </c>
      <c r="F884" t="s">
        <v>9109</v>
      </c>
      <c r="G884" s="3" t="s">
        <v>9395</v>
      </c>
      <c r="H884" t="s">
        <v>9329</v>
      </c>
      <c r="I884" s="28">
        <v>46325</v>
      </c>
      <c r="J884" t="s">
        <v>9118</v>
      </c>
      <c r="K884" t="s">
        <v>31</v>
      </c>
    </row>
    <row r="885" spans="1:11">
      <c r="A885" s="3">
        <v>2524564</v>
      </c>
      <c r="B885" t="s">
        <v>6170</v>
      </c>
      <c r="C885" t="s">
        <v>7</v>
      </c>
      <c r="D885" t="s">
        <v>9108</v>
      </c>
      <c r="E885" s="28">
        <v>46224</v>
      </c>
      <c r="F885" t="s">
        <v>9109</v>
      </c>
      <c r="G885" s="3" t="s">
        <v>9328</v>
      </c>
      <c r="H885" t="s">
        <v>9329</v>
      </c>
      <c r="I885" s="28">
        <v>46329</v>
      </c>
      <c r="J885" t="s">
        <v>9118</v>
      </c>
      <c r="K885" t="s">
        <v>32</v>
      </c>
    </row>
    <row r="886" spans="1:11">
      <c r="A886" s="3">
        <v>2524565</v>
      </c>
      <c r="B886" t="s">
        <v>8029</v>
      </c>
      <c r="C886" t="s">
        <v>8</v>
      </c>
      <c r="D886" t="s">
        <v>9108</v>
      </c>
      <c r="E886" s="28">
        <v>46224</v>
      </c>
      <c r="F886" t="s">
        <v>9109</v>
      </c>
      <c r="G886" s="3" t="s">
        <v>9392</v>
      </c>
      <c r="H886" t="s">
        <v>962</v>
      </c>
      <c r="I886" s="28">
        <v>46336</v>
      </c>
      <c r="J886" t="s">
        <v>9118</v>
      </c>
      <c r="K886" t="s">
        <v>32</v>
      </c>
    </row>
    <row r="887" spans="1:11">
      <c r="A887" s="3">
        <v>2524568</v>
      </c>
      <c r="B887" t="s">
        <v>5670</v>
      </c>
      <c r="C887" t="s">
        <v>8</v>
      </c>
      <c r="D887" t="s">
        <v>9108</v>
      </c>
      <c r="E887" s="28">
        <v>46224</v>
      </c>
      <c r="F887" t="s">
        <v>9109</v>
      </c>
      <c r="G887" s="3" t="s">
        <v>9392</v>
      </c>
      <c r="H887" t="s">
        <v>962</v>
      </c>
      <c r="I887" s="28">
        <v>46336</v>
      </c>
      <c r="J887" t="s">
        <v>9118</v>
      </c>
      <c r="K887" t="s">
        <v>32</v>
      </c>
    </row>
    <row r="888" spans="1:11">
      <c r="A888" s="3">
        <v>2524574</v>
      </c>
      <c r="B888" t="s">
        <v>2312</v>
      </c>
      <c r="C888" t="s">
        <v>8</v>
      </c>
      <c r="D888" t="s">
        <v>9108</v>
      </c>
      <c r="E888" s="28">
        <v>46224</v>
      </c>
      <c r="F888" t="s">
        <v>9109</v>
      </c>
      <c r="G888" s="3" t="s">
        <v>9392</v>
      </c>
      <c r="H888" t="s">
        <v>962</v>
      </c>
      <c r="I888" s="28">
        <v>46336</v>
      </c>
      <c r="J888" t="s">
        <v>9118</v>
      </c>
      <c r="K888" t="s">
        <v>32</v>
      </c>
    </row>
    <row r="889" spans="1:11">
      <c r="A889" s="3">
        <v>2524578</v>
      </c>
      <c r="B889" t="s">
        <v>5518</v>
      </c>
      <c r="C889" t="s">
        <v>8</v>
      </c>
      <c r="D889" t="s">
        <v>9108</v>
      </c>
      <c r="E889" s="28">
        <v>46224</v>
      </c>
      <c r="F889" t="s">
        <v>9109</v>
      </c>
      <c r="G889" s="3" t="s">
        <v>9392</v>
      </c>
      <c r="H889" t="s">
        <v>962</v>
      </c>
      <c r="I889" s="28">
        <v>46336</v>
      </c>
      <c r="J889" t="s">
        <v>9118</v>
      </c>
      <c r="K889" t="s">
        <v>32</v>
      </c>
    </row>
    <row r="890" spans="1:11">
      <c r="A890" s="3">
        <v>2524586</v>
      </c>
      <c r="B890" t="s">
        <v>2578</v>
      </c>
      <c r="C890" t="s">
        <v>7</v>
      </c>
      <c r="D890" t="s">
        <v>9108</v>
      </c>
      <c r="E890" s="28">
        <v>46224</v>
      </c>
      <c r="F890" t="s">
        <v>9109</v>
      </c>
      <c r="G890" s="3" t="s">
        <v>9392</v>
      </c>
      <c r="H890" t="s">
        <v>962</v>
      </c>
      <c r="I890" s="28">
        <v>46336</v>
      </c>
      <c r="J890" t="s">
        <v>9118</v>
      </c>
      <c r="K890" t="s">
        <v>32</v>
      </c>
    </row>
    <row r="891" spans="1:11">
      <c r="A891" s="3">
        <v>2524589</v>
      </c>
      <c r="B891" t="s">
        <v>8134</v>
      </c>
      <c r="C891" t="s">
        <v>8</v>
      </c>
      <c r="D891" t="s">
        <v>9108</v>
      </c>
      <c r="E891" s="28">
        <v>46224</v>
      </c>
      <c r="F891" t="s">
        <v>9109</v>
      </c>
      <c r="G891" s="3" t="s">
        <v>9392</v>
      </c>
      <c r="H891" t="s">
        <v>962</v>
      </c>
      <c r="I891" s="28">
        <v>46336</v>
      </c>
      <c r="J891" t="s">
        <v>9118</v>
      </c>
      <c r="K891" t="s">
        <v>32</v>
      </c>
    </row>
    <row r="892" spans="1:11">
      <c r="A892" s="3">
        <v>2524592</v>
      </c>
      <c r="B892" t="s">
        <v>5586</v>
      </c>
      <c r="C892" t="s">
        <v>8</v>
      </c>
      <c r="D892" t="s">
        <v>9108</v>
      </c>
      <c r="E892" s="28">
        <v>46224</v>
      </c>
      <c r="F892" t="s">
        <v>9109</v>
      </c>
      <c r="G892" s="3" t="s">
        <v>9392</v>
      </c>
      <c r="H892" t="s">
        <v>962</v>
      </c>
      <c r="I892" s="28">
        <v>46336</v>
      </c>
      <c r="J892" t="s">
        <v>9118</v>
      </c>
      <c r="K892" t="s">
        <v>32</v>
      </c>
    </row>
    <row r="893" spans="1:11">
      <c r="A893" s="3">
        <v>2524603</v>
      </c>
      <c r="B893" t="s">
        <v>4025</v>
      </c>
      <c r="C893" t="s">
        <v>8</v>
      </c>
      <c r="D893" t="s">
        <v>9108</v>
      </c>
      <c r="E893" s="28">
        <v>46224</v>
      </c>
      <c r="F893" t="s">
        <v>9109</v>
      </c>
      <c r="G893" s="3" t="s">
        <v>9395</v>
      </c>
      <c r="H893" t="s">
        <v>9329</v>
      </c>
      <c r="I893" s="28">
        <v>46325</v>
      </c>
      <c r="J893" t="s">
        <v>9118</v>
      </c>
      <c r="K893" t="s">
        <v>31</v>
      </c>
    </row>
    <row r="894" spans="1:11">
      <c r="A894" s="3">
        <v>2524607</v>
      </c>
      <c r="B894" t="s">
        <v>6205</v>
      </c>
      <c r="C894" t="s">
        <v>8</v>
      </c>
      <c r="D894" t="s">
        <v>9108</v>
      </c>
      <c r="E894" s="28">
        <v>46224</v>
      </c>
      <c r="F894" t="s">
        <v>9109</v>
      </c>
      <c r="G894" s="3" t="s">
        <v>9395</v>
      </c>
      <c r="H894" t="s">
        <v>9329</v>
      </c>
      <c r="I894" s="28">
        <v>46325</v>
      </c>
      <c r="J894" t="s">
        <v>9118</v>
      </c>
      <c r="K894" t="s">
        <v>31</v>
      </c>
    </row>
    <row r="895" spans="1:11">
      <c r="A895" s="3">
        <v>2524632</v>
      </c>
      <c r="B895" t="s">
        <v>9404</v>
      </c>
      <c r="C895" t="s">
        <v>7</v>
      </c>
      <c r="D895" t="s">
        <v>9108</v>
      </c>
      <c r="E895" s="28">
        <v>46224</v>
      </c>
      <c r="F895" t="s">
        <v>9109</v>
      </c>
      <c r="G895" s="3" t="s">
        <v>9385</v>
      </c>
      <c r="H895" t="s">
        <v>9332</v>
      </c>
      <c r="I895" s="28">
        <v>46343</v>
      </c>
      <c r="J895" t="s">
        <v>9118</v>
      </c>
      <c r="K895" t="s">
        <v>32</v>
      </c>
    </row>
    <row r="896" spans="1:11">
      <c r="A896" s="3">
        <v>2524633</v>
      </c>
      <c r="B896" t="s">
        <v>9405</v>
      </c>
      <c r="C896" t="s">
        <v>7</v>
      </c>
      <c r="D896" t="s">
        <v>9108</v>
      </c>
      <c r="E896" s="28">
        <v>46224</v>
      </c>
      <c r="F896" t="s">
        <v>9109</v>
      </c>
      <c r="G896" s="3" t="s">
        <v>9385</v>
      </c>
      <c r="H896" t="s">
        <v>9332</v>
      </c>
      <c r="I896" s="28">
        <v>46343</v>
      </c>
      <c r="J896" t="s">
        <v>9118</v>
      </c>
      <c r="K896" t="s">
        <v>32</v>
      </c>
    </row>
    <row r="897" spans="1:11">
      <c r="A897" s="3">
        <v>2524634</v>
      </c>
      <c r="B897" t="s">
        <v>580</v>
      </c>
      <c r="C897" t="s">
        <v>8</v>
      </c>
      <c r="D897" t="s">
        <v>9108</v>
      </c>
      <c r="E897" s="28">
        <v>46224</v>
      </c>
      <c r="F897" t="s">
        <v>9109</v>
      </c>
      <c r="G897" s="3" t="s">
        <v>9385</v>
      </c>
      <c r="H897" t="s">
        <v>9332</v>
      </c>
      <c r="I897" s="28">
        <v>46343</v>
      </c>
      <c r="J897" t="s">
        <v>9118</v>
      </c>
      <c r="K897" t="s">
        <v>32</v>
      </c>
    </row>
    <row r="898" spans="1:11">
      <c r="A898" s="3">
        <v>2524635</v>
      </c>
      <c r="B898" t="s">
        <v>274</v>
      </c>
      <c r="C898" t="s">
        <v>8</v>
      </c>
      <c r="D898" t="s">
        <v>9108</v>
      </c>
      <c r="E898" s="28">
        <v>46224</v>
      </c>
      <c r="F898" t="s">
        <v>9109</v>
      </c>
      <c r="G898" s="3" t="s">
        <v>9392</v>
      </c>
      <c r="H898" t="s">
        <v>962</v>
      </c>
      <c r="I898" s="28">
        <v>46336</v>
      </c>
      <c r="J898" t="s">
        <v>9118</v>
      </c>
      <c r="K898" t="s">
        <v>32</v>
      </c>
    </row>
    <row r="899" spans="1:11">
      <c r="A899" s="3">
        <v>2524636</v>
      </c>
      <c r="B899" t="s">
        <v>5499</v>
      </c>
      <c r="C899" t="s">
        <v>8</v>
      </c>
      <c r="D899" t="s">
        <v>9108</v>
      </c>
      <c r="E899" s="28">
        <v>46224</v>
      </c>
      <c r="F899" t="s">
        <v>9109</v>
      </c>
      <c r="G899" s="3" t="s">
        <v>9385</v>
      </c>
      <c r="H899" t="s">
        <v>9332</v>
      </c>
      <c r="I899" s="28">
        <v>46343</v>
      </c>
      <c r="J899" t="s">
        <v>9118</v>
      </c>
      <c r="K899" t="s">
        <v>32</v>
      </c>
    </row>
    <row r="900" spans="1:11">
      <c r="A900" s="3">
        <v>2524637</v>
      </c>
      <c r="B900" t="s">
        <v>9406</v>
      </c>
      <c r="C900" t="s">
        <v>7</v>
      </c>
      <c r="D900" t="s">
        <v>9108</v>
      </c>
      <c r="E900" s="28">
        <v>46224</v>
      </c>
      <c r="F900" t="s">
        <v>9109</v>
      </c>
      <c r="G900" s="3" t="s">
        <v>9385</v>
      </c>
      <c r="H900" t="s">
        <v>9332</v>
      </c>
      <c r="I900" s="28">
        <v>46343</v>
      </c>
      <c r="J900" t="s">
        <v>9118</v>
      </c>
      <c r="K900" t="s">
        <v>32</v>
      </c>
    </row>
    <row r="901" spans="1:11">
      <c r="A901" s="3">
        <v>2524638</v>
      </c>
      <c r="B901" t="s">
        <v>9407</v>
      </c>
      <c r="C901" t="s">
        <v>8</v>
      </c>
      <c r="D901" t="s">
        <v>9108</v>
      </c>
      <c r="E901" s="28">
        <v>46224</v>
      </c>
      <c r="F901" t="s">
        <v>9109</v>
      </c>
      <c r="G901" s="3" t="s">
        <v>9385</v>
      </c>
      <c r="H901" t="s">
        <v>9332</v>
      </c>
      <c r="I901" s="28">
        <v>46343</v>
      </c>
      <c r="J901" t="s">
        <v>9118</v>
      </c>
      <c r="K901" t="s">
        <v>32</v>
      </c>
    </row>
    <row r="902" spans="1:11">
      <c r="A902" s="3">
        <v>2524640</v>
      </c>
      <c r="B902" t="s">
        <v>7896</v>
      </c>
      <c r="C902" t="s">
        <v>8</v>
      </c>
      <c r="D902" t="s">
        <v>9108</v>
      </c>
      <c r="E902" s="28">
        <v>46224</v>
      </c>
      <c r="F902" t="s">
        <v>9109</v>
      </c>
      <c r="G902" s="3" t="s">
        <v>9395</v>
      </c>
      <c r="H902" t="s">
        <v>9329</v>
      </c>
      <c r="I902" s="28">
        <v>46325</v>
      </c>
      <c r="J902" t="s">
        <v>9118</v>
      </c>
      <c r="K902" t="s">
        <v>31</v>
      </c>
    </row>
    <row r="903" spans="1:11">
      <c r="A903" s="3">
        <v>2524641</v>
      </c>
      <c r="B903" t="s">
        <v>4762</v>
      </c>
      <c r="C903" t="s">
        <v>7</v>
      </c>
      <c r="D903" t="s">
        <v>9108</v>
      </c>
      <c r="E903" s="28">
        <v>46224</v>
      </c>
      <c r="F903" t="s">
        <v>9109</v>
      </c>
      <c r="G903" s="3" t="s">
        <v>9395</v>
      </c>
      <c r="H903" t="s">
        <v>9329</v>
      </c>
      <c r="I903" s="28">
        <v>46325</v>
      </c>
      <c r="J903" t="s">
        <v>9118</v>
      </c>
      <c r="K903" t="s">
        <v>31</v>
      </c>
    </row>
    <row r="904" spans="1:11">
      <c r="A904" s="3">
        <v>2524642</v>
      </c>
      <c r="B904" t="s">
        <v>9408</v>
      </c>
      <c r="C904" t="s">
        <v>7</v>
      </c>
      <c r="D904" t="s">
        <v>9108</v>
      </c>
      <c r="E904" s="28">
        <v>46224</v>
      </c>
      <c r="F904" t="s">
        <v>9109</v>
      </c>
      <c r="G904" s="3" t="s">
        <v>9395</v>
      </c>
      <c r="H904" t="s">
        <v>9329</v>
      </c>
      <c r="I904" s="28">
        <v>46325</v>
      </c>
      <c r="J904" t="s">
        <v>9118</v>
      </c>
      <c r="K904" t="s">
        <v>31</v>
      </c>
    </row>
    <row r="905" spans="1:11">
      <c r="A905" s="3">
        <v>2524643</v>
      </c>
      <c r="B905" t="s">
        <v>5488</v>
      </c>
      <c r="C905" t="s">
        <v>8</v>
      </c>
      <c r="D905" t="s">
        <v>9108</v>
      </c>
      <c r="E905" s="28">
        <v>46224</v>
      </c>
      <c r="F905" t="s">
        <v>9109</v>
      </c>
      <c r="G905" s="3" t="s">
        <v>9392</v>
      </c>
      <c r="H905" t="s">
        <v>962</v>
      </c>
      <c r="I905" s="28">
        <v>46336</v>
      </c>
      <c r="J905" t="s">
        <v>9118</v>
      </c>
      <c r="K905" t="s">
        <v>32</v>
      </c>
    </row>
    <row r="906" spans="1:11">
      <c r="A906" s="3">
        <v>2524644</v>
      </c>
      <c r="B906" t="s">
        <v>5432</v>
      </c>
      <c r="C906" t="s">
        <v>8</v>
      </c>
      <c r="D906" t="s">
        <v>9108</v>
      </c>
      <c r="E906" s="28">
        <v>46224</v>
      </c>
      <c r="F906" t="s">
        <v>9109</v>
      </c>
      <c r="G906" s="3" t="s">
        <v>9395</v>
      </c>
      <c r="H906" t="s">
        <v>9329</v>
      </c>
      <c r="I906" s="28">
        <v>46325</v>
      </c>
      <c r="J906" t="s">
        <v>9118</v>
      </c>
      <c r="K906" t="s">
        <v>31</v>
      </c>
    </row>
    <row r="907" spans="1:11">
      <c r="A907" s="3">
        <v>2524645</v>
      </c>
      <c r="B907" t="s">
        <v>5282</v>
      </c>
      <c r="C907" t="s">
        <v>8</v>
      </c>
      <c r="D907" t="s">
        <v>9108</v>
      </c>
      <c r="E907" s="28">
        <v>46224</v>
      </c>
      <c r="F907" t="s">
        <v>9109</v>
      </c>
      <c r="G907" s="3" t="s">
        <v>9385</v>
      </c>
      <c r="H907" t="s">
        <v>9332</v>
      </c>
      <c r="I907" s="28">
        <v>46343</v>
      </c>
      <c r="J907" t="s">
        <v>9118</v>
      </c>
      <c r="K907" t="s">
        <v>32</v>
      </c>
    </row>
    <row r="908" spans="1:11">
      <c r="A908" s="3">
        <v>2524646</v>
      </c>
      <c r="B908" t="s">
        <v>5353</v>
      </c>
      <c r="C908" t="s">
        <v>8</v>
      </c>
      <c r="D908" t="s">
        <v>9108</v>
      </c>
      <c r="E908" s="28">
        <v>46224</v>
      </c>
      <c r="F908" t="s">
        <v>9109</v>
      </c>
      <c r="G908" s="3" t="s">
        <v>9389</v>
      </c>
      <c r="H908" t="s">
        <v>236</v>
      </c>
      <c r="I908" s="28">
        <v>46309</v>
      </c>
      <c r="J908" t="s">
        <v>9118</v>
      </c>
      <c r="K908" t="s">
        <v>31</v>
      </c>
    </row>
    <row r="909" spans="1:11">
      <c r="A909" s="3">
        <v>2524647</v>
      </c>
      <c r="B909" t="s">
        <v>4247</v>
      </c>
      <c r="C909" t="s">
        <v>7</v>
      </c>
      <c r="D909" t="s">
        <v>9108</v>
      </c>
      <c r="E909" s="28">
        <v>46224</v>
      </c>
      <c r="F909" t="s">
        <v>9109</v>
      </c>
      <c r="G909" s="3" t="s">
        <v>9385</v>
      </c>
      <c r="H909" t="s">
        <v>9332</v>
      </c>
      <c r="I909" s="28">
        <v>46343</v>
      </c>
      <c r="J909" t="s">
        <v>9118</v>
      </c>
      <c r="K909" t="s">
        <v>32</v>
      </c>
    </row>
    <row r="910" spans="1:11">
      <c r="A910" s="3">
        <v>2524648</v>
      </c>
      <c r="B910" t="s">
        <v>6277</v>
      </c>
      <c r="C910" t="s">
        <v>8</v>
      </c>
      <c r="D910" t="s">
        <v>9108</v>
      </c>
      <c r="E910" s="28">
        <v>46224</v>
      </c>
      <c r="F910" t="s">
        <v>9109</v>
      </c>
      <c r="G910" s="3" t="s">
        <v>9395</v>
      </c>
      <c r="H910" t="s">
        <v>9329</v>
      </c>
      <c r="I910" s="28">
        <v>46325</v>
      </c>
      <c r="J910" t="s">
        <v>9118</v>
      </c>
      <c r="K910" t="s">
        <v>31</v>
      </c>
    </row>
    <row r="911" spans="1:11">
      <c r="A911" s="3">
        <v>2524649</v>
      </c>
      <c r="B911" t="s">
        <v>9409</v>
      </c>
      <c r="C911" t="s">
        <v>7</v>
      </c>
      <c r="D911" t="s">
        <v>9108</v>
      </c>
      <c r="E911" s="28">
        <v>46224</v>
      </c>
      <c r="F911" t="s">
        <v>9109</v>
      </c>
      <c r="G911" s="3" t="s">
        <v>9395</v>
      </c>
      <c r="H911" t="s">
        <v>9329</v>
      </c>
      <c r="I911" s="28">
        <v>46325</v>
      </c>
      <c r="J911" t="s">
        <v>9118</v>
      </c>
      <c r="K911" t="s">
        <v>31</v>
      </c>
    </row>
    <row r="912" spans="1:11">
      <c r="A912" s="3">
        <v>2524650</v>
      </c>
      <c r="B912" t="s">
        <v>5384</v>
      </c>
      <c r="C912" t="s">
        <v>8</v>
      </c>
      <c r="D912" t="s">
        <v>9108</v>
      </c>
      <c r="E912" s="28">
        <v>46224</v>
      </c>
      <c r="F912" t="s">
        <v>9109</v>
      </c>
      <c r="G912" s="3" t="s">
        <v>9395</v>
      </c>
      <c r="H912" t="s">
        <v>9329</v>
      </c>
      <c r="I912" s="28">
        <v>46325</v>
      </c>
      <c r="J912" t="s">
        <v>9118</v>
      </c>
      <c r="K912" t="s">
        <v>31</v>
      </c>
    </row>
    <row r="913" spans="1:11">
      <c r="A913" s="3">
        <v>2524651</v>
      </c>
      <c r="B913" t="s">
        <v>7435</v>
      </c>
      <c r="C913" t="s">
        <v>7</v>
      </c>
      <c r="D913" t="s">
        <v>9108</v>
      </c>
      <c r="E913" s="28">
        <v>46224</v>
      </c>
      <c r="F913" t="s">
        <v>9109</v>
      </c>
      <c r="G913" s="3" t="s">
        <v>9395</v>
      </c>
      <c r="H913" t="s">
        <v>9329</v>
      </c>
      <c r="I913" s="28">
        <v>46325</v>
      </c>
      <c r="J913" t="s">
        <v>9118</v>
      </c>
      <c r="K913" t="s">
        <v>31</v>
      </c>
    </row>
    <row r="914" spans="1:11">
      <c r="A914" s="3">
        <v>2524652</v>
      </c>
      <c r="B914" t="s">
        <v>7689</v>
      </c>
      <c r="C914" t="s">
        <v>7</v>
      </c>
      <c r="D914" t="s">
        <v>9108</v>
      </c>
      <c r="E914" s="28">
        <v>46224</v>
      </c>
      <c r="F914" t="s">
        <v>9109</v>
      </c>
      <c r="G914" s="3" t="s">
        <v>9389</v>
      </c>
      <c r="H914" t="s">
        <v>236</v>
      </c>
      <c r="I914" s="28">
        <v>46309</v>
      </c>
      <c r="J914" t="s">
        <v>9118</v>
      </c>
      <c r="K914" t="s">
        <v>31</v>
      </c>
    </row>
    <row r="915" spans="1:11">
      <c r="A915" s="3">
        <v>2524653</v>
      </c>
      <c r="B915" t="s">
        <v>4492</v>
      </c>
      <c r="C915" t="s">
        <v>8</v>
      </c>
      <c r="D915" t="s">
        <v>9108</v>
      </c>
      <c r="E915" s="28">
        <v>46224</v>
      </c>
      <c r="F915" t="s">
        <v>9109</v>
      </c>
      <c r="G915" s="3" t="s">
        <v>9389</v>
      </c>
      <c r="H915" t="s">
        <v>236</v>
      </c>
      <c r="I915" s="28">
        <v>46309</v>
      </c>
      <c r="J915" t="s">
        <v>9118</v>
      </c>
      <c r="K915" t="s">
        <v>31</v>
      </c>
    </row>
    <row r="916" spans="1:11">
      <c r="A916" s="3">
        <v>2524654</v>
      </c>
      <c r="B916" t="s">
        <v>7147</v>
      </c>
      <c r="C916" t="s">
        <v>8</v>
      </c>
      <c r="D916" t="s">
        <v>9108</v>
      </c>
      <c r="E916" s="28">
        <v>46224</v>
      </c>
      <c r="F916" t="s">
        <v>9109</v>
      </c>
      <c r="G916" s="3" t="s">
        <v>9395</v>
      </c>
      <c r="H916" t="s">
        <v>9329</v>
      </c>
      <c r="I916" s="28">
        <v>46325</v>
      </c>
      <c r="J916" t="s">
        <v>9118</v>
      </c>
      <c r="K916" t="s">
        <v>31</v>
      </c>
    </row>
    <row r="917" spans="1:11">
      <c r="A917" s="3">
        <v>2524655</v>
      </c>
      <c r="B917" t="s">
        <v>537</v>
      </c>
      <c r="C917" t="s">
        <v>7</v>
      </c>
      <c r="D917" t="s">
        <v>9108</v>
      </c>
      <c r="E917" s="28">
        <v>46224</v>
      </c>
      <c r="F917" t="s">
        <v>9109</v>
      </c>
      <c r="G917" s="3" t="s">
        <v>9389</v>
      </c>
      <c r="H917" t="s">
        <v>236</v>
      </c>
      <c r="I917" s="28">
        <v>46309</v>
      </c>
      <c r="J917" t="s">
        <v>9118</v>
      </c>
      <c r="K917" t="s">
        <v>31</v>
      </c>
    </row>
    <row r="918" spans="1:11">
      <c r="A918" s="3">
        <v>2524656</v>
      </c>
      <c r="B918" t="s">
        <v>651</v>
      </c>
      <c r="C918" t="s">
        <v>8</v>
      </c>
      <c r="D918" t="s">
        <v>9108</v>
      </c>
      <c r="E918" s="28">
        <v>46224</v>
      </c>
      <c r="F918" t="s">
        <v>9109</v>
      </c>
      <c r="G918" s="3" t="s">
        <v>9395</v>
      </c>
      <c r="H918" t="s">
        <v>9329</v>
      </c>
      <c r="I918" s="28">
        <v>46325</v>
      </c>
      <c r="J918" t="s">
        <v>9118</v>
      </c>
      <c r="K918" t="s">
        <v>31</v>
      </c>
    </row>
    <row r="919" spans="1:11">
      <c r="A919" s="3">
        <v>2524657</v>
      </c>
      <c r="B919" t="s">
        <v>4166</v>
      </c>
      <c r="C919" t="s">
        <v>7</v>
      </c>
      <c r="D919" t="s">
        <v>9108</v>
      </c>
      <c r="E919" s="28">
        <v>46224</v>
      </c>
      <c r="F919" t="s">
        <v>9109</v>
      </c>
      <c r="G919" s="3" t="s">
        <v>9395</v>
      </c>
      <c r="H919" t="s">
        <v>9329</v>
      </c>
      <c r="I919" s="28">
        <v>46325</v>
      </c>
      <c r="J919" t="s">
        <v>9118</v>
      </c>
      <c r="K919" t="s">
        <v>31</v>
      </c>
    </row>
    <row r="920" spans="1:11">
      <c r="A920" s="3">
        <v>2524658</v>
      </c>
      <c r="B920" t="s">
        <v>7684</v>
      </c>
      <c r="C920" t="s">
        <v>7</v>
      </c>
      <c r="D920" t="s">
        <v>9108</v>
      </c>
      <c r="E920" s="28">
        <v>46224</v>
      </c>
      <c r="F920" t="s">
        <v>9109</v>
      </c>
      <c r="G920" s="3" t="s">
        <v>9389</v>
      </c>
      <c r="H920" t="s">
        <v>236</v>
      </c>
      <c r="I920" s="28">
        <v>46309</v>
      </c>
      <c r="J920" t="s">
        <v>9118</v>
      </c>
      <c r="K920" t="s">
        <v>31</v>
      </c>
    </row>
    <row r="921" spans="1:11">
      <c r="A921" s="3">
        <v>2524659</v>
      </c>
      <c r="B921" t="s">
        <v>2756</v>
      </c>
      <c r="C921" t="s">
        <v>7</v>
      </c>
      <c r="D921" t="s">
        <v>9108</v>
      </c>
      <c r="E921" s="28">
        <v>46224</v>
      </c>
      <c r="F921" t="s">
        <v>9109</v>
      </c>
      <c r="G921" s="3" t="s">
        <v>9389</v>
      </c>
      <c r="H921" t="s">
        <v>236</v>
      </c>
      <c r="I921" s="28">
        <v>46309</v>
      </c>
      <c r="J921" t="s">
        <v>9118</v>
      </c>
      <c r="K921" t="s">
        <v>31</v>
      </c>
    </row>
    <row r="922" spans="1:11">
      <c r="A922" s="3">
        <v>2524660</v>
      </c>
      <c r="B922" t="s">
        <v>9410</v>
      </c>
      <c r="C922" t="s">
        <v>7</v>
      </c>
      <c r="D922" t="s">
        <v>9108</v>
      </c>
      <c r="E922" s="28">
        <v>46224</v>
      </c>
      <c r="F922" t="s">
        <v>9109</v>
      </c>
      <c r="G922" s="3" t="s">
        <v>9328</v>
      </c>
      <c r="H922" t="s">
        <v>9329</v>
      </c>
      <c r="I922" s="28">
        <v>46329</v>
      </c>
      <c r="J922" t="s">
        <v>9118</v>
      </c>
      <c r="K922" t="s">
        <v>32</v>
      </c>
    </row>
    <row r="923" spans="1:11">
      <c r="A923" s="3">
        <v>2524661</v>
      </c>
      <c r="B923" t="s">
        <v>6943</v>
      </c>
      <c r="C923" t="s">
        <v>7</v>
      </c>
      <c r="D923" t="s">
        <v>9108</v>
      </c>
      <c r="E923" s="28">
        <v>46224</v>
      </c>
      <c r="F923" t="s">
        <v>9109</v>
      </c>
      <c r="G923" s="3" t="s">
        <v>9392</v>
      </c>
      <c r="H923" t="s">
        <v>962</v>
      </c>
      <c r="I923" s="28">
        <v>46336</v>
      </c>
      <c r="J923" t="s">
        <v>9118</v>
      </c>
      <c r="K923" t="s">
        <v>32</v>
      </c>
    </row>
    <row r="924" spans="1:11">
      <c r="A924" s="3">
        <v>2524665</v>
      </c>
      <c r="B924" t="s">
        <v>9411</v>
      </c>
      <c r="C924" t="s">
        <v>7</v>
      </c>
      <c r="D924" t="s">
        <v>9108</v>
      </c>
      <c r="E924" s="28">
        <v>46224</v>
      </c>
      <c r="F924" t="s">
        <v>9109</v>
      </c>
      <c r="G924" s="3" t="s">
        <v>9392</v>
      </c>
      <c r="H924" t="s">
        <v>962</v>
      </c>
      <c r="I924" s="28">
        <v>46336</v>
      </c>
      <c r="J924" t="s">
        <v>9118</v>
      </c>
      <c r="K924" t="s">
        <v>32</v>
      </c>
    </row>
    <row r="925" spans="1:11">
      <c r="A925" s="3">
        <v>2524966</v>
      </c>
      <c r="B925" t="s">
        <v>8719</v>
      </c>
      <c r="C925" t="s">
        <v>8</v>
      </c>
      <c r="D925" t="s">
        <v>9108</v>
      </c>
      <c r="E925" s="28">
        <v>46226</v>
      </c>
      <c r="F925" t="s">
        <v>9109</v>
      </c>
      <c r="G925" s="3" t="s">
        <v>9121</v>
      </c>
      <c r="H925" t="s">
        <v>9122</v>
      </c>
      <c r="I925" s="28">
        <v>46301</v>
      </c>
      <c r="J925" t="s">
        <v>9118</v>
      </c>
      <c r="K925" t="s">
        <v>31</v>
      </c>
    </row>
    <row r="926" spans="1:11">
      <c r="A926" s="3">
        <v>2524970</v>
      </c>
      <c r="B926" t="s">
        <v>3984</v>
      </c>
      <c r="C926" t="s">
        <v>7</v>
      </c>
      <c r="D926" t="s">
        <v>9108</v>
      </c>
      <c r="E926" s="28">
        <v>46226</v>
      </c>
      <c r="F926" t="s">
        <v>9109</v>
      </c>
      <c r="G926" s="3" t="s">
        <v>9412</v>
      </c>
      <c r="H926" t="s">
        <v>9413</v>
      </c>
      <c r="I926" s="28">
        <v>46282</v>
      </c>
      <c r="J926" t="s">
        <v>9118</v>
      </c>
      <c r="K926" t="s">
        <v>30</v>
      </c>
    </row>
    <row r="927" spans="1:11">
      <c r="A927" s="3">
        <v>2524976</v>
      </c>
      <c r="B927" t="s">
        <v>2222</v>
      </c>
      <c r="C927" t="s">
        <v>7</v>
      </c>
      <c r="D927" t="s">
        <v>9108</v>
      </c>
      <c r="E927" s="28">
        <v>46226</v>
      </c>
      <c r="F927" t="s">
        <v>9109</v>
      </c>
      <c r="G927" s="3" t="s">
        <v>9412</v>
      </c>
      <c r="H927" t="s">
        <v>9413</v>
      </c>
      <c r="I927" s="28">
        <v>46282</v>
      </c>
      <c r="J927" t="s">
        <v>9118</v>
      </c>
      <c r="K927" t="s">
        <v>30</v>
      </c>
    </row>
    <row r="928" spans="1:11">
      <c r="A928" s="3">
        <v>2524977</v>
      </c>
      <c r="B928" t="s">
        <v>6308</v>
      </c>
      <c r="C928" t="s">
        <v>8</v>
      </c>
      <c r="D928" t="s">
        <v>9108</v>
      </c>
      <c r="E928" s="28">
        <v>46226</v>
      </c>
      <c r="F928" t="s">
        <v>9109</v>
      </c>
      <c r="G928" s="3" t="s">
        <v>9121</v>
      </c>
      <c r="H928" t="s">
        <v>9122</v>
      </c>
      <c r="I928" s="28">
        <v>46301</v>
      </c>
      <c r="J928" t="s">
        <v>9118</v>
      </c>
      <c r="K928" t="s">
        <v>31</v>
      </c>
    </row>
    <row r="929" spans="1:11">
      <c r="A929" s="3">
        <v>2524980</v>
      </c>
      <c r="B929" t="s">
        <v>9414</v>
      </c>
      <c r="C929" t="s">
        <v>7</v>
      </c>
      <c r="D929" t="s">
        <v>9108</v>
      </c>
      <c r="E929" s="28">
        <v>46226</v>
      </c>
      <c r="F929" t="s">
        <v>9109</v>
      </c>
      <c r="G929" s="3" t="s">
        <v>9412</v>
      </c>
      <c r="H929" t="s">
        <v>9413</v>
      </c>
      <c r="I929" s="28">
        <v>46282</v>
      </c>
      <c r="J929" t="s">
        <v>9118</v>
      </c>
      <c r="K929" t="s">
        <v>30</v>
      </c>
    </row>
    <row r="930" spans="1:11">
      <c r="A930" s="3">
        <v>2524982</v>
      </c>
      <c r="B930" t="s">
        <v>2237</v>
      </c>
      <c r="C930" t="s">
        <v>7</v>
      </c>
      <c r="D930" t="s">
        <v>9108</v>
      </c>
      <c r="E930" s="28">
        <v>46226</v>
      </c>
      <c r="F930" t="s">
        <v>9109</v>
      </c>
      <c r="G930" s="3" t="s">
        <v>9121</v>
      </c>
      <c r="H930" t="s">
        <v>9122</v>
      </c>
      <c r="I930" s="28">
        <v>46301</v>
      </c>
      <c r="J930" t="s">
        <v>9118</v>
      </c>
      <c r="K930" t="s">
        <v>31</v>
      </c>
    </row>
    <row r="931" spans="1:11">
      <c r="A931" s="3">
        <v>2524985</v>
      </c>
      <c r="B931" t="s">
        <v>8512</v>
      </c>
      <c r="C931" t="s">
        <v>7</v>
      </c>
      <c r="D931" t="s">
        <v>9108</v>
      </c>
      <c r="E931" s="28">
        <v>46226</v>
      </c>
      <c r="F931" t="s">
        <v>9109</v>
      </c>
      <c r="G931" s="3" t="s">
        <v>9412</v>
      </c>
      <c r="H931" t="s">
        <v>9413</v>
      </c>
      <c r="I931" s="28">
        <v>46282</v>
      </c>
      <c r="J931" t="s">
        <v>9118</v>
      </c>
      <c r="K931" t="s">
        <v>30</v>
      </c>
    </row>
    <row r="932" spans="1:11">
      <c r="A932" s="3">
        <v>2524986</v>
      </c>
      <c r="B932" t="s">
        <v>9415</v>
      </c>
      <c r="C932" t="s">
        <v>8</v>
      </c>
      <c r="D932" t="s">
        <v>9108</v>
      </c>
      <c r="E932" s="28">
        <v>46226</v>
      </c>
      <c r="F932" t="s">
        <v>9109</v>
      </c>
      <c r="G932" s="3" t="s">
        <v>9121</v>
      </c>
      <c r="H932" t="s">
        <v>9122</v>
      </c>
      <c r="I932" s="28">
        <v>46301</v>
      </c>
      <c r="J932" t="s">
        <v>9118</v>
      </c>
      <c r="K932" t="s">
        <v>31</v>
      </c>
    </row>
    <row r="933" spans="1:11">
      <c r="A933" s="3">
        <v>2524989</v>
      </c>
      <c r="B933" t="s">
        <v>8932</v>
      </c>
      <c r="C933" t="s">
        <v>7</v>
      </c>
      <c r="D933" t="s">
        <v>9108</v>
      </c>
      <c r="E933" s="28">
        <v>46226</v>
      </c>
      <c r="F933" t="s">
        <v>9109</v>
      </c>
      <c r="G933" s="3" t="s">
        <v>9121</v>
      </c>
      <c r="H933" t="s">
        <v>9122</v>
      </c>
      <c r="I933" s="28">
        <v>46301</v>
      </c>
      <c r="J933" t="s">
        <v>9118</v>
      </c>
      <c r="K933" t="s">
        <v>31</v>
      </c>
    </row>
    <row r="934" spans="1:11">
      <c r="A934" s="3">
        <v>2524990</v>
      </c>
      <c r="B934" t="s">
        <v>9416</v>
      </c>
      <c r="C934" t="s">
        <v>7</v>
      </c>
      <c r="D934" t="s">
        <v>9108</v>
      </c>
      <c r="E934" s="28">
        <v>46226</v>
      </c>
      <c r="F934" t="s">
        <v>9109</v>
      </c>
      <c r="G934" s="3" t="s">
        <v>9121</v>
      </c>
      <c r="H934" t="s">
        <v>9122</v>
      </c>
      <c r="I934" s="28">
        <v>46301</v>
      </c>
      <c r="J934" t="s">
        <v>9118</v>
      </c>
      <c r="K934" t="s">
        <v>31</v>
      </c>
    </row>
    <row r="935" spans="1:11">
      <c r="A935" s="3">
        <v>2525002</v>
      </c>
      <c r="B935" t="s">
        <v>9417</v>
      </c>
      <c r="C935" t="s">
        <v>7</v>
      </c>
      <c r="D935" t="s">
        <v>9108</v>
      </c>
      <c r="E935" s="28">
        <v>46226</v>
      </c>
      <c r="F935" t="s">
        <v>9109</v>
      </c>
      <c r="G935" s="3" t="s">
        <v>9121</v>
      </c>
      <c r="H935" t="s">
        <v>9122</v>
      </c>
      <c r="I935" s="28">
        <v>46301</v>
      </c>
      <c r="J935" t="s">
        <v>9118</v>
      </c>
      <c r="K935" t="s">
        <v>31</v>
      </c>
    </row>
    <row r="936" spans="1:11">
      <c r="A936" s="3">
        <v>2525009</v>
      </c>
      <c r="B936" t="s">
        <v>8097</v>
      </c>
      <c r="C936" t="s">
        <v>8</v>
      </c>
      <c r="D936" t="s">
        <v>9108</v>
      </c>
      <c r="E936" s="28">
        <v>46226</v>
      </c>
      <c r="F936" t="s">
        <v>9109</v>
      </c>
      <c r="G936" s="3" t="s">
        <v>9121</v>
      </c>
      <c r="H936" t="s">
        <v>9122</v>
      </c>
      <c r="I936" s="28">
        <v>46301</v>
      </c>
      <c r="J936" t="s">
        <v>9118</v>
      </c>
      <c r="K936" t="s">
        <v>31</v>
      </c>
    </row>
    <row r="937" spans="1:11">
      <c r="A937" s="3">
        <v>2525010</v>
      </c>
      <c r="B937" t="s">
        <v>6220</v>
      </c>
      <c r="C937" t="s">
        <v>8</v>
      </c>
      <c r="D937" t="s">
        <v>9108</v>
      </c>
      <c r="E937" s="28">
        <v>46226</v>
      </c>
      <c r="F937" t="s">
        <v>9109</v>
      </c>
      <c r="G937" s="3" t="s">
        <v>9121</v>
      </c>
      <c r="H937" t="s">
        <v>9122</v>
      </c>
      <c r="I937" s="28">
        <v>46301</v>
      </c>
      <c r="J937" t="s">
        <v>9118</v>
      </c>
      <c r="K937" t="s">
        <v>31</v>
      </c>
    </row>
    <row r="938" spans="1:11">
      <c r="A938" s="3">
        <v>2525022</v>
      </c>
      <c r="B938" t="s">
        <v>5125</v>
      </c>
      <c r="C938" t="s">
        <v>8</v>
      </c>
      <c r="D938" t="s">
        <v>9108</v>
      </c>
      <c r="E938" s="28">
        <v>46226</v>
      </c>
      <c r="F938" t="s">
        <v>9109</v>
      </c>
      <c r="G938" s="3" t="s">
        <v>9121</v>
      </c>
      <c r="H938" t="s">
        <v>9122</v>
      </c>
      <c r="I938" s="28">
        <v>46301</v>
      </c>
      <c r="J938" t="s">
        <v>9118</v>
      </c>
      <c r="K938" t="s">
        <v>31</v>
      </c>
    </row>
    <row r="939" spans="1:11">
      <c r="A939" s="3">
        <v>2525027</v>
      </c>
      <c r="B939" t="s">
        <v>3884</v>
      </c>
      <c r="C939" t="s">
        <v>7</v>
      </c>
      <c r="D939" t="s">
        <v>9108</v>
      </c>
      <c r="E939" s="28">
        <v>46226</v>
      </c>
      <c r="F939" t="s">
        <v>9109</v>
      </c>
      <c r="G939" s="3" t="s">
        <v>9121</v>
      </c>
      <c r="H939" t="s">
        <v>9122</v>
      </c>
      <c r="I939" s="28">
        <v>46301</v>
      </c>
      <c r="J939" t="s">
        <v>9118</v>
      </c>
      <c r="K939" t="s">
        <v>31</v>
      </c>
    </row>
    <row r="940" spans="1:11">
      <c r="A940" s="3">
        <v>2525028</v>
      </c>
      <c r="B940" t="s">
        <v>311</v>
      </c>
      <c r="C940" t="s">
        <v>8</v>
      </c>
      <c r="D940" t="s">
        <v>9108</v>
      </c>
      <c r="E940" s="28">
        <v>46226</v>
      </c>
      <c r="F940" t="s">
        <v>9109</v>
      </c>
      <c r="G940" s="3" t="s">
        <v>9121</v>
      </c>
      <c r="H940" t="s">
        <v>9122</v>
      </c>
      <c r="I940" s="28">
        <v>46301</v>
      </c>
      <c r="J940" t="s">
        <v>9118</v>
      </c>
      <c r="K940" t="s">
        <v>31</v>
      </c>
    </row>
    <row r="941" spans="1:11">
      <c r="A941" s="3">
        <v>2525029</v>
      </c>
      <c r="B941" t="s">
        <v>6225</v>
      </c>
      <c r="C941" t="s">
        <v>8</v>
      </c>
      <c r="D941" t="s">
        <v>9108</v>
      </c>
      <c r="E941" s="28">
        <v>46226</v>
      </c>
      <c r="F941" t="s">
        <v>9109</v>
      </c>
      <c r="G941" s="3" t="s">
        <v>9121</v>
      </c>
      <c r="H941" t="s">
        <v>9122</v>
      </c>
      <c r="I941" s="28">
        <v>46301</v>
      </c>
      <c r="J941" t="s">
        <v>9118</v>
      </c>
      <c r="K941" t="s">
        <v>31</v>
      </c>
    </row>
    <row r="942" spans="1:11">
      <c r="A942" s="3">
        <v>2525030</v>
      </c>
      <c r="B942" t="s">
        <v>8600</v>
      </c>
      <c r="C942" t="s">
        <v>7</v>
      </c>
      <c r="D942" t="s">
        <v>9108</v>
      </c>
      <c r="E942" s="28">
        <v>46226</v>
      </c>
      <c r="F942" t="s">
        <v>9109</v>
      </c>
      <c r="G942" s="3" t="s">
        <v>9121</v>
      </c>
      <c r="H942" t="s">
        <v>9122</v>
      </c>
      <c r="I942" s="28">
        <v>46301</v>
      </c>
      <c r="J942" t="s">
        <v>9118</v>
      </c>
      <c r="K942" t="s">
        <v>31</v>
      </c>
    </row>
    <row r="943" spans="1:11">
      <c r="A943" s="3">
        <v>2525031</v>
      </c>
      <c r="B943" t="s">
        <v>9418</v>
      </c>
      <c r="C943" t="s">
        <v>8</v>
      </c>
      <c r="D943" t="s">
        <v>9108</v>
      </c>
      <c r="E943" s="28">
        <v>46226</v>
      </c>
      <c r="F943" t="s">
        <v>9109</v>
      </c>
      <c r="G943" s="3" t="s">
        <v>9121</v>
      </c>
      <c r="H943" t="s">
        <v>9122</v>
      </c>
      <c r="I943" s="28">
        <v>46301</v>
      </c>
      <c r="J943" t="s">
        <v>9118</v>
      </c>
      <c r="K943" t="s">
        <v>31</v>
      </c>
    </row>
    <row r="944" spans="1:11">
      <c r="A944" s="3">
        <v>2525032</v>
      </c>
      <c r="B944" t="s">
        <v>6792</v>
      </c>
      <c r="C944" t="s">
        <v>7</v>
      </c>
      <c r="D944" t="s">
        <v>9108</v>
      </c>
      <c r="E944" s="28">
        <v>46226</v>
      </c>
      <c r="F944" t="s">
        <v>9109</v>
      </c>
      <c r="G944" s="3" t="s">
        <v>9121</v>
      </c>
      <c r="H944" t="s">
        <v>9122</v>
      </c>
      <c r="I944" s="28">
        <v>46301</v>
      </c>
      <c r="J944" t="s">
        <v>9118</v>
      </c>
      <c r="K944" t="s">
        <v>31</v>
      </c>
    </row>
    <row r="945" spans="1:11">
      <c r="A945" s="3">
        <v>2525033</v>
      </c>
      <c r="B945" t="s">
        <v>9419</v>
      </c>
      <c r="C945" t="s">
        <v>7</v>
      </c>
      <c r="D945" t="s">
        <v>9108</v>
      </c>
      <c r="E945" s="28">
        <v>46226</v>
      </c>
      <c r="F945" t="s">
        <v>9109</v>
      </c>
      <c r="G945" s="3" t="s">
        <v>9121</v>
      </c>
      <c r="H945" t="s">
        <v>9122</v>
      </c>
      <c r="I945" s="28">
        <v>46301</v>
      </c>
      <c r="J945" t="s">
        <v>9118</v>
      </c>
      <c r="K945" t="s">
        <v>31</v>
      </c>
    </row>
    <row r="946" spans="1:11">
      <c r="A946" s="3">
        <v>2525034</v>
      </c>
      <c r="B946" t="s">
        <v>6229</v>
      </c>
      <c r="C946" t="s">
        <v>8</v>
      </c>
      <c r="D946" t="s">
        <v>9108</v>
      </c>
      <c r="E946" s="28">
        <v>46226</v>
      </c>
      <c r="F946" t="s">
        <v>9109</v>
      </c>
      <c r="G946" s="3" t="s">
        <v>9121</v>
      </c>
      <c r="H946" t="s">
        <v>9122</v>
      </c>
      <c r="I946" s="28">
        <v>46301</v>
      </c>
      <c r="J946" t="s">
        <v>9118</v>
      </c>
      <c r="K946" t="s">
        <v>31</v>
      </c>
    </row>
    <row r="947" spans="1:11">
      <c r="A947" s="3">
        <v>2525035</v>
      </c>
      <c r="B947" t="s">
        <v>8585</v>
      </c>
      <c r="C947" t="s">
        <v>7</v>
      </c>
      <c r="D947" t="s">
        <v>9108</v>
      </c>
      <c r="E947" s="28">
        <v>46226</v>
      </c>
      <c r="F947" t="s">
        <v>9109</v>
      </c>
      <c r="G947" s="3" t="s">
        <v>9121</v>
      </c>
      <c r="H947" t="s">
        <v>9122</v>
      </c>
      <c r="I947" s="28">
        <v>46301</v>
      </c>
      <c r="J947" t="s">
        <v>9118</v>
      </c>
      <c r="K947" t="s">
        <v>31</v>
      </c>
    </row>
    <row r="948" spans="1:11">
      <c r="A948" s="3">
        <v>2525037</v>
      </c>
      <c r="B948" t="s">
        <v>3966</v>
      </c>
      <c r="C948" t="s">
        <v>7</v>
      </c>
      <c r="D948" t="s">
        <v>9108</v>
      </c>
      <c r="E948" s="28">
        <v>46226</v>
      </c>
      <c r="F948" t="s">
        <v>9109</v>
      </c>
      <c r="G948" s="3" t="s">
        <v>9121</v>
      </c>
      <c r="H948" t="s">
        <v>9122</v>
      </c>
      <c r="I948" s="28">
        <v>46301</v>
      </c>
      <c r="J948" t="s">
        <v>9118</v>
      </c>
      <c r="K948" t="s">
        <v>31</v>
      </c>
    </row>
    <row r="949" spans="1:11">
      <c r="A949" s="3">
        <v>2525043</v>
      </c>
      <c r="B949" t="s">
        <v>3348</v>
      </c>
      <c r="C949" t="s">
        <v>8</v>
      </c>
      <c r="D949" t="s">
        <v>9108</v>
      </c>
      <c r="E949" s="28">
        <v>46226</v>
      </c>
      <c r="F949" t="s">
        <v>9109</v>
      </c>
      <c r="G949" s="3" t="s">
        <v>9121</v>
      </c>
      <c r="H949" t="s">
        <v>9122</v>
      </c>
      <c r="I949" s="28">
        <v>46301</v>
      </c>
      <c r="J949" t="s">
        <v>9118</v>
      </c>
      <c r="K949" t="s">
        <v>31</v>
      </c>
    </row>
    <row r="950" spans="1:11">
      <c r="A950" s="3">
        <v>2525044</v>
      </c>
      <c r="B950" t="s">
        <v>7461</v>
      </c>
      <c r="C950" t="s">
        <v>7</v>
      </c>
      <c r="D950" t="s">
        <v>9108</v>
      </c>
      <c r="E950" s="28">
        <v>46226</v>
      </c>
      <c r="F950" t="s">
        <v>9109</v>
      </c>
      <c r="G950" s="3" t="s">
        <v>9121</v>
      </c>
      <c r="H950" t="s">
        <v>9122</v>
      </c>
      <c r="I950" s="28">
        <v>46301</v>
      </c>
      <c r="J950" t="s">
        <v>9118</v>
      </c>
      <c r="K950" t="s">
        <v>31</v>
      </c>
    </row>
    <row r="951" spans="1:11">
      <c r="A951" s="3">
        <v>2525045</v>
      </c>
      <c r="B951" t="s">
        <v>2266</v>
      </c>
      <c r="C951" t="s">
        <v>8</v>
      </c>
      <c r="D951" t="s">
        <v>9108</v>
      </c>
      <c r="E951" s="28">
        <v>46226</v>
      </c>
      <c r="F951" t="s">
        <v>9109</v>
      </c>
      <c r="G951" s="3" t="s">
        <v>9121</v>
      </c>
      <c r="H951" t="s">
        <v>9122</v>
      </c>
      <c r="I951" s="28">
        <v>46301</v>
      </c>
      <c r="J951" t="s">
        <v>9118</v>
      </c>
      <c r="K951" t="s">
        <v>31</v>
      </c>
    </row>
    <row r="952" spans="1:11">
      <c r="A952" s="3">
        <v>2525058</v>
      </c>
      <c r="B952" t="s">
        <v>3086</v>
      </c>
      <c r="C952" t="s">
        <v>7</v>
      </c>
      <c r="D952" t="s">
        <v>9108</v>
      </c>
      <c r="E952" s="28">
        <v>46226</v>
      </c>
      <c r="F952" t="s">
        <v>9109</v>
      </c>
      <c r="G952" s="3" t="s">
        <v>9121</v>
      </c>
      <c r="H952" t="s">
        <v>9122</v>
      </c>
      <c r="I952" s="28">
        <v>46301</v>
      </c>
      <c r="J952" t="s">
        <v>9118</v>
      </c>
      <c r="K952" t="s">
        <v>31</v>
      </c>
    </row>
    <row r="953" spans="1:11">
      <c r="A953" s="3">
        <v>2525060</v>
      </c>
      <c r="B953" t="s">
        <v>3514</v>
      </c>
      <c r="C953" t="s">
        <v>7</v>
      </c>
      <c r="D953" t="s">
        <v>9108</v>
      </c>
      <c r="E953" s="28">
        <v>46226</v>
      </c>
      <c r="F953" t="s">
        <v>9109</v>
      </c>
      <c r="G953" s="3" t="s">
        <v>9121</v>
      </c>
      <c r="H953" t="s">
        <v>9122</v>
      </c>
      <c r="I953" s="28">
        <v>46301</v>
      </c>
      <c r="J953" t="s">
        <v>9118</v>
      </c>
      <c r="K953" t="s">
        <v>31</v>
      </c>
    </row>
    <row r="954" spans="1:11">
      <c r="A954" s="3">
        <v>2525061</v>
      </c>
      <c r="B954" t="s">
        <v>8571</v>
      </c>
      <c r="C954" t="s">
        <v>7</v>
      </c>
      <c r="D954" t="s">
        <v>9108</v>
      </c>
      <c r="E954" s="28">
        <v>46226</v>
      </c>
      <c r="F954" t="s">
        <v>9109</v>
      </c>
      <c r="G954" s="3" t="s">
        <v>9121</v>
      </c>
      <c r="H954" t="s">
        <v>9122</v>
      </c>
      <c r="I954" s="28">
        <v>46301</v>
      </c>
      <c r="J954" t="s">
        <v>9118</v>
      </c>
      <c r="K954" t="s">
        <v>31</v>
      </c>
    </row>
    <row r="955" spans="1:11">
      <c r="A955" s="3">
        <v>2525062</v>
      </c>
      <c r="B955" t="s">
        <v>3003</v>
      </c>
      <c r="C955" t="s">
        <v>7</v>
      </c>
      <c r="D955" t="s">
        <v>9108</v>
      </c>
      <c r="E955" s="28">
        <v>46226</v>
      </c>
      <c r="F955" t="s">
        <v>9109</v>
      </c>
      <c r="G955" s="3" t="s">
        <v>9121</v>
      </c>
      <c r="H955" t="s">
        <v>9122</v>
      </c>
      <c r="I955" s="28">
        <v>46301</v>
      </c>
      <c r="J955" t="s">
        <v>9118</v>
      </c>
      <c r="K955" t="s">
        <v>31</v>
      </c>
    </row>
    <row r="956" spans="1:11">
      <c r="A956" s="3">
        <v>2525063</v>
      </c>
      <c r="B956" t="s">
        <v>543</v>
      </c>
      <c r="C956" t="s">
        <v>7</v>
      </c>
      <c r="D956" t="s">
        <v>9108</v>
      </c>
      <c r="E956" s="28">
        <v>46226</v>
      </c>
      <c r="F956" t="s">
        <v>9109</v>
      </c>
      <c r="G956" s="3" t="s">
        <v>9121</v>
      </c>
      <c r="H956" t="s">
        <v>9122</v>
      </c>
      <c r="I956" s="28">
        <v>46301</v>
      </c>
      <c r="J956" t="s">
        <v>9118</v>
      </c>
      <c r="K956" t="s">
        <v>31</v>
      </c>
    </row>
    <row r="957" spans="1:11">
      <c r="A957" s="3">
        <v>2525064</v>
      </c>
      <c r="B957" t="s">
        <v>2761</v>
      </c>
      <c r="C957" t="s">
        <v>8</v>
      </c>
      <c r="D957" t="s">
        <v>9108</v>
      </c>
      <c r="E957" s="28">
        <v>46226</v>
      </c>
      <c r="F957" t="s">
        <v>9109</v>
      </c>
      <c r="G957" s="3" t="s">
        <v>9121</v>
      </c>
      <c r="H957" t="s">
        <v>9122</v>
      </c>
      <c r="I957" s="28">
        <v>46301</v>
      </c>
      <c r="J957" t="s">
        <v>9118</v>
      </c>
      <c r="K957" t="s">
        <v>31</v>
      </c>
    </row>
    <row r="958" spans="1:11">
      <c r="A958" s="3">
        <v>2525066</v>
      </c>
      <c r="B958" t="s">
        <v>9420</v>
      </c>
      <c r="C958" t="s">
        <v>8</v>
      </c>
      <c r="D958" t="s">
        <v>9108</v>
      </c>
      <c r="E958" s="28">
        <v>46226</v>
      </c>
      <c r="F958" t="s">
        <v>9109</v>
      </c>
      <c r="G958" s="3" t="s">
        <v>9121</v>
      </c>
      <c r="H958" t="s">
        <v>9122</v>
      </c>
      <c r="I958" s="28">
        <v>46301</v>
      </c>
      <c r="J958" t="s">
        <v>9118</v>
      </c>
      <c r="K958" t="s">
        <v>31</v>
      </c>
    </row>
    <row r="959" spans="1:11">
      <c r="A959" s="3">
        <v>2525069</v>
      </c>
      <c r="B959" t="s">
        <v>9421</v>
      </c>
      <c r="C959" t="s">
        <v>7</v>
      </c>
      <c r="D959" t="s">
        <v>9108</v>
      </c>
      <c r="E959" s="28">
        <v>46226</v>
      </c>
      <c r="F959" t="s">
        <v>9109</v>
      </c>
      <c r="G959" s="3" t="s">
        <v>9121</v>
      </c>
      <c r="H959" t="s">
        <v>9122</v>
      </c>
      <c r="I959" s="28">
        <v>46301</v>
      </c>
      <c r="J959" t="s">
        <v>9118</v>
      </c>
      <c r="K959" t="s">
        <v>31</v>
      </c>
    </row>
    <row r="960" spans="1:11">
      <c r="A960" s="3">
        <v>2525075</v>
      </c>
      <c r="B960" t="s">
        <v>2119</v>
      </c>
      <c r="C960" t="s">
        <v>7</v>
      </c>
      <c r="D960" t="s">
        <v>9108</v>
      </c>
      <c r="E960" s="28">
        <v>46226</v>
      </c>
      <c r="F960" t="s">
        <v>9109</v>
      </c>
      <c r="G960" s="3" t="s">
        <v>9412</v>
      </c>
      <c r="H960" t="s">
        <v>9413</v>
      </c>
      <c r="I960" s="28">
        <v>46282</v>
      </c>
      <c r="J960" t="s">
        <v>9118</v>
      </c>
      <c r="K960" t="s">
        <v>30</v>
      </c>
    </row>
    <row r="961" spans="1:11">
      <c r="A961" s="3">
        <v>2525077</v>
      </c>
      <c r="B961" t="s">
        <v>9422</v>
      </c>
      <c r="C961" t="s">
        <v>7</v>
      </c>
      <c r="D961" t="s">
        <v>9108</v>
      </c>
      <c r="E961" s="28">
        <v>46226</v>
      </c>
      <c r="F961" t="s">
        <v>9109</v>
      </c>
      <c r="G961" s="3" t="s">
        <v>9412</v>
      </c>
      <c r="H961" t="s">
        <v>9413</v>
      </c>
      <c r="I961" s="28">
        <v>46282</v>
      </c>
      <c r="J961" t="s">
        <v>9118</v>
      </c>
      <c r="K961" t="s">
        <v>30</v>
      </c>
    </row>
    <row r="962" spans="1:11">
      <c r="A962" s="3">
        <v>2525082</v>
      </c>
      <c r="B962" t="s">
        <v>2943</v>
      </c>
      <c r="C962" t="s">
        <v>7</v>
      </c>
      <c r="D962" t="s">
        <v>9108</v>
      </c>
      <c r="E962" s="28">
        <v>46226</v>
      </c>
      <c r="F962" t="s">
        <v>9109</v>
      </c>
      <c r="G962" s="3" t="s">
        <v>9412</v>
      </c>
      <c r="H962" t="s">
        <v>9413</v>
      </c>
      <c r="I962" s="28">
        <v>46282</v>
      </c>
      <c r="J962" t="s">
        <v>9118</v>
      </c>
      <c r="K962" t="s">
        <v>30</v>
      </c>
    </row>
    <row r="963" spans="1:11">
      <c r="A963" s="3">
        <v>2525083</v>
      </c>
      <c r="B963" t="s">
        <v>9423</v>
      </c>
      <c r="C963" t="s">
        <v>8</v>
      </c>
      <c r="D963" t="s">
        <v>9108</v>
      </c>
      <c r="E963" s="28">
        <v>46226</v>
      </c>
      <c r="F963" t="s">
        <v>9109</v>
      </c>
      <c r="G963" s="3" t="s">
        <v>9424</v>
      </c>
      <c r="H963" t="s">
        <v>9425</v>
      </c>
      <c r="I963" s="28">
        <v>46332</v>
      </c>
      <c r="J963" t="s">
        <v>9118</v>
      </c>
      <c r="K963" t="s">
        <v>32</v>
      </c>
    </row>
    <row r="964" spans="1:11">
      <c r="A964" s="3">
        <v>2525084</v>
      </c>
      <c r="B964" t="s">
        <v>3467</v>
      </c>
      <c r="C964" t="s">
        <v>7</v>
      </c>
      <c r="D964" t="s">
        <v>9108</v>
      </c>
      <c r="E964" s="28">
        <v>46226</v>
      </c>
      <c r="F964" t="s">
        <v>9109</v>
      </c>
      <c r="G964" s="3" t="s">
        <v>9412</v>
      </c>
      <c r="H964" t="s">
        <v>9413</v>
      </c>
      <c r="I964" s="28">
        <v>46282</v>
      </c>
      <c r="J964" t="s">
        <v>9118</v>
      </c>
      <c r="K964" t="s">
        <v>30</v>
      </c>
    </row>
    <row r="965" spans="1:11">
      <c r="A965" s="3">
        <v>2525090</v>
      </c>
      <c r="B965" t="s">
        <v>7311</v>
      </c>
      <c r="C965" t="s">
        <v>8</v>
      </c>
      <c r="D965" t="s">
        <v>9108</v>
      </c>
      <c r="E965" s="28">
        <v>46226</v>
      </c>
      <c r="F965" t="s">
        <v>9109</v>
      </c>
      <c r="G965" s="3" t="s">
        <v>9424</v>
      </c>
      <c r="H965" t="s">
        <v>9425</v>
      </c>
      <c r="I965" s="28">
        <v>46332</v>
      </c>
      <c r="J965" t="s">
        <v>9118</v>
      </c>
      <c r="K965" t="s">
        <v>32</v>
      </c>
    </row>
    <row r="966" spans="1:11">
      <c r="A966" s="3">
        <v>2525092</v>
      </c>
      <c r="B966" t="s">
        <v>9426</v>
      </c>
      <c r="C966" t="s">
        <v>8</v>
      </c>
      <c r="D966" t="s">
        <v>9108</v>
      </c>
      <c r="E966" s="28">
        <v>46226</v>
      </c>
      <c r="F966" t="s">
        <v>9109</v>
      </c>
      <c r="G966" s="3" t="s">
        <v>9424</v>
      </c>
      <c r="H966" t="s">
        <v>9425</v>
      </c>
      <c r="I966" s="28">
        <v>46332</v>
      </c>
      <c r="J966" t="s">
        <v>9118</v>
      </c>
      <c r="K966" t="s">
        <v>32</v>
      </c>
    </row>
    <row r="967" spans="1:11">
      <c r="A967" s="3">
        <v>2525093</v>
      </c>
      <c r="B967" t="s">
        <v>2649</v>
      </c>
      <c r="C967" t="s">
        <v>7</v>
      </c>
      <c r="D967" t="s">
        <v>9108</v>
      </c>
      <c r="E967" s="28">
        <v>46226</v>
      </c>
      <c r="F967" t="s">
        <v>9109</v>
      </c>
      <c r="G967" s="3" t="s">
        <v>9424</v>
      </c>
      <c r="H967" t="s">
        <v>9425</v>
      </c>
      <c r="I967" s="28">
        <v>46332</v>
      </c>
      <c r="J967" t="s">
        <v>9118</v>
      </c>
      <c r="K967" t="s">
        <v>32</v>
      </c>
    </row>
    <row r="968" spans="1:11">
      <c r="A968" s="3">
        <v>2525094</v>
      </c>
      <c r="B968" t="s">
        <v>7264</v>
      </c>
      <c r="C968" t="s">
        <v>8</v>
      </c>
      <c r="D968" t="s">
        <v>9108</v>
      </c>
      <c r="E968" s="28">
        <v>46226</v>
      </c>
      <c r="F968" t="s">
        <v>9109</v>
      </c>
      <c r="G968" s="3" t="s">
        <v>9424</v>
      </c>
      <c r="H968" t="s">
        <v>9425</v>
      </c>
      <c r="I968" s="28">
        <v>46332</v>
      </c>
      <c r="J968" t="s">
        <v>9118</v>
      </c>
      <c r="K968" t="s">
        <v>32</v>
      </c>
    </row>
    <row r="969" spans="1:11">
      <c r="A969" s="3">
        <v>2525098</v>
      </c>
      <c r="B969" t="s">
        <v>9427</v>
      </c>
      <c r="C969" t="s">
        <v>7</v>
      </c>
      <c r="D969" t="s">
        <v>9108</v>
      </c>
      <c r="E969" s="28">
        <v>46226</v>
      </c>
      <c r="F969" t="s">
        <v>9109</v>
      </c>
      <c r="G969" s="3" t="s">
        <v>9412</v>
      </c>
      <c r="H969" t="s">
        <v>9413</v>
      </c>
      <c r="I969" s="28">
        <v>46282</v>
      </c>
      <c r="J969" t="s">
        <v>9118</v>
      </c>
      <c r="K969" t="s">
        <v>30</v>
      </c>
    </row>
    <row r="970" spans="1:11">
      <c r="A970" s="3">
        <v>2525101</v>
      </c>
      <c r="B970" t="s">
        <v>5339</v>
      </c>
      <c r="C970" t="s">
        <v>8</v>
      </c>
      <c r="D970" t="s">
        <v>9108</v>
      </c>
      <c r="E970" s="28">
        <v>46226</v>
      </c>
      <c r="F970" t="s">
        <v>9109</v>
      </c>
      <c r="G970" s="3" t="s">
        <v>9424</v>
      </c>
      <c r="H970" t="s">
        <v>9425</v>
      </c>
      <c r="I970" s="28">
        <v>46332</v>
      </c>
      <c r="J970" t="s">
        <v>9118</v>
      </c>
      <c r="K970" t="s">
        <v>32</v>
      </c>
    </row>
    <row r="971" spans="1:11">
      <c r="A971" s="3">
        <v>2525102</v>
      </c>
      <c r="B971" t="s">
        <v>8092</v>
      </c>
      <c r="C971" t="s">
        <v>8</v>
      </c>
      <c r="D971" t="s">
        <v>9108</v>
      </c>
      <c r="E971" s="28">
        <v>46226</v>
      </c>
      <c r="F971" t="s">
        <v>9109</v>
      </c>
      <c r="G971" s="3" t="s">
        <v>9424</v>
      </c>
      <c r="H971" t="s">
        <v>9425</v>
      </c>
      <c r="I971" s="28">
        <v>46332</v>
      </c>
      <c r="J971" t="s">
        <v>9118</v>
      </c>
      <c r="K971" t="s">
        <v>32</v>
      </c>
    </row>
    <row r="972" spans="1:11">
      <c r="A972" s="3">
        <v>2525146</v>
      </c>
      <c r="B972" t="s">
        <v>5594</v>
      </c>
      <c r="C972" t="s">
        <v>8</v>
      </c>
      <c r="D972" t="s">
        <v>9108</v>
      </c>
      <c r="E972" s="28">
        <v>46226</v>
      </c>
      <c r="F972" t="s">
        <v>9109</v>
      </c>
      <c r="G972" s="3" t="s">
        <v>9424</v>
      </c>
      <c r="H972" t="s">
        <v>9425</v>
      </c>
      <c r="I972" s="28">
        <v>46332</v>
      </c>
      <c r="J972" t="s">
        <v>9118</v>
      </c>
      <c r="K972" t="s">
        <v>32</v>
      </c>
    </row>
    <row r="973" spans="1:11">
      <c r="A973" s="3">
        <v>2525148</v>
      </c>
      <c r="B973" t="s">
        <v>5451</v>
      </c>
      <c r="C973" t="s">
        <v>8</v>
      </c>
      <c r="D973" t="s">
        <v>9108</v>
      </c>
      <c r="E973" s="28">
        <v>46226</v>
      </c>
      <c r="F973" t="s">
        <v>9109</v>
      </c>
      <c r="G973" s="3" t="s">
        <v>9424</v>
      </c>
      <c r="H973" t="s">
        <v>9425</v>
      </c>
      <c r="I973" s="28">
        <v>46332</v>
      </c>
      <c r="J973" t="s">
        <v>9118</v>
      </c>
      <c r="K973" t="s">
        <v>32</v>
      </c>
    </row>
    <row r="974" spans="1:11">
      <c r="A974" s="3">
        <v>2525149</v>
      </c>
      <c r="B974" t="s">
        <v>5446</v>
      </c>
      <c r="C974" t="s">
        <v>8</v>
      </c>
      <c r="D974" t="s">
        <v>9108</v>
      </c>
      <c r="E974" s="28">
        <v>46226</v>
      </c>
      <c r="F974" t="s">
        <v>9109</v>
      </c>
      <c r="G974" s="3" t="s">
        <v>9424</v>
      </c>
      <c r="H974" t="s">
        <v>9425</v>
      </c>
      <c r="I974" s="28">
        <v>46332</v>
      </c>
      <c r="J974" t="s">
        <v>9118</v>
      </c>
      <c r="K974" t="s">
        <v>32</v>
      </c>
    </row>
    <row r="975" spans="1:11">
      <c r="A975" s="3">
        <v>2525151</v>
      </c>
      <c r="B975" t="s">
        <v>5329</v>
      </c>
      <c r="C975" t="s">
        <v>8</v>
      </c>
      <c r="D975" t="s">
        <v>9108</v>
      </c>
      <c r="E975" s="28">
        <v>46226</v>
      </c>
      <c r="F975" t="s">
        <v>9109</v>
      </c>
      <c r="G975" s="3" t="s">
        <v>9424</v>
      </c>
      <c r="H975" t="s">
        <v>9425</v>
      </c>
      <c r="I975" s="28">
        <v>46332</v>
      </c>
      <c r="J975" t="s">
        <v>9118</v>
      </c>
      <c r="K975" t="s">
        <v>32</v>
      </c>
    </row>
    <row r="976" spans="1:11">
      <c r="A976" s="3">
        <v>2525152</v>
      </c>
      <c r="B976" t="s">
        <v>7403</v>
      </c>
      <c r="C976" t="s">
        <v>8</v>
      </c>
      <c r="D976" t="s">
        <v>9108</v>
      </c>
      <c r="E976" s="28">
        <v>46226</v>
      </c>
      <c r="F976" t="s">
        <v>9109</v>
      </c>
      <c r="G976" s="3" t="s">
        <v>9424</v>
      </c>
      <c r="H976" t="s">
        <v>9425</v>
      </c>
      <c r="I976" s="28">
        <v>46332</v>
      </c>
      <c r="J976" t="s">
        <v>9118</v>
      </c>
      <c r="K976" t="s">
        <v>32</v>
      </c>
    </row>
    <row r="977" spans="1:11">
      <c r="A977" s="3">
        <v>2526126</v>
      </c>
      <c r="B977" t="s">
        <v>8253</v>
      </c>
      <c r="C977" t="s">
        <v>8</v>
      </c>
      <c r="D977" t="s">
        <v>9108</v>
      </c>
      <c r="E977" s="28">
        <v>46231</v>
      </c>
      <c r="F977" t="s">
        <v>9109</v>
      </c>
      <c r="G977" s="3" t="s">
        <v>9424</v>
      </c>
      <c r="H977" t="s">
        <v>9425</v>
      </c>
      <c r="I977" s="28">
        <v>46332</v>
      </c>
      <c r="J977" t="s">
        <v>9118</v>
      </c>
      <c r="K977" t="s">
        <v>32</v>
      </c>
    </row>
    <row r="978" spans="1:11">
      <c r="A978" s="3">
        <v>2526127</v>
      </c>
      <c r="B978" t="s">
        <v>6296</v>
      </c>
      <c r="C978" t="s">
        <v>8</v>
      </c>
      <c r="D978" t="s">
        <v>9108</v>
      </c>
      <c r="E978" s="28">
        <v>46231</v>
      </c>
      <c r="F978" t="s">
        <v>9109</v>
      </c>
      <c r="G978" s="3" t="s">
        <v>9428</v>
      </c>
      <c r="H978" t="s">
        <v>9425</v>
      </c>
      <c r="I978" s="28">
        <v>46353</v>
      </c>
      <c r="J978" t="s">
        <v>9118</v>
      </c>
      <c r="K978" t="s">
        <v>32</v>
      </c>
    </row>
    <row r="979" spans="1:11">
      <c r="A979" s="3">
        <v>2526128</v>
      </c>
      <c r="B979" t="s">
        <v>9429</v>
      </c>
      <c r="C979" t="s">
        <v>8</v>
      </c>
      <c r="D979" t="s">
        <v>9108</v>
      </c>
      <c r="E979" s="28">
        <v>46231</v>
      </c>
      <c r="F979" t="s">
        <v>9109</v>
      </c>
      <c r="G979" s="3" t="s">
        <v>9424</v>
      </c>
      <c r="H979" t="s">
        <v>9425</v>
      </c>
      <c r="I979" s="28">
        <v>46332</v>
      </c>
      <c r="J979" t="s">
        <v>9118</v>
      </c>
      <c r="K979" t="s">
        <v>32</v>
      </c>
    </row>
    <row r="980" spans="1:11">
      <c r="A980" s="3">
        <v>2526129</v>
      </c>
      <c r="B980" t="s">
        <v>7234</v>
      </c>
      <c r="C980" t="s">
        <v>8</v>
      </c>
      <c r="D980" t="s">
        <v>9108</v>
      </c>
      <c r="E980" s="28">
        <v>46231</v>
      </c>
      <c r="F980" t="s">
        <v>9109</v>
      </c>
      <c r="G980" s="3" t="s">
        <v>9428</v>
      </c>
      <c r="H980" t="s">
        <v>9425</v>
      </c>
      <c r="I980" s="28">
        <v>46353</v>
      </c>
      <c r="J980" t="s">
        <v>9118</v>
      </c>
      <c r="K980" t="s">
        <v>32</v>
      </c>
    </row>
    <row r="981" spans="1:11">
      <c r="A981" s="3">
        <v>2526130</v>
      </c>
      <c r="B981" t="s">
        <v>9430</v>
      </c>
      <c r="C981" t="s">
        <v>8</v>
      </c>
      <c r="D981" t="s">
        <v>9108</v>
      </c>
      <c r="E981" s="28">
        <v>46231</v>
      </c>
      <c r="F981" t="s">
        <v>9109</v>
      </c>
      <c r="G981" s="3" t="s">
        <v>9428</v>
      </c>
      <c r="H981" t="s">
        <v>9425</v>
      </c>
      <c r="I981" s="28">
        <v>46353</v>
      </c>
      <c r="J981" t="s">
        <v>9118</v>
      </c>
      <c r="K981" t="s">
        <v>32</v>
      </c>
    </row>
    <row r="982" spans="1:11">
      <c r="A982" s="3">
        <v>2526131</v>
      </c>
      <c r="B982" t="s">
        <v>9431</v>
      </c>
      <c r="C982" t="s">
        <v>8</v>
      </c>
      <c r="D982" t="s">
        <v>9108</v>
      </c>
      <c r="E982" s="28">
        <v>46231</v>
      </c>
      <c r="F982" t="s">
        <v>9109</v>
      </c>
      <c r="G982" s="3" t="s">
        <v>9428</v>
      </c>
      <c r="H982" t="s">
        <v>9425</v>
      </c>
      <c r="I982" s="28">
        <v>46353</v>
      </c>
      <c r="J982" t="s">
        <v>9118</v>
      </c>
      <c r="K982" t="s">
        <v>32</v>
      </c>
    </row>
    <row r="983" spans="1:11">
      <c r="A983" s="3">
        <v>2526133</v>
      </c>
      <c r="B983" t="s">
        <v>8329</v>
      </c>
      <c r="C983" t="s">
        <v>8</v>
      </c>
      <c r="D983" t="s">
        <v>9108</v>
      </c>
      <c r="E983" s="28">
        <v>46231</v>
      </c>
      <c r="F983" t="s">
        <v>9109</v>
      </c>
      <c r="G983" s="3" t="s">
        <v>9424</v>
      </c>
      <c r="H983" t="s">
        <v>9425</v>
      </c>
      <c r="I983" s="28">
        <v>46332</v>
      </c>
      <c r="J983" t="s">
        <v>9118</v>
      </c>
      <c r="K983" t="s">
        <v>32</v>
      </c>
    </row>
    <row r="984" spans="1:11">
      <c r="A984" s="3">
        <v>2526135</v>
      </c>
      <c r="B984" t="s">
        <v>6603</v>
      </c>
      <c r="C984" t="s">
        <v>8</v>
      </c>
      <c r="D984" t="s">
        <v>9108</v>
      </c>
      <c r="E984" s="28">
        <v>46231</v>
      </c>
      <c r="F984" t="s">
        <v>9109</v>
      </c>
      <c r="G984" s="3" t="s">
        <v>9432</v>
      </c>
      <c r="H984" t="s">
        <v>9433</v>
      </c>
      <c r="I984" s="28">
        <v>46286</v>
      </c>
      <c r="J984" t="s">
        <v>9118</v>
      </c>
      <c r="K984" t="s">
        <v>30</v>
      </c>
    </row>
    <row r="985" spans="1:11">
      <c r="A985" s="3">
        <v>2526141</v>
      </c>
      <c r="B985" t="s">
        <v>9434</v>
      </c>
      <c r="C985" t="s">
        <v>8</v>
      </c>
      <c r="D985" t="s">
        <v>9108</v>
      </c>
      <c r="E985" s="28">
        <v>46231</v>
      </c>
      <c r="F985" t="s">
        <v>9109</v>
      </c>
      <c r="G985" s="3" t="s">
        <v>9432</v>
      </c>
      <c r="H985" t="s">
        <v>9433</v>
      </c>
      <c r="I985" s="28">
        <v>46286</v>
      </c>
      <c r="J985" t="s">
        <v>9118</v>
      </c>
      <c r="K985" t="s">
        <v>30</v>
      </c>
    </row>
    <row r="986" spans="1:11">
      <c r="A986" s="3">
        <v>2526142</v>
      </c>
      <c r="B986" t="s">
        <v>738</v>
      </c>
      <c r="C986" t="s">
        <v>8</v>
      </c>
      <c r="D986" t="s">
        <v>9108</v>
      </c>
      <c r="E986" s="28">
        <v>46231</v>
      </c>
      <c r="F986" t="s">
        <v>9109</v>
      </c>
      <c r="G986" s="3" t="s">
        <v>9424</v>
      </c>
      <c r="H986" t="s">
        <v>9425</v>
      </c>
      <c r="I986" s="28">
        <v>46332</v>
      </c>
      <c r="J986" t="s">
        <v>9118</v>
      </c>
      <c r="K986" t="s">
        <v>32</v>
      </c>
    </row>
    <row r="987" spans="1:11">
      <c r="A987" s="3">
        <v>2526143</v>
      </c>
      <c r="B987" t="s">
        <v>9435</v>
      </c>
      <c r="C987" t="s">
        <v>8</v>
      </c>
      <c r="D987" t="s">
        <v>9108</v>
      </c>
      <c r="E987" s="28">
        <v>46231</v>
      </c>
      <c r="F987" t="s">
        <v>9109</v>
      </c>
      <c r="G987" s="3" t="s">
        <v>9428</v>
      </c>
      <c r="H987" t="s">
        <v>9425</v>
      </c>
      <c r="I987" s="28">
        <v>46353</v>
      </c>
      <c r="J987" t="s">
        <v>9118</v>
      </c>
      <c r="K987" t="s">
        <v>32</v>
      </c>
    </row>
    <row r="988" spans="1:11">
      <c r="A988" s="3">
        <v>2526145</v>
      </c>
      <c r="B988" t="s">
        <v>1798</v>
      </c>
      <c r="C988" t="s">
        <v>8</v>
      </c>
      <c r="D988" t="s">
        <v>9108</v>
      </c>
      <c r="E988" s="28">
        <v>46231</v>
      </c>
      <c r="F988" t="s">
        <v>9109</v>
      </c>
      <c r="G988" s="3" t="s">
        <v>9334</v>
      </c>
      <c r="H988" t="s">
        <v>9332</v>
      </c>
      <c r="I988" s="28">
        <v>46325</v>
      </c>
      <c r="J988" t="s">
        <v>9118</v>
      </c>
      <c r="K988" t="s">
        <v>31</v>
      </c>
    </row>
    <row r="989" spans="1:11">
      <c r="A989" s="3">
        <v>2526146</v>
      </c>
      <c r="B989" t="s">
        <v>3748</v>
      </c>
      <c r="C989" t="s">
        <v>8</v>
      </c>
      <c r="D989" t="s">
        <v>9108</v>
      </c>
      <c r="E989" s="28">
        <v>46231</v>
      </c>
      <c r="F989" t="s">
        <v>9109</v>
      </c>
      <c r="G989" s="3" t="s">
        <v>9334</v>
      </c>
      <c r="H989" t="s">
        <v>9332</v>
      </c>
      <c r="I989" s="28">
        <v>46325</v>
      </c>
      <c r="J989" t="s">
        <v>9118</v>
      </c>
      <c r="K989" t="s">
        <v>31</v>
      </c>
    </row>
    <row r="990" spans="1:11">
      <c r="A990" s="3">
        <v>2526147</v>
      </c>
      <c r="B990" t="s">
        <v>3743</v>
      </c>
      <c r="C990" t="s">
        <v>8</v>
      </c>
      <c r="D990" t="s">
        <v>9108</v>
      </c>
      <c r="E990" s="28">
        <v>46231</v>
      </c>
      <c r="F990" t="s">
        <v>9109</v>
      </c>
      <c r="G990" s="3" t="s">
        <v>9334</v>
      </c>
      <c r="H990" t="s">
        <v>9332</v>
      </c>
      <c r="I990" s="28">
        <v>46325</v>
      </c>
      <c r="J990" t="s">
        <v>9118</v>
      </c>
      <c r="K990" t="s">
        <v>31</v>
      </c>
    </row>
    <row r="991" spans="1:11">
      <c r="A991" s="3">
        <v>2526148</v>
      </c>
      <c r="B991" t="s">
        <v>9436</v>
      </c>
      <c r="C991" t="s">
        <v>8</v>
      </c>
      <c r="D991" t="s">
        <v>9108</v>
      </c>
      <c r="E991" s="28">
        <v>46231</v>
      </c>
      <c r="F991" t="s">
        <v>9109</v>
      </c>
      <c r="G991" s="3" t="s">
        <v>9334</v>
      </c>
      <c r="H991" t="s">
        <v>9332</v>
      </c>
      <c r="I991" s="28">
        <v>46325</v>
      </c>
      <c r="J991" t="s">
        <v>9118</v>
      </c>
      <c r="K991" t="s">
        <v>31</v>
      </c>
    </row>
    <row r="992" spans="1:11">
      <c r="A992" s="3">
        <v>2526149</v>
      </c>
      <c r="B992" t="s">
        <v>4507</v>
      </c>
      <c r="C992" t="s">
        <v>8</v>
      </c>
      <c r="D992" t="s">
        <v>9108</v>
      </c>
      <c r="E992" s="28">
        <v>46231</v>
      </c>
      <c r="F992" t="s">
        <v>9109</v>
      </c>
      <c r="G992" s="3" t="s">
        <v>9334</v>
      </c>
      <c r="H992" t="s">
        <v>9332</v>
      </c>
      <c r="I992" s="28">
        <v>46325</v>
      </c>
      <c r="J992" t="s">
        <v>9118</v>
      </c>
      <c r="K992" t="s">
        <v>31</v>
      </c>
    </row>
    <row r="993" spans="1:11">
      <c r="A993" s="3">
        <v>2526150</v>
      </c>
      <c r="B993" t="s">
        <v>1909</v>
      </c>
      <c r="C993" t="s">
        <v>8</v>
      </c>
      <c r="D993" t="s">
        <v>9108</v>
      </c>
      <c r="E993" s="28">
        <v>46231</v>
      </c>
      <c r="F993" t="s">
        <v>9109</v>
      </c>
      <c r="G993" s="3" t="s">
        <v>9334</v>
      </c>
      <c r="H993" t="s">
        <v>9332</v>
      </c>
      <c r="I993" s="28">
        <v>46325</v>
      </c>
      <c r="J993" t="s">
        <v>9118</v>
      </c>
      <c r="K993" t="s">
        <v>31</v>
      </c>
    </row>
    <row r="994" spans="1:11">
      <c r="A994" s="3">
        <v>2526154</v>
      </c>
      <c r="B994" t="s">
        <v>743</v>
      </c>
      <c r="C994" t="s">
        <v>8</v>
      </c>
      <c r="D994" t="s">
        <v>9108</v>
      </c>
      <c r="E994" s="28">
        <v>46231</v>
      </c>
      <c r="F994" t="s">
        <v>9109</v>
      </c>
      <c r="G994" s="3" t="s">
        <v>9424</v>
      </c>
      <c r="H994" t="s">
        <v>9425</v>
      </c>
      <c r="I994" s="28">
        <v>46332</v>
      </c>
      <c r="J994" t="s">
        <v>9118</v>
      </c>
      <c r="K994" t="s">
        <v>32</v>
      </c>
    </row>
    <row r="995" spans="1:11">
      <c r="A995" s="3">
        <v>2526156</v>
      </c>
      <c r="B995" t="s">
        <v>887</v>
      </c>
      <c r="C995" t="s">
        <v>7</v>
      </c>
      <c r="D995" t="s">
        <v>9108</v>
      </c>
      <c r="E995" s="28">
        <v>46231</v>
      </c>
      <c r="F995" t="s">
        <v>9109</v>
      </c>
      <c r="G995" s="3" t="s">
        <v>9424</v>
      </c>
      <c r="H995" t="s">
        <v>9425</v>
      </c>
      <c r="I995" s="28">
        <v>46332</v>
      </c>
      <c r="J995" t="s">
        <v>9118</v>
      </c>
      <c r="K995" t="s">
        <v>32</v>
      </c>
    </row>
    <row r="996" spans="1:11">
      <c r="A996" s="3">
        <v>2526157</v>
      </c>
      <c r="B996" t="s">
        <v>6359</v>
      </c>
      <c r="C996" t="s">
        <v>8</v>
      </c>
      <c r="D996" t="s">
        <v>9108</v>
      </c>
      <c r="E996" s="28">
        <v>46231</v>
      </c>
      <c r="F996" t="s">
        <v>9109</v>
      </c>
      <c r="G996" s="3" t="s">
        <v>9424</v>
      </c>
      <c r="H996" t="s">
        <v>9425</v>
      </c>
      <c r="I996" s="28">
        <v>46332</v>
      </c>
      <c r="J996" t="s">
        <v>9118</v>
      </c>
      <c r="K996" t="s">
        <v>32</v>
      </c>
    </row>
    <row r="997" spans="1:11">
      <c r="A997" s="3">
        <v>2526161</v>
      </c>
      <c r="B997" t="s">
        <v>4203</v>
      </c>
      <c r="C997" t="s">
        <v>7</v>
      </c>
      <c r="D997" t="s">
        <v>9108</v>
      </c>
      <c r="E997" s="28">
        <v>46231</v>
      </c>
      <c r="F997" t="s">
        <v>9109</v>
      </c>
      <c r="G997" s="3" t="s">
        <v>9432</v>
      </c>
      <c r="H997" t="s">
        <v>9433</v>
      </c>
      <c r="I997" s="28">
        <v>46286</v>
      </c>
      <c r="J997" t="s">
        <v>9118</v>
      </c>
      <c r="K997" t="s">
        <v>30</v>
      </c>
    </row>
    <row r="998" spans="1:11">
      <c r="A998" s="3">
        <v>2526168</v>
      </c>
      <c r="B998" t="s">
        <v>7551</v>
      </c>
      <c r="C998" t="s">
        <v>7</v>
      </c>
      <c r="D998" t="s">
        <v>9108</v>
      </c>
      <c r="E998" s="28">
        <v>46231</v>
      </c>
      <c r="F998" t="s">
        <v>9109</v>
      </c>
      <c r="G998" s="3" t="s">
        <v>9432</v>
      </c>
      <c r="H998" t="s">
        <v>9433</v>
      </c>
      <c r="I998" s="28">
        <v>46286</v>
      </c>
      <c r="J998" t="s">
        <v>9118</v>
      </c>
      <c r="K998" t="s">
        <v>30</v>
      </c>
    </row>
    <row r="999" spans="1:11">
      <c r="A999" s="3">
        <v>2526171</v>
      </c>
      <c r="B999" t="s">
        <v>859</v>
      </c>
      <c r="C999" t="s">
        <v>7</v>
      </c>
      <c r="D999" t="s">
        <v>9108</v>
      </c>
      <c r="E999" s="28">
        <v>46231</v>
      </c>
      <c r="F999" t="s">
        <v>9109</v>
      </c>
      <c r="G999" s="3" t="s">
        <v>9424</v>
      </c>
      <c r="H999" t="s">
        <v>9425</v>
      </c>
      <c r="I999" s="28">
        <v>46332</v>
      </c>
      <c r="J999" t="s">
        <v>9118</v>
      </c>
      <c r="K999" t="s">
        <v>32</v>
      </c>
    </row>
    <row r="1000" spans="1:11">
      <c r="A1000" s="3">
        <v>2526174</v>
      </c>
      <c r="B1000" t="s">
        <v>559</v>
      </c>
      <c r="C1000" t="s">
        <v>7</v>
      </c>
      <c r="D1000" t="s">
        <v>9108</v>
      </c>
      <c r="E1000" s="28">
        <v>46231</v>
      </c>
      <c r="F1000" t="s">
        <v>9109</v>
      </c>
      <c r="G1000" s="3" t="s">
        <v>9432</v>
      </c>
      <c r="H1000" t="s">
        <v>9433</v>
      </c>
      <c r="I1000" s="28">
        <v>46286</v>
      </c>
      <c r="J1000" t="s">
        <v>9118</v>
      </c>
      <c r="K1000" t="s">
        <v>30</v>
      </c>
    </row>
    <row r="1001" spans="1:11">
      <c r="A1001" s="3">
        <v>2526590</v>
      </c>
      <c r="B1001" t="s">
        <v>5310</v>
      </c>
      <c r="C1001" t="s">
        <v>7</v>
      </c>
      <c r="D1001" t="s">
        <v>9108</v>
      </c>
      <c r="E1001" s="28">
        <v>46233</v>
      </c>
      <c r="F1001" t="s">
        <v>9109</v>
      </c>
      <c r="G1001" s="3" t="s">
        <v>9437</v>
      </c>
      <c r="H1001" t="s">
        <v>9329</v>
      </c>
      <c r="I1001" s="28" t="s">
        <v>9113</v>
      </c>
      <c r="J1001" t="s">
        <v>9112</v>
      </c>
      <c r="K1001" t="s">
        <v>9113</v>
      </c>
    </row>
    <row r="1002" spans="1:11">
      <c r="A1002" s="3">
        <v>2526591</v>
      </c>
      <c r="B1002" t="s">
        <v>3753</v>
      </c>
      <c r="C1002" t="s">
        <v>8</v>
      </c>
      <c r="D1002" t="s">
        <v>9108</v>
      </c>
      <c r="E1002" s="28">
        <v>46233</v>
      </c>
      <c r="F1002" t="s">
        <v>9109</v>
      </c>
      <c r="G1002" s="3" t="s">
        <v>9438</v>
      </c>
      <c r="H1002" t="s">
        <v>9329</v>
      </c>
      <c r="I1002" s="28" t="s">
        <v>9113</v>
      </c>
      <c r="J1002" t="s">
        <v>9112</v>
      </c>
      <c r="K1002" t="s">
        <v>9113</v>
      </c>
    </row>
    <row r="1003" spans="1:11">
      <c r="A1003" s="3">
        <v>2526592</v>
      </c>
      <c r="B1003" t="s">
        <v>992</v>
      </c>
      <c r="C1003" t="s">
        <v>8</v>
      </c>
      <c r="D1003" t="s">
        <v>9108</v>
      </c>
      <c r="E1003" s="28">
        <v>46233</v>
      </c>
      <c r="F1003" t="s">
        <v>9109</v>
      </c>
      <c r="G1003" s="3" t="s">
        <v>9437</v>
      </c>
      <c r="H1003" t="s">
        <v>9329</v>
      </c>
      <c r="I1003" s="28" t="s">
        <v>9113</v>
      </c>
      <c r="J1003" t="s">
        <v>9112</v>
      </c>
      <c r="K1003" t="s">
        <v>9113</v>
      </c>
    </row>
    <row r="1004" spans="1:11">
      <c r="A1004" s="3">
        <v>2526593</v>
      </c>
      <c r="B1004" t="s">
        <v>9439</v>
      </c>
      <c r="C1004" t="s">
        <v>7</v>
      </c>
      <c r="D1004" t="s">
        <v>9108</v>
      </c>
      <c r="E1004" s="28">
        <v>46233</v>
      </c>
      <c r="F1004" t="s">
        <v>9109</v>
      </c>
      <c r="G1004" s="3" t="s">
        <v>9437</v>
      </c>
      <c r="H1004" t="s">
        <v>9329</v>
      </c>
      <c r="I1004" s="28" t="s">
        <v>9113</v>
      </c>
      <c r="J1004" t="s">
        <v>9112</v>
      </c>
      <c r="K1004" t="s">
        <v>9113</v>
      </c>
    </row>
    <row r="1005" spans="1:11">
      <c r="A1005" s="3">
        <v>2526594</v>
      </c>
      <c r="B1005" t="s">
        <v>3655</v>
      </c>
      <c r="C1005" t="s">
        <v>8</v>
      </c>
      <c r="D1005" t="s">
        <v>9108</v>
      </c>
      <c r="E1005" s="28">
        <v>46233</v>
      </c>
      <c r="F1005" t="s">
        <v>9109</v>
      </c>
      <c r="G1005" s="3" t="s">
        <v>9437</v>
      </c>
      <c r="H1005" t="s">
        <v>9329</v>
      </c>
      <c r="I1005" s="28" t="s">
        <v>9113</v>
      </c>
      <c r="J1005" t="s">
        <v>9112</v>
      </c>
      <c r="K1005" t="s">
        <v>9113</v>
      </c>
    </row>
    <row r="1006" spans="1:11">
      <c r="A1006" s="3">
        <v>2526595</v>
      </c>
      <c r="B1006" t="s">
        <v>9040</v>
      </c>
      <c r="C1006" t="s">
        <v>8</v>
      </c>
      <c r="D1006" t="s">
        <v>9108</v>
      </c>
      <c r="E1006" s="28">
        <v>46233</v>
      </c>
      <c r="F1006" t="s">
        <v>9109</v>
      </c>
      <c r="G1006" s="3" t="s">
        <v>9437</v>
      </c>
      <c r="H1006" t="s">
        <v>9329</v>
      </c>
      <c r="I1006" s="28" t="s">
        <v>9113</v>
      </c>
      <c r="J1006" t="s">
        <v>9112</v>
      </c>
      <c r="K1006" t="s">
        <v>9113</v>
      </c>
    </row>
    <row r="1007" spans="1:11">
      <c r="A1007" s="3">
        <v>2526597</v>
      </c>
      <c r="B1007" t="s">
        <v>519</v>
      </c>
      <c r="C1007" t="s">
        <v>7</v>
      </c>
      <c r="D1007" t="s">
        <v>9108</v>
      </c>
      <c r="E1007" s="28">
        <v>46233</v>
      </c>
      <c r="F1007" t="s">
        <v>9109</v>
      </c>
      <c r="G1007" s="3" t="s">
        <v>9437</v>
      </c>
      <c r="H1007" t="s">
        <v>9329</v>
      </c>
      <c r="I1007" s="28" t="s">
        <v>9113</v>
      </c>
      <c r="J1007" t="s">
        <v>9112</v>
      </c>
      <c r="K1007" t="s">
        <v>9113</v>
      </c>
    </row>
    <row r="1008" spans="1:11">
      <c r="A1008" s="3">
        <v>2526600</v>
      </c>
      <c r="B1008" t="s">
        <v>1850</v>
      </c>
      <c r="C1008" t="s">
        <v>8</v>
      </c>
      <c r="D1008" t="s">
        <v>9108</v>
      </c>
      <c r="E1008" s="28">
        <v>46233</v>
      </c>
      <c r="F1008" t="s">
        <v>9109</v>
      </c>
      <c r="G1008" s="3" t="s">
        <v>9437</v>
      </c>
      <c r="H1008" t="s">
        <v>9329</v>
      </c>
      <c r="I1008" s="28" t="s">
        <v>9113</v>
      </c>
      <c r="J1008" t="s">
        <v>9112</v>
      </c>
      <c r="K1008" t="s">
        <v>9113</v>
      </c>
    </row>
    <row r="1009" spans="1:11">
      <c r="A1009" s="3">
        <v>2526602</v>
      </c>
      <c r="B1009" t="s">
        <v>8776</v>
      </c>
      <c r="C1009" t="s">
        <v>7</v>
      </c>
      <c r="D1009" t="s">
        <v>9108</v>
      </c>
      <c r="E1009" s="28">
        <v>46233</v>
      </c>
      <c r="F1009" t="s">
        <v>9109</v>
      </c>
      <c r="G1009" s="3" t="s">
        <v>9438</v>
      </c>
      <c r="H1009" t="s">
        <v>9329</v>
      </c>
      <c r="I1009" s="28" t="s">
        <v>9113</v>
      </c>
      <c r="J1009" t="s">
        <v>9112</v>
      </c>
      <c r="K1009" t="s">
        <v>9113</v>
      </c>
    </row>
    <row r="1010" spans="1:11">
      <c r="A1010" s="3">
        <v>2526610</v>
      </c>
      <c r="B1010" t="s">
        <v>9440</v>
      </c>
      <c r="C1010" t="s">
        <v>8</v>
      </c>
      <c r="D1010" t="s">
        <v>9108</v>
      </c>
      <c r="E1010" s="28">
        <v>46233</v>
      </c>
      <c r="F1010" t="s">
        <v>9109</v>
      </c>
      <c r="G1010" s="3" t="s">
        <v>9437</v>
      </c>
      <c r="H1010" t="s">
        <v>9329</v>
      </c>
      <c r="I1010" s="28" t="s">
        <v>9113</v>
      </c>
      <c r="J1010" t="s">
        <v>9112</v>
      </c>
      <c r="K1010" t="s">
        <v>9113</v>
      </c>
    </row>
    <row r="1011" spans="1:11">
      <c r="A1011" s="3">
        <v>2526615</v>
      </c>
      <c r="B1011" t="s">
        <v>9441</v>
      </c>
      <c r="C1011" t="s">
        <v>8</v>
      </c>
      <c r="D1011" t="s">
        <v>9108</v>
      </c>
      <c r="E1011" s="28">
        <v>46233</v>
      </c>
      <c r="F1011" t="s">
        <v>9109</v>
      </c>
      <c r="G1011" s="3" t="s">
        <v>9438</v>
      </c>
      <c r="H1011" t="s">
        <v>9329</v>
      </c>
      <c r="I1011" s="28" t="s">
        <v>9113</v>
      </c>
      <c r="J1011" t="s">
        <v>9112</v>
      </c>
      <c r="K1011" t="s">
        <v>9113</v>
      </c>
    </row>
    <row r="1012" spans="1:11">
      <c r="A1012" s="3">
        <v>2526621</v>
      </c>
      <c r="B1012" t="s">
        <v>8212</v>
      </c>
      <c r="C1012" t="s">
        <v>8</v>
      </c>
      <c r="D1012" t="s">
        <v>9108</v>
      </c>
      <c r="E1012" s="28">
        <v>46233</v>
      </c>
      <c r="F1012" t="s">
        <v>9109</v>
      </c>
      <c r="G1012" s="3" t="s">
        <v>9437</v>
      </c>
      <c r="H1012" t="s">
        <v>9329</v>
      </c>
      <c r="I1012" s="28" t="s">
        <v>9113</v>
      </c>
      <c r="J1012" t="s">
        <v>9112</v>
      </c>
      <c r="K1012" t="s">
        <v>9113</v>
      </c>
    </row>
    <row r="1013" spans="1:11">
      <c r="A1013" s="3">
        <v>2529490</v>
      </c>
      <c r="B1013" t="s">
        <v>957</v>
      </c>
      <c r="C1013" t="s">
        <v>8</v>
      </c>
      <c r="D1013" t="s">
        <v>9108</v>
      </c>
      <c r="E1013" s="28">
        <v>46245</v>
      </c>
      <c r="F1013" t="s">
        <v>9109</v>
      </c>
      <c r="G1013" s="3" t="s">
        <v>9442</v>
      </c>
      <c r="H1013" t="s">
        <v>424</v>
      </c>
      <c r="I1013" s="28">
        <v>46364</v>
      </c>
      <c r="J1013" t="s">
        <v>9118</v>
      </c>
      <c r="K1013" t="s">
        <v>33</v>
      </c>
    </row>
    <row r="1014" spans="1:11">
      <c r="A1014" s="3">
        <v>2529492</v>
      </c>
      <c r="B1014" t="s">
        <v>9443</v>
      </c>
      <c r="C1014" t="s">
        <v>7</v>
      </c>
      <c r="D1014" t="s">
        <v>9108</v>
      </c>
      <c r="E1014" s="28">
        <v>46245</v>
      </c>
      <c r="F1014" t="s">
        <v>9109</v>
      </c>
      <c r="G1014" s="3" t="s">
        <v>9442</v>
      </c>
      <c r="H1014" t="s">
        <v>424</v>
      </c>
      <c r="I1014" s="28">
        <v>46364</v>
      </c>
      <c r="J1014" t="s">
        <v>9118</v>
      </c>
      <c r="K1014" t="s">
        <v>33</v>
      </c>
    </row>
    <row r="1015" spans="1:11">
      <c r="A1015" s="3">
        <v>2529493</v>
      </c>
      <c r="B1015" t="s">
        <v>8885</v>
      </c>
      <c r="C1015" t="s">
        <v>8</v>
      </c>
      <c r="D1015" t="s">
        <v>9108</v>
      </c>
      <c r="E1015" s="28">
        <v>46245</v>
      </c>
      <c r="F1015" t="s">
        <v>9109</v>
      </c>
      <c r="G1015" s="3" t="s">
        <v>9444</v>
      </c>
      <c r="H1015" t="s">
        <v>719</v>
      </c>
      <c r="I1015" s="28">
        <v>46359</v>
      </c>
      <c r="J1015" t="s">
        <v>9118</v>
      </c>
      <c r="K1015" t="s">
        <v>33</v>
      </c>
    </row>
    <row r="1016" spans="1:11">
      <c r="A1016" s="3">
        <v>2529494</v>
      </c>
      <c r="B1016" t="s">
        <v>8909</v>
      </c>
      <c r="C1016" t="s">
        <v>8</v>
      </c>
      <c r="D1016" t="s">
        <v>9108</v>
      </c>
      <c r="E1016" s="28">
        <v>46245</v>
      </c>
      <c r="F1016" t="s">
        <v>9109</v>
      </c>
      <c r="G1016" s="3" t="s">
        <v>9442</v>
      </c>
      <c r="H1016" t="s">
        <v>424</v>
      </c>
      <c r="I1016" s="28">
        <v>46364</v>
      </c>
      <c r="J1016" t="s">
        <v>9118</v>
      </c>
      <c r="K1016" t="s">
        <v>33</v>
      </c>
    </row>
    <row r="1017" spans="1:11">
      <c r="A1017" s="3">
        <v>2529495</v>
      </c>
      <c r="B1017" t="s">
        <v>7968</v>
      </c>
      <c r="C1017" t="s">
        <v>8</v>
      </c>
      <c r="D1017" t="s">
        <v>9108</v>
      </c>
      <c r="E1017" s="28">
        <v>46245</v>
      </c>
      <c r="F1017" t="s">
        <v>9109</v>
      </c>
      <c r="G1017" s="3" t="s">
        <v>9445</v>
      </c>
      <c r="H1017" t="s">
        <v>9134</v>
      </c>
      <c r="I1017" s="28">
        <v>46359</v>
      </c>
      <c r="J1017" t="s">
        <v>9118</v>
      </c>
      <c r="K1017" t="s">
        <v>33</v>
      </c>
    </row>
    <row r="1018" spans="1:11">
      <c r="A1018" s="3">
        <v>2529498</v>
      </c>
      <c r="B1018" t="s">
        <v>1115</v>
      </c>
      <c r="C1018" t="s">
        <v>8</v>
      </c>
      <c r="D1018" t="s">
        <v>9108</v>
      </c>
      <c r="E1018" s="28">
        <v>46245</v>
      </c>
      <c r="F1018" t="s">
        <v>9109</v>
      </c>
      <c r="G1018" s="3" t="s">
        <v>9446</v>
      </c>
      <c r="H1018" t="s">
        <v>191</v>
      </c>
      <c r="I1018" s="28">
        <v>46364</v>
      </c>
      <c r="J1018" t="s">
        <v>9118</v>
      </c>
      <c r="K1018" t="s">
        <v>33</v>
      </c>
    </row>
    <row r="1019" spans="1:11">
      <c r="A1019" s="3">
        <v>2529499</v>
      </c>
      <c r="B1019" t="s">
        <v>6069</v>
      </c>
      <c r="C1019" t="s">
        <v>7</v>
      </c>
      <c r="D1019" t="s">
        <v>9108</v>
      </c>
      <c r="E1019" s="28">
        <v>46245</v>
      </c>
      <c r="F1019" t="s">
        <v>9109</v>
      </c>
      <c r="G1019" s="3" t="s">
        <v>9445</v>
      </c>
      <c r="H1019" t="s">
        <v>9134</v>
      </c>
      <c r="I1019" s="28">
        <v>46359</v>
      </c>
      <c r="J1019" t="s">
        <v>9118</v>
      </c>
      <c r="K1019" t="s">
        <v>33</v>
      </c>
    </row>
    <row r="1020" spans="1:11">
      <c r="A1020" s="3">
        <v>2529500</v>
      </c>
      <c r="B1020" t="s">
        <v>5798</v>
      </c>
      <c r="C1020" t="s">
        <v>8</v>
      </c>
      <c r="D1020" t="s">
        <v>9108</v>
      </c>
      <c r="E1020" s="28">
        <v>46245</v>
      </c>
      <c r="F1020" t="s">
        <v>9109</v>
      </c>
      <c r="G1020" s="3" t="s">
        <v>9446</v>
      </c>
      <c r="H1020" t="s">
        <v>191</v>
      </c>
      <c r="I1020" s="28">
        <v>46364</v>
      </c>
      <c r="J1020" t="s">
        <v>9118</v>
      </c>
      <c r="K1020" t="s">
        <v>33</v>
      </c>
    </row>
    <row r="1021" spans="1:11">
      <c r="A1021" s="3">
        <v>2529504</v>
      </c>
      <c r="B1021" t="s">
        <v>2627</v>
      </c>
      <c r="C1021" t="s">
        <v>7</v>
      </c>
      <c r="D1021" t="s">
        <v>9108</v>
      </c>
      <c r="E1021" s="28">
        <v>46245</v>
      </c>
      <c r="F1021" t="s">
        <v>9109</v>
      </c>
      <c r="G1021" s="3" t="s">
        <v>9445</v>
      </c>
      <c r="H1021" t="s">
        <v>9134</v>
      </c>
      <c r="I1021" s="28">
        <v>46359</v>
      </c>
      <c r="J1021" t="s">
        <v>9118</v>
      </c>
      <c r="K1021" t="s">
        <v>33</v>
      </c>
    </row>
    <row r="1022" spans="1:11">
      <c r="A1022" s="3">
        <v>2529506</v>
      </c>
      <c r="B1022" t="s">
        <v>7133</v>
      </c>
      <c r="C1022" t="s">
        <v>8</v>
      </c>
      <c r="D1022" t="s">
        <v>9108</v>
      </c>
      <c r="E1022" s="28">
        <v>46245</v>
      </c>
      <c r="F1022" t="s">
        <v>9109</v>
      </c>
      <c r="G1022" s="3" t="s">
        <v>9447</v>
      </c>
      <c r="H1022" t="s">
        <v>4040</v>
      </c>
      <c r="I1022" s="28">
        <v>46359</v>
      </c>
      <c r="J1022" t="s">
        <v>9118</v>
      </c>
      <c r="K1022" t="s">
        <v>33</v>
      </c>
    </row>
    <row r="1023" spans="1:11">
      <c r="A1023" s="3">
        <v>2529507</v>
      </c>
      <c r="B1023" t="s">
        <v>1156</v>
      </c>
      <c r="C1023" t="s">
        <v>8</v>
      </c>
      <c r="D1023" t="s">
        <v>9108</v>
      </c>
      <c r="E1023" s="28">
        <v>46245</v>
      </c>
      <c r="F1023" t="s">
        <v>9109</v>
      </c>
      <c r="G1023" s="3" t="s">
        <v>9448</v>
      </c>
      <c r="H1023" t="s">
        <v>306</v>
      </c>
      <c r="I1023" s="28">
        <v>46359</v>
      </c>
      <c r="J1023" t="s">
        <v>9118</v>
      </c>
      <c r="K1023" t="s">
        <v>33</v>
      </c>
    </row>
    <row r="1024" spans="1:11">
      <c r="A1024" s="3">
        <v>2529508</v>
      </c>
      <c r="B1024" t="s">
        <v>9449</v>
      </c>
      <c r="C1024" t="s">
        <v>7</v>
      </c>
      <c r="D1024" t="s">
        <v>9108</v>
      </c>
      <c r="E1024" s="28">
        <v>46245</v>
      </c>
      <c r="F1024" t="s">
        <v>9109</v>
      </c>
      <c r="G1024" s="3" t="s">
        <v>9448</v>
      </c>
      <c r="H1024" t="s">
        <v>306</v>
      </c>
      <c r="I1024" s="28">
        <v>46359</v>
      </c>
      <c r="J1024" t="s">
        <v>9118</v>
      </c>
      <c r="K1024" t="s">
        <v>33</v>
      </c>
    </row>
    <row r="1025" spans="1:11">
      <c r="A1025" s="3">
        <v>2529509</v>
      </c>
      <c r="B1025" t="s">
        <v>941</v>
      </c>
      <c r="C1025" t="s">
        <v>7</v>
      </c>
      <c r="D1025" t="s">
        <v>9108</v>
      </c>
      <c r="E1025" s="28">
        <v>46245</v>
      </c>
      <c r="F1025" t="s">
        <v>9109</v>
      </c>
      <c r="G1025" s="3" t="s">
        <v>9444</v>
      </c>
      <c r="H1025" t="s">
        <v>719</v>
      </c>
      <c r="I1025" s="28">
        <v>46359</v>
      </c>
      <c r="J1025" t="s">
        <v>9118</v>
      </c>
      <c r="K1025" t="s">
        <v>33</v>
      </c>
    </row>
    <row r="1026" spans="1:11">
      <c r="A1026" s="3">
        <v>2529510</v>
      </c>
      <c r="B1026" t="s">
        <v>1375</v>
      </c>
      <c r="C1026" t="s">
        <v>8</v>
      </c>
      <c r="D1026" t="s">
        <v>9108</v>
      </c>
      <c r="E1026" s="28">
        <v>46245</v>
      </c>
      <c r="F1026" t="s">
        <v>9109</v>
      </c>
      <c r="G1026" s="3" t="s">
        <v>9446</v>
      </c>
      <c r="H1026" t="s">
        <v>191</v>
      </c>
      <c r="I1026" s="28">
        <v>46364</v>
      </c>
      <c r="J1026" t="s">
        <v>9118</v>
      </c>
      <c r="K1026" t="s">
        <v>33</v>
      </c>
    </row>
    <row r="1027" spans="1:11">
      <c r="A1027" s="3">
        <v>2529512</v>
      </c>
      <c r="B1027" t="s">
        <v>1855</v>
      </c>
      <c r="C1027" t="s">
        <v>8</v>
      </c>
      <c r="D1027" t="s">
        <v>9108</v>
      </c>
      <c r="E1027" s="28">
        <v>46245</v>
      </c>
      <c r="F1027" t="s">
        <v>9109</v>
      </c>
      <c r="G1027" s="3" t="s">
        <v>9444</v>
      </c>
      <c r="H1027" t="s">
        <v>719</v>
      </c>
      <c r="I1027" s="28">
        <v>46359</v>
      </c>
      <c r="J1027" t="s">
        <v>9118</v>
      </c>
      <c r="K1027" t="s">
        <v>33</v>
      </c>
    </row>
    <row r="1028" spans="1:11">
      <c r="A1028" s="3">
        <v>2529513</v>
      </c>
      <c r="B1028" t="s">
        <v>9450</v>
      </c>
      <c r="C1028" t="s">
        <v>8</v>
      </c>
      <c r="D1028" t="s">
        <v>9108</v>
      </c>
      <c r="E1028" s="28">
        <v>46245</v>
      </c>
      <c r="F1028" t="s">
        <v>9109</v>
      </c>
      <c r="G1028" s="3" t="s">
        <v>9442</v>
      </c>
      <c r="H1028" t="s">
        <v>424</v>
      </c>
      <c r="I1028" s="28">
        <v>46364</v>
      </c>
      <c r="J1028" t="s">
        <v>9118</v>
      </c>
      <c r="K1028" t="s">
        <v>33</v>
      </c>
    </row>
    <row r="1029" spans="1:11">
      <c r="A1029" s="3">
        <v>2529515</v>
      </c>
      <c r="B1029" t="s">
        <v>4227</v>
      </c>
      <c r="C1029" t="s">
        <v>7</v>
      </c>
      <c r="D1029" t="s">
        <v>9108</v>
      </c>
      <c r="E1029" s="28">
        <v>46245</v>
      </c>
      <c r="F1029" t="s">
        <v>9109</v>
      </c>
      <c r="G1029" s="3" t="s">
        <v>9444</v>
      </c>
      <c r="H1029" t="s">
        <v>719</v>
      </c>
      <c r="I1029" s="28">
        <v>46359</v>
      </c>
      <c r="J1029" t="s">
        <v>9118</v>
      </c>
      <c r="K1029" t="s">
        <v>33</v>
      </c>
    </row>
    <row r="1030" spans="1:11">
      <c r="A1030" s="3">
        <v>2529516</v>
      </c>
      <c r="B1030" t="s">
        <v>1497</v>
      </c>
      <c r="C1030" t="s">
        <v>8</v>
      </c>
      <c r="D1030" t="s">
        <v>9108</v>
      </c>
      <c r="E1030" s="28">
        <v>46245</v>
      </c>
      <c r="F1030" t="s">
        <v>9109</v>
      </c>
      <c r="G1030" s="3" t="s">
        <v>9448</v>
      </c>
      <c r="H1030" t="s">
        <v>306</v>
      </c>
      <c r="I1030" s="28">
        <v>46359</v>
      </c>
      <c r="J1030" t="s">
        <v>9118</v>
      </c>
      <c r="K1030" t="s">
        <v>33</v>
      </c>
    </row>
    <row r="1031" spans="1:11">
      <c r="A1031" s="3">
        <v>2529517</v>
      </c>
      <c r="B1031" t="s">
        <v>9451</v>
      </c>
      <c r="C1031" t="s">
        <v>8</v>
      </c>
      <c r="D1031" t="s">
        <v>9108</v>
      </c>
      <c r="E1031" s="28">
        <v>46245</v>
      </c>
      <c r="F1031" t="s">
        <v>9109</v>
      </c>
      <c r="G1031" s="3" t="s">
        <v>9447</v>
      </c>
      <c r="H1031" t="s">
        <v>4040</v>
      </c>
      <c r="I1031" s="28">
        <v>46359</v>
      </c>
      <c r="J1031" t="s">
        <v>9118</v>
      </c>
      <c r="K1031" t="s">
        <v>33</v>
      </c>
    </row>
    <row r="1032" spans="1:11">
      <c r="A1032" s="3">
        <v>2529518</v>
      </c>
      <c r="B1032" t="s">
        <v>3783</v>
      </c>
      <c r="C1032" t="s">
        <v>7</v>
      </c>
      <c r="D1032" t="s">
        <v>9108</v>
      </c>
      <c r="E1032" s="28">
        <v>46245</v>
      </c>
      <c r="F1032" t="s">
        <v>9109</v>
      </c>
      <c r="G1032" s="3" t="s">
        <v>9445</v>
      </c>
      <c r="H1032" t="s">
        <v>9134</v>
      </c>
      <c r="I1032" s="28">
        <v>46359</v>
      </c>
      <c r="J1032" t="s">
        <v>9118</v>
      </c>
      <c r="K1032" t="s">
        <v>33</v>
      </c>
    </row>
    <row r="1033" spans="1:11">
      <c r="A1033" s="3">
        <v>2529519</v>
      </c>
      <c r="B1033" t="s">
        <v>8825</v>
      </c>
      <c r="C1033" t="s">
        <v>8</v>
      </c>
      <c r="D1033" t="s">
        <v>9108</v>
      </c>
      <c r="E1033" s="28">
        <v>46245</v>
      </c>
      <c r="F1033" t="s">
        <v>9109</v>
      </c>
      <c r="G1033" s="3" t="s">
        <v>9445</v>
      </c>
      <c r="H1033" t="s">
        <v>9134</v>
      </c>
      <c r="I1033" s="28">
        <v>46359</v>
      </c>
      <c r="J1033" t="s">
        <v>9118</v>
      </c>
      <c r="K1033" t="s">
        <v>33</v>
      </c>
    </row>
    <row r="1034" spans="1:11">
      <c r="A1034" s="3">
        <v>2529520</v>
      </c>
      <c r="B1034" t="s">
        <v>8816</v>
      </c>
      <c r="C1034" t="s">
        <v>8</v>
      </c>
      <c r="D1034" t="s">
        <v>9108</v>
      </c>
      <c r="E1034" s="28">
        <v>46245</v>
      </c>
      <c r="F1034" t="s">
        <v>9109</v>
      </c>
      <c r="G1034" s="3" t="s">
        <v>9447</v>
      </c>
      <c r="H1034" t="s">
        <v>4040</v>
      </c>
      <c r="I1034" s="28">
        <v>46359</v>
      </c>
      <c r="J1034" t="s">
        <v>9118</v>
      </c>
      <c r="K1034" t="s">
        <v>33</v>
      </c>
    </row>
    <row r="1035" spans="1:11">
      <c r="A1035" s="3">
        <v>2529521</v>
      </c>
      <c r="B1035" t="s">
        <v>4747</v>
      </c>
      <c r="C1035" t="s">
        <v>8</v>
      </c>
      <c r="D1035" t="s">
        <v>9108</v>
      </c>
      <c r="E1035" s="28">
        <v>46245</v>
      </c>
      <c r="F1035" t="s">
        <v>9109</v>
      </c>
      <c r="G1035" s="3" t="s">
        <v>9444</v>
      </c>
      <c r="H1035" t="s">
        <v>719</v>
      </c>
      <c r="I1035" s="28">
        <v>46359</v>
      </c>
      <c r="J1035" t="s">
        <v>9118</v>
      </c>
      <c r="K1035" t="s">
        <v>33</v>
      </c>
    </row>
    <row r="1036" spans="1:11">
      <c r="A1036" s="3">
        <v>2529522</v>
      </c>
      <c r="B1036" t="s">
        <v>5665</v>
      </c>
      <c r="C1036" t="s">
        <v>8</v>
      </c>
      <c r="D1036" t="s">
        <v>9108</v>
      </c>
      <c r="E1036" s="28">
        <v>46245</v>
      </c>
      <c r="F1036" t="s">
        <v>9109</v>
      </c>
      <c r="G1036" s="3" t="s">
        <v>9444</v>
      </c>
      <c r="H1036" t="s">
        <v>719</v>
      </c>
      <c r="I1036" s="28">
        <v>46359</v>
      </c>
      <c r="J1036" t="s">
        <v>9118</v>
      </c>
      <c r="K1036" t="s">
        <v>33</v>
      </c>
    </row>
    <row r="1037" spans="1:11">
      <c r="A1037" s="3">
        <v>2529523</v>
      </c>
      <c r="B1037" t="s">
        <v>6353</v>
      </c>
      <c r="C1037" t="s">
        <v>8</v>
      </c>
      <c r="D1037" t="s">
        <v>9108</v>
      </c>
      <c r="E1037" s="28">
        <v>46245</v>
      </c>
      <c r="F1037" t="s">
        <v>9109</v>
      </c>
      <c r="G1037" s="3" t="s">
        <v>9444</v>
      </c>
      <c r="H1037" t="s">
        <v>719</v>
      </c>
      <c r="I1037" s="28">
        <v>46359</v>
      </c>
      <c r="J1037" t="s">
        <v>9118</v>
      </c>
      <c r="K1037" t="s">
        <v>33</v>
      </c>
    </row>
    <row r="1038" spans="1:11">
      <c r="A1038" s="3">
        <v>2529524</v>
      </c>
      <c r="B1038" t="s">
        <v>9452</v>
      </c>
      <c r="C1038" t="s">
        <v>8</v>
      </c>
      <c r="D1038" t="s">
        <v>9108</v>
      </c>
      <c r="E1038" s="28">
        <v>46245</v>
      </c>
      <c r="F1038" t="s">
        <v>9109</v>
      </c>
      <c r="G1038" s="3" t="s">
        <v>9447</v>
      </c>
      <c r="H1038" t="s">
        <v>4040</v>
      </c>
      <c r="I1038" s="28">
        <v>46359</v>
      </c>
      <c r="J1038" t="s">
        <v>9118</v>
      </c>
      <c r="K1038" t="s">
        <v>33</v>
      </c>
    </row>
    <row r="1039" spans="1:11">
      <c r="A1039" s="3">
        <v>2529525</v>
      </c>
      <c r="B1039" t="s">
        <v>1237</v>
      </c>
      <c r="C1039" t="s">
        <v>8</v>
      </c>
      <c r="D1039" t="s">
        <v>9108</v>
      </c>
      <c r="E1039" s="28">
        <v>46245</v>
      </c>
      <c r="F1039" t="s">
        <v>9109</v>
      </c>
      <c r="G1039" s="3" t="s">
        <v>9448</v>
      </c>
      <c r="H1039" t="s">
        <v>306</v>
      </c>
      <c r="I1039" s="28">
        <v>46359</v>
      </c>
      <c r="J1039" t="s">
        <v>9118</v>
      </c>
      <c r="K1039" t="s">
        <v>33</v>
      </c>
    </row>
    <row r="1040" spans="1:11">
      <c r="A1040" s="3">
        <v>2529526</v>
      </c>
      <c r="B1040" t="s">
        <v>9453</v>
      </c>
      <c r="C1040" t="s">
        <v>8</v>
      </c>
      <c r="D1040" t="s">
        <v>9108</v>
      </c>
      <c r="E1040" s="28">
        <v>46245</v>
      </c>
      <c r="F1040" t="s">
        <v>9109</v>
      </c>
      <c r="G1040" s="3" t="s">
        <v>9445</v>
      </c>
      <c r="H1040" t="s">
        <v>9134</v>
      </c>
      <c r="I1040" s="28">
        <v>46359</v>
      </c>
      <c r="J1040" t="s">
        <v>9118</v>
      </c>
      <c r="K1040" t="s">
        <v>33</v>
      </c>
    </row>
    <row r="1041" spans="1:11">
      <c r="A1041" s="3">
        <v>2529527</v>
      </c>
      <c r="B1041" t="s">
        <v>8829</v>
      </c>
      <c r="C1041" t="s">
        <v>8</v>
      </c>
      <c r="D1041" t="s">
        <v>9108</v>
      </c>
      <c r="E1041" s="28">
        <v>46245</v>
      </c>
      <c r="F1041" t="s">
        <v>9109</v>
      </c>
      <c r="G1041" s="3" t="s">
        <v>9444</v>
      </c>
      <c r="H1041" t="s">
        <v>719</v>
      </c>
      <c r="I1041" s="28">
        <v>46359</v>
      </c>
      <c r="J1041" t="s">
        <v>9118</v>
      </c>
      <c r="K1041" t="s">
        <v>33</v>
      </c>
    </row>
    <row r="1042" spans="1:11">
      <c r="A1042" s="3">
        <v>2529528</v>
      </c>
      <c r="B1042" t="s">
        <v>8197</v>
      </c>
      <c r="C1042" t="s">
        <v>8</v>
      </c>
      <c r="D1042" t="s">
        <v>9108</v>
      </c>
      <c r="E1042" s="28">
        <v>46245</v>
      </c>
      <c r="F1042" t="s">
        <v>9109</v>
      </c>
      <c r="G1042" s="3" t="s">
        <v>9445</v>
      </c>
      <c r="H1042" t="s">
        <v>9134</v>
      </c>
      <c r="I1042" s="28">
        <v>46359</v>
      </c>
      <c r="J1042" t="s">
        <v>9118</v>
      </c>
      <c r="K1042" t="s">
        <v>33</v>
      </c>
    </row>
    <row r="1043" spans="1:11">
      <c r="A1043" s="3">
        <v>2529529</v>
      </c>
      <c r="B1043" t="s">
        <v>9454</v>
      </c>
      <c r="C1043" t="s">
        <v>8</v>
      </c>
      <c r="D1043" t="s">
        <v>9108</v>
      </c>
      <c r="E1043" s="28">
        <v>46245</v>
      </c>
      <c r="F1043" t="s">
        <v>9109</v>
      </c>
      <c r="G1043" s="3" t="s">
        <v>9445</v>
      </c>
      <c r="H1043" t="s">
        <v>9134</v>
      </c>
      <c r="I1043" s="28">
        <v>46359</v>
      </c>
      <c r="J1043" t="s">
        <v>9118</v>
      </c>
      <c r="K1043" t="s">
        <v>33</v>
      </c>
    </row>
    <row r="1044" spans="1:11">
      <c r="A1044" s="3">
        <v>2529530</v>
      </c>
      <c r="B1044" t="s">
        <v>1357</v>
      </c>
      <c r="C1044" t="s">
        <v>8</v>
      </c>
      <c r="D1044" t="s">
        <v>9108</v>
      </c>
      <c r="E1044" s="28">
        <v>46245</v>
      </c>
      <c r="F1044" t="s">
        <v>9109</v>
      </c>
      <c r="G1044" s="3" t="s">
        <v>9445</v>
      </c>
      <c r="H1044" t="s">
        <v>9134</v>
      </c>
      <c r="I1044" s="28">
        <v>46359</v>
      </c>
      <c r="J1044" t="s">
        <v>9118</v>
      </c>
      <c r="K1044" t="s">
        <v>33</v>
      </c>
    </row>
    <row r="1045" spans="1:11">
      <c r="A1045" s="3">
        <v>2529531</v>
      </c>
      <c r="B1045" t="s">
        <v>2471</v>
      </c>
      <c r="C1045" t="s">
        <v>7</v>
      </c>
      <c r="D1045" t="s">
        <v>9108</v>
      </c>
      <c r="E1045" s="28">
        <v>46245</v>
      </c>
      <c r="F1045" t="s">
        <v>9109</v>
      </c>
      <c r="G1045" s="3" t="s">
        <v>9448</v>
      </c>
      <c r="H1045" t="s">
        <v>306</v>
      </c>
      <c r="I1045" s="28">
        <v>46359</v>
      </c>
      <c r="J1045" t="s">
        <v>9118</v>
      </c>
      <c r="K1045" t="s">
        <v>33</v>
      </c>
    </row>
    <row r="1046" spans="1:11">
      <c r="A1046" s="3">
        <v>2529532</v>
      </c>
      <c r="B1046" t="s">
        <v>9455</v>
      </c>
      <c r="C1046" t="s">
        <v>8</v>
      </c>
      <c r="D1046" t="s">
        <v>9108</v>
      </c>
      <c r="E1046" s="28">
        <v>46245</v>
      </c>
      <c r="F1046" t="s">
        <v>9109</v>
      </c>
      <c r="G1046" s="3" t="s">
        <v>9447</v>
      </c>
      <c r="H1046" t="s">
        <v>4040</v>
      </c>
      <c r="I1046" s="28">
        <v>46359</v>
      </c>
      <c r="J1046" t="s">
        <v>9118</v>
      </c>
      <c r="K1046" t="s">
        <v>33</v>
      </c>
    </row>
    <row r="1047" spans="1:11">
      <c r="A1047" s="3">
        <v>2529533</v>
      </c>
      <c r="B1047" t="s">
        <v>2985</v>
      </c>
      <c r="C1047" t="s">
        <v>7</v>
      </c>
      <c r="D1047" t="s">
        <v>9108</v>
      </c>
      <c r="E1047" s="28">
        <v>46245</v>
      </c>
      <c r="F1047" t="s">
        <v>9109</v>
      </c>
      <c r="G1047" s="3" t="s">
        <v>9445</v>
      </c>
      <c r="H1047" t="s">
        <v>9134</v>
      </c>
      <c r="I1047" s="28">
        <v>46359</v>
      </c>
      <c r="J1047" t="s">
        <v>9118</v>
      </c>
      <c r="K1047" t="s">
        <v>33</v>
      </c>
    </row>
    <row r="1048" spans="1:11">
      <c r="A1048" s="3">
        <v>2529534</v>
      </c>
      <c r="B1048" t="s">
        <v>81</v>
      </c>
      <c r="C1048" t="s">
        <v>8</v>
      </c>
      <c r="D1048" t="s">
        <v>9108</v>
      </c>
      <c r="E1048" s="28">
        <v>46245</v>
      </c>
      <c r="F1048" t="s">
        <v>9109</v>
      </c>
      <c r="G1048" s="3" t="s">
        <v>9444</v>
      </c>
      <c r="H1048" t="s">
        <v>719</v>
      </c>
      <c r="I1048" s="28">
        <v>46359</v>
      </c>
      <c r="J1048" t="s">
        <v>9118</v>
      </c>
      <c r="K1048" t="s">
        <v>33</v>
      </c>
    </row>
    <row r="1049" spans="1:11">
      <c r="A1049" s="3">
        <v>2529535</v>
      </c>
      <c r="B1049" t="s">
        <v>3165</v>
      </c>
      <c r="C1049" t="s">
        <v>7</v>
      </c>
      <c r="D1049" t="s">
        <v>9108</v>
      </c>
      <c r="E1049" s="28">
        <v>46245</v>
      </c>
      <c r="F1049" t="s">
        <v>9109</v>
      </c>
      <c r="G1049" s="3" t="s">
        <v>9444</v>
      </c>
      <c r="H1049" t="s">
        <v>719</v>
      </c>
      <c r="I1049" s="28">
        <v>46359</v>
      </c>
      <c r="J1049" t="s">
        <v>9118</v>
      </c>
      <c r="K1049" t="s">
        <v>33</v>
      </c>
    </row>
    <row r="1050" spans="1:11">
      <c r="A1050" s="3">
        <v>2529536</v>
      </c>
      <c r="B1050" t="s">
        <v>2255</v>
      </c>
      <c r="C1050" t="s">
        <v>7</v>
      </c>
      <c r="D1050" t="s">
        <v>9108</v>
      </c>
      <c r="E1050" s="28">
        <v>46245</v>
      </c>
      <c r="F1050" t="s">
        <v>9109</v>
      </c>
      <c r="G1050" s="3" t="s">
        <v>9444</v>
      </c>
      <c r="H1050" t="s">
        <v>719</v>
      </c>
      <c r="I1050" s="28">
        <v>46359</v>
      </c>
      <c r="J1050" t="s">
        <v>9118</v>
      </c>
      <c r="K1050" t="s">
        <v>33</v>
      </c>
    </row>
    <row r="1051" spans="1:11">
      <c r="A1051" s="3">
        <v>2529537</v>
      </c>
      <c r="B1051" t="s">
        <v>9456</v>
      </c>
      <c r="C1051" t="s">
        <v>8</v>
      </c>
      <c r="D1051" t="s">
        <v>9108</v>
      </c>
      <c r="E1051" s="28">
        <v>46245</v>
      </c>
      <c r="F1051" t="s">
        <v>9109</v>
      </c>
      <c r="G1051" s="3" t="s">
        <v>9444</v>
      </c>
      <c r="H1051" t="s">
        <v>719</v>
      </c>
      <c r="I1051" s="28">
        <v>46359</v>
      </c>
      <c r="J1051" t="s">
        <v>9118</v>
      </c>
      <c r="K1051" t="s">
        <v>33</v>
      </c>
    </row>
    <row r="1052" spans="1:11">
      <c r="A1052" s="3">
        <v>2529538</v>
      </c>
      <c r="B1052" t="s">
        <v>5344</v>
      </c>
      <c r="C1052" t="s">
        <v>8</v>
      </c>
      <c r="D1052" t="s">
        <v>9108</v>
      </c>
      <c r="E1052" s="28">
        <v>46245</v>
      </c>
      <c r="F1052" t="s">
        <v>9109</v>
      </c>
      <c r="G1052" s="3" t="s">
        <v>9444</v>
      </c>
      <c r="H1052" t="s">
        <v>719</v>
      </c>
      <c r="I1052" s="28">
        <v>46359</v>
      </c>
      <c r="J1052" t="s">
        <v>9118</v>
      </c>
      <c r="K1052" t="s">
        <v>33</v>
      </c>
    </row>
    <row r="1053" spans="1:11">
      <c r="A1053" s="3">
        <v>2529539</v>
      </c>
      <c r="B1053" t="s">
        <v>1592</v>
      </c>
      <c r="C1053" t="s">
        <v>7</v>
      </c>
      <c r="D1053" t="s">
        <v>9108</v>
      </c>
      <c r="E1053" s="28">
        <v>46245</v>
      </c>
      <c r="F1053" t="s">
        <v>9109</v>
      </c>
      <c r="G1053" s="3" t="s">
        <v>9446</v>
      </c>
      <c r="H1053" t="s">
        <v>191</v>
      </c>
      <c r="I1053" s="28">
        <v>46364</v>
      </c>
      <c r="J1053" t="s">
        <v>9118</v>
      </c>
      <c r="K1053" t="s">
        <v>33</v>
      </c>
    </row>
    <row r="1054" spans="1:11">
      <c r="A1054" s="3">
        <v>2529540</v>
      </c>
      <c r="B1054" t="s">
        <v>4635</v>
      </c>
      <c r="C1054" t="s">
        <v>8</v>
      </c>
      <c r="D1054" t="s">
        <v>9108</v>
      </c>
      <c r="E1054" s="28">
        <v>46245</v>
      </c>
      <c r="F1054" t="s">
        <v>9109</v>
      </c>
      <c r="G1054" s="3" t="s">
        <v>9446</v>
      </c>
      <c r="H1054" t="s">
        <v>191</v>
      </c>
      <c r="I1054" s="28">
        <v>46364</v>
      </c>
      <c r="J1054" t="s">
        <v>9118</v>
      </c>
      <c r="K1054" t="s">
        <v>33</v>
      </c>
    </row>
    <row r="1055" spans="1:11">
      <c r="A1055" s="3">
        <v>2529541</v>
      </c>
      <c r="B1055" t="s">
        <v>9457</v>
      </c>
      <c r="C1055" t="s">
        <v>7</v>
      </c>
      <c r="D1055" t="s">
        <v>9108</v>
      </c>
      <c r="E1055" s="28">
        <v>46245</v>
      </c>
      <c r="F1055" t="s">
        <v>9109</v>
      </c>
      <c r="G1055" s="3" t="s">
        <v>9447</v>
      </c>
      <c r="H1055" t="s">
        <v>4040</v>
      </c>
      <c r="I1055" s="28">
        <v>46359</v>
      </c>
      <c r="J1055" t="s">
        <v>9118</v>
      </c>
      <c r="K1055" t="s">
        <v>33</v>
      </c>
    </row>
    <row r="1056" spans="1:11">
      <c r="A1056" s="3">
        <v>2529542</v>
      </c>
      <c r="B1056" t="s">
        <v>9458</v>
      </c>
      <c r="C1056" t="s">
        <v>8</v>
      </c>
      <c r="D1056" t="s">
        <v>9108</v>
      </c>
      <c r="E1056" s="28">
        <v>46245</v>
      </c>
      <c r="F1056" t="s">
        <v>9109</v>
      </c>
      <c r="G1056" s="3" t="s">
        <v>9447</v>
      </c>
      <c r="H1056" t="s">
        <v>4040</v>
      </c>
      <c r="I1056" s="28">
        <v>46359</v>
      </c>
      <c r="J1056" t="s">
        <v>9118</v>
      </c>
      <c r="K1056" t="s">
        <v>33</v>
      </c>
    </row>
    <row r="1057" spans="1:11">
      <c r="A1057" s="3">
        <v>2529543</v>
      </c>
      <c r="B1057" t="s">
        <v>6319</v>
      </c>
      <c r="C1057" t="s">
        <v>8</v>
      </c>
      <c r="D1057" t="s">
        <v>9108</v>
      </c>
      <c r="E1057" s="28">
        <v>46245</v>
      </c>
      <c r="F1057" t="s">
        <v>9109</v>
      </c>
      <c r="G1057" s="3" t="s">
        <v>9447</v>
      </c>
      <c r="H1057" t="s">
        <v>4040</v>
      </c>
      <c r="I1057" s="28">
        <v>46359</v>
      </c>
      <c r="J1057" t="s">
        <v>9118</v>
      </c>
      <c r="K1057" t="s">
        <v>33</v>
      </c>
    </row>
    <row r="1058" spans="1:11">
      <c r="A1058" s="3">
        <v>2529544</v>
      </c>
      <c r="B1058" t="s">
        <v>1706</v>
      </c>
      <c r="C1058" t="s">
        <v>8</v>
      </c>
      <c r="D1058" t="s">
        <v>9108</v>
      </c>
      <c r="E1058" s="28">
        <v>46245</v>
      </c>
      <c r="F1058" t="s">
        <v>9109</v>
      </c>
      <c r="G1058" s="3" t="s">
        <v>9442</v>
      </c>
      <c r="H1058" t="s">
        <v>424</v>
      </c>
      <c r="I1058" s="28">
        <v>46364</v>
      </c>
      <c r="J1058" t="s">
        <v>9118</v>
      </c>
      <c r="K1058" t="s">
        <v>33</v>
      </c>
    </row>
    <row r="1059" spans="1:11">
      <c r="A1059" s="3">
        <v>2529545</v>
      </c>
      <c r="B1059" t="s">
        <v>9459</v>
      </c>
      <c r="C1059" t="s">
        <v>7</v>
      </c>
      <c r="D1059" t="s">
        <v>9108</v>
      </c>
      <c r="E1059" s="28">
        <v>46245</v>
      </c>
      <c r="F1059" t="s">
        <v>9109</v>
      </c>
      <c r="G1059" s="3" t="s">
        <v>9442</v>
      </c>
      <c r="H1059" t="s">
        <v>424</v>
      </c>
      <c r="I1059" s="28">
        <v>46364</v>
      </c>
      <c r="J1059" t="s">
        <v>9118</v>
      </c>
      <c r="K1059" t="s">
        <v>33</v>
      </c>
    </row>
    <row r="1060" spans="1:11">
      <c r="A1060" s="3">
        <v>2529546</v>
      </c>
      <c r="B1060" t="s">
        <v>9460</v>
      </c>
      <c r="C1060" t="s">
        <v>8</v>
      </c>
      <c r="D1060" t="s">
        <v>9108</v>
      </c>
      <c r="E1060" s="28">
        <v>46245</v>
      </c>
      <c r="F1060" t="s">
        <v>9109</v>
      </c>
      <c r="G1060" s="3" t="s">
        <v>9448</v>
      </c>
      <c r="H1060" t="s">
        <v>306</v>
      </c>
      <c r="I1060" s="28">
        <v>46359</v>
      </c>
      <c r="J1060" t="s">
        <v>9118</v>
      </c>
      <c r="K1060" t="s">
        <v>33</v>
      </c>
    </row>
    <row r="1061" spans="1:11">
      <c r="A1061" s="3">
        <v>2529547</v>
      </c>
      <c r="B1061" t="s">
        <v>7040</v>
      </c>
      <c r="C1061" t="s">
        <v>7</v>
      </c>
      <c r="D1061" t="s">
        <v>9108</v>
      </c>
      <c r="E1061" s="28">
        <v>46245</v>
      </c>
      <c r="F1061" t="s">
        <v>9109</v>
      </c>
      <c r="G1061" s="3" t="s">
        <v>9447</v>
      </c>
      <c r="H1061" t="s">
        <v>4040</v>
      </c>
      <c r="I1061" s="28">
        <v>46359</v>
      </c>
      <c r="J1061" t="s">
        <v>9118</v>
      </c>
      <c r="K1061" t="s">
        <v>33</v>
      </c>
    </row>
    <row r="1062" spans="1:11">
      <c r="A1062" s="3">
        <v>2529548</v>
      </c>
      <c r="B1062" t="s">
        <v>4578</v>
      </c>
      <c r="C1062" t="s">
        <v>8</v>
      </c>
      <c r="D1062" t="s">
        <v>9108</v>
      </c>
      <c r="E1062" s="28">
        <v>46245</v>
      </c>
      <c r="F1062" t="s">
        <v>9109</v>
      </c>
      <c r="G1062" s="3" t="s">
        <v>9446</v>
      </c>
      <c r="H1062" t="s">
        <v>191</v>
      </c>
      <c r="I1062" s="28">
        <v>46364</v>
      </c>
      <c r="J1062" t="s">
        <v>9118</v>
      </c>
      <c r="K1062" t="s">
        <v>33</v>
      </c>
    </row>
    <row r="1063" spans="1:11">
      <c r="A1063" s="3">
        <v>2529549</v>
      </c>
      <c r="B1063" t="s">
        <v>594</v>
      </c>
      <c r="C1063" t="s">
        <v>8</v>
      </c>
      <c r="D1063" t="s">
        <v>9108</v>
      </c>
      <c r="E1063" s="28">
        <v>46245</v>
      </c>
      <c r="F1063" t="s">
        <v>9109</v>
      </c>
      <c r="G1063" s="3" t="s">
        <v>9447</v>
      </c>
      <c r="H1063" t="s">
        <v>4040</v>
      </c>
      <c r="I1063" s="28">
        <v>46359</v>
      </c>
      <c r="J1063" t="s">
        <v>9118</v>
      </c>
      <c r="K1063" t="s">
        <v>33</v>
      </c>
    </row>
    <row r="1064" spans="1:11">
      <c r="A1064" s="3">
        <v>2529550</v>
      </c>
      <c r="B1064" t="s">
        <v>6860</v>
      </c>
      <c r="C1064" t="s">
        <v>7</v>
      </c>
      <c r="D1064" t="s">
        <v>9108</v>
      </c>
      <c r="E1064" s="28">
        <v>46245</v>
      </c>
      <c r="F1064" t="s">
        <v>9109</v>
      </c>
      <c r="G1064" s="3" t="s">
        <v>9444</v>
      </c>
      <c r="H1064" t="s">
        <v>719</v>
      </c>
      <c r="I1064" s="28">
        <v>46359</v>
      </c>
      <c r="J1064" t="s">
        <v>9118</v>
      </c>
      <c r="K1064" t="s">
        <v>33</v>
      </c>
    </row>
    <row r="1065" spans="1:11">
      <c r="A1065" s="3">
        <v>2529551</v>
      </c>
      <c r="B1065" t="s">
        <v>9461</v>
      </c>
      <c r="C1065" t="s">
        <v>8</v>
      </c>
      <c r="D1065" t="s">
        <v>9108</v>
      </c>
      <c r="E1065" s="28">
        <v>46245</v>
      </c>
      <c r="F1065" t="s">
        <v>9109</v>
      </c>
      <c r="G1065" s="3" t="s">
        <v>9444</v>
      </c>
      <c r="H1065" t="s">
        <v>719</v>
      </c>
      <c r="I1065" s="28">
        <v>46359</v>
      </c>
      <c r="J1065" t="s">
        <v>9118</v>
      </c>
      <c r="K1065" t="s">
        <v>33</v>
      </c>
    </row>
    <row r="1066" spans="1:11">
      <c r="A1066" s="3">
        <v>2529552</v>
      </c>
      <c r="B1066" t="s">
        <v>9462</v>
      </c>
      <c r="C1066" t="s">
        <v>8</v>
      </c>
      <c r="D1066" t="s">
        <v>9108</v>
      </c>
      <c r="E1066" s="28">
        <v>46245</v>
      </c>
      <c r="F1066" t="s">
        <v>9109</v>
      </c>
      <c r="G1066" s="3" t="s">
        <v>9446</v>
      </c>
      <c r="H1066" t="s">
        <v>191</v>
      </c>
      <c r="I1066" s="28">
        <v>46364</v>
      </c>
      <c r="J1066" t="s">
        <v>9118</v>
      </c>
      <c r="K1066" t="s">
        <v>33</v>
      </c>
    </row>
    <row r="1067" spans="1:11">
      <c r="A1067" s="3">
        <v>2529553</v>
      </c>
      <c r="B1067" t="s">
        <v>6822</v>
      </c>
      <c r="C1067" t="s">
        <v>8</v>
      </c>
      <c r="D1067" t="s">
        <v>9108</v>
      </c>
      <c r="E1067" s="28">
        <v>46245</v>
      </c>
      <c r="F1067" t="s">
        <v>9109</v>
      </c>
      <c r="G1067" s="3" t="s">
        <v>9448</v>
      </c>
      <c r="H1067" t="s">
        <v>306</v>
      </c>
      <c r="I1067" s="28">
        <v>46359</v>
      </c>
      <c r="J1067" t="s">
        <v>9118</v>
      </c>
      <c r="K1067" t="s">
        <v>33</v>
      </c>
    </row>
    <row r="1068" spans="1:11">
      <c r="A1068" s="3">
        <v>2529554</v>
      </c>
      <c r="B1068" t="s">
        <v>9463</v>
      </c>
      <c r="C1068" t="s">
        <v>8</v>
      </c>
      <c r="D1068" t="s">
        <v>9108</v>
      </c>
      <c r="E1068" s="28">
        <v>46245</v>
      </c>
      <c r="F1068" t="s">
        <v>9109</v>
      </c>
      <c r="G1068" s="3" t="s">
        <v>9442</v>
      </c>
      <c r="H1068" t="s">
        <v>424</v>
      </c>
      <c r="I1068" s="28">
        <v>46364</v>
      </c>
      <c r="J1068" t="s">
        <v>9118</v>
      </c>
      <c r="K1068" t="s">
        <v>33</v>
      </c>
    </row>
    <row r="1069" spans="1:11">
      <c r="A1069" s="3">
        <v>2529555</v>
      </c>
      <c r="B1069" t="s">
        <v>7103</v>
      </c>
      <c r="C1069" t="s">
        <v>7</v>
      </c>
      <c r="D1069" t="s">
        <v>9108</v>
      </c>
      <c r="E1069" s="28">
        <v>46245</v>
      </c>
      <c r="F1069" t="s">
        <v>9109</v>
      </c>
      <c r="G1069" s="3" t="s">
        <v>9447</v>
      </c>
      <c r="H1069" t="s">
        <v>4040</v>
      </c>
      <c r="I1069" s="28">
        <v>46359</v>
      </c>
      <c r="J1069" t="s">
        <v>9118</v>
      </c>
      <c r="K1069" t="s">
        <v>33</v>
      </c>
    </row>
    <row r="1070" spans="1:11">
      <c r="A1070" s="3">
        <v>2529556</v>
      </c>
      <c r="B1070" t="s">
        <v>9464</v>
      </c>
      <c r="C1070" t="s">
        <v>8</v>
      </c>
      <c r="D1070" t="s">
        <v>9108</v>
      </c>
      <c r="E1070" s="28">
        <v>46245</v>
      </c>
      <c r="F1070" t="s">
        <v>9109</v>
      </c>
      <c r="G1070" s="3" t="s">
        <v>9442</v>
      </c>
      <c r="H1070" t="s">
        <v>424</v>
      </c>
      <c r="I1070" s="28">
        <v>46364</v>
      </c>
      <c r="J1070" t="s">
        <v>9118</v>
      </c>
      <c r="K1070" t="s">
        <v>33</v>
      </c>
    </row>
    <row r="1071" spans="1:11">
      <c r="A1071" s="3">
        <v>2529557</v>
      </c>
      <c r="B1071" t="s">
        <v>9465</v>
      </c>
      <c r="C1071" t="s">
        <v>8</v>
      </c>
      <c r="D1071" t="s">
        <v>9108</v>
      </c>
      <c r="E1071" s="28">
        <v>46245</v>
      </c>
      <c r="F1071" t="s">
        <v>9109</v>
      </c>
      <c r="G1071" s="3" t="s">
        <v>9448</v>
      </c>
      <c r="H1071" t="s">
        <v>306</v>
      </c>
      <c r="I1071" s="28">
        <v>46359</v>
      </c>
      <c r="J1071" t="s">
        <v>9118</v>
      </c>
      <c r="K1071" t="s">
        <v>33</v>
      </c>
    </row>
    <row r="1072" spans="1:11">
      <c r="A1072" s="3">
        <v>2529558</v>
      </c>
      <c r="B1072" t="s">
        <v>843</v>
      </c>
      <c r="C1072" t="s">
        <v>7</v>
      </c>
      <c r="D1072" t="s">
        <v>9108</v>
      </c>
      <c r="E1072" s="28">
        <v>46245</v>
      </c>
      <c r="F1072" t="s">
        <v>9109</v>
      </c>
      <c r="G1072" s="3" t="s">
        <v>9448</v>
      </c>
      <c r="H1072" t="s">
        <v>306</v>
      </c>
      <c r="I1072" s="28">
        <v>46359</v>
      </c>
      <c r="J1072" t="s">
        <v>9118</v>
      </c>
      <c r="K1072" t="s">
        <v>33</v>
      </c>
    </row>
    <row r="1073" spans="1:11">
      <c r="A1073" s="3">
        <v>2529559</v>
      </c>
      <c r="B1073" t="s">
        <v>7113</v>
      </c>
      <c r="C1073" t="s">
        <v>8</v>
      </c>
      <c r="D1073" t="s">
        <v>9108</v>
      </c>
      <c r="E1073" s="28">
        <v>46245</v>
      </c>
      <c r="F1073" t="s">
        <v>9109</v>
      </c>
      <c r="G1073" s="3" t="s">
        <v>9448</v>
      </c>
      <c r="H1073" t="s">
        <v>306</v>
      </c>
      <c r="I1073" s="28">
        <v>46359</v>
      </c>
      <c r="J1073" t="s">
        <v>9118</v>
      </c>
      <c r="K1073" t="s">
        <v>33</v>
      </c>
    </row>
    <row r="1074" spans="1:11">
      <c r="A1074" s="3">
        <v>2529560</v>
      </c>
      <c r="B1074" t="s">
        <v>3103</v>
      </c>
      <c r="C1074" t="s">
        <v>7</v>
      </c>
      <c r="D1074" t="s">
        <v>9108</v>
      </c>
      <c r="E1074" s="28">
        <v>46245</v>
      </c>
      <c r="F1074" t="s">
        <v>9109</v>
      </c>
      <c r="G1074" s="3" t="s">
        <v>9446</v>
      </c>
      <c r="H1074" t="s">
        <v>191</v>
      </c>
      <c r="I1074" s="28">
        <v>46364</v>
      </c>
      <c r="J1074" t="s">
        <v>9118</v>
      </c>
      <c r="K1074" t="s">
        <v>33</v>
      </c>
    </row>
    <row r="1075" spans="1:11">
      <c r="A1075" s="3">
        <v>2529561</v>
      </c>
      <c r="B1075" t="s">
        <v>7053</v>
      </c>
      <c r="C1075" t="s">
        <v>7</v>
      </c>
      <c r="D1075" t="s">
        <v>9108</v>
      </c>
      <c r="E1075" s="28">
        <v>46245</v>
      </c>
      <c r="F1075" t="s">
        <v>9109</v>
      </c>
      <c r="G1075" s="3" t="s">
        <v>9447</v>
      </c>
      <c r="H1075" t="s">
        <v>4040</v>
      </c>
      <c r="I1075" s="28">
        <v>46359</v>
      </c>
      <c r="J1075" t="s">
        <v>9118</v>
      </c>
      <c r="K1075" t="s">
        <v>33</v>
      </c>
    </row>
    <row r="1076" spans="1:11">
      <c r="A1076" s="3">
        <v>2529562</v>
      </c>
      <c r="B1076" t="s">
        <v>7843</v>
      </c>
      <c r="C1076" t="s">
        <v>8</v>
      </c>
      <c r="D1076" t="s">
        <v>9108</v>
      </c>
      <c r="E1076" s="28">
        <v>46245</v>
      </c>
      <c r="F1076" t="s">
        <v>9109</v>
      </c>
      <c r="G1076" s="3" t="s">
        <v>9444</v>
      </c>
      <c r="H1076" t="s">
        <v>719</v>
      </c>
      <c r="I1076" s="28">
        <v>46359</v>
      </c>
      <c r="J1076" t="s">
        <v>9118</v>
      </c>
      <c r="K1076" t="s">
        <v>33</v>
      </c>
    </row>
    <row r="1077" spans="1:11">
      <c r="A1077" s="3">
        <v>2529563</v>
      </c>
      <c r="B1077" t="s">
        <v>3767</v>
      </c>
      <c r="C1077" t="s">
        <v>8</v>
      </c>
      <c r="D1077" t="s">
        <v>9108</v>
      </c>
      <c r="E1077" s="28">
        <v>46245</v>
      </c>
      <c r="F1077" t="s">
        <v>9109</v>
      </c>
      <c r="G1077" s="3" t="s">
        <v>9442</v>
      </c>
      <c r="H1077" t="s">
        <v>424</v>
      </c>
      <c r="I1077" s="28">
        <v>46364</v>
      </c>
      <c r="J1077" t="s">
        <v>9118</v>
      </c>
      <c r="K1077" t="s">
        <v>33</v>
      </c>
    </row>
    <row r="1078" spans="1:11">
      <c r="A1078" s="3">
        <v>2529564</v>
      </c>
      <c r="B1078" t="s">
        <v>9466</v>
      </c>
      <c r="C1078" t="s">
        <v>7</v>
      </c>
      <c r="D1078" t="s">
        <v>9108</v>
      </c>
      <c r="E1078" s="28">
        <v>46245</v>
      </c>
      <c r="F1078" t="s">
        <v>9109</v>
      </c>
      <c r="G1078" s="3" t="s">
        <v>9447</v>
      </c>
      <c r="H1078" t="s">
        <v>4040</v>
      </c>
      <c r="I1078" s="28">
        <v>46359</v>
      </c>
      <c r="J1078" t="s">
        <v>9118</v>
      </c>
      <c r="K1078" t="s">
        <v>33</v>
      </c>
    </row>
    <row r="1079" spans="1:11">
      <c r="A1079" s="3">
        <v>2529565</v>
      </c>
      <c r="B1079" t="s">
        <v>347</v>
      </c>
      <c r="C1079" t="s">
        <v>8</v>
      </c>
      <c r="D1079" t="s">
        <v>9108</v>
      </c>
      <c r="E1079" s="28">
        <v>46245</v>
      </c>
      <c r="F1079" t="s">
        <v>9109</v>
      </c>
      <c r="G1079" s="3" t="s">
        <v>9445</v>
      </c>
      <c r="H1079" t="s">
        <v>9134</v>
      </c>
      <c r="I1079" s="28">
        <v>46359</v>
      </c>
      <c r="J1079" t="s">
        <v>9118</v>
      </c>
      <c r="K1079" t="s">
        <v>33</v>
      </c>
    </row>
    <row r="1080" spans="1:11">
      <c r="A1080" s="3">
        <v>2529566</v>
      </c>
      <c r="B1080" t="s">
        <v>6337</v>
      </c>
      <c r="C1080" t="s">
        <v>8</v>
      </c>
      <c r="D1080" t="s">
        <v>9108</v>
      </c>
      <c r="E1080" s="28">
        <v>46245</v>
      </c>
      <c r="F1080" t="s">
        <v>9109</v>
      </c>
      <c r="G1080" s="3" t="s">
        <v>9445</v>
      </c>
      <c r="H1080" t="s">
        <v>9134</v>
      </c>
      <c r="I1080" s="28">
        <v>46359</v>
      </c>
      <c r="J1080" t="s">
        <v>9118</v>
      </c>
      <c r="K1080" t="s">
        <v>33</v>
      </c>
    </row>
    <row r="1081" spans="1:11">
      <c r="A1081" s="3">
        <v>2529567</v>
      </c>
      <c r="B1081" t="s">
        <v>8657</v>
      </c>
      <c r="C1081" t="s">
        <v>7</v>
      </c>
      <c r="D1081" t="s">
        <v>9108</v>
      </c>
      <c r="E1081" s="28">
        <v>46245</v>
      </c>
      <c r="F1081" t="s">
        <v>9109</v>
      </c>
      <c r="G1081" s="3" t="s">
        <v>9442</v>
      </c>
      <c r="H1081" t="s">
        <v>424</v>
      </c>
      <c r="I1081" s="28">
        <v>46364</v>
      </c>
      <c r="J1081" t="s">
        <v>9118</v>
      </c>
      <c r="K1081" t="s">
        <v>33</v>
      </c>
    </row>
    <row r="1082" spans="1:11">
      <c r="A1082" s="3">
        <v>2529568</v>
      </c>
      <c r="B1082" t="s">
        <v>6251</v>
      </c>
      <c r="C1082" t="s">
        <v>8</v>
      </c>
      <c r="D1082" t="s">
        <v>9108</v>
      </c>
      <c r="E1082" s="28">
        <v>46245</v>
      </c>
      <c r="F1082" t="s">
        <v>9109</v>
      </c>
      <c r="G1082" s="3" t="s">
        <v>9448</v>
      </c>
      <c r="H1082" t="s">
        <v>306</v>
      </c>
      <c r="I1082" s="28">
        <v>46359</v>
      </c>
      <c r="J1082" t="s">
        <v>9118</v>
      </c>
      <c r="K1082" t="s">
        <v>33</v>
      </c>
    </row>
    <row r="1083" spans="1:11">
      <c r="A1083" s="3">
        <v>2529569</v>
      </c>
      <c r="B1083" t="s">
        <v>7150</v>
      </c>
      <c r="C1083" t="s">
        <v>8</v>
      </c>
      <c r="D1083" t="s">
        <v>9108</v>
      </c>
      <c r="E1083" s="28">
        <v>46245</v>
      </c>
      <c r="F1083" t="s">
        <v>9109</v>
      </c>
      <c r="G1083" s="3" t="s">
        <v>9448</v>
      </c>
      <c r="H1083" t="s">
        <v>306</v>
      </c>
      <c r="I1083" s="28">
        <v>46359</v>
      </c>
      <c r="J1083" t="s">
        <v>9118</v>
      </c>
      <c r="K1083" t="s">
        <v>33</v>
      </c>
    </row>
    <row r="1084" spans="1:11">
      <c r="A1084" s="3">
        <v>2529570</v>
      </c>
      <c r="B1084" t="s">
        <v>8415</v>
      </c>
      <c r="C1084" t="s">
        <v>7</v>
      </c>
      <c r="D1084" t="s">
        <v>9108</v>
      </c>
      <c r="E1084" s="28">
        <v>46245</v>
      </c>
      <c r="F1084" t="s">
        <v>9109</v>
      </c>
      <c r="G1084" s="3" t="s">
        <v>9447</v>
      </c>
      <c r="H1084" t="s">
        <v>4040</v>
      </c>
      <c r="I1084" s="28">
        <v>46359</v>
      </c>
      <c r="J1084" t="s">
        <v>9118</v>
      </c>
      <c r="K1084" t="s">
        <v>33</v>
      </c>
    </row>
    <row r="1085" spans="1:11">
      <c r="A1085" s="3">
        <v>2529571</v>
      </c>
      <c r="B1085" t="s">
        <v>1337</v>
      </c>
      <c r="C1085" t="s">
        <v>8</v>
      </c>
      <c r="D1085" t="s">
        <v>9108</v>
      </c>
      <c r="E1085" s="28">
        <v>46245</v>
      </c>
      <c r="F1085" t="s">
        <v>9109</v>
      </c>
      <c r="G1085" s="3" t="s">
        <v>9444</v>
      </c>
      <c r="H1085" t="s">
        <v>719</v>
      </c>
      <c r="I1085" s="28">
        <v>46359</v>
      </c>
      <c r="J1085" t="s">
        <v>9118</v>
      </c>
      <c r="K1085" t="s">
        <v>33</v>
      </c>
    </row>
    <row r="1086" spans="1:11">
      <c r="A1086" s="3">
        <v>2529572</v>
      </c>
      <c r="B1086" t="s">
        <v>1362</v>
      </c>
      <c r="C1086" t="s">
        <v>8</v>
      </c>
      <c r="D1086" t="s">
        <v>9108</v>
      </c>
      <c r="E1086" s="28">
        <v>46245</v>
      </c>
      <c r="F1086" t="s">
        <v>9109</v>
      </c>
      <c r="G1086" s="3" t="s">
        <v>9448</v>
      </c>
      <c r="H1086" t="s">
        <v>306</v>
      </c>
      <c r="I1086" s="28">
        <v>46359</v>
      </c>
      <c r="J1086" t="s">
        <v>9118</v>
      </c>
      <c r="K1086" t="s">
        <v>33</v>
      </c>
    </row>
    <row r="1087" spans="1:11">
      <c r="A1087" s="3">
        <v>2529573</v>
      </c>
      <c r="B1087" t="s">
        <v>8317</v>
      </c>
      <c r="C1087" t="s">
        <v>7</v>
      </c>
      <c r="D1087" t="s">
        <v>9108</v>
      </c>
      <c r="E1087" s="28">
        <v>46245</v>
      </c>
      <c r="F1087" t="s">
        <v>9109</v>
      </c>
      <c r="G1087" s="3" t="s">
        <v>9448</v>
      </c>
      <c r="H1087" t="s">
        <v>306</v>
      </c>
      <c r="I1087" s="28">
        <v>46359</v>
      </c>
      <c r="J1087" t="s">
        <v>9118</v>
      </c>
      <c r="K1087" t="s">
        <v>33</v>
      </c>
    </row>
    <row r="1088" spans="1:11">
      <c r="A1088" s="3">
        <v>2529574</v>
      </c>
      <c r="B1088" t="s">
        <v>1434</v>
      </c>
      <c r="C1088" t="s">
        <v>8</v>
      </c>
      <c r="D1088" t="s">
        <v>9108</v>
      </c>
      <c r="E1088" s="28">
        <v>46245</v>
      </c>
      <c r="F1088" t="s">
        <v>9109</v>
      </c>
      <c r="G1088" s="3" t="s">
        <v>9444</v>
      </c>
      <c r="H1088" t="s">
        <v>719</v>
      </c>
      <c r="I1088" s="28">
        <v>46359</v>
      </c>
      <c r="J1088" t="s">
        <v>9118</v>
      </c>
      <c r="K1088" t="s">
        <v>33</v>
      </c>
    </row>
    <row r="1089" spans="1:11">
      <c r="A1089" s="3">
        <v>2529575</v>
      </c>
      <c r="B1089" t="s">
        <v>1572</v>
      </c>
      <c r="C1089" t="s">
        <v>7</v>
      </c>
      <c r="D1089" t="s">
        <v>9108</v>
      </c>
      <c r="E1089" s="28">
        <v>46245</v>
      </c>
      <c r="F1089" t="s">
        <v>9109</v>
      </c>
      <c r="G1089" s="3" t="s">
        <v>9445</v>
      </c>
      <c r="H1089" t="s">
        <v>9134</v>
      </c>
      <c r="I1089" s="28">
        <v>46359</v>
      </c>
      <c r="J1089" t="s">
        <v>9118</v>
      </c>
      <c r="K1089" t="s">
        <v>33</v>
      </c>
    </row>
    <row r="1090" spans="1:11">
      <c r="A1090" s="3">
        <v>2529576</v>
      </c>
      <c r="B1090" t="s">
        <v>197</v>
      </c>
      <c r="C1090" t="s">
        <v>8</v>
      </c>
      <c r="D1090" t="s">
        <v>9108</v>
      </c>
      <c r="E1090" s="28">
        <v>46245</v>
      </c>
      <c r="F1090" t="s">
        <v>9109</v>
      </c>
      <c r="G1090" s="3" t="s">
        <v>9445</v>
      </c>
      <c r="H1090" t="s">
        <v>9134</v>
      </c>
      <c r="I1090" s="28">
        <v>46359</v>
      </c>
      <c r="J1090" t="s">
        <v>9118</v>
      </c>
      <c r="K1090" t="s">
        <v>33</v>
      </c>
    </row>
    <row r="1091" spans="1:11">
      <c r="A1091" s="3">
        <v>2529577</v>
      </c>
      <c r="B1091" t="s">
        <v>3023</v>
      </c>
      <c r="C1091" t="s">
        <v>7</v>
      </c>
      <c r="D1091" t="s">
        <v>9108</v>
      </c>
      <c r="E1091" s="28">
        <v>46245</v>
      </c>
      <c r="F1091" t="s">
        <v>9109</v>
      </c>
      <c r="G1091" s="3" t="s">
        <v>9442</v>
      </c>
      <c r="H1091" t="s">
        <v>424</v>
      </c>
      <c r="I1091" s="28">
        <v>46364</v>
      </c>
      <c r="J1091" t="s">
        <v>9118</v>
      </c>
      <c r="K1091" t="s">
        <v>33</v>
      </c>
    </row>
    <row r="1092" spans="1:11">
      <c r="A1092" s="3">
        <v>2529578</v>
      </c>
      <c r="B1092" t="s">
        <v>614</v>
      </c>
      <c r="C1092" t="s">
        <v>8</v>
      </c>
      <c r="D1092" t="s">
        <v>9108</v>
      </c>
      <c r="E1092" s="28">
        <v>46245</v>
      </c>
      <c r="F1092" t="s">
        <v>9109</v>
      </c>
      <c r="G1092" s="3" t="s">
        <v>9448</v>
      </c>
      <c r="H1092" t="s">
        <v>306</v>
      </c>
      <c r="I1092" s="28">
        <v>46359</v>
      </c>
      <c r="J1092" t="s">
        <v>9118</v>
      </c>
      <c r="K1092" t="s">
        <v>33</v>
      </c>
    </row>
    <row r="1093" spans="1:11">
      <c r="A1093" s="3">
        <v>2529579</v>
      </c>
      <c r="B1093" t="s">
        <v>5079</v>
      </c>
      <c r="C1093" t="s">
        <v>7</v>
      </c>
      <c r="D1093" t="s">
        <v>9108</v>
      </c>
      <c r="E1093" s="28">
        <v>46245</v>
      </c>
      <c r="F1093" t="s">
        <v>9109</v>
      </c>
      <c r="G1093" s="3" t="s">
        <v>9442</v>
      </c>
      <c r="H1093" t="s">
        <v>424</v>
      </c>
      <c r="I1093" s="28">
        <v>46364</v>
      </c>
      <c r="J1093" t="s">
        <v>9118</v>
      </c>
      <c r="K1093" t="s">
        <v>33</v>
      </c>
    </row>
    <row r="1094" spans="1:11">
      <c r="A1094" s="3">
        <v>2529580</v>
      </c>
      <c r="B1094" t="s">
        <v>3816</v>
      </c>
      <c r="C1094" t="s">
        <v>8</v>
      </c>
      <c r="D1094" t="s">
        <v>9108</v>
      </c>
      <c r="E1094" s="28">
        <v>46245</v>
      </c>
      <c r="F1094" t="s">
        <v>9109</v>
      </c>
      <c r="G1094" s="3" t="s">
        <v>9447</v>
      </c>
      <c r="H1094" t="s">
        <v>4040</v>
      </c>
      <c r="I1094" s="28">
        <v>46359</v>
      </c>
      <c r="J1094" t="s">
        <v>9118</v>
      </c>
      <c r="K1094" t="s">
        <v>33</v>
      </c>
    </row>
    <row r="1095" spans="1:11">
      <c r="A1095" s="3">
        <v>2529581</v>
      </c>
      <c r="B1095" t="s">
        <v>6281</v>
      </c>
      <c r="C1095" t="s">
        <v>8</v>
      </c>
      <c r="D1095" t="s">
        <v>9108</v>
      </c>
      <c r="E1095" s="28">
        <v>46245</v>
      </c>
      <c r="F1095" t="s">
        <v>9109</v>
      </c>
      <c r="G1095" s="3" t="s">
        <v>9445</v>
      </c>
      <c r="H1095" t="s">
        <v>9134</v>
      </c>
      <c r="I1095" s="28">
        <v>46359</v>
      </c>
      <c r="J1095" t="s">
        <v>9118</v>
      </c>
      <c r="K1095" t="s">
        <v>33</v>
      </c>
    </row>
    <row r="1096" spans="1:11">
      <c r="A1096" s="3">
        <v>2529582</v>
      </c>
      <c r="B1096" t="s">
        <v>4582</v>
      </c>
      <c r="C1096" t="s">
        <v>8</v>
      </c>
      <c r="D1096" t="s">
        <v>9108</v>
      </c>
      <c r="E1096" s="28">
        <v>46245</v>
      </c>
      <c r="F1096" t="s">
        <v>9109</v>
      </c>
      <c r="G1096" s="3" t="s">
        <v>9446</v>
      </c>
      <c r="H1096" t="s">
        <v>191</v>
      </c>
      <c r="I1096" s="28">
        <v>46364</v>
      </c>
      <c r="J1096" t="s">
        <v>9118</v>
      </c>
      <c r="K1096" t="s">
        <v>33</v>
      </c>
    </row>
    <row r="1097" spans="1:11">
      <c r="A1097" s="3">
        <v>2529584</v>
      </c>
      <c r="B1097" t="s">
        <v>1001</v>
      </c>
      <c r="C1097" t="s">
        <v>8</v>
      </c>
      <c r="D1097" t="s">
        <v>9108</v>
      </c>
      <c r="E1097" s="28">
        <v>46245</v>
      </c>
      <c r="F1097" t="s">
        <v>9109</v>
      </c>
      <c r="G1097" s="3" t="s">
        <v>9447</v>
      </c>
      <c r="H1097" t="s">
        <v>4040</v>
      </c>
      <c r="I1097" s="28">
        <v>46359</v>
      </c>
      <c r="J1097" t="s">
        <v>9118</v>
      </c>
      <c r="K1097" t="s">
        <v>33</v>
      </c>
    </row>
    <row r="1098" spans="1:11">
      <c r="A1098" s="3">
        <v>2529585</v>
      </c>
      <c r="B1098" t="s">
        <v>4395</v>
      </c>
      <c r="C1098" t="s">
        <v>8</v>
      </c>
      <c r="D1098" t="s">
        <v>9108</v>
      </c>
      <c r="E1098" s="28">
        <v>46245</v>
      </c>
      <c r="F1098" t="s">
        <v>9109</v>
      </c>
      <c r="G1098" s="3" t="s">
        <v>9444</v>
      </c>
      <c r="H1098" t="s">
        <v>719</v>
      </c>
      <c r="I1098" s="28">
        <v>46359</v>
      </c>
      <c r="J1098" t="s">
        <v>9118</v>
      </c>
      <c r="K1098" t="s">
        <v>33</v>
      </c>
    </row>
    <row r="1099" spans="1:11">
      <c r="A1099" s="3">
        <v>2529586</v>
      </c>
      <c r="B1099" t="s">
        <v>2933</v>
      </c>
      <c r="C1099" t="s">
        <v>7</v>
      </c>
      <c r="D1099" t="s">
        <v>9108</v>
      </c>
      <c r="E1099" s="28">
        <v>46245</v>
      </c>
      <c r="F1099" t="s">
        <v>9109</v>
      </c>
      <c r="G1099" s="3" t="s">
        <v>9447</v>
      </c>
      <c r="H1099" t="s">
        <v>4040</v>
      </c>
      <c r="I1099" s="28">
        <v>46359</v>
      </c>
      <c r="J1099" t="s">
        <v>9118</v>
      </c>
      <c r="K1099" t="s">
        <v>33</v>
      </c>
    </row>
    <row r="1100" spans="1:11">
      <c r="A1100" s="3">
        <v>2529587</v>
      </c>
      <c r="B1100" t="s">
        <v>8217</v>
      </c>
      <c r="C1100" t="s">
        <v>8</v>
      </c>
      <c r="D1100" t="s">
        <v>9108</v>
      </c>
      <c r="E1100" s="28">
        <v>46245</v>
      </c>
      <c r="F1100" t="s">
        <v>9109</v>
      </c>
      <c r="G1100" s="3" t="s">
        <v>9446</v>
      </c>
      <c r="H1100" t="s">
        <v>191</v>
      </c>
      <c r="I1100" s="28">
        <v>46364</v>
      </c>
      <c r="J1100" t="s">
        <v>9118</v>
      </c>
      <c r="K1100" t="s">
        <v>33</v>
      </c>
    </row>
    <row r="1101" spans="1:11">
      <c r="A1101" s="3">
        <v>2529588</v>
      </c>
      <c r="B1101" t="s">
        <v>8702</v>
      </c>
      <c r="C1101" t="s">
        <v>7</v>
      </c>
      <c r="D1101" t="s">
        <v>9108</v>
      </c>
      <c r="E1101" s="28">
        <v>46245</v>
      </c>
      <c r="F1101" t="s">
        <v>9109</v>
      </c>
      <c r="G1101" s="3" t="s">
        <v>9442</v>
      </c>
      <c r="H1101" t="s">
        <v>424</v>
      </c>
      <c r="I1101" s="28">
        <v>46364</v>
      </c>
      <c r="J1101" t="s">
        <v>9118</v>
      </c>
      <c r="K1101" t="s">
        <v>33</v>
      </c>
    </row>
    <row r="1102" spans="1:11">
      <c r="A1102" s="3">
        <v>2529589</v>
      </c>
      <c r="B1102" t="s">
        <v>7964</v>
      </c>
      <c r="C1102" t="s">
        <v>8</v>
      </c>
      <c r="D1102" t="s">
        <v>9108</v>
      </c>
      <c r="E1102" s="28">
        <v>46245</v>
      </c>
      <c r="F1102" t="s">
        <v>9109</v>
      </c>
      <c r="G1102" s="3" t="s">
        <v>9446</v>
      </c>
      <c r="H1102" t="s">
        <v>191</v>
      </c>
      <c r="I1102" s="28">
        <v>46364</v>
      </c>
      <c r="J1102" t="s">
        <v>9118</v>
      </c>
      <c r="K1102" t="s">
        <v>33</v>
      </c>
    </row>
    <row r="1103" spans="1:11">
      <c r="A1103" s="3">
        <v>2529590</v>
      </c>
      <c r="B1103" t="s">
        <v>1251</v>
      </c>
      <c r="C1103" t="s">
        <v>8</v>
      </c>
      <c r="D1103" t="s">
        <v>9108</v>
      </c>
      <c r="E1103" s="28">
        <v>46245</v>
      </c>
      <c r="F1103" t="s">
        <v>9109</v>
      </c>
      <c r="G1103" s="3" t="s">
        <v>9445</v>
      </c>
      <c r="H1103" t="s">
        <v>9134</v>
      </c>
      <c r="I1103" s="28">
        <v>46359</v>
      </c>
      <c r="J1103" t="s">
        <v>9118</v>
      </c>
      <c r="K1103" t="s">
        <v>33</v>
      </c>
    </row>
    <row r="1104" spans="1:11">
      <c r="A1104" s="3">
        <v>2529591</v>
      </c>
      <c r="B1104" t="s">
        <v>4436</v>
      </c>
      <c r="C1104" t="s">
        <v>7</v>
      </c>
      <c r="D1104" t="s">
        <v>9108</v>
      </c>
      <c r="E1104" s="28">
        <v>46245</v>
      </c>
      <c r="F1104" t="s">
        <v>9109</v>
      </c>
      <c r="G1104" s="3" t="s">
        <v>9444</v>
      </c>
      <c r="H1104" t="s">
        <v>719</v>
      </c>
      <c r="I1104" s="28">
        <v>46359</v>
      </c>
      <c r="J1104" t="s">
        <v>9118</v>
      </c>
      <c r="K1104" t="s">
        <v>33</v>
      </c>
    </row>
    <row r="1105" spans="1:11">
      <c r="A1105" s="3">
        <v>2529592</v>
      </c>
      <c r="B1105" t="s">
        <v>3243</v>
      </c>
      <c r="C1105" t="s">
        <v>7</v>
      </c>
      <c r="D1105" t="s">
        <v>9108</v>
      </c>
      <c r="E1105" s="28">
        <v>46245</v>
      </c>
      <c r="F1105" t="s">
        <v>9109</v>
      </c>
      <c r="G1105" s="3" t="s">
        <v>9448</v>
      </c>
      <c r="H1105" t="s">
        <v>306</v>
      </c>
      <c r="I1105" s="28">
        <v>46359</v>
      </c>
      <c r="J1105" t="s">
        <v>9118</v>
      </c>
      <c r="K1105" t="s">
        <v>33</v>
      </c>
    </row>
    <row r="1106" spans="1:11">
      <c r="A1106" s="3">
        <v>2529593</v>
      </c>
      <c r="B1106" t="s">
        <v>7815</v>
      </c>
      <c r="C1106" t="s">
        <v>8</v>
      </c>
      <c r="D1106" t="s">
        <v>9108</v>
      </c>
      <c r="E1106" s="28">
        <v>46245</v>
      </c>
      <c r="F1106" t="s">
        <v>9109</v>
      </c>
      <c r="G1106" s="3" t="s">
        <v>9444</v>
      </c>
      <c r="H1106" t="s">
        <v>719</v>
      </c>
      <c r="I1106" s="28">
        <v>46359</v>
      </c>
      <c r="J1106" t="s">
        <v>9118</v>
      </c>
      <c r="K1106" t="s">
        <v>33</v>
      </c>
    </row>
    <row r="1107" spans="1:11">
      <c r="A1107" s="3">
        <v>2529594</v>
      </c>
      <c r="B1107" t="s">
        <v>8729</v>
      </c>
      <c r="C1107" t="s">
        <v>8</v>
      </c>
      <c r="D1107" t="s">
        <v>9108</v>
      </c>
      <c r="E1107" s="28">
        <v>46245</v>
      </c>
      <c r="F1107" t="s">
        <v>9109</v>
      </c>
      <c r="G1107" s="3" t="s">
        <v>9442</v>
      </c>
      <c r="H1107" t="s">
        <v>424</v>
      </c>
      <c r="I1107" s="28">
        <v>46364</v>
      </c>
      <c r="J1107" t="s">
        <v>9118</v>
      </c>
      <c r="K1107" t="s">
        <v>33</v>
      </c>
    </row>
    <row r="1108" spans="1:11">
      <c r="A1108" s="3">
        <v>2529595</v>
      </c>
      <c r="B1108" t="s">
        <v>1180</v>
      </c>
      <c r="C1108" t="s">
        <v>8</v>
      </c>
      <c r="D1108" t="s">
        <v>9108</v>
      </c>
      <c r="E1108" s="28">
        <v>46245</v>
      </c>
      <c r="F1108" t="s">
        <v>9109</v>
      </c>
      <c r="G1108" s="3" t="s">
        <v>9448</v>
      </c>
      <c r="H1108" t="s">
        <v>306</v>
      </c>
      <c r="I1108" s="28">
        <v>46359</v>
      </c>
      <c r="J1108" t="s">
        <v>9118</v>
      </c>
      <c r="K1108" t="s">
        <v>33</v>
      </c>
    </row>
    <row r="1109" spans="1:11">
      <c r="A1109" s="3">
        <v>2529596</v>
      </c>
      <c r="B1109" t="s">
        <v>9086</v>
      </c>
      <c r="C1109" t="s">
        <v>8</v>
      </c>
      <c r="D1109" t="s">
        <v>9108</v>
      </c>
      <c r="E1109" s="28">
        <v>46245</v>
      </c>
      <c r="F1109" t="s">
        <v>9109</v>
      </c>
      <c r="G1109" s="3" t="s">
        <v>9445</v>
      </c>
      <c r="H1109" t="s">
        <v>9134</v>
      </c>
      <c r="I1109" s="28">
        <v>46359</v>
      </c>
      <c r="J1109" t="s">
        <v>9118</v>
      </c>
      <c r="K1109" t="s">
        <v>33</v>
      </c>
    </row>
    <row r="1110" spans="1:11">
      <c r="A1110" s="3">
        <v>2529597</v>
      </c>
      <c r="B1110" t="s">
        <v>9467</v>
      </c>
      <c r="C1110" t="s">
        <v>8</v>
      </c>
      <c r="D1110" t="s">
        <v>9108</v>
      </c>
      <c r="E1110" s="28">
        <v>46245</v>
      </c>
      <c r="F1110" t="s">
        <v>9109</v>
      </c>
      <c r="G1110" s="3" t="s">
        <v>9446</v>
      </c>
      <c r="H1110" t="s">
        <v>191</v>
      </c>
      <c r="I1110" s="28">
        <v>46364</v>
      </c>
      <c r="J1110" t="s">
        <v>9118</v>
      </c>
      <c r="K1110" t="s">
        <v>33</v>
      </c>
    </row>
    <row r="1111" spans="1:11">
      <c r="A1111" s="3">
        <v>2529598</v>
      </c>
      <c r="B1111" t="s">
        <v>6064</v>
      </c>
      <c r="C1111" t="s">
        <v>7</v>
      </c>
      <c r="D1111" t="s">
        <v>9108</v>
      </c>
      <c r="E1111" s="28">
        <v>46245</v>
      </c>
      <c r="F1111" t="s">
        <v>9109</v>
      </c>
      <c r="G1111" s="3" t="s">
        <v>9446</v>
      </c>
      <c r="H1111" t="s">
        <v>191</v>
      </c>
      <c r="I1111" s="28">
        <v>46364</v>
      </c>
      <c r="J1111" t="s">
        <v>9118</v>
      </c>
      <c r="K1111" t="s">
        <v>33</v>
      </c>
    </row>
    <row r="1112" spans="1:11">
      <c r="A1112" s="3">
        <v>2529599</v>
      </c>
      <c r="B1112" t="s">
        <v>8996</v>
      </c>
      <c r="C1112" t="s">
        <v>8</v>
      </c>
      <c r="D1112" t="s">
        <v>9108</v>
      </c>
      <c r="E1112" s="28">
        <v>46245</v>
      </c>
      <c r="F1112" t="s">
        <v>9109</v>
      </c>
      <c r="G1112" s="3" t="s">
        <v>9448</v>
      </c>
      <c r="H1112" t="s">
        <v>306</v>
      </c>
      <c r="I1112" s="28">
        <v>46359</v>
      </c>
      <c r="J1112" t="s">
        <v>9118</v>
      </c>
      <c r="K1112" t="s">
        <v>33</v>
      </c>
    </row>
    <row r="1113" spans="1:11">
      <c r="A1113" s="3">
        <v>2529600</v>
      </c>
      <c r="B1113" t="s">
        <v>8078</v>
      </c>
      <c r="C1113" t="s">
        <v>8</v>
      </c>
      <c r="D1113" t="s">
        <v>9108</v>
      </c>
      <c r="E1113" s="28">
        <v>46245</v>
      </c>
      <c r="F1113" t="s">
        <v>9109</v>
      </c>
      <c r="G1113" s="3" t="s">
        <v>9447</v>
      </c>
      <c r="H1113" t="s">
        <v>4040</v>
      </c>
      <c r="I1113" s="28">
        <v>46359</v>
      </c>
      <c r="J1113" t="s">
        <v>9118</v>
      </c>
      <c r="K1113" t="s">
        <v>33</v>
      </c>
    </row>
    <row r="1114" spans="1:11">
      <c r="A1114" s="3">
        <v>2529601</v>
      </c>
      <c r="B1114" t="s">
        <v>6661</v>
      </c>
      <c r="C1114" t="s">
        <v>8</v>
      </c>
      <c r="D1114" t="s">
        <v>9108</v>
      </c>
      <c r="E1114" s="28">
        <v>46245</v>
      </c>
      <c r="F1114" t="s">
        <v>9109</v>
      </c>
      <c r="G1114" s="3" t="s">
        <v>9445</v>
      </c>
      <c r="H1114" t="s">
        <v>9134</v>
      </c>
      <c r="I1114" s="28">
        <v>46359</v>
      </c>
      <c r="J1114" t="s">
        <v>9118</v>
      </c>
      <c r="K1114" t="s">
        <v>33</v>
      </c>
    </row>
    <row r="1115" spans="1:11">
      <c r="A1115" s="3">
        <v>2529602</v>
      </c>
      <c r="B1115" t="s">
        <v>8927</v>
      </c>
      <c r="C1115" t="s">
        <v>8</v>
      </c>
      <c r="D1115" t="s">
        <v>9108</v>
      </c>
      <c r="E1115" s="28">
        <v>46245</v>
      </c>
      <c r="F1115" t="s">
        <v>9109</v>
      </c>
      <c r="G1115" s="3" t="s">
        <v>9444</v>
      </c>
      <c r="H1115" t="s">
        <v>719</v>
      </c>
      <c r="I1115" s="28">
        <v>46359</v>
      </c>
      <c r="J1115" t="s">
        <v>9118</v>
      </c>
      <c r="K1115" t="s">
        <v>33</v>
      </c>
    </row>
    <row r="1116" spans="1:11">
      <c r="A1116" s="3">
        <v>2529603</v>
      </c>
      <c r="B1116" t="s">
        <v>9468</v>
      </c>
      <c r="C1116" t="s">
        <v>8</v>
      </c>
      <c r="D1116" t="s">
        <v>9108</v>
      </c>
      <c r="E1116" s="28">
        <v>46245</v>
      </c>
      <c r="F1116" t="s">
        <v>9109</v>
      </c>
      <c r="G1116" s="3" t="s">
        <v>9448</v>
      </c>
      <c r="H1116" t="s">
        <v>306</v>
      </c>
      <c r="I1116" s="28">
        <v>46359</v>
      </c>
      <c r="J1116" t="s">
        <v>9118</v>
      </c>
      <c r="K1116" t="s">
        <v>33</v>
      </c>
    </row>
    <row r="1117" spans="1:11">
      <c r="A1117" s="3">
        <v>2529604</v>
      </c>
      <c r="B1117" t="s">
        <v>4920</v>
      </c>
      <c r="C1117" t="s">
        <v>7</v>
      </c>
      <c r="D1117" t="s">
        <v>9108</v>
      </c>
      <c r="E1117" s="28">
        <v>46245</v>
      </c>
      <c r="F1117" t="s">
        <v>9109</v>
      </c>
      <c r="G1117" s="3" t="s">
        <v>9445</v>
      </c>
      <c r="H1117" t="s">
        <v>9134</v>
      </c>
      <c r="I1117" s="28">
        <v>46359</v>
      </c>
      <c r="J1117" t="s">
        <v>9118</v>
      </c>
      <c r="K1117" t="s">
        <v>33</v>
      </c>
    </row>
    <row r="1118" spans="1:11">
      <c r="A1118" s="3">
        <v>2529605</v>
      </c>
      <c r="B1118" t="s">
        <v>1270</v>
      </c>
      <c r="C1118" t="s">
        <v>8</v>
      </c>
      <c r="D1118" t="s">
        <v>9108</v>
      </c>
      <c r="E1118" s="28">
        <v>46245</v>
      </c>
      <c r="F1118" t="s">
        <v>9109</v>
      </c>
      <c r="G1118" s="3" t="s">
        <v>9444</v>
      </c>
      <c r="H1118" t="s">
        <v>719</v>
      </c>
      <c r="I1118" s="28">
        <v>46359</v>
      </c>
      <c r="J1118" t="s">
        <v>9118</v>
      </c>
      <c r="K1118" t="s">
        <v>33</v>
      </c>
    </row>
    <row r="1119" spans="1:11">
      <c r="A1119" s="3">
        <v>2529606</v>
      </c>
      <c r="B1119" t="s">
        <v>301</v>
      </c>
      <c r="C1119" t="s">
        <v>8</v>
      </c>
      <c r="D1119" t="s">
        <v>9108</v>
      </c>
      <c r="E1119" s="28">
        <v>46245</v>
      </c>
      <c r="F1119" t="s">
        <v>9109</v>
      </c>
      <c r="G1119" s="3" t="s">
        <v>9442</v>
      </c>
      <c r="H1119" t="s">
        <v>424</v>
      </c>
      <c r="I1119" s="28">
        <v>46364</v>
      </c>
      <c r="J1119" t="s">
        <v>9118</v>
      </c>
      <c r="K1119" t="s">
        <v>33</v>
      </c>
    </row>
    <row r="1120" spans="1:11">
      <c r="A1120" s="3">
        <v>2529607</v>
      </c>
      <c r="B1120" t="s">
        <v>1508</v>
      </c>
      <c r="C1120" t="s">
        <v>8</v>
      </c>
      <c r="D1120" t="s">
        <v>9108</v>
      </c>
      <c r="E1120" s="28">
        <v>46245</v>
      </c>
      <c r="F1120" t="s">
        <v>9109</v>
      </c>
      <c r="G1120" s="3" t="s">
        <v>9447</v>
      </c>
      <c r="H1120" t="s">
        <v>4040</v>
      </c>
      <c r="I1120" s="28">
        <v>46359</v>
      </c>
      <c r="J1120" t="s">
        <v>9118</v>
      </c>
      <c r="K1120" t="s">
        <v>33</v>
      </c>
    </row>
    <row r="1121" spans="1:11">
      <c r="A1121" s="3">
        <v>2529608</v>
      </c>
      <c r="B1121" t="s">
        <v>3377</v>
      </c>
      <c r="C1121" t="s">
        <v>8</v>
      </c>
      <c r="D1121" t="s">
        <v>9108</v>
      </c>
      <c r="E1121" s="28">
        <v>46245</v>
      </c>
      <c r="F1121" t="s">
        <v>9109</v>
      </c>
      <c r="G1121" s="3" t="s">
        <v>9447</v>
      </c>
      <c r="H1121" t="s">
        <v>4040</v>
      </c>
      <c r="I1121" s="28">
        <v>46359</v>
      </c>
      <c r="J1121" t="s">
        <v>9118</v>
      </c>
      <c r="K1121" t="s">
        <v>33</v>
      </c>
    </row>
    <row r="1122" spans="1:11">
      <c r="A1122" s="3">
        <v>2529609</v>
      </c>
      <c r="B1122" t="s">
        <v>2970</v>
      </c>
      <c r="C1122" t="s">
        <v>7</v>
      </c>
      <c r="D1122" t="s">
        <v>9108</v>
      </c>
      <c r="E1122" s="28">
        <v>46245</v>
      </c>
      <c r="F1122" t="s">
        <v>9109</v>
      </c>
      <c r="G1122" s="3" t="s">
        <v>9447</v>
      </c>
      <c r="H1122" t="s">
        <v>4040</v>
      </c>
      <c r="I1122" s="28">
        <v>46359</v>
      </c>
      <c r="J1122" t="s">
        <v>9118</v>
      </c>
      <c r="K1122" t="s">
        <v>33</v>
      </c>
    </row>
    <row r="1123" spans="1:11">
      <c r="A1123" s="3">
        <v>2529610</v>
      </c>
      <c r="B1123" t="s">
        <v>7871</v>
      </c>
      <c r="C1123" t="s">
        <v>8</v>
      </c>
      <c r="D1123" t="s">
        <v>9108</v>
      </c>
      <c r="E1123" s="28">
        <v>46245</v>
      </c>
      <c r="F1123" t="s">
        <v>9109</v>
      </c>
      <c r="G1123" s="3" t="s">
        <v>9445</v>
      </c>
      <c r="H1123" t="s">
        <v>9134</v>
      </c>
      <c r="I1123" s="28">
        <v>46359</v>
      </c>
      <c r="J1123" t="s">
        <v>9118</v>
      </c>
      <c r="K1123" t="s">
        <v>33</v>
      </c>
    </row>
    <row r="1124" spans="1:11">
      <c r="A1124" s="3">
        <v>2529611</v>
      </c>
      <c r="B1124" t="s">
        <v>9469</v>
      </c>
      <c r="C1124" t="s">
        <v>8</v>
      </c>
      <c r="D1124" t="s">
        <v>9108</v>
      </c>
      <c r="E1124" s="28">
        <v>46245</v>
      </c>
      <c r="F1124" t="s">
        <v>9109</v>
      </c>
      <c r="G1124" s="3" t="s">
        <v>9442</v>
      </c>
      <c r="H1124" t="s">
        <v>424</v>
      </c>
      <c r="I1124" s="28">
        <v>46364</v>
      </c>
      <c r="J1124" t="s">
        <v>9118</v>
      </c>
      <c r="K1124" t="s">
        <v>33</v>
      </c>
    </row>
    <row r="1125" spans="1:11">
      <c r="A1125" s="3">
        <v>2529612</v>
      </c>
      <c r="B1125" t="s">
        <v>9470</v>
      </c>
      <c r="C1125" t="s">
        <v>8</v>
      </c>
      <c r="D1125" t="s">
        <v>9108</v>
      </c>
      <c r="E1125" s="28">
        <v>46245</v>
      </c>
      <c r="F1125" t="s">
        <v>9109</v>
      </c>
      <c r="G1125" s="3" t="s">
        <v>9445</v>
      </c>
      <c r="H1125" t="s">
        <v>9134</v>
      </c>
      <c r="I1125" s="28">
        <v>46359</v>
      </c>
      <c r="J1125" t="s">
        <v>9118</v>
      </c>
      <c r="K1125" t="s">
        <v>33</v>
      </c>
    </row>
    <row r="1126" spans="1:11">
      <c r="A1126" s="3">
        <v>2529613</v>
      </c>
      <c r="B1126" t="s">
        <v>5880</v>
      </c>
      <c r="C1126" t="s">
        <v>8</v>
      </c>
      <c r="D1126" t="s">
        <v>9108</v>
      </c>
      <c r="E1126" s="28">
        <v>46245</v>
      </c>
      <c r="F1126" t="s">
        <v>9109</v>
      </c>
      <c r="G1126" s="3" t="s">
        <v>9445</v>
      </c>
      <c r="H1126" t="s">
        <v>9134</v>
      </c>
      <c r="I1126" s="28">
        <v>46359</v>
      </c>
      <c r="J1126" t="s">
        <v>9118</v>
      </c>
      <c r="K1126" t="s">
        <v>33</v>
      </c>
    </row>
    <row r="1127" spans="1:11">
      <c r="A1127" s="3">
        <v>2529614</v>
      </c>
      <c r="B1127" t="s">
        <v>9471</v>
      </c>
      <c r="C1127" t="s">
        <v>8</v>
      </c>
      <c r="D1127" t="s">
        <v>9108</v>
      </c>
      <c r="E1127" s="28">
        <v>46245</v>
      </c>
      <c r="F1127" t="s">
        <v>9109</v>
      </c>
      <c r="G1127" s="3" t="s">
        <v>9442</v>
      </c>
      <c r="H1127" t="s">
        <v>424</v>
      </c>
      <c r="I1127" s="28">
        <v>46364</v>
      </c>
      <c r="J1127" t="s">
        <v>9118</v>
      </c>
      <c r="K1127" t="s">
        <v>33</v>
      </c>
    </row>
    <row r="1128" spans="1:11">
      <c r="A1128" s="3">
        <v>2529615</v>
      </c>
      <c r="B1128" t="s">
        <v>1204</v>
      </c>
      <c r="C1128" t="s">
        <v>8</v>
      </c>
      <c r="D1128" t="s">
        <v>9108</v>
      </c>
      <c r="E1128" s="28">
        <v>46245</v>
      </c>
      <c r="F1128" t="s">
        <v>9109</v>
      </c>
      <c r="G1128" s="3" t="s">
        <v>9444</v>
      </c>
      <c r="H1128" t="s">
        <v>719</v>
      </c>
      <c r="I1128" s="28">
        <v>46359</v>
      </c>
      <c r="J1128" t="s">
        <v>9118</v>
      </c>
      <c r="K1128" t="s">
        <v>33</v>
      </c>
    </row>
    <row r="1129" spans="1:11">
      <c r="A1129" s="3">
        <v>2529616</v>
      </c>
      <c r="B1129" t="s">
        <v>7118</v>
      </c>
      <c r="C1129" t="s">
        <v>8</v>
      </c>
      <c r="D1129" t="s">
        <v>9108</v>
      </c>
      <c r="E1129" s="28">
        <v>46245</v>
      </c>
      <c r="F1129" t="s">
        <v>9109</v>
      </c>
      <c r="G1129" s="3" t="s">
        <v>9448</v>
      </c>
      <c r="H1129" t="s">
        <v>306</v>
      </c>
      <c r="I1129" s="28">
        <v>46359</v>
      </c>
      <c r="J1129" t="s">
        <v>9118</v>
      </c>
      <c r="K1129" t="s">
        <v>33</v>
      </c>
    </row>
    <row r="1130" spans="1:11">
      <c r="A1130" s="3">
        <v>2529617</v>
      </c>
      <c r="B1130" t="s">
        <v>8544</v>
      </c>
      <c r="C1130" t="s">
        <v>7</v>
      </c>
      <c r="D1130" t="s">
        <v>9108</v>
      </c>
      <c r="E1130" s="28">
        <v>46245</v>
      </c>
      <c r="F1130" t="s">
        <v>9109</v>
      </c>
      <c r="G1130" s="3" t="s">
        <v>9442</v>
      </c>
      <c r="H1130" t="s">
        <v>424</v>
      </c>
      <c r="I1130" s="28">
        <v>46364</v>
      </c>
      <c r="J1130" t="s">
        <v>9118</v>
      </c>
      <c r="K1130" t="s">
        <v>33</v>
      </c>
    </row>
    <row r="1131" spans="1:11">
      <c r="A1131" s="3">
        <v>2529618</v>
      </c>
      <c r="B1131" t="s">
        <v>6615</v>
      </c>
      <c r="C1131" t="s">
        <v>8</v>
      </c>
      <c r="D1131" t="s">
        <v>9108</v>
      </c>
      <c r="E1131" s="28">
        <v>46245</v>
      </c>
      <c r="F1131" t="s">
        <v>9109</v>
      </c>
      <c r="G1131" s="3" t="s">
        <v>9446</v>
      </c>
      <c r="H1131" t="s">
        <v>191</v>
      </c>
      <c r="I1131" s="28">
        <v>46364</v>
      </c>
      <c r="J1131" t="s">
        <v>9118</v>
      </c>
      <c r="K1131" t="s">
        <v>33</v>
      </c>
    </row>
    <row r="1132" spans="1:11">
      <c r="A1132" s="3">
        <v>2529619</v>
      </c>
      <c r="B1132" t="s">
        <v>9472</v>
      </c>
      <c r="C1132" t="s">
        <v>8</v>
      </c>
      <c r="D1132" t="s">
        <v>9108</v>
      </c>
      <c r="E1132" s="28">
        <v>46245</v>
      </c>
      <c r="F1132" t="s">
        <v>9109</v>
      </c>
      <c r="G1132" s="3" t="s">
        <v>9448</v>
      </c>
      <c r="H1132" t="s">
        <v>306</v>
      </c>
      <c r="I1132" s="28">
        <v>46359</v>
      </c>
      <c r="J1132" t="s">
        <v>9118</v>
      </c>
      <c r="K1132" t="s">
        <v>33</v>
      </c>
    </row>
    <row r="1133" spans="1:11">
      <c r="A1133" s="3">
        <v>2529620</v>
      </c>
      <c r="B1133" t="s">
        <v>6165</v>
      </c>
      <c r="C1133" t="s">
        <v>7</v>
      </c>
      <c r="D1133" t="s">
        <v>9108</v>
      </c>
      <c r="E1133" s="28">
        <v>46245</v>
      </c>
      <c r="F1133" t="s">
        <v>9109</v>
      </c>
      <c r="G1133" s="3" t="s">
        <v>9447</v>
      </c>
      <c r="H1133" t="s">
        <v>4040</v>
      </c>
      <c r="I1133" s="28">
        <v>46359</v>
      </c>
      <c r="J1133" t="s">
        <v>9118</v>
      </c>
      <c r="K1133" t="s">
        <v>33</v>
      </c>
    </row>
    <row r="1134" spans="1:11">
      <c r="A1134" s="3">
        <v>2529621</v>
      </c>
      <c r="B1134" t="s">
        <v>1184</v>
      </c>
      <c r="C1134" t="s">
        <v>8</v>
      </c>
      <c r="D1134" t="s">
        <v>9108</v>
      </c>
      <c r="E1134" s="28">
        <v>46245</v>
      </c>
      <c r="F1134" t="s">
        <v>9109</v>
      </c>
      <c r="G1134" s="3" t="s">
        <v>9445</v>
      </c>
      <c r="H1134" t="s">
        <v>9134</v>
      </c>
      <c r="I1134" s="28">
        <v>46359</v>
      </c>
      <c r="J1134" t="s">
        <v>9118</v>
      </c>
      <c r="K1134" t="s">
        <v>33</v>
      </c>
    </row>
    <row r="1135" spans="1:11">
      <c r="A1135" s="3">
        <v>2529622</v>
      </c>
      <c r="B1135" t="s">
        <v>9473</v>
      </c>
      <c r="C1135" t="s">
        <v>8</v>
      </c>
      <c r="D1135" t="s">
        <v>9108</v>
      </c>
      <c r="E1135" s="28">
        <v>46245</v>
      </c>
      <c r="F1135" t="s">
        <v>9109</v>
      </c>
      <c r="G1135" s="3" t="s">
        <v>9446</v>
      </c>
      <c r="H1135" t="s">
        <v>191</v>
      </c>
      <c r="I1135" s="28">
        <v>46364</v>
      </c>
      <c r="J1135" t="s">
        <v>9118</v>
      </c>
      <c r="K1135" t="s">
        <v>33</v>
      </c>
    </row>
    <row r="1136" spans="1:11">
      <c r="A1136" s="3">
        <v>2529623</v>
      </c>
      <c r="B1136" t="s">
        <v>9474</v>
      </c>
      <c r="C1136" t="s">
        <v>8</v>
      </c>
      <c r="D1136" t="s">
        <v>9108</v>
      </c>
      <c r="E1136" s="28">
        <v>46245</v>
      </c>
      <c r="F1136" t="s">
        <v>9109</v>
      </c>
      <c r="G1136" s="3" t="s">
        <v>9446</v>
      </c>
      <c r="H1136" t="s">
        <v>191</v>
      </c>
      <c r="I1136" s="28">
        <v>46364</v>
      </c>
      <c r="J1136" t="s">
        <v>9118</v>
      </c>
      <c r="K1136" t="s">
        <v>33</v>
      </c>
    </row>
    <row r="1137" spans="1:11">
      <c r="A1137" s="3">
        <v>2529624</v>
      </c>
      <c r="B1137" t="s">
        <v>1100</v>
      </c>
      <c r="C1137" t="s">
        <v>8</v>
      </c>
      <c r="D1137" t="s">
        <v>9108</v>
      </c>
      <c r="E1137" s="28">
        <v>46245</v>
      </c>
      <c r="F1137" t="s">
        <v>9109</v>
      </c>
      <c r="G1137" s="3" t="s">
        <v>9446</v>
      </c>
      <c r="H1137" t="s">
        <v>191</v>
      </c>
      <c r="I1137" s="28">
        <v>46364</v>
      </c>
      <c r="J1137" t="s">
        <v>9118</v>
      </c>
      <c r="K1137" t="s">
        <v>33</v>
      </c>
    </row>
    <row r="1138" spans="1:11">
      <c r="A1138" s="3">
        <v>2529625</v>
      </c>
      <c r="B1138" t="s">
        <v>9001</v>
      </c>
      <c r="C1138" t="s">
        <v>8</v>
      </c>
      <c r="D1138" t="s">
        <v>9108</v>
      </c>
      <c r="E1138" s="28">
        <v>46245</v>
      </c>
      <c r="F1138" t="s">
        <v>9109</v>
      </c>
      <c r="G1138" s="3" t="s">
        <v>9445</v>
      </c>
      <c r="H1138" t="s">
        <v>9134</v>
      </c>
      <c r="I1138" s="28">
        <v>46359</v>
      </c>
      <c r="J1138" t="s">
        <v>9118</v>
      </c>
      <c r="K1138" t="s">
        <v>33</v>
      </c>
    </row>
    <row r="1139" spans="1:11">
      <c r="A1139" s="3">
        <v>2529626</v>
      </c>
      <c r="B1139" t="s">
        <v>9475</v>
      </c>
      <c r="C1139" t="s">
        <v>7</v>
      </c>
      <c r="D1139" t="s">
        <v>9108</v>
      </c>
      <c r="E1139" s="28">
        <v>46245</v>
      </c>
      <c r="F1139" t="s">
        <v>9109</v>
      </c>
      <c r="G1139" s="3" t="s">
        <v>9442</v>
      </c>
      <c r="H1139" t="s">
        <v>424</v>
      </c>
      <c r="I1139" s="28">
        <v>46364</v>
      </c>
      <c r="J1139" t="s">
        <v>9118</v>
      </c>
      <c r="K1139" t="s">
        <v>33</v>
      </c>
    </row>
    <row r="1140" spans="1:11">
      <c r="A1140" s="3">
        <v>2529627</v>
      </c>
      <c r="B1140" t="s">
        <v>7888</v>
      </c>
      <c r="C1140" t="s">
        <v>8</v>
      </c>
      <c r="D1140" t="s">
        <v>9108</v>
      </c>
      <c r="E1140" s="28">
        <v>46245</v>
      </c>
      <c r="F1140" t="s">
        <v>9109</v>
      </c>
      <c r="G1140" s="3" t="s">
        <v>9447</v>
      </c>
      <c r="H1140" t="s">
        <v>4040</v>
      </c>
      <c r="I1140" s="28">
        <v>46359</v>
      </c>
      <c r="J1140" t="s">
        <v>9118</v>
      </c>
      <c r="K1140" t="s">
        <v>33</v>
      </c>
    </row>
    <row r="1141" spans="1:11">
      <c r="A1141" s="3">
        <v>2529628</v>
      </c>
      <c r="B1141" t="s">
        <v>9476</v>
      </c>
      <c r="C1141" t="s">
        <v>8</v>
      </c>
      <c r="D1141" t="s">
        <v>9108</v>
      </c>
      <c r="E1141" s="28">
        <v>46245</v>
      </c>
      <c r="F1141" t="s">
        <v>9109</v>
      </c>
      <c r="G1141" s="3" t="s">
        <v>9448</v>
      </c>
      <c r="H1141" t="s">
        <v>306</v>
      </c>
      <c r="I1141" s="28">
        <v>46359</v>
      </c>
      <c r="J1141" t="s">
        <v>9118</v>
      </c>
      <c r="K1141" t="s">
        <v>33</v>
      </c>
    </row>
    <row r="1142" spans="1:11">
      <c r="A1142" s="3">
        <v>2529629</v>
      </c>
      <c r="B1142" t="s">
        <v>3669</v>
      </c>
      <c r="C1142" t="s">
        <v>8</v>
      </c>
      <c r="D1142" t="s">
        <v>9108</v>
      </c>
      <c r="E1142" s="28">
        <v>46245</v>
      </c>
      <c r="F1142" t="s">
        <v>9109</v>
      </c>
      <c r="G1142" s="3" t="s">
        <v>9442</v>
      </c>
      <c r="H1142" t="s">
        <v>424</v>
      </c>
      <c r="I1142" s="28">
        <v>46364</v>
      </c>
      <c r="J1142" t="s">
        <v>9118</v>
      </c>
      <c r="K1142" t="s">
        <v>33</v>
      </c>
    </row>
    <row r="1143" spans="1:11">
      <c r="A1143" s="3">
        <v>2529630</v>
      </c>
      <c r="B1143" t="s">
        <v>335</v>
      </c>
      <c r="C1143" t="s">
        <v>8</v>
      </c>
      <c r="D1143" t="s">
        <v>9108</v>
      </c>
      <c r="E1143" s="28">
        <v>46245</v>
      </c>
      <c r="F1143" t="s">
        <v>9109</v>
      </c>
      <c r="G1143" s="3" t="s">
        <v>9445</v>
      </c>
      <c r="H1143" t="s">
        <v>9134</v>
      </c>
      <c r="I1143" s="28">
        <v>46359</v>
      </c>
      <c r="J1143" t="s">
        <v>9118</v>
      </c>
      <c r="K1143" t="s">
        <v>33</v>
      </c>
    </row>
    <row r="1144" spans="1:11">
      <c r="A1144" s="3">
        <v>2529632</v>
      </c>
      <c r="B1144" t="s">
        <v>4558</v>
      </c>
      <c r="C1144" t="s">
        <v>8</v>
      </c>
      <c r="D1144" t="s">
        <v>9108</v>
      </c>
      <c r="E1144" s="28">
        <v>46245</v>
      </c>
      <c r="F1144" t="s">
        <v>9109</v>
      </c>
      <c r="G1144" s="3" t="s">
        <v>9446</v>
      </c>
      <c r="H1144" t="s">
        <v>191</v>
      </c>
      <c r="I1144" s="28">
        <v>46364</v>
      </c>
      <c r="J1144" t="s">
        <v>9118</v>
      </c>
      <c r="K1144" t="s">
        <v>33</v>
      </c>
    </row>
    <row r="1145" spans="1:11">
      <c r="A1145" s="3">
        <v>2529633</v>
      </c>
      <c r="B1145" t="s">
        <v>3487</v>
      </c>
      <c r="C1145" t="s">
        <v>7</v>
      </c>
      <c r="D1145" t="s">
        <v>9108</v>
      </c>
      <c r="E1145" s="28">
        <v>46245</v>
      </c>
      <c r="F1145" t="s">
        <v>9109</v>
      </c>
      <c r="G1145" s="3" t="s">
        <v>9445</v>
      </c>
      <c r="H1145" t="s">
        <v>9134</v>
      </c>
      <c r="I1145" s="28">
        <v>46359</v>
      </c>
      <c r="J1145" t="s">
        <v>9118</v>
      </c>
      <c r="K1145" t="s">
        <v>33</v>
      </c>
    </row>
    <row r="1146" spans="1:11">
      <c r="A1146" s="3">
        <v>2529634</v>
      </c>
      <c r="B1146" t="s">
        <v>983</v>
      </c>
      <c r="C1146" t="s">
        <v>8</v>
      </c>
      <c r="D1146" t="s">
        <v>9108</v>
      </c>
      <c r="E1146" s="28">
        <v>46245</v>
      </c>
      <c r="F1146" t="s">
        <v>9109</v>
      </c>
      <c r="G1146" s="3" t="s">
        <v>9447</v>
      </c>
      <c r="H1146" t="s">
        <v>4040</v>
      </c>
      <c r="I1146" s="28">
        <v>46359</v>
      </c>
      <c r="J1146" t="s">
        <v>9118</v>
      </c>
      <c r="K1146" t="s">
        <v>33</v>
      </c>
    </row>
    <row r="1147" spans="1:11">
      <c r="A1147" s="3">
        <v>2529635</v>
      </c>
      <c r="B1147" t="s">
        <v>2296</v>
      </c>
      <c r="C1147" t="s">
        <v>8</v>
      </c>
      <c r="D1147" t="s">
        <v>9108</v>
      </c>
      <c r="E1147" s="28">
        <v>46245</v>
      </c>
      <c r="F1147" t="s">
        <v>9109</v>
      </c>
      <c r="G1147" s="3" t="s">
        <v>9447</v>
      </c>
      <c r="H1147" t="s">
        <v>4040</v>
      </c>
      <c r="I1147" s="28">
        <v>46359</v>
      </c>
      <c r="J1147" t="s">
        <v>9118</v>
      </c>
      <c r="K1147" t="s">
        <v>33</v>
      </c>
    </row>
    <row r="1148" spans="1:11">
      <c r="A1148" s="3">
        <v>2529636</v>
      </c>
      <c r="B1148" t="s">
        <v>1022</v>
      </c>
      <c r="C1148" t="s">
        <v>7</v>
      </c>
      <c r="D1148" t="s">
        <v>9108</v>
      </c>
      <c r="E1148" s="28">
        <v>46245</v>
      </c>
      <c r="F1148" t="s">
        <v>9109</v>
      </c>
      <c r="G1148" s="3" t="s">
        <v>9442</v>
      </c>
      <c r="H1148" t="s">
        <v>424</v>
      </c>
      <c r="I1148" s="28">
        <v>46364</v>
      </c>
      <c r="J1148" t="s">
        <v>9118</v>
      </c>
      <c r="K1148" t="s">
        <v>33</v>
      </c>
    </row>
    <row r="1149" spans="1:11">
      <c r="A1149" s="3">
        <v>2529637</v>
      </c>
      <c r="B1149" t="s">
        <v>7171</v>
      </c>
      <c r="C1149" t="s">
        <v>7</v>
      </c>
      <c r="D1149" t="s">
        <v>9108</v>
      </c>
      <c r="E1149" s="28">
        <v>46245</v>
      </c>
      <c r="F1149" t="s">
        <v>9109</v>
      </c>
      <c r="G1149" s="3" t="s">
        <v>9448</v>
      </c>
      <c r="H1149" t="s">
        <v>306</v>
      </c>
      <c r="I1149" s="28">
        <v>46359</v>
      </c>
      <c r="J1149" t="s">
        <v>9118</v>
      </c>
      <c r="K1149" t="s">
        <v>33</v>
      </c>
    </row>
    <row r="1150" spans="1:11">
      <c r="A1150" s="3">
        <v>2529638</v>
      </c>
      <c r="B1150" t="s">
        <v>6286</v>
      </c>
      <c r="C1150" t="s">
        <v>8</v>
      </c>
      <c r="D1150" t="s">
        <v>9108</v>
      </c>
      <c r="E1150" s="28">
        <v>46245</v>
      </c>
      <c r="F1150" t="s">
        <v>9109</v>
      </c>
      <c r="G1150" s="3" t="s">
        <v>9446</v>
      </c>
      <c r="H1150" t="s">
        <v>191</v>
      </c>
      <c r="I1150" s="28">
        <v>46364</v>
      </c>
      <c r="J1150" t="s">
        <v>9118</v>
      </c>
      <c r="K1150" t="s">
        <v>33</v>
      </c>
    </row>
    <row r="1151" spans="1:11">
      <c r="A1151" s="3">
        <v>2529639</v>
      </c>
      <c r="B1151" t="s">
        <v>5320</v>
      </c>
      <c r="C1151" t="s">
        <v>8</v>
      </c>
      <c r="D1151" t="s">
        <v>9108</v>
      </c>
      <c r="E1151" s="28">
        <v>46245</v>
      </c>
      <c r="F1151" t="s">
        <v>9109</v>
      </c>
      <c r="G1151" s="3" t="s">
        <v>9447</v>
      </c>
      <c r="H1151" t="s">
        <v>4040</v>
      </c>
      <c r="I1151" s="28">
        <v>46359</v>
      </c>
      <c r="J1151" t="s">
        <v>9118</v>
      </c>
      <c r="K1151" t="s">
        <v>33</v>
      </c>
    </row>
    <row r="1152" spans="1:11">
      <c r="A1152" s="3">
        <v>2529640</v>
      </c>
      <c r="B1152" t="s">
        <v>7902</v>
      </c>
      <c r="C1152" t="s">
        <v>8</v>
      </c>
      <c r="D1152" t="s">
        <v>9108</v>
      </c>
      <c r="E1152" s="28">
        <v>46245</v>
      </c>
      <c r="F1152" t="s">
        <v>9109</v>
      </c>
      <c r="G1152" s="3" t="s">
        <v>9442</v>
      </c>
      <c r="H1152" t="s">
        <v>424</v>
      </c>
      <c r="I1152" s="28">
        <v>46364</v>
      </c>
      <c r="J1152" t="s">
        <v>9118</v>
      </c>
      <c r="K1152" t="s">
        <v>33</v>
      </c>
    </row>
    <row r="1153" spans="1:11">
      <c r="A1153" s="3">
        <v>2529641</v>
      </c>
      <c r="B1153" t="s">
        <v>8348</v>
      </c>
      <c r="C1153" t="s">
        <v>7</v>
      </c>
      <c r="D1153" t="s">
        <v>9108</v>
      </c>
      <c r="E1153" s="28">
        <v>46245</v>
      </c>
      <c r="F1153" t="s">
        <v>9109</v>
      </c>
      <c r="G1153" s="3" t="s">
        <v>9445</v>
      </c>
      <c r="H1153" t="s">
        <v>9134</v>
      </c>
      <c r="I1153" s="28">
        <v>46359</v>
      </c>
      <c r="J1153" t="s">
        <v>9118</v>
      </c>
      <c r="K1153" t="s">
        <v>33</v>
      </c>
    </row>
    <row r="1154" spans="1:11">
      <c r="A1154" s="3">
        <v>2529642</v>
      </c>
      <c r="B1154" t="s">
        <v>9477</v>
      </c>
      <c r="C1154" t="s">
        <v>8</v>
      </c>
      <c r="D1154" t="s">
        <v>9108</v>
      </c>
      <c r="E1154" s="28">
        <v>46245</v>
      </c>
      <c r="F1154" t="s">
        <v>9109</v>
      </c>
      <c r="G1154" s="3" t="s">
        <v>9447</v>
      </c>
      <c r="H1154" t="s">
        <v>4040</v>
      </c>
      <c r="I1154" s="28">
        <v>46359</v>
      </c>
      <c r="J1154" t="s">
        <v>9118</v>
      </c>
      <c r="K1154" t="s">
        <v>33</v>
      </c>
    </row>
    <row r="1155" spans="1:11">
      <c r="A1155" s="3">
        <v>2529643</v>
      </c>
      <c r="B1155" t="s">
        <v>4463</v>
      </c>
      <c r="C1155" t="s">
        <v>8</v>
      </c>
      <c r="D1155" t="s">
        <v>9108</v>
      </c>
      <c r="E1155" s="28">
        <v>46245</v>
      </c>
      <c r="F1155" t="s">
        <v>9109</v>
      </c>
      <c r="G1155" s="3" t="s">
        <v>9448</v>
      </c>
      <c r="H1155" t="s">
        <v>306</v>
      </c>
      <c r="I1155" s="28">
        <v>46359</v>
      </c>
      <c r="J1155" t="s">
        <v>9118</v>
      </c>
      <c r="K1155" t="s">
        <v>33</v>
      </c>
    </row>
    <row r="1156" spans="1:11">
      <c r="A1156" s="3">
        <v>2529644</v>
      </c>
      <c r="B1156" t="s">
        <v>1961</v>
      </c>
      <c r="C1156" t="s">
        <v>8</v>
      </c>
      <c r="D1156" t="s">
        <v>9108</v>
      </c>
      <c r="E1156" s="28">
        <v>46245</v>
      </c>
      <c r="F1156" t="s">
        <v>9109</v>
      </c>
      <c r="G1156" s="3" t="s">
        <v>9444</v>
      </c>
      <c r="H1156" t="s">
        <v>719</v>
      </c>
      <c r="I1156" s="28">
        <v>46359</v>
      </c>
      <c r="J1156" t="s">
        <v>9118</v>
      </c>
      <c r="K1156" t="s">
        <v>33</v>
      </c>
    </row>
    <row r="1157" spans="1:11">
      <c r="A1157" s="3">
        <v>2529645</v>
      </c>
      <c r="B1157" t="s">
        <v>8895</v>
      </c>
      <c r="C1157" t="s">
        <v>8</v>
      </c>
      <c r="D1157" t="s">
        <v>9108</v>
      </c>
      <c r="E1157" s="28">
        <v>46245</v>
      </c>
      <c r="F1157" t="s">
        <v>9109</v>
      </c>
      <c r="G1157" s="3" t="s">
        <v>9446</v>
      </c>
      <c r="H1157" t="s">
        <v>191</v>
      </c>
      <c r="I1157" s="28">
        <v>46364</v>
      </c>
      <c r="J1157" t="s">
        <v>9118</v>
      </c>
      <c r="K1157" t="s">
        <v>33</v>
      </c>
    </row>
    <row r="1158" spans="1:11">
      <c r="A1158" s="3">
        <v>2529646</v>
      </c>
      <c r="B1158" t="s">
        <v>5956</v>
      </c>
      <c r="C1158" t="s">
        <v>7</v>
      </c>
      <c r="D1158" t="s">
        <v>9108</v>
      </c>
      <c r="E1158" s="28">
        <v>46245</v>
      </c>
      <c r="F1158" t="s">
        <v>9109</v>
      </c>
      <c r="G1158" s="3" t="s">
        <v>9446</v>
      </c>
      <c r="H1158" t="s">
        <v>191</v>
      </c>
      <c r="I1158" s="28">
        <v>46364</v>
      </c>
      <c r="J1158" t="s">
        <v>9118</v>
      </c>
      <c r="K1158" t="s">
        <v>33</v>
      </c>
    </row>
    <row r="1159" spans="1:11">
      <c r="A1159" s="3">
        <v>2529647</v>
      </c>
      <c r="B1159" t="s">
        <v>698</v>
      </c>
      <c r="C1159" t="s">
        <v>8</v>
      </c>
      <c r="D1159" t="s">
        <v>9108</v>
      </c>
      <c r="E1159" s="28">
        <v>46245</v>
      </c>
      <c r="F1159" t="s">
        <v>9109</v>
      </c>
      <c r="G1159" s="3" t="s">
        <v>9446</v>
      </c>
      <c r="H1159" t="s">
        <v>191</v>
      </c>
      <c r="I1159" s="28">
        <v>46364</v>
      </c>
      <c r="J1159" t="s">
        <v>9118</v>
      </c>
      <c r="K1159" t="s">
        <v>33</v>
      </c>
    </row>
    <row r="1160" spans="1:11">
      <c r="A1160" s="3">
        <v>2529648</v>
      </c>
      <c r="B1160" t="s">
        <v>1938</v>
      </c>
      <c r="C1160" t="s">
        <v>8</v>
      </c>
      <c r="D1160" t="s">
        <v>9108</v>
      </c>
      <c r="E1160" s="28">
        <v>46245</v>
      </c>
      <c r="F1160" t="s">
        <v>9109</v>
      </c>
      <c r="G1160" s="3" t="s">
        <v>9442</v>
      </c>
      <c r="H1160" t="s">
        <v>424</v>
      </c>
      <c r="I1160" s="28">
        <v>46364</v>
      </c>
      <c r="J1160" t="s">
        <v>9118</v>
      </c>
      <c r="K1160" t="s">
        <v>33</v>
      </c>
    </row>
    <row r="1161" spans="1:11">
      <c r="A1161" s="3">
        <v>2529649</v>
      </c>
      <c r="B1161" t="s">
        <v>2361</v>
      </c>
      <c r="C1161" t="s">
        <v>8</v>
      </c>
      <c r="D1161" t="s">
        <v>9108</v>
      </c>
      <c r="E1161" s="28">
        <v>46245</v>
      </c>
      <c r="F1161" t="s">
        <v>9109</v>
      </c>
      <c r="G1161" s="3" t="s">
        <v>9444</v>
      </c>
      <c r="H1161" t="s">
        <v>719</v>
      </c>
      <c r="I1161" s="28">
        <v>46359</v>
      </c>
      <c r="J1161" t="s">
        <v>9118</v>
      </c>
      <c r="K1161" t="s">
        <v>33</v>
      </c>
    </row>
    <row r="1162" spans="1:11">
      <c r="A1162" s="3">
        <v>2529650</v>
      </c>
      <c r="B1162" t="s">
        <v>3066</v>
      </c>
      <c r="C1162" t="s">
        <v>7</v>
      </c>
      <c r="D1162" t="s">
        <v>9108</v>
      </c>
      <c r="E1162" s="28">
        <v>46245</v>
      </c>
      <c r="F1162" t="s">
        <v>9109</v>
      </c>
      <c r="G1162" s="3" t="s">
        <v>9445</v>
      </c>
      <c r="H1162" t="s">
        <v>9134</v>
      </c>
      <c r="I1162" s="28">
        <v>46359</v>
      </c>
      <c r="J1162" t="s">
        <v>9118</v>
      </c>
      <c r="K1162" t="s">
        <v>33</v>
      </c>
    </row>
    <row r="1163" spans="1:11">
      <c r="A1163" s="3">
        <v>2529651</v>
      </c>
      <c r="B1163" t="s">
        <v>6981</v>
      </c>
      <c r="C1163" t="s">
        <v>7</v>
      </c>
      <c r="D1163" t="s">
        <v>9108</v>
      </c>
      <c r="E1163" s="28">
        <v>46245</v>
      </c>
      <c r="F1163" t="s">
        <v>9109</v>
      </c>
      <c r="G1163" s="3" t="s">
        <v>9444</v>
      </c>
      <c r="H1163" t="s">
        <v>719</v>
      </c>
      <c r="I1163" s="28">
        <v>46359</v>
      </c>
      <c r="J1163" t="s">
        <v>9118</v>
      </c>
      <c r="K1163" t="s">
        <v>33</v>
      </c>
    </row>
    <row r="1164" spans="1:11">
      <c r="A1164" s="3">
        <v>2529652</v>
      </c>
      <c r="B1164" t="s">
        <v>4304</v>
      </c>
      <c r="C1164" t="s">
        <v>8</v>
      </c>
      <c r="D1164" t="s">
        <v>9108</v>
      </c>
      <c r="E1164" s="28">
        <v>46245</v>
      </c>
      <c r="F1164" t="s">
        <v>9109</v>
      </c>
      <c r="G1164" s="3" t="s">
        <v>9444</v>
      </c>
      <c r="H1164" t="s">
        <v>719</v>
      </c>
      <c r="I1164" s="28">
        <v>46359</v>
      </c>
      <c r="J1164" t="s">
        <v>9118</v>
      </c>
      <c r="K1164" t="s">
        <v>33</v>
      </c>
    </row>
    <row r="1165" spans="1:11">
      <c r="A1165" s="3">
        <v>2529653</v>
      </c>
      <c r="B1165" t="s">
        <v>8270</v>
      </c>
      <c r="C1165" t="s">
        <v>7</v>
      </c>
      <c r="D1165" t="s">
        <v>9108</v>
      </c>
      <c r="E1165" s="28">
        <v>46245</v>
      </c>
      <c r="F1165" t="s">
        <v>9109</v>
      </c>
      <c r="G1165" s="3" t="s">
        <v>9478</v>
      </c>
      <c r="H1165" t="s">
        <v>9479</v>
      </c>
      <c r="I1165" s="28">
        <v>46330</v>
      </c>
      <c r="J1165" t="s">
        <v>9118</v>
      </c>
      <c r="K1165" t="s">
        <v>32</v>
      </c>
    </row>
    <row r="1166" spans="1:11">
      <c r="A1166" s="3">
        <v>2529655</v>
      </c>
      <c r="B1166" t="s">
        <v>3714</v>
      </c>
      <c r="C1166" t="s">
        <v>8</v>
      </c>
      <c r="D1166" t="s">
        <v>9108</v>
      </c>
      <c r="E1166" s="28">
        <v>46245</v>
      </c>
      <c r="F1166" t="s">
        <v>9109</v>
      </c>
      <c r="G1166" s="3" t="s">
        <v>9478</v>
      </c>
      <c r="H1166" t="s">
        <v>9479</v>
      </c>
      <c r="I1166" s="28">
        <v>46330</v>
      </c>
      <c r="J1166" t="s">
        <v>9118</v>
      </c>
      <c r="K1166" t="s">
        <v>32</v>
      </c>
    </row>
    <row r="1167" spans="1:11">
      <c r="A1167" s="3">
        <v>2529656</v>
      </c>
      <c r="B1167" t="s">
        <v>3685</v>
      </c>
      <c r="C1167" t="s">
        <v>8</v>
      </c>
      <c r="D1167" t="s">
        <v>9108</v>
      </c>
      <c r="E1167" s="28">
        <v>46245</v>
      </c>
      <c r="F1167" t="s">
        <v>9109</v>
      </c>
      <c r="G1167" s="3" t="s">
        <v>9478</v>
      </c>
      <c r="H1167" t="s">
        <v>9479</v>
      </c>
      <c r="I1167" s="28">
        <v>46330</v>
      </c>
      <c r="J1167" t="s">
        <v>9118</v>
      </c>
      <c r="K1167" t="s">
        <v>32</v>
      </c>
    </row>
    <row r="1168" spans="1:11">
      <c r="A1168" s="3">
        <v>2529660</v>
      </c>
      <c r="B1168" t="s">
        <v>9480</v>
      </c>
      <c r="C1168" t="s">
        <v>8</v>
      </c>
      <c r="D1168" t="s">
        <v>9108</v>
      </c>
      <c r="E1168" s="28">
        <v>46245</v>
      </c>
      <c r="F1168" t="s">
        <v>9109</v>
      </c>
      <c r="G1168" s="3" t="s">
        <v>9478</v>
      </c>
      <c r="H1168" t="s">
        <v>9479</v>
      </c>
      <c r="I1168" s="28">
        <v>46330</v>
      </c>
      <c r="J1168" t="s">
        <v>9118</v>
      </c>
      <c r="K1168" t="s">
        <v>32</v>
      </c>
    </row>
    <row r="1169" spans="1:11">
      <c r="A1169" s="3">
        <v>2529669</v>
      </c>
      <c r="B1169" t="s">
        <v>8744</v>
      </c>
      <c r="C1169" t="s">
        <v>7</v>
      </c>
      <c r="D1169" t="s">
        <v>9108</v>
      </c>
      <c r="E1169" s="28">
        <v>46245</v>
      </c>
      <c r="F1169" t="s">
        <v>9109</v>
      </c>
      <c r="G1169" s="3" t="s">
        <v>9481</v>
      </c>
      <c r="H1169" t="s">
        <v>9134</v>
      </c>
      <c r="I1169" s="28">
        <v>46335</v>
      </c>
      <c r="J1169" t="s">
        <v>9118</v>
      </c>
      <c r="K1169" t="s">
        <v>32</v>
      </c>
    </row>
    <row r="1170" spans="1:11">
      <c r="A1170" s="3">
        <v>2529672</v>
      </c>
      <c r="B1170" t="s">
        <v>5712</v>
      </c>
      <c r="C1170" t="s">
        <v>8</v>
      </c>
      <c r="D1170" t="s">
        <v>9108</v>
      </c>
      <c r="E1170" s="28">
        <v>46245</v>
      </c>
      <c r="F1170" t="s">
        <v>9109</v>
      </c>
      <c r="G1170" s="3" t="s">
        <v>9478</v>
      </c>
      <c r="H1170" t="s">
        <v>9479</v>
      </c>
      <c r="I1170" s="28">
        <v>46330</v>
      </c>
      <c r="J1170" t="s">
        <v>9118</v>
      </c>
      <c r="K1170" t="s">
        <v>32</v>
      </c>
    </row>
    <row r="1171" spans="1:11">
      <c r="A1171" s="3">
        <v>2529675</v>
      </c>
      <c r="B1171" t="s">
        <v>4766</v>
      </c>
      <c r="C1171" t="s">
        <v>7</v>
      </c>
      <c r="D1171" t="s">
        <v>9108</v>
      </c>
      <c r="E1171" s="28">
        <v>46245</v>
      </c>
      <c r="F1171" t="s">
        <v>9109</v>
      </c>
      <c r="G1171" s="3" t="s">
        <v>9482</v>
      </c>
      <c r="H1171" t="s">
        <v>9226</v>
      </c>
      <c r="I1171" s="28">
        <v>46330</v>
      </c>
      <c r="J1171" t="s">
        <v>9118</v>
      </c>
      <c r="K1171" t="s">
        <v>32</v>
      </c>
    </row>
    <row r="1172" spans="1:11">
      <c r="A1172" s="3">
        <v>2529676</v>
      </c>
      <c r="B1172" t="s">
        <v>1040</v>
      </c>
      <c r="C1172" t="s">
        <v>8</v>
      </c>
      <c r="D1172" t="s">
        <v>9108</v>
      </c>
      <c r="E1172" s="28">
        <v>46245</v>
      </c>
      <c r="F1172" t="s">
        <v>9109</v>
      </c>
      <c r="G1172" s="3" t="s">
        <v>9481</v>
      </c>
      <c r="H1172" t="s">
        <v>9134</v>
      </c>
      <c r="I1172" s="28">
        <v>46335</v>
      </c>
      <c r="J1172" t="s">
        <v>9118</v>
      </c>
      <c r="K1172" t="s">
        <v>32</v>
      </c>
    </row>
    <row r="1173" spans="1:11">
      <c r="A1173" s="3">
        <v>2529681</v>
      </c>
      <c r="B1173" t="s">
        <v>7391</v>
      </c>
      <c r="C1173" t="s">
        <v>8</v>
      </c>
      <c r="D1173" t="s">
        <v>9108</v>
      </c>
      <c r="E1173" s="28">
        <v>46245</v>
      </c>
      <c r="F1173" t="s">
        <v>9109</v>
      </c>
      <c r="G1173" s="3" t="s">
        <v>9481</v>
      </c>
      <c r="H1173" t="s">
        <v>9134</v>
      </c>
      <c r="I1173" s="28">
        <v>46335</v>
      </c>
      <c r="J1173" t="s">
        <v>9118</v>
      </c>
      <c r="K1173" t="s">
        <v>32</v>
      </c>
    </row>
    <row r="1174" spans="1:11">
      <c r="A1174" s="3">
        <v>2529683</v>
      </c>
      <c r="B1174" t="s">
        <v>4161</v>
      </c>
      <c r="C1174" t="s">
        <v>7</v>
      </c>
      <c r="D1174" t="s">
        <v>9108</v>
      </c>
      <c r="E1174" s="28">
        <v>46245</v>
      </c>
      <c r="F1174" t="s">
        <v>9109</v>
      </c>
      <c r="G1174" s="3" t="s">
        <v>9481</v>
      </c>
      <c r="H1174" t="s">
        <v>9134</v>
      </c>
      <c r="I1174" s="28">
        <v>46335</v>
      </c>
      <c r="J1174" t="s">
        <v>9118</v>
      </c>
      <c r="K1174" t="s">
        <v>32</v>
      </c>
    </row>
    <row r="1175" spans="1:11">
      <c r="A1175" s="3">
        <v>2529694</v>
      </c>
      <c r="B1175" t="s">
        <v>4008</v>
      </c>
      <c r="C1175" t="s">
        <v>8</v>
      </c>
      <c r="D1175" t="s">
        <v>9108</v>
      </c>
      <c r="E1175" s="28">
        <v>46245</v>
      </c>
      <c r="F1175" t="s">
        <v>9109</v>
      </c>
      <c r="G1175" s="3" t="s">
        <v>9481</v>
      </c>
      <c r="H1175" t="s">
        <v>9134</v>
      </c>
      <c r="I1175" s="28">
        <v>46335</v>
      </c>
      <c r="J1175" t="s">
        <v>9118</v>
      </c>
      <c r="K1175" t="s">
        <v>32</v>
      </c>
    </row>
    <row r="1176" spans="1:11">
      <c r="A1176" s="3">
        <v>2529696</v>
      </c>
      <c r="B1176" t="s">
        <v>676</v>
      </c>
      <c r="C1176" t="s">
        <v>7</v>
      </c>
      <c r="D1176" t="s">
        <v>9108</v>
      </c>
      <c r="E1176" s="28">
        <v>46245</v>
      </c>
      <c r="F1176" t="s">
        <v>9109</v>
      </c>
      <c r="G1176" s="3" t="s">
        <v>9481</v>
      </c>
      <c r="H1176" t="s">
        <v>9134</v>
      </c>
      <c r="I1176" s="28">
        <v>46335</v>
      </c>
      <c r="J1176" t="s">
        <v>9118</v>
      </c>
      <c r="K1176" t="s">
        <v>32</v>
      </c>
    </row>
    <row r="1177" spans="1:11">
      <c r="A1177" s="3">
        <v>2529697</v>
      </c>
      <c r="B1177" t="s">
        <v>4641</v>
      </c>
      <c r="C1177" t="s">
        <v>8</v>
      </c>
      <c r="D1177" t="s">
        <v>9108</v>
      </c>
      <c r="E1177" s="28">
        <v>46245</v>
      </c>
      <c r="F1177" t="s">
        <v>9109</v>
      </c>
      <c r="G1177" s="3" t="s">
        <v>9483</v>
      </c>
      <c r="H1177" t="s">
        <v>412</v>
      </c>
      <c r="I1177" s="28">
        <v>46331</v>
      </c>
      <c r="J1177" t="s">
        <v>9118</v>
      </c>
      <c r="K1177" t="s">
        <v>32</v>
      </c>
    </row>
    <row r="1178" spans="1:11">
      <c r="A1178" s="3">
        <v>2529700</v>
      </c>
      <c r="B1178" t="s">
        <v>7506</v>
      </c>
      <c r="C1178" t="s">
        <v>7</v>
      </c>
      <c r="D1178" t="s">
        <v>9108</v>
      </c>
      <c r="E1178" s="28">
        <v>46245</v>
      </c>
      <c r="F1178" t="s">
        <v>9109</v>
      </c>
      <c r="G1178" s="3" t="s">
        <v>9481</v>
      </c>
      <c r="H1178" t="s">
        <v>9134</v>
      </c>
      <c r="I1178" s="28">
        <v>46335</v>
      </c>
      <c r="J1178" t="s">
        <v>9118</v>
      </c>
      <c r="K1178" t="s">
        <v>32</v>
      </c>
    </row>
    <row r="1179" spans="1:11">
      <c r="A1179" s="3">
        <v>2529701</v>
      </c>
      <c r="B1179" t="s">
        <v>9484</v>
      </c>
      <c r="C1179" t="s">
        <v>7</v>
      </c>
      <c r="D1179" t="s">
        <v>9108</v>
      </c>
      <c r="E1179" s="28">
        <v>46245</v>
      </c>
      <c r="F1179" t="s">
        <v>9109</v>
      </c>
      <c r="G1179" s="3" t="s">
        <v>9481</v>
      </c>
      <c r="H1179" t="s">
        <v>9134</v>
      </c>
      <c r="I1179" s="28">
        <v>46335</v>
      </c>
      <c r="J1179" t="s">
        <v>9118</v>
      </c>
      <c r="K1179" t="s">
        <v>32</v>
      </c>
    </row>
    <row r="1180" spans="1:11">
      <c r="A1180" s="3">
        <v>2529702</v>
      </c>
      <c r="B1180" t="s">
        <v>9485</v>
      </c>
      <c r="C1180" t="s">
        <v>8</v>
      </c>
      <c r="D1180" t="s">
        <v>9108</v>
      </c>
      <c r="E1180" s="28">
        <v>46245</v>
      </c>
      <c r="F1180" t="s">
        <v>9109</v>
      </c>
      <c r="G1180" s="3" t="s">
        <v>9482</v>
      </c>
      <c r="H1180" t="s">
        <v>9226</v>
      </c>
      <c r="I1180" s="28">
        <v>46330</v>
      </c>
      <c r="J1180" t="s">
        <v>9118</v>
      </c>
      <c r="K1180" t="s">
        <v>32</v>
      </c>
    </row>
    <row r="1181" spans="1:11">
      <c r="A1181" s="3">
        <v>2529708</v>
      </c>
      <c r="B1181" t="s">
        <v>9486</v>
      </c>
      <c r="C1181" t="s">
        <v>7</v>
      </c>
      <c r="D1181" t="s">
        <v>9108</v>
      </c>
      <c r="E1181" s="28">
        <v>46245</v>
      </c>
      <c r="F1181" t="s">
        <v>9109</v>
      </c>
      <c r="G1181" s="3" t="s">
        <v>9481</v>
      </c>
      <c r="H1181" t="s">
        <v>9134</v>
      </c>
      <c r="I1181" s="28">
        <v>46335</v>
      </c>
      <c r="J1181" t="s">
        <v>9118</v>
      </c>
      <c r="K1181" t="s">
        <v>32</v>
      </c>
    </row>
    <row r="1182" spans="1:11">
      <c r="A1182" s="3">
        <v>2529712</v>
      </c>
      <c r="B1182" t="s">
        <v>9487</v>
      </c>
      <c r="C1182" t="s">
        <v>8</v>
      </c>
      <c r="D1182" t="s">
        <v>9108</v>
      </c>
      <c r="E1182" s="28">
        <v>46245</v>
      </c>
      <c r="F1182" t="s">
        <v>9109</v>
      </c>
      <c r="G1182" s="3" t="s">
        <v>9481</v>
      </c>
      <c r="H1182" t="s">
        <v>9134</v>
      </c>
      <c r="I1182" s="28">
        <v>46335</v>
      </c>
      <c r="J1182" t="s">
        <v>9118</v>
      </c>
      <c r="K1182" t="s">
        <v>32</v>
      </c>
    </row>
    <row r="1183" spans="1:11">
      <c r="A1183" s="3">
        <v>2529715</v>
      </c>
      <c r="B1183" t="s">
        <v>6799</v>
      </c>
      <c r="C1183" t="s">
        <v>8</v>
      </c>
      <c r="D1183" t="s">
        <v>9108</v>
      </c>
      <c r="E1183" s="28">
        <v>46245</v>
      </c>
      <c r="F1183" t="s">
        <v>9109</v>
      </c>
      <c r="G1183" s="3" t="s">
        <v>9482</v>
      </c>
      <c r="H1183" t="s">
        <v>9226</v>
      </c>
      <c r="I1183" s="28">
        <v>46330</v>
      </c>
      <c r="J1183" t="s">
        <v>9118</v>
      </c>
      <c r="K1183" t="s">
        <v>32</v>
      </c>
    </row>
    <row r="1184" spans="1:11">
      <c r="A1184" s="3">
        <v>2529717</v>
      </c>
      <c r="B1184" t="s">
        <v>6999</v>
      </c>
      <c r="C1184" t="s">
        <v>7</v>
      </c>
      <c r="D1184" t="s">
        <v>9108</v>
      </c>
      <c r="E1184" s="28">
        <v>46245</v>
      </c>
      <c r="F1184" t="s">
        <v>9109</v>
      </c>
      <c r="G1184" s="3" t="s">
        <v>9483</v>
      </c>
      <c r="H1184" t="s">
        <v>412</v>
      </c>
      <c r="I1184" s="28">
        <v>46331</v>
      </c>
      <c r="J1184" t="s">
        <v>9118</v>
      </c>
      <c r="K1184" t="s">
        <v>32</v>
      </c>
    </row>
    <row r="1185" spans="1:11">
      <c r="A1185" s="3">
        <v>2529719</v>
      </c>
      <c r="B1185" t="s">
        <v>5613</v>
      </c>
      <c r="C1185" t="s">
        <v>8</v>
      </c>
      <c r="D1185" t="s">
        <v>9108</v>
      </c>
      <c r="E1185" s="28">
        <v>46245</v>
      </c>
      <c r="F1185" t="s">
        <v>9109</v>
      </c>
      <c r="G1185" s="3" t="s">
        <v>9481</v>
      </c>
      <c r="H1185" t="s">
        <v>9134</v>
      </c>
      <c r="I1185" s="28">
        <v>46335</v>
      </c>
      <c r="J1185" t="s">
        <v>9118</v>
      </c>
      <c r="K1185" t="s">
        <v>32</v>
      </c>
    </row>
    <row r="1186" spans="1:11">
      <c r="A1186" s="3">
        <v>2529720</v>
      </c>
      <c r="B1186" t="s">
        <v>1719</v>
      </c>
      <c r="C1186" t="s">
        <v>8</v>
      </c>
      <c r="D1186" t="s">
        <v>9108</v>
      </c>
      <c r="E1186" s="28">
        <v>46245</v>
      </c>
      <c r="F1186" t="s">
        <v>9109</v>
      </c>
      <c r="G1186" s="3" t="s">
        <v>9481</v>
      </c>
      <c r="H1186" t="s">
        <v>9134</v>
      </c>
      <c r="I1186" s="28">
        <v>46335</v>
      </c>
      <c r="J1186" t="s">
        <v>9118</v>
      </c>
      <c r="K1186" t="s">
        <v>32</v>
      </c>
    </row>
    <row r="1187" spans="1:11">
      <c r="A1187" s="3">
        <v>2529721</v>
      </c>
      <c r="B1187" t="s">
        <v>1702</v>
      </c>
      <c r="C1187" t="s">
        <v>8</v>
      </c>
      <c r="D1187" t="s">
        <v>9108</v>
      </c>
      <c r="E1187" s="28">
        <v>46245</v>
      </c>
      <c r="F1187" t="s">
        <v>9109</v>
      </c>
      <c r="G1187" s="3" t="s">
        <v>9481</v>
      </c>
      <c r="H1187" t="s">
        <v>9134</v>
      </c>
      <c r="I1187" s="28">
        <v>46335</v>
      </c>
      <c r="J1187" t="s">
        <v>9118</v>
      </c>
      <c r="K1187" t="s">
        <v>32</v>
      </c>
    </row>
    <row r="1188" spans="1:11">
      <c r="A1188" s="3">
        <v>2529722</v>
      </c>
      <c r="B1188" t="s">
        <v>4157</v>
      </c>
      <c r="C1188" t="s">
        <v>7</v>
      </c>
      <c r="D1188" t="s">
        <v>9108</v>
      </c>
      <c r="E1188" s="28">
        <v>46245</v>
      </c>
      <c r="F1188" t="s">
        <v>9109</v>
      </c>
      <c r="G1188" s="3" t="s">
        <v>9481</v>
      </c>
      <c r="H1188" t="s">
        <v>9134</v>
      </c>
      <c r="I1188" s="28">
        <v>46335</v>
      </c>
      <c r="J1188" t="s">
        <v>9118</v>
      </c>
      <c r="K1188" t="s">
        <v>32</v>
      </c>
    </row>
    <row r="1189" spans="1:11">
      <c r="A1189" s="3">
        <v>2529726</v>
      </c>
      <c r="B1189" t="s">
        <v>4948</v>
      </c>
      <c r="C1189" t="s">
        <v>7</v>
      </c>
      <c r="D1189" t="s">
        <v>9108</v>
      </c>
      <c r="E1189" s="28">
        <v>46245</v>
      </c>
      <c r="F1189" t="s">
        <v>9109</v>
      </c>
      <c r="G1189" s="3" t="s">
        <v>9481</v>
      </c>
      <c r="H1189" t="s">
        <v>9134</v>
      </c>
      <c r="I1189" s="28">
        <v>46335</v>
      </c>
      <c r="J1189" t="s">
        <v>9118</v>
      </c>
      <c r="K1189" t="s">
        <v>32</v>
      </c>
    </row>
    <row r="1190" spans="1:11">
      <c r="A1190" s="3">
        <v>2529736</v>
      </c>
      <c r="B1190" t="s">
        <v>4128</v>
      </c>
      <c r="C1190" t="s">
        <v>7</v>
      </c>
      <c r="D1190" t="s">
        <v>9108</v>
      </c>
      <c r="E1190" s="28">
        <v>46245</v>
      </c>
      <c r="F1190" t="s">
        <v>9109</v>
      </c>
      <c r="G1190" s="3" t="s">
        <v>9478</v>
      </c>
      <c r="H1190" t="s">
        <v>9479</v>
      </c>
      <c r="I1190" s="28">
        <v>46330</v>
      </c>
      <c r="J1190" t="s">
        <v>9118</v>
      </c>
      <c r="K1190" t="s">
        <v>32</v>
      </c>
    </row>
    <row r="1191" spans="1:11">
      <c r="A1191" s="3">
        <v>2529739</v>
      </c>
      <c r="B1191" t="s">
        <v>5055</v>
      </c>
      <c r="C1191" t="s">
        <v>7</v>
      </c>
      <c r="D1191" t="s">
        <v>9108</v>
      </c>
      <c r="E1191" s="28">
        <v>46245</v>
      </c>
      <c r="F1191" t="s">
        <v>9109</v>
      </c>
      <c r="G1191" s="3" t="s">
        <v>9481</v>
      </c>
      <c r="H1191" t="s">
        <v>9134</v>
      </c>
      <c r="I1191" s="28">
        <v>46335</v>
      </c>
      <c r="J1191" t="s">
        <v>9118</v>
      </c>
      <c r="K1191" t="s">
        <v>32</v>
      </c>
    </row>
    <row r="1192" spans="1:11">
      <c r="A1192" s="3">
        <v>2529740</v>
      </c>
      <c r="B1192" t="s">
        <v>6995</v>
      </c>
      <c r="C1192" t="s">
        <v>7</v>
      </c>
      <c r="D1192" t="s">
        <v>9108</v>
      </c>
      <c r="E1192" s="28">
        <v>46245</v>
      </c>
      <c r="F1192" t="s">
        <v>9109</v>
      </c>
      <c r="G1192" s="3" t="s">
        <v>9478</v>
      </c>
      <c r="H1192" t="s">
        <v>9479</v>
      </c>
      <c r="I1192" s="28">
        <v>46330</v>
      </c>
      <c r="J1192" t="s">
        <v>9118</v>
      </c>
      <c r="K1192" t="s">
        <v>32</v>
      </c>
    </row>
    <row r="1193" spans="1:11">
      <c r="A1193" s="3">
        <v>2529742</v>
      </c>
      <c r="B1193" t="s">
        <v>9488</v>
      </c>
      <c r="C1193" t="s">
        <v>7</v>
      </c>
      <c r="D1193" t="s">
        <v>9108</v>
      </c>
      <c r="E1193" s="28">
        <v>46245</v>
      </c>
      <c r="F1193" t="s">
        <v>9109</v>
      </c>
      <c r="G1193" s="3" t="s">
        <v>9478</v>
      </c>
      <c r="H1193" t="s">
        <v>9479</v>
      </c>
      <c r="I1193" s="28">
        <v>46330</v>
      </c>
      <c r="J1193" t="s">
        <v>9118</v>
      </c>
      <c r="K1193" t="s">
        <v>32</v>
      </c>
    </row>
    <row r="1194" spans="1:11">
      <c r="A1194" s="3">
        <v>2529743</v>
      </c>
      <c r="B1194" t="s">
        <v>6919</v>
      </c>
      <c r="C1194" t="s">
        <v>7</v>
      </c>
      <c r="D1194" t="s">
        <v>9108</v>
      </c>
      <c r="E1194" s="28">
        <v>46245</v>
      </c>
      <c r="F1194" t="s">
        <v>9109</v>
      </c>
      <c r="G1194" s="3" t="s">
        <v>9482</v>
      </c>
      <c r="H1194" t="s">
        <v>9226</v>
      </c>
      <c r="I1194" s="28">
        <v>46330</v>
      </c>
      <c r="J1194" t="s">
        <v>9118</v>
      </c>
      <c r="K1194" t="s">
        <v>32</v>
      </c>
    </row>
    <row r="1195" spans="1:11">
      <c r="A1195" s="3">
        <v>2529746</v>
      </c>
      <c r="B1195" t="s">
        <v>1841</v>
      </c>
      <c r="C1195" t="s">
        <v>8</v>
      </c>
      <c r="D1195" t="s">
        <v>9108</v>
      </c>
      <c r="E1195" s="28">
        <v>46245</v>
      </c>
      <c r="F1195" t="s">
        <v>9109</v>
      </c>
      <c r="G1195" s="3" t="s">
        <v>9481</v>
      </c>
      <c r="H1195" t="s">
        <v>9134</v>
      </c>
      <c r="I1195" s="28">
        <v>46335</v>
      </c>
      <c r="J1195" t="s">
        <v>9118</v>
      </c>
      <c r="K1195" t="s">
        <v>32</v>
      </c>
    </row>
    <row r="1196" spans="1:11">
      <c r="A1196" s="3">
        <v>2529748</v>
      </c>
      <c r="B1196" t="s">
        <v>7349</v>
      </c>
      <c r="C1196" t="s">
        <v>8</v>
      </c>
      <c r="D1196" t="s">
        <v>9108</v>
      </c>
      <c r="E1196" s="28">
        <v>46245</v>
      </c>
      <c r="F1196" t="s">
        <v>9109</v>
      </c>
      <c r="G1196" s="3" t="s">
        <v>9481</v>
      </c>
      <c r="H1196" t="s">
        <v>9134</v>
      </c>
      <c r="I1196" s="28">
        <v>46335</v>
      </c>
      <c r="J1196" t="s">
        <v>9118</v>
      </c>
      <c r="K1196" t="s">
        <v>32</v>
      </c>
    </row>
    <row r="1197" spans="1:11">
      <c r="A1197" s="3">
        <v>2529760</v>
      </c>
      <c r="B1197" t="s">
        <v>8724</v>
      </c>
      <c r="C1197" t="s">
        <v>8</v>
      </c>
      <c r="D1197" t="s">
        <v>9108</v>
      </c>
      <c r="E1197" s="28">
        <v>46245</v>
      </c>
      <c r="F1197" t="s">
        <v>9109</v>
      </c>
      <c r="G1197" s="3" t="s">
        <v>9442</v>
      </c>
      <c r="H1197" t="s">
        <v>424</v>
      </c>
      <c r="I1197" s="28">
        <v>46364</v>
      </c>
      <c r="J1197" t="s">
        <v>9118</v>
      </c>
      <c r="K1197" t="s">
        <v>33</v>
      </c>
    </row>
    <row r="1198" spans="1:11">
      <c r="A1198" s="3">
        <v>2529764</v>
      </c>
      <c r="B1198" t="s">
        <v>9489</v>
      </c>
      <c r="C1198" t="s">
        <v>7</v>
      </c>
      <c r="D1198" t="s">
        <v>9108</v>
      </c>
      <c r="E1198" s="28">
        <v>46245</v>
      </c>
      <c r="F1198" t="s">
        <v>9109</v>
      </c>
      <c r="G1198" s="3" t="s">
        <v>9442</v>
      </c>
      <c r="H1198" t="s">
        <v>424</v>
      </c>
      <c r="I1198" s="28">
        <v>46364</v>
      </c>
      <c r="J1198" t="s">
        <v>9118</v>
      </c>
      <c r="K1198" t="s">
        <v>33</v>
      </c>
    </row>
    <row r="1199" spans="1:11">
      <c r="A1199" s="3">
        <v>2529769</v>
      </c>
      <c r="B1199" t="s">
        <v>973</v>
      </c>
      <c r="C1199" t="s">
        <v>8</v>
      </c>
      <c r="D1199" t="s">
        <v>9108</v>
      </c>
      <c r="E1199" s="28">
        <v>46245</v>
      </c>
      <c r="F1199" t="s">
        <v>9109</v>
      </c>
      <c r="G1199" s="3" t="s">
        <v>9446</v>
      </c>
      <c r="H1199" t="s">
        <v>191</v>
      </c>
      <c r="I1199" s="28">
        <v>46364</v>
      </c>
      <c r="J1199" t="s">
        <v>9118</v>
      </c>
      <c r="K1199" t="s">
        <v>33</v>
      </c>
    </row>
    <row r="1200" spans="1:11">
      <c r="A1200" s="3">
        <v>2529771</v>
      </c>
      <c r="B1200" t="s">
        <v>5278</v>
      </c>
      <c r="C1200" t="s">
        <v>8</v>
      </c>
      <c r="D1200" t="s">
        <v>9108</v>
      </c>
      <c r="E1200" s="28">
        <v>46245</v>
      </c>
      <c r="F1200" t="s">
        <v>9109</v>
      </c>
      <c r="G1200" s="3" t="s">
        <v>9444</v>
      </c>
      <c r="H1200" t="s">
        <v>719</v>
      </c>
      <c r="I1200" s="28">
        <v>46359</v>
      </c>
      <c r="J1200" t="s">
        <v>9118</v>
      </c>
      <c r="K1200" t="s">
        <v>33</v>
      </c>
    </row>
    <row r="1201" spans="1:11">
      <c r="A1201" s="3">
        <v>2529772</v>
      </c>
      <c r="B1201" t="s">
        <v>2099</v>
      </c>
      <c r="C1201" t="s">
        <v>7</v>
      </c>
      <c r="D1201" t="s">
        <v>9108</v>
      </c>
      <c r="E1201" s="28">
        <v>46245</v>
      </c>
      <c r="F1201" t="s">
        <v>9109</v>
      </c>
      <c r="G1201" s="3" t="s">
        <v>9442</v>
      </c>
      <c r="H1201" t="s">
        <v>424</v>
      </c>
      <c r="I1201" s="28">
        <v>46364</v>
      </c>
      <c r="J1201" t="s">
        <v>9118</v>
      </c>
      <c r="K1201" t="s">
        <v>33</v>
      </c>
    </row>
    <row r="1202" spans="1:11">
      <c r="A1202" s="3">
        <v>2529777</v>
      </c>
      <c r="B1202" t="s">
        <v>1161</v>
      </c>
      <c r="C1202" t="s">
        <v>8</v>
      </c>
      <c r="D1202" t="s">
        <v>9108</v>
      </c>
      <c r="E1202" s="28">
        <v>46245</v>
      </c>
      <c r="F1202" t="s">
        <v>9109</v>
      </c>
      <c r="G1202" s="3" t="s">
        <v>9446</v>
      </c>
      <c r="H1202" t="s">
        <v>191</v>
      </c>
      <c r="I1202" s="28">
        <v>46364</v>
      </c>
      <c r="J1202" t="s">
        <v>9118</v>
      </c>
      <c r="K1202" t="s">
        <v>33</v>
      </c>
    </row>
    <row r="1203" spans="1:11">
      <c r="A1203" s="3">
        <v>2529778</v>
      </c>
      <c r="B1203" t="s">
        <v>8382</v>
      </c>
      <c r="C1203" t="s">
        <v>8</v>
      </c>
      <c r="D1203" t="s">
        <v>9108</v>
      </c>
      <c r="E1203" s="28">
        <v>46245</v>
      </c>
      <c r="F1203" t="s">
        <v>9109</v>
      </c>
      <c r="G1203" s="3" t="s">
        <v>9447</v>
      </c>
      <c r="H1203" t="s">
        <v>4040</v>
      </c>
      <c r="I1203" s="28">
        <v>46359</v>
      </c>
      <c r="J1203" t="s">
        <v>9118</v>
      </c>
      <c r="K1203" t="s">
        <v>33</v>
      </c>
    </row>
    <row r="1204" spans="1:11">
      <c r="A1204" s="3">
        <v>2529779</v>
      </c>
      <c r="B1204" t="s">
        <v>2804</v>
      </c>
      <c r="C1204" t="s">
        <v>7</v>
      </c>
      <c r="D1204" t="s">
        <v>9108</v>
      </c>
      <c r="E1204" s="28">
        <v>46245</v>
      </c>
      <c r="F1204" t="s">
        <v>9109</v>
      </c>
      <c r="G1204" s="3" t="s">
        <v>9448</v>
      </c>
      <c r="H1204" t="s">
        <v>306</v>
      </c>
      <c r="I1204" s="28">
        <v>46359</v>
      </c>
      <c r="J1204" t="s">
        <v>9118</v>
      </c>
      <c r="K1204" t="s">
        <v>33</v>
      </c>
    </row>
    <row r="1205" spans="1:11">
      <c r="A1205" s="3">
        <v>2529780</v>
      </c>
      <c r="B1205" t="s">
        <v>1189</v>
      </c>
      <c r="C1205" t="s">
        <v>8</v>
      </c>
      <c r="D1205" t="s">
        <v>9108</v>
      </c>
      <c r="E1205" s="28">
        <v>46245</v>
      </c>
      <c r="F1205" t="s">
        <v>9109</v>
      </c>
      <c r="G1205" s="3" t="s">
        <v>9446</v>
      </c>
      <c r="H1205" t="s">
        <v>191</v>
      </c>
      <c r="I1205" s="28">
        <v>46364</v>
      </c>
      <c r="J1205" t="s">
        <v>9118</v>
      </c>
      <c r="K1205" t="s">
        <v>33</v>
      </c>
    </row>
    <row r="1206" spans="1:11">
      <c r="A1206" s="3">
        <v>2529781</v>
      </c>
      <c r="B1206" t="s">
        <v>2191</v>
      </c>
      <c r="C1206" t="s">
        <v>7</v>
      </c>
      <c r="D1206" t="s">
        <v>9108</v>
      </c>
      <c r="E1206" s="28">
        <v>46245</v>
      </c>
      <c r="F1206" t="s">
        <v>9109</v>
      </c>
      <c r="G1206" s="3" t="s">
        <v>9445</v>
      </c>
      <c r="H1206" t="s">
        <v>9134</v>
      </c>
      <c r="I1206" s="28">
        <v>46359</v>
      </c>
      <c r="J1206" t="s">
        <v>9118</v>
      </c>
      <c r="K1206" t="s">
        <v>33</v>
      </c>
    </row>
    <row r="1207" spans="1:11">
      <c r="A1207" s="3">
        <v>2529782</v>
      </c>
      <c r="B1207" t="s">
        <v>2446</v>
      </c>
      <c r="C1207" t="s">
        <v>7</v>
      </c>
      <c r="D1207" t="s">
        <v>9108</v>
      </c>
      <c r="E1207" s="28">
        <v>46245</v>
      </c>
      <c r="F1207" t="s">
        <v>9109</v>
      </c>
      <c r="G1207" s="3" t="s">
        <v>9442</v>
      </c>
      <c r="H1207" t="s">
        <v>424</v>
      </c>
      <c r="I1207" s="28">
        <v>46364</v>
      </c>
      <c r="J1207" t="s">
        <v>9118</v>
      </c>
      <c r="K1207" t="s">
        <v>33</v>
      </c>
    </row>
    <row r="1208" spans="1:11">
      <c r="A1208" s="3">
        <v>2529783</v>
      </c>
      <c r="B1208" t="s">
        <v>1166</v>
      </c>
      <c r="C1208" t="s">
        <v>8</v>
      </c>
      <c r="D1208" t="s">
        <v>9108</v>
      </c>
      <c r="E1208" s="28">
        <v>46245</v>
      </c>
      <c r="F1208" t="s">
        <v>9109</v>
      </c>
      <c r="G1208" s="3" t="s">
        <v>9446</v>
      </c>
      <c r="H1208" t="s">
        <v>191</v>
      </c>
      <c r="I1208" s="28">
        <v>46364</v>
      </c>
      <c r="J1208" t="s">
        <v>9118</v>
      </c>
      <c r="K1208" t="s">
        <v>33</v>
      </c>
    </row>
    <row r="1209" spans="1:11">
      <c r="A1209" s="3">
        <v>2529784</v>
      </c>
      <c r="B1209" t="s">
        <v>9490</v>
      </c>
      <c r="C1209" t="s">
        <v>7</v>
      </c>
      <c r="D1209" t="s">
        <v>9108</v>
      </c>
      <c r="E1209" s="28">
        <v>46245</v>
      </c>
      <c r="F1209" t="s">
        <v>9109</v>
      </c>
      <c r="G1209" s="3" t="s">
        <v>9442</v>
      </c>
      <c r="H1209" t="s">
        <v>424</v>
      </c>
      <c r="I1209" s="28">
        <v>46364</v>
      </c>
      <c r="J1209" t="s">
        <v>9118</v>
      </c>
      <c r="K1209" t="s">
        <v>33</v>
      </c>
    </row>
    <row r="1210" spans="1:11">
      <c r="A1210" s="3">
        <v>2529785</v>
      </c>
      <c r="B1210" t="s">
        <v>5273</v>
      </c>
      <c r="C1210" t="s">
        <v>8</v>
      </c>
      <c r="D1210" t="s">
        <v>9108</v>
      </c>
      <c r="E1210" s="28">
        <v>46245</v>
      </c>
      <c r="F1210" t="s">
        <v>9109</v>
      </c>
      <c r="G1210" s="3" t="s">
        <v>9448</v>
      </c>
      <c r="H1210" t="s">
        <v>306</v>
      </c>
      <c r="I1210" s="28">
        <v>46359</v>
      </c>
      <c r="J1210" t="s">
        <v>9118</v>
      </c>
      <c r="K1210" t="s">
        <v>33</v>
      </c>
    </row>
    <row r="1211" spans="1:11">
      <c r="A1211" s="3">
        <v>2529786</v>
      </c>
      <c r="B1211" t="s">
        <v>9491</v>
      </c>
      <c r="C1211" t="s">
        <v>7</v>
      </c>
      <c r="D1211" t="s">
        <v>9108</v>
      </c>
      <c r="E1211" s="28">
        <v>46245</v>
      </c>
      <c r="F1211" t="s">
        <v>9109</v>
      </c>
      <c r="G1211" s="3" t="s">
        <v>9446</v>
      </c>
      <c r="H1211" t="s">
        <v>191</v>
      </c>
      <c r="I1211" s="28">
        <v>46364</v>
      </c>
      <c r="J1211" t="s">
        <v>9118</v>
      </c>
      <c r="K1211" t="s">
        <v>33</v>
      </c>
    </row>
    <row r="1212" spans="1:11">
      <c r="A1212" s="3">
        <v>2529787</v>
      </c>
      <c r="B1212" t="s">
        <v>7605</v>
      </c>
      <c r="C1212" t="s">
        <v>7</v>
      </c>
      <c r="D1212" t="s">
        <v>9108</v>
      </c>
      <c r="E1212" s="28">
        <v>46245</v>
      </c>
      <c r="F1212" t="s">
        <v>9109</v>
      </c>
      <c r="G1212" s="3" t="s">
        <v>9447</v>
      </c>
      <c r="H1212" t="s">
        <v>4040</v>
      </c>
      <c r="I1212" s="28">
        <v>46359</v>
      </c>
      <c r="J1212" t="s">
        <v>9118</v>
      </c>
      <c r="K1212" t="s">
        <v>33</v>
      </c>
    </row>
    <row r="1213" spans="1:11">
      <c r="A1213" s="3">
        <v>2529788</v>
      </c>
      <c r="B1213" t="s">
        <v>9492</v>
      </c>
      <c r="C1213" t="s">
        <v>8</v>
      </c>
      <c r="D1213" t="s">
        <v>9108</v>
      </c>
      <c r="E1213" s="28">
        <v>46245</v>
      </c>
      <c r="F1213" t="s">
        <v>9109</v>
      </c>
      <c r="G1213" s="3" t="s">
        <v>9445</v>
      </c>
      <c r="H1213" t="s">
        <v>9134</v>
      </c>
      <c r="I1213" s="28">
        <v>46359</v>
      </c>
      <c r="J1213" t="s">
        <v>9118</v>
      </c>
      <c r="K1213" t="s">
        <v>33</v>
      </c>
    </row>
    <row r="1214" spans="1:11">
      <c r="A1214" s="3">
        <v>2529789</v>
      </c>
      <c r="B1214" t="s">
        <v>7447</v>
      </c>
      <c r="C1214" t="s">
        <v>7</v>
      </c>
      <c r="D1214" t="s">
        <v>9108</v>
      </c>
      <c r="E1214" s="28">
        <v>46245</v>
      </c>
      <c r="F1214" t="s">
        <v>9109</v>
      </c>
      <c r="G1214" s="3" t="s">
        <v>9448</v>
      </c>
      <c r="H1214" t="s">
        <v>306</v>
      </c>
      <c r="I1214" s="28">
        <v>46359</v>
      </c>
      <c r="J1214" t="s">
        <v>9118</v>
      </c>
      <c r="K1214" t="s">
        <v>33</v>
      </c>
    </row>
    <row r="1215" spans="1:11">
      <c r="A1215" s="3">
        <v>2529790</v>
      </c>
      <c r="B1215" t="s">
        <v>825</v>
      </c>
      <c r="C1215" t="s">
        <v>7</v>
      </c>
      <c r="D1215" t="s">
        <v>9108</v>
      </c>
      <c r="E1215" s="28">
        <v>46245</v>
      </c>
      <c r="F1215" t="s">
        <v>9109</v>
      </c>
      <c r="G1215" s="3" t="s">
        <v>9442</v>
      </c>
      <c r="H1215" t="s">
        <v>424</v>
      </c>
      <c r="I1215" s="28">
        <v>46364</v>
      </c>
      <c r="J1215" t="s">
        <v>9118</v>
      </c>
      <c r="K1215" t="s">
        <v>33</v>
      </c>
    </row>
    <row r="1216" spans="1:11">
      <c r="A1216" s="3">
        <v>2529791</v>
      </c>
      <c r="B1216" t="s">
        <v>632</v>
      </c>
      <c r="C1216" t="s">
        <v>8</v>
      </c>
      <c r="D1216" t="s">
        <v>9108</v>
      </c>
      <c r="E1216" s="28">
        <v>46245</v>
      </c>
      <c r="F1216" t="s">
        <v>9109</v>
      </c>
      <c r="G1216" s="3" t="s">
        <v>9442</v>
      </c>
      <c r="H1216" t="s">
        <v>424</v>
      </c>
      <c r="I1216" s="28">
        <v>46364</v>
      </c>
      <c r="J1216" t="s">
        <v>9118</v>
      </c>
      <c r="K1216" t="s">
        <v>33</v>
      </c>
    </row>
    <row r="1217" spans="1:11">
      <c r="A1217" s="3">
        <v>2529792</v>
      </c>
      <c r="B1217" t="s">
        <v>1641</v>
      </c>
      <c r="C1217" t="s">
        <v>7</v>
      </c>
      <c r="D1217" t="s">
        <v>9108</v>
      </c>
      <c r="E1217" s="28">
        <v>46245</v>
      </c>
      <c r="F1217" t="s">
        <v>9109</v>
      </c>
      <c r="G1217" s="3" t="s">
        <v>9446</v>
      </c>
      <c r="H1217" t="s">
        <v>191</v>
      </c>
      <c r="I1217" s="28">
        <v>46364</v>
      </c>
      <c r="J1217" t="s">
        <v>9118</v>
      </c>
      <c r="K1217" t="s">
        <v>33</v>
      </c>
    </row>
    <row r="1218" spans="1:11">
      <c r="A1218" s="3">
        <v>2529793</v>
      </c>
      <c r="B1218" t="s">
        <v>9493</v>
      </c>
      <c r="C1218" t="s">
        <v>7</v>
      </c>
      <c r="D1218" t="s">
        <v>9108</v>
      </c>
      <c r="E1218" s="28">
        <v>46245</v>
      </c>
      <c r="F1218" t="s">
        <v>9109</v>
      </c>
      <c r="G1218" s="3" t="s">
        <v>9448</v>
      </c>
      <c r="H1218" t="s">
        <v>306</v>
      </c>
      <c r="I1218" s="28">
        <v>46359</v>
      </c>
      <c r="J1218" t="s">
        <v>9118</v>
      </c>
      <c r="K1218" t="s">
        <v>33</v>
      </c>
    </row>
    <row r="1219" spans="1:11">
      <c r="A1219" s="3">
        <v>2529794</v>
      </c>
      <c r="B1219" t="s">
        <v>9494</v>
      </c>
      <c r="C1219" t="s">
        <v>8</v>
      </c>
      <c r="D1219" t="s">
        <v>9108</v>
      </c>
      <c r="E1219" s="28">
        <v>46245</v>
      </c>
      <c r="F1219" t="s">
        <v>9109</v>
      </c>
      <c r="G1219" s="3" t="s">
        <v>9447</v>
      </c>
      <c r="H1219" t="s">
        <v>4040</v>
      </c>
      <c r="I1219" s="28">
        <v>46359</v>
      </c>
      <c r="J1219" t="s">
        <v>9118</v>
      </c>
      <c r="K1219" t="s">
        <v>33</v>
      </c>
    </row>
    <row r="1220" spans="1:11">
      <c r="A1220" s="3">
        <v>2529798</v>
      </c>
      <c r="B1220" t="s">
        <v>910</v>
      </c>
      <c r="C1220" t="s">
        <v>7</v>
      </c>
      <c r="D1220" t="s">
        <v>9108</v>
      </c>
      <c r="E1220" s="28">
        <v>46245</v>
      </c>
      <c r="F1220" t="s">
        <v>9109</v>
      </c>
      <c r="G1220" s="3" t="s">
        <v>9481</v>
      </c>
      <c r="H1220" t="s">
        <v>9134</v>
      </c>
      <c r="I1220" s="28">
        <v>46335</v>
      </c>
      <c r="J1220" t="s">
        <v>9118</v>
      </c>
      <c r="K1220" t="s">
        <v>32</v>
      </c>
    </row>
    <row r="1221" spans="1:11">
      <c r="A1221" s="3">
        <v>2529799</v>
      </c>
      <c r="B1221" t="s">
        <v>575</v>
      </c>
      <c r="C1221" t="s">
        <v>8</v>
      </c>
      <c r="D1221" t="s">
        <v>9108</v>
      </c>
      <c r="E1221" s="28">
        <v>46245</v>
      </c>
      <c r="F1221" t="s">
        <v>9109</v>
      </c>
      <c r="G1221" s="3" t="s">
        <v>9482</v>
      </c>
      <c r="H1221" t="s">
        <v>9226</v>
      </c>
      <c r="I1221" s="28">
        <v>46330</v>
      </c>
      <c r="J1221" t="s">
        <v>9118</v>
      </c>
      <c r="K1221" t="s">
        <v>32</v>
      </c>
    </row>
    <row r="1222" spans="1:11">
      <c r="A1222" s="3">
        <v>2529801</v>
      </c>
      <c r="B1222" t="s">
        <v>4626</v>
      </c>
      <c r="C1222" t="s">
        <v>8</v>
      </c>
      <c r="D1222" t="s">
        <v>9108</v>
      </c>
      <c r="E1222" s="28">
        <v>46245</v>
      </c>
      <c r="F1222" t="s">
        <v>9109</v>
      </c>
      <c r="G1222" s="3" t="s">
        <v>9478</v>
      </c>
      <c r="H1222" t="s">
        <v>9479</v>
      </c>
      <c r="I1222" s="28">
        <v>46330</v>
      </c>
      <c r="J1222" t="s">
        <v>9118</v>
      </c>
      <c r="K1222" t="s">
        <v>32</v>
      </c>
    </row>
    <row r="1223" spans="1:11">
      <c r="A1223" s="3">
        <v>2529802</v>
      </c>
      <c r="B1223" t="s">
        <v>9495</v>
      </c>
      <c r="C1223" t="s">
        <v>8</v>
      </c>
      <c r="D1223" t="s">
        <v>9108</v>
      </c>
      <c r="E1223" s="28">
        <v>46245</v>
      </c>
      <c r="F1223" t="s">
        <v>9109</v>
      </c>
      <c r="G1223" s="3" t="s">
        <v>9481</v>
      </c>
      <c r="H1223" t="s">
        <v>9134</v>
      </c>
      <c r="I1223" s="28">
        <v>46335</v>
      </c>
      <c r="J1223" t="s">
        <v>9118</v>
      </c>
      <c r="K1223" t="s">
        <v>32</v>
      </c>
    </row>
    <row r="1224" spans="1:11">
      <c r="A1224" s="3">
        <v>2529803</v>
      </c>
      <c r="B1224" t="s">
        <v>4574</v>
      </c>
      <c r="C1224" t="s">
        <v>8</v>
      </c>
      <c r="D1224" t="s">
        <v>9108</v>
      </c>
      <c r="E1224" s="28">
        <v>46245</v>
      </c>
      <c r="F1224" t="s">
        <v>9109</v>
      </c>
      <c r="G1224" s="3" t="s">
        <v>9478</v>
      </c>
      <c r="H1224" t="s">
        <v>9479</v>
      </c>
      <c r="I1224" s="28">
        <v>46330</v>
      </c>
      <c r="J1224" t="s">
        <v>9118</v>
      </c>
      <c r="K1224" t="s">
        <v>32</v>
      </c>
    </row>
    <row r="1225" spans="1:11">
      <c r="A1225" s="3">
        <v>2529808</v>
      </c>
      <c r="B1225" t="s">
        <v>7049</v>
      </c>
      <c r="C1225" t="s">
        <v>7</v>
      </c>
      <c r="D1225" t="s">
        <v>9108</v>
      </c>
      <c r="E1225" s="28">
        <v>46245</v>
      </c>
      <c r="F1225" t="s">
        <v>9109</v>
      </c>
      <c r="G1225" s="3" t="s">
        <v>9481</v>
      </c>
      <c r="H1225" t="s">
        <v>9134</v>
      </c>
      <c r="I1225" s="28">
        <v>46335</v>
      </c>
      <c r="J1225" t="s">
        <v>9118</v>
      </c>
      <c r="K1225" t="s">
        <v>32</v>
      </c>
    </row>
    <row r="1226" spans="1:11">
      <c r="A1226" s="3">
        <v>2530134</v>
      </c>
      <c r="B1226" t="s">
        <v>8867</v>
      </c>
      <c r="C1226" t="s">
        <v>8</v>
      </c>
      <c r="D1226" t="s">
        <v>9108</v>
      </c>
      <c r="E1226" s="28">
        <v>46247</v>
      </c>
      <c r="F1226" t="s">
        <v>9109</v>
      </c>
      <c r="G1226" s="3" t="s">
        <v>9483</v>
      </c>
      <c r="H1226" t="s">
        <v>412</v>
      </c>
      <c r="I1226" s="28">
        <v>46331</v>
      </c>
      <c r="J1226" t="s">
        <v>9118</v>
      </c>
      <c r="K1226" t="s">
        <v>32</v>
      </c>
    </row>
    <row r="1227" spans="1:11">
      <c r="A1227" s="3">
        <v>2530135</v>
      </c>
      <c r="B1227" t="s">
        <v>5104</v>
      </c>
      <c r="C1227" t="s">
        <v>8</v>
      </c>
      <c r="D1227" t="s">
        <v>9108</v>
      </c>
      <c r="E1227" s="28">
        <v>46247</v>
      </c>
      <c r="F1227" t="s">
        <v>9109</v>
      </c>
      <c r="G1227" s="3" t="s">
        <v>9483</v>
      </c>
      <c r="H1227" t="s">
        <v>412</v>
      </c>
      <c r="I1227" s="28">
        <v>46331</v>
      </c>
      <c r="J1227" t="s">
        <v>9118</v>
      </c>
      <c r="K1227" t="s">
        <v>32</v>
      </c>
    </row>
    <row r="1228" spans="1:11">
      <c r="A1228" s="3">
        <v>2530136</v>
      </c>
      <c r="B1228" t="s">
        <v>8159</v>
      </c>
      <c r="C1228" t="s">
        <v>8</v>
      </c>
      <c r="D1228" t="s">
        <v>9108</v>
      </c>
      <c r="E1228" s="28">
        <v>46247</v>
      </c>
      <c r="F1228" t="s">
        <v>9109</v>
      </c>
      <c r="G1228" s="3" t="s">
        <v>9483</v>
      </c>
      <c r="H1228" t="s">
        <v>412</v>
      </c>
      <c r="I1228" s="28">
        <v>46331</v>
      </c>
      <c r="J1228" t="s">
        <v>9118</v>
      </c>
      <c r="K1228" t="s">
        <v>32</v>
      </c>
    </row>
    <row r="1229" spans="1:11">
      <c r="A1229" s="3">
        <v>2530137</v>
      </c>
      <c r="B1229" t="s">
        <v>2831</v>
      </c>
      <c r="C1229" t="s">
        <v>8</v>
      </c>
      <c r="D1229" t="s">
        <v>9108</v>
      </c>
      <c r="E1229" s="28">
        <v>46247</v>
      </c>
      <c r="F1229" t="s">
        <v>9109</v>
      </c>
      <c r="G1229" s="3" t="s">
        <v>9483</v>
      </c>
      <c r="H1229" t="s">
        <v>412</v>
      </c>
      <c r="I1229" s="28">
        <v>46331</v>
      </c>
      <c r="J1229" t="s">
        <v>9118</v>
      </c>
      <c r="K1229" t="s">
        <v>32</v>
      </c>
    </row>
    <row r="1230" spans="1:11">
      <c r="A1230" s="3">
        <v>2530138</v>
      </c>
      <c r="B1230" t="s">
        <v>9045</v>
      </c>
      <c r="C1230" t="s">
        <v>8</v>
      </c>
      <c r="D1230" t="s">
        <v>9108</v>
      </c>
      <c r="E1230" s="28">
        <v>46247</v>
      </c>
      <c r="F1230" t="s">
        <v>9109</v>
      </c>
      <c r="G1230" s="3" t="s">
        <v>9483</v>
      </c>
      <c r="H1230" t="s">
        <v>412</v>
      </c>
      <c r="I1230" s="28">
        <v>46331</v>
      </c>
      <c r="J1230" t="s">
        <v>9118</v>
      </c>
      <c r="K1230" t="s">
        <v>32</v>
      </c>
    </row>
    <row r="1231" spans="1:11">
      <c r="A1231" s="3">
        <v>2530144</v>
      </c>
      <c r="B1231" t="s">
        <v>2585</v>
      </c>
      <c r="C1231" t="s">
        <v>7</v>
      </c>
      <c r="D1231" t="s">
        <v>9108</v>
      </c>
      <c r="E1231" s="28">
        <v>46247</v>
      </c>
      <c r="F1231" t="s">
        <v>9109</v>
      </c>
      <c r="G1231" s="3" t="s">
        <v>9496</v>
      </c>
      <c r="H1231" t="s">
        <v>9497</v>
      </c>
      <c r="I1231" s="28">
        <v>46314</v>
      </c>
      <c r="J1231" t="s">
        <v>9118</v>
      </c>
      <c r="K1231" t="s">
        <v>31</v>
      </c>
    </row>
    <row r="1232" spans="1:11">
      <c r="A1232" s="3">
        <v>2530145</v>
      </c>
      <c r="B1232" t="s">
        <v>2655</v>
      </c>
      <c r="C1232" t="s">
        <v>7</v>
      </c>
      <c r="D1232" t="s">
        <v>9108</v>
      </c>
      <c r="E1232" s="28">
        <v>46247</v>
      </c>
      <c r="F1232" t="s">
        <v>9109</v>
      </c>
      <c r="G1232" s="3" t="s">
        <v>9483</v>
      </c>
      <c r="H1232" t="s">
        <v>412</v>
      </c>
      <c r="I1232" s="28">
        <v>46331</v>
      </c>
      <c r="J1232" t="s">
        <v>9118</v>
      </c>
      <c r="K1232" t="s">
        <v>32</v>
      </c>
    </row>
    <row r="1233" spans="1:11">
      <c r="A1233" s="3">
        <v>2530158</v>
      </c>
      <c r="B1233" t="s">
        <v>6676</v>
      </c>
      <c r="C1233" t="s">
        <v>7</v>
      </c>
      <c r="D1233" t="s">
        <v>9108</v>
      </c>
      <c r="E1233" s="28">
        <v>46247</v>
      </c>
      <c r="F1233" t="s">
        <v>9109</v>
      </c>
      <c r="G1233" s="3" t="s">
        <v>9496</v>
      </c>
      <c r="H1233" t="s">
        <v>9497</v>
      </c>
      <c r="I1233" s="28">
        <v>46314</v>
      </c>
      <c r="J1233" t="s">
        <v>9118</v>
      </c>
      <c r="K1233" t="s">
        <v>31</v>
      </c>
    </row>
    <row r="1234" spans="1:11">
      <c r="A1234" s="3">
        <v>2530169</v>
      </c>
      <c r="B1234" t="s">
        <v>6671</v>
      </c>
      <c r="C1234" t="s">
        <v>7</v>
      </c>
      <c r="D1234" t="s">
        <v>9108</v>
      </c>
      <c r="E1234" s="28">
        <v>46247</v>
      </c>
      <c r="F1234" t="s">
        <v>9109</v>
      </c>
      <c r="G1234" s="3" t="s">
        <v>9496</v>
      </c>
      <c r="H1234" t="s">
        <v>9497</v>
      </c>
      <c r="I1234" s="28">
        <v>46314</v>
      </c>
      <c r="J1234" t="s">
        <v>9118</v>
      </c>
      <c r="K1234" t="s">
        <v>31</v>
      </c>
    </row>
    <row r="1235" spans="1:11">
      <c r="A1235" s="3">
        <v>2530175</v>
      </c>
      <c r="B1235" t="s">
        <v>1532</v>
      </c>
      <c r="C1235" t="s">
        <v>8</v>
      </c>
      <c r="D1235" t="s">
        <v>9108</v>
      </c>
      <c r="E1235" s="28">
        <v>46247</v>
      </c>
      <c r="F1235" t="s">
        <v>9109</v>
      </c>
      <c r="G1235" s="3" t="s">
        <v>9498</v>
      </c>
      <c r="H1235" t="s">
        <v>9425</v>
      </c>
      <c r="I1235" s="28">
        <v>46357</v>
      </c>
      <c r="J1235" t="s">
        <v>9118</v>
      </c>
      <c r="K1235" t="s">
        <v>33</v>
      </c>
    </row>
    <row r="1236" spans="1:11">
      <c r="A1236" s="3">
        <v>2530176</v>
      </c>
      <c r="B1236" t="s">
        <v>2814</v>
      </c>
      <c r="C1236" t="s">
        <v>8</v>
      </c>
      <c r="D1236" t="s">
        <v>9108</v>
      </c>
      <c r="E1236" s="28">
        <v>46247</v>
      </c>
      <c r="F1236" t="s">
        <v>9109</v>
      </c>
      <c r="G1236" s="3" t="s">
        <v>9499</v>
      </c>
      <c r="H1236" t="s">
        <v>412</v>
      </c>
      <c r="I1236" s="28">
        <v>46363</v>
      </c>
      <c r="J1236" t="s">
        <v>9118</v>
      </c>
      <c r="K1236" t="s">
        <v>33</v>
      </c>
    </row>
    <row r="1237" spans="1:11">
      <c r="A1237" s="3">
        <v>2530177</v>
      </c>
      <c r="B1237" t="s">
        <v>1017</v>
      </c>
      <c r="C1237" t="s">
        <v>8</v>
      </c>
      <c r="D1237" t="s">
        <v>9108</v>
      </c>
      <c r="E1237" s="28">
        <v>46247</v>
      </c>
      <c r="F1237" t="s">
        <v>9109</v>
      </c>
      <c r="G1237" s="3" t="s">
        <v>9498</v>
      </c>
      <c r="H1237" t="s">
        <v>9425</v>
      </c>
      <c r="I1237" s="28">
        <v>46357</v>
      </c>
      <c r="J1237" t="s">
        <v>9118</v>
      </c>
      <c r="K1237" t="s">
        <v>33</v>
      </c>
    </row>
    <row r="1238" spans="1:11">
      <c r="A1238" s="3">
        <v>2530178</v>
      </c>
      <c r="B1238" t="s">
        <v>6782</v>
      </c>
      <c r="C1238" t="s">
        <v>7</v>
      </c>
      <c r="D1238" t="s">
        <v>9108</v>
      </c>
      <c r="E1238" s="28">
        <v>46247</v>
      </c>
      <c r="F1238" t="s">
        <v>9109</v>
      </c>
      <c r="G1238" s="3" t="s">
        <v>9498</v>
      </c>
      <c r="H1238" t="s">
        <v>9425</v>
      </c>
      <c r="I1238" s="28">
        <v>46357</v>
      </c>
      <c r="J1238" t="s">
        <v>9118</v>
      </c>
      <c r="K1238" t="s">
        <v>33</v>
      </c>
    </row>
    <row r="1239" spans="1:11">
      <c r="A1239" s="3">
        <v>2530180</v>
      </c>
      <c r="B1239" t="s">
        <v>4152</v>
      </c>
      <c r="C1239" t="s">
        <v>7</v>
      </c>
      <c r="D1239" t="s">
        <v>9108</v>
      </c>
      <c r="E1239" s="28">
        <v>46247</v>
      </c>
      <c r="F1239" t="s">
        <v>9109</v>
      </c>
      <c r="G1239" s="3" t="s">
        <v>9499</v>
      </c>
      <c r="H1239" t="s">
        <v>412</v>
      </c>
      <c r="I1239" s="28">
        <v>46363</v>
      </c>
      <c r="J1239" t="s">
        <v>9118</v>
      </c>
      <c r="K1239" t="s">
        <v>33</v>
      </c>
    </row>
    <row r="1240" spans="1:11">
      <c r="A1240" s="3">
        <v>2530181</v>
      </c>
      <c r="B1240" t="s">
        <v>8257</v>
      </c>
      <c r="C1240" t="s">
        <v>8</v>
      </c>
      <c r="D1240" t="s">
        <v>9108</v>
      </c>
      <c r="E1240" s="28">
        <v>46247</v>
      </c>
      <c r="F1240" t="s">
        <v>9109</v>
      </c>
      <c r="G1240" s="3" t="s">
        <v>9499</v>
      </c>
      <c r="H1240" t="s">
        <v>412</v>
      </c>
      <c r="I1240" s="28">
        <v>46363</v>
      </c>
      <c r="J1240" t="s">
        <v>9118</v>
      </c>
      <c r="K1240" t="s">
        <v>33</v>
      </c>
    </row>
    <row r="1241" spans="1:11">
      <c r="A1241" s="3">
        <v>2530182</v>
      </c>
      <c r="B1241" t="s">
        <v>2540</v>
      </c>
      <c r="C1241" t="s">
        <v>7</v>
      </c>
      <c r="D1241" t="s">
        <v>9108</v>
      </c>
      <c r="E1241" s="28">
        <v>46247</v>
      </c>
      <c r="F1241" t="s">
        <v>9109</v>
      </c>
      <c r="G1241" s="3" t="s">
        <v>9496</v>
      </c>
      <c r="H1241" t="s">
        <v>9497</v>
      </c>
      <c r="I1241" s="28">
        <v>46314</v>
      </c>
      <c r="J1241" t="s">
        <v>9118</v>
      </c>
      <c r="K1241" t="s">
        <v>31</v>
      </c>
    </row>
    <row r="1242" spans="1:11">
      <c r="A1242" s="3">
        <v>2530183</v>
      </c>
      <c r="B1242" t="s">
        <v>9500</v>
      </c>
      <c r="C1242" t="s">
        <v>7</v>
      </c>
      <c r="D1242" t="s">
        <v>9108</v>
      </c>
      <c r="E1242" s="28">
        <v>46247</v>
      </c>
      <c r="F1242" t="s">
        <v>9109</v>
      </c>
      <c r="G1242" s="3" t="s">
        <v>9498</v>
      </c>
      <c r="H1242" t="s">
        <v>9425</v>
      </c>
      <c r="I1242" s="28">
        <v>46357</v>
      </c>
      <c r="J1242" t="s">
        <v>9118</v>
      </c>
      <c r="K1242" t="s">
        <v>33</v>
      </c>
    </row>
    <row r="1243" spans="1:11">
      <c r="A1243" s="3">
        <v>2530185</v>
      </c>
      <c r="B1243" t="s">
        <v>3890</v>
      </c>
      <c r="C1243" t="s">
        <v>8</v>
      </c>
      <c r="D1243" t="s">
        <v>9108</v>
      </c>
      <c r="E1243" s="28">
        <v>46247</v>
      </c>
      <c r="F1243" t="s">
        <v>9109</v>
      </c>
      <c r="G1243" s="3" t="s">
        <v>9499</v>
      </c>
      <c r="H1243" t="s">
        <v>412</v>
      </c>
      <c r="I1243" s="28">
        <v>46363</v>
      </c>
      <c r="J1243" t="s">
        <v>9118</v>
      </c>
      <c r="K1243" t="s">
        <v>33</v>
      </c>
    </row>
    <row r="1244" spans="1:11">
      <c r="A1244" s="3">
        <v>2530187</v>
      </c>
      <c r="B1244" t="s">
        <v>2590</v>
      </c>
      <c r="C1244" t="s">
        <v>7</v>
      </c>
      <c r="D1244" t="s">
        <v>9108</v>
      </c>
      <c r="E1244" s="28">
        <v>46247</v>
      </c>
      <c r="F1244" t="s">
        <v>9109</v>
      </c>
      <c r="G1244" s="3" t="s">
        <v>9496</v>
      </c>
      <c r="H1244" t="s">
        <v>9497</v>
      </c>
      <c r="I1244" s="28">
        <v>46314</v>
      </c>
      <c r="J1244" t="s">
        <v>9118</v>
      </c>
      <c r="K1244" t="s">
        <v>31</v>
      </c>
    </row>
    <row r="1245" spans="1:11">
      <c r="A1245" s="3">
        <v>2530188</v>
      </c>
      <c r="B1245" t="s">
        <v>2514</v>
      </c>
      <c r="C1245" t="s">
        <v>7</v>
      </c>
      <c r="D1245" t="s">
        <v>9108</v>
      </c>
      <c r="E1245" s="28">
        <v>46247</v>
      </c>
      <c r="F1245" t="s">
        <v>9109</v>
      </c>
      <c r="G1245" s="3" t="s">
        <v>9496</v>
      </c>
      <c r="H1245" t="s">
        <v>9497</v>
      </c>
      <c r="I1245" s="28">
        <v>46314</v>
      </c>
      <c r="J1245" t="s">
        <v>9118</v>
      </c>
      <c r="K1245" t="s">
        <v>31</v>
      </c>
    </row>
    <row r="1246" spans="1:11">
      <c r="A1246" s="3">
        <v>2530190</v>
      </c>
      <c r="B1246" t="s">
        <v>7950</v>
      </c>
      <c r="C1246" t="s">
        <v>8</v>
      </c>
      <c r="D1246" t="s">
        <v>9108</v>
      </c>
      <c r="E1246" s="28">
        <v>46247</v>
      </c>
      <c r="F1246" t="s">
        <v>9109</v>
      </c>
      <c r="G1246" s="3" t="s">
        <v>9498</v>
      </c>
      <c r="H1246" t="s">
        <v>9425</v>
      </c>
      <c r="I1246" s="28">
        <v>46357</v>
      </c>
      <c r="J1246" t="s">
        <v>9118</v>
      </c>
      <c r="K1246" t="s">
        <v>33</v>
      </c>
    </row>
    <row r="1247" spans="1:11">
      <c r="A1247" s="3">
        <v>2530191</v>
      </c>
      <c r="B1247" t="s">
        <v>8300</v>
      </c>
      <c r="C1247" t="s">
        <v>8</v>
      </c>
      <c r="D1247" t="s">
        <v>9108</v>
      </c>
      <c r="E1247" s="28">
        <v>46247</v>
      </c>
      <c r="F1247" t="s">
        <v>9109</v>
      </c>
      <c r="G1247" s="3" t="s">
        <v>9499</v>
      </c>
      <c r="H1247" t="s">
        <v>412</v>
      </c>
      <c r="I1247" s="28">
        <v>46363</v>
      </c>
      <c r="J1247" t="s">
        <v>9118</v>
      </c>
      <c r="K1247" t="s">
        <v>33</v>
      </c>
    </row>
    <row r="1248" spans="1:11">
      <c r="A1248" s="3">
        <v>2530192</v>
      </c>
      <c r="B1248" t="s">
        <v>9501</v>
      </c>
      <c r="C1248" t="s">
        <v>8</v>
      </c>
      <c r="D1248" t="s">
        <v>9108</v>
      </c>
      <c r="E1248" s="28">
        <v>46247</v>
      </c>
      <c r="F1248" t="s">
        <v>9109</v>
      </c>
      <c r="G1248" s="3" t="s">
        <v>9498</v>
      </c>
      <c r="H1248" t="s">
        <v>9425</v>
      </c>
      <c r="I1248" s="28">
        <v>46357</v>
      </c>
      <c r="J1248" t="s">
        <v>9118</v>
      </c>
      <c r="K1248" t="s">
        <v>33</v>
      </c>
    </row>
    <row r="1249" spans="1:11">
      <c r="A1249" s="3">
        <v>2530193</v>
      </c>
      <c r="B1249" t="s">
        <v>2510</v>
      </c>
      <c r="C1249" t="s">
        <v>7</v>
      </c>
      <c r="D1249" t="s">
        <v>9108</v>
      </c>
      <c r="E1249" s="28">
        <v>46247</v>
      </c>
      <c r="F1249" t="s">
        <v>9109</v>
      </c>
      <c r="G1249" s="3" t="s">
        <v>9496</v>
      </c>
      <c r="H1249" t="s">
        <v>9497</v>
      </c>
      <c r="I1249" s="28">
        <v>46314</v>
      </c>
      <c r="J1249" t="s">
        <v>9118</v>
      </c>
      <c r="K1249" t="s">
        <v>31</v>
      </c>
    </row>
    <row r="1250" spans="1:11">
      <c r="A1250" s="3">
        <v>2530194</v>
      </c>
      <c r="B1250" t="s">
        <v>8291</v>
      </c>
      <c r="C1250" t="s">
        <v>8</v>
      </c>
      <c r="D1250" t="s">
        <v>9108</v>
      </c>
      <c r="E1250" s="28">
        <v>46247</v>
      </c>
      <c r="F1250" t="s">
        <v>9109</v>
      </c>
      <c r="G1250" s="3" t="s">
        <v>9498</v>
      </c>
      <c r="H1250" t="s">
        <v>9425</v>
      </c>
      <c r="I1250" s="28">
        <v>46357</v>
      </c>
      <c r="J1250" t="s">
        <v>9118</v>
      </c>
      <c r="K1250" t="s">
        <v>33</v>
      </c>
    </row>
    <row r="1251" spans="1:11">
      <c r="A1251" s="3">
        <v>2530195</v>
      </c>
      <c r="B1251" t="s">
        <v>9502</v>
      </c>
      <c r="C1251" t="s">
        <v>8</v>
      </c>
      <c r="D1251" t="s">
        <v>9108</v>
      </c>
      <c r="E1251" s="28">
        <v>46247</v>
      </c>
      <c r="F1251" t="s">
        <v>9109</v>
      </c>
      <c r="G1251" s="3" t="s">
        <v>9498</v>
      </c>
      <c r="H1251" t="s">
        <v>9425</v>
      </c>
      <c r="I1251" s="28">
        <v>46357</v>
      </c>
      <c r="J1251" t="s">
        <v>9118</v>
      </c>
      <c r="K1251" t="s">
        <v>33</v>
      </c>
    </row>
    <row r="1252" spans="1:11">
      <c r="A1252" s="3">
        <v>2530196</v>
      </c>
      <c r="B1252" t="s">
        <v>9503</v>
      </c>
      <c r="C1252" t="s">
        <v>8</v>
      </c>
      <c r="D1252" t="s">
        <v>9108</v>
      </c>
      <c r="E1252" s="28">
        <v>46247</v>
      </c>
      <c r="F1252" t="s">
        <v>9109</v>
      </c>
      <c r="G1252" s="3" t="s">
        <v>9499</v>
      </c>
      <c r="H1252" t="s">
        <v>412</v>
      </c>
      <c r="I1252" s="28">
        <v>46363</v>
      </c>
      <c r="J1252" t="s">
        <v>9118</v>
      </c>
      <c r="K1252" t="s">
        <v>33</v>
      </c>
    </row>
    <row r="1253" spans="1:11">
      <c r="A1253" s="3">
        <v>2530197</v>
      </c>
      <c r="B1253" t="s">
        <v>7327</v>
      </c>
      <c r="C1253" t="s">
        <v>8</v>
      </c>
      <c r="D1253" t="s">
        <v>9108</v>
      </c>
      <c r="E1253" s="28">
        <v>46247</v>
      </c>
      <c r="F1253" t="s">
        <v>9109</v>
      </c>
      <c r="G1253" s="3" t="s">
        <v>9498</v>
      </c>
      <c r="H1253" t="s">
        <v>9425</v>
      </c>
      <c r="I1253" s="28">
        <v>46357</v>
      </c>
      <c r="J1253" t="s">
        <v>9118</v>
      </c>
      <c r="K1253" t="s">
        <v>33</v>
      </c>
    </row>
    <row r="1254" spans="1:11">
      <c r="A1254" s="3">
        <v>2530198</v>
      </c>
      <c r="B1254" t="s">
        <v>9081</v>
      </c>
      <c r="C1254" t="s">
        <v>8</v>
      </c>
      <c r="D1254" t="s">
        <v>9108</v>
      </c>
      <c r="E1254" s="28">
        <v>46247</v>
      </c>
      <c r="F1254" t="s">
        <v>9109</v>
      </c>
      <c r="G1254" s="3" t="s">
        <v>9499</v>
      </c>
      <c r="H1254" t="s">
        <v>412</v>
      </c>
      <c r="I1254" s="28">
        <v>46363</v>
      </c>
      <c r="J1254" t="s">
        <v>9118</v>
      </c>
      <c r="K1254" t="s">
        <v>33</v>
      </c>
    </row>
    <row r="1255" spans="1:11">
      <c r="A1255" s="3">
        <v>2530199</v>
      </c>
      <c r="B1255" t="s">
        <v>5623</v>
      </c>
      <c r="C1255" t="s">
        <v>8</v>
      </c>
      <c r="D1255" t="s">
        <v>9108</v>
      </c>
      <c r="E1255" s="28">
        <v>46247</v>
      </c>
      <c r="F1255" t="s">
        <v>9109</v>
      </c>
      <c r="G1255" s="3" t="s">
        <v>9498</v>
      </c>
      <c r="H1255" t="s">
        <v>9425</v>
      </c>
      <c r="I1255" s="28">
        <v>46357</v>
      </c>
      <c r="J1255" t="s">
        <v>9118</v>
      </c>
      <c r="K1255" t="s">
        <v>33</v>
      </c>
    </row>
    <row r="1256" spans="1:11">
      <c r="A1256" s="3">
        <v>2530200</v>
      </c>
      <c r="B1256" t="s">
        <v>4298</v>
      </c>
      <c r="C1256" t="s">
        <v>7</v>
      </c>
      <c r="D1256" t="s">
        <v>9108</v>
      </c>
      <c r="E1256" s="28">
        <v>46247</v>
      </c>
      <c r="F1256" t="s">
        <v>9109</v>
      </c>
      <c r="G1256" s="3" t="s">
        <v>9498</v>
      </c>
      <c r="H1256" t="s">
        <v>9425</v>
      </c>
      <c r="I1256" s="28">
        <v>46357</v>
      </c>
      <c r="J1256" t="s">
        <v>9118</v>
      </c>
      <c r="K1256" t="s">
        <v>33</v>
      </c>
    </row>
    <row r="1257" spans="1:11">
      <c r="A1257" s="3">
        <v>2530201</v>
      </c>
      <c r="B1257" t="s">
        <v>896</v>
      </c>
      <c r="C1257" t="s">
        <v>7</v>
      </c>
      <c r="D1257" t="s">
        <v>9108</v>
      </c>
      <c r="E1257" s="28">
        <v>46247</v>
      </c>
      <c r="F1257" t="s">
        <v>9109</v>
      </c>
      <c r="G1257" s="3" t="s">
        <v>9498</v>
      </c>
      <c r="H1257" t="s">
        <v>9425</v>
      </c>
      <c r="I1257" s="28">
        <v>46357</v>
      </c>
      <c r="J1257" t="s">
        <v>9118</v>
      </c>
      <c r="K1257" t="s">
        <v>33</v>
      </c>
    </row>
    <row r="1258" spans="1:11">
      <c r="A1258" s="3">
        <v>2530202</v>
      </c>
      <c r="B1258" t="s">
        <v>197</v>
      </c>
      <c r="C1258" t="s">
        <v>8</v>
      </c>
      <c r="D1258" t="s">
        <v>9108</v>
      </c>
      <c r="E1258" s="28">
        <v>46247</v>
      </c>
      <c r="F1258" t="s">
        <v>9109</v>
      </c>
      <c r="G1258" s="3" t="s">
        <v>9498</v>
      </c>
      <c r="H1258" t="s">
        <v>9425</v>
      </c>
      <c r="I1258" s="28">
        <v>46357</v>
      </c>
      <c r="J1258" t="s">
        <v>9118</v>
      </c>
      <c r="K1258" t="s">
        <v>33</v>
      </c>
    </row>
    <row r="1259" spans="1:11">
      <c r="A1259" s="3">
        <v>2530203</v>
      </c>
      <c r="B1259" t="s">
        <v>9504</v>
      </c>
      <c r="C1259" t="s">
        <v>8</v>
      </c>
      <c r="D1259" t="s">
        <v>9108</v>
      </c>
      <c r="E1259" s="28">
        <v>46247</v>
      </c>
      <c r="F1259" t="s">
        <v>9109</v>
      </c>
      <c r="G1259" s="3" t="s">
        <v>9499</v>
      </c>
      <c r="H1259" t="s">
        <v>412</v>
      </c>
      <c r="I1259" s="28">
        <v>46363</v>
      </c>
      <c r="J1259" t="s">
        <v>9118</v>
      </c>
      <c r="K1259" t="s">
        <v>33</v>
      </c>
    </row>
    <row r="1260" spans="1:11">
      <c r="A1260" s="3">
        <v>2530204</v>
      </c>
      <c r="B1260" t="s">
        <v>3704</v>
      </c>
      <c r="C1260" t="s">
        <v>8</v>
      </c>
      <c r="D1260" t="s">
        <v>9108</v>
      </c>
      <c r="E1260" s="28">
        <v>46247</v>
      </c>
      <c r="F1260" t="s">
        <v>9109</v>
      </c>
      <c r="G1260" s="3" t="s">
        <v>9499</v>
      </c>
      <c r="H1260" t="s">
        <v>412</v>
      </c>
      <c r="I1260" s="28">
        <v>46363</v>
      </c>
      <c r="J1260" t="s">
        <v>9118</v>
      </c>
      <c r="K1260" t="s">
        <v>33</v>
      </c>
    </row>
    <row r="1261" spans="1:11">
      <c r="A1261" s="3">
        <v>2530205</v>
      </c>
      <c r="B1261" t="s">
        <v>2442</v>
      </c>
      <c r="C1261" t="s">
        <v>8</v>
      </c>
      <c r="D1261" t="s">
        <v>9108</v>
      </c>
      <c r="E1261" s="28">
        <v>46247</v>
      </c>
      <c r="F1261" t="s">
        <v>9109</v>
      </c>
      <c r="G1261" s="3" t="s">
        <v>9499</v>
      </c>
      <c r="H1261" t="s">
        <v>412</v>
      </c>
      <c r="I1261" s="28">
        <v>46363</v>
      </c>
      <c r="J1261" t="s">
        <v>9118</v>
      </c>
      <c r="K1261" t="s">
        <v>33</v>
      </c>
    </row>
    <row r="1262" spans="1:11">
      <c r="A1262" s="3">
        <v>2530206</v>
      </c>
      <c r="B1262" t="s">
        <v>2816</v>
      </c>
      <c r="C1262" t="s">
        <v>8</v>
      </c>
      <c r="D1262" t="s">
        <v>9108</v>
      </c>
      <c r="E1262" s="28">
        <v>46247</v>
      </c>
      <c r="F1262" t="s">
        <v>9109</v>
      </c>
      <c r="G1262" s="3" t="s">
        <v>9499</v>
      </c>
      <c r="H1262" t="s">
        <v>412</v>
      </c>
      <c r="I1262" s="28">
        <v>46363</v>
      </c>
      <c r="J1262" t="s">
        <v>9118</v>
      </c>
      <c r="K1262" t="s">
        <v>33</v>
      </c>
    </row>
    <row r="1263" spans="1:11">
      <c r="A1263" s="3">
        <v>2530207</v>
      </c>
      <c r="B1263" t="s">
        <v>906</v>
      </c>
      <c r="C1263" t="s">
        <v>7</v>
      </c>
      <c r="D1263" t="s">
        <v>9108</v>
      </c>
      <c r="E1263" s="28">
        <v>46247</v>
      </c>
      <c r="F1263" t="s">
        <v>9109</v>
      </c>
      <c r="G1263" s="3" t="s">
        <v>9498</v>
      </c>
      <c r="H1263" t="s">
        <v>9425</v>
      </c>
      <c r="I1263" s="28">
        <v>46357</v>
      </c>
      <c r="J1263" t="s">
        <v>9118</v>
      </c>
      <c r="K1263" t="s">
        <v>33</v>
      </c>
    </row>
    <row r="1264" spans="1:11">
      <c r="A1264" s="3">
        <v>2530208</v>
      </c>
      <c r="B1264" t="s">
        <v>1990</v>
      </c>
      <c r="C1264" t="s">
        <v>8</v>
      </c>
      <c r="D1264" t="s">
        <v>9108</v>
      </c>
      <c r="E1264" s="28">
        <v>46247</v>
      </c>
      <c r="F1264" t="s">
        <v>9109</v>
      </c>
      <c r="G1264" s="3" t="s">
        <v>9498</v>
      </c>
      <c r="H1264" t="s">
        <v>9425</v>
      </c>
      <c r="I1264" s="28">
        <v>46357</v>
      </c>
      <c r="J1264" t="s">
        <v>9118</v>
      </c>
      <c r="K1264" t="s">
        <v>33</v>
      </c>
    </row>
    <row r="1265" spans="1:11">
      <c r="A1265" s="3">
        <v>2530209</v>
      </c>
      <c r="B1265" t="s">
        <v>9505</v>
      </c>
      <c r="C1265" t="s">
        <v>7</v>
      </c>
      <c r="D1265" t="s">
        <v>9108</v>
      </c>
      <c r="E1265" s="28">
        <v>46247</v>
      </c>
      <c r="F1265" t="s">
        <v>9109</v>
      </c>
      <c r="G1265" s="3" t="s">
        <v>9498</v>
      </c>
      <c r="H1265" t="s">
        <v>9425</v>
      </c>
      <c r="I1265" s="28">
        <v>46357</v>
      </c>
      <c r="J1265" t="s">
        <v>9118</v>
      </c>
      <c r="K1265" t="s">
        <v>33</v>
      </c>
    </row>
    <row r="1266" spans="1:11">
      <c r="A1266" s="3">
        <v>2530210</v>
      </c>
      <c r="B1266" t="s">
        <v>9506</v>
      </c>
      <c r="C1266" t="s">
        <v>7</v>
      </c>
      <c r="D1266" t="s">
        <v>9108</v>
      </c>
      <c r="E1266" s="28">
        <v>46247</v>
      </c>
      <c r="F1266" t="s">
        <v>9109</v>
      </c>
      <c r="G1266" s="3" t="s">
        <v>9499</v>
      </c>
      <c r="H1266" t="s">
        <v>412</v>
      </c>
      <c r="I1266" s="28">
        <v>46363</v>
      </c>
      <c r="J1266" t="s">
        <v>9118</v>
      </c>
      <c r="K1266" t="s">
        <v>33</v>
      </c>
    </row>
    <row r="1267" spans="1:11">
      <c r="A1267" s="3">
        <v>2530211</v>
      </c>
      <c r="B1267" t="s">
        <v>7856</v>
      </c>
      <c r="C1267" t="s">
        <v>8</v>
      </c>
      <c r="D1267" t="s">
        <v>9108</v>
      </c>
      <c r="E1267" s="28">
        <v>46247</v>
      </c>
      <c r="F1267" t="s">
        <v>9109</v>
      </c>
      <c r="G1267" s="3" t="s">
        <v>9498</v>
      </c>
      <c r="H1267" t="s">
        <v>9425</v>
      </c>
      <c r="I1267" s="28">
        <v>46357</v>
      </c>
      <c r="J1267" t="s">
        <v>9118</v>
      </c>
      <c r="K1267" t="s">
        <v>33</v>
      </c>
    </row>
    <row r="1268" spans="1:11">
      <c r="A1268" s="3">
        <v>2530212</v>
      </c>
      <c r="B1268" t="s">
        <v>9507</v>
      </c>
      <c r="C1268" t="s">
        <v>8</v>
      </c>
      <c r="D1268" t="s">
        <v>9108</v>
      </c>
      <c r="E1268" s="28">
        <v>46247</v>
      </c>
      <c r="F1268" t="s">
        <v>9109</v>
      </c>
      <c r="G1268" s="3" t="s">
        <v>9499</v>
      </c>
      <c r="H1268" t="s">
        <v>412</v>
      </c>
      <c r="I1268" s="28">
        <v>46363</v>
      </c>
      <c r="J1268" t="s">
        <v>9118</v>
      </c>
      <c r="K1268" t="s">
        <v>33</v>
      </c>
    </row>
    <row r="1269" spans="1:11">
      <c r="A1269" s="3">
        <v>2530213</v>
      </c>
      <c r="B1269" t="s">
        <v>7927</v>
      </c>
      <c r="C1269" t="s">
        <v>8</v>
      </c>
      <c r="D1269" t="s">
        <v>9108</v>
      </c>
      <c r="E1269" s="28">
        <v>46247</v>
      </c>
      <c r="F1269" t="s">
        <v>9109</v>
      </c>
      <c r="G1269" s="3" t="s">
        <v>9498</v>
      </c>
      <c r="H1269" t="s">
        <v>9425</v>
      </c>
      <c r="I1269" s="28">
        <v>46357</v>
      </c>
      <c r="J1269" t="s">
        <v>9118</v>
      </c>
      <c r="K1269" t="s">
        <v>33</v>
      </c>
    </row>
    <row r="1270" spans="1:11">
      <c r="A1270" s="3">
        <v>2530214</v>
      </c>
      <c r="B1270" t="s">
        <v>2000</v>
      </c>
      <c r="C1270" t="s">
        <v>8</v>
      </c>
      <c r="D1270" t="s">
        <v>9108</v>
      </c>
      <c r="E1270" s="28">
        <v>46247</v>
      </c>
      <c r="F1270" t="s">
        <v>9109</v>
      </c>
      <c r="G1270" s="3" t="s">
        <v>9498</v>
      </c>
      <c r="H1270" t="s">
        <v>9425</v>
      </c>
      <c r="I1270" s="28">
        <v>46357</v>
      </c>
      <c r="J1270" t="s">
        <v>9118</v>
      </c>
      <c r="K1270" t="s">
        <v>33</v>
      </c>
    </row>
    <row r="1271" spans="1:11">
      <c r="A1271" s="3">
        <v>2530216</v>
      </c>
      <c r="B1271" t="s">
        <v>9508</v>
      </c>
      <c r="C1271" t="s">
        <v>7</v>
      </c>
      <c r="D1271" t="s">
        <v>9108</v>
      </c>
      <c r="E1271" s="28">
        <v>46247</v>
      </c>
      <c r="F1271" t="s">
        <v>9109</v>
      </c>
      <c r="G1271" s="3" t="s">
        <v>9499</v>
      </c>
      <c r="H1271" t="s">
        <v>412</v>
      </c>
      <c r="I1271" s="28">
        <v>46363</v>
      </c>
      <c r="J1271" t="s">
        <v>9118</v>
      </c>
      <c r="K1271" t="s">
        <v>33</v>
      </c>
    </row>
    <row r="1272" spans="1:11">
      <c r="A1272" s="3">
        <v>2530217</v>
      </c>
      <c r="B1272" t="s">
        <v>6175</v>
      </c>
      <c r="C1272" t="s">
        <v>8</v>
      </c>
      <c r="D1272" t="s">
        <v>9108</v>
      </c>
      <c r="E1272" s="28">
        <v>46247</v>
      </c>
      <c r="F1272" t="s">
        <v>9109</v>
      </c>
      <c r="G1272" s="3" t="s">
        <v>9498</v>
      </c>
      <c r="H1272" t="s">
        <v>9425</v>
      </c>
      <c r="I1272" s="28">
        <v>46357</v>
      </c>
      <c r="J1272" t="s">
        <v>9118</v>
      </c>
      <c r="K1272" t="s">
        <v>33</v>
      </c>
    </row>
    <row r="1273" spans="1:11">
      <c r="A1273" s="3">
        <v>2530218</v>
      </c>
      <c r="B1273" t="s">
        <v>8296</v>
      </c>
      <c r="C1273" t="s">
        <v>8</v>
      </c>
      <c r="D1273" t="s">
        <v>9108</v>
      </c>
      <c r="E1273" s="28">
        <v>46247</v>
      </c>
      <c r="F1273" t="s">
        <v>9109</v>
      </c>
      <c r="G1273" s="3" t="s">
        <v>9499</v>
      </c>
      <c r="H1273" t="s">
        <v>412</v>
      </c>
      <c r="I1273" s="28">
        <v>46363</v>
      </c>
      <c r="J1273" t="s">
        <v>9118</v>
      </c>
      <c r="K1273" t="s">
        <v>33</v>
      </c>
    </row>
    <row r="1274" spans="1:11">
      <c r="A1274" s="3">
        <v>2530219</v>
      </c>
      <c r="B1274" t="s">
        <v>231</v>
      </c>
      <c r="C1274" t="s">
        <v>8</v>
      </c>
      <c r="D1274" t="s">
        <v>9108</v>
      </c>
      <c r="E1274" s="28">
        <v>46247</v>
      </c>
      <c r="F1274" t="s">
        <v>9109</v>
      </c>
      <c r="G1274" s="3" t="s">
        <v>9498</v>
      </c>
      <c r="H1274" t="s">
        <v>9425</v>
      </c>
      <c r="I1274" s="28">
        <v>46357</v>
      </c>
      <c r="J1274" t="s">
        <v>9118</v>
      </c>
      <c r="K1274" t="s">
        <v>33</v>
      </c>
    </row>
    <row r="1275" spans="1:11">
      <c r="A1275" s="3">
        <v>2530220</v>
      </c>
      <c r="B1275" t="s">
        <v>5581</v>
      </c>
      <c r="C1275" t="s">
        <v>8</v>
      </c>
      <c r="D1275" t="s">
        <v>9108</v>
      </c>
      <c r="E1275" s="28">
        <v>46247</v>
      </c>
      <c r="F1275" t="s">
        <v>9109</v>
      </c>
      <c r="G1275" s="3" t="s">
        <v>9498</v>
      </c>
      <c r="H1275" t="s">
        <v>9425</v>
      </c>
      <c r="I1275" s="28">
        <v>46357</v>
      </c>
      <c r="J1275" t="s">
        <v>9118</v>
      </c>
      <c r="K1275" t="s">
        <v>33</v>
      </c>
    </row>
    <row r="1276" spans="1:11">
      <c r="A1276" s="3">
        <v>2530222</v>
      </c>
      <c r="B1276" t="s">
        <v>730</v>
      </c>
      <c r="C1276" t="s">
        <v>8</v>
      </c>
      <c r="D1276" t="s">
        <v>9108</v>
      </c>
      <c r="E1276" s="28">
        <v>46247</v>
      </c>
      <c r="F1276" t="s">
        <v>9109</v>
      </c>
      <c r="G1276" s="3" t="s">
        <v>9498</v>
      </c>
      <c r="H1276" t="s">
        <v>9425</v>
      </c>
      <c r="I1276" s="28">
        <v>46357</v>
      </c>
      <c r="J1276" t="s">
        <v>9118</v>
      </c>
      <c r="K1276" t="s">
        <v>33</v>
      </c>
    </row>
    <row r="1277" spans="1:11">
      <c r="A1277" s="3">
        <v>2530223</v>
      </c>
      <c r="B1277" t="s">
        <v>484</v>
      </c>
      <c r="C1277" t="s">
        <v>8</v>
      </c>
      <c r="D1277" t="s">
        <v>9108</v>
      </c>
      <c r="E1277" s="28">
        <v>46247</v>
      </c>
      <c r="F1277" t="s">
        <v>9109</v>
      </c>
      <c r="G1277" s="3" t="s">
        <v>9499</v>
      </c>
      <c r="H1277" t="s">
        <v>412</v>
      </c>
      <c r="I1277" s="28">
        <v>46363</v>
      </c>
      <c r="J1277" t="s">
        <v>9118</v>
      </c>
      <c r="K1277" t="s">
        <v>33</v>
      </c>
    </row>
    <row r="1278" spans="1:11">
      <c r="A1278" s="3">
        <v>2530224</v>
      </c>
      <c r="B1278" t="s">
        <v>7793</v>
      </c>
      <c r="C1278" t="s">
        <v>8</v>
      </c>
      <c r="D1278" t="s">
        <v>9108</v>
      </c>
      <c r="E1278" s="28">
        <v>46247</v>
      </c>
      <c r="F1278" t="s">
        <v>9109</v>
      </c>
      <c r="G1278" s="3" t="s">
        <v>9498</v>
      </c>
      <c r="H1278" t="s">
        <v>9425</v>
      </c>
      <c r="I1278" s="28">
        <v>46357</v>
      </c>
      <c r="J1278" t="s">
        <v>9118</v>
      </c>
      <c r="K1278" t="s">
        <v>33</v>
      </c>
    </row>
    <row r="1279" spans="1:11">
      <c r="A1279" s="3">
        <v>2530225</v>
      </c>
      <c r="B1279" t="s">
        <v>9509</v>
      </c>
      <c r="C1279" t="s">
        <v>8</v>
      </c>
      <c r="D1279" t="s">
        <v>9108</v>
      </c>
      <c r="E1279" s="28">
        <v>46247</v>
      </c>
      <c r="F1279" t="s">
        <v>9109</v>
      </c>
      <c r="G1279" s="3" t="s">
        <v>9498</v>
      </c>
      <c r="H1279" t="s">
        <v>9425</v>
      </c>
      <c r="I1279" s="28">
        <v>46357</v>
      </c>
      <c r="J1279" t="s">
        <v>9118</v>
      </c>
      <c r="K1279" t="s">
        <v>33</v>
      </c>
    </row>
    <row r="1280" spans="1:11">
      <c r="A1280" s="3">
        <v>2531271</v>
      </c>
      <c r="B1280" t="s">
        <v>4998</v>
      </c>
      <c r="C1280" t="s">
        <v>8</v>
      </c>
      <c r="D1280" t="s">
        <v>9108</v>
      </c>
      <c r="E1280" s="28">
        <v>46252</v>
      </c>
      <c r="F1280" t="s">
        <v>9109</v>
      </c>
      <c r="G1280" s="3" t="s">
        <v>9482</v>
      </c>
      <c r="H1280" t="s">
        <v>9226</v>
      </c>
      <c r="I1280" s="28">
        <v>46330</v>
      </c>
      <c r="J1280" t="s">
        <v>9118</v>
      </c>
      <c r="K1280" t="s">
        <v>32</v>
      </c>
    </row>
    <row r="1281" spans="1:11">
      <c r="A1281" s="3">
        <v>2531272</v>
      </c>
      <c r="B1281" t="s">
        <v>7526</v>
      </c>
      <c r="C1281" t="s">
        <v>7</v>
      </c>
      <c r="D1281" t="s">
        <v>9108</v>
      </c>
      <c r="E1281" s="28">
        <v>46252</v>
      </c>
      <c r="F1281" t="s">
        <v>9109</v>
      </c>
      <c r="G1281" s="3" t="s">
        <v>9510</v>
      </c>
      <c r="H1281" t="s">
        <v>9511</v>
      </c>
      <c r="I1281" s="28">
        <v>46324</v>
      </c>
      <c r="J1281" t="s">
        <v>9118</v>
      </c>
      <c r="K1281" t="s">
        <v>31</v>
      </c>
    </row>
    <row r="1282" spans="1:11">
      <c r="A1282" s="3">
        <v>2531274</v>
      </c>
      <c r="B1282" t="s">
        <v>7244</v>
      </c>
      <c r="C1282" t="s">
        <v>7</v>
      </c>
      <c r="D1282" t="s">
        <v>9108</v>
      </c>
      <c r="E1282" s="28">
        <v>46252</v>
      </c>
      <c r="F1282" t="s">
        <v>9109</v>
      </c>
      <c r="G1282" s="3" t="s">
        <v>9482</v>
      </c>
      <c r="H1282" t="s">
        <v>9226</v>
      </c>
      <c r="I1282" s="28">
        <v>46330</v>
      </c>
      <c r="J1282" t="s">
        <v>9118</v>
      </c>
      <c r="K1282" t="s">
        <v>32</v>
      </c>
    </row>
    <row r="1283" spans="1:11">
      <c r="A1283" s="3">
        <v>2531277</v>
      </c>
      <c r="B1283" t="s">
        <v>7913</v>
      </c>
      <c r="C1283" t="s">
        <v>8</v>
      </c>
      <c r="D1283" t="s">
        <v>9108</v>
      </c>
      <c r="E1283" s="28">
        <v>46252</v>
      </c>
      <c r="F1283" t="s">
        <v>9109</v>
      </c>
      <c r="G1283" s="3" t="s">
        <v>9446</v>
      </c>
      <c r="H1283" t="s">
        <v>191</v>
      </c>
      <c r="I1283" s="28">
        <v>46364</v>
      </c>
      <c r="J1283" t="s">
        <v>9118</v>
      </c>
      <c r="K1283" t="s">
        <v>33</v>
      </c>
    </row>
    <row r="1284" spans="1:11">
      <c r="A1284" s="3">
        <v>2531279</v>
      </c>
      <c r="B1284" t="s">
        <v>5769</v>
      </c>
      <c r="C1284" t="s">
        <v>7</v>
      </c>
      <c r="D1284" t="s">
        <v>9108</v>
      </c>
      <c r="E1284" s="28">
        <v>46252</v>
      </c>
      <c r="F1284" t="s">
        <v>9109</v>
      </c>
      <c r="G1284" s="3" t="s">
        <v>9482</v>
      </c>
      <c r="H1284" t="s">
        <v>9226</v>
      </c>
      <c r="I1284" s="28">
        <v>46330</v>
      </c>
      <c r="J1284" t="s">
        <v>9118</v>
      </c>
      <c r="K1284" t="s">
        <v>32</v>
      </c>
    </row>
    <row r="1285" spans="1:11">
      <c r="A1285" s="3">
        <v>2531280</v>
      </c>
      <c r="B1285" t="s">
        <v>399</v>
      </c>
      <c r="C1285" t="s">
        <v>7</v>
      </c>
      <c r="D1285" t="s">
        <v>9108</v>
      </c>
      <c r="E1285" s="28">
        <v>46252</v>
      </c>
      <c r="F1285" t="s">
        <v>9109</v>
      </c>
      <c r="G1285" s="3" t="s">
        <v>9482</v>
      </c>
      <c r="H1285" t="s">
        <v>9226</v>
      </c>
      <c r="I1285" s="28">
        <v>46330</v>
      </c>
      <c r="J1285" t="s">
        <v>9118</v>
      </c>
      <c r="K1285" t="s">
        <v>32</v>
      </c>
    </row>
    <row r="1286" spans="1:11">
      <c r="A1286" s="3">
        <v>2531281</v>
      </c>
      <c r="B1286" t="s">
        <v>3127</v>
      </c>
      <c r="C1286" t="s">
        <v>7</v>
      </c>
      <c r="D1286" t="s">
        <v>9108</v>
      </c>
      <c r="E1286" s="28">
        <v>46252</v>
      </c>
      <c r="F1286" t="s">
        <v>9109</v>
      </c>
      <c r="G1286" s="3" t="s">
        <v>9482</v>
      </c>
      <c r="H1286" t="s">
        <v>9226</v>
      </c>
      <c r="I1286" s="28">
        <v>46330</v>
      </c>
      <c r="J1286" t="s">
        <v>9118</v>
      </c>
      <c r="K1286" t="s">
        <v>32</v>
      </c>
    </row>
    <row r="1287" spans="1:11">
      <c r="A1287" s="3">
        <v>2531282</v>
      </c>
      <c r="B1287" t="s">
        <v>4231</v>
      </c>
      <c r="C1287" t="s">
        <v>7</v>
      </c>
      <c r="D1287" t="s">
        <v>9108</v>
      </c>
      <c r="E1287" s="28">
        <v>46252</v>
      </c>
      <c r="F1287" t="s">
        <v>9109</v>
      </c>
      <c r="G1287" s="3" t="s">
        <v>9482</v>
      </c>
      <c r="H1287" t="s">
        <v>9226</v>
      </c>
      <c r="I1287" s="28">
        <v>46330</v>
      </c>
      <c r="J1287" t="s">
        <v>9118</v>
      </c>
      <c r="K1287" t="s">
        <v>32</v>
      </c>
    </row>
    <row r="1288" spans="1:11">
      <c r="A1288" s="3">
        <v>2531283</v>
      </c>
      <c r="B1288" t="s">
        <v>8760</v>
      </c>
      <c r="C1288" t="s">
        <v>7</v>
      </c>
      <c r="D1288" t="s">
        <v>9108</v>
      </c>
      <c r="E1288" s="28">
        <v>46252</v>
      </c>
      <c r="F1288" t="s">
        <v>9109</v>
      </c>
      <c r="G1288" s="3" t="s">
        <v>9482</v>
      </c>
      <c r="H1288" t="s">
        <v>9226</v>
      </c>
      <c r="I1288" s="28">
        <v>46330</v>
      </c>
      <c r="J1288" t="s">
        <v>9118</v>
      </c>
      <c r="K1288" t="s">
        <v>32</v>
      </c>
    </row>
    <row r="1289" spans="1:11">
      <c r="A1289" s="3">
        <v>2531306</v>
      </c>
      <c r="B1289" t="s">
        <v>157</v>
      </c>
      <c r="C1289" t="s">
        <v>7</v>
      </c>
      <c r="D1289" t="s">
        <v>9108</v>
      </c>
      <c r="E1289" s="28">
        <v>46252</v>
      </c>
      <c r="F1289" t="s">
        <v>9109</v>
      </c>
      <c r="G1289" s="3" t="s">
        <v>9510</v>
      </c>
      <c r="H1289" t="s">
        <v>9511</v>
      </c>
      <c r="I1289" s="28">
        <v>46324</v>
      </c>
      <c r="J1289" t="s">
        <v>9118</v>
      </c>
      <c r="K1289" t="s">
        <v>31</v>
      </c>
    </row>
    <row r="1290" spans="1:11">
      <c r="A1290" s="3">
        <v>2531312</v>
      </c>
      <c r="B1290" t="s">
        <v>930</v>
      </c>
      <c r="C1290" t="s">
        <v>7</v>
      </c>
      <c r="D1290" t="s">
        <v>9108</v>
      </c>
      <c r="E1290" s="28">
        <v>46252</v>
      </c>
      <c r="F1290" t="s">
        <v>9109</v>
      </c>
      <c r="G1290" s="3" t="s">
        <v>9510</v>
      </c>
      <c r="H1290" t="s">
        <v>9511</v>
      </c>
      <c r="I1290" s="28">
        <v>46324</v>
      </c>
      <c r="J1290" t="s">
        <v>9118</v>
      </c>
      <c r="K1290" t="s">
        <v>31</v>
      </c>
    </row>
    <row r="1291" spans="1:11">
      <c r="A1291" s="3">
        <v>2531313</v>
      </c>
      <c r="B1291" t="s">
        <v>9512</v>
      </c>
      <c r="C1291" t="s">
        <v>8</v>
      </c>
      <c r="D1291" t="s">
        <v>9108</v>
      </c>
      <c r="E1291" s="28">
        <v>46252</v>
      </c>
      <c r="F1291" t="s">
        <v>9109</v>
      </c>
      <c r="G1291" s="3" t="s">
        <v>9510</v>
      </c>
      <c r="H1291" t="s">
        <v>9511</v>
      </c>
      <c r="I1291" s="28">
        <v>46324</v>
      </c>
      <c r="J1291" t="s">
        <v>9118</v>
      </c>
      <c r="K1291" t="s">
        <v>31</v>
      </c>
    </row>
    <row r="1292" spans="1:11">
      <c r="A1292" s="3">
        <v>2531322</v>
      </c>
      <c r="B1292" t="s">
        <v>9513</v>
      </c>
      <c r="C1292" t="s">
        <v>8</v>
      </c>
      <c r="D1292" t="s">
        <v>9108</v>
      </c>
      <c r="E1292" s="28">
        <v>46252</v>
      </c>
      <c r="F1292" t="s">
        <v>9109</v>
      </c>
      <c r="G1292" s="3" t="s">
        <v>9510</v>
      </c>
      <c r="H1292" t="s">
        <v>9511</v>
      </c>
      <c r="I1292" s="28">
        <v>46324</v>
      </c>
      <c r="J1292" t="s">
        <v>9118</v>
      </c>
      <c r="K1292" t="s">
        <v>31</v>
      </c>
    </row>
    <row r="1293" spans="1:11">
      <c r="A1293" s="3">
        <v>2531343</v>
      </c>
      <c r="B1293" t="s">
        <v>8561</v>
      </c>
      <c r="C1293" t="s">
        <v>7</v>
      </c>
      <c r="D1293" t="s">
        <v>9108</v>
      </c>
      <c r="E1293" s="28">
        <v>46252</v>
      </c>
      <c r="F1293" t="s">
        <v>9109</v>
      </c>
      <c r="G1293" s="3" t="s">
        <v>9514</v>
      </c>
      <c r="H1293" t="s">
        <v>9425</v>
      </c>
      <c r="I1293" s="28">
        <v>46335</v>
      </c>
      <c r="J1293" t="s">
        <v>9118</v>
      </c>
      <c r="K1293" t="s">
        <v>32</v>
      </c>
    </row>
    <row r="1294" spans="1:11">
      <c r="A1294" s="3">
        <v>2531345</v>
      </c>
      <c r="B1294" t="s">
        <v>2416</v>
      </c>
      <c r="C1294" t="s">
        <v>8</v>
      </c>
      <c r="D1294" t="s">
        <v>9108</v>
      </c>
      <c r="E1294" s="28">
        <v>46252</v>
      </c>
      <c r="F1294" t="s">
        <v>9109</v>
      </c>
      <c r="G1294" s="3" t="s">
        <v>9515</v>
      </c>
      <c r="H1294" t="s">
        <v>412</v>
      </c>
      <c r="I1294" s="28">
        <v>46330</v>
      </c>
      <c r="J1294" t="s">
        <v>9118</v>
      </c>
      <c r="K1294" t="s">
        <v>32</v>
      </c>
    </row>
    <row r="1295" spans="1:11">
      <c r="A1295" s="3">
        <v>2531346</v>
      </c>
      <c r="B1295" t="s">
        <v>7254</v>
      </c>
      <c r="C1295" t="s">
        <v>8</v>
      </c>
      <c r="D1295" t="s">
        <v>9108</v>
      </c>
      <c r="E1295" s="28">
        <v>46252</v>
      </c>
      <c r="F1295" t="s">
        <v>9109</v>
      </c>
      <c r="G1295" s="3" t="s">
        <v>9516</v>
      </c>
      <c r="H1295" t="s">
        <v>424</v>
      </c>
      <c r="I1295" s="28">
        <v>46365</v>
      </c>
      <c r="J1295" t="s">
        <v>9118</v>
      </c>
      <c r="K1295" t="s">
        <v>33</v>
      </c>
    </row>
    <row r="1296" spans="1:11">
      <c r="A1296" s="3">
        <v>2531348</v>
      </c>
      <c r="B1296" t="s">
        <v>3811</v>
      </c>
      <c r="C1296" t="s">
        <v>7</v>
      </c>
      <c r="D1296" t="s">
        <v>9108</v>
      </c>
      <c r="E1296" s="28">
        <v>46252</v>
      </c>
      <c r="F1296" t="s">
        <v>9109</v>
      </c>
      <c r="G1296" s="3" t="s">
        <v>9515</v>
      </c>
      <c r="H1296" t="s">
        <v>412</v>
      </c>
      <c r="I1296" s="28">
        <v>46330</v>
      </c>
      <c r="J1296" t="s">
        <v>9118</v>
      </c>
      <c r="K1296" t="s">
        <v>32</v>
      </c>
    </row>
    <row r="1297" spans="1:11">
      <c r="A1297" s="3">
        <v>2531352</v>
      </c>
      <c r="B1297" t="s">
        <v>9517</v>
      </c>
      <c r="C1297" t="s">
        <v>8</v>
      </c>
      <c r="D1297" t="s">
        <v>9108</v>
      </c>
      <c r="E1297" s="28">
        <v>46252</v>
      </c>
      <c r="F1297" t="s">
        <v>9109</v>
      </c>
      <c r="G1297" s="3" t="s">
        <v>9514</v>
      </c>
      <c r="H1297" t="s">
        <v>9425</v>
      </c>
      <c r="I1297" s="28">
        <v>46335</v>
      </c>
      <c r="J1297" t="s">
        <v>9118</v>
      </c>
      <c r="K1297" t="s">
        <v>32</v>
      </c>
    </row>
    <row r="1298" spans="1:11">
      <c r="A1298" s="3">
        <v>2531354</v>
      </c>
      <c r="B1298" t="s">
        <v>8488</v>
      </c>
      <c r="C1298" t="s">
        <v>7</v>
      </c>
      <c r="D1298" t="s">
        <v>9108</v>
      </c>
      <c r="E1298" s="28">
        <v>46252</v>
      </c>
      <c r="F1298" t="s">
        <v>9109</v>
      </c>
      <c r="G1298" s="3" t="s">
        <v>9515</v>
      </c>
      <c r="H1298" t="s">
        <v>412</v>
      </c>
      <c r="I1298" s="28">
        <v>46330</v>
      </c>
      <c r="J1298" t="s">
        <v>9118</v>
      </c>
      <c r="K1298" t="s">
        <v>32</v>
      </c>
    </row>
    <row r="1299" spans="1:11">
      <c r="A1299" s="3">
        <v>2531357</v>
      </c>
      <c r="B1299" t="s">
        <v>9518</v>
      </c>
      <c r="C1299" t="s">
        <v>8</v>
      </c>
      <c r="D1299" t="s">
        <v>9108</v>
      </c>
      <c r="E1299" s="28">
        <v>46252</v>
      </c>
      <c r="F1299" t="s">
        <v>9109</v>
      </c>
      <c r="G1299" s="3" t="s">
        <v>9428</v>
      </c>
      <c r="H1299" t="s">
        <v>9425</v>
      </c>
      <c r="I1299" s="28">
        <v>46353</v>
      </c>
      <c r="J1299" t="s">
        <v>9118</v>
      </c>
      <c r="K1299" t="s">
        <v>32</v>
      </c>
    </row>
    <row r="1300" spans="1:11">
      <c r="A1300" s="3">
        <v>2531358</v>
      </c>
      <c r="B1300" t="s">
        <v>9519</v>
      </c>
      <c r="C1300" t="s">
        <v>7</v>
      </c>
      <c r="D1300" t="s">
        <v>9108</v>
      </c>
      <c r="E1300" s="28">
        <v>46252</v>
      </c>
      <c r="F1300" t="s">
        <v>9109</v>
      </c>
      <c r="G1300" s="3" t="s">
        <v>9515</v>
      </c>
      <c r="H1300" t="s">
        <v>412</v>
      </c>
      <c r="I1300" s="28">
        <v>46330</v>
      </c>
      <c r="J1300" t="s">
        <v>9118</v>
      </c>
      <c r="K1300" t="s">
        <v>32</v>
      </c>
    </row>
    <row r="1301" spans="1:11">
      <c r="A1301" s="3">
        <v>2531359</v>
      </c>
      <c r="B1301" t="s">
        <v>8339</v>
      </c>
      <c r="C1301" t="s">
        <v>7</v>
      </c>
      <c r="D1301" t="s">
        <v>9108</v>
      </c>
      <c r="E1301" s="28">
        <v>46252</v>
      </c>
      <c r="F1301" t="s">
        <v>9109</v>
      </c>
      <c r="G1301" s="3" t="s">
        <v>9514</v>
      </c>
      <c r="H1301" t="s">
        <v>9425</v>
      </c>
      <c r="I1301" s="28">
        <v>46335</v>
      </c>
      <c r="J1301" t="s">
        <v>9118</v>
      </c>
      <c r="K1301" t="s">
        <v>32</v>
      </c>
    </row>
    <row r="1302" spans="1:11">
      <c r="A1302" s="3">
        <v>2531361</v>
      </c>
      <c r="B1302" t="s">
        <v>3854</v>
      </c>
      <c r="C1302" t="s">
        <v>7</v>
      </c>
      <c r="D1302" t="s">
        <v>9108</v>
      </c>
      <c r="E1302" s="28">
        <v>46252</v>
      </c>
      <c r="F1302" t="s">
        <v>9109</v>
      </c>
      <c r="G1302" s="3" t="s">
        <v>9514</v>
      </c>
      <c r="H1302" t="s">
        <v>9425</v>
      </c>
      <c r="I1302" s="28">
        <v>46335</v>
      </c>
      <c r="J1302" t="s">
        <v>9118</v>
      </c>
      <c r="K1302" t="s">
        <v>32</v>
      </c>
    </row>
    <row r="1303" spans="1:11">
      <c r="A1303" s="3">
        <v>2531366</v>
      </c>
      <c r="B1303" t="s">
        <v>2431</v>
      </c>
      <c r="C1303" t="s">
        <v>8</v>
      </c>
      <c r="D1303" t="s">
        <v>9108</v>
      </c>
      <c r="E1303" s="28">
        <v>46252</v>
      </c>
      <c r="F1303" t="s">
        <v>9109</v>
      </c>
      <c r="G1303" s="3" t="s">
        <v>9514</v>
      </c>
      <c r="H1303" t="s">
        <v>9425</v>
      </c>
      <c r="I1303" s="28">
        <v>46335</v>
      </c>
      <c r="J1303" t="s">
        <v>9118</v>
      </c>
      <c r="K1303" t="s">
        <v>32</v>
      </c>
    </row>
    <row r="1304" spans="1:11">
      <c r="A1304" s="3">
        <v>2531371</v>
      </c>
      <c r="B1304" t="s">
        <v>1479</v>
      </c>
      <c r="C1304" t="s">
        <v>8</v>
      </c>
      <c r="D1304" t="s">
        <v>9108</v>
      </c>
      <c r="E1304" s="28">
        <v>46252</v>
      </c>
      <c r="F1304" t="s">
        <v>9109</v>
      </c>
      <c r="G1304" s="3" t="s">
        <v>9483</v>
      </c>
      <c r="H1304" t="s">
        <v>412</v>
      </c>
      <c r="I1304" s="28">
        <v>46331</v>
      </c>
      <c r="J1304" t="s">
        <v>9118</v>
      </c>
      <c r="K1304" t="s">
        <v>32</v>
      </c>
    </row>
    <row r="1305" spans="1:11">
      <c r="A1305" s="3">
        <v>2531372</v>
      </c>
      <c r="B1305" t="s">
        <v>4268</v>
      </c>
      <c r="C1305" t="s">
        <v>7</v>
      </c>
      <c r="D1305" t="s">
        <v>9108</v>
      </c>
      <c r="E1305" s="28">
        <v>46252</v>
      </c>
      <c r="F1305" t="s">
        <v>9109</v>
      </c>
      <c r="G1305" s="3" t="s">
        <v>9483</v>
      </c>
      <c r="H1305" t="s">
        <v>412</v>
      </c>
      <c r="I1305" s="28">
        <v>46331</v>
      </c>
      <c r="J1305" t="s">
        <v>9118</v>
      </c>
      <c r="K1305" t="s">
        <v>32</v>
      </c>
    </row>
    <row r="1306" spans="1:11">
      <c r="A1306" s="3">
        <v>2531373</v>
      </c>
      <c r="B1306" t="s">
        <v>4728</v>
      </c>
      <c r="C1306" t="s">
        <v>7</v>
      </c>
      <c r="D1306" t="s">
        <v>9108</v>
      </c>
      <c r="E1306" s="28">
        <v>46252</v>
      </c>
      <c r="F1306" t="s">
        <v>9109</v>
      </c>
      <c r="G1306" s="3" t="s">
        <v>9516</v>
      </c>
      <c r="H1306" t="s">
        <v>424</v>
      </c>
      <c r="I1306" s="28">
        <v>46365</v>
      </c>
      <c r="J1306" t="s">
        <v>9118</v>
      </c>
      <c r="K1306" t="s">
        <v>33</v>
      </c>
    </row>
    <row r="1307" spans="1:11">
      <c r="A1307" s="3">
        <v>2531374</v>
      </c>
      <c r="B1307" t="s">
        <v>8634</v>
      </c>
      <c r="C1307" t="s">
        <v>7</v>
      </c>
      <c r="D1307" t="s">
        <v>9108</v>
      </c>
      <c r="E1307" s="28">
        <v>46252</v>
      </c>
      <c r="F1307" t="s">
        <v>9109</v>
      </c>
      <c r="G1307" s="3" t="s">
        <v>9514</v>
      </c>
      <c r="H1307" t="s">
        <v>9425</v>
      </c>
      <c r="I1307" s="28">
        <v>46335</v>
      </c>
      <c r="J1307" t="s">
        <v>9118</v>
      </c>
      <c r="K1307" t="s">
        <v>32</v>
      </c>
    </row>
    <row r="1308" spans="1:11">
      <c r="A1308" s="3">
        <v>2531375</v>
      </c>
      <c r="B1308" t="s">
        <v>7442</v>
      </c>
      <c r="C1308" t="s">
        <v>7</v>
      </c>
      <c r="D1308" t="s">
        <v>9108</v>
      </c>
      <c r="E1308" s="28">
        <v>46252</v>
      </c>
      <c r="F1308" t="s">
        <v>9109</v>
      </c>
      <c r="G1308" s="3" t="s">
        <v>9516</v>
      </c>
      <c r="H1308" t="s">
        <v>424</v>
      </c>
      <c r="I1308" s="28">
        <v>46365</v>
      </c>
      <c r="J1308" t="s">
        <v>9118</v>
      </c>
      <c r="K1308" t="s">
        <v>33</v>
      </c>
    </row>
    <row r="1309" spans="1:11">
      <c r="A1309" s="3">
        <v>2531376</v>
      </c>
      <c r="B1309" t="s">
        <v>9520</v>
      </c>
      <c r="C1309" t="s">
        <v>7</v>
      </c>
      <c r="D1309" t="s">
        <v>9108</v>
      </c>
      <c r="E1309" s="28">
        <v>46252</v>
      </c>
      <c r="F1309" t="s">
        <v>9109</v>
      </c>
      <c r="G1309" s="3" t="s">
        <v>9514</v>
      </c>
      <c r="H1309" t="s">
        <v>9425</v>
      </c>
      <c r="I1309" s="28">
        <v>46335</v>
      </c>
      <c r="J1309" t="s">
        <v>9118</v>
      </c>
      <c r="K1309" t="s">
        <v>32</v>
      </c>
    </row>
    <row r="1310" spans="1:11">
      <c r="A1310" s="3">
        <v>2531377</v>
      </c>
      <c r="B1310" t="s">
        <v>3650</v>
      </c>
      <c r="C1310" t="s">
        <v>7</v>
      </c>
      <c r="D1310" t="s">
        <v>9108</v>
      </c>
      <c r="E1310" s="28">
        <v>46252</v>
      </c>
      <c r="F1310" t="s">
        <v>9109</v>
      </c>
      <c r="G1310" s="3" t="s">
        <v>9514</v>
      </c>
      <c r="H1310" t="s">
        <v>9425</v>
      </c>
      <c r="I1310" s="28">
        <v>46335</v>
      </c>
      <c r="J1310" t="s">
        <v>9118</v>
      </c>
      <c r="K1310" t="s">
        <v>32</v>
      </c>
    </row>
    <row r="1311" spans="1:11">
      <c r="A1311" s="3">
        <v>2531378</v>
      </c>
      <c r="B1311" t="s">
        <v>8591</v>
      </c>
      <c r="C1311" t="s">
        <v>7</v>
      </c>
      <c r="D1311" t="s">
        <v>9108</v>
      </c>
      <c r="E1311" s="28">
        <v>46252</v>
      </c>
      <c r="F1311" t="s">
        <v>9109</v>
      </c>
      <c r="G1311" s="3" t="s">
        <v>9514</v>
      </c>
      <c r="H1311" t="s">
        <v>9425</v>
      </c>
      <c r="I1311" s="28">
        <v>46335</v>
      </c>
      <c r="J1311" t="s">
        <v>9118</v>
      </c>
      <c r="K1311" t="s">
        <v>32</v>
      </c>
    </row>
    <row r="1312" spans="1:11">
      <c r="A1312" s="3">
        <v>2531379</v>
      </c>
      <c r="B1312" t="s">
        <v>1577</v>
      </c>
      <c r="C1312" t="s">
        <v>7</v>
      </c>
      <c r="D1312" t="s">
        <v>9108</v>
      </c>
      <c r="E1312" s="28">
        <v>46252</v>
      </c>
      <c r="F1312" t="s">
        <v>9109</v>
      </c>
      <c r="G1312" s="3" t="s">
        <v>9516</v>
      </c>
      <c r="H1312" t="s">
        <v>424</v>
      </c>
      <c r="I1312" s="28">
        <v>46365</v>
      </c>
      <c r="J1312" t="s">
        <v>9118</v>
      </c>
      <c r="K1312" t="s">
        <v>33</v>
      </c>
    </row>
    <row r="1313" spans="1:11">
      <c r="A1313" s="3">
        <v>2531381</v>
      </c>
      <c r="B1313" t="s">
        <v>920</v>
      </c>
      <c r="C1313" t="s">
        <v>7</v>
      </c>
      <c r="D1313" t="s">
        <v>9108</v>
      </c>
      <c r="E1313" s="28">
        <v>46252</v>
      </c>
      <c r="F1313" t="s">
        <v>9109</v>
      </c>
      <c r="G1313" s="3" t="s">
        <v>9516</v>
      </c>
      <c r="H1313" t="s">
        <v>424</v>
      </c>
      <c r="I1313" s="28">
        <v>46365</v>
      </c>
      <c r="J1313" t="s">
        <v>9118</v>
      </c>
      <c r="K1313" t="s">
        <v>33</v>
      </c>
    </row>
    <row r="1314" spans="1:11">
      <c r="A1314" s="3">
        <v>2531384</v>
      </c>
      <c r="B1314" t="s">
        <v>3446</v>
      </c>
      <c r="C1314" t="s">
        <v>7</v>
      </c>
      <c r="D1314" t="s">
        <v>9108</v>
      </c>
      <c r="E1314" s="28">
        <v>46252</v>
      </c>
      <c r="F1314" t="s">
        <v>9109</v>
      </c>
      <c r="G1314" s="3" t="s">
        <v>9514</v>
      </c>
      <c r="H1314" t="s">
        <v>9425</v>
      </c>
      <c r="I1314" s="28">
        <v>46335</v>
      </c>
      <c r="J1314" t="s">
        <v>9118</v>
      </c>
      <c r="K1314" t="s">
        <v>32</v>
      </c>
    </row>
    <row r="1315" spans="1:11">
      <c r="A1315" s="3">
        <v>2531385</v>
      </c>
      <c r="B1315" t="s">
        <v>2556</v>
      </c>
      <c r="C1315" t="s">
        <v>7</v>
      </c>
      <c r="D1315" t="s">
        <v>9108</v>
      </c>
      <c r="E1315" s="28">
        <v>46252</v>
      </c>
      <c r="F1315" t="s">
        <v>9109</v>
      </c>
      <c r="G1315" s="3" t="s">
        <v>9516</v>
      </c>
      <c r="H1315" t="s">
        <v>424</v>
      </c>
      <c r="I1315" s="28">
        <v>46365</v>
      </c>
      <c r="J1315" t="s">
        <v>9118</v>
      </c>
      <c r="K1315" t="s">
        <v>33</v>
      </c>
    </row>
    <row r="1316" spans="1:11">
      <c r="A1316" s="3">
        <v>2531386</v>
      </c>
      <c r="B1316" t="s">
        <v>3391</v>
      </c>
      <c r="C1316" t="s">
        <v>8</v>
      </c>
      <c r="D1316" t="s">
        <v>9108</v>
      </c>
      <c r="E1316" s="28">
        <v>46252</v>
      </c>
      <c r="F1316" t="s">
        <v>9109</v>
      </c>
      <c r="G1316" s="3" t="s">
        <v>9483</v>
      </c>
      <c r="H1316" t="s">
        <v>412</v>
      </c>
      <c r="I1316" s="28">
        <v>46331</v>
      </c>
      <c r="J1316" t="s">
        <v>9118</v>
      </c>
      <c r="K1316" t="s">
        <v>32</v>
      </c>
    </row>
    <row r="1317" spans="1:11">
      <c r="A1317" s="3">
        <v>2531388</v>
      </c>
      <c r="B1317" t="s">
        <v>4236</v>
      </c>
      <c r="C1317" t="s">
        <v>7</v>
      </c>
      <c r="D1317" t="s">
        <v>9108</v>
      </c>
      <c r="E1317" s="28">
        <v>46252</v>
      </c>
      <c r="F1317" t="s">
        <v>9109</v>
      </c>
      <c r="G1317" s="3" t="s">
        <v>9516</v>
      </c>
      <c r="H1317" t="s">
        <v>424</v>
      </c>
      <c r="I1317" s="28">
        <v>46365</v>
      </c>
      <c r="J1317" t="s">
        <v>9118</v>
      </c>
      <c r="K1317" t="s">
        <v>33</v>
      </c>
    </row>
    <row r="1318" spans="1:11">
      <c r="A1318" s="3">
        <v>2531389</v>
      </c>
      <c r="B1318" t="s">
        <v>9521</v>
      </c>
      <c r="C1318" t="s">
        <v>7</v>
      </c>
      <c r="D1318" t="s">
        <v>9108</v>
      </c>
      <c r="E1318" s="28">
        <v>46252</v>
      </c>
      <c r="F1318" t="s">
        <v>9109</v>
      </c>
      <c r="G1318" s="3" t="s">
        <v>9516</v>
      </c>
      <c r="H1318" t="s">
        <v>424</v>
      </c>
      <c r="I1318" s="28">
        <v>46365</v>
      </c>
      <c r="J1318" t="s">
        <v>9118</v>
      </c>
      <c r="K1318" t="s">
        <v>33</v>
      </c>
    </row>
    <row r="1319" spans="1:11">
      <c r="A1319" s="3">
        <v>2531390</v>
      </c>
      <c r="B1319" t="s">
        <v>2461</v>
      </c>
      <c r="C1319" t="s">
        <v>7</v>
      </c>
      <c r="D1319" t="s">
        <v>9108</v>
      </c>
      <c r="E1319" s="28">
        <v>46252</v>
      </c>
      <c r="F1319" t="s">
        <v>9109</v>
      </c>
      <c r="G1319" s="3" t="s">
        <v>9483</v>
      </c>
      <c r="H1319" t="s">
        <v>412</v>
      </c>
      <c r="I1319" s="28">
        <v>46331</v>
      </c>
      <c r="J1319" t="s">
        <v>9118</v>
      </c>
      <c r="K1319" t="s">
        <v>32</v>
      </c>
    </row>
    <row r="1320" spans="1:11">
      <c r="A1320" s="3">
        <v>2531391</v>
      </c>
      <c r="B1320" t="s">
        <v>3824</v>
      </c>
      <c r="C1320" t="s">
        <v>7</v>
      </c>
      <c r="D1320" t="s">
        <v>9108</v>
      </c>
      <c r="E1320" s="28">
        <v>46252</v>
      </c>
      <c r="F1320" t="s">
        <v>9109</v>
      </c>
      <c r="G1320" s="3" t="s">
        <v>9514</v>
      </c>
      <c r="H1320" t="s">
        <v>9425</v>
      </c>
      <c r="I1320" s="28">
        <v>46335</v>
      </c>
      <c r="J1320" t="s">
        <v>9118</v>
      </c>
      <c r="K1320" t="s">
        <v>32</v>
      </c>
    </row>
    <row r="1321" spans="1:11">
      <c r="A1321" s="3">
        <v>2531392</v>
      </c>
      <c r="B1321" t="s">
        <v>7677</v>
      </c>
      <c r="C1321" t="s">
        <v>7</v>
      </c>
      <c r="D1321" t="s">
        <v>9108</v>
      </c>
      <c r="E1321" s="28">
        <v>46252</v>
      </c>
      <c r="F1321" t="s">
        <v>9109</v>
      </c>
      <c r="G1321" s="3" t="s">
        <v>9514</v>
      </c>
      <c r="H1321" t="s">
        <v>9425</v>
      </c>
      <c r="I1321" s="28">
        <v>46335</v>
      </c>
      <c r="J1321" t="s">
        <v>9118</v>
      </c>
      <c r="K1321" t="s">
        <v>32</v>
      </c>
    </row>
    <row r="1322" spans="1:11">
      <c r="A1322" s="3">
        <v>2531393</v>
      </c>
      <c r="B1322" t="s">
        <v>3778</v>
      </c>
      <c r="C1322" t="s">
        <v>7</v>
      </c>
      <c r="D1322" t="s">
        <v>9108</v>
      </c>
      <c r="E1322" s="28">
        <v>46252</v>
      </c>
      <c r="F1322" t="s">
        <v>9109</v>
      </c>
      <c r="G1322" s="3" t="s">
        <v>9514</v>
      </c>
      <c r="H1322" t="s">
        <v>9425</v>
      </c>
      <c r="I1322" s="28">
        <v>46335</v>
      </c>
      <c r="J1322" t="s">
        <v>9118</v>
      </c>
      <c r="K1322" t="s">
        <v>32</v>
      </c>
    </row>
    <row r="1323" spans="1:11">
      <c r="A1323" s="3">
        <v>2531394</v>
      </c>
      <c r="B1323" t="s">
        <v>8068</v>
      </c>
      <c r="C1323" t="s">
        <v>8</v>
      </c>
      <c r="D1323" t="s">
        <v>9108</v>
      </c>
      <c r="E1323" s="28">
        <v>46252</v>
      </c>
      <c r="F1323" t="s">
        <v>9109</v>
      </c>
      <c r="G1323" s="3" t="s">
        <v>9516</v>
      </c>
      <c r="H1323" t="s">
        <v>424</v>
      </c>
      <c r="I1323" s="28">
        <v>46365</v>
      </c>
      <c r="J1323" t="s">
        <v>9118</v>
      </c>
      <c r="K1323" t="s">
        <v>33</v>
      </c>
    </row>
    <row r="1324" spans="1:11">
      <c r="A1324" s="3">
        <v>2531395</v>
      </c>
      <c r="B1324" t="s">
        <v>1602</v>
      </c>
      <c r="C1324" t="s">
        <v>7</v>
      </c>
      <c r="D1324" t="s">
        <v>9108</v>
      </c>
      <c r="E1324" s="28">
        <v>46252</v>
      </c>
      <c r="F1324" t="s">
        <v>9109</v>
      </c>
      <c r="G1324" s="3" t="s">
        <v>9516</v>
      </c>
      <c r="H1324" t="s">
        <v>424</v>
      </c>
      <c r="I1324" s="28">
        <v>46365</v>
      </c>
      <c r="J1324" t="s">
        <v>9118</v>
      </c>
      <c r="K1324" t="s">
        <v>33</v>
      </c>
    </row>
    <row r="1325" spans="1:11">
      <c r="A1325" s="3">
        <v>2531396</v>
      </c>
      <c r="B1325" t="s">
        <v>4189</v>
      </c>
      <c r="C1325" t="s">
        <v>7</v>
      </c>
      <c r="D1325" t="s">
        <v>9108</v>
      </c>
      <c r="E1325" s="28">
        <v>46252</v>
      </c>
      <c r="F1325" t="s">
        <v>9109</v>
      </c>
      <c r="G1325" s="3" t="s">
        <v>9516</v>
      </c>
      <c r="H1325" t="s">
        <v>424</v>
      </c>
      <c r="I1325" s="28">
        <v>46365</v>
      </c>
      <c r="J1325" t="s">
        <v>9118</v>
      </c>
      <c r="K1325" t="s">
        <v>33</v>
      </c>
    </row>
    <row r="1326" spans="1:11">
      <c r="A1326" s="3">
        <v>2531397</v>
      </c>
      <c r="B1326" t="s">
        <v>8957</v>
      </c>
      <c r="C1326" t="s">
        <v>8</v>
      </c>
      <c r="D1326" t="s">
        <v>9108</v>
      </c>
      <c r="E1326" s="28">
        <v>46252</v>
      </c>
      <c r="F1326" t="s">
        <v>9109</v>
      </c>
      <c r="G1326" s="3" t="s">
        <v>9514</v>
      </c>
      <c r="H1326" t="s">
        <v>9425</v>
      </c>
      <c r="I1326" s="28">
        <v>46335</v>
      </c>
      <c r="J1326" t="s">
        <v>9118</v>
      </c>
      <c r="K1326" t="s">
        <v>32</v>
      </c>
    </row>
    <row r="1327" spans="1:11">
      <c r="A1327" s="3">
        <v>2531398</v>
      </c>
      <c r="B1327" t="s">
        <v>2058</v>
      </c>
      <c r="C1327" t="s">
        <v>7</v>
      </c>
      <c r="D1327" t="s">
        <v>9108</v>
      </c>
      <c r="E1327" s="28">
        <v>46252</v>
      </c>
      <c r="F1327" t="s">
        <v>9109</v>
      </c>
      <c r="G1327" s="3" t="s">
        <v>9514</v>
      </c>
      <c r="H1327" t="s">
        <v>9425</v>
      </c>
      <c r="I1327" s="28">
        <v>46335</v>
      </c>
      <c r="J1327" t="s">
        <v>9118</v>
      </c>
      <c r="K1327" t="s">
        <v>32</v>
      </c>
    </row>
    <row r="1328" spans="1:11">
      <c r="A1328" s="3">
        <v>2531399</v>
      </c>
      <c r="B1328" t="s">
        <v>8281</v>
      </c>
      <c r="C1328" t="s">
        <v>8</v>
      </c>
      <c r="D1328" t="s">
        <v>9108</v>
      </c>
      <c r="E1328" s="28">
        <v>46252</v>
      </c>
      <c r="F1328" t="s">
        <v>9109</v>
      </c>
      <c r="G1328" s="3" t="s">
        <v>9514</v>
      </c>
      <c r="H1328" t="s">
        <v>9425</v>
      </c>
      <c r="I1328" s="28">
        <v>46335</v>
      </c>
      <c r="J1328" t="s">
        <v>9118</v>
      </c>
      <c r="K1328" t="s">
        <v>32</v>
      </c>
    </row>
    <row r="1329" spans="1:11">
      <c r="A1329" s="3">
        <v>2531400</v>
      </c>
      <c r="B1329" t="s">
        <v>8322</v>
      </c>
      <c r="C1329" t="s">
        <v>7</v>
      </c>
      <c r="D1329" t="s">
        <v>9108</v>
      </c>
      <c r="E1329" s="28">
        <v>46252</v>
      </c>
      <c r="F1329" t="s">
        <v>9109</v>
      </c>
      <c r="G1329" s="3" t="s">
        <v>9514</v>
      </c>
      <c r="H1329" t="s">
        <v>9425</v>
      </c>
      <c r="I1329" s="28">
        <v>46335</v>
      </c>
      <c r="J1329" t="s">
        <v>9118</v>
      </c>
      <c r="K1329" t="s">
        <v>32</v>
      </c>
    </row>
    <row r="1330" spans="1:11">
      <c r="A1330" s="3">
        <v>2531401</v>
      </c>
      <c r="B1330" t="s">
        <v>3438</v>
      </c>
      <c r="C1330" t="s">
        <v>8</v>
      </c>
      <c r="D1330" t="s">
        <v>9108</v>
      </c>
      <c r="E1330" s="28">
        <v>46252</v>
      </c>
      <c r="F1330" t="s">
        <v>9109</v>
      </c>
      <c r="G1330" s="3" t="s">
        <v>9428</v>
      </c>
      <c r="H1330" t="s">
        <v>9425</v>
      </c>
      <c r="I1330" s="28">
        <v>46353</v>
      </c>
      <c r="J1330" t="s">
        <v>9118</v>
      </c>
      <c r="K1330" t="s">
        <v>32</v>
      </c>
    </row>
    <row r="1331" spans="1:11">
      <c r="A1331" s="3">
        <v>2531402</v>
      </c>
      <c r="B1331" t="s">
        <v>7541</v>
      </c>
      <c r="C1331" t="s">
        <v>7</v>
      </c>
      <c r="D1331" t="s">
        <v>9108</v>
      </c>
      <c r="E1331" s="28">
        <v>46252</v>
      </c>
      <c r="F1331" t="s">
        <v>9109</v>
      </c>
      <c r="G1331" s="3" t="s">
        <v>9428</v>
      </c>
      <c r="H1331" t="s">
        <v>9425</v>
      </c>
      <c r="I1331" s="28">
        <v>46353</v>
      </c>
      <c r="J1331" t="s">
        <v>9118</v>
      </c>
      <c r="K1331" t="s">
        <v>32</v>
      </c>
    </row>
    <row r="1332" spans="1:11">
      <c r="A1332" s="3">
        <v>2531403</v>
      </c>
      <c r="B1332" t="s">
        <v>3443</v>
      </c>
      <c r="C1332" t="s">
        <v>8</v>
      </c>
      <c r="D1332" t="s">
        <v>9108</v>
      </c>
      <c r="E1332" s="28">
        <v>46252</v>
      </c>
      <c r="F1332" t="s">
        <v>9109</v>
      </c>
      <c r="G1332" s="3" t="s">
        <v>9483</v>
      </c>
      <c r="H1332" t="s">
        <v>412</v>
      </c>
      <c r="I1332" s="28">
        <v>46331</v>
      </c>
      <c r="J1332" t="s">
        <v>9118</v>
      </c>
      <c r="K1332" t="s">
        <v>32</v>
      </c>
    </row>
    <row r="1333" spans="1:11">
      <c r="A1333" s="3">
        <v>2531404</v>
      </c>
      <c r="B1333" t="s">
        <v>4316</v>
      </c>
      <c r="C1333" t="s">
        <v>7</v>
      </c>
      <c r="D1333" t="s">
        <v>9108</v>
      </c>
      <c r="E1333" s="28">
        <v>46252</v>
      </c>
      <c r="F1333" t="s">
        <v>9109</v>
      </c>
      <c r="G1333" s="3" t="s">
        <v>9510</v>
      </c>
      <c r="H1333" t="s">
        <v>9511</v>
      </c>
      <c r="I1333" s="28">
        <v>46324</v>
      </c>
      <c r="J1333" t="s">
        <v>9118</v>
      </c>
      <c r="K1333" t="s">
        <v>31</v>
      </c>
    </row>
    <row r="1334" spans="1:11">
      <c r="A1334" s="3">
        <v>2531405</v>
      </c>
      <c r="B1334" t="s">
        <v>8502</v>
      </c>
      <c r="C1334" t="s">
        <v>7</v>
      </c>
      <c r="D1334" t="s">
        <v>9108</v>
      </c>
      <c r="E1334" s="28">
        <v>46252</v>
      </c>
      <c r="F1334" t="s">
        <v>9109</v>
      </c>
      <c r="G1334" s="3" t="s">
        <v>9514</v>
      </c>
      <c r="H1334" t="s">
        <v>9425</v>
      </c>
      <c r="I1334" s="28">
        <v>46335</v>
      </c>
      <c r="J1334" t="s">
        <v>9118</v>
      </c>
      <c r="K1334" t="s">
        <v>32</v>
      </c>
    </row>
    <row r="1335" spans="1:11">
      <c r="A1335" s="3">
        <v>2531406</v>
      </c>
      <c r="B1335" t="s">
        <v>2689</v>
      </c>
      <c r="C1335" t="s">
        <v>7</v>
      </c>
      <c r="D1335" t="s">
        <v>9108</v>
      </c>
      <c r="E1335" s="28">
        <v>46252</v>
      </c>
      <c r="F1335" t="s">
        <v>9109</v>
      </c>
      <c r="G1335" s="3" t="s">
        <v>9514</v>
      </c>
      <c r="H1335" t="s">
        <v>9425</v>
      </c>
      <c r="I1335" s="28">
        <v>46335</v>
      </c>
      <c r="J1335" t="s">
        <v>9118</v>
      </c>
      <c r="K1335" t="s">
        <v>32</v>
      </c>
    </row>
    <row r="1336" spans="1:11">
      <c r="A1336" s="3">
        <v>2531407</v>
      </c>
      <c r="B1336" t="s">
        <v>9522</v>
      </c>
      <c r="C1336" t="s">
        <v>7</v>
      </c>
      <c r="D1336" t="s">
        <v>9108</v>
      </c>
      <c r="E1336" s="28">
        <v>46252</v>
      </c>
      <c r="F1336" t="s">
        <v>9109</v>
      </c>
      <c r="G1336" s="3" t="s">
        <v>9514</v>
      </c>
      <c r="H1336" t="s">
        <v>9425</v>
      </c>
      <c r="I1336" s="28">
        <v>46335</v>
      </c>
      <c r="J1336" t="s">
        <v>9118</v>
      </c>
      <c r="K1336" t="s">
        <v>32</v>
      </c>
    </row>
    <row r="1337" spans="1:11">
      <c r="A1337" s="3">
        <v>2531408</v>
      </c>
      <c r="B1337" t="s">
        <v>473</v>
      </c>
      <c r="C1337" t="s">
        <v>7</v>
      </c>
      <c r="D1337" t="s">
        <v>9108</v>
      </c>
      <c r="E1337" s="28">
        <v>46252</v>
      </c>
      <c r="F1337" t="s">
        <v>9109</v>
      </c>
      <c r="G1337" s="3" t="s">
        <v>9514</v>
      </c>
      <c r="H1337" t="s">
        <v>9425</v>
      </c>
      <c r="I1337" s="28">
        <v>46335</v>
      </c>
      <c r="J1337" t="s">
        <v>9118</v>
      </c>
      <c r="K1337" t="s">
        <v>32</v>
      </c>
    </row>
    <row r="1338" spans="1:11">
      <c r="A1338" s="3">
        <v>2531409</v>
      </c>
      <c r="B1338" t="s">
        <v>7610</v>
      </c>
      <c r="C1338" t="s">
        <v>7</v>
      </c>
      <c r="D1338" t="s">
        <v>9108</v>
      </c>
      <c r="E1338" s="28">
        <v>46252</v>
      </c>
      <c r="F1338" t="s">
        <v>9109</v>
      </c>
      <c r="G1338" s="3" t="s">
        <v>9515</v>
      </c>
      <c r="H1338" t="s">
        <v>412</v>
      </c>
      <c r="I1338" s="28">
        <v>46330</v>
      </c>
      <c r="J1338" t="s">
        <v>9118</v>
      </c>
      <c r="K1338" t="s">
        <v>32</v>
      </c>
    </row>
    <row r="1339" spans="1:11">
      <c r="A1339" s="3">
        <v>2531410</v>
      </c>
      <c r="B1339" t="s">
        <v>7089</v>
      </c>
      <c r="C1339" t="s">
        <v>7</v>
      </c>
      <c r="D1339" t="s">
        <v>9108</v>
      </c>
      <c r="E1339" s="28">
        <v>46252</v>
      </c>
      <c r="F1339" t="s">
        <v>9109</v>
      </c>
      <c r="G1339" s="3" t="s">
        <v>9516</v>
      </c>
      <c r="H1339" t="s">
        <v>424</v>
      </c>
      <c r="I1339" s="28">
        <v>46365</v>
      </c>
      <c r="J1339" t="s">
        <v>9118</v>
      </c>
      <c r="K1339" t="s">
        <v>33</v>
      </c>
    </row>
    <row r="1340" spans="1:11">
      <c r="A1340" s="3">
        <v>2531411</v>
      </c>
      <c r="B1340" t="s">
        <v>5070</v>
      </c>
      <c r="C1340" t="s">
        <v>7</v>
      </c>
      <c r="D1340" t="s">
        <v>9108</v>
      </c>
      <c r="E1340" s="28">
        <v>46252</v>
      </c>
      <c r="F1340" t="s">
        <v>9109</v>
      </c>
      <c r="G1340" s="3" t="s">
        <v>9515</v>
      </c>
      <c r="H1340" t="s">
        <v>412</v>
      </c>
      <c r="I1340" s="28">
        <v>46330</v>
      </c>
      <c r="J1340" t="s">
        <v>9118</v>
      </c>
      <c r="K1340" t="s">
        <v>32</v>
      </c>
    </row>
    <row r="1341" spans="1:11">
      <c r="A1341" s="3">
        <v>2531412</v>
      </c>
      <c r="B1341" t="s">
        <v>9523</v>
      </c>
      <c r="C1341" t="s">
        <v>8</v>
      </c>
      <c r="D1341" t="s">
        <v>9108</v>
      </c>
      <c r="E1341" s="28">
        <v>46252</v>
      </c>
      <c r="F1341" t="s">
        <v>9109</v>
      </c>
      <c r="G1341" s="3" t="s">
        <v>9515</v>
      </c>
      <c r="H1341" t="s">
        <v>412</v>
      </c>
      <c r="I1341" s="28">
        <v>46330</v>
      </c>
      <c r="J1341" t="s">
        <v>9118</v>
      </c>
      <c r="K1341" t="s">
        <v>32</v>
      </c>
    </row>
    <row r="1342" spans="1:11">
      <c r="A1342" s="3">
        <v>2531413</v>
      </c>
      <c r="B1342" t="s">
        <v>9524</v>
      </c>
      <c r="C1342" t="s">
        <v>7</v>
      </c>
      <c r="D1342" t="s">
        <v>9108</v>
      </c>
      <c r="E1342" s="28">
        <v>46252</v>
      </c>
      <c r="F1342" t="s">
        <v>9109</v>
      </c>
      <c r="G1342" s="3" t="s">
        <v>9483</v>
      </c>
      <c r="H1342" t="s">
        <v>412</v>
      </c>
      <c r="I1342" s="28">
        <v>46331</v>
      </c>
      <c r="J1342" t="s">
        <v>9118</v>
      </c>
      <c r="K1342" t="s">
        <v>32</v>
      </c>
    </row>
    <row r="1343" spans="1:11">
      <c r="A1343" s="3">
        <v>2531414</v>
      </c>
      <c r="B1343" t="s">
        <v>7014</v>
      </c>
      <c r="C1343" t="s">
        <v>7</v>
      </c>
      <c r="D1343" t="s">
        <v>9108</v>
      </c>
      <c r="E1343" s="28">
        <v>46252</v>
      </c>
      <c r="F1343" t="s">
        <v>9109</v>
      </c>
      <c r="G1343" s="3" t="s">
        <v>9483</v>
      </c>
      <c r="H1343" t="s">
        <v>412</v>
      </c>
      <c r="I1343" s="28">
        <v>46331</v>
      </c>
      <c r="J1343" t="s">
        <v>9118</v>
      </c>
      <c r="K1343" t="s">
        <v>32</v>
      </c>
    </row>
    <row r="1344" spans="1:11">
      <c r="A1344" s="3">
        <v>2531415</v>
      </c>
      <c r="B1344" t="s">
        <v>9525</v>
      </c>
      <c r="C1344" t="s">
        <v>7</v>
      </c>
      <c r="D1344" t="s">
        <v>9108</v>
      </c>
      <c r="E1344" s="28">
        <v>46252</v>
      </c>
      <c r="F1344" t="s">
        <v>9109</v>
      </c>
      <c r="G1344" s="3" t="s">
        <v>9514</v>
      </c>
      <c r="H1344" t="s">
        <v>9425</v>
      </c>
      <c r="I1344" s="28">
        <v>46335</v>
      </c>
      <c r="J1344" t="s">
        <v>9118</v>
      </c>
      <c r="K1344" t="s">
        <v>32</v>
      </c>
    </row>
    <row r="1345" spans="1:11">
      <c r="A1345" s="3">
        <v>2531416</v>
      </c>
      <c r="B1345" t="s">
        <v>9526</v>
      </c>
      <c r="C1345" t="s">
        <v>7</v>
      </c>
      <c r="D1345" t="s">
        <v>9108</v>
      </c>
      <c r="E1345" s="28">
        <v>46252</v>
      </c>
      <c r="F1345" t="s">
        <v>9109</v>
      </c>
      <c r="G1345" s="3" t="s">
        <v>9514</v>
      </c>
      <c r="H1345" t="s">
        <v>9425</v>
      </c>
      <c r="I1345" s="28">
        <v>46335</v>
      </c>
      <c r="J1345" t="s">
        <v>9118</v>
      </c>
      <c r="K1345" t="s">
        <v>32</v>
      </c>
    </row>
    <row r="1346" spans="1:11">
      <c r="A1346" s="3">
        <v>2531417</v>
      </c>
      <c r="B1346" t="s">
        <v>807</v>
      </c>
      <c r="C1346" t="s">
        <v>7</v>
      </c>
      <c r="D1346" t="s">
        <v>9108</v>
      </c>
      <c r="E1346" s="28">
        <v>46252</v>
      </c>
      <c r="F1346" t="s">
        <v>9109</v>
      </c>
      <c r="G1346" s="3" t="s">
        <v>9514</v>
      </c>
      <c r="H1346" t="s">
        <v>9425</v>
      </c>
      <c r="I1346" s="28">
        <v>46335</v>
      </c>
      <c r="J1346" t="s">
        <v>9118</v>
      </c>
      <c r="K1346" t="s">
        <v>32</v>
      </c>
    </row>
    <row r="1347" spans="1:11">
      <c r="A1347" s="3">
        <v>2531418</v>
      </c>
      <c r="B1347" t="s">
        <v>9527</v>
      </c>
      <c r="C1347" t="s">
        <v>7</v>
      </c>
      <c r="D1347" t="s">
        <v>9108</v>
      </c>
      <c r="E1347" s="28">
        <v>46252</v>
      </c>
      <c r="F1347" t="s">
        <v>9109</v>
      </c>
      <c r="G1347" s="3" t="s">
        <v>9514</v>
      </c>
      <c r="H1347" t="s">
        <v>9425</v>
      </c>
      <c r="I1347" s="28">
        <v>46335</v>
      </c>
      <c r="J1347" t="s">
        <v>9118</v>
      </c>
      <c r="K1347" t="s">
        <v>32</v>
      </c>
    </row>
    <row r="1348" spans="1:11">
      <c r="A1348" s="3">
        <v>2531420</v>
      </c>
      <c r="B1348" t="s">
        <v>5065</v>
      </c>
      <c r="C1348" t="s">
        <v>7</v>
      </c>
      <c r="D1348" t="s">
        <v>9108</v>
      </c>
      <c r="E1348" s="28">
        <v>46252</v>
      </c>
      <c r="F1348" t="s">
        <v>9109</v>
      </c>
      <c r="G1348" s="3" t="s">
        <v>9515</v>
      </c>
      <c r="H1348" t="s">
        <v>412</v>
      </c>
      <c r="I1348" s="28">
        <v>46330</v>
      </c>
      <c r="J1348" t="s">
        <v>9118</v>
      </c>
      <c r="K1348" t="s">
        <v>32</v>
      </c>
    </row>
    <row r="1349" spans="1:11">
      <c r="A1349" s="3">
        <v>2531421</v>
      </c>
      <c r="B1349" t="s">
        <v>3407</v>
      </c>
      <c r="C1349" t="s">
        <v>8</v>
      </c>
      <c r="D1349" t="s">
        <v>9108</v>
      </c>
      <c r="E1349" s="28">
        <v>46252</v>
      </c>
      <c r="F1349" t="s">
        <v>9109</v>
      </c>
      <c r="G1349" s="3" t="s">
        <v>9428</v>
      </c>
      <c r="H1349" t="s">
        <v>9425</v>
      </c>
      <c r="I1349" s="28">
        <v>46353</v>
      </c>
      <c r="J1349" t="s">
        <v>9118</v>
      </c>
      <c r="K1349" t="s">
        <v>32</v>
      </c>
    </row>
    <row r="1350" spans="1:11">
      <c r="A1350" s="3">
        <v>2531422</v>
      </c>
      <c r="B1350" t="s">
        <v>9528</v>
      </c>
      <c r="C1350" t="s">
        <v>8</v>
      </c>
      <c r="D1350" t="s">
        <v>9108</v>
      </c>
      <c r="E1350" s="28">
        <v>46252</v>
      </c>
      <c r="F1350" t="s">
        <v>9109</v>
      </c>
      <c r="G1350" s="3" t="s">
        <v>9515</v>
      </c>
      <c r="H1350" t="s">
        <v>412</v>
      </c>
      <c r="I1350" s="28">
        <v>46330</v>
      </c>
      <c r="J1350" t="s">
        <v>9118</v>
      </c>
      <c r="K1350" t="s">
        <v>32</v>
      </c>
    </row>
    <row r="1351" spans="1:11">
      <c r="A1351" s="3">
        <v>2531423</v>
      </c>
      <c r="B1351" t="s">
        <v>7625</v>
      </c>
      <c r="C1351" t="s">
        <v>7</v>
      </c>
      <c r="D1351" t="s">
        <v>9108</v>
      </c>
      <c r="E1351" s="28">
        <v>46252</v>
      </c>
      <c r="F1351" t="s">
        <v>9109</v>
      </c>
      <c r="G1351" s="3" t="s">
        <v>9515</v>
      </c>
      <c r="H1351" t="s">
        <v>412</v>
      </c>
      <c r="I1351" s="28">
        <v>46330</v>
      </c>
      <c r="J1351" t="s">
        <v>9118</v>
      </c>
      <c r="K1351" t="s">
        <v>32</v>
      </c>
    </row>
    <row r="1352" spans="1:11">
      <c r="A1352" s="3">
        <v>2531424</v>
      </c>
      <c r="B1352" t="s">
        <v>8474</v>
      </c>
      <c r="C1352" t="s">
        <v>7</v>
      </c>
      <c r="D1352" t="s">
        <v>9108</v>
      </c>
      <c r="E1352" s="28">
        <v>46252</v>
      </c>
      <c r="F1352" t="s">
        <v>9109</v>
      </c>
      <c r="G1352" s="3" t="s">
        <v>9514</v>
      </c>
      <c r="H1352" t="s">
        <v>9425</v>
      </c>
      <c r="I1352" s="28">
        <v>46335</v>
      </c>
      <c r="J1352" t="s">
        <v>9118</v>
      </c>
      <c r="K1352" t="s">
        <v>32</v>
      </c>
    </row>
    <row r="1353" spans="1:11">
      <c r="A1353" s="3">
        <v>2531425</v>
      </c>
      <c r="B1353" t="s">
        <v>4288</v>
      </c>
      <c r="C1353" t="s">
        <v>7</v>
      </c>
      <c r="D1353" t="s">
        <v>9108</v>
      </c>
      <c r="E1353" s="28">
        <v>46252</v>
      </c>
      <c r="F1353" t="s">
        <v>9109</v>
      </c>
      <c r="G1353" s="3" t="s">
        <v>9514</v>
      </c>
      <c r="H1353" t="s">
        <v>9425</v>
      </c>
      <c r="I1353" s="28">
        <v>46335</v>
      </c>
      <c r="J1353" t="s">
        <v>9118</v>
      </c>
      <c r="K1353" t="s">
        <v>32</v>
      </c>
    </row>
    <row r="1354" spans="1:11">
      <c r="A1354" s="3">
        <v>2531427</v>
      </c>
      <c r="B1354" t="s">
        <v>4337</v>
      </c>
      <c r="C1354" t="s">
        <v>7</v>
      </c>
      <c r="D1354" t="s">
        <v>9108</v>
      </c>
      <c r="E1354" s="28">
        <v>46252</v>
      </c>
      <c r="F1354" t="s">
        <v>9109</v>
      </c>
      <c r="G1354" s="3" t="s">
        <v>9514</v>
      </c>
      <c r="H1354" t="s">
        <v>9425</v>
      </c>
      <c r="I1354" s="28">
        <v>46335</v>
      </c>
      <c r="J1354" t="s">
        <v>9118</v>
      </c>
      <c r="K1354" t="s">
        <v>32</v>
      </c>
    </row>
    <row r="1355" spans="1:11">
      <c r="A1355" s="3">
        <v>2531441</v>
      </c>
      <c r="B1355" t="s">
        <v>7637</v>
      </c>
      <c r="C1355" t="s">
        <v>7</v>
      </c>
      <c r="D1355" t="s">
        <v>9108</v>
      </c>
      <c r="E1355" s="28">
        <v>46252</v>
      </c>
      <c r="F1355" t="s">
        <v>9109</v>
      </c>
      <c r="G1355" s="3" t="s">
        <v>9428</v>
      </c>
      <c r="H1355" t="s">
        <v>9425</v>
      </c>
      <c r="I1355" s="28">
        <v>46353</v>
      </c>
      <c r="J1355" t="s">
        <v>9118</v>
      </c>
      <c r="K1355" t="s">
        <v>32</v>
      </c>
    </row>
    <row r="1356" spans="1:11">
      <c r="A1356" s="3">
        <v>2531444</v>
      </c>
      <c r="B1356" t="s">
        <v>9529</v>
      </c>
      <c r="C1356" t="s">
        <v>8</v>
      </c>
      <c r="D1356" t="s">
        <v>9108</v>
      </c>
      <c r="E1356" s="28">
        <v>46252</v>
      </c>
      <c r="F1356" t="s">
        <v>9109</v>
      </c>
      <c r="G1356" s="3" t="s">
        <v>9516</v>
      </c>
      <c r="H1356" t="s">
        <v>424</v>
      </c>
      <c r="I1356" s="28">
        <v>46365</v>
      </c>
      <c r="J1356" t="s">
        <v>9118</v>
      </c>
      <c r="K1356" t="s">
        <v>33</v>
      </c>
    </row>
    <row r="1357" spans="1:11">
      <c r="A1357" s="3">
        <v>2531445</v>
      </c>
      <c r="B1357" t="s">
        <v>5926</v>
      </c>
      <c r="C1357" t="s">
        <v>8</v>
      </c>
      <c r="D1357" t="s">
        <v>9108</v>
      </c>
      <c r="E1357" s="28">
        <v>46252</v>
      </c>
      <c r="F1357" t="s">
        <v>9109</v>
      </c>
      <c r="G1357" s="3" t="s">
        <v>9483</v>
      </c>
      <c r="H1357" t="s">
        <v>412</v>
      </c>
      <c r="I1357" s="28">
        <v>46331</v>
      </c>
      <c r="J1357" t="s">
        <v>9118</v>
      </c>
      <c r="K1357" t="s">
        <v>32</v>
      </c>
    </row>
    <row r="1358" spans="1:11">
      <c r="A1358" s="3">
        <v>2531446</v>
      </c>
      <c r="B1358" t="s">
        <v>1714</v>
      </c>
      <c r="C1358" t="s">
        <v>8</v>
      </c>
      <c r="D1358" t="s">
        <v>9108</v>
      </c>
      <c r="E1358" s="28">
        <v>46252</v>
      </c>
      <c r="F1358" t="s">
        <v>9109</v>
      </c>
      <c r="G1358" s="3" t="s">
        <v>9516</v>
      </c>
      <c r="H1358" t="s">
        <v>424</v>
      </c>
      <c r="I1358" s="28">
        <v>46365</v>
      </c>
      <c r="J1358" t="s">
        <v>9118</v>
      </c>
      <c r="K1358" t="s">
        <v>33</v>
      </c>
    </row>
    <row r="1359" spans="1:11">
      <c r="A1359" s="3">
        <v>2531448</v>
      </c>
      <c r="B1359" t="s">
        <v>381</v>
      </c>
      <c r="C1359" t="s">
        <v>8</v>
      </c>
      <c r="D1359" t="s">
        <v>9108</v>
      </c>
      <c r="E1359" s="28">
        <v>46252</v>
      </c>
      <c r="F1359" t="s">
        <v>9109</v>
      </c>
      <c r="G1359" s="3" t="s">
        <v>9516</v>
      </c>
      <c r="H1359" t="s">
        <v>424</v>
      </c>
      <c r="I1359" s="28">
        <v>46365</v>
      </c>
      <c r="J1359" t="s">
        <v>9118</v>
      </c>
      <c r="K1359" t="s">
        <v>33</v>
      </c>
    </row>
    <row r="1360" spans="1:11">
      <c r="A1360" s="3">
        <v>2531449</v>
      </c>
      <c r="B1360" t="s">
        <v>9530</v>
      </c>
      <c r="C1360" t="s">
        <v>7</v>
      </c>
      <c r="D1360" t="s">
        <v>9108</v>
      </c>
      <c r="E1360" s="28">
        <v>46252</v>
      </c>
      <c r="F1360" t="s">
        <v>9109</v>
      </c>
      <c r="G1360" s="3" t="s">
        <v>9514</v>
      </c>
      <c r="H1360" t="s">
        <v>9425</v>
      </c>
      <c r="I1360" s="28">
        <v>46335</v>
      </c>
      <c r="J1360" t="s">
        <v>9118</v>
      </c>
      <c r="K1360" t="s">
        <v>32</v>
      </c>
    </row>
    <row r="1361" spans="1:11">
      <c r="A1361" s="3">
        <v>2531793</v>
      </c>
      <c r="B1361" t="s">
        <v>6825</v>
      </c>
      <c r="C1361" t="s">
        <v>8</v>
      </c>
      <c r="D1361" t="s">
        <v>9531</v>
      </c>
      <c r="E1361" s="28">
        <v>46254</v>
      </c>
      <c r="F1361" t="s">
        <v>9109</v>
      </c>
      <c r="G1361" s="3" t="s">
        <v>9120</v>
      </c>
      <c r="H1361" t="s">
        <v>5324</v>
      </c>
      <c r="I1361" s="28">
        <v>46310</v>
      </c>
      <c r="J1361" t="s">
        <v>9118</v>
      </c>
      <c r="K1361" t="s">
        <v>31</v>
      </c>
    </row>
    <row r="1362" spans="1:11">
      <c r="A1362" s="3">
        <v>2531794</v>
      </c>
      <c r="B1362" t="s">
        <v>3308</v>
      </c>
      <c r="C1362" t="s">
        <v>7</v>
      </c>
      <c r="D1362" t="s">
        <v>9531</v>
      </c>
      <c r="E1362" s="28">
        <v>46254</v>
      </c>
      <c r="F1362" t="s">
        <v>9109</v>
      </c>
      <c r="G1362" s="3" t="s">
        <v>9120</v>
      </c>
      <c r="H1362" t="s">
        <v>5324</v>
      </c>
      <c r="I1362" s="28">
        <v>46310</v>
      </c>
      <c r="J1362" t="s">
        <v>9118</v>
      </c>
      <c r="K1362" t="s">
        <v>31</v>
      </c>
    </row>
    <row r="1363" spans="1:11">
      <c r="A1363" s="3">
        <v>2531795</v>
      </c>
      <c r="B1363" t="s">
        <v>5217</v>
      </c>
      <c r="C1363" t="s">
        <v>8</v>
      </c>
      <c r="D1363" t="s">
        <v>9531</v>
      </c>
      <c r="E1363" s="28">
        <v>46254</v>
      </c>
      <c r="F1363" t="s">
        <v>9109</v>
      </c>
      <c r="G1363" s="3" t="s">
        <v>9120</v>
      </c>
      <c r="H1363" t="s">
        <v>5324</v>
      </c>
      <c r="I1363" s="28">
        <v>46310</v>
      </c>
      <c r="J1363" t="s">
        <v>9118</v>
      </c>
      <c r="K1363" t="s">
        <v>31</v>
      </c>
    </row>
    <row r="1364" spans="1:11">
      <c r="A1364" s="3">
        <v>2531796</v>
      </c>
      <c r="B1364" t="s">
        <v>5476</v>
      </c>
      <c r="C1364" t="s">
        <v>8</v>
      </c>
      <c r="D1364" t="s">
        <v>9531</v>
      </c>
      <c r="E1364" s="28">
        <v>46254</v>
      </c>
      <c r="F1364" t="s">
        <v>9109</v>
      </c>
      <c r="G1364" s="3" t="s">
        <v>9120</v>
      </c>
      <c r="H1364" t="s">
        <v>5324</v>
      </c>
      <c r="I1364" s="28">
        <v>46310</v>
      </c>
      <c r="J1364" t="s">
        <v>9118</v>
      </c>
      <c r="K1364" t="s">
        <v>31</v>
      </c>
    </row>
    <row r="1365" spans="1:11">
      <c r="A1365" s="3">
        <v>2531797</v>
      </c>
      <c r="B1365" t="s">
        <v>9532</v>
      </c>
      <c r="C1365" t="s">
        <v>8</v>
      </c>
      <c r="D1365" t="s">
        <v>9531</v>
      </c>
      <c r="E1365" s="28">
        <v>46254</v>
      </c>
      <c r="F1365" t="s">
        <v>9109</v>
      </c>
      <c r="G1365" s="3" t="s">
        <v>9120</v>
      </c>
      <c r="H1365" t="s">
        <v>5324</v>
      </c>
      <c r="I1365" s="28">
        <v>46310</v>
      </c>
      <c r="J1365" t="s">
        <v>9118</v>
      </c>
      <c r="K1365" t="s">
        <v>31</v>
      </c>
    </row>
    <row r="1366" spans="1:11">
      <c r="A1366" s="3">
        <v>2531798</v>
      </c>
      <c r="B1366" t="s">
        <v>1893</v>
      </c>
      <c r="C1366" t="s">
        <v>8</v>
      </c>
      <c r="D1366" t="s">
        <v>9531</v>
      </c>
      <c r="E1366" s="28">
        <v>46254</v>
      </c>
      <c r="F1366" t="s">
        <v>9109</v>
      </c>
      <c r="G1366" s="3" t="s">
        <v>9120</v>
      </c>
      <c r="H1366" t="s">
        <v>5324</v>
      </c>
      <c r="I1366" s="28">
        <v>46310</v>
      </c>
      <c r="J1366" t="s">
        <v>9118</v>
      </c>
      <c r="K1366" t="s">
        <v>31</v>
      </c>
    </row>
    <row r="1367" spans="1:11">
      <c r="A1367" s="3">
        <v>2531799</v>
      </c>
      <c r="B1367" t="s">
        <v>4684</v>
      </c>
      <c r="C1367" t="s">
        <v>7</v>
      </c>
      <c r="D1367" t="s">
        <v>9531</v>
      </c>
      <c r="E1367" s="28">
        <v>46254</v>
      </c>
      <c r="F1367" t="s">
        <v>9109</v>
      </c>
      <c r="G1367" s="3" t="s">
        <v>9120</v>
      </c>
      <c r="H1367" t="s">
        <v>5324</v>
      </c>
      <c r="I1367" s="28">
        <v>46310</v>
      </c>
      <c r="J1367" t="s">
        <v>9118</v>
      </c>
      <c r="K1367" t="s">
        <v>31</v>
      </c>
    </row>
    <row r="1368" spans="1:11">
      <c r="A1368" s="3">
        <v>2531800</v>
      </c>
      <c r="B1368" t="s">
        <v>6804</v>
      </c>
      <c r="C1368" t="s">
        <v>8</v>
      </c>
      <c r="D1368" t="s">
        <v>9531</v>
      </c>
      <c r="E1368" s="28">
        <v>46254</v>
      </c>
      <c r="F1368" t="s">
        <v>9109</v>
      </c>
      <c r="G1368" s="3" t="s">
        <v>9120</v>
      </c>
      <c r="H1368" t="s">
        <v>5324</v>
      </c>
      <c r="I1368" s="28">
        <v>46310</v>
      </c>
      <c r="J1368" t="s">
        <v>9118</v>
      </c>
      <c r="K1368" t="s">
        <v>31</v>
      </c>
    </row>
    <row r="1369" spans="1:11">
      <c r="A1369" s="3">
        <v>2531801</v>
      </c>
      <c r="B1369" t="s">
        <v>1440</v>
      </c>
      <c r="C1369" t="s">
        <v>8</v>
      </c>
      <c r="D1369" t="s">
        <v>9531</v>
      </c>
      <c r="E1369" s="28">
        <v>46254</v>
      </c>
      <c r="F1369" t="s">
        <v>9109</v>
      </c>
      <c r="G1369" s="3" t="s">
        <v>9120</v>
      </c>
      <c r="H1369" t="s">
        <v>5324</v>
      </c>
      <c r="I1369" s="28">
        <v>46310</v>
      </c>
      <c r="J1369" t="s">
        <v>9118</v>
      </c>
      <c r="K1369" t="s">
        <v>31</v>
      </c>
    </row>
    <row r="1370" spans="1:11">
      <c r="A1370" s="3">
        <v>2531802</v>
      </c>
      <c r="B1370" t="s">
        <v>725</v>
      </c>
      <c r="C1370" t="s">
        <v>8</v>
      </c>
      <c r="D1370" t="s">
        <v>9531</v>
      </c>
      <c r="E1370" s="28">
        <v>46254</v>
      </c>
      <c r="F1370" t="s">
        <v>9109</v>
      </c>
      <c r="G1370" s="3" t="s">
        <v>9120</v>
      </c>
      <c r="H1370" t="s">
        <v>5324</v>
      </c>
      <c r="I1370" s="28">
        <v>46310</v>
      </c>
      <c r="J1370" t="s">
        <v>9118</v>
      </c>
      <c r="K1370" t="s">
        <v>31</v>
      </c>
    </row>
    <row r="1371" spans="1:11">
      <c r="A1371" s="3">
        <v>2531803</v>
      </c>
      <c r="B1371" t="s">
        <v>5212</v>
      </c>
      <c r="C1371" t="s">
        <v>8</v>
      </c>
      <c r="D1371" t="s">
        <v>9531</v>
      </c>
      <c r="E1371" s="28">
        <v>46254</v>
      </c>
      <c r="F1371" t="s">
        <v>9109</v>
      </c>
      <c r="G1371" s="3" t="s">
        <v>9120</v>
      </c>
      <c r="H1371" t="s">
        <v>5324</v>
      </c>
      <c r="I1371" s="28">
        <v>46310</v>
      </c>
      <c r="J1371" t="s">
        <v>9118</v>
      </c>
      <c r="K1371" t="s">
        <v>31</v>
      </c>
    </row>
    <row r="1372" spans="1:11">
      <c r="A1372" s="3">
        <v>2531804</v>
      </c>
      <c r="B1372" t="s">
        <v>3008</v>
      </c>
      <c r="C1372" t="s">
        <v>7</v>
      </c>
      <c r="D1372" t="s">
        <v>9531</v>
      </c>
      <c r="E1372" s="28">
        <v>46254</v>
      </c>
      <c r="F1372" t="s">
        <v>9109</v>
      </c>
      <c r="G1372" s="3" t="s">
        <v>9120</v>
      </c>
      <c r="H1372" t="s">
        <v>5324</v>
      </c>
      <c r="I1372" s="28">
        <v>46310</v>
      </c>
      <c r="J1372" t="s">
        <v>9118</v>
      </c>
      <c r="K1372" t="s">
        <v>31</v>
      </c>
    </row>
    <row r="1373" spans="1:11">
      <c r="A1373" s="3">
        <v>2531805</v>
      </c>
      <c r="B1373" t="s">
        <v>5388</v>
      </c>
      <c r="C1373" t="s">
        <v>8</v>
      </c>
      <c r="D1373" t="s">
        <v>9531</v>
      </c>
      <c r="E1373" s="28">
        <v>46254</v>
      </c>
      <c r="F1373" t="s">
        <v>9109</v>
      </c>
      <c r="G1373" s="3" t="s">
        <v>9120</v>
      </c>
      <c r="H1373" t="s">
        <v>5324</v>
      </c>
      <c r="I1373" s="28">
        <v>46310</v>
      </c>
      <c r="J1373" t="s">
        <v>9118</v>
      </c>
      <c r="K1373" t="s">
        <v>31</v>
      </c>
    </row>
    <row r="1374" spans="1:11">
      <c r="A1374" s="3">
        <v>2531806</v>
      </c>
      <c r="B1374" t="s">
        <v>5523</v>
      </c>
      <c r="C1374" t="s">
        <v>8</v>
      </c>
      <c r="D1374" t="s">
        <v>9531</v>
      </c>
      <c r="E1374" s="28">
        <v>46254</v>
      </c>
      <c r="F1374" t="s">
        <v>9109</v>
      </c>
      <c r="G1374" s="3" t="s">
        <v>9120</v>
      </c>
      <c r="H1374" t="s">
        <v>5324</v>
      </c>
      <c r="I1374" s="28">
        <v>46310</v>
      </c>
      <c r="J1374" t="s">
        <v>9118</v>
      </c>
      <c r="K1374" t="s">
        <v>31</v>
      </c>
    </row>
    <row r="1375" spans="1:11">
      <c r="A1375" s="3">
        <v>2531807</v>
      </c>
      <c r="B1375" t="s">
        <v>5922</v>
      </c>
      <c r="C1375" t="s">
        <v>8</v>
      </c>
      <c r="D1375" t="s">
        <v>9531</v>
      </c>
      <c r="E1375" s="28">
        <v>46254</v>
      </c>
      <c r="F1375" t="s">
        <v>9109</v>
      </c>
      <c r="G1375" s="3" t="s">
        <v>9120</v>
      </c>
      <c r="H1375" t="s">
        <v>5324</v>
      </c>
      <c r="I1375" s="28">
        <v>46310</v>
      </c>
      <c r="J1375" t="s">
        <v>9118</v>
      </c>
      <c r="K1375" t="s">
        <v>31</v>
      </c>
    </row>
    <row r="1376" spans="1:11">
      <c r="A1376" s="3">
        <v>2531808</v>
      </c>
      <c r="B1376" t="s">
        <v>9533</v>
      </c>
      <c r="C1376" t="s">
        <v>8</v>
      </c>
      <c r="D1376" t="s">
        <v>9531</v>
      </c>
      <c r="E1376" s="28">
        <v>46254</v>
      </c>
      <c r="F1376" t="s">
        <v>9109</v>
      </c>
      <c r="G1376" s="3" t="s">
        <v>9120</v>
      </c>
      <c r="H1376" t="s">
        <v>5324</v>
      </c>
      <c r="I1376" s="28">
        <v>46310</v>
      </c>
      <c r="J1376" t="s">
        <v>9118</v>
      </c>
      <c r="K1376" t="s">
        <v>31</v>
      </c>
    </row>
    <row r="1377" spans="1:11">
      <c r="A1377" s="3">
        <v>2531809</v>
      </c>
      <c r="B1377" t="s">
        <v>2149</v>
      </c>
      <c r="C1377" t="s">
        <v>8</v>
      </c>
      <c r="D1377" t="s">
        <v>9531</v>
      </c>
      <c r="E1377" s="28">
        <v>46254</v>
      </c>
      <c r="F1377" t="s">
        <v>9109</v>
      </c>
      <c r="G1377" s="3" t="s">
        <v>9120</v>
      </c>
      <c r="H1377" t="s">
        <v>5324</v>
      </c>
      <c r="I1377" s="28">
        <v>46310</v>
      </c>
      <c r="J1377" t="s">
        <v>9118</v>
      </c>
      <c r="K1377" t="s">
        <v>31</v>
      </c>
    </row>
    <row r="1378" spans="1:11">
      <c r="A1378" s="3">
        <v>2531810</v>
      </c>
      <c r="B1378" t="s">
        <v>968</v>
      </c>
      <c r="C1378" t="s">
        <v>8</v>
      </c>
      <c r="D1378" t="s">
        <v>9531</v>
      </c>
      <c r="E1378" s="28">
        <v>46254</v>
      </c>
      <c r="F1378" t="s">
        <v>9109</v>
      </c>
      <c r="G1378" s="3" t="s">
        <v>9120</v>
      </c>
      <c r="H1378" t="s">
        <v>5324</v>
      </c>
      <c r="I1378" s="28">
        <v>46310</v>
      </c>
      <c r="J1378" t="s">
        <v>9118</v>
      </c>
      <c r="K1378" t="s">
        <v>31</v>
      </c>
    </row>
    <row r="1379" spans="1:11">
      <c r="A1379" s="3">
        <v>2531811</v>
      </c>
      <c r="B1379" t="s">
        <v>9534</v>
      </c>
      <c r="C1379" t="s">
        <v>8</v>
      </c>
      <c r="D1379" t="s">
        <v>9531</v>
      </c>
      <c r="E1379" s="28">
        <v>46254</v>
      </c>
      <c r="F1379" t="s">
        <v>9109</v>
      </c>
      <c r="G1379" s="3" t="s">
        <v>9120</v>
      </c>
      <c r="H1379" t="s">
        <v>5324</v>
      </c>
      <c r="I1379" s="28">
        <v>46310</v>
      </c>
      <c r="J1379" t="s">
        <v>9118</v>
      </c>
      <c r="K1379" t="s">
        <v>31</v>
      </c>
    </row>
    <row r="1380" spans="1:11">
      <c r="A1380" s="3">
        <v>2531812</v>
      </c>
      <c r="B1380" t="s">
        <v>9535</v>
      </c>
      <c r="C1380" t="s">
        <v>8</v>
      </c>
      <c r="D1380" t="s">
        <v>9531</v>
      </c>
      <c r="E1380" s="28">
        <v>46254</v>
      </c>
      <c r="F1380" t="s">
        <v>9109</v>
      </c>
      <c r="G1380" s="3" t="s">
        <v>9120</v>
      </c>
      <c r="H1380" t="s">
        <v>5324</v>
      </c>
      <c r="I1380" s="28">
        <v>46310</v>
      </c>
      <c r="J1380" t="s">
        <v>9118</v>
      </c>
      <c r="K1380" t="s">
        <v>31</v>
      </c>
    </row>
    <row r="1381" spans="1:11">
      <c r="A1381" s="3">
        <v>2531813</v>
      </c>
      <c r="B1381" t="s">
        <v>996</v>
      </c>
      <c r="C1381" t="s">
        <v>8</v>
      </c>
      <c r="D1381" t="s">
        <v>9531</v>
      </c>
      <c r="E1381" s="28">
        <v>46254</v>
      </c>
      <c r="F1381" t="s">
        <v>9109</v>
      </c>
      <c r="G1381" s="3" t="s">
        <v>9120</v>
      </c>
      <c r="H1381" t="s">
        <v>5324</v>
      </c>
      <c r="I1381" s="28">
        <v>46310</v>
      </c>
      <c r="J1381" t="s">
        <v>9118</v>
      </c>
      <c r="K1381" t="s">
        <v>31</v>
      </c>
    </row>
    <row r="1382" spans="1:11">
      <c r="A1382" s="3">
        <v>2531814</v>
      </c>
      <c r="B1382" t="s">
        <v>1281</v>
      </c>
      <c r="C1382" t="s">
        <v>8</v>
      </c>
      <c r="D1382" t="s">
        <v>9531</v>
      </c>
      <c r="E1382" s="28">
        <v>46254</v>
      </c>
      <c r="F1382" t="s">
        <v>9109</v>
      </c>
      <c r="G1382" s="3" t="s">
        <v>9120</v>
      </c>
      <c r="H1382" t="s">
        <v>5324</v>
      </c>
      <c r="I1382" s="28">
        <v>46310</v>
      </c>
      <c r="J1382" t="s">
        <v>9118</v>
      </c>
      <c r="K1382" t="s">
        <v>31</v>
      </c>
    </row>
    <row r="1383" spans="1:11">
      <c r="A1383" s="3">
        <v>2531815</v>
      </c>
      <c r="B1383" t="s">
        <v>9536</v>
      </c>
      <c r="C1383" t="s">
        <v>8</v>
      </c>
      <c r="D1383" t="s">
        <v>9108</v>
      </c>
      <c r="E1383" s="28">
        <v>46254</v>
      </c>
      <c r="F1383" t="s">
        <v>9109</v>
      </c>
      <c r="G1383" s="3" t="s">
        <v>9537</v>
      </c>
      <c r="H1383" t="s">
        <v>306</v>
      </c>
      <c r="I1383" s="28">
        <v>46343</v>
      </c>
      <c r="J1383" t="s">
        <v>9118</v>
      </c>
      <c r="K1383" t="s">
        <v>32</v>
      </c>
    </row>
    <row r="1384" spans="1:11">
      <c r="A1384" s="3">
        <v>2531816</v>
      </c>
      <c r="B1384" t="s">
        <v>7306</v>
      </c>
      <c r="C1384" t="s">
        <v>8</v>
      </c>
      <c r="D1384" t="s">
        <v>9108</v>
      </c>
      <c r="E1384" s="28">
        <v>46254</v>
      </c>
      <c r="F1384" t="s">
        <v>9109</v>
      </c>
      <c r="G1384" s="3" t="s">
        <v>9537</v>
      </c>
      <c r="H1384" t="s">
        <v>306</v>
      </c>
      <c r="I1384" s="28">
        <v>46343</v>
      </c>
      <c r="J1384" t="s">
        <v>9118</v>
      </c>
      <c r="K1384" t="s">
        <v>32</v>
      </c>
    </row>
    <row r="1385" spans="1:11">
      <c r="A1385" s="3">
        <v>2531817</v>
      </c>
      <c r="B1385" t="s">
        <v>8838</v>
      </c>
      <c r="C1385" t="s">
        <v>7</v>
      </c>
      <c r="D1385" t="s">
        <v>9108</v>
      </c>
      <c r="E1385" s="28">
        <v>46254</v>
      </c>
      <c r="F1385" t="s">
        <v>9109</v>
      </c>
      <c r="G1385" s="3" t="s">
        <v>9538</v>
      </c>
      <c r="H1385" t="s">
        <v>412</v>
      </c>
      <c r="I1385" s="28" t="s">
        <v>9113</v>
      </c>
      <c r="J1385" t="s">
        <v>9112</v>
      </c>
      <c r="K1385" t="s">
        <v>9113</v>
      </c>
    </row>
    <row r="1386" spans="1:11">
      <c r="A1386" s="3">
        <v>2531818</v>
      </c>
      <c r="B1386" t="s">
        <v>331</v>
      </c>
      <c r="C1386" t="s">
        <v>8</v>
      </c>
      <c r="D1386" t="s">
        <v>9108</v>
      </c>
      <c r="E1386" s="28">
        <v>46254</v>
      </c>
      <c r="F1386" t="s">
        <v>9109</v>
      </c>
      <c r="G1386" s="3" t="s">
        <v>9537</v>
      </c>
      <c r="H1386" t="s">
        <v>306</v>
      </c>
      <c r="I1386" s="28">
        <v>46343</v>
      </c>
      <c r="J1386" t="s">
        <v>9118</v>
      </c>
      <c r="K1386" t="s">
        <v>32</v>
      </c>
    </row>
    <row r="1387" spans="1:11">
      <c r="A1387" s="3">
        <v>2531819</v>
      </c>
      <c r="B1387" t="s">
        <v>9006</v>
      </c>
      <c r="C1387" t="s">
        <v>8</v>
      </c>
      <c r="D1387" t="s">
        <v>9108</v>
      </c>
      <c r="E1387" s="28">
        <v>46254</v>
      </c>
      <c r="F1387" t="s">
        <v>9109</v>
      </c>
      <c r="G1387" s="3" t="s">
        <v>9539</v>
      </c>
      <c r="H1387" t="s">
        <v>4040</v>
      </c>
      <c r="I1387" s="28">
        <v>46343</v>
      </c>
      <c r="J1387" t="s">
        <v>9118</v>
      </c>
      <c r="K1387" t="s">
        <v>32</v>
      </c>
    </row>
    <row r="1388" spans="1:11">
      <c r="A1388" s="3">
        <v>2531820</v>
      </c>
      <c r="B1388" t="s">
        <v>3265</v>
      </c>
      <c r="C1388" t="s">
        <v>7</v>
      </c>
      <c r="D1388" t="s">
        <v>9108</v>
      </c>
      <c r="E1388" s="28">
        <v>46254</v>
      </c>
      <c r="F1388" t="s">
        <v>9109</v>
      </c>
      <c r="G1388" s="3" t="s">
        <v>9539</v>
      </c>
      <c r="H1388" t="s">
        <v>4040</v>
      </c>
      <c r="I1388" s="28">
        <v>46343</v>
      </c>
      <c r="J1388" t="s">
        <v>9118</v>
      </c>
      <c r="K1388" t="s">
        <v>32</v>
      </c>
    </row>
    <row r="1389" spans="1:11">
      <c r="A1389" s="3">
        <v>2531821</v>
      </c>
      <c r="B1389" t="s">
        <v>4933</v>
      </c>
      <c r="C1389" t="s">
        <v>7</v>
      </c>
      <c r="D1389" t="s">
        <v>9108</v>
      </c>
      <c r="E1389" s="28">
        <v>46254</v>
      </c>
      <c r="F1389" t="s">
        <v>9109</v>
      </c>
      <c r="G1389" s="3" t="s">
        <v>9539</v>
      </c>
      <c r="H1389" t="s">
        <v>4040</v>
      </c>
      <c r="I1389" s="28">
        <v>46343</v>
      </c>
      <c r="J1389" t="s">
        <v>9118</v>
      </c>
      <c r="K1389" t="s">
        <v>32</v>
      </c>
    </row>
    <row r="1390" spans="1:11">
      <c r="A1390" s="3">
        <v>2531822</v>
      </c>
      <c r="B1390" t="s">
        <v>9540</v>
      </c>
      <c r="C1390" t="s">
        <v>8</v>
      </c>
      <c r="D1390" t="s">
        <v>9108</v>
      </c>
      <c r="E1390" s="28">
        <v>46254</v>
      </c>
      <c r="F1390" t="s">
        <v>9109</v>
      </c>
      <c r="G1390" s="3" t="s">
        <v>9538</v>
      </c>
      <c r="H1390" t="s">
        <v>412</v>
      </c>
      <c r="I1390" s="28" t="s">
        <v>9113</v>
      </c>
      <c r="J1390" t="s">
        <v>9112</v>
      </c>
      <c r="K1390" t="s">
        <v>9113</v>
      </c>
    </row>
    <row r="1391" spans="1:11">
      <c r="A1391" s="3">
        <v>2531823</v>
      </c>
      <c r="B1391" t="s">
        <v>4707</v>
      </c>
      <c r="C1391" t="s">
        <v>8</v>
      </c>
      <c r="D1391" t="s">
        <v>9108</v>
      </c>
      <c r="E1391" s="28">
        <v>46254</v>
      </c>
      <c r="F1391" t="s">
        <v>9109</v>
      </c>
      <c r="G1391" s="3" t="s">
        <v>9537</v>
      </c>
      <c r="H1391" t="s">
        <v>306</v>
      </c>
      <c r="I1391" s="28">
        <v>46343</v>
      </c>
      <c r="J1391" t="s">
        <v>9118</v>
      </c>
      <c r="K1391" t="s">
        <v>32</v>
      </c>
    </row>
    <row r="1392" spans="1:11">
      <c r="A1392" s="3">
        <v>2531824</v>
      </c>
      <c r="B1392" t="s">
        <v>9025</v>
      </c>
      <c r="C1392" t="s">
        <v>8</v>
      </c>
      <c r="D1392" t="s">
        <v>9108</v>
      </c>
      <c r="E1392" s="28">
        <v>46254</v>
      </c>
      <c r="F1392" t="s">
        <v>9109</v>
      </c>
      <c r="G1392" s="3" t="s">
        <v>9537</v>
      </c>
      <c r="H1392" t="s">
        <v>306</v>
      </c>
      <c r="I1392" s="28">
        <v>46343</v>
      </c>
      <c r="J1392" t="s">
        <v>9118</v>
      </c>
      <c r="K1392" t="s">
        <v>32</v>
      </c>
    </row>
    <row r="1393" spans="1:11">
      <c r="A1393" s="3">
        <v>2531825</v>
      </c>
      <c r="B1393" t="s">
        <v>5628</v>
      </c>
      <c r="C1393" t="s">
        <v>8</v>
      </c>
      <c r="D1393" t="s">
        <v>9108</v>
      </c>
      <c r="E1393" s="28">
        <v>46254</v>
      </c>
      <c r="F1393" t="s">
        <v>9109</v>
      </c>
      <c r="G1393" s="3" t="s">
        <v>9539</v>
      </c>
      <c r="H1393" t="s">
        <v>4040</v>
      </c>
      <c r="I1393" s="28">
        <v>46343</v>
      </c>
      <c r="J1393" t="s">
        <v>9118</v>
      </c>
      <c r="K1393" t="s">
        <v>32</v>
      </c>
    </row>
    <row r="1394" spans="1:11">
      <c r="A1394" s="3">
        <v>2531826</v>
      </c>
      <c r="B1394" t="s">
        <v>1078</v>
      </c>
      <c r="C1394" t="s">
        <v>8</v>
      </c>
      <c r="D1394" t="s">
        <v>9108</v>
      </c>
      <c r="E1394" s="28">
        <v>46254</v>
      </c>
      <c r="F1394" t="s">
        <v>9109</v>
      </c>
      <c r="G1394" s="3" t="s">
        <v>9539</v>
      </c>
      <c r="H1394" t="s">
        <v>4040</v>
      </c>
      <c r="I1394" s="28">
        <v>46343</v>
      </c>
      <c r="J1394" t="s">
        <v>9118</v>
      </c>
      <c r="K1394" t="s">
        <v>32</v>
      </c>
    </row>
    <row r="1395" spans="1:11">
      <c r="A1395" s="3">
        <v>2531827</v>
      </c>
      <c r="B1395" t="s">
        <v>7839</v>
      </c>
      <c r="C1395" t="s">
        <v>8</v>
      </c>
      <c r="D1395" t="s">
        <v>9108</v>
      </c>
      <c r="E1395" s="28">
        <v>46254</v>
      </c>
      <c r="F1395" t="s">
        <v>9109</v>
      </c>
      <c r="G1395" s="3" t="s">
        <v>9537</v>
      </c>
      <c r="H1395" t="s">
        <v>306</v>
      </c>
      <c r="I1395" s="28">
        <v>46343</v>
      </c>
      <c r="J1395" t="s">
        <v>9118</v>
      </c>
      <c r="K1395" t="s">
        <v>32</v>
      </c>
    </row>
    <row r="1396" spans="1:11">
      <c r="A1396" s="3">
        <v>2531828</v>
      </c>
      <c r="B1396" t="s">
        <v>4938</v>
      </c>
      <c r="C1396" t="s">
        <v>7</v>
      </c>
      <c r="D1396" t="s">
        <v>9108</v>
      </c>
      <c r="E1396" s="28">
        <v>46254</v>
      </c>
      <c r="F1396" t="s">
        <v>9109</v>
      </c>
      <c r="G1396" s="3" t="s">
        <v>9537</v>
      </c>
      <c r="H1396" t="s">
        <v>306</v>
      </c>
      <c r="I1396" s="28">
        <v>46343</v>
      </c>
      <c r="J1396" t="s">
        <v>9118</v>
      </c>
      <c r="K1396" t="s">
        <v>32</v>
      </c>
    </row>
    <row r="1397" spans="1:11">
      <c r="A1397" s="3">
        <v>2531829</v>
      </c>
      <c r="B1397" t="s">
        <v>5608</v>
      </c>
      <c r="C1397" t="s">
        <v>8</v>
      </c>
      <c r="D1397" t="s">
        <v>9108</v>
      </c>
      <c r="E1397" s="28">
        <v>46254</v>
      </c>
      <c r="F1397" t="s">
        <v>9109</v>
      </c>
      <c r="G1397" s="3" t="s">
        <v>9539</v>
      </c>
      <c r="H1397" t="s">
        <v>4040</v>
      </c>
      <c r="I1397" s="28">
        <v>46343</v>
      </c>
      <c r="J1397" t="s">
        <v>9118</v>
      </c>
      <c r="K1397" t="s">
        <v>32</v>
      </c>
    </row>
    <row r="1398" spans="1:11">
      <c r="A1398" s="3">
        <v>2531830</v>
      </c>
      <c r="B1398" t="s">
        <v>5589</v>
      </c>
      <c r="C1398" t="s">
        <v>8</v>
      </c>
      <c r="D1398" t="s">
        <v>9108</v>
      </c>
      <c r="E1398" s="28">
        <v>46254</v>
      </c>
      <c r="F1398" t="s">
        <v>9109</v>
      </c>
      <c r="G1398" s="3" t="s">
        <v>9539</v>
      </c>
      <c r="H1398" t="s">
        <v>4040</v>
      </c>
      <c r="I1398" s="28">
        <v>46343</v>
      </c>
      <c r="J1398" t="s">
        <v>9118</v>
      </c>
      <c r="K1398" t="s">
        <v>32</v>
      </c>
    </row>
    <row r="1399" spans="1:11">
      <c r="A1399" s="3">
        <v>2531831</v>
      </c>
      <c r="B1399" t="s">
        <v>5560</v>
      </c>
      <c r="C1399" t="s">
        <v>8</v>
      </c>
      <c r="D1399" t="s">
        <v>9108</v>
      </c>
      <c r="E1399" s="28">
        <v>46254</v>
      </c>
      <c r="F1399" t="s">
        <v>9109</v>
      </c>
      <c r="G1399" s="3" t="s">
        <v>9539</v>
      </c>
      <c r="H1399" t="s">
        <v>4040</v>
      </c>
      <c r="I1399" s="28">
        <v>46343</v>
      </c>
      <c r="J1399" t="s">
        <v>9118</v>
      </c>
      <c r="K1399" t="s">
        <v>32</v>
      </c>
    </row>
    <row r="1400" spans="1:11">
      <c r="A1400" s="3">
        <v>2531832</v>
      </c>
      <c r="B1400" t="s">
        <v>351</v>
      </c>
      <c r="C1400" t="s">
        <v>8</v>
      </c>
      <c r="D1400" t="s">
        <v>9108</v>
      </c>
      <c r="E1400" s="28">
        <v>46254</v>
      </c>
      <c r="F1400" t="s">
        <v>9109</v>
      </c>
      <c r="G1400" s="3" t="s">
        <v>9537</v>
      </c>
      <c r="H1400" t="s">
        <v>306</v>
      </c>
      <c r="I1400" s="28">
        <v>46343</v>
      </c>
      <c r="J1400" t="s">
        <v>9118</v>
      </c>
      <c r="K1400" t="s">
        <v>32</v>
      </c>
    </row>
    <row r="1401" spans="1:11">
      <c r="A1401" s="3">
        <v>2531833</v>
      </c>
      <c r="B1401" t="s">
        <v>2826</v>
      </c>
      <c r="C1401" t="s">
        <v>8</v>
      </c>
      <c r="D1401" t="s">
        <v>9108</v>
      </c>
      <c r="E1401" s="28">
        <v>46254</v>
      </c>
      <c r="F1401" t="s">
        <v>9109</v>
      </c>
      <c r="G1401" s="3" t="s">
        <v>9537</v>
      </c>
      <c r="H1401" t="s">
        <v>306</v>
      </c>
      <c r="I1401" s="28">
        <v>46343</v>
      </c>
      <c r="J1401" t="s">
        <v>9118</v>
      </c>
      <c r="K1401" t="s">
        <v>32</v>
      </c>
    </row>
    <row r="1402" spans="1:11">
      <c r="A1402" s="3">
        <v>2531834</v>
      </c>
      <c r="B1402" t="s">
        <v>9541</v>
      </c>
      <c r="C1402" t="s">
        <v>8</v>
      </c>
      <c r="D1402" t="s">
        <v>9108</v>
      </c>
      <c r="E1402" s="28">
        <v>46254</v>
      </c>
      <c r="F1402" t="s">
        <v>9109</v>
      </c>
      <c r="G1402" s="3" t="s">
        <v>9539</v>
      </c>
      <c r="H1402" t="s">
        <v>4040</v>
      </c>
      <c r="I1402" s="28">
        <v>46343</v>
      </c>
      <c r="J1402" t="s">
        <v>9118</v>
      </c>
      <c r="K1402" t="s">
        <v>32</v>
      </c>
    </row>
    <row r="1403" spans="1:11">
      <c r="A1403" s="3">
        <v>2531835</v>
      </c>
      <c r="B1403" t="s">
        <v>2736</v>
      </c>
      <c r="C1403" t="s">
        <v>8</v>
      </c>
      <c r="D1403" t="s">
        <v>9108</v>
      </c>
      <c r="E1403" s="28">
        <v>46254</v>
      </c>
      <c r="F1403" t="s">
        <v>9109</v>
      </c>
      <c r="G1403" s="3" t="s">
        <v>9539</v>
      </c>
      <c r="H1403" t="s">
        <v>4040</v>
      </c>
      <c r="I1403" s="28">
        <v>46343</v>
      </c>
      <c r="J1403" t="s">
        <v>9118</v>
      </c>
      <c r="K1403" t="s">
        <v>32</v>
      </c>
    </row>
    <row r="1404" spans="1:11">
      <c r="A1404" s="3">
        <v>2531836</v>
      </c>
      <c r="B1404" t="s">
        <v>4380</v>
      </c>
      <c r="C1404" t="s">
        <v>8</v>
      </c>
      <c r="D1404" t="s">
        <v>9108</v>
      </c>
      <c r="E1404" s="28">
        <v>46254</v>
      </c>
      <c r="F1404" t="s">
        <v>9109</v>
      </c>
      <c r="G1404" s="3" t="s">
        <v>9539</v>
      </c>
      <c r="H1404" t="s">
        <v>4040</v>
      </c>
      <c r="I1404" s="28">
        <v>46343</v>
      </c>
      <c r="J1404" t="s">
        <v>9118</v>
      </c>
      <c r="K1404" t="s">
        <v>32</v>
      </c>
    </row>
    <row r="1405" spans="1:11">
      <c r="A1405" s="3">
        <v>2531837</v>
      </c>
      <c r="B1405" t="s">
        <v>7269</v>
      </c>
      <c r="C1405" t="s">
        <v>8</v>
      </c>
      <c r="D1405" t="s">
        <v>9108</v>
      </c>
      <c r="E1405" s="28">
        <v>46254</v>
      </c>
      <c r="F1405" t="s">
        <v>9109</v>
      </c>
      <c r="G1405" s="3" t="s">
        <v>9537</v>
      </c>
      <c r="H1405" t="s">
        <v>306</v>
      </c>
      <c r="I1405" s="28">
        <v>46343</v>
      </c>
      <c r="J1405" t="s">
        <v>9118</v>
      </c>
      <c r="K1405" t="s">
        <v>32</v>
      </c>
    </row>
    <row r="1406" spans="1:11">
      <c r="A1406" s="3">
        <v>2531838</v>
      </c>
      <c r="B1406" t="s">
        <v>2854</v>
      </c>
      <c r="C1406" t="s">
        <v>8</v>
      </c>
      <c r="D1406" t="s">
        <v>9108</v>
      </c>
      <c r="E1406" s="28">
        <v>46254</v>
      </c>
      <c r="F1406" t="s">
        <v>9109</v>
      </c>
      <c r="G1406" s="3" t="s">
        <v>9537</v>
      </c>
      <c r="H1406" t="s">
        <v>306</v>
      </c>
      <c r="I1406" s="28">
        <v>46343</v>
      </c>
      <c r="J1406" t="s">
        <v>9118</v>
      </c>
      <c r="K1406" t="s">
        <v>32</v>
      </c>
    </row>
    <row r="1407" spans="1:11">
      <c r="A1407" s="3">
        <v>2531839</v>
      </c>
      <c r="B1407" t="s">
        <v>7812</v>
      </c>
      <c r="C1407" t="s">
        <v>8</v>
      </c>
      <c r="D1407" t="s">
        <v>9108</v>
      </c>
      <c r="E1407" s="28">
        <v>46254</v>
      </c>
      <c r="F1407" t="s">
        <v>9109</v>
      </c>
      <c r="G1407" s="3" t="s">
        <v>9537</v>
      </c>
      <c r="H1407" t="s">
        <v>306</v>
      </c>
      <c r="I1407" s="28">
        <v>46343</v>
      </c>
      <c r="J1407" t="s">
        <v>9118</v>
      </c>
      <c r="K1407" t="s">
        <v>32</v>
      </c>
    </row>
    <row r="1408" spans="1:11">
      <c r="A1408" s="3">
        <v>2531840</v>
      </c>
      <c r="B1408" t="s">
        <v>3170</v>
      </c>
      <c r="C1408" t="s">
        <v>7</v>
      </c>
      <c r="D1408" t="s">
        <v>9108</v>
      </c>
      <c r="E1408" s="28">
        <v>46254</v>
      </c>
      <c r="F1408" t="s">
        <v>9109</v>
      </c>
      <c r="G1408" s="3" t="s">
        <v>9537</v>
      </c>
      <c r="H1408" t="s">
        <v>306</v>
      </c>
      <c r="I1408" s="28">
        <v>46343</v>
      </c>
      <c r="J1408" t="s">
        <v>9118</v>
      </c>
      <c r="K1408" t="s">
        <v>32</v>
      </c>
    </row>
    <row r="1409" spans="1:11">
      <c r="A1409" s="3">
        <v>2531841</v>
      </c>
      <c r="B1409" t="s">
        <v>9029</v>
      </c>
      <c r="C1409" t="s">
        <v>8</v>
      </c>
      <c r="D1409" t="s">
        <v>9108</v>
      </c>
      <c r="E1409" s="28">
        <v>46254</v>
      </c>
      <c r="F1409" t="s">
        <v>9109</v>
      </c>
      <c r="G1409" s="3" t="s">
        <v>9537</v>
      </c>
      <c r="H1409" t="s">
        <v>306</v>
      </c>
      <c r="I1409" s="28">
        <v>46343</v>
      </c>
      <c r="J1409" t="s">
        <v>9118</v>
      </c>
      <c r="K1409" t="s">
        <v>32</v>
      </c>
    </row>
    <row r="1410" spans="1:11">
      <c r="A1410" s="3">
        <v>2531842</v>
      </c>
      <c r="B1410" t="s">
        <v>5803</v>
      </c>
      <c r="C1410" t="s">
        <v>8</v>
      </c>
      <c r="D1410" t="s">
        <v>9108</v>
      </c>
      <c r="E1410" s="28">
        <v>46254</v>
      </c>
      <c r="F1410" t="s">
        <v>9109</v>
      </c>
      <c r="G1410" s="3" t="s">
        <v>9539</v>
      </c>
      <c r="H1410" t="s">
        <v>4040</v>
      </c>
      <c r="I1410" s="28">
        <v>46343</v>
      </c>
      <c r="J1410" t="s">
        <v>9118</v>
      </c>
      <c r="K1410" t="s">
        <v>32</v>
      </c>
    </row>
    <row r="1411" spans="1:11">
      <c r="A1411" s="3">
        <v>2531843</v>
      </c>
      <c r="B1411" t="s">
        <v>9077</v>
      </c>
      <c r="C1411" t="s">
        <v>8</v>
      </c>
      <c r="D1411" t="s">
        <v>9108</v>
      </c>
      <c r="E1411" s="28">
        <v>46254</v>
      </c>
      <c r="F1411" t="s">
        <v>9109</v>
      </c>
      <c r="G1411" s="3" t="s">
        <v>9537</v>
      </c>
      <c r="H1411" t="s">
        <v>306</v>
      </c>
      <c r="I1411" s="28">
        <v>46343</v>
      </c>
      <c r="J1411" t="s">
        <v>9118</v>
      </c>
      <c r="K1411" t="s">
        <v>32</v>
      </c>
    </row>
    <row r="1412" spans="1:11">
      <c r="A1412" s="3">
        <v>2531844</v>
      </c>
      <c r="B1412" t="s">
        <v>9542</v>
      </c>
      <c r="C1412" t="s">
        <v>8</v>
      </c>
      <c r="D1412" t="s">
        <v>9108</v>
      </c>
      <c r="E1412" s="28">
        <v>46254</v>
      </c>
      <c r="F1412" t="s">
        <v>9109</v>
      </c>
      <c r="G1412" s="3" t="s">
        <v>9539</v>
      </c>
      <c r="H1412" t="s">
        <v>4040</v>
      </c>
      <c r="I1412" s="28">
        <v>46343</v>
      </c>
      <c r="J1412" t="s">
        <v>9118</v>
      </c>
      <c r="K1412" t="s">
        <v>32</v>
      </c>
    </row>
    <row r="1413" spans="1:11">
      <c r="A1413" s="3">
        <v>2531845</v>
      </c>
      <c r="B1413" t="s">
        <v>3052</v>
      </c>
      <c r="C1413" t="s">
        <v>7</v>
      </c>
      <c r="D1413" t="s">
        <v>9108</v>
      </c>
      <c r="E1413" s="28">
        <v>46254</v>
      </c>
      <c r="F1413" t="s">
        <v>9109</v>
      </c>
      <c r="G1413" s="3" t="s">
        <v>9539</v>
      </c>
      <c r="H1413" t="s">
        <v>4040</v>
      </c>
      <c r="I1413" s="28">
        <v>46343</v>
      </c>
      <c r="J1413" t="s">
        <v>9118</v>
      </c>
      <c r="K1413" t="s">
        <v>32</v>
      </c>
    </row>
    <row r="1414" spans="1:11">
      <c r="A1414" s="3">
        <v>2531846</v>
      </c>
      <c r="B1414" t="s">
        <v>4374</v>
      </c>
      <c r="C1414" t="s">
        <v>8</v>
      </c>
      <c r="D1414" t="s">
        <v>9108</v>
      </c>
      <c r="E1414" s="28">
        <v>46254</v>
      </c>
      <c r="F1414" t="s">
        <v>9109</v>
      </c>
      <c r="G1414" s="3" t="s">
        <v>9539</v>
      </c>
      <c r="H1414" t="s">
        <v>4040</v>
      </c>
      <c r="I1414" s="28">
        <v>46343</v>
      </c>
      <c r="J1414" t="s">
        <v>9118</v>
      </c>
      <c r="K1414" t="s">
        <v>32</v>
      </c>
    </row>
    <row r="1415" spans="1:11">
      <c r="A1415" s="3">
        <v>2531847</v>
      </c>
      <c r="B1415" t="s">
        <v>9543</v>
      </c>
      <c r="C1415" t="s">
        <v>7</v>
      </c>
      <c r="D1415" t="s">
        <v>9108</v>
      </c>
      <c r="E1415" s="28">
        <v>46254</v>
      </c>
      <c r="F1415" t="s">
        <v>9109</v>
      </c>
      <c r="G1415" s="3" t="s">
        <v>9538</v>
      </c>
      <c r="H1415" t="s">
        <v>412</v>
      </c>
      <c r="I1415" s="28" t="s">
        <v>9113</v>
      </c>
      <c r="J1415" t="s">
        <v>9112</v>
      </c>
      <c r="K1415" t="s">
        <v>9113</v>
      </c>
    </row>
    <row r="1416" spans="1:11">
      <c r="A1416" s="3">
        <v>2531848</v>
      </c>
      <c r="B1416" t="s">
        <v>9544</v>
      </c>
      <c r="C1416" t="s">
        <v>8</v>
      </c>
      <c r="D1416" t="s">
        <v>9108</v>
      </c>
      <c r="E1416" s="28">
        <v>46254</v>
      </c>
      <c r="F1416" t="s">
        <v>9109</v>
      </c>
      <c r="G1416" s="3" t="s">
        <v>9537</v>
      </c>
      <c r="H1416" t="s">
        <v>306</v>
      </c>
      <c r="I1416" s="28">
        <v>46343</v>
      </c>
      <c r="J1416" t="s">
        <v>9118</v>
      </c>
      <c r="K1416" t="s">
        <v>32</v>
      </c>
    </row>
    <row r="1417" spans="1:11">
      <c r="A1417" s="3">
        <v>2531849</v>
      </c>
      <c r="B1417" t="s">
        <v>9545</v>
      </c>
      <c r="C1417" t="s">
        <v>8</v>
      </c>
      <c r="D1417" t="s">
        <v>9108</v>
      </c>
      <c r="E1417" s="28">
        <v>46254</v>
      </c>
      <c r="F1417" t="s">
        <v>9109</v>
      </c>
      <c r="G1417" s="3" t="s">
        <v>9537</v>
      </c>
      <c r="H1417" t="s">
        <v>306</v>
      </c>
      <c r="I1417" s="28">
        <v>46343</v>
      </c>
      <c r="J1417" t="s">
        <v>9118</v>
      </c>
      <c r="K1417" t="s">
        <v>32</v>
      </c>
    </row>
    <row r="1418" spans="1:11">
      <c r="A1418" s="3">
        <v>2531850</v>
      </c>
      <c r="B1418" t="s">
        <v>1777</v>
      </c>
      <c r="C1418" t="s">
        <v>8</v>
      </c>
      <c r="D1418" t="s">
        <v>9108</v>
      </c>
      <c r="E1418" s="28">
        <v>46254</v>
      </c>
      <c r="F1418" t="s">
        <v>9109</v>
      </c>
      <c r="G1418" s="3" t="s">
        <v>9537</v>
      </c>
      <c r="H1418" t="s">
        <v>306</v>
      </c>
      <c r="I1418" s="28">
        <v>46343</v>
      </c>
      <c r="J1418" t="s">
        <v>9118</v>
      </c>
      <c r="K1418" t="s">
        <v>32</v>
      </c>
    </row>
    <row r="1419" spans="1:11">
      <c r="A1419" s="3">
        <v>2531851</v>
      </c>
      <c r="B1419" t="s">
        <v>9546</v>
      </c>
      <c r="C1419" t="s">
        <v>8</v>
      </c>
      <c r="D1419" t="s">
        <v>9108</v>
      </c>
      <c r="E1419" s="28">
        <v>46254</v>
      </c>
      <c r="F1419" t="s">
        <v>9109</v>
      </c>
      <c r="G1419" s="3" t="s">
        <v>9539</v>
      </c>
      <c r="H1419" t="s">
        <v>4040</v>
      </c>
      <c r="I1419" s="28">
        <v>46343</v>
      </c>
      <c r="J1419" t="s">
        <v>9118</v>
      </c>
      <c r="K1419" t="s">
        <v>32</v>
      </c>
    </row>
    <row r="1420" spans="1:11">
      <c r="A1420" s="3">
        <v>2531852</v>
      </c>
      <c r="B1420" t="s">
        <v>7834</v>
      </c>
      <c r="C1420" t="s">
        <v>8</v>
      </c>
      <c r="D1420" t="s">
        <v>9108</v>
      </c>
      <c r="E1420" s="28">
        <v>46254</v>
      </c>
      <c r="F1420" t="s">
        <v>9109</v>
      </c>
      <c r="G1420" s="3" t="s">
        <v>9539</v>
      </c>
      <c r="H1420" t="s">
        <v>4040</v>
      </c>
      <c r="I1420" s="28">
        <v>46343</v>
      </c>
      <c r="J1420" t="s">
        <v>9118</v>
      </c>
      <c r="K1420" t="s">
        <v>32</v>
      </c>
    </row>
    <row r="1421" spans="1:11">
      <c r="A1421" s="3">
        <v>2531853</v>
      </c>
      <c r="B1421" t="s">
        <v>9547</v>
      </c>
      <c r="C1421" t="s">
        <v>8</v>
      </c>
      <c r="D1421" t="s">
        <v>9108</v>
      </c>
      <c r="E1421" s="28">
        <v>46254</v>
      </c>
      <c r="F1421" t="s">
        <v>9109</v>
      </c>
      <c r="G1421" s="3" t="s">
        <v>9539</v>
      </c>
      <c r="H1421" t="s">
        <v>4040</v>
      </c>
      <c r="I1421" s="28">
        <v>46343</v>
      </c>
      <c r="J1421" t="s">
        <v>9118</v>
      </c>
      <c r="K1421" t="s">
        <v>32</v>
      </c>
    </row>
    <row r="1422" spans="1:11">
      <c r="A1422" s="3">
        <v>2531854</v>
      </c>
      <c r="B1422" t="s">
        <v>9548</v>
      </c>
      <c r="C1422" t="s">
        <v>8</v>
      </c>
      <c r="D1422" t="s">
        <v>9108</v>
      </c>
      <c r="E1422" s="28">
        <v>46254</v>
      </c>
      <c r="F1422" t="s">
        <v>9109</v>
      </c>
      <c r="G1422" s="3" t="s">
        <v>9538</v>
      </c>
      <c r="H1422" t="s">
        <v>412</v>
      </c>
      <c r="I1422" s="28" t="s">
        <v>9113</v>
      </c>
      <c r="J1422" t="s">
        <v>9112</v>
      </c>
      <c r="K1422" t="s">
        <v>9113</v>
      </c>
    </row>
    <row r="1423" spans="1:11">
      <c r="A1423" s="3">
        <v>2531855</v>
      </c>
      <c r="B1423" t="s">
        <v>5900</v>
      </c>
      <c r="C1423" t="s">
        <v>8</v>
      </c>
      <c r="D1423" t="s">
        <v>9108</v>
      </c>
      <c r="E1423" s="28">
        <v>46254</v>
      </c>
      <c r="F1423" t="s">
        <v>9109</v>
      </c>
      <c r="G1423" s="3" t="s">
        <v>9537</v>
      </c>
      <c r="H1423" t="s">
        <v>306</v>
      </c>
      <c r="I1423" s="28">
        <v>46343</v>
      </c>
      <c r="J1423" t="s">
        <v>9118</v>
      </c>
      <c r="K1423" t="s">
        <v>32</v>
      </c>
    </row>
    <row r="1424" spans="1:11">
      <c r="A1424" s="3">
        <v>2531856</v>
      </c>
      <c r="B1424" t="s">
        <v>9549</v>
      </c>
      <c r="C1424" t="s">
        <v>8</v>
      </c>
      <c r="D1424" t="s">
        <v>9108</v>
      </c>
      <c r="E1424" s="28">
        <v>46254</v>
      </c>
      <c r="F1424" t="s">
        <v>9109</v>
      </c>
      <c r="G1424" s="3" t="s">
        <v>9539</v>
      </c>
      <c r="H1424" t="s">
        <v>4040</v>
      </c>
      <c r="I1424" s="28">
        <v>46343</v>
      </c>
      <c r="J1424" t="s">
        <v>9118</v>
      </c>
      <c r="K1424" t="s">
        <v>32</v>
      </c>
    </row>
    <row r="1425" spans="1:11">
      <c r="A1425" s="3">
        <v>2531857</v>
      </c>
      <c r="B1425" t="s">
        <v>8969</v>
      </c>
      <c r="C1425" t="s">
        <v>8</v>
      </c>
      <c r="D1425" t="s">
        <v>9108</v>
      </c>
      <c r="E1425" s="28">
        <v>46254</v>
      </c>
      <c r="F1425" t="s">
        <v>9109</v>
      </c>
      <c r="G1425" s="3" t="s">
        <v>9538</v>
      </c>
      <c r="H1425" t="s">
        <v>412</v>
      </c>
      <c r="I1425" s="28" t="s">
        <v>9113</v>
      </c>
      <c r="J1425" t="s">
        <v>9112</v>
      </c>
      <c r="K1425" t="s">
        <v>9113</v>
      </c>
    </row>
    <row r="1426" spans="1:11">
      <c r="A1426" s="3">
        <v>2531858</v>
      </c>
      <c r="B1426" t="s">
        <v>1422</v>
      </c>
      <c r="C1426" t="s">
        <v>8</v>
      </c>
      <c r="D1426" t="s">
        <v>9108</v>
      </c>
      <c r="E1426" s="28">
        <v>46254</v>
      </c>
      <c r="F1426" t="s">
        <v>9109</v>
      </c>
      <c r="G1426" s="3" t="s">
        <v>9537</v>
      </c>
      <c r="H1426" t="s">
        <v>306</v>
      </c>
      <c r="I1426" s="28">
        <v>46343</v>
      </c>
      <c r="J1426" t="s">
        <v>9118</v>
      </c>
      <c r="K1426" t="s">
        <v>32</v>
      </c>
    </row>
    <row r="1427" spans="1:11">
      <c r="A1427" s="3">
        <v>2531859</v>
      </c>
      <c r="B1427" t="s">
        <v>1826</v>
      </c>
      <c r="C1427" t="s">
        <v>8</v>
      </c>
      <c r="D1427" t="s">
        <v>9108</v>
      </c>
      <c r="E1427" s="28">
        <v>46254</v>
      </c>
      <c r="F1427" t="s">
        <v>9109</v>
      </c>
      <c r="G1427" s="3" t="s">
        <v>9537</v>
      </c>
      <c r="H1427" t="s">
        <v>306</v>
      </c>
      <c r="I1427" s="28">
        <v>46343</v>
      </c>
      <c r="J1427" t="s">
        <v>9118</v>
      </c>
      <c r="K1427" t="s">
        <v>32</v>
      </c>
    </row>
    <row r="1428" spans="1:11">
      <c r="A1428" s="3">
        <v>2531860</v>
      </c>
      <c r="B1428" t="s">
        <v>3585</v>
      </c>
      <c r="C1428" t="s">
        <v>7</v>
      </c>
      <c r="D1428" t="s">
        <v>9108</v>
      </c>
      <c r="E1428" s="28">
        <v>46254</v>
      </c>
      <c r="F1428" t="s">
        <v>9109</v>
      </c>
      <c r="G1428" s="3" t="s">
        <v>9539</v>
      </c>
      <c r="H1428" t="s">
        <v>4040</v>
      </c>
      <c r="I1428" s="28">
        <v>46343</v>
      </c>
      <c r="J1428" t="s">
        <v>9118</v>
      </c>
      <c r="K1428" t="s">
        <v>32</v>
      </c>
    </row>
    <row r="1429" spans="1:11">
      <c r="A1429" s="3">
        <v>2531861</v>
      </c>
      <c r="B1429" t="s">
        <v>5407</v>
      </c>
      <c r="C1429" t="s">
        <v>8</v>
      </c>
      <c r="D1429" t="s">
        <v>9108</v>
      </c>
      <c r="E1429" s="28">
        <v>46254</v>
      </c>
      <c r="F1429" t="s">
        <v>9109</v>
      </c>
      <c r="G1429" s="3" t="s">
        <v>9537</v>
      </c>
      <c r="H1429" t="s">
        <v>306</v>
      </c>
      <c r="I1429" s="28">
        <v>46343</v>
      </c>
      <c r="J1429" t="s">
        <v>9118</v>
      </c>
      <c r="K1429" t="s">
        <v>32</v>
      </c>
    </row>
    <row r="1430" spans="1:11">
      <c r="A1430" s="3">
        <v>2531862</v>
      </c>
      <c r="B1430" t="s">
        <v>3509</v>
      </c>
      <c r="C1430" t="s">
        <v>7</v>
      </c>
      <c r="D1430" t="s">
        <v>9108</v>
      </c>
      <c r="E1430" s="28">
        <v>46254</v>
      </c>
      <c r="F1430" t="s">
        <v>9109</v>
      </c>
      <c r="G1430" s="3" t="s">
        <v>9539</v>
      </c>
      <c r="H1430" t="s">
        <v>4040</v>
      </c>
      <c r="I1430" s="28">
        <v>46343</v>
      </c>
      <c r="J1430" t="s">
        <v>9118</v>
      </c>
      <c r="K1430" t="s">
        <v>32</v>
      </c>
    </row>
    <row r="1431" spans="1:11">
      <c r="A1431" s="3">
        <v>2531863</v>
      </c>
      <c r="B1431" t="s">
        <v>4262</v>
      </c>
      <c r="C1431" t="s">
        <v>7</v>
      </c>
      <c r="D1431" t="s">
        <v>9108</v>
      </c>
      <c r="E1431" s="28">
        <v>46254</v>
      </c>
      <c r="F1431" t="s">
        <v>9109</v>
      </c>
      <c r="G1431" s="3" t="s">
        <v>9537</v>
      </c>
      <c r="H1431" t="s">
        <v>306</v>
      </c>
      <c r="I1431" s="28">
        <v>46343</v>
      </c>
      <c r="J1431" t="s">
        <v>9118</v>
      </c>
      <c r="K1431" t="s">
        <v>32</v>
      </c>
    </row>
    <row r="1432" spans="1:11">
      <c r="A1432" s="3">
        <v>2531864</v>
      </c>
      <c r="B1432" t="s">
        <v>2400</v>
      </c>
      <c r="C1432" t="s">
        <v>8</v>
      </c>
      <c r="D1432" t="s">
        <v>9108</v>
      </c>
      <c r="E1432" s="28">
        <v>46254</v>
      </c>
      <c r="F1432" t="s">
        <v>9109</v>
      </c>
      <c r="G1432" s="3" t="s">
        <v>9537</v>
      </c>
      <c r="H1432" t="s">
        <v>306</v>
      </c>
      <c r="I1432" s="28">
        <v>46343</v>
      </c>
      <c r="J1432" t="s">
        <v>9118</v>
      </c>
      <c r="K1432" t="s">
        <v>32</v>
      </c>
    </row>
    <row r="1433" spans="1:11">
      <c r="A1433" s="3">
        <v>2531865</v>
      </c>
      <c r="B1433" t="s">
        <v>9550</v>
      </c>
      <c r="C1433" t="s">
        <v>8</v>
      </c>
      <c r="D1433" t="s">
        <v>9108</v>
      </c>
      <c r="E1433" s="28">
        <v>46254</v>
      </c>
      <c r="F1433" t="s">
        <v>9109</v>
      </c>
      <c r="G1433" s="3" t="s">
        <v>9538</v>
      </c>
      <c r="H1433" t="s">
        <v>412</v>
      </c>
      <c r="I1433" s="28" t="s">
        <v>9113</v>
      </c>
      <c r="J1433" t="s">
        <v>9112</v>
      </c>
      <c r="K1433" t="s">
        <v>9113</v>
      </c>
    </row>
    <row r="1434" spans="1:11">
      <c r="A1434" s="3">
        <v>2531866</v>
      </c>
      <c r="B1434" t="s">
        <v>9551</v>
      </c>
      <c r="C1434" t="s">
        <v>8</v>
      </c>
      <c r="D1434" t="s">
        <v>9108</v>
      </c>
      <c r="E1434" s="28">
        <v>46254</v>
      </c>
      <c r="F1434" t="s">
        <v>9109</v>
      </c>
      <c r="G1434" s="3" t="s">
        <v>9539</v>
      </c>
      <c r="H1434" t="s">
        <v>4040</v>
      </c>
      <c r="I1434" s="28">
        <v>46343</v>
      </c>
      <c r="J1434" t="s">
        <v>9118</v>
      </c>
      <c r="K1434" t="s">
        <v>32</v>
      </c>
    </row>
    <row r="1435" spans="1:11">
      <c r="A1435" s="3">
        <v>2531867</v>
      </c>
      <c r="B1435" t="s">
        <v>1675</v>
      </c>
      <c r="C1435" t="s">
        <v>8</v>
      </c>
      <c r="D1435" t="s">
        <v>9108</v>
      </c>
      <c r="E1435" s="28">
        <v>46254</v>
      </c>
      <c r="F1435" t="s">
        <v>9109</v>
      </c>
      <c r="G1435" s="3" t="s">
        <v>9539</v>
      </c>
      <c r="H1435" t="s">
        <v>4040</v>
      </c>
      <c r="I1435" s="28">
        <v>46343</v>
      </c>
      <c r="J1435" t="s">
        <v>9118</v>
      </c>
      <c r="K1435" t="s">
        <v>32</v>
      </c>
    </row>
    <row r="1436" spans="1:11">
      <c r="A1436" s="3">
        <v>2531951</v>
      </c>
      <c r="B1436" t="s">
        <v>1917</v>
      </c>
      <c r="C1436" t="s">
        <v>8</v>
      </c>
      <c r="D1436" t="s">
        <v>9108</v>
      </c>
      <c r="E1436" s="28">
        <v>46254</v>
      </c>
      <c r="F1436" t="s">
        <v>9109</v>
      </c>
      <c r="G1436" s="3" t="s">
        <v>9552</v>
      </c>
      <c r="H1436" t="s">
        <v>5324</v>
      </c>
      <c r="I1436" s="28">
        <v>46310</v>
      </c>
      <c r="J1436" t="s">
        <v>9118</v>
      </c>
      <c r="K1436" t="s">
        <v>31</v>
      </c>
    </row>
    <row r="1437" spans="1:11">
      <c r="A1437" s="3">
        <v>2531953</v>
      </c>
      <c r="B1437" t="s">
        <v>2044</v>
      </c>
      <c r="C1437" t="s">
        <v>7</v>
      </c>
      <c r="D1437" t="s">
        <v>9108</v>
      </c>
      <c r="E1437" s="28">
        <v>46254</v>
      </c>
      <c r="F1437" t="s">
        <v>9109</v>
      </c>
      <c r="G1437" s="3" t="s">
        <v>9538</v>
      </c>
      <c r="H1437" t="s">
        <v>412</v>
      </c>
      <c r="I1437" s="28" t="s">
        <v>9113</v>
      </c>
      <c r="J1437" t="s">
        <v>9112</v>
      </c>
      <c r="K1437" t="s">
        <v>9113</v>
      </c>
    </row>
    <row r="1438" spans="1:11">
      <c r="A1438" s="3">
        <v>2531954</v>
      </c>
      <c r="B1438" t="s">
        <v>891</v>
      </c>
      <c r="C1438" t="s">
        <v>7</v>
      </c>
      <c r="D1438" t="s">
        <v>9108</v>
      </c>
      <c r="E1438" s="28">
        <v>46254</v>
      </c>
      <c r="F1438" t="s">
        <v>9109</v>
      </c>
      <c r="G1438" s="3" t="s">
        <v>9539</v>
      </c>
      <c r="H1438" t="s">
        <v>4040</v>
      </c>
      <c r="I1438" s="28">
        <v>46343</v>
      </c>
      <c r="J1438" t="s">
        <v>9118</v>
      </c>
      <c r="K1438" t="s">
        <v>32</v>
      </c>
    </row>
    <row r="1439" spans="1:11">
      <c r="A1439" s="3">
        <v>2531955</v>
      </c>
      <c r="B1439" t="s">
        <v>4858</v>
      </c>
      <c r="C1439" t="s">
        <v>7</v>
      </c>
      <c r="D1439" t="s">
        <v>9108</v>
      </c>
      <c r="E1439" s="28">
        <v>46254</v>
      </c>
      <c r="F1439" t="s">
        <v>9109</v>
      </c>
      <c r="G1439" s="3" t="s">
        <v>9539</v>
      </c>
      <c r="H1439" t="s">
        <v>4040</v>
      </c>
      <c r="I1439" s="28">
        <v>46343</v>
      </c>
      <c r="J1439" t="s">
        <v>9118</v>
      </c>
      <c r="K1439" t="s">
        <v>32</v>
      </c>
    </row>
    <row r="1440" spans="1:11">
      <c r="A1440" s="3">
        <v>2531956</v>
      </c>
      <c r="B1440" t="s">
        <v>3830</v>
      </c>
      <c r="C1440" t="s">
        <v>7</v>
      </c>
      <c r="D1440" t="s">
        <v>9108</v>
      </c>
      <c r="E1440" s="28">
        <v>46254</v>
      </c>
      <c r="F1440" t="s">
        <v>9109</v>
      </c>
      <c r="G1440" s="3" t="s">
        <v>9538</v>
      </c>
      <c r="H1440" t="s">
        <v>412</v>
      </c>
      <c r="I1440" s="28" t="s">
        <v>9113</v>
      </c>
      <c r="J1440" t="s">
        <v>9112</v>
      </c>
      <c r="K1440" t="s">
        <v>9113</v>
      </c>
    </row>
    <row r="1441" spans="1:11">
      <c r="A1441" s="3">
        <v>2531958</v>
      </c>
      <c r="B1441" t="s">
        <v>3482</v>
      </c>
      <c r="C1441" t="s">
        <v>7</v>
      </c>
      <c r="D1441" t="s">
        <v>9108</v>
      </c>
      <c r="E1441" s="28">
        <v>46254</v>
      </c>
      <c r="F1441" t="s">
        <v>9109</v>
      </c>
      <c r="G1441" s="3" t="s">
        <v>9538</v>
      </c>
      <c r="H1441" t="s">
        <v>412</v>
      </c>
      <c r="I1441" s="28" t="s">
        <v>9113</v>
      </c>
      <c r="J1441" t="s">
        <v>9112</v>
      </c>
      <c r="K1441" t="s">
        <v>9113</v>
      </c>
    </row>
    <row r="1442" spans="1:11">
      <c r="A1442" s="3">
        <v>2531959</v>
      </c>
      <c r="B1442" t="s">
        <v>9553</v>
      </c>
      <c r="C1442" t="s">
        <v>7</v>
      </c>
      <c r="D1442" t="s">
        <v>9108</v>
      </c>
      <c r="E1442" s="28">
        <v>46254</v>
      </c>
      <c r="F1442" t="s">
        <v>9109</v>
      </c>
      <c r="G1442" s="3" t="s">
        <v>9538</v>
      </c>
      <c r="H1442" t="s">
        <v>412</v>
      </c>
      <c r="I1442" s="28" t="s">
        <v>9113</v>
      </c>
      <c r="J1442" t="s">
        <v>9112</v>
      </c>
      <c r="K1442" t="s">
        <v>9113</v>
      </c>
    </row>
    <row r="1443" spans="1:11">
      <c r="A1443" s="3">
        <v>2531960</v>
      </c>
      <c r="B1443" t="s">
        <v>8739</v>
      </c>
      <c r="C1443" t="s">
        <v>8</v>
      </c>
      <c r="D1443" t="s">
        <v>9108</v>
      </c>
      <c r="E1443" s="28">
        <v>46254</v>
      </c>
      <c r="F1443" t="s">
        <v>9109</v>
      </c>
      <c r="G1443" s="3" t="s">
        <v>9539</v>
      </c>
      <c r="H1443" t="s">
        <v>4040</v>
      </c>
      <c r="I1443" s="28">
        <v>46343</v>
      </c>
      <c r="J1443" t="s">
        <v>9118</v>
      </c>
      <c r="K1443" t="s">
        <v>32</v>
      </c>
    </row>
    <row r="1444" spans="1:11">
      <c r="A1444" s="3">
        <v>2531961</v>
      </c>
      <c r="B1444" t="s">
        <v>9554</v>
      </c>
      <c r="C1444" t="s">
        <v>8</v>
      </c>
      <c r="D1444" t="s">
        <v>9108</v>
      </c>
      <c r="E1444" s="28">
        <v>46254</v>
      </c>
      <c r="F1444" t="s">
        <v>9109</v>
      </c>
      <c r="G1444" s="3" t="s">
        <v>9538</v>
      </c>
      <c r="H1444" t="s">
        <v>412</v>
      </c>
      <c r="I1444" s="28" t="s">
        <v>9113</v>
      </c>
      <c r="J1444" t="s">
        <v>9112</v>
      </c>
      <c r="K1444" t="s">
        <v>9113</v>
      </c>
    </row>
    <row r="1445" spans="1:11">
      <c r="A1445" s="3">
        <v>2531962</v>
      </c>
      <c r="B1445" t="s">
        <v>6133</v>
      </c>
      <c r="C1445" t="s">
        <v>7</v>
      </c>
      <c r="D1445" t="s">
        <v>9108</v>
      </c>
      <c r="E1445" s="28">
        <v>46254</v>
      </c>
      <c r="F1445" t="s">
        <v>9109</v>
      </c>
      <c r="G1445" s="3" t="s">
        <v>9538</v>
      </c>
      <c r="H1445" t="s">
        <v>412</v>
      </c>
      <c r="I1445" s="28" t="s">
        <v>9113</v>
      </c>
      <c r="J1445" t="s">
        <v>9112</v>
      </c>
      <c r="K1445" t="s">
        <v>9113</v>
      </c>
    </row>
    <row r="1446" spans="1:11">
      <c r="A1446" s="3">
        <v>2531963</v>
      </c>
      <c r="B1446" t="s">
        <v>4820</v>
      </c>
      <c r="C1446" t="s">
        <v>7</v>
      </c>
      <c r="D1446" t="s">
        <v>9108</v>
      </c>
      <c r="E1446" s="28">
        <v>46254</v>
      </c>
      <c r="F1446" t="s">
        <v>9109</v>
      </c>
      <c r="G1446" s="3" t="s">
        <v>9537</v>
      </c>
      <c r="H1446" t="s">
        <v>306</v>
      </c>
      <c r="I1446" s="28">
        <v>46343</v>
      </c>
      <c r="J1446" t="s">
        <v>9118</v>
      </c>
      <c r="K1446" t="s">
        <v>32</v>
      </c>
    </row>
    <row r="1447" spans="1:11">
      <c r="A1447" s="3">
        <v>2531964</v>
      </c>
      <c r="B1447" t="s">
        <v>4908</v>
      </c>
      <c r="C1447" t="s">
        <v>7</v>
      </c>
      <c r="D1447" t="s">
        <v>9108</v>
      </c>
      <c r="E1447" s="28">
        <v>46254</v>
      </c>
      <c r="F1447" t="s">
        <v>9109</v>
      </c>
      <c r="G1447" s="3" t="s">
        <v>9539</v>
      </c>
      <c r="H1447" t="s">
        <v>4040</v>
      </c>
      <c r="I1447" s="28">
        <v>46343</v>
      </c>
      <c r="J1447" t="s">
        <v>9118</v>
      </c>
      <c r="K1447" t="s">
        <v>32</v>
      </c>
    </row>
    <row r="1448" spans="1:11">
      <c r="A1448" s="3">
        <v>2531965</v>
      </c>
      <c r="B1448" t="s">
        <v>4592</v>
      </c>
      <c r="C1448" t="s">
        <v>8</v>
      </c>
      <c r="D1448" t="s">
        <v>9108</v>
      </c>
      <c r="E1448" s="28">
        <v>46254</v>
      </c>
      <c r="F1448" t="s">
        <v>9109</v>
      </c>
      <c r="G1448" s="3" t="s">
        <v>9537</v>
      </c>
      <c r="H1448" t="s">
        <v>306</v>
      </c>
      <c r="I1448" s="28">
        <v>46343</v>
      </c>
      <c r="J1448" t="s">
        <v>9118</v>
      </c>
      <c r="K1448" t="s">
        <v>32</v>
      </c>
    </row>
    <row r="1449" spans="1:11">
      <c r="A1449" s="3">
        <v>2531966</v>
      </c>
      <c r="B1449" t="s">
        <v>2574</v>
      </c>
      <c r="C1449" t="s">
        <v>7</v>
      </c>
      <c r="D1449" t="s">
        <v>9108</v>
      </c>
      <c r="E1449" s="28">
        <v>46254</v>
      </c>
      <c r="F1449" t="s">
        <v>9109</v>
      </c>
      <c r="G1449" s="3" t="s">
        <v>9537</v>
      </c>
      <c r="H1449" t="s">
        <v>306</v>
      </c>
      <c r="I1449" s="28">
        <v>46343</v>
      </c>
      <c r="J1449" t="s">
        <v>9118</v>
      </c>
      <c r="K1449" t="s">
        <v>32</v>
      </c>
    </row>
    <row r="1450" spans="1:11">
      <c r="A1450" s="3">
        <v>2531967</v>
      </c>
      <c r="B1450" t="s">
        <v>8517</v>
      </c>
      <c r="C1450" t="s">
        <v>7</v>
      </c>
      <c r="D1450" t="s">
        <v>9108</v>
      </c>
      <c r="E1450" s="28">
        <v>46254</v>
      </c>
      <c r="F1450" t="s">
        <v>9109</v>
      </c>
      <c r="G1450" s="3" t="s">
        <v>9538</v>
      </c>
      <c r="H1450" t="s">
        <v>412</v>
      </c>
      <c r="I1450" s="28" t="s">
        <v>9113</v>
      </c>
      <c r="J1450" t="s">
        <v>9112</v>
      </c>
      <c r="K1450" t="s">
        <v>9113</v>
      </c>
    </row>
    <row r="1451" spans="1:11">
      <c r="A1451" s="3">
        <v>2531968</v>
      </c>
      <c r="B1451" t="s">
        <v>8580</v>
      </c>
      <c r="C1451" t="s">
        <v>7</v>
      </c>
      <c r="D1451" t="s">
        <v>9108</v>
      </c>
      <c r="E1451" s="28">
        <v>46254</v>
      </c>
      <c r="F1451" t="s">
        <v>9109</v>
      </c>
      <c r="G1451" s="3" t="s">
        <v>9538</v>
      </c>
      <c r="H1451" t="s">
        <v>412</v>
      </c>
      <c r="I1451" s="28" t="s">
        <v>9113</v>
      </c>
      <c r="J1451" t="s">
        <v>9112</v>
      </c>
      <c r="K1451" t="s">
        <v>9113</v>
      </c>
    </row>
    <row r="1452" spans="1:11">
      <c r="A1452" s="3">
        <v>2531969</v>
      </c>
      <c r="B1452" t="s">
        <v>875</v>
      </c>
      <c r="C1452" t="s">
        <v>7</v>
      </c>
      <c r="D1452" t="s">
        <v>9108</v>
      </c>
      <c r="E1452" s="28">
        <v>46254</v>
      </c>
      <c r="F1452" t="s">
        <v>9109</v>
      </c>
      <c r="G1452" s="3" t="s">
        <v>9538</v>
      </c>
      <c r="H1452" t="s">
        <v>412</v>
      </c>
      <c r="I1452" s="28" t="s">
        <v>9113</v>
      </c>
      <c r="J1452" t="s">
        <v>9112</v>
      </c>
      <c r="K1452" t="s">
        <v>9113</v>
      </c>
    </row>
    <row r="1453" spans="1:11">
      <c r="A1453" s="3">
        <v>2531970</v>
      </c>
      <c r="B1453" t="s">
        <v>9555</v>
      </c>
      <c r="C1453" t="s">
        <v>8</v>
      </c>
      <c r="D1453" t="s">
        <v>9108</v>
      </c>
      <c r="E1453" s="28">
        <v>46254</v>
      </c>
      <c r="F1453" t="s">
        <v>9109</v>
      </c>
      <c r="G1453" s="3" t="s">
        <v>9539</v>
      </c>
      <c r="H1453" t="s">
        <v>4040</v>
      </c>
      <c r="I1453" s="28">
        <v>46343</v>
      </c>
      <c r="J1453" t="s">
        <v>9118</v>
      </c>
      <c r="K1453" t="s">
        <v>32</v>
      </c>
    </row>
    <row r="1454" spans="1:11">
      <c r="A1454" s="3">
        <v>2531971</v>
      </c>
      <c r="B1454" t="s">
        <v>3552</v>
      </c>
      <c r="C1454" t="s">
        <v>7</v>
      </c>
      <c r="D1454" t="s">
        <v>9108</v>
      </c>
      <c r="E1454" s="28">
        <v>46254</v>
      </c>
      <c r="F1454" t="s">
        <v>9109</v>
      </c>
      <c r="G1454" s="3" t="s">
        <v>9538</v>
      </c>
      <c r="H1454" t="s">
        <v>412</v>
      </c>
      <c r="I1454" s="28" t="s">
        <v>9113</v>
      </c>
      <c r="J1454" t="s">
        <v>9112</v>
      </c>
      <c r="K1454" t="s">
        <v>9113</v>
      </c>
    </row>
    <row r="1455" spans="1:11">
      <c r="A1455" s="3">
        <v>2531972</v>
      </c>
      <c r="B1455" t="s">
        <v>4607</v>
      </c>
      <c r="C1455" t="s">
        <v>8</v>
      </c>
      <c r="D1455" t="s">
        <v>9108</v>
      </c>
      <c r="E1455" s="28">
        <v>46254</v>
      </c>
      <c r="F1455" t="s">
        <v>9109</v>
      </c>
      <c r="G1455" s="3" t="s">
        <v>9537</v>
      </c>
      <c r="H1455" t="s">
        <v>306</v>
      </c>
      <c r="I1455" s="28">
        <v>46343</v>
      </c>
      <c r="J1455" t="s">
        <v>9118</v>
      </c>
      <c r="K1455" t="s">
        <v>32</v>
      </c>
    </row>
    <row r="1456" spans="1:11">
      <c r="A1456" s="3">
        <v>2531973</v>
      </c>
      <c r="B1456" t="s">
        <v>9556</v>
      </c>
      <c r="C1456" t="s">
        <v>7</v>
      </c>
      <c r="D1456" t="s">
        <v>9108</v>
      </c>
      <c r="E1456" s="28">
        <v>46254</v>
      </c>
      <c r="F1456" t="s">
        <v>9109</v>
      </c>
      <c r="G1456" s="3" t="s">
        <v>9538</v>
      </c>
      <c r="H1456" t="s">
        <v>412</v>
      </c>
      <c r="I1456" s="28" t="s">
        <v>9113</v>
      </c>
      <c r="J1456" t="s">
        <v>9112</v>
      </c>
      <c r="K1456" t="s">
        <v>9113</v>
      </c>
    </row>
    <row r="1457" spans="1:11">
      <c r="A1457" s="3">
        <v>2531974</v>
      </c>
      <c r="B1457" t="s">
        <v>9557</v>
      </c>
      <c r="C1457" t="s">
        <v>8</v>
      </c>
      <c r="D1457" t="s">
        <v>9108</v>
      </c>
      <c r="E1457" s="28">
        <v>46254</v>
      </c>
      <c r="F1457" t="s">
        <v>9109</v>
      </c>
      <c r="G1457" s="3" t="s">
        <v>9539</v>
      </c>
      <c r="H1457" t="s">
        <v>4040</v>
      </c>
      <c r="I1457" s="28">
        <v>46343</v>
      </c>
      <c r="J1457" t="s">
        <v>9118</v>
      </c>
      <c r="K1457" t="s">
        <v>32</v>
      </c>
    </row>
    <row r="1458" spans="1:11">
      <c r="A1458" s="3">
        <v>2531975</v>
      </c>
      <c r="B1458" t="s">
        <v>96</v>
      </c>
      <c r="C1458" t="s">
        <v>7</v>
      </c>
      <c r="D1458" t="s">
        <v>9108</v>
      </c>
      <c r="E1458" s="28">
        <v>46254</v>
      </c>
      <c r="F1458" t="s">
        <v>9109</v>
      </c>
      <c r="G1458" s="3" t="s">
        <v>9538</v>
      </c>
      <c r="H1458" t="s">
        <v>412</v>
      </c>
      <c r="I1458" s="28" t="s">
        <v>9113</v>
      </c>
      <c r="J1458" t="s">
        <v>9112</v>
      </c>
      <c r="K1458" t="s">
        <v>9113</v>
      </c>
    </row>
    <row r="1459" spans="1:11">
      <c r="A1459" s="3">
        <v>2531976</v>
      </c>
      <c r="B1459" t="s">
        <v>852</v>
      </c>
      <c r="C1459" t="s">
        <v>7</v>
      </c>
      <c r="D1459" t="s">
        <v>9108</v>
      </c>
      <c r="E1459" s="28">
        <v>46254</v>
      </c>
      <c r="F1459" t="s">
        <v>9109</v>
      </c>
      <c r="G1459" s="3" t="s">
        <v>9537</v>
      </c>
      <c r="H1459" t="s">
        <v>306</v>
      </c>
      <c r="I1459" s="28">
        <v>46343</v>
      </c>
      <c r="J1459" t="s">
        <v>9118</v>
      </c>
      <c r="K1459" t="s">
        <v>32</v>
      </c>
    </row>
    <row r="1460" spans="1:11">
      <c r="A1460" s="3">
        <v>2531977</v>
      </c>
      <c r="B1460" t="s">
        <v>2281</v>
      </c>
      <c r="C1460" t="s">
        <v>8</v>
      </c>
      <c r="D1460" t="s">
        <v>9108</v>
      </c>
      <c r="E1460" s="28">
        <v>46254</v>
      </c>
      <c r="F1460" t="s">
        <v>9109</v>
      </c>
      <c r="G1460" s="3" t="s">
        <v>9537</v>
      </c>
      <c r="H1460" t="s">
        <v>306</v>
      </c>
      <c r="I1460" s="28">
        <v>46343</v>
      </c>
      <c r="J1460" t="s">
        <v>9118</v>
      </c>
      <c r="K1460" t="s">
        <v>32</v>
      </c>
    </row>
    <row r="1461" spans="1:11">
      <c r="A1461" s="3">
        <v>2531978</v>
      </c>
      <c r="B1461" t="s">
        <v>9558</v>
      </c>
      <c r="C1461" t="s">
        <v>7</v>
      </c>
      <c r="D1461" t="s">
        <v>9108</v>
      </c>
      <c r="E1461" s="28">
        <v>46254</v>
      </c>
      <c r="F1461" t="s">
        <v>9109</v>
      </c>
      <c r="G1461" s="3" t="s">
        <v>9538</v>
      </c>
      <c r="H1461" t="s">
        <v>412</v>
      </c>
      <c r="I1461" s="28" t="s">
        <v>9113</v>
      </c>
      <c r="J1461" t="s">
        <v>9112</v>
      </c>
      <c r="K1461" t="s">
        <v>9113</v>
      </c>
    </row>
    <row r="1462" spans="1:11">
      <c r="A1462" s="3">
        <v>2531979</v>
      </c>
      <c r="B1462" t="s">
        <v>3709</v>
      </c>
      <c r="C1462" t="s">
        <v>8</v>
      </c>
      <c r="D1462" t="s">
        <v>9108</v>
      </c>
      <c r="E1462" s="28">
        <v>46254</v>
      </c>
      <c r="F1462" t="s">
        <v>9109</v>
      </c>
      <c r="G1462" s="3" t="s">
        <v>9538</v>
      </c>
      <c r="H1462" t="s">
        <v>412</v>
      </c>
      <c r="I1462" s="28" t="s">
        <v>9113</v>
      </c>
      <c r="J1462" t="s">
        <v>9112</v>
      </c>
      <c r="K1462" t="s">
        <v>9113</v>
      </c>
    </row>
    <row r="1463" spans="1:11">
      <c r="A1463" s="3">
        <v>2531980</v>
      </c>
      <c r="B1463" t="s">
        <v>9559</v>
      </c>
      <c r="C1463" t="s">
        <v>7</v>
      </c>
      <c r="D1463" t="s">
        <v>9108</v>
      </c>
      <c r="E1463" s="28">
        <v>46254</v>
      </c>
      <c r="F1463" t="s">
        <v>9109</v>
      </c>
      <c r="G1463" s="3" t="s">
        <v>9538</v>
      </c>
      <c r="H1463" t="s">
        <v>412</v>
      </c>
      <c r="I1463" s="28" t="s">
        <v>9113</v>
      </c>
      <c r="J1463" t="s">
        <v>9112</v>
      </c>
      <c r="K1463" t="s">
        <v>9113</v>
      </c>
    </row>
    <row r="1464" spans="1:11">
      <c r="A1464" s="3">
        <v>2531981</v>
      </c>
      <c r="B1464" t="s">
        <v>3042</v>
      </c>
      <c r="C1464" t="s">
        <v>7</v>
      </c>
      <c r="D1464" t="s">
        <v>9108</v>
      </c>
      <c r="E1464" s="28">
        <v>46254</v>
      </c>
      <c r="F1464" t="s">
        <v>9109</v>
      </c>
      <c r="G1464" s="3" t="s">
        <v>9537</v>
      </c>
      <c r="H1464" t="s">
        <v>306</v>
      </c>
      <c r="I1464" s="28">
        <v>46343</v>
      </c>
      <c r="J1464" t="s">
        <v>9118</v>
      </c>
      <c r="K1464" t="s">
        <v>32</v>
      </c>
    </row>
    <row r="1465" spans="1:11">
      <c r="A1465" s="3">
        <v>2531982</v>
      </c>
      <c r="B1465" t="s">
        <v>2617</v>
      </c>
      <c r="C1465" t="s">
        <v>7</v>
      </c>
      <c r="D1465" t="s">
        <v>9108</v>
      </c>
      <c r="E1465" s="28">
        <v>46254</v>
      </c>
      <c r="F1465" t="s">
        <v>9109</v>
      </c>
      <c r="G1465" s="3" t="s">
        <v>9539</v>
      </c>
      <c r="H1465" t="s">
        <v>4040</v>
      </c>
      <c r="I1465" s="28">
        <v>46343</v>
      </c>
      <c r="J1465" t="s">
        <v>9118</v>
      </c>
      <c r="K1465" t="s">
        <v>32</v>
      </c>
    </row>
    <row r="1466" spans="1:11">
      <c r="A1466" s="3">
        <v>2531983</v>
      </c>
      <c r="B1466" t="s">
        <v>8102</v>
      </c>
      <c r="C1466" t="s">
        <v>8</v>
      </c>
      <c r="D1466" t="s">
        <v>9108</v>
      </c>
      <c r="E1466" s="28">
        <v>46254</v>
      </c>
      <c r="F1466" t="s">
        <v>9109</v>
      </c>
      <c r="G1466" s="3" t="s">
        <v>9537</v>
      </c>
      <c r="H1466" t="s">
        <v>306</v>
      </c>
      <c r="I1466" s="28">
        <v>46343</v>
      </c>
      <c r="J1466" t="s">
        <v>9118</v>
      </c>
      <c r="K1466" t="s">
        <v>32</v>
      </c>
    </row>
    <row r="1467" spans="1:11">
      <c r="A1467" s="3">
        <v>2531984</v>
      </c>
      <c r="B1467" t="s">
        <v>3547</v>
      </c>
      <c r="C1467" t="s">
        <v>7</v>
      </c>
      <c r="D1467" t="s">
        <v>9108</v>
      </c>
      <c r="E1467" s="28">
        <v>46254</v>
      </c>
      <c r="F1467" t="s">
        <v>9109</v>
      </c>
      <c r="G1467" s="3" t="s">
        <v>9537</v>
      </c>
      <c r="H1467" t="s">
        <v>306</v>
      </c>
      <c r="I1467" s="28">
        <v>46343</v>
      </c>
      <c r="J1467" t="s">
        <v>9118</v>
      </c>
      <c r="K1467" t="s">
        <v>32</v>
      </c>
    </row>
    <row r="1468" spans="1:11">
      <c r="A1468" s="3">
        <v>2531985</v>
      </c>
      <c r="B1468" t="s">
        <v>3694</v>
      </c>
      <c r="C1468" t="s">
        <v>8</v>
      </c>
      <c r="D1468" t="s">
        <v>9108</v>
      </c>
      <c r="E1468" s="28">
        <v>46254</v>
      </c>
      <c r="F1468" t="s">
        <v>9109</v>
      </c>
      <c r="G1468" s="3" t="s">
        <v>9538</v>
      </c>
      <c r="H1468" t="s">
        <v>412</v>
      </c>
      <c r="I1468" s="28" t="s">
        <v>9113</v>
      </c>
      <c r="J1468" t="s">
        <v>9112</v>
      </c>
      <c r="K1468" t="s">
        <v>9113</v>
      </c>
    </row>
    <row r="1469" spans="1:11">
      <c r="A1469" s="3">
        <v>2531986</v>
      </c>
      <c r="B1469" t="s">
        <v>9560</v>
      </c>
      <c r="C1469" t="s">
        <v>8</v>
      </c>
      <c r="D1469" t="s">
        <v>9108</v>
      </c>
      <c r="E1469" s="28">
        <v>46254</v>
      </c>
      <c r="F1469" t="s">
        <v>9109</v>
      </c>
      <c r="G1469" s="3" t="s">
        <v>9537</v>
      </c>
      <c r="H1469" t="s">
        <v>306</v>
      </c>
      <c r="I1469" s="28">
        <v>46343</v>
      </c>
      <c r="J1469" t="s">
        <v>9118</v>
      </c>
      <c r="K1469" t="s">
        <v>32</v>
      </c>
    </row>
    <row r="1470" spans="1:11">
      <c r="A1470" s="3">
        <v>2531987</v>
      </c>
      <c r="B1470" t="s">
        <v>8440</v>
      </c>
      <c r="C1470" t="s">
        <v>7</v>
      </c>
      <c r="D1470" t="s">
        <v>9108</v>
      </c>
      <c r="E1470" s="28">
        <v>46254</v>
      </c>
      <c r="F1470" t="s">
        <v>9109</v>
      </c>
      <c r="G1470" s="3" t="s">
        <v>9538</v>
      </c>
      <c r="H1470" t="s">
        <v>412</v>
      </c>
      <c r="I1470" s="28" t="s">
        <v>9113</v>
      </c>
      <c r="J1470" t="s">
        <v>9112</v>
      </c>
      <c r="K1470" t="s">
        <v>9113</v>
      </c>
    </row>
    <row r="1471" spans="1:11">
      <c r="A1471" s="3">
        <v>2531988</v>
      </c>
      <c r="B1471" t="s">
        <v>6034</v>
      </c>
      <c r="C1471" t="s">
        <v>7</v>
      </c>
      <c r="D1471" t="s">
        <v>9108</v>
      </c>
      <c r="E1471" s="28">
        <v>46254</v>
      </c>
      <c r="F1471" t="s">
        <v>9109</v>
      </c>
      <c r="G1471" s="3" t="s">
        <v>9538</v>
      </c>
      <c r="H1471" t="s">
        <v>412</v>
      </c>
      <c r="I1471" s="28" t="s">
        <v>9113</v>
      </c>
      <c r="J1471" t="s">
        <v>9112</v>
      </c>
      <c r="K1471" t="s">
        <v>9113</v>
      </c>
    </row>
    <row r="1472" spans="1:11">
      <c r="A1472" s="3">
        <v>2531989</v>
      </c>
      <c r="B1472" t="s">
        <v>5680</v>
      </c>
      <c r="C1472" t="s">
        <v>8</v>
      </c>
      <c r="D1472" t="s">
        <v>9108</v>
      </c>
      <c r="E1472" s="28">
        <v>46254</v>
      </c>
      <c r="F1472" t="s">
        <v>9109</v>
      </c>
      <c r="G1472" s="3" t="s">
        <v>9539</v>
      </c>
      <c r="H1472" t="s">
        <v>4040</v>
      </c>
      <c r="I1472" s="28">
        <v>46343</v>
      </c>
      <c r="J1472" t="s">
        <v>9118</v>
      </c>
      <c r="K1472" t="s">
        <v>32</v>
      </c>
    </row>
    <row r="1473" spans="1:11">
      <c r="A1473" s="3">
        <v>2531990</v>
      </c>
      <c r="B1473" t="s">
        <v>3386</v>
      </c>
      <c r="C1473" t="s">
        <v>7</v>
      </c>
      <c r="D1473" t="s">
        <v>9108</v>
      </c>
      <c r="E1473" s="28">
        <v>46254</v>
      </c>
      <c r="F1473" t="s">
        <v>9109</v>
      </c>
      <c r="G1473" s="3" t="s">
        <v>9538</v>
      </c>
      <c r="H1473" t="s">
        <v>412</v>
      </c>
      <c r="I1473" s="28" t="s">
        <v>9113</v>
      </c>
      <c r="J1473" t="s">
        <v>9112</v>
      </c>
      <c r="K1473" t="s">
        <v>9113</v>
      </c>
    </row>
    <row r="1474" spans="1:11">
      <c r="A1474" s="3">
        <v>2531991</v>
      </c>
      <c r="B1474" t="s">
        <v>6142</v>
      </c>
      <c r="C1474" t="s">
        <v>7</v>
      </c>
      <c r="D1474" t="s">
        <v>9108</v>
      </c>
      <c r="E1474" s="28">
        <v>46254</v>
      </c>
      <c r="F1474" t="s">
        <v>9109</v>
      </c>
      <c r="G1474" s="3" t="s">
        <v>9537</v>
      </c>
      <c r="H1474" t="s">
        <v>306</v>
      </c>
      <c r="I1474" s="28">
        <v>46343</v>
      </c>
      <c r="J1474" t="s">
        <v>9118</v>
      </c>
      <c r="K1474" t="s">
        <v>32</v>
      </c>
    </row>
    <row r="1475" spans="1:11">
      <c r="A1475" s="3">
        <v>2531992</v>
      </c>
      <c r="B1475" t="s">
        <v>7291</v>
      </c>
      <c r="C1475" t="s">
        <v>8</v>
      </c>
      <c r="D1475" t="s">
        <v>9108</v>
      </c>
      <c r="E1475" s="28">
        <v>46254</v>
      </c>
      <c r="F1475" t="s">
        <v>9109</v>
      </c>
      <c r="G1475" s="3" t="s">
        <v>9539</v>
      </c>
      <c r="H1475" t="s">
        <v>4040</v>
      </c>
      <c r="I1475" s="28">
        <v>46343</v>
      </c>
      <c r="J1475" t="s">
        <v>9118</v>
      </c>
      <c r="K1475" t="s">
        <v>32</v>
      </c>
    </row>
    <row r="1476" spans="1:11">
      <c r="A1476" s="3">
        <v>2531993</v>
      </c>
      <c r="B1476" t="s">
        <v>3190</v>
      </c>
      <c r="C1476" t="s">
        <v>7</v>
      </c>
      <c r="D1476" t="s">
        <v>9108</v>
      </c>
      <c r="E1476" s="28">
        <v>46254</v>
      </c>
      <c r="F1476" t="s">
        <v>9109</v>
      </c>
      <c r="G1476" s="3" t="s">
        <v>9537</v>
      </c>
      <c r="H1476" t="s">
        <v>306</v>
      </c>
      <c r="I1476" s="28">
        <v>46343</v>
      </c>
      <c r="J1476" t="s">
        <v>9118</v>
      </c>
      <c r="K1476" t="s">
        <v>32</v>
      </c>
    </row>
    <row r="1477" spans="1:11">
      <c r="A1477" s="3">
        <v>2531994</v>
      </c>
      <c r="B1477" t="s">
        <v>833</v>
      </c>
      <c r="C1477" t="s">
        <v>7</v>
      </c>
      <c r="D1477" t="s">
        <v>9108</v>
      </c>
      <c r="E1477" s="28">
        <v>46254</v>
      </c>
      <c r="F1477" t="s">
        <v>9109</v>
      </c>
      <c r="G1477" s="3" t="s">
        <v>9538</v>
      </c>
      <c r="H1477" t="s">
        <v>412</v>
      </c>
      <c r="I1477" s="28" t="s">
        <v>9113</v>
      </c>
      <c r="J1477" t="s">
        <v>9112</v>
      </c>
      <c r="K1477" t="s">
        <v>9113</v>
      </c>
    </row>
    <row r="1478" spans="1:11">
      <c r="A1478" s="3">
        <v>2531995</v>
      </c>
      <c r="B1478" t="s">
        <v>3600</v>
      </c>
      <c r="C1478" t="s">
        <v>7</v>
      </c>
      <c r="D1478" t="s">
        <v>9108</v>
      </c>
      <c r="E1478" s="28">
        <v>46254</v>
      </c>
      <c r="F1478" t="s">
        <v>9109</v>
      </c>
      <c r="G1478" s="3" t="s">
        <v>9539</v>
      </c>
      <c r="H1478" t="s">
        <v>4040</v>
      </c>
      <c r="I1478" s="28">
        <v>46343</v>
      </c>
      <c r="J1478" t="s">
        <v>9118</v>
      </c>
      <c r="K1478" t="s">
        <v>32</v>
      </c>
    </row>
    <row r="1479" spans="1:11">
      <c r="A1479" s="3">
        <v>2531996</v>
      </c>
      <c r="B1479" t="s">
        <v>8155</v>
      </c>
      <c r="C1479" t="s">
        <v>8</v>
      </c>
      <c r="D1479" t="s">
        <v>9108</v>
      </c>
      <c r="E1479" s="28">
        <v>46254</v>
      </c>
      <c r="F1479" t="s">
        <v>9109</v>
      </c>
      <c r="G1479" s="3" t="s">
        <v>9539</v>
      </c>
      <c r="H1479" t="s">
        <v>4040</v>
      </c>
      <c r="I1479" s="28">
        <v>46343</v>
      </c>
      <c r="J1479" t="s">
        <v>9118</v>
      </c>
      <c r="K1479" t="s">
        <v>32</v>
      </c>
    </row>
    <row r="1480" spans="1:11">
      <c r="A1480" s="3">
        <v>2531997</v>
      </c>
      <c r="B1480" t="s">
        <v>5531</v>
      </c>
      <c r="C1480" t="s">
        <v>8</v>
      </c>
      <c r="D1480" t="s">
        <v>9108</v>
      </c>
      <c r="E1480" s="28">
        <v>46254</v>
      </c>
      <c r="F1480" t="s">
        <v>9109</v>
      </c>
      <c r="G1480" s="3" t="s">
        <v>9538</v>
      </c>
      <c r="H1480" t="s">
        <v>412</v>
      </c>
      <c r="I1480" s="28" t="s">
        <v>9113</v>
      </c>
      <c r="J1480" t="s">
        <v>9112</v>
      </c>
      <c r="K1480" t="s">
        <v>9113</v>
      </c>
    </row>
    <row r="1481" spans="1:11">
      <c r="A1481" s="3">
        <v>2531998</v>
      </c>
      <c r="B1481" t="s">
        <v>6115</v>
      </c>
      <c r="C1481" t="s">
        <v>7</v>
      </c>
      <c r="D1481" t="s">
        <v>9108</v>
      </c>
      <c r="E1481" s="28">
        <v>46254</v>
      </c>
      <c r="F1481" t="s">
        <v>9109</v>
      </c>
      <c r="G1481" s="3" t="s">
        <v>9539</v>
      </c>
      <c r="H1481" t="s">
        <v>4040</v>
      </c>
      <c r="I1481" s="28">
        <v>46343</v>
      </c>
      <c r="J1481" t="s">
        <v>9118</v>
      </c>
      <c r="K1481" t="s">
        <v>32</v>
      </c>
    </row>
    <row r="1482" spans="1:11">
      <c r="A1482" s="3">
        <v>2531999</v>
      </c>
      <c r="B1482" t="s">
        <v>7556</v>
      </c>
      <c r="C1482" t="s">
        <v>7</v>
      </c>
      <c r="D1482" t="s">
        <v>9108</v>
      </c>
      <c r="E1482" s="28">
        <v>46254</v>
      </c>
      <c r="F1482" t="s">
        <v>9109</v>
      </c>
      <c r="G1482" s="3" t="s">
        <v>9537</v>
      </c>
      <c r="H1482" t="s">
        <v>306</v>
      </c>
      <c r="I1482" s="28">
        <v>46343</v>
      </c>
      <c r="J1482" t="s">
        <v>9118</v>
      </c>
      <c r="K1482" t="s">
        <v>32</v>
      </c>
    </row>
    <row r="1483" spans="1:11">
      <c r="A1483" s="3">
        <v>2532000</v>
      </c>
      <c r="B1483" t="s">
        <v>5685</v>
      </c>
      <c r="C1483" t="s">
        <v>8</v>
      </c>
      <c r="D1483" t="s">
        <v>9108</v>
      </c>
      <c r="E1483" s="28">
        <v>46254</v>
      </c>
      <c r="F1483" t="s">
        <v>9109</v>
      </c>
      <c r="G1483" s="3" t="s">
        <v>9539</v>
      </c>
      <c r="H1483" t="s">
        <v>4040</v>
      </c>
      <c r="I1483" s="28">
        <v>46343</v>
      </c>
      <c r="J1483" t="s">
        <v>9118</v>
      </c>
      <c r="K1483" t="s">
        <v>32</v>
      </c>
    </row>
    <row r="1484" spans="1:11">
      <c r="A1484" s="3">
        <v>2532889</v>
      </c>
      <c r="B1484" t="s">
        <v>6256</v>
      </c>
      <c r="C1484" t="s">
        <v>8</v>
      </c>
      <c r="D1484" t="s">
        <v>9108</v>
      </c>
      <c r="E1484" s="28">
        <v>46259</v>
      </c>
      <c r="F1484" t="s">
        <v>9109</v>
      </c>
      <c r="G1484" s="3" t="s">
        <v>9561</v>
      </c>
      <c r="H1484" t="s">
        <v>9562</v>
      </c>
      <c r="I1484" s="28">
        <v>46330</v>
      </c>
      <c r="J1484" t="s">
        <v>9118</v>
      </c>
      <c r="K1484" t="s">
        <v>32</v>
      </c>
    </row>
    <row r="1485" spans="1:11">
      <c r="A1485" s="3">
        <v>2532894</v>
      </c>
      <c r="B1485" t="s">
        <v>4976</v>
      </c>
      <c r="C1485" t="s">
        <v>7</v>
      </c>
      <c r="D1485" t="s">
        <v>9108</v>
      </c>
      <c r="E1485" s="28">
        <v>46259</v>
      </c>
      <c r="F1485" t="s">
        <v>9109</v>
      </c>
      <c r="G1485" s="3" t="s">
        <v>9561</v>
      </c>
      <c r="H1485" t="s">
        <v>9562</v>
      </c>
      <c r="I1485" s="28">
        <v>46330</v>
      </c>
      <c r="J1485" t="s">
        <v>9118</v>
      </c>
      <c r="K1485" t="s">
        <v>32</v>
      </c>
    </row>
    <row r="1486" spans="1:11">
      <c r="A1486" s="3">
        <v>2532898</v>
      </c>
      <c r="B1486" t="s">
        <v>5739</v>
      </c>
      <c r="C1486" t="s">
        <v>7</v>
      </c>
      <c r="D1486" t="s">
        <v>9108</v>
      </c>
      <c r="E1486" s="28">
        <v>46259</v>
      </c>
      <c r="F1486" t="s">
        <v>9109</v>
      </c>
      <c r="G1486" s="3" t="s">
        <v>9563</v>
      </c>
      <c r="H1486" t="s">
        <v>89</v>
      </c>
      <c r="I1486" s="28">
        <v>46367</v>
      </c>
      <c r="J1486" t="s">
        <v>9118</v>
      </c>
      <c r="K1486" t="s">
        <v>33</v>
      </c>
    </row>
    <row r="1487" spans="1:11">
      <c r="A1487" s="3">
        <v>2532899</v>
      </c>
      <c r="B1487" t="s">
        <v>9564</v>
      </c>
      <c r="C1487" t="s">
        <v>7</v>
      </c>
      <c r="D1487" t="s">
        <v>9108</v>
      </c>
      <c r="E1487" s="28">
        <v>46259</v>
      </c>
      <c r="F1487" t="s">
        <v>9109</v>
      </c>
      <c r="G1487" s="3" t="s">
        <v>9563</v>
      </c>
      <c r="H1487" t="s">
        <v>89</v>
      </c>
      <c r="I1487" s="28">
        <v>46367</v>
      </c>
      <c r="J1487" t="s">
        <v>9118</v>
      </c>
      <c r="K1487" t="s">
        <v>33</v>
      </c>
    </row>
    <row r="1488" spans="1:11">
      <c r="A1488" s="3">
        <v>2532900</v>
      </c>
      <c r="B1488" t="s">
        <v>5744</v>
      </c>
      <c r="C1488" t="s">
        <v>7</v>
      </c>
      <c r="D1488" t="s">
        <v>9108</v>
      </c>
      <c r="E1488" s="28">
        <v>46259</v>
      </c>
      <c r="F1488" t="s">
        <v>9109</v>
      </c>
      <c r="G1488" s="3" t="s">
        <v>9563</v>
      </c>
      <c r="H1488" t="s">
        <v>89</v>
      </c>
      <c r="I1488" s="28">
        <v>46367</v>
      </c>
      <c r="J1488" t="s">
        <v>9118</v>
      </c>
      <c r="K1488" t="s">
        <v>33</v>
      </c>
    </row>
    <row r="1489" spans="1:11">
      <c r="A1489" s="3">
        <v>2532901</v>
      </c>
      <c r="B1489" t="s">
        <v>6267</v>
      </c>
      <c r="C1489" t="s">
        <v>8</v>
      </c>
      <c r="D1489" t="s">
        <v>9108</v>
      </c>
      <c r="E1489" s="28">
        <v>46259</v>
      </c>
      <c r="F1489" t="s">
        <v>9109</v>
      </c>
      <c r="G1489" s="3" t="s">
        <v>9563</v>
      </c>
      <c r="H1489" t="s">
        <v>89</v>
      </c>
      <c r="I1489" s="28">
        <v>46367</v>
      </c>
      <c r="J1489" t="s">
        <v>9118</v>
      </c>
      <c r="K1489" t="s">
        <v>33</v>
      </c>
    </row>
    <row r="1490" spans="1:11">
      <c r="A1490" s="3">
        <v>2532902</v>
      </c>
      <c r="B1490" t="s">
        <v>386</v>
      </c>
      <c r="C1490" t="s">
        <v>8</v>
      </c>
      <c r="D1490" t="s">
        <v>9108</v>
      </c>
      <c r="E1490" s="28">
        <v>46259</v>
      </c>
      <c r="F1490" t="s">
        <v>9109</v>
      </c>
      <c r="G1490" s="3" t="s">
        <v>9563</v>
      </c>
      <c r="H1490" t="s">
        <v>89</v>
      </c>
      <c r="I1490" s="28">
        <v>46367</v>
      </c>
      <c r="J1490" t="s">
        <v>9118</v>
      </c>
      <c r="K1490" t="s">
        <v>33</v>
      </c>
    </row>
    <row r="1491" spans="1:11">
      <c r="A1491" s="3">
        <v>2532903</v>
      </c>
      <c r="B1491" t="s">
        <v>8402</v>
      </c>
      <c r="C1491" t="s">
        <v>7</v>
      </c>
      <c r="D1491" t="s">
        <v>9108</v>
      </c>
      <c r="E1491" s="28">
        <v>46259</v>
      </c>
      <c r="F1491" t="s">
        <v>9109</v>
      </c>
      <c r="G1491" s="3" t="s">
        <v>9563</v>
      </c>
      <c r="H1491" t="s">
        <v>89</v>
      </c>
      <c r="I1491" s="28">
        <v>46367</v>
      </c>
      <c r="J1491" t="s">
        <v>9118</v>
      </c>
      <c r="K1491" t="s">
        <v>33</v>
      </c>
    </row>
    <row r="1492" spans="1:11">
      <c r="A1492" s="3">
        <v>2532904</v>
      </c>
      <c r="B1492" t="s">
        <v>7973</v>
      </c>
      <c r="C1492" t="s">
        <v>8</v>
      </c>
      <c r="D1492" t="s">
        <v>9108</v>
      </c>
      <c r="E1492" s="28">
        <v>46259</v>
      </c>
      <c r="F1492" t="s">
        <v>9109</v>
      </c>
      <c r="G1492" s="3" t="s">
        <v>9563</v>
      </c>
      <c r="H1492" t="s">
        <v>89</v>
      </c>
      <c r="I1492" s="28">
        <v>46367</v>
      </c>
      <c r="J1492" t="s">
        <v>9118</v>
      </c>
      <c r="K1492" t="s">
        <v>33</v>
      </c>
    </row>
    <row r="1493" spans="1:11">
      <c r="A1493" s="3">
        <v>2532905</v>
      </c>
      <c r="B1493" t="s">
        <v>9565</v>
      </c>
      <c r="C1493" t="s">
        <v>7</v>
      </c>
      <c r="D1493" t="s">
        <v>9108</v>
      </c>
      <c r="E1493" s="28">
        <v>46259</v>
      </c>
      <c r="F1493" t="s">
        <v>9109</v>
      </c>
      <c r="G1493" s="3" t="s">
        <v>9566</v>
      </c>
      <c r="H1493" t="s">
        <v>9352</v>
      </c>
      <c r="I1493" s="28">
        <v>46367</v>
      </c>
      <c r="J1493" t="s">
        <v>9118</v>
      </c>
      <c r="K1493" t="s">
        <v>33</v>
      </c>
    </row>
    <row r="1494" spans="1:11">
      <c r="A1494" s="3">
        <v>2532906</v>
      </c>
      <c r="B1494" t="s">
        <v>6325</v>
      </c>
      <c r="C1494" t="s">
        <v>8</v>
      </c>
      <c r="D1494" t="s">
        <v>9108</v>
      </c>
      <c r="E1494" s="28">
        <v>46259</v>
      </c>
      <c r="F1494" t="s">
        <v>9109</v>
      </c>
      <c r="G1494" s="3" t="s">
        <v>9566</v>
      </c>
      <c r="H1494" t="s">
        <v>9352</v>
      </c>
      <c r="I1494" s="28">
        <v>46367</v>
      </c>
      <c r="J1494" t="s">
        <v>9118</v>
      </c>
      <c r="K1494" t="s">
        <v>33</v>
      </c>
    </row>
    <row r="1495" spans="1:11">
      <c r="A1495" s="3">
        <v>2532908</v>
      </c>
      <c r="B1495" t="s">
        <v>2039</v>
      </c>
      <c r="C1495" t="s">
        <v>8</v>
      </c>
      <c r="D1495" t="s">
        <v>9108</v>
      </c>
      <c r="E1495" s="28">
        <v>46259</v>
      </c>
      <c r="F1495" t="s">
        <v>9109</v>
      </c>
      <c r="G1495" s="3" t="s">
        <v>9567</v>
      </c>
      <c r="H1495" t="s">
        <v>9352</v>
      </c>
      <c r="I1495" s="28">
        <v>46367</v>
      </c>
      <c r="J1495" t="s">
        <v>9118</v>
      </c>
      <c r="K1495" t="s">
        <v>33</v>
      </c>
    </row>
    <row r="1496" spans="1:11">
      <c r="A1496" s="3">
        <v>2532909</v>
      </c>
      <c r="B1496" t="s">
        <v>1733</v>
      </c>
      <c r="C1496" t="s">
        <v>8</v>
      </c>
      <c r="D1496" t="s">
        <v>9108</v>
      </c>
      <c r="E1496" s="28">
        <v>46259</v>
      </c>
      <c r="F1496" t="s">
        <v>9109</v>
      </c>
      <c r="G1496" s="3" t="s">
        <v>9568</v>
      </c>
      <c r="H1496" t="s">
        <v>1083</v>
      </c>
      <c r="I1496" s="28">
        <v>46337</v>
      </c>
      <c r="J1496" t="s">
        <v>9118</v>
      </c>
      <c r="K1496" t="s">
        <v>32</v>
      </c>
    </row>
    <row r="1497" spans="1:11">
      <c r="A1497" s="3">
        <v>2532910</v>
      </c>
      <c r="B1497" t="s">
        <v>8430</v>
      </c>
      <c r="C1497" t="s">
        <v>7</v>
      </c>
      <c r="D1497" t="s">
        <v>9108</v>
      </c>
      <c r="E1497" s="28">
        <v>46259</v>
      </c>
      <c r="F1497" t="s">
        <v>9109</v>
      </c>
      <c r="G1497" s="3" t="s">
        <v>9569</v>
      </c>
      <c r="H1497" t="s">
        <v>9134</v>
      </c>
      <c r="I1497" s="28">
        <v>46358</v>
      </c>
      <c r="J1497" t="s">
        <v>9118</v>
      </c>
      <c r="K1497" t="s">
        <v>33</v>
      </c>
    </row>
    <row r="1498" spans="1:11">
      <c r="A1498" s="3">
        <v>2532911</v>
      </c>
      <c r="B1498" t="s">
        <v>9570</v>
      </c>
      <c r="C1498" t="s">
        <v>8</v>
      </c>
      <c r="D1498" t="s">
        <v>9108</v>
      </c>
      <c r="E1498" s="28">
        <v>46259</v>
      </c>
      <c r="F1498" t="s">
        <v>9109</v>
      </c>
      <c r="G1498" s="3" t="s">
        <v>9569</v>
      </c>
      <c r="H1498" t="s">
        <v>9134</v>
      </c>
      <c r="I1498" s="28">
        <v>46358</v>
      </c>
      <c r="J1498" t="s">
        <v>9118</v>
      </c>
      <c r="K1498" t="s">
        <v>33</v>
      </c>
    </row>
    <row r="1499" spans="1:11">
      <c r="A1499" s="3">
        <v>2532912</v>
      </c>
      <c r="B1499" t="s">
        <v>9571</v>
      </c>
      <c r="C1499" t="s">
        <v>7</v>
      </c>
      <c r="D1499" t="s">
        <v>9108</v>
      </c>
      <c r="E1499" s="28">
        <v>46259</v>
      </c>
      <c r="F1499" t="s">
        <v>9109</v>
      </c>
      <c r="G1499" s="3" t="s">
        <v>9569</v>
      </c>
      <c r="H1499" t="s">
        <v>9134</v>
      </c>
      <c r="I1499" s="28">
        <v>46358</v>
      </c>
      <c r="J1499" t="s">
        <v>9118</v>
      </c>
      <c r="K1499" t="s">
        <v>33</v>
      </c>
    </row>
    <row r="1500" spans="1:11">
      <c r="A1500" s="3">
        <v>2532913</v>
      </c>
      <c r="B1500" t="s">
        <v>9572</v>
      </c>
      <c r="C1500" t="s">
        <v>7</v>
      </c>
      <c r="D1500" t="s">
        <v>9108</v>
      </c>
      <c r="E1500" s="28">
        <v>46259</v>
      </c>
      <c r="F1500" t="s">
        <v>9109</v>
      </c>
      <c r="G1500" s="3" t="s">
        <v>9567</v>
      </c>
      <c r="H1500" t="s">
        <v>9352</v>
      </c>
      <c r="I1500" s="28">
        <v>46367</v>
      </c>
      <c r="J1500" t="s">
        <v>9118</v>
      </c>
      <c r="K1500" t="s">
        <v>33</v>
      </c>
    </row>
    <row r="1501" spans="1:11">
      <c r="A1501" s="3">
        <v>2532914</v>
      </c>
      <c r="B1501" t="s">
        <v>7779</v>
      </c>
      <c r="C1501" t="s">
        <v>7</v>
      </c>
      <c r="D1501" t="s">
        <v>9108</v>
      </c>
      <c r="E1501" s="28">
        <v>46259</v>
      </c>
      <c r="F1501" t="s">
        <v>9109</v>
      </c>
      <c r="G1501" s="3" t="s">
        <v>9573</v>
      </c>
      <c r="H1501" t="s">
        <v>4040</v>
      </c>
      <c r="I1501" s="28">
        <v>46367</v>
      </c>
      <c r="J1501" t="s">
        <v>9118</v>
      </c>
      <c r="K1501" t="s">
        <v>33</v>
      </c>
    </row>
    <row r="1502" spans="1:11">
      <c r="A1502" s="3">
        <v>2532915</v>
      </c>
      <c r="B1502" t="s">
        <v>7430</v>
      </c>
      <c r="C1502" t="s">
        <v>7</v>
      </c>
      <c r="D1502" t="s">
        <v>9108</v>
      </c>
      <c r="E1502" s="28">
        <v>46259</v>
      </c>
      <c r="F1502" t="s">
        <v>9109</v>
      </c>
      <c r="G1502" s="3" t="s">
        <v>9574</v>
      </c>
      <c r="H1502" t="s">
        <v>4040</v>
      </c>
      <c r="I1502" s="28">
        <v>46367</v>
      </c>
      <c r="J1502" t="s">
        <v>9118</v>
      </c>
      <c r="K1502" t="s">
        <v>33</v>
      </c>
    </row>
    <row r="1503" spans="1:11">
      <c r="A1503" s="3">
        <v>2532916</v>
      </c>
      <c r="B1503" t="s">
        <v>1788</v>
      </c>
      <c r="C1503" t="s">
        <v>8</v>
      </c>
      <c r="D1503" t="s">
        <v>9108</v>
      </c>
      <c r="E1503" s="28">
        <v>46259</v>
      </c>
      <c r="F1503" t="s">
        <v>9109</v>
      </c>
      <c r="G1503" s="3" t="s">
        <v>9567</v>
      </c>
      <c r="H1503" t="s">
        <v>9352</v>
      </c>
      <c r="I1503" s="28">
        <v>46367</v>
      </c>
      <c r="J1503" t="s">
        <v>9118</v>
      </c>
      <c r="K1503" t="s">
        <v>33</v>
      </c>
    </row>
    <row r="1504" spans="1:11">
      <c r="A1504" s="3">
        <v>2532917</v>
      </c>
      <c r="B1504" t="s">
        <v>880</v>
      </c>
      <c r="C1504" t="s">
        <v>7</v>
      </c>
      <c r="D1504" t="s">
        <v>9108</v>
      </c>
      <c r="E1504" s="28">
        <v>46259</v>
      </c>
      <c r="F1504" t="s">
        <v>9109</v>
      </c>
      <c r="G1504" s="3" t="s">
        <v>9566</v>
      </c>
      <c r="H1504" t="s">
        <v>9352</v>
      </c>
      <c r="I1504" s="28">
        <v>46367</v>
      </c>
      <c r="J1504" t="s">
        <v>9118</v>
      </c>
      <c r="K1504" t="s">
        <v>33</v>
      </c>
    </row>
    <row r="1505" spans="1:11">
      <c r="A1505" s="3">
        <v>2532918</v>
      </c>
      <c r="B1505" t="s">
        <v>8455</v>
      </c>
      <c r="C1505" t="s">
        <v>7</v>
      </c>
      <c r="D1505" t="s">
        <v>9108</v>
      </c>
      <c r="E1505" s="28">
        <v>46259</v>
      </c>
      <c r="F1505" t="s">
        <v>9109</v>
      </c>
      <c r="G1505" s="3" t="s">
        <v>9574</v>
      </c>
      <c r="H1505" t="s">
        <v>4040</v>
      </c>
      <c r="I1505" s="28">
        <v>46367</v>
      </c>
      <c r="J1505" t="s">
        <v>9118</v>
      </c>
      <c r="K1505" t="s">
        <v>33</v>
      </c>
    </row>
    <row r="1506" spans="1:11">
      <c r="A1506" s="3">
        <v>2532919</v>
      </c>
      <c r="B1506" t="s">
        <v>5398</v>
      </c>
      <c r="C1506" t="s">
        <v>8</v>
      </c>
      <c r="D1506" t="s">
        <v>9108</v>
      </c>
      <c r="E1506" s="28">
        <v>46259</v>
      </c>
      <c r="F1506" t="s">
        <v>9109</v>
      </c>
      <c r="G1506" s="3" t="s">
        <v>9575</v>
      </c>
      <c r="H1506" t="s">
        <v>9122</v>
      </c>
      <c r="I1506" s="28">
        <v>46386</v>
      </c>
      <c r="J1506" t="s">
        <v>9118</v>
      </c>
      <c r="K1506" t="s">
        <v>33</v>
      </c>
    </row>
    <row r="1507" spans="1:11">
      <c r="A1507" s="3">
        <v>2532920</v>
      </c>
      <c r="B1507" t="s">
        <v>9576</v>
      </c>
      <c r="C1507" t="s">
        <v>7</v>
      </c>
      <c r="D1507" t="s">
        <v>9108</v>
      </c>
      <c r="E1507" s="28">
        <v>46259</v>
      </c>
      <c r="F1507" t="s">
        <v>9109</v>
      </c>
      <c r="G1507" s="3" t="s">
        <v>9568</v>
      </c>
      <c r="H1507" t="s">
        <v>1083</v>
      </c>
      <c r="I1507" s="28">
        <v>46337</v>
      </c>
      <c r="J1507" t="s">
        <v>9118</v>
      </c>
      <c r="K1507" t="s">
        <v>32</v>
      </c>
    </row>
    <row r="1508" spans="1:11">
      <c r="A1508" s="3">
        <v>2532921</v>
      </c>
      <c r="B1508" t="s">
        <v>4954</v>
      </c>
      <c r="C1508" t="s">
        <v>7</v>
      </c>
      <c r="D1508" t="s">
        <v>9108</v>
      </c>
      <c r="E1508" s="28">
        <v>46259</v>
      </c>
      <c r="F1508" t="s">
        <v>9109</v>
      </c>
      <c r="G1508" s="3" t="s">
        <v>9575</v>
      </c>
      <c r="H1508" t="s">
        <v>9122</v>
      </c>
      <c r="I1508" s="28">
        <v>46386</v>
      </c>
      <c r="J1508" t="s">
        <v>9118</v>
      </c>
      <c r="K1508" t="s">
        <v>33</v>
      </c>
    </row>
    <row r="1509" spans="1:11">
      <c r="A1509" s="3">
        <v>2532922</v>
      </c>
      <c r="B1509" t="s">
        <v>1073</v>
      </c>
      <c r="C1509" t="s">
        <v>8</v>
      </c>
      <c r="D1509" t="s">
        <v>9108</v>
      </c>
      <c r="E1509" s="28">
        <v>46259</v>
      </c>
      <c r="F1509" t="s">
        <v>9109</v>
      </c>
      <c r="G1509" s="3" t="s">
        <v>9575</v>
      </c>
      <c r="H1509" t="s">
        <v>9122</v>
      </c>
      <c r="I1509" s="28">
        <v>46386</v>
      </c>
      <c r="J1509" t="s">
        <v>9118</v>
      </c>
      <c r="K1509" t="s">
        <v>33</v>
      </c>
    </row>
    <row r="1510" spans="1:11">
      <c r="A1510" s="3">
        <v>2532923</v>
      </c>
      <c r="B1510" t="s">
        <v>3664</v>
      </c>
      <c r="C1510" t="s">
        <v>8</v>
      </c>
      <c r="D1510" t="s">
        <v>9108</v>
      </c>
      <c r="E1510" s="28">
        <v>46259</v>
      </c>
      <c r="F1510" t="s">
        <v>9109</v>
      </c>
      <c r="G1510" s="3" t="s">
        <v>9575</v>
      </c>
      <c r="H1510" t="s">
        <v>9122</v>
      </c>
      <c r="I1510" s="28">
        <v>46386</v>
      </c>
      <c r="J1510" t="s">
        <v>9118</v>
      </c>
      <c r="K1510" t="s">
        <v>33</v>
      </c>
    </row>
    <row r="1511" spans="1:11">
      <c r="A1511" s="3">
        <v>2532924</v>
      </c>
      <c r="B1511" t="s">
        <v>9577</v>
      </c>
      <c r="C1511" t="s">
        <v>7</v>
      </c>
      <c r="D1511" t="s">
        <v>9108</v>
      </c>
      <c r="E1511" s="28">
        <v>46259</v>
      </c>
      <c r="F1511" t="s">
        <v>9109</v>
      </c>
      <c r="G1511" s="3" t="s">
        <v>9567</v>
      </c>
      <c r="H1511" t="s">
        <v>9352</v>
      </c>
      <c r="I1511" s="28">
        <v>46367</v>
      </c>
      <c r="J1511" t="s">
        <v>9118</v>
      </c>
      <c r="K1511" t="s">
        <v>33</v>
      </c>
    </row>
    <row r="1512" spans="1:11">
      <c r="A1512" s="3">
        <v>2532925</v>
      </c>
      <c r="B1512" t="s">
        <v>946</v>
      </c>
      <c r="C1512" t="s">
        <v>7</v>
      </c>
      <c r="D1512" t="s">
        <v>9108</v>
      </c>
      <c r="E1512" s="28">
        <v>46259</v>
      </c>
      <c r="F1512" t="s">
        <v>9109</v>
      </c>
      <c r="G1512" s="3" t="s">
        <v>9578</v>
      </c>
      <c r="H1512" t="s">
        <v>424</v>
      </c>
      <c r="I1512" s="28">
        <v>46365</v>
      </c>
      <c r="J1512" t="s">
        <v>9118</v>
      </c>
      <c r="K1512" t="s">
        <v>33</v>
      </c>
    </row>
    <row r="1513" spans="1:11">
      <c r="A1513" s="3">
        <v>2532926</v>
      </c>
      <c r="B1513" t="s">
        <v>925</v>
      </c>
      <c r="C1513" t="s">
        <v>7</v>
      </c>
      <c r="D1513" t="s">
        <v>9108</v>
      </c>
      <c r="E1513" s="28">
        <v>46259</v>
      </c>
      <c r="F1513" t="s">
        <v>9109</v>
      </c>
      <c r="G1513" s="3" t="s">
        <v>9578</v>
      </c>
      <c r="H1513" t="s">
        <v>424</v>
      </c>
      <c r="I1513" s="28">
        <v>46365</v>
      </c>
      <c r="J1513" t="s">
        <v>9118</v>
      </c>
      <c r="K1513" t="s">
        <v>33</v>
      </c>
    </row>
    <row r="1514" spans="1:11">
      <c r="A1514" s="3">
        <v>2532927</v>
      </c>
      <c r="B1514" t="s">
        <v>9579</v>
      </c>
      <c r="C1514" t="s">
        <v>7</v>
      </c>
      <c r="D1514" t="s">
        <v>9108</v>
      </c>
      <c r="E1514" s="28">
        <v>46259</v>
      </c>
      <c r="F1514" t="s">
        <v>9109</v>
      </c>
      <c r="G1514" s="3" t="s">
        <v>9567</v>
      </c>
      <c r="H1514" t="s">
        <v>9352</v>
      </c>
      <c r="I1514" s="28">
        <v>46367</v>
      </c>
      <c r="J1514" t="s">
        <v>9118</v>
      </c>
      <c r="K1514" t="s">
        <v>33</v>
      </c>
    </row>
    <row r="1515" spans="1:11">
      <c r="A1515" s="3">
        <v>2532928</v>
      </c>
      <c r="B1515" t="s">
        <v>1242</v>
      </c>
      <c r="C1515" t="s">
        <v>8</v>
      </c>
      <c r="D1515" t="s">
        <v>9108</v>
      </c>
      <c r="E1515" s="28">
        <v>46259</v>
      </c>
      <c r="F1515" t="s">
        <v>9109</v>
      </c>
      <c r="G1515" s="3" t="s">
        <v>9563</v>
      </c>
      <c r="H1515" t="s">
        <v>89</v>
      </c>
      <c r="I1515" s="28">
        <v>46367</v>
      </c>
      <c r="J1515" t="s">
        <v>9118</v>
      </c>
      <c r="K1515" t="s">
        <v>33</v>
      </c>
    </row>
    <row r="1516" spans="1:11">
      <c r="A1516" s="3">
        <v>2532931</v>
      </c>
      <c r="B1516" t="s">
        <v>4875</v>
      </c>
      <c r="C1516" t="s">
        <v>7</v>
      </c>
      <c r="D1516" t="s">
        <v>9108</v>
      </c>
      <c r="E1516" s="28">
        <v>46259</v>
      </c>
      <c r="F1516" t="s">
        <v>9109</v>
      </c>
      <c r="G1516" s="3" t="s">
        <v>9573</v>
      </c>
      <c r="H1516" t="s">
        <v>4040</v>
      </c>
      <c r="I1516" s="28">
        <v>46367</v>
      </c>
      <c r="J1516" t="s">
        <v>9118</v>
      </c>
      <c r="K1516" t="s">
        <v>33</v>
      </c>
    </row>
    <row r="1517" spans="1:11">
      <c r="A1517" s="3">
        <v>2532932</v>
      </c>
      <c r="B1517" t="s">
        <v>9580</v>
      </c>
      <c r="C1517" t="s">
        <v>7</v>
      </c>
      <c r="D1517" t="s">
        <v>9108</v>
      </c>
      <c r="E1517" s="28">
        <v>46259</v>
      </c>
      <c r="F1517" t="s">
        <v>9109</v>
      </c>
      <c r="G1517" s="3" t="s">
        <v>9568</v>
      </c>
      <c r="H1517" t="s">
        <v>1083</v>
      </c>
      <c r="I1517" s="28">
        <v>46337</v>
      </c>
      <c r="J1517" t="s">
        <v>9118</v>
      </c>
      <c r="K1517" t="s">
        <v>32</v>
      </c>
    </row>
    <row r="1518" spans="1:11">
      <c r="A1518" s="3">
        <v>2532933</v>
      </c>
      <c r="B1518" t="s">
        <v>3210</v>
      </c>
      <c r="C1518" t="s">
        <v>7</v>
      </c>
      <c r="D1518" t="s">
        <v>9108</v>
      </c>
      <c r="E1518" s="28">
        <v>46259</v>
      </c>
      <c r="F1518" t="s">
        <v>9109</v>
      </c>
      <c r="G1518" s="3" t="s">
        <v>9568</v>
      </c>
      <c r="H1518" t="s">
        <v>1083</v>
      </c>
      <c r="I1518" s="28">
        <v>46337</v>
      </c>
      <c r="J1518" t="s">
        <v>9118</v>
      </c>
      <c r="K1518" t="s">
        <v>32</v>
      </c>
    </row>
    <row r="1519" spans="1:11">
      <c r="A1519" s="3">
        <v>2532934</v>
      </c>
      <c r="B1519" t="s">
        <v>5637</v>
      </c>
      <c r="C1519" t="s">
        <v>8</v>
      </c>
      <c r="D1519" t="s">
        <v>9108</v>
      </c>
      <c r="E1519" s="28">
        <v>46259</v>
      </c>
      <c r="F1519" t="s">
        <v>9109</v>
      </c>
      <c r="G1519" s="3" t="s">
        <v>9566</v>
      </c>
      <c r="H1519" t="s">
        <v>9352</v>
      </c>
      <c r="I1519" s="28">
        <v>46367</v>
      </c>
      <c r="J1519" t="s">
        <v>9118</v>
      </c>
      <c r="K1519" t="s">
        <v>33</v>
      </c>
    </row>
    <row r="1520" spans="1:11">
      <c r="A1520" s="3">
        <v>2532935</v>
      </c>
      <c r="B1520" t="s">
        <v>7940</v>
      </c>
      <c r="C1520" t="s">
        <v>8</v>
      </c>
      <c r="D1520" t="s">
        <v>9108</v>
      </c>
      <c r="E1520" s="28">
        <v>46259</v>
      </c>
      <c r="F1520" t="s">
        <v>9109</v>
      </c>
      <c r="G1520" s="3" t="s">
        <v>9569</v>
      </c>
      <c r="H1520" t="s">
        <v>9134</v>
      </c>
      <c r="I1520" s="28">
        <v>46358</v>
      </c>
      <c r="J1520" t="s">
        <v>9118</v>
      </c>
      <c r="K1520" t="s">
        <v>33</v>
      </c>
    </row>
    <row r="1521" spans="1:11">
      <c r="A1521" s="3">
        <v>2532937</v>
      </c>
      <c r="B1521" t="s">
        <v>5642</v>
      </c>
      <c r="C1521" t="s">
        <v>8</v>
      </c>
      <c r="D1521" t="s">
        <v>9108</v>
      </c>
      <c r="E1521" s="28">
        <v>46259</v>
      </c>
      <c r="F1521" t="s">
        <v>9109</v>
      </c>
      <c r="G1521" s="3" t="s">
        <v>9574</v>
      </c>
      <c r="H1521" t="s">
        <v>4040</v>
      </c>
      <c r="I1521" s="28">
        <v>46367</v>
      </c>
      <c r="J1521" t="s">
        <v>9118</v>
      </c>
      <c r="K1521" t="s">
        <v>33</v>
      </c>
    </row>
    <row r="1522" spans="1:11">
      <c r="A1522" s="3">
        <v>2532938</v>
      </c>
      <c r="B1522" t="s">
        <v>9581</v>
      </c>
      <c r="C1522" t="s">
        <v>8</v>
      </c>
      <c r="D1522" t="s">
        <v>9108</v>
      </c>
      <c r="E1522" s="28">
        <v>46259</v>
      </c>
      <c r="F1522" t="s">
        <v>9109</v>
      </c>
      <c r="G1522" s="3" t="s">
        <v>9567</v>
      </c>
      <c r="H1522" t="s">
        <v>9352</v>
      </c>
      <c r="I1522" s="28">
        <v>46367</v>
      </c>
      <c r="J1522" t="s">
        <v>9118</v>
      </c>
      <c r="K1522" t="s">
        <v>33</v>
      </c>
    </row>
    <row r="1523" spans="1:11">
      <c r="A1523" s="3">
        <v>2532939</v>
      </c>
      <c r="B1523" t="s">
        <v>5363</v>
      </c>
      <c r="C1523" t="s">
        <v>8</v>
      </c>
      <c r="D1523" t="s">
        <v>9108</v>
      </c>
      <c r="E1523" s="28">
        <v>46259</v>
      </c>
      <c r="F1523" t="s">
        <v>9109</v>
      </c>
      <c r="G1523" s="3" t="s">
        <v>9574</v>
      </c>
      <c r="H1523" t="s">
        <v>4040</v>
      </c>
      <c r="I1523" s="28">
        <v>46367</v>
      </c>
      <c r="J1523" t="s">
        <v>9118</v>
      </c>
      <c r="K1523" t="s">
        <v>33</v>
      </c>
    </row>
    <row r="1524" spans="1:11">
      <c r="A1524" s="3">
        <v>2532940</v>
      </c>
      <c r="B1524" t="s">
        <v>6928</v>
      </c>
      <c r="C1524" t="s">
        <v>7</v>
      </c>
      <c r="D1524" t="s">
        <v>9108</v>
      </c>
      <c r="E1524" s="28">
        <v>46259</v>
      </c>
      <c r="F1524" t="s">
        <v>9109</v>
      </c>
      <c r="G1524" s="3" t="s">
        <v>9573</v>
      </c>
      <c r="H1524" t="s">
        <v>4040</v>
      </c>
      <c r="I1524" s="28">
        <v>46367</v>
      </c>
      <c r="J1524" t="s">
        <v>9118</v>
      </c>
      <c r="K1524" t="s">
        <v>33</v>
      </c>
    </row>
    <row r="1525" spans="1:11">
      <c r="A1525" s="3">
        <v>2532941</v>
      </c>
      <c r="B1525" t="s">
        <v>9582</v>
      </c>
      <c r="C1525" t="s">
        <v>8</v>
      </c>
      <c r="D1525" t="s">
        <v>9108</v>
      </c>
      <c r="E1525" s="28">
        <v>46259</v>
      </c>
      <c r="F1525" t="s">
        <v>9109</v>
      </c>
      <c r="G1525" s="3" t="s">
        <v>9574</v>
      </c>
      <c r="H1525" t="s">
        <v>4040</v>
      </c>
      <c r="I1525" s="28">
        <v>46367</v>
      </c>
      <c r="J1525" t="s">
        <v>9118</v>
      </c>
      <c r="K1525" t="s">
        <v>33</v>
      </c>
    </row>
    <row r="1526" spans="1:11">
      <c r="A1526" s="3">
        <v>2532942</v>
      </c>
      <c r="B1526" t="s">
        <v>6757</v>
      </c>
      <c r="C1526" t="s">
        <v>7</v>
      </c>
      <c r="D1526" t="s">
        <v>9108</v>
      </c>
      <c r="E1526" s="28">
        <v>46259</v>
      </c>
      <c r="F1526" t="s">
        <v>9109</v>
      </c>
      <c r="G1526" s="3" t="s">
        <v>9567</v>
      </c>
      <c r="H1526" t="s">
        <v>9352</v>
      </c>
      <c r="I1526" s="28">
        <v>46367</v>
      </c>
      <c r="J1526" t="s">
        <v>9118</v>
      </c>
      <c r="K1526" t="s">
        <v>33</v>
      </c>
    </row>
    <row r="1527" spans="1:11">
      <c r="A1527" s="3">
        <v>2532943</v>
      </c>
      <c r="B1527" t="s">
        <v>6882</v>
      </c>
      <c r="C1527" t="s">
        <v>7</v>
      </c>
      <c r="D1527" t="s">
        <v>9108</v>
      </c>
      <c r="E1527" s="28">
        <v>46259</v>
      </c>
      <c r="F1527" t="s">
        <v>9109</v>
      </c>
      <c r="G1527" s="3" t="s">
        <v>9575</v>
      </c>
      <c r="H1527" t="s">
        <v>9122</v>
      </c>
      <c r="I1527" s="28">
        <v>46386</v>
      </c>
      <c r="J1527" t="s">
        <v>9118</v>
      </c>
      <c r="K1527" t="s">
        <v>33</v>
      </c>
    </row>
    <row r="1528" spans="1:11">
      <c r="A1528" s="3">
        <v>2532944</v>
      </c>
      <c r="B1528" t="s">
        <v>5707</v>
      </c>
      <c r="C1528" t="s">
        <v>8</v>
      </c>
      <c r="D1528" t="s">
        <v>9108</v>
      </c>
      <c r="E1528" s="28">
        <v>46259</v>
      </c>
      <c r="F1528" t="s">
        <v>9109</v>
      </c>
      <c r="G1528" s="3" t="s">
        <v>9575</v>
      </c>
      <c r="H1528" t="s">
        <v>9122</v>
      </c>
      <c r="I1528" s="28">
        <v>46386</v>
      </c>
      <c r="J1528" t="s">
        <v>9118</v>
      </c>
      <c r="K1528" t="s">
        <v>33</v>
      </c>
    </row>
    <row r="1529" spans="1:11">
      <c r="A1529" s="3">
        <v>2532945</v>
      </c>
      <c r="B1529" t="s">
        <v>1597</v>
      </c>
      <c r="C1529" t="s">
        <v>7</v>
      </c>
      <c r="D1529" t="s">
        <v>9108</v>
      </c>
      <c r="E1529" s="28">
        <v>46259</v>
      </c>
      <c r="F1529" t="s">
        <v>9109</v>
      </c>
      <c r="G1529" s="3" t="s">
        <v>9566</v>
      </c>
      <c r="H1529" t="s">
        <v>9352</v>
      </c>
      <c r="I1529" s="28">
        <v>46367</v>
      </c>
      <c r="J1529" t="s">
        <v>9118</v>
      </c>
      <c r="K1529" t="s">
        <v>33</v>
      </c>
    </row>
    <row r="1530" spans="1:11">
      <c r="A1530" s="3">
        <v>2532946</v>
      </c>
      <c r="B1530" t="s">
        <v>4092</v>
      </c>
      <c r="C1530" t="s">
        <v>7</v>
      </c>
      <c r="D1530" t="s">
        <v>9108</v>
      </c>
      <c r="E1530" s="28">
        <v>46259</v>
      </c>
      <c r="F1530" t="s">
        <v>9109</v>
      </c>
      <c r="G1530" s="3" t="s">
        <v>9561</v>
      </c>
      <c r="H1530" t="s">
        <v>9562</v>
      </c>
      <c r="I1530" s="28">
        <v>46330</v>
      </c>
      <c r="J1530" t="s">
        <v>9118</v>
      </c>
      <c r="K1530" t="s">
        <v>32</v>
      </c>
    </row>
    <row r="1531" spans="1:11">
      <c r="A1531" s="3">
        <v>2532947</v>
      </c>
      <c r="B1531" t="s">
        <v>1724</v>
      </c>
      <c r="C1531" t="s">
        <v>8</v>
      </c>
      <c r="D1531" t="s">
        <v>9108</v>
      </c>
      <c r="E1531" s="28">
        <v>46259</v>
      </c>
      <c r="F1531" t="s">
        <v>9109</v>
      </c>
      <c r="G1531" s="3" t="s">
        <v>9573</v>
      </c>
      <c r="H1531" t="s">
        <v>4040</v>
      </c>
      <c r="I1531" s="28">
        <v>46367</v>
      </c>
      <c r="J1531" t="s">
        <v>9118</v>
      </c>
      <c r="K1531" t="s">
        <v>33</v>
      </c>
    </row>
    <row r="1532" spans="1:11">
      <c r="A1532" s="3">
        <v>2532948</v>
      </c>
      <c r="B1532" t="s">
        <v>5648</v>
      </c>
      <c r="C1532" t="s">
        <v>8</v>
      </c>
      <c r="D1532" t="s">
        <v>9108</v>
      </c>
      <c r="E1532" s="28">
        <v>46259</v>
      </c>
      <c r="F1532" t="s">
        <v>9109</v>
      </c>
      <c r="G1532" s="3" t="s">
        <v>9567</v>
      </c>
      <c r="H1532" t="s">
        <v>9352</v>
      </c>
      <c r="I1532" s="28">
        <v>46367</v>
      </c>
      <c r="J1532" t="s">
        <v>9118</v>
      </c>
      <c r="K1532" t="s">
        <v>33</v>
      </c>
    </row>
    <row r="1533" spans="1:11">
      <c r="A1533" s="3">
        <v>2532949</v>
      </c>
      <c r="B1533" t="s">
        <v>6315</v>
      </c>
      <c r="C1533" t="s">
        <v>8</v>
      </c>
      <c r="D1533" t="s">
        <v>9108</v>
      </c>
      <c r="E1533" s="28">
        <v>46259</v>
      </c>
      <c r="F1533" t="s">
        <v>9109</v>
      </c>
      <c r="G1533" s="3" t="s">
        <v>9566</v>
      </c>
      <c r="H1533" t="s">
        <v>9352</v>
      </c>
      <c r="I1533" s="28">
        <v>46367</v>
      </c>
      <c r="J1533" t="s">
        <v>9118</v>
      </c>
      <c r="K1533" t="s">
        <v>33</v>
      </c>
    </row>
    <row r="1534" spans="1:11">
      <c r="A1534" s="3">
        <v>2532950</v>
      </c>
      <c r="B1534" t="s">
        <v>3018</v>
      </c>
      <c r="C1534" t="s">
        <v>7</v>
      </c>
      <c r="D1534" t="s">
        <v>9108</v>
      </c>
      <c r="E1534" s="28">
        <v>46259</v>
      </c>
      <c r="F1534" t="s">
        <v>9109</v>
      </c>
      <c r="G1534" s="3" t="s">
        <v>9574</v>
      </c>
      <c r="H1534" t="s">
        <v>4040</v>
      </c>
      <c r="I1534" s="28">
        <v>46367</v>
      </c>
      <c r="J1534" t="s">
        <v>9118</v>
      </c>
      <c r="K1534" t="s">
        <v>33</v>
      </c>
    </row>
    <row r="1535" spans="1:11">
      <c r="A1535" s="3">
        <v>2532951</v>
      </c>
      <c r="B1535" t="s">
        <v>1943</v>
      </c>
      <c r="C1535" t="s">
        <v>8</v>
      </c>
      <c r="D1535" t="s">
        <v>9108</v>
      </c>
      <c r="E1535" s="28">
        <v>46259</v>
      </c>
      <c r="F1535" t="s">
        <v>9109</v>
      </c>
      <c r="G1535" s="3" t="s">
        <v>9573</v>
      </c>
      <c r="H1535" t="s">
        <v>4040</v>
      </c>
      <c r="I1535" s="28">
        <v>46367</v>
      </c>
      <c r="J1535" t="s">
        <v>9118</v>
      </c>
      <c r="K1535" t="s">
        <v>33</v>
      </c>
    </row>
    <row r="1536" spans="1:11">
      <c r="A1536" s="3">
        <v>2532952</v>
      </c>
      <c r="B1536" t="s">
        <v>9583</v>
      </c>
      <c r="C1536" t="s">
        <v>8</v>
      </c>
      <c r="D1536" t="s">
        <v>9108</v>
      </c>
      <c r="E1536" s="28">
        <v>46259</v>
      </c>
      <c r="F1536" t="s">
        <v>9109</v>
      </c>
      <c r="G1536" s="3" t="s">
        <v>9574</v>
      </c>
      <c r="H1536" t="s">
        <v>4040</v>
      </c>
      <c r="I1536" s="28">
        <v>46367</v>
      </c>
      <c r="J1536" t="s">
        <v>9118</v>
      </c>
      <c r="K1536" t="s">
        <v>33</v>
      </c>
    </row>
    <row r="1537" spans="1:11">
      <c r="A1537" s="3">
        <v>2532953</v>
      </c>
      <c r="B1537" t="s">
        <v>9584</v>
      </c>
      <c r="C1537" t="s">
        <v>7</v>
      </c>
      <c r="D1537" t="s">
        <v>9108</v>
      </c>
      <c r="E1537" s="28">
        <v>46259</v>
      </c>
      <c r="F1537" t="s">
        <v>9109</v>
      </c>
      <c r="G1537" s="3" t="s">
        <v>9563</v>
      </c>
      <c r="H1537" t="s">
        <v>89</v>
      </c>
      <c r="I1537" s="28">
        <v>46367</v>
      </c>
      <c r="J1537" t="s">
        <v>9118</v>
      </c>
      <c r="K1537" t="s">
        <v>33</v>
      </c>
    </row>
    <row r="1538" spans="1:11">
      <c r="A1538" s="3">
        <v>2532954</v>
      </c>
      <c r="B1538" t="s">
        <v>1759</v>
      </c>
      <c r="C1538" t="s">
        <v>8</v>
      </c>
      <c r="D1538" t="s">
        <v>9108</v>
      </c>
      <c r="E1538" s="28">
        <v>46259</v>
      </c>
      <c r="F1538" t="s">
        <v>9109</v>
      </c>
      <c r="G1538" s="3" t="s">
        <v>9567</v>
      </c>
      <c r="H1538" t="s">
        <v>9352</v>
      </c>
      <c r="I1538" s="28">
        <v>46367</v>
      </c>
      <c r="J1538" t="s">
        <v>9118</v>
      </c>
      <c r="K1538" t="s">
        <v>33</v>
      </c>
    </row>
    <row r="1539" spans="1:11">
      <c r="A1539" s="3">
        <v>2532955</v>
      </c>
      <c r="B1539" t="s">
        <v>9585</v>
      </c>
      <c r="C1539" t="s">
        <v>7</v>
      </c>
      <c r="D1539" t="s">
        <v>9108</v>
      </c>
      <c r="E1539" s="28">
        <v>46259</v>
      </c>
      <c r="F1539" t="s">
        <v>9109</v>
      </c>
      <c r="G1539" s="3" t="s">
        <v>9516</v>
      </c>
      <c r="H1539" t="s">
        <v>424</v>
      </c>
      <c r="I1539" s="28">
        <v>46365</v>
      </c>
      <c r="J1539" t="s">
        <v>9118</v>
      </c>
      <c r="K1539" t="s">
        <v>33</v>
      </c>
    </row>
    <row r="1540" spans="1:11">
      <c r="A1540" s="3">
        <v>2532956</v>
      </c>
      <c r="B1540" t="s">
        <v>2535</v>
      </c>
      <c r="C1540" t="s">
        <v>7</v>
      </c>
      <c r="D1540" t="s">
        <v>9108</v>
      </c>
      <c r="E1540" s="28">
        <v>46259</v>
      </c>
      <c r="F1540" t="s">
        <v>9109</v>
      </c>
      <c r="G1540" s="3" t="s">
        <v>9569</v>
      </c>
      <c r="H1540" t="s">
        <v>9134</v>
      </c>
      <c r="I1540" s="28">
        <v>46358</v>
      </c>
      <c r="J1540" t="s">
        <v>9118</v>
      </c>
      <c r="K1540" t="s">
        <v>33</v>
      </c>
    </row>
    <row r="1541" spans="1:11">
      <c r="A1541" s="3">
        <v>2532957</v>
      </c>
      <c r="B1541" t="s">
        <v>8942</v>
      </c>
      <c r="C1541" t="s">
        <v>8</v>
      </c>
      <c r="D1541" t="s">
        <v>9108</v>
      </c>
      <c r="E1541" s="28">
        <v>46259</v>
      </c>
      <c r="F1541" t="s">
        <v>9109</v>
      </c>
      <c r="G1541" s="3" t="s">
        <v>9578</v>
      </c>
      <c r="H1541" t="s">
        <v>424</v>
      </c>
      <c r="I1541" s="28">
        <v>46365</v>
      </c>
      <c r="J1541" t="s">
        <v>9118</v>
      </c>
      <c r="K1541" t="s">
        <v>33</v>
      </c>
    </row>
    <row r="1542" spans="1:11">
      <c r="A1542" s="3">
        <v>2532958</v>
      </c>
      <c r="B1542" t="s">
        <v>9586</v>
      </c>
      <c r="C1542" t="s">
        <v>7</v>
      </c>
      <c r="D1542" t="s">
        <v>9108</v>
      </c>
      <c r="E1542" s="28">
        <v>46259</v>
      </c>
      <c r="F1542" t="s">
        <v>9109</v>
      </c>
      <c r="G1542" s="3" t="s">
        <v>9563</v>
      </c>
      <c r="H1542" t="s">
        <v>89</v>
      </c>
      <c r="I1542" s="28">
        <v>46367</v>
      </c>
      <c r="J1542" t="s">
        <v>9118</v>
      </c>
      <c r="K1542" t="s">
        <v>33</v>
      </c>
    </row>
    <row r="1543" spans="1:11">
      <c r="A1543" s="3">
        <v>2532960</v>
      </c>
      <c r="B1543" t="s">
        <v>9587</v>
      </c>
      <c r="C1543" t="s">
        <v>8</v>
      </c>
      <c r="D1543" t="s">
        <v>9108</v>
      </c>
      <c r="E1543" s="28">
        <v>46259</v>
      </c>
      <c r="F1543" t="s">
        <v>9109</v>
      </c>
      <c r="G1543" s="3" t="s">
        <v>9578</v>
      </c>
      <c r="H1543" t="s">
        <v>424</v>
      </c>
      <c r="I1543" s="28">
        <v>46365</v>
      </c>
      <c r="J1543" t="s">
        <v>9118</v>
      </c>
      <c r="K1543" t="s">
        <v>33</v>
      </c>
    </row>
    <row r="1544" spans="1:11">
      <c r="A1544" s="3">
        <v>2532961</v>
      </c>
      <c r="B1544" t="s">
        <v>4834</v>
      </c>
      <c r="C1544" t="s">
        <v>7</v>
      </c>
      <c r="D1544" t="s">
        <v>9108</v>
      </c>
      <c r="E1544" s="28">
        <v>46259</v>
      </c>
      <c r="F1544" t="s">
        <v>9109</v>
      </c>
      <c r="G1544" s="3" t="s">
        <v>9574</v>
      </c>
      <c r="H1544" t="s">
        <v>4040</v>
      </c>
      <c r="I1544" s="28">
        <v>46367</v>
      </c>
      <c r="J1544" t="s">
        <v>9118</v>
      </c>
      <c r="K1544" t="s">
        <v>33</v>
      </c>
    </row>
    <row r="1545" spans="1:11">
      <c r="A1545" s="3">
        <v>2532962</v>
      </c>
      <c r="B1545" t="s">
        <v>1390</v>
      </c>
      <c r="C1545" t="s">
        <v>8</v>
      </c>
      <c r="D1545" t="s">
        <v>9108</v>
      </c>
      <c r="E1545" s="28">
        <v>46259</v>
      </c>
      <c r="F1545" t="s">
        <v>9109</v>
      </c>
      <c r="G1545" s="3" t="s">
        <v>9574</v>
      </c>
      <c r="H1545" t="s">
        <v>4040</v>
      </c>
      <c r="I1545" s="28">
        <v>46367</v>
      </c>
      <c r="J1545" t="s">
        <v>9118</v>
      </c>
      <c r="K1545" t="s">
        <v>33</v>
      </c>
    </row>
    <row r="1546" spans="1:11">
      <c r="A1546" s="3">
        <v>2532963</v>
      </c>
      <c r="B1546" t="s">
        <v>5618</v>
      </c>
      <c r="C1546" t="s">
        <v>8</v>
      </c>
      <c r="D1546" t="s">
        <v>9108</v>
      </c>
      <c r="E1546" s="28">
        <v>46259</v>
      </c>
      <c r="F1546" t="s">
        <v>9109</v>
      </c>
      <c r="G1546" s="3" t="s">
        <v>9567</v>
      </c>
      <c r="H1546" t="s">
        <v>9352</v>
      </c>
      <c r="I1546" s="28">
        <v>46367</v>
      </c>
      <c r="J1546" t="s">
        <v>9118</v>
      </c>
      <c r="K1546" t="s">
        <v>33</v>
      </c>
    </row>
    <row r="1547" spans="1:11">
      <c r="A1547" s="3">
        <v>2532964</v>
      </c>
      <c r="B1547" t="s">
        <v>4222</v>
      </c>
      <c r="C1547" t="s">
        <v>7</v>
      </c>
      <c r="D1547" t="s">
        <v>9108</v>
      </c>
      <c r="E1547" s="28">
        <v>46259</v>
      </c>
      <c r="F1547" t="s">
        <v>9109</v>
      </c>
      <c r="G1547" s="3" t="s">
        <v>9516</v>
      </c>
      <c r="H1547" t="s">
        <v>424</v>
      </c>
      <c r="I1547" s="28">
        <v>46365</v>
      </c>
      <c r="J1547" t="s">
        <v>9118</v>
      </c>
      <c r="K1547" t="s">
        <v>33</v>
      </c>
    </row>
    <row r="1548" spans="1:11">
      <c r="A1548" s="3">
        <v>2532965</v>
      </c>
      <c r="B1548" t="s">
        <v>9588</v>
      </c>
      <c r="C1548" t="s">
        <v>7</v>
      </c>
      <c r="D1548" t="s">
        <v>9108</v>
      </c>
      <c r="E1548" s="28">
        <v>46259</v>
      </c>
      <c r="F1548" t="s">
        <v>9109</v>
      </c>
      <c r="G1548" s="3" t="s">
        <v>9568</v>
      </c>
      <c r="H1548" t="s">
        <v>1083</v>
      </c>
      <c r="I1548" s="28">
        <v>46337</v>
      </c>
      <c r="J1548" t="s">
        <v>9118</v>
      </c>
      <c r="K1548" t="s">
        <v>32</v>
      </c>
    </row>
    <row r="1549" spans="1:11">
      <c r="A1549" s="3">
        <v>2532966</v>
      </c>
      <c r="B1549" t="s">
        <v>7944</v>
      </c>
      <c r="C1549" t="s">
        <v>8</v>
      </c>
      <c r="D1549" t="s">
        <v>9108</v>
      </c>
      <c r="E1549" s="28">
        <v>46259</v>
      </c>
      <c r="F1549" t="s">
        <v>9109</v>
      </c>
      <c r="G1549" s="3" t="s">
        <v>9569</v>
      </c>
      <c r="H1549" t="s">
        <v>9134</v>
      </c>
      <c r="I1549" s="28">
        <v>46358</v>
      </c>
      <c r="J1549" t="s">
        <v>9118</v>
      </c>
      <c r="K1549" t="s">
        <v>33</v>
      </c>
    </row>
    <row r="1550" spans="1:11">
      <c r="A1550" s="3">
        <v>2532967</v>
      </c>
      <c r="B1550" t="s">
        <v>6743</v>
      </c>
      <c r="C1550" t="s">
        <v>7</v>
      </c>
      <c r="D1550" t="s">
        <v>9108</v>
      </c>
      <c r="E1550" s="28">
        <v>46259</v>
      </c>
      <c r="F1550" t="s">
        <v>9109</v>
      </c>
      <c r="G1550" s="3" t="s">
        <v>9566</v>
      </c>
      <c r="H1550" t="s">
        <v>9352</v>
      </c>
      <c r="I1550" s="28">
        <v>46367</v>
      </c>
      <c r="J1550" t="s">
        <v>9118</v>
      </c>
      <c r="K1550" t="s">
        <v>33</v>
      </c>
    </row>
    <row r="1551" spans="1:11">
      <c r="A1551" s="3">
        <v>2532968</v>
      </c>
      <c r="B1551" t="s">
        <v>3580</v>
      </c>
      <c r="C1551" t="s">
        <v>7</v>
      </c>
      <c r="D1551" t="s">
        <v>9108</v>
      </c>
      <c r="E1551" s="28">
        <v>46259</v>
      </c>
      <c r="F1551" t="s">
        <v>9109</v>
      </c>
      <c r="G1551" s="3" t="s">
        <v>9566</v>
      </c>
      <c r="H1551" t="s">
        <v>9352</v>
      </c>
      <c r="I1551" s="28">
        <v>46367</v>
      </c>
      <c r="J1551" t="s">
        <v>9118</v>
      </c>
      <c r="K1551" t="s">
        <v>33</v>
      </c>
    </row>
    <row r="1552" spans="1:11">
      <c r="A1552" s="3">
        <v>2532969</v>
      </c>
      <c r="B1552" t="s">
        <v>848</v>
      </c>
      <c r="C1552" t="s">
        <v>7</v>
      </c>
      <c r="D1552" t="s">
        <v>9108</v>
      </c>
      <c r="E1552" s="28">
        <v>46259</v>
      </c>
      <c r="F1552" t="s">
        <v>9109</v>
      </c>
      <c r="G1552" s="3" t="s">
        <v>9578</v>
      </c>
      <c r="H1552" t="s">
        <v>424</v>
      </c>
      <c r="I1552" s="28">
        <v>46365</v>
      </c>
      <c r="J1552" t="s">
        <v>9118</v>
      </c>
      <c r="K1552" t="s">
        <v>33</v>
      </c>
    </row>
    <row r="1553" spans="1:11">
      <c r="A1553" s="3">
        <v>2532970</v>
      </c>
      <c r="B1553" t="s">
        <v>3037</v>
      </c>
      <c r="C1553" t="s">
        <v>7</v>
      </c>
      <c r="D1553" t="s">
        <v>9108</v>
      </c>
      <c r="E1553" s="28">
        <v>46259</v>
      </c>
      <c r="F1553" t="s">
        <v>9109</v>
      </c>
      <c r="G1553" s="3" t="s">
        <v>9578</v>
      </c>
      <c r="H1553" t="s">
        <v>424</v>
      </c>
      <c r="I1553" s="28">
        <v>46365</v>
      </c>
      <c r="J1553" t="s">
        <v>9118</v>
      </c>
      <c r="K1553" t="s">
        <v>33</v>
      </c>
    </row>
    <row r="1554" spans="1:11">
      <c r="A1554" s="3">
        <v>2532971</v>
      </c>
      <c r="B1554" t="s">
        <v>8596</v>
      </c>
      <c r="C1554" t="s">
        <v>7</v>
      </c>
      <c r="D1554" t="s">
        <v>9108</v>
      </c>
      <c r="E1554" s="28">
        <v>46259</v>
      </c>
      <c r="F1554" t="s">
        <v>9109</v>
      </c>
      <c r="G1554" s="3" t="s">
        <v>9574</v>
      </c>
      <c r="H1554" t="s">
        <v>4040</v>
      </c>
      <c r="I1554" s="28">
        <v>46367</v>
      </c>
      <c r="J1554" t="s">
        <v>9118</v>
      </c>
      <c r="K1554" t="s">
        <v>33</v>
      </c>
    </row>
    <row r="1555" spans="1:11">
      <c r="A1555" s="3">
        <v>2532972</v>
      </c>
      <c r="B1555" t="s">
        <v>9589</v>
      </c>
      <c r="C1555" t="s">
        <v>8</v>
      </c>
      <c r="D1555" t="s">
        <v>9108</v>
      </c>
      <c r="E1555" s="28">
        <v>46259</v>
      </c>
      <c r="F1555" t="s">
        <v>9109</v>
      </c>
      <c r="G1555" s="3" t="s">
        <v>9567</v>
      </c>
      <c r="H1555" t="s">
        <v>9352</v>
      </c>
      <c r="I1555" s="28">
        <v>46367</v>
      </c>
      <c r="J1555" t="s">
        <v>9118</v>
      </c>
      <c r="K1555" t="s">
        <v>33</v>
      </c>
    </row>
    <row r="1556" spans="1:11">
      <c r="A1556" s="3">
        <v>2532973</v>
      </c>
      <c r="B1556" t="s">
        <v>9590</v>
      </c>
      <c r="C1556" t="s">
        <v>8</v>
      </c>
      <c r="D1556" t="s">
        <v>9108</v>
      </c>
      <c r="E1556" s="28">
        <v>46259</v>
      </c>
      <c r="F1556" t="s">
        <v>9109</v>
      </c>
      <c r="G1556" s="3" t="s">
        <v>9578</v>
      </c>
      <c r="H1556" t="s">
        <v>424</v>
      </c>
      <c r="I1556" s="28">
        <v>46365</v>
      </c>
      <c r="J1556" t="s">
        <v>9118</v>
      </c>
      <c r="K1556" t="s">
        <v>33</v>
      </c>
    </row>
    <row r="1557" spans="1:11">
      <c r="A1557" s="3">
        <v>2532974</v>
      </c>
      <c r="B1557" t="s">
        <v>3503</v>
      </c>
      <c r="C1557" t="s">
        <v>7</v>
      </c>
      <c r="D1557" t="s">
        <v>9108</v>
      </c>
      <c r="E1557" s="28">
        <v>46259</v>
      </c>
      <c r="F1557" t="s">
        <v>9109</v>
      </c>
      <c r="G1557" s="3" t="s">
        <v>9575</v>
      </c>
      <c r="H1557" t="s">
        <v>9122</v>
      </c>
      <c r="I1557" s="28">
        <v>46386</v>
      </c>
      <c r="J1557" t="s">
        <v>9118</v>
      </c>
      <c r="K1557" t="s">
        <v>33</v>
      </c>
    </row>
    <row r="1558" spans="1:11">
      <c r="A1558" s="3">
        <v>2532975</v>
      </c>
      <c r="B1558" t="s">
        <v>7072</v>
      </c>
      <c r="C1558" t="s">
        <v>7</v>
      </c>
      <c r="D1558" t="s">
        <v>9108</v>
      </c>
      <c r="E1558" s="28">
        <v>46259</v>
      </c>
      <c r="F1558" t="s">
        <v>9109</v>
      </c>
      <c r="G1558" s="3" t="s">
        <v>9567</v>
      </c>
      <c r="H1558" t="s">
        <v>9352</v>
      </c>
      <c r="I1558" s="28">
        <v>46367</v>
      </c>
      <c r="J1558" t="s">
        <v>9118</v>
      </c>
      <c r="K1558" t="s">
        <v>33</v>
      </c>
    </row>
    <row r="1559" spans="1:11">
      <c r="A1559" s="3">
        <v>2532976</v>
      </c>
      <c r="B1559" t="s">
        <v>3136</v>
      </c>
      <c r="C1559" t="s">
        <v>7</v>
      </c>
      <c r="D1559" t="s">
        <v>9108</v>
      </c>
      <c r="E1559" s="28">
        <v>46259</v>
      </c>
      <c r="F1559" t="s">
        <v>9109</v>
      </c>
      <c r="G1559" s="3" t="s">
        <v>9567</v>
      </c>
      <c r="H1559" t="s">
        <v>9352</v>
      </c>
      <c r="I1559" s="28">
        <v>46367</v>
      </c>
      <c r="J1559" t="s">
        <v>9118</v>
      </c>
      <c r="K1559" t="s">
        <v>33</v>
      </c>
    </row>
    <row r="1560" spans="1:11">
      <c r="A1560" s="3">
        <v>2532977</v>
      </c>
      <c r="B1560" t="s">
        <v>9591</v>
      </c>
      <c r="C1560" t="s">
        <v>8</v>
      </c>
      <c r="D1560" t="s">
        <v>9108</v>
      </c>
      <c r="E1560" s="28">
        <v>46259</v>
      </c>
      <c r="F1560" t="s">
        <v>9109</v>
      </c>
      <c r="G1560" s="3" t="s">
        <v>9567</v>
      </c>
      <c r="H1560" t="s">
        <v>9352</v>
      </c>
      <c r="I1560" s="28">
        <v>46367</v>
      </c>
      <c r="J1560" t="s">
        <v>9118</v>
      </c>
      <c r="K1560" t="s">
        <v>33</v>
      </c>
    </row>
    <row r="1561" spans="1:11">
      <c r="A1561" s="3">
        <v>2532978</v>
      </c>
      <c r="B1561" t="s">
        <v>9592</v>
      </c>
      <c r="C1561" t="s">
        <v>7</v>
      </c>
      <c r="D1561" t="s">
        <v>9108</v>
      </c>
      <c r="E1561" s="28">
        <v>46259</v>
      </c>
      <c r="F1561" t="s">
        <v>9109</v>
      </c>
      <c r="G1561" s="3" t="s">
        <v>9567</v>
      </c>
      <c r="H1561" t="s">
        <v>9352</v>
      </c>
      <c r="I1561" s="28">
        <v>46367</v>
      </c>
      <c r="J1561" t="s">
        <v>9118</v>
      </c>
      <c r="K1561" t="s">
        <v>33</v>
      </c>
    </row>
    <row r="1562" spans="1:11">
      <c r="A1562" s="3">
        <v>2532979</v>
      </c>
      <c r="B1562" t="s">
        <v>2094</v>
      </c>
      <c r="C1562" t="s">
        <v>7</v>
      </c>
      <c r="D1562" t="s">
        <v>9108</v>
      </c>
      <c r="E1562" s="28">
        <v>46259</v>
      </c>
      <c r="F1562" t="s">
        <v>9109</v>
      </c>
      <c r="G1562" s="3" t="s">
        <v>9573</v>
      </c>
      <c r="H1562" t="s">
        <v>4040</v>
      </c>
      <c r="I1562" s="28">
        <v>46367</v>
      </c>
      <c r="J1562" t="s">
        <v>9118</v>
      </c>
      <c r="K1562" t="s">
        <v>33</v>
      </c>
    </row>
    <row r="1563" spans="1:11">
      <c r="A1563" s="3">
        <v>2532980</v>
      </c>
      <c r="B1563" t="s">
        <v>6767</v>
      </c>
      <c r="C1563" t="s">
        <v>7</v>
      </c>
      <c r="D1563" t="s">
        <v>9108</v>
      </c>
      <c r="E1563" s="28">
        <v>46259</v>
      </c>
      <c r="F1563" t="s">
        <v>9109</v>
      </c>
      <c r="G1563" s="3" t="s">
        <v>9567</v>
      </c>
      <c r="H1563" t="s">
        <v>9352</v>
      </c>
      <c r="I1563" s="28">
        <v>46367</v>
      </c>
      <c r="J1563" t="s">
        <v>9118</v>
      </c>
      <c r="K1563" t="s">
        <v>33</v>
      </c>
    </row>
    <row r="1564" spans="1:11">
      <c r="A1564" s="3">
        <v>2532981</v>
      </c>
      <c r="B1564" t="s">
        <v>1846</v>
      </c>
      <c r="C1564" t="s">
        <v>8</v>
      </c>
      <c r="D1564" t="s">
        <v>9108</v>
      </c>
      <c r="E1564" s="28">
        <v>46259</v>
      </c>
      <c r="F1564" t="s">
        <v>9109</v>
      </c>
      <c r="G1564" s="3" t="s">
        <v>9578</v>
      </c>
      <c r="H1564" t="s">
        <v>424</v>
      </c>
      <c r="I1564" s="28">
        <v>46365</v>
      </c>
      <c r="J1564" t="s">
        <v>9118</v>
      </c>
      <c r="K1564" t="s">
        <v>33</v>
      </c>
    </row>
    <row r="1565" spans="1:11">
      <c r="A1565" s="3">
        <v>2532982</v>
      </c>
      <c r="B1565" t="s">
        <v>5429</v>
      </c>
      <c r="C1565" t="s">
        <v>8</v>
      </c>
      <c r="D1565" t="s">
        <v>9108</v>
      </c>
      <c r="E1565" s="28">
        <v>46259</v>
      </c>
      <c r="F1565" t="s">
        <v>9109</v>
      </c>
      <c r="G1565" s="3" t="s">
        <v>9566</v>
      </c>
      <c r="H1565" t="s">
        <v>9352</v>
      </c>
      <c r="I1565" s="28">
        <v>46367</v>
      </c>
      <c r="J1565" t="s">
        <v>9118</v>
      </c>
      <c r="K1565" t="s">
        <v>33</v>
      </c>
    </row>
    <row r="1566" spans="1:11">
      <c r="A1566" s="3">
        <v>2532983</v>
      </c>
      <c r="B1566" t="s">
        <v>7694</v>
      </c>
      <c r="C1566" t="s">
        <v>7</v>
      </c>
      <c r="D1566" t="s">
        <v>9108</v>
      </c>
      <c r="E1566" s="28">
        <v>46259</v>
      </c>
      <c r="F1566" t="s">
        <v>9109</v>
      </c>
      <c r="G1566" s="3" t="s">
        <v>9566</v>
      </c>
      <c r="H1566" t="s">
        <v>9352</v>
      </c>
      <c r="I1566" s="28">
        <v>46367</v>
      </c>
      <c r="J1566" t="s">
        <v>9118</v>
      </c>
      <c r="K1566" t="s">
        <v>33</v>
      </c>
    </row>
    <row r="1567" spans="1:11">
      <c r="A1567" s="3">
        <v>2532984</v>
      </c>
      <c r="B1567" t="s">
        <v>7426</v>
      </c>
      <c r="C1567" t="s">
        <v>7</v>
      </c>
      <c r="D1567" t="s">
        <v>9108</v>
      </c>
      <c r="E1567" s="28">
        <v>46259</v>
      </c>
      <c r="F1567" t="s">
        <v>9109</v>
      </c>
      <c r="G1567" s="3" t="s">
        <v>9574</v>
      </c>
      <c r="H1567" t="s">
        <v>4040</v>
      </c>
      <c r="I1567" s="28">
        <v>46367</v>
      </c>
      <c r="J1567" t="s">
        <v>9118</v>
      </c>
      <c r="K1567" t="s">
        <v>33</v>
      </c>
    </row>
    <row r="1568" spans="1:11">
      <c r="A1568" s="3">
        <v>2532985</v>
      </c>
      <c r="B1568" t="s">
        <v>1171</v>
      </c>
      <c r="C1568" t="s">
        <v>8</v>
      </c>
      <c r="D1568" t="s">
        <v>9108</v>
      </c>
      <c r="E1568" s="28">
        <v>46259</v>
      </c>
      <c r="F1568" t="s">
        <v>9109</v>
      </c>
      <c r="G1568" s="3" t="s">
        <v>9574</v>
      </c>
      <c r="H1568" t="s">
        <v>4040</v>
      </c>
      <c r="I1568" s="28">
        <v>46367</v>
      </c>
      <c r="J1568" t="s">
        <v>9118</v>
      </c>
      <c r="K1568" t="s">
        <v>33</v>
      </c>
    </row>
    <row r="1569" spans="1:11">
      <c r="A1569" s="3">
        <v>2532987</v>
      </c>
      <c r="B1569" t="s">
        <v>5870</v>
      </c>
      <c r="C1569" t="s">
        <v>8</v>
      </c>
      <c r="D1569" t="s">
        <v>9108</v>
      </c>
      <c r="E1569" s="28">
        <v>46259</v>
      </c>
      <c r="F1569" t="s">
        <v>9109</v>
      </c>
      <c r="G1569" s="3" t="s">
        <v>9574</v>
      </c>
      <c r="H1569" t="s">
        <v>4040</v>
      </c>
      <c r="I1569" s="28">
        <v>46367</v>
      </c>
      <c r="J1569" t="s">
        <v>9118</v>
      </c>
      <c r="K1569" t="s">
        <v>33</v>
      </c>
    </row>
    <row r="1570" spans="1:11">
      <c r="A1570" s="3">
        <v>2532989</v>
      </c>
      <c r="B1570" t="s">
        <v>1763</v>
      </c>
      <c r="C1570" t="s">
        <v>8</v>
      </c>
      <c r="D1570" t="s">
        <v>9108</v>
      </c>
      <c r="E1570" s="28">
        <v>46259</v>
      </c>
      <c r="F1570" t="s">
        <v>9109</v>
      </c>
      <c r="G1570" s="3" t="s">
        <v>9575</v>
      </c>
      <c r="H1570" t="s">
        <v>9122</v>
      </c>
      <c r="I1570" s="28">
        <v>46386</v>
      </c>
      <c r="J1570" t="s">
        <v>9118</v>
      </c>
      <c r="K1570" t="s">
        <v>33</v>
      </c>
    </row>
    <row r="1571" spans="1:11">
      <c r="A1571" s="3">
        <v>2532990</v>
      </c>
      <c r="B1571" t="s">
        <v>1011</v>
      </c>
      <c r="C1571" t="s">
        <v>8</v>
      </c>
      <c r="D1571" t="s">
        <v>9108</v>
      </c>
      <c r="E1571" s="28">
        <v>46259</v>
      </c>
      <c r="F1571" t="s">
        <v>9109</v>
      </c>
      <c r="G1571" s="3" t="s">
        <v>9569</v>
      </c>
      <c r="H1571" t="s">
        <v>9134</v>
      </c>
      <c r="I1571" s="28">
        <v>46358</v>
      </c>
      <c r="J1571" t="s">
        <v>9118</v>
      </c>
      <c r="K1571" t="s">
        <v>33</v>
      </c>
    </row>
    <row r="1572" spans="1:11">
      <c r="A1572" s="3">
        <v>2532991</v>
      </c>
      <c r="B1572" t="s">
        <v>5895</v>
      </c>
      <c r="C1572" t="s">
        <v>8</v>
      </c>
      <c r="D1572" t="s">
        <v>9108</v>
      </c>
      <c r="E1572" s="28">
        <v>46259</v>
      </c>
      <c r="F1572" t="s">
        <v>9109</v>
      </c>
      <c r="G1572" s="3" t="s">
        <v>9516</v>
      </c>
      <c r="H1572" t="s">
        <v>424</v>
      </c>
      <c r="I1572" s="28">
        <v>46365</v>
      </c>
      <c r="J1572" t="s">
        <v>9118</v>
      </c>
      <c r="K1572" t="s">
        <v>33</v>
      </c>
    </row>
    <row r="1573" spans="1:11">
      <c r="A1573" s="3">
        <v>2532992</v>
      </c>
      <c r="B1573" t="s">
        <v>9593</v>
      </c>
      <c r="C1573" t="s">
        <v>8</v>
      </c>
      <c r="D1573" t="s">
        <v>9108</v>
      </c>
      <c r="E1573" s="28">
        <v>46259</v>
      </c>
      <c r="F1573" t="s">
        <v>9109</v>
      </c>
      <c r="G1573" s="3" t="s">
        <v>9573</v>
      </c>
      <c r="H1573" t="s">
        <v>4040</v>
      </c>
      <c r="I1573" s="28">
        <v>46367</v>
      </c>
      <c r="J1573" t="s">
        <v>9118</v>
      </c>
      <c r="K1573" t="s">
        <v>33</v>
      </c>
    </row>
    <row r="1574" spans="1:11">
      <c r="A1574" s="3">
        <v>2532994</v>
      </c>
      <c r="B1574" t="s">
        <v>1615</v>
      </c>
      <c r="C1574" t="s">
        <v>7</v>
      </c>
      <c r="D1574" t="s">
        <v>9108</v>
      </c>
      <c r="E1574" s="28">
        <v>46259</v>
      </c>
      <c r="F1574" t="s">
        <v>9109</v>
      </c>
      <c r="G1574" s="3" t="s">
        <v>9567</v>
      </c>
      <c r="H1574" t="s">
        <v>9352</v>
      </c>
      <c r="I1574" s="28">
        <v>46367</v>
      </c>
      <c r="J1574" t="s">
        <v>9118</v>
      </c>
      <c r="K1574" t="s">
        <v>33</v>
      </c>
    </row>
    <row r="1575" spans="1:11">
      <c r="A1575" s="3">
        <v>2532995</v>
      </c>
      <c r="B1575" t="s">
        <v>2114</v>
      </c>
      <c r="C1575" t="s">
        <v>8</v>
      </c>
      <c r="D1575" t="s">
        <v>9108</v>
      </c>
      <c r="E1575" s="28">
        <v>46259</v>
      </c>
      <c r="F1575" t="s">
        <v>9109</v>
      </c>
      <c r="G1575" s="3" t="s">
        <v>9574</v>
      </c>
      <c r="H1575" t="s">
        <v>4040</v>
      </c>
      <c r="I1575" s="28">
        <v>46367</v>
      </c>
      <c r="J1575" t="s">
        <v>9118</v>
      </c>
      <c r="K1575" t="s">
        <v>33</v>
      </c>
    </row>
    <row r="1576" spans="1:11">
      <c r="A1576" s="3">
        <v>2532996</v>
      </c>
      <c r="B1576" t="s">
        <v>1006</v>
      </c>
      <c r="C1576" t="s">
        <v>8</v>
      </c>
      <c r="D1576" t="s">
        <v>9108</v>
      </c>
      <c r="E1576" s="28">
        <v>46259</v>
      </c>
      <c r="F1576" t="s">
        <v>9109</v>
      </c>
      <c r="G1576" s="3" t="s">
        <v>9569</v>
      </c>
      <c r="H1576" t="s">
        <v>9134</v>
      </c>
      <c r="I1576" s="28">
        <v>46358</v>
      </c>
      <c r="J1576" t="s">
        <v>9118</v>
      </c>
      <c r="K1576" t="s">
        <v>33</v>
      </c>
    </row>
    <row r="1577" spans="1:11">
      <c r="A1577" s="3">
        <v>2532997</v>
      </c>
      <c r="B1577" t="s">
        <v>4929</v>
      </c>
      <c r="C1577" t="s">
        <v>7</v>
      </c>
      <c r="D1577" t="s">
        <v>9108</v>
      </c>
      <c r="E1577" s="28">
        <v>46259</v>
      </c>
      <c r="F1577" t="s">
        <v>9109</v>
      </c>
      <c r="G1577" s="3" t="s">
        <v>9578</v>
      </c>
      <c r="H1577" t="s">
        <v>424</v>
      </c>
      <c r="I1577" s="28">
        <v>46365</v>
      </c>
      <c r="J1577" t="s">
        <v>9118</v>
      </c>
      <c r="K1577" t="s">
        <v>33</v>
      </c>
    </row>
    <row r="1578" spans="1:11">
      <c r="A1578" s="3">
        <v>2532998</v>
      </c>
      <c r="B1578" t="s">
        <v>2005</v>
      </c>
      <c r="C1578" t="s">
        <v>8</v>
      </c>
      <c r="D1578" t="s">
        <v>9108</v>
      </c>
      <c r="E1578" s="28">
        <v>46259</v>
      </c>
      <c r="F1578" t="s">
        <v>9109</v>
      </c>
      <c r="G1578" s="3" t="s">
        <v>9578</v>
      </c>
      <c r="H1578" t="s">
        <v>424</v>
      </c>
      <c r="I1578" s="28">
        <v>46365</v>
      </c>
      <c r="J1578" t="s">
        <v>9118</v>
      </c>
      <c r="K1578" t="s">
        <v>33</v>
      </c>
    </row>
    <row r="1579" spans="1:11">
      <c r="A1579" s="3">
        <v>2532999</v>
      </c>
      <c r="B1579" t="s">
        <v>1513</v>
      </c>
      <c r="C1579" t="s">
        <v>8</v>
      </c>
      <c r="D1579" t="s">
        <v>9108</v>
      </c>
      <c r="E1579" s="28">
        <v>46259</v>
      </c>
      <c r="F1579" t="s">
        <v>9109</v>
      </c>
      <c r="G1579" s="3" t="s">
        <v>9573</v>
      </c>
      <c r="H1579" t="s">
        <v>4040</v>
      </c>
      <c r="I1579" s="28">
        <v>46367</v>
      </c>
      <c r="J1579" t="s">
        <v>9118</v>
      </c>
      <c r="K1579" t="s">
        <v>33</v>
      </c>
    </row>
    <row r="1580" spans="1:11">
      <c r="A1580" s="3">
        <v>2533000</v>
      </c>
      <c r="B1580" t="s">
        <v>8498</v>
      </c>
      <c r="C1580" t="s">
        <v>7</v>
      </c>
      <c r="D1580" t="s">
        <v>9108</v>
      </c>
      <c r="E1580" s="28">
        <v>46259</v>
      </c>
      <c r="F1580" t="s">
        <v>9109</v>
      </c>
      <c r="G1580" s="3" t="s">
        <v>9569</v>
      </c>
      <c r="H1580" t="s">
        <v>9134</v>
      </c>
      <c r="I1580" s="28">
        <v>46358</v>
      </c>
      <c r="J1580" t="s">
        <v>9118</v>
      </c>
      <c r="K1580" t="s">
        <v>33</v>
      </c>
    </row>
    <row r="1581" spans="1:11">
      <c r="A1581" s="3">
        <v>2533001</v>
      </c>
      <c r="B1581" t="s">
        <v>2012</v>
      </c>
      <c r="C1581" t="s">
        <v>8</v>
      </c>
      <c r="D1581" t="s">
        <v>9108</v>
      </c>
      <c r="E1581" s="28">
        <v>46259</v>
      </c>
      <c r="F1581" t="s">
        <v>9109</v>
      </c>
      <c r="G1581" s="3" t="s">
        <v>9568</v>
      </c>
      <c r="H1581" t="s">
        <v>1083</v>
      </c>
      <c r="I1581" s="28">
        <v>46337</v>
      </c>
      <c r="J1581" t="s">
        <v>9118</v>
      </c>
      <c r="K1581" t="s">
        <v>32</v>
      </c>
    </row>
    <row r="1582" spans="1:11">
      <c r="A1582" s="3">
        <v>2533002</v>
      </c>
      <c r="B1582" t="s">
        <v>9594</v>
      </c>
      <c r="C1582" t="s">
        <v>7</v>
      </c>
      <c r="D1582" t="s">
        <v>9108</v>
      </c>
      <c r="E1582" s="28">
        <v>46259</v>
      </c>
      <c r="F1582" t="s">
        <v>9109</v>
      </c>
      <c r="G1582" s="3" t="s">
        <v>9563</v>
      </c>
      <c r="H1582" t="s">
        <v>89</v>
      </c>
      <c r="I1582" s="28">
        <v>46367</v>
      </c>
      <c r="J1582" t="s">
        <v>9118</v>
      </c>
      <c r="K1582" t="s">
        <v>33</v>
      </c>
    </row>
    <row r="1583" spans="1:11">
      <c r="A1583" s="3">
        <v>2533003</v>
      </c>
      <c r="B1583" t="s">
        <v>3900</v>
      </c>
      <c r="C1583" t="s">
        <v>8</v>
      </c>
      <c r="D1583" t="s">
        <v>9108</v>
      </c>
      <c r="E1583" s="28">
        <v>46259</v>
      </c>
      <c r="F1583" t="s">
        <v>9109</v>
      </c>
      <c r="G1583" s="3" t="s">
        <v>9573</v>
      </c>
      <c r="H1583" t="s">
        <v>4040</v>
      </c>
      <c r="I1583" s="28">
        <v>46367</v>
      </c>
      <c r="J1583" t="s">
        <v>9118</v>
      </c>
      <c r="K1583" t="s">
        <v>33</v>
      </c>
    </row>
    <row r="1584" spans="1:11">
      <c r="A1584" s="3">
        <v>2533004</v>
      </c>
      <c r="B1584" t="s">
        <v>9595</v>
      </c>
      <c r="C1584" t="s">
        <v>7</v>
      </c>
      <c r="D1584" t="s">
        <v>9108</v>
      </c>
      <c r="E1584" s="28">
        <v>46259</v>
      </c>
      <c r="F1584" t="s">
        <v>9109</v>
      </c>
      <c r="G1584" s="3" t="s">
        <v>9574</v>
      </c>
      <c r="H1584" t="s">
        <v>4040</v>
      </c>
      <c r="I1584" s="28">
        <v>46367</v>
      </c>
      <c r="J1584" t="s">
        <v>9118</v>
      </c>
      <c r="K1584" t="s">
        <v>33</v>
      </c>
    </row>
    <row r="1585" spans="1:11">
      <c r="A1585" s="3">
        <v>2533005</v>
      </c>
      <c r="B1585" t="s">
        <v>9596</v>
      </c>
      <c r="C1585" t="s">
        <v>8</v>
      </c>
      <c r="D1585" t="s">
        <v>9108</v>
      </c>
      <c r="E1585" s="28">
        <v>46259</v>
      </c>
      <c r="F1585" t="s">
        <v>9109</v>
      </c>
      <c r="G1585" s="3" t="s">
        <v>9574</v>
      </c>
      <c r="H1585" t="s">
        <v>4040</v>
      </c>
      <c r="I1585" s="28">
        <v>46367</v>
      </c>
      <c r="J1585" t="s">
        <v>9118</v>
      </c>
      <c r="K1585" t="s">
        <v>33</v>
      </c>
    </row>
    <row r="1586" spans="1:11">
      <c r="A1586" s="3">
        <v>2533006</v>
      </c>
      <c r="B1586" t="s">
        <v>9597</v>
      </c>
      <c r="C1586" t="s">
        <v>8</v>
      </c>
      <c r="D1586" t="s">
        <v>9108</v>
      </c>
      <c r="E1586" s="28">
        <v>46259</v>
      </c>
      <c r="F1586" t="s">
        <v>9109</v>
      </c>
      <c r="G1586" s="3" t="s">
        <v>9578</v>
      </c>
      <c r="H1586" t="s">
        <v>424</v>
      </c>
      <c r="I1586" s="28">
        <v>46365</v>
      </c>
      <c r="J1586" t="s">
        <v>9118</v>
      </c>
      <c r="K1586" t="s">
        <v>33</v>
      </c>
    </row>
    <row r="1587" spans="1:11">
      <c r="A1587" s="3">
        <v>2533007</v>
      </c>
      <c r="B1587" t="s">
        <v>1342</v>
      </c>
      <c r="C1587" t="s">
        <v>8</v>
      </c>
      <c r="D1587" t="s">
        <v>9108</v>
      </c>
      <c r="E1587" s="28">
        <v>46259</v>
      </c>
      <c r="F1587" t="s">
        <v>9109</v>
      </c>
      <c r="G1587" s="3" t="s">
        <v>9566</v>
      </c>
      <c r="H1587" t="s">
        <v>9352</v>
      </c>
      <c r="I1587" s="28">
        <v>46367</v>
      </c>
      <c r="J1587" t="s">
        <v>9118</v>
      </c>
      <c r="K1587" t="s">
        <v>33</v>
      </c>
    </row>
    <row r="1588" spans="1:11">
      <c r="A1588" s="3">
        <v>2533008</v>
      </c>
      <c r="B1588" t="s">
        <v>1380</v>
      </c>
      <c r="C1588" t="s">
        <v>8</v>
      </c>
      <c r="D1588" t="s">
        <v>9108</v>
      </c>
      <c r="E1588" s="28">
        <v>46259</v>
      </c>
      <c r="F1588" t="s">
        <v>9109</v>
      </c>
      <c r="G1588" s="3" t="s">
        <v>9563</v>
      </c>
      <c r="H1588" t="s">
        <v>89</v>
      </c>
      <c r="I1588" s="28">
        <v>46367</v>
      </c>
      <c r="J1588" t="s">
        <v>9118</v>
      </c>
      <c r="K1588" t="s">
        <v>33</v>
      </c>
    </row>
    <row r="1589" spans="1:11">
      <c r="A1589" s="3">
        <v>2533009</v>
      </c>
      <c r="B1589" t="s">
        <v>4546</v>
      </c>
      <c r="C1589" t="s">
        <v>8</v>
      </c>
      <c r="D1589" t="s">
        <v>9108</v>
      </c>
      <c r="E1589" s="28">
        <v>46259</v>
      </c>
      <c r="F1589" t="s">
        <v>9109</v>
      </c>
      <c r="G1589" s="3" t="s">
        <v>9569</v>
      </c>
      <c r="H1589" t="s">
        <v>9134</v>
      </c>
      <c r="I1589" s="28">
        <v>46358</v>
      </c>
      <c r="J1589" t="s">
        <v>9118</v>
      </c>
      <c r="K1589" t="s">
        <v>33</v>
      </c>
    </row>
    <row r="1590" spans="1:11">
      <c r="A1590" s="3">
        <v>2533010</v>
      </c>
      <c r="B1590" t="s">
        <v>4649</v>
      </c>
      <c r="C1590" t="s">
        <v>8</v>
      </c>
      <c r="D1590" t="s">
        <v>9108</v>
      </c>
      <c r="E1590" s="28">
        <v>46259</v>
      </c>
      <c r="F1590" t="s">
        <v>9109</v>
      </c>
      <c r="G1590" s="3" t="s">
        <v>9575</v>
      </c>
      <c r="H1590" t="s">
        <v>9122</v>
      </c>
      <c r="I1590" s="28">
        <v>46386</v>
      </c>
      <c r="J1590" t="s">
        <v>9118</v>
      </c>
      <c r="K1590" t="s">
        <v>33</v>
      </c>
    </row>
    <row r="1591" spans="1:11">
      <c r="A1591" s="3">
        <v>2533011</v>
      </c>
      <c r="B1591" t="s">
        <v>5494</v>
      </c>
      <c r="C1591" t="s">
        <v>8</v>
      </c>
      <c r="D1591" t="s">
        <v>9108</v>
      </c>
      <c r="E1591" s="28">
        <v>46259</v>
      </c>
      <c r="F1591" t="s">
        <v>9109</v>
      </c>
      <c r="G1591" s="3" t="s">
        <v>9563</v>
      </c>
      <c r="H1591" t="s">
        <v>89</v>
      </c>
      <c r="I1591" s="28">
        <v>46367</v>
      </c>
      <c r="J1591" t="s">
        <v>9118</v>
      </c>
      <c r="K1591" t="s">
        <v>33</v>
      </c>
    </row>
    <row r="1592" spans="1:11">
      <c r="A1592" s="3">
        <v>2533012</v>
      </c>
      <c r="B1592" t="s">
        <v>6125</v>
      </c>
      <c r="C1592" t="s">
        <v>7</v>
      </c>
      <c r="D1592" t="s">
        <v>9108</v>
      </c>
      <c r="E1592" s="28">
        <v>46259</v>
      </c>
      <c r="F1592" t="s">
        <v>9109</v>
      </c>
      <c r="G1592" s="3" t="s">
        <v>9573</v>
      </c>
      <c r="H1592" t="s">
        <v>4040</v>
      </c>
      <c r="I1592" s="28">
        <v>46367</v>
      </c>
      <c r="J1592" t="s">
        <v>9118</v>
      </c>
      <c r="K1592" t="s">
        <v>33</v>
      </c>
    </row>
    <row r="1593" spans="1:11">
      <c r="A1593" s="3">
        <v>2533013</v>
      </c>
      <c r="B1593" t="s">
        <v>1329</v>
      </c>
      <c r="C1593" t="s">
        <v>8</v>
      </c>
      <c r="D1593" t="s">
        <v>9108</v>
      </c>
      <c r="E1593" s="28">
        <v>46259</v>
      </c>
      <c r="F1593" t="s">
        <v>9109</v>
      </c>
      <c r="G1593" s="3" t="s">
        <v>9578</v>
      </c>
      <c r="H1593" t="s">
        <v>424</v>
      </c>
      <c r="I1593" s="28">
        <v>46365</v>
      </c>
      <c r="J1593" t="s">
        <v>9118</v>
      </c>
      <c r="K1593" t="s">
        <v>33</v>
      </c>
    </row>
    <row r="1594" spans="1:11">
      <c r="A1594" s="3">
        <v>2533014</v>
      </c>
      <c r="B1594" t="s">
        <v>3132</v>
      </c>
      <c r="C1594" t="s">
        <v>7</v>
      </c>
      <c r="D1594" t="s">
        <v>9108</v>
      </c>
      <c r="E1594" s="28">
        <v>46259</v>
      </c>
      <c r="F1594" t="s">
        <v>9109</v>
      </c>
      <c r="G1594" s="3" t="s">
        <v>9575</v>
      </c>
      <c r="H1594" t="s">
        <v>9122</v>
      </c>
      <c r="I1594" s="28">
        <v>46386</v>
      </c>
      <c r="J1594" t="s">
        <v>9118</v>
      </c>
      <c r="K1594" t="s">
        <v>33</v>
      </c>
    </row>
    <row r="1595" spans="1:11">
      <c r="A1595" s="3">
        <v>2533015</v>
      </c>
      <c r="B1595" t="s">
        <v>6215</v>
      </c>
      <c r="C1595" t="s">
        <v>8</v>
      </c>
      <c r="D1595" t="s">
        <v>9108</v>
      </c>
      <c r="E1595" s="28">
        <v>46259</v>
      </c>
      <c r="F1595" t="s">
        <v>9109</v>
      </c>
      <c r="G1595" s="3" t="s">
        <v>9568</v>
      </c>
      <c r="H1595" t="s">
        <v>1083</v>
      </c>
      <c r="I1595" s="28">
        <v>46337</v>
      </c>
      <c r="J1595" t="s">
        <v>9118</v>
      </c>
      <c r="K1595" t="s">
        <v>32</v>
      </c>
    </row>
    <row r="1596" spans="1:11">
      <c r="A1596" s="3">
        <v>2533016</v>
      </c>
      <c r="B1596" t="s">
        <v>3301</v>
      </c>
      <c r="C1596" t="s">
        <v>7</v>
      </c>
      <c r="D1596" t="s">
        <v>9108</v>
      </c>
      <c r="E1596" s="28">
        <v>46259</v>
      </c>
      <c r="F1596" t="s">
        <v>9109</v>
      </c>
      <c r="G1596" s="3" t="s">
        <v>9568</v>
      </c>
      <c r="H1596" t="s">
        <v>1083</v>
      </c>
      <c r="I1596" s="28">
        <v>46337</v>
      </c>
      <c r="J1596" t="s">
        <v>9118</v>
      </c>
      <c r="K1596" t="s">
        <v>32</v>
      </c>
    </row>
    <row r="1597" spans="1:11">
      <c r="A1597" s="3">
        <v>2533017</v>
      </c>
      <c r="B1597" t="s">
        <v>9598</v>
      </c>
      <c r="C1597" t="s">
        <v>7</v>
      </c>
      <c r="D1597" t="s">
        <v>9108</v>
      </c>
      <c r="E1597" s="28">
        <v>46259</v>
      </c>
      <c r="F1597" t="s">
        <v>9109</v>
      </c>
      <c r="G1597" s="3" t="s">
        <v>9575</v>
      </c>
      <c r="H1597" t="s">
        <v>9122</v>
      </c>
      <c r="I1597" s="28">
        <v>46386</v>
      </c>
      <c r="J1597" t="s">
        <v>9112</v>
      </c>
      <c r="K1597" t="s">
        <v>9113</v>
      </c>
    </row>
    <row r="1598" spans="1:11">
      <c r="A1598" s="3">
        <v>2533018</v>
      </c>
      <c r="B1598" t="s">
        <v>5723</v>
      </c>
      <c r="C1598" t="s">
        <v>8</v>
      </c>
      <c r="D1598" t="s">
        <v>9108</v>
      </c>
      <c r="E1598" s="28">
        <v>46259</v>
      </c>
      <c r="F1598" t="s">
        <v>9109</v>
      </c>
      <c r="G1598" s="3" t="s">
        <v>9575</v>
      </c>
      <c r="H1598" t="s">
        <v>9122</v>
      </c>
      <c r="I1598" s="28">
        <v>46386</v>
      </c>
      <c r="J1598" t="s">
        <v>9118</v>
      </c>
      <c r="K1598" t="s">
        <v>33</v>
      </c>
    </row>
    <row r="1599" spans="1:11">
      <c r="A1599" s="3">
        <v>2533019</v>
      </c>
      <c r="B1599" t="s">
        <v>5287</v>
      </c>
      <c r="C1599" t="s">
        <v>8</v>
      </c>
      <c r="D1599" t="s">
        <v>9108</v>
      </c>
      <c r="E1599" s="28">
        <v>46259</v>
      </c>
      <c r="F1599" t="s">
        <v>9109</v>
      </c>
      <c r="G1599" s="3" t="s">
        <v>9575</v>
      </c>
      <c r="H1599" t="s">
        <v>9122</v>
      </c>
      <c r="I1599" s="28">
        <v>46386</v>
      </c>
      <c r="J1599" t="s">
        <v>9118</v>
      </c>
      <c r="K1599" t="s">
        <v>33</v>
      </c>
    </row>
    <row r="1600" spans="1:11">
      <c r="A1600" s="3">
        <v>2533020</v>
      </c>
      <c r="B1600" t="s">
        <v>3200</v>
      </c>
      <c r="C1600" t="s">
        <v>7</v>
      </c>
      <c r="D1600" t="s">
        <v>9108</v>
      </c>
      <c r="E1600" s="28">
        <v>46259</v>
      </c>
      <c r="F1600" t="s">
        <v>9109</v>
      </c>
      <c r="G1600" s="3" t="s">
        <v>9575</v>
      </c>
      <c r="H1600" t="s">
        <v>9122</v>
      </c>
      <c r="I1600" s="28">
        <v>46386</v>
      </c>
      <c r="J1600" t="s">
        <v>9118</v>
      </c>
      <c r="K1600" t="s">
        <v>33</v>
      </c>
    </row>
    <row r="1601" spans="1:11">
      <c r="A1601" s="3">
        <v>2533021</v>
      </c>
      <c r="B1601" t="s">
        <v>9599</v>
      </c>
      <c r="C1601" t="s">
        <v>7</v>
      </c>
      <c r="D1601" t="s">
        <v>9108</v>
      </c>
      <c r="E1601" s="28">
        <v>46259</v>
      </c>
      <c r="F1601" t="s">
        <v>9109</v>
      </c>
      <c r="G1601" s="3" t="s">
        <v>9574</v>
      </c>
      <c r="H1601" t="s">
        <v>4040</v>
      </c>
      <c r="I1601" s="28">
        <v>46367</v>
      </c>
      <c r="J1601" t="s">
        <v>9118</v>
      </c>
      <c r="K1601" t="s">
        <v>33</v>
      </c>
    </row>
    <row r="1602" spans="1:11">
      <c r="A1602" s="3">
        <v>2533022</v>
      </c>
      <c r="B1602" t="s">
        <v>4184</v>
      </c>
      <c r="C1602" t="s">
        <v>7</v>
      </c>
      <c r="D1602" t="s">
        <v>9108</v>
      </c>
      <c r="E1602" s="28">
        <v>46259</v>
      </c>
      <c r="F1602" t="s">
        <v>9109</v>
      </c>
      <c r="G1602" s="3" t="s">
        <v>9574</v>
      </c>
      <c r="H1602" t="s">
        <v>4040</v>
      </c>
      <c r="I1602" s="28">
        <v>46367</v>
      </c>
      <c r="J1602" t="s">
        <v>9118</v>
      </c>
      <c r="K1602" t="s">
        <v>33</v>
      </c>
    </row>
    <row r="1603" spans="1:11">
      <c r="A1603" s="3">
        <v>2533023</v>
      </c>
      <c r="B1603" t="s">
        <v>246</v>
      </c>
      <c r="C1603" t="s">
        <v>7</v>
      </c>
      <c r="D1603" t="s">
        <v>9108</v>
      </c>
      <c r="E1603" s="28">
        <v>46259</v>
      </c>
      <c r="F1603" t="s">
        <v>9109</v>
      </c>
      <c r="G1603" s="3" t="s">
        <v>9568</v>
      </c>
      <c r="H1603" t="s">
        <v>1083</v>
      </c>
      <c r="I1603" s="28">
        <v>46337</v>
      </c>
      <c r="J1603" t="s">
        <v>9118</v>
      </c>
      <c r="K1603" t="s">
        <v>32</v>
      </c>
    </row>
    <row r="1604" spans="1:11">
      <c r="A1604" s="3">
        <v>2533024</v>
      </c>
      <c r="B1604" t="s">
        <v>9600</v>
      </c>
      <c r="C1604" t="s">
        <v>8</v>
      </c>
      <c r="D1604" t="s">
        <v>9108</v>
      </c>
      <c r="E1604" s="28">
        <v>46259</v>
      </c>
      <c r="F1604" t="s">
        <v>9109</v>
      </c>
      <c r="G1604" s="3" t="s">
        <v>9578</v>
      </c>
      <c r="H1604" t="s">
        <v>424</v>
      </c>
      <c r="I1604" s="28">
        <v>46365</v>
      </c>
      <c r="J1604" t="s">
        <v>9118</v>
      </c>
      <c r="K1604" t="s">
        <v>33</v>
      </c>
    </row>
    <row r="1605" spans="1:11">
      <c r="A1605" s="3">
        <v>2533025</v>
      </c>
      <c r="B1605" t="s">
        <v>9601</v>
      </c>
      <c r="C1605" t="s">
        <v>8</v>
      </c>
      <c r="D1605" t="s">
        <v>9108</v>
      </c>
      <c r="E1605" s="28">
        <v>46259</v>
      </c>
      <c r="F1605" t="s">
        <v>9109</v>
      </c>
      <c r="G1605" s="3" t="s">
        <v>9578</v>
      </c>
      <c r="H1605" t="s">
        <v>424</v>
      </c>
      <c r="I1605" s="28">
        <v>46365</v>
      </c>
      <c r="J1605" t="s">
        <v>9118</v>
      </c>
      <c r="K1605" t="s">
        <v>33</v>
      </c>
    </row>
    <row r="1606" spans="1:11">
      <c r="A1606" s="3">
        <v>2533026</v>
      </c>
      <c r="B1606" t="s">
        <v>7045</v>
      </c>
      <c r="C1606" t="s">
        <v>7</v>
      </c>
      <c r="D1606" t="s">
        <v>9108</v>
      </c>
      <c r="E1606" s="28">
        <v>46259</v>
      </c>
      <c r="F1606" t="s">
        <v>9109</v>
      </c>
      <c r="G1606" s="3" t="s">
        <v>9578</v>
      </c>
      <c r="H1606" t="s">
        <v>424</v>
      </c>
      <c r="I1606" s="28">
        <v>46365</v>
      </c>
      <c r="J1606" t="s">
        <v>9118</v>
      </c>
      <c r="K1606" t="s">
        <v>33</v>
      </c>
    </row>
    <row r="1607" spans="1:11">
      <c r="A1607" s="3">
        <v>2533027</v>
      </c>
      <c r="B1607" t="s">
        <v>1175</v>
      </c>
      <c r="C1607" t="s">
        <v>8</v>
      </c>
      <c r="D1607" t="s">
        <v>9108</v>
      </c>
      <c r="E1607" s="28">
        <v>46259</v>
      </c>
      <c r="F1607" t="s">
        <v>9109</v>
      </c>
      <c r="G1607" s="3" t="s">
        <v>9578</v>
      </c>
      <c r="H1607" t="s">
        <v>424</v>
      </c>
      <c r="I1607" s="28">
        <v>46365</v>
      </c>
      <c r="J1607" t="s">
        <v>9118</v>
      </c>
      <c r="K1607" t="s">
        <v>33</v>
      </c>
    </row>
    <row r="1608" spans="1:11">
      <c r="A1608" s="3">
        <v>2533028</v>
      </c>
      <c r="B1608" t="s">
        <v>1194</v>
      </c>
      <c r="C1608" t="s">
        <v>8</v>
      </c>
      <c r="D1608" t="s">
        <v>9108</v>
      </c>
      <c r="E1608" s="28">
        <v>46259</v>
      </c>
      <c r="F1608" t="s">
        <v>9109</v>
      </c>
      <c r="G1608" s="3" t="s">
        <v>9568</v>
      </c>
      <c r="H1608" t="s">
        <v>1083</v>
      </c>
      <c r="I1608" s="28">
        <v>46337</v>
      </c>
      <c r="J1608" t="s">
        <v>9118</v>
      </c>
      <c r="K1608" t="s">
        <v>32</v>
      </c>
    </row>
    <row r="1609" spans="1:11">
      <c r="A1609" s="3">
        <v>2533029</v>
      </c>
      <c r="B1609" t="s">
        <v>3434</v>
      </c>
      <c r="C1609" t="s">
        <v>8</v>
      </c>
      <c r="D1609" t="s">
        <v>9108</v>
      </c>
      <c r="E1609" s="28">
        <v>46259</v>
      </c>
      <c r="F1609" t="s">
        <v>9109</v>
      </c>
      <c r="G1609" s="3" t="s">
        <v>9573</v>
      </c>
      <c r="H1609" t="s">
        <v>4040</v>
      </c>
      <c r="I1609" s="28">
        <v>46367</v>
      </c>
      <c r="J1609" t="s">
        <v>9118</v>
      </c>
      <c r="K1609" t="s">
        <v>33</v>
      </c>
    </row>
    <row r="1610" spans="1:11">
      <c r="A1610" s="3">
        <v>2533031</v>
      </c>
      <c r="B1610" t="s">
        <v>6729</v>
      </c>
      <c r="C1610" t="s">
        <v>7</v>
      </c>
      <c r="D1610" t="s">
        <v>9108</v>
      </c>
      <c r="E1610" s="28">
        <v>46259</v>
      </c>
      <c r="F1610" t="s">
        <v>9109</v>
      </c>
      <c r="G1610" s="3" t="s">
        <v>9575</v>
      </c>
      <c r="H1610" t="s">
        <v>9122</v>
      </c>
      <c r="I1610" s="28">
        <v>46386</v>
      </c>
      <c r="J1610" t="s">
        <v>9118</v>
      </c>
      <c r="K1610" t="s">
        <v>33</v>
      </c>
    </row>
    <row r="1611" spans="1:11">
      <c r="A1611" s="3">
        <v>2533032</v>
      </c>
      <c r="B1611" t="s">
        <v>1985</v>
      </c>
      <c r="C1611" t="s">
        <v>8</v>
      </c>
      <c r="D1611" t="s">
        <v>9108</v>
      </c>
      <c r="E1611" s="28">
        <v>46259</v>
      </c>
      <c r="F1611" t="s">
        <v>9109</v>
      </c>
      <c r="G1611" s="3" t="s">
        <v>9575</v>
      </c>
      <c r="H1611" t="s">
        <v>9122</v>
      </c>
      <c r="I1611" s="28">
        <v>46386</v>
      </c>
      <c r="J1611" t="s">
        <v>9118</v>
      </c>
      <c r="K1611" t="s">
        <v>33</v>
      </c>
    </row>
    <row r="1612" spans="1:11">
      <c r="A1612" s="3">
        <v>2533033</v>
      </c>
      <c r="B1612" t="s">
        <v>8421</v>
      </c>
      <c r="C1612" t="s">
        <v>7</v>
      </c>
      <c r="D1612" t="s">
        <v>9108</v>
      </c>
      <c r="E1612" s="28">
        <v>46259</v>
      </c>
      <c r="F1612" t="s">
        <v>9109</v>
      </c>
      <c r="G1612" s="3" t="s">
        <v>9575</v>
      </c>
      <c r="H1612" t="s">
        <v>9122</v>
      </c>
      <c r="I1612" s="28">
        <v>46386</v>
      </c>
      <c r="J1612" t="s">
        <v>9118</v>
      </c>
      <c r="K1612" t="s">
        <v>33</v>
      </c>
    </row>
    <row r="1613" spans="1:11">
      <c r="A1613" s="3">
        <v>2533034</v>
      </c>
      <c r="B1613" t="s">
        <v>9602</v>
      </c>
      <c r="C1613" t="s">
        <v>8</v>
      </c>
      <c r="D1613" t="s">
        <v>9108</v>
      </c>
      <c r="E1613" s="28">
        <v>46259</v>
      </c>
      <c r="F1613" t="s">
        <v>9109</v>
      </c>
      <c r="G1613" s="3" t="s">
        <v>9574</v>
      </c>
      <c r="H1613" t="s">
        <v>4040</v>
      </c>
      <c r="I1613" s="28">
        <v>46367</v>
      </c>
      <c r="J1613" t="s">
        <v>9118</v>
      </c>
      <c r="K1613" t="s">
        <v>33</v>
      </c>
    </row>
    <row r="1614" spans="1:11">
      <c r="A1614" s="3">
        <v>2533035</v>
      </c>
      <c r="B1614" t="s">
        <v>9603</v>
      </c>
      <c r="C1614" t="s">
        <v>7</v>
      </c>
      <c r="D1614" t="s">
        <v>9108</v>
      </c>
      <c r="E1614" s="28">
        <v>46259</v>
      </c>
      <c r="F1614" t="s">
        <v>9109</v>
      </c>
      <c r="G1614" s="3" t="s">
        <v>9566</v>
      </c>
      <c r="H1614" t="s">
        <v>9352</v>
      </c>
      <c r="I1614" s="28">
        <v>46367</v>
      </c>
      <c r="J1614" t="s">
        <v>9118</v>
      </c>
      <c r="K1614" t="s">
        <v>33</v>
      </c>
    </row>
    <row r="1615" spans="1:11">
      <c r="A1615" s="3">
        <v>2533036</v>
      </c>
      <c r="B1615" t="s">
        <v>1620</v>
      </c>
      <c r="C1615" t="s">
        <v>7</v>
      </c>
      <c r="D1615" t="s">
        <v>9108</v>
      </c>
      <c r="E1615" s="28">
        <v>46259</v>
      </c>
      <c r="F1615" t="s">
        <v>9109</v>
      </c>
      <c r="G1615" s="3" t="s">
        <v>9568</v>
      </c>
      <c r="H1615" t="s">
        <v>1083</v>
      </c>
      <c r="I1615" s="28">
        <v>46337</v>
      </c>
      <c r="J1615" t="s">
        <v>9118</v>
      </c>
      <c r="K1615" t="s">
        <v>32</v>
      </c>
    </row>
    <row r="1616" spans="1:11">
      <c r="A1616" s="3">
        <v>2533037</v>
      </c>
      <c r="B1616" t="s">
        <v>8207</v>
      </c>
      <c r="C1616" t="s">
        <v>8</v>
      </c>
      <c r="D1616" t="s">
        <v>9108</v>
      </c>
      <c r="E1616" s="28">
        <v>46259</v>
      </c>
      <c r="F1616" t="s">
        <v>9109</v>
      </c>
      <c r="G1616" s="3" t="s">
        <v>9569</v>
      </c>
      <c r="H1616" t="s">
        <v>9134</v>
      </c>
      <c r="I1616" s="28">
        <v>46358</v>
      </c>
      <c r="J1616" t="s">
        <v>9118</v>
      </c>
      <c r="K1616" t="s">
        <v>33</v>
      </c>
    </row>
    <row r="1617" spans="1:11">
      <c r="A1617" s="3">
        <v>2533038</v>
      </c>
      <c r="B1617" t="s">
        <v>1274</v>
      </c>
      <c r="C1617" t="s">
        <v>8</v>
      </c>
      <c r="D1617" t="s">
        <v>9108</v>
      </c>
      <c r="E1617" s="28">
        <v>46259</v>
      </c>
      <c r="F1617" t="s">
        <v>9109</v>
      </c>
      <c r="G1617" s="3" t="s">
        <v>9566</v>
      </c>
      <c r="H1617" t="s">
        <v>9352</v>
      </c>
      <c r="I1617" s="28">
        <v>46367</v>
      </c>
      <c r="J1617" t="s">
        <v>9118</v>
      </c>
      <c r="K1617" t="s">
        <v>33</v>
      </c>
    </row>
    <row r="1618" spans="1:11">
      <c r="A1618" s="3">
        <v>2533039</v>
      </c>
      <c r="B1618" t="s">
        <v>9604</v>
      </c>
      <c r="C1618" t="s">
        <v>8</v>
      </c>
      <c r="D1618" t="s">
        <v>9108</v>
      </c>
      <c r="E1618" s="28">
        <v>46259</v>
      </c>
      <c r="F1618" t="s">
        <v>9109</v>
      </c>
      <c r="G1618" s="3" t="s">
        <v>9563</v>
      </c>
      <c r="H1618" t="s">
        <v>89</v>
      </c>
      <c r="I1618" s="28">
        <v>46367</v>
      </c>
      <c r="J1618" t="s">
        <v>9118</v>
      </c>
      <c r="K1618" t="s">
        <v>33</v>
      </c>
    </row>
    <row r="1619" spans="1:11">
      <c r="A1619" s="3">
        <v>2533040</v>
      </c>
      <c r="B1619" t="s">
        <v>1995</v>
      </c>
      <c r="C1619" t="s">
        <v>8</v>
      </c>
      <c r="D1619" t="s">
        <v>9108</v>
      </c>
      <c r="E1619" s="28">
        <v>46259</v>
      </c>
      <c r="F1619" t="s">
        <v>9109</v>
      </c>
      <c r="G1619" s="3" t="s">
        <v>9575</v>
      </c>
      <c r="H1619" t="s">
        <v>9122</v>
      </c>
      <c r="I1619" s="28">
        <v>46386</v>
      </c>
      <c r="J1619" t="s">
        <v>9118</v>
      </c>
      <c r="K1619" t="s">
        <v>33</v>
      </c>
    </row>
    <row r="1620" spans="1:11">
      <c r="A1620" s="3">
        <v>2533041</v>
      </c>
      <c r="B1620" t="s">
        <v>2767</v>
      </c>
      <c r="C1620" t="s">
        <v>8</v>
      </c>
      <c r="D1620" t="s">
        <v>9108</v>
      </c>
      <c r="E1620" s="28">
        <v>46259</v>
      </c>
      <c r="F1620" t="s">
        <v>9109</v>
      </c>
      <c r="G1620" s="3" t="s">
        <v>9575</v>
      </c>
      <c r="H1620" t="s">
        <v>9122</v>
      </c>
      <c r="I1620" s="28">
        <v>46386</v>
      </c>
      <c r="J1620" t="s">
        <v>9118</v>
      </c>
      <c r="K1620" t="s">
        <v>33</v>
      </c>
    </row>
    <row r="1621" spans="1:11">
      <c r="A1621" s="3">
        <v>2533042</v>
      </c>
      <c r="B1621" t="s">
        <v>4646</v>
      </c>
      <c r="C1621" t="s">
        <v>8</v>
      </c>
      <c r="D1621" t="s">
        <v>9108</v>
      </c>
      <c r="E1621" s="28">
        <v>46259</v>
      </c>
      <c r="F1621" t="s">
        <v>9109</v>
      </c>
      <c r="G1621" s="3" t="s">
        <v>9569</v>
      </c>
      <c r="H1621" t="s">
        <v>9134</v>
      </c>
      <c r="I1621" s="28">
        <v>46358</v>
      </c>
      <c r="J1621" t="s">
        <v>9118</v>
      </c>
      <c r="K1621" t="s">
        <v>33</v>
      </c>
    </row>
    <row r="1622" spans="1:11">
      <c r="A1622" s="3">
        <v>2533043</v>
      </c>
      <c r="B1622" t="s">
        <v>2900</v>
      </c>
      <c r="C1622" t="s">
        <v>7</v>
      </c>
      <c r="D1622" t="s">
        <v>9108</v>
      </c>
      <c r="E1622" s="28">
        <v>46259</v>
      </c>
      <c r="F1622" t="s">
        <v>9109</v>
      </c>
      <c r="G1622" s="3" t="s">
        <v>9566</v>
      </c>
      <c r="H1622" t="s">
        <v>9352</v>
      </c>
      <c r="I1622" s="28">
        <v>46367</v>
      </c>
      <c r="J1622" t="s">
        <v>9118</v>
      </c>
      <c r="K1622" t="s">
        <v>33</v>
      </c>
    </row>
    <row r="1623" spans="1:11">
      <c r="A1623" s="3">
        <v>2533044</v>
      </c>
      <c r="B1623" t="s">
        <v>9605</v>
      </c>
      <c r="C1623" t="s">
        <v>7</v>
      </c>
      <c r="D1623" t="s">
        <v>9108</v>
      </c>
      <c r="E1623" s="28">
        <v>46259</v>
      </c>
      <c r="F1623" t="s">
        <v>9109</v>
      </c>
      <c r="G1623" s="3" t="s">
        <v>9516</v>
      </c>
      <c r="H1623" t="s">
        <v>424</v>
      </c>
      <c r="I1623" s="28">
        <v>46365</v>
      </c>
      <c r="J1623" t="s">
        <v>9118</v>
      </c>
      <c r="K1623" t="s">
        <v>33</v>
      </c>
    </row>
    <row r="1624" spans="1:11">
      <c r="A1624" s="3">
        <v>2533045</v>
      </c>
      <c r="B1624" t="s">
        <v>8465</v>
      </c>
      <c r="C1624" t="s">
        <v>7</v>
      </c>
      <c r="D1624" t="s">
        <v>9108</v>
      </c>
      <c r="E1624" s="28">
        <v>46259</v>
      </c>
      <c r="F1624" t="s">
        <v>9109</v>
      </c>
      <c r="G1624" s="3" t="s">
        <v>9516</v>
      </c>
      <c r="H1624" t="s">
        <v>424</v>
      </c>
      <c r="I1624" s="28">
        <v>46365</v>
      </c>
      <c r="J1624" t="s">
        <v>9118</v>
      </c>
      <c r="K1624" t="s">
        <v>33</v>
      </c>
    </row>
    <row r="1625" spans="1:11">
      <c r="A1625" s="3">
        <v>2533046</v>
      </c>
      <c r="B1625" t="s">
        <v>9606</v>
      </c>
      <c r="C1625" t="s">
        <v>7</v>
      </c>
      <c r="D1625" t="s">
        <v>9108</v>
      </c>
      <c r="E1625" s="28">
        <v>46259</v>
      </c>
      <c r="F1625" t="s">
        <v>9109</v>
      </c>
      <c r="G1625" s="3" t="s">
        <v>9578</v>
      </c>
      <c r="H1625" t="s">
        <v>424</v>
      </c>
      <c r="I1625" s="28">
        <v>46365</v>
      </c>
      <c r="J1625" t="s">
        <v>9118</v>
      </c>
      <c r="K1625" t="s">
        <v>33</v>
      </c>
    </row>
    <row r="1626" spans="1:11">
      <c r="A1626" s="3">
        <v>2533047</v>
      </c>
      <c r="B1626" t="s">
        <v>5393</v>
      </c>
      <c r="C1626" t="s">
        <v>8</v>
      </c>
      <c r="D1626" t="s">
        <v>9108</v>
      </c>
      <c r="E1626" s="28">
        <v>46259</v>
      </c>
      <c r="F1626" t="s">
        <v>9109</v>
      </c>
      <c r="G1626" s="3" t="s">
        <v>9563</v>
      </c>
      <c r="H1626" t="s">
        <v>89</v>
      </c>
      <c r="I1626" s="28">
        <v>46367</v>
      </c>
      <c r="J1626" t="s">
        <v>9118</v>
      </c>
      <c r="K1626" t="s">
        <v>33</v>
      </c>
    </row>
    <row r="1627" spans="1:11">
      <c r="A1627" s="3">
        <v>2533048</v>
      </c>
      <c r="B1627" t="s">
        <v>2914</v>
      </c>
      <c r="C1627" t="s">
        <v>7</v>
      </c>
      <c r="D1627" t="s">
        <v>9108</v>
      </c>
      <c r="E1627" s="28">
        <v>46259</v>
      </c>
      <c r="F1627" t="s">
        <v>9109</v>
      </c>
      <c r="G1627" s="3" t="s">
        <v>9578</v>
      </c>
      <c r="H1627" t="s">
        <v>424</v>
      </c>
      <c r="I1627" s="28">
        <v>46365</v>
      </c>
      <c r="J1627" t="s">
        <v>9118</v>
      </c>
      <c r="K1627" t="s">
        <v>33</v>
      </c>
    </row>
    <row r="1628" spans="1:11">
      <c r="A1628" s="3">
        <v>2533049</v>
      </c>
      <c r="B1628" t="s">
        <v>9607</v>
      </c>
      <c r="C1628" t="s">
        <v>8</v>
      </c>
      <c r="D1628" t="s">
        <v>9108</v>
      </c>
      <c r="E1628" s="28">
        <v>46259</v>
      </c>
      <c r="F1628" t="s">
        <v>9109</v>
      </c>
      <c r="G1628" s="3" t="s">
        <v>9575</v>
      </c>
      <c r="H1628" t="s">
        <v>9122</v>
      </c>
      <c r="I1628" s="28">
        <v>46386</v>
      </c>
      <c r="J1628" t="s">
        <v>9118</v>
      </c>
      <c r="K1628" t="s">
        <v>33</v>
      </c>
    </row>
    <row r="1629" spans="1:11">
      <c r="A1629" s="3">
        <v>2533050</v>
      </c>
      <c r="B1629" t="s">
        <v>7338</v>
      </c>
      <c r="C1629" t="s">
        <v>8</v>
      </c>
      <c r="D1629" t="s">
        <v>9108</v>
      </c>
      <c r="E1629" s="28">
        <v>46259</v>
      </c>
      <c r="F1629" t="s">
        <v>9109</v>
      </c>
      <c r="G1629" s="3" t="s">
        <v>9575</v>
      </c>
      <c r="H1629" t="s">
        <v>9122</v>
      </c>
      <c r="I1629" s="28">
        <v>46386</v>
      </c>
      <c r="J1629" t="s">
        <v>9118</v>
      </c>
      <c r="K1629" t="s">
        <v>33</v>
      </c>
    </row>
    <row r="1630" spans="1:11">
      <c r="A1630" s="3">
        <v>2533054</v>
      </c>
      <c r="B1630" t="s">
        <v>7123</v>
      </c>
      <c r="C1630" t="s">
        <v>7</v>
      </c>
      <c r="D1630" t="s">
        <v>9108</v>
      </c>
      <c r="E1630" s="28">
        <v>46259</v>
      </c>
      <c r="F1630" t="s">
        <v>9109</v>
      </c>
      <c r="G1630" s="3" t="s">
        <v>9575</v>
      </c>
      <c r="H1630" t="s">
        <v>9122</v>
      </c>
      <c r="I1630" s="28">
        <v>46386</v>
      </c>
      <c r="J1630" t="s">
        <v>9118</v>
      </c>
      <c r="K1630" t="s">
        <v>33</v>
      </c>
    </row>
    <row r="1631" spans="1:11">
      <c r="A1631" s="3">
        <v>2533055</v>
      </c>
      <c r="B1631" t="s">
        <v>6139</v>
      </c>
      <c r="C1631" t="s">
        <v>7</v>
      </c>
      <c r="D1631" t="s">
        <v>9108</v>
      </c>
      <c r="E1631" s="28">
        <v>46259</v>
      </c>
      <c r="F1631" t="s">
        <v>9109</v>
      </c>
      <c r="G1631" s="3" t="s">
        <v>9573</v>
      </c>
      <c r="H1631" t="s">
        <v>4040</v>
      </c>
      <c r="I1631" s="28">
        <v>46367</v>
      </c>
      <c r="J1631" t="s">
        <v>9118</v>
      </c>
      <c r="K1631" t="s">
        <v>33</v>
      </c>
    </row>
    <row r="1632" spans="1:11">
      <c r="A1632" s="3">
        <v>2533056</v>
      </c>
      <c r="B1632" t="s">
        <v>9608</v>
      </c>
      <c r="C1632" t="s">
        <v>8</v>
      </c>
      <c r="D1632" t="s">
        <v>9108</v>
      </c>
      <c r="E1632" s="28">
        <v>46259</v>
      </c>
      <c r="F1632" t="s">
        <v>9109</v>
      </c>
      <c r="G1632" s="3" t="s">
        <v>9568</v>
      </c>
      <c r="H1632" t="s">
        <v>1083</v>
      </c>
      <c r="I1632" s="28">
        <v>46337</v>
      </c>
      <c r="J1632" t="s">
        <v>9118</v>
      </c>
      <c r="K1632" t="s">
        <v>32</v>
      </c>
    </row>
    <row r="1633" spans="1:11">
      <c r="A1633" s="3">
        <v>2533057</v>
      </c>
      <c r="B1633" t="s">
        <v>6259</v>
      </c>
      <c r="C1633" t="s">
        <v>8</v>
      </c>
      <c r="D1633" t="s">
        <v>9108</v>
      </c>
      <c r="E1633" s="28">
        <v>46259</v>
      </c>
      <c r="F1633" t="s">
        <v>9109</v>
      </c>
      <c r="G1633" s="3" t="s">
        <v>9566</v>
      </c>
      <c r="H1633" t="s">
        <v>9352</v>
      </c>
      <c r="I1633" s="28">
        <v>46367</v>
      </c>
      <c r="J1633" t="s">
        <v>9118</v>
      </c>
      <c r="K1633" t="s">
        <v>33</v>
      </c>
    </row>
    <row r="1634" spans="1:11">
      <c r="A1634" s="3">
        <v>2533058</v>
      </c>
      <c r="B1634" t="s">
        <v>4800</v>
      </c>
      <c r="C1634" t="s">
        <v>7</v>
      </c>
      <c r="D1634" t="s">
        <v>9108</v>
      </c>
      <c r="E1634" s="28">
        <v>46259</v>
      </c>
      <c r="F1634" t="s">
        <v>9109</v>
      </c>
      <c r="G1634" s="3" t="s">
        <v>9575</v>
      </c>
      <c r="H1634" t="s">
        <v>9122</v>
      </c>
      <c r="I1634" s="28">
        <v>46386</v>
      </c>
      <c r="J1634" t="s">
        <v>9118</v>
      </c>
      <c r="K1634" t="s">
        <v>33</v>
      </c>
    </row>
    <row r="1635" spans="1:11">
      <c r="A1635" s="3">
        <v>2533059</v>
      </c>
      <c r="B1635" t="s">
        <v>9609</v>
      </c>
      <c r="C1635" t="s">
        <v>7</v>
      </c>
      <c r="D1635" t="s">
        <v>9108</v>
      </c>
      <c r="E1635" s="28">
        <v>46259</v>
      </c>
      <c r="F1635" t="s">
        <v>9109</v>
      </c>
      <c r="G1635" s="3" t="s">
        <v>9568</v>
      </c>
      <c r="H1635" t="s">
        <v>1083</v>
      </c>
      <c r="I1635" s="28">
        <v>46337</v>
      </c>
      <c r="J1635" t="s">
        <v>9118</v>
      </c>
      <c r="K1635" t="s">
        <v>32</v>
      </c>
    </row>
    <row r="1636" spans="1:11">
      <c r="A1636" s="3">
        <v>2533060</v>
      </c>
      <c r="B1636" t="s">
        <v>5109</v>
      </c>
      <c r="C1636" t="s">
        <v>7</v>
      </c>
      <c r="D1636" t="s">
        <v>9108</v>
      </c>
      <c r="E1636" s="28">
        <v>46259</v>
      </c>
      <c r="F1636" t="s">
        <v>9109</v>
      </c>
      <c r="G1636" s="3" t="s">
        <v>9578</v>
      </c>
      <c r="H1636" t="s">
        <v>424</v>
      </c>
      <c r="I1636" s="28">
        <v>46365</v>
      </c>
      <c r="J1636" t="s">
        <v>9118</v>
      </c>
      <c r="K1636" t="s">
        <v>33</v>
      </c>
    </row>
    <row r="1637" spans="1:11">
      <c r="A1637" s="3">
        <v>2533061</v>
      </c>
      <c r="B1637" t="s">
        <v>2505</v>
      </c>
      <c r="C1637" t="s">
        <v>7</v>
      </c>
      <c r="D1637" t="s">
        <v>9108</v>
      </c>
      <c r="E1637" s="28">
        <v>46259</v>
      </c>
      <c r="F1637" t="s">
        <v>9109</v>
      </c>
      <c r="G1637" s="3" t="s">
        <v>9569</v>
      </c>
      <c r="H1637" t="s">
        <v>9134</v>
      </c>
      <c r="I1637" s="28">
        <v>46358</v>
      </c>
      <c r="J1637" t="s">
        <v>9118</v>
      </c>
      <c r="K1637" t="s">
        <v>33</v>
      </c>
    </row>
    <row r="1638" spans="1:11">
      <c r="A1638" s="3">
        <v>2533062</v>
      </c>
      <c r="B1638" t="s">
        <v>9610</v>
      </c>
      <c r="C1638" t="s">
        <v>8</v>
      </c>
      <c r="D1638" t="s">
        <v>9108</v>
      </c>
      <c r="E1638" s="28">
        <v>46259</v>
      </c>
      <c r="F1638" t="s">
        <v>9109</v>
      </c>
      <c r="G1638" s="3" t="s">
        <v>9573</v>
      </c>
      <c r="H1638" t="s">
        <v>4040</v>
      </c>
      <c r="I1638" s="28">
        <v>46367</v>
      </c>
      <c r="J1638" t="s">
        <v>9118</v>
      </c>
      <c r="K1638" t="s">
        <v>33</v>
      </c>
    </row>
    <row r="1639" spans="1:11">
      <c r="A1639" s="3">
        <v>2533063</v>
      </c>
      <c r="B1639" t="s">
        <v>1692</v>
      </c>
      <c r="C1639" t="s">
        <v>8</v>
      </c>
      <c r="D1639" t="s">
        <v>9108</v>
      </c>
      <c r="E1639" s="28">
        <v>46259</v>
      </c>
      <c r="F1639" t="s">
        <v>9109</v>
      </c>
      <c r="G1639" s="3" t="s">
        <v>9575</v>
      </c>
      <c r="H1639" t="s">
        <v>9122</v>
      </c>
      <c r="I1639" s="28">
        <v>46386</v>
      </c>
      <c r="J1639" t="s">
        <v>9118</v>
      </c>
      <c r="K1639" t="s">
        <v>33</v>
      </c>
    </row>
    <row r="1640" spans="1:11">
      <c r="A1640" s="3">
        <v>2533064</v>
      </c>
      <c r="B1640" t="s">
        <v>4551</v>
      </c>
      <c r="C1640" t="s">
        <v>8</v>
      </c>
      <c r="D1640" t="s">
        <v>9108</v>
      </c>
      <c r="E1640" s="28">
        <v>46259</v>
      </c>
      <c r="F1640" t="s">
        <v>9109</v>
      </c>
      <c r="G1640" s="3" t="s">
        <v>9569</v>
      </c>
      <c r="H1640" t="s">
        <v>9134</v>
      </c>
      <c r="I1640" s="28">
        <v>46358</v>
      </c>
      <c r="J1640" t="s">
        <v>9118</v>
      </c>
      <c r="K1640" t="s">
        <v>33</v>
      </c>
    </row>
    <row r="1641" spans="1:11">
      <c r="A1641" s="3">
        <v>2533065</v>
      </c>
      <c r="B1641" t="s">
        <v>136</v>
      </c>
      <c r="C1641" t="s">
        <v>8</v>
      </c>
      <c r="D1641" t="s">
        <v>9108</v>
      </c>
      <c r="E1641" s="28">
        <v>46259</v>
      </c>
      <c r="F1641" t="s">
        <v>9109</v>
      </c>
      <c r="G1641" s="3" t="s">
        <v>9566</v>
      </c>
      <c r="H1641" t="s">
        <v>9352</v>
      </c>
      <c r="I1641" s="28">
        <v>46367</v>
      </c>
      <c r="J1641" t="s">
        <v>9118</v>
      </c>
      <c r="K1641" t="s">
        <v>33</v>
      </c>
    </row>
    <row r="1642" spans="1:11">
      <c r="A1642" s="3">
        <v>2533066</v>
      </c>
      <c r="B1642" t="s">
        <v>404</v>
      </c>
      <c r="C1642" t="s">
        <v>7</v>
      </c>
      <c r="D1642" t="s">
        <v>9108</v>
      </c>
      <c r="E1642" s="28">
        <v>46259</v>
      </c>
      <c r="F1642" t="s">
        <v>9109</v>
      </c>
      <c r="G1642" s="3" t="s">
        <v>9563</v>
      </c>
      <c r="H1642" t="s">
        <v>89</v>
      </c>
      <c r="I1642" s="28">
        <v>46367</v>
      </c>
      <c r="J1642" t="s">
        <v>9118</v>
      </c>
      <c r="K1642" t="s">
        <v>33</v>
      </c>
    </row>
    <row r="1643" spans="1:11">
      <c r="A1643" s="3">
        <v>2533067</v>
      </c>
      <c r="B1643" t="s">
        <v>8749</v>
      </c>
      <c r="C1643" t="s">
        <v>7</v>
      </c>
      <c r="D1643" t="s">
        <v>9108</v>
      </c>
      <c r="E1643" s="28">
        <v>46259</v>
      </c>
      <c r="F1643" t="s">
        <v>9109</v>
      </c>
      <c r="G1643" s="3" t="s">
        <v>9563</v>
      </c>
      <c r="H1643" t="s">
        <v>89</v>
      </c>
      <c r="I1643" s="28">
        <v>46367</v>
      </c>
      <c r="J1643" t="s">
        <v>9118</v>
      </c>
      <c r="K1643" t="s">
        <v>33</v>
      </c>
    </row>
    <row r="1644" spans="1:11">
      <c r="A1644" s="3">
        <v>2533068</v>
      </c>
      <c r="B1644" t="s">
        <v>9611</v>
      </c>
      <c r="C1644" t="s">
        <v>7</v>
      </c>
      <c r="D1644" t="s">
        <v>9108</v>
      </c>
      <c r="E1644" s="28">
        <v>46259</v>
      </c>
      <c r="F1644" t="s">
        <v>9109</v>
      </c>
      <c r="G1644" s="3" t="s">
        <v>9575</v>
      </c>
      <c r="H1644" t="s">
        <v>9122</v>
      </c>
      <c r="I1644" s="28">
        <v>46386</v>
      </c>
      <c r="J1644" t="s">
        <v>9118</v>
      </c>
      <c r="K1644" t="s">
        <v>33</v>
      </c>
    </row>
    <row r="1645" spans="1:11">
      <c r="A1645" s="3">
        <v>2533069</v>
      </c>
      <c r="B1645" t="s">
        <v>6147</v>
      </c>
      <c r="C1645" t="s">
        <v>7</v>
      </c>
      <c r="D1645" t="s">
        <v>9108</v>
      </c>
      <c r="E1645" s="28">
        <v>46259</v>
      </c>
      <c r="F1645" t="s">
        <v>9109</v>
      </c>
      <c r="G1645" s="3" t="s">
        <v>9569</v>
      </c>
      <c r="H1645" t="s">
        <v>9134</v>
      </c>
      <c r="I1645" s="28">
        <v>46358</v>
      </c>
      <c r="J1645" t="s">
        <v>9118</v>
      </c>
      <c r="K1645" t="s">
        <v>33</v>
      </c>
    </row>
    <row r="1646" spans="1:11">
      <c r="A1646" s="3">
        <v>2533070</v>
      </c>
      <c r="B1646" t="s">
        <v>9612</v>
      </c>
      <c r="C1646" t="s">
        <v>8</v>
      </c>
      <c r="D1646" t="s">
        <v>9108</v>
      </c>
      <c r="E1646" s="28">
        <v>46259</v>
      </c>
      <c r="F1646" t="s">
        <v>9109</v>
      </c>
      <c r="G1646" s="3" t="s">
        <v>9575</v>
      </c>
      <c r="H1646" t="s">
        <v>9122</v>
      </c>
      <c r="I1646" s="28">
        <v>46386</v>
      </c>
      <c r="J1646" t="s">
        <v>9118</v>
      </c>
      <c r="K1646" t="s">
        <v>33</v>
      </c>
    </row>
    <row r="1647" spans="1:11">
      <c r="A1647" s="3">
        <v>2533071</v>
      </c>
      <c r="B1647" t="s">
        <v>9613</v>
      </c>
      <c r="C1647" t="s">
        <v>7</v>
      </c>
      <c r="D1647" t="s">
        <v>9108</v>
      </c>
      <c r="E1647" s="28">
        <v>46259</v>
      </c>
      <c r="F1647" t="s">
        <v>9109</v>
      </c>
      <c r="G1647" s="3" t="s">
        <v>9569</v>
      </c>
      <c r="H1647" t="s">
        <v>9134</v>
      </c>
      <c r="I1647" s="28">
        <v>46358</v>
      </c>
      <c r="J1647" t="s">
        <v>9118</v>
      </c>
      <c r="K1647" t="s">
        <v>33</v>
      </c>
    </row>
    <row r="1648" spans="1:11">
      <c r="A1648" s="3">
        <v>2533072</v>
      </c>
      <c r="B1648" t="s">
        <v>8435</v>
      </c>
      <c r="C1648" t="s">
        <v>7</v>
      </c>
      <c r="D1648" t="s">
        <v>9108</v>
      </c>
      <c r="E1648" s="28">
        <v>46259</v>
      </c>
      <c r="F1648" t="s">
        <v>9109</v>
      </c>
      <c r="G1648" s="3" t="s">
        <v>9569</v>
      </c>
      <c r="H1648" t="s">
        <v>9134</v>
      </c>
      <c r="I1648" s="28">
        <v>46358</v>
      </c>
      <c r="J1648" t="s">
        <v>9118</v>
      </c>
      <c r="K1648" t="s">
        <v>33</v>
      </c>
    </row>
    <row r="1649" spans="1:11">
      <c r="A1649" s="3">
        <v>2533073</v>
      </c>
      <c r="B1649" t="s">
        <v>9614</v>
      </c>
      <c r="C1649" t="s">
        <v>7</v>
      </c>
      <c r="D1649" t="s">
        <v>9108</v>
      </c>
      <c r="E1649" s="28">
        <v>46259</v>
      </c>
      <c r="F1649" t="s">
        <v>9109</v>
      </c>
      <c r="G1649" s="3" t="s">
        <v>9574</v>
      </c>
      <c r="H1649" t="s">
        <v>4040</v>
      </c>
      <c r="I1649" s="28">
        <v>46367</v>
      </c>
      <c r="J1649" t="s">
        <v>9118</v>
      </c>
      <c r="K1649" t="s">
        <v>33</v>
      </c>
    </row>
    <row r="1650" spans="1:11">
      <c r="A1650" s="3">
        <v>2533074</v>
      </c>
      <c r="B1650" t="s">
        <v>1971</v>
      </c>
      <c r="C1650" t="s">
        <v>8</v>
      </c>
      <c r="D1650" t="s">
        <v>9108</v>
      </c>
      <c r="E1650" s="28">
        <v>46259</v>
      </c>
      <c r="F1650" t="s">
        <v>9109</v>
      </c>
      <c r="G1650" s="3" t="s">
        <v>9567</v>
      </c>
      <c r="H1650" t="s">
        <v>9352</v>
      </c>
      <c r="I1650" s="28">
        <v>46367</v>
      </c>
      <c r="J1650" t="s">
        <v>9118</v>
      </c>
      <c r="K1650" t="s">
        <v>33</v>
      </c>
    </row>
    <row r="1651" spans="1:11">
      <c r="A1651" s="3">
        <v>2533075</v>
      </c>
      <c r="B1651" t="s">
        <v>604</v>
      </c>
      <c r="C1651" t="s">
        <v>8</v>
      </c>
      <c r="D1651" t="s">
        <v>9108</v>
      </c>
      <c r="E1651" s="28">
        <v>46259</v>
      </c>
      <c r="F1651" t="s">
        <v>9109</v>
      </c>
      <c r="G1651" s="3" t="s">
        <v>9574</v>
      </c>
      <c r="H1651" t="s">
        <v>4040</v>
      </c>
      <c r="I1651" s="28">
        <v>46367</v>
      </c>
      <c r="J1651" t="s">
        <v>9118</v>
      </c>
      <c r="K1651" t="s">
        <v>33</v>
      </c>
    </row>
    <row r="1652" spans="1:11">
      <c r="A1652" s="3">
        <v>2533076</v>
      </c>
      <c r="B1652" t="s">
        <v>870</v>
      </c>
      <c r="C1652" t="s">
        <v>7</v>
      </c>
      <c r="D1652" t="s">
        <v>9108</v>
      </c>
      <c r="E1652" s="28">
        <v>46259</v>
      </c>
      <c r="F1652" t="s">
        <v>9109</v>
      </c>
      <c r="G1652" s="3" t="s">
        <v>9567</v>
      </c>
      <c r="H1652" t="s">
        <v>9352</v>
      </c>
      <c r="I1652" s="28">
        <v>46367</v>
      </c>
      <c r="J1652" t="s">
        <v>9118</v>
      </c>
      <c r="K1652" t="s">
        <v>33</v>
      </c>
    </row>
    <row r="1653" spans="1:11">
      <c r="A1653" s="3">
        <v>2533077</v>
      </c>
      <c r="B1653" t="s">
        <v>1710</v>
      </c>
      <c r="C1653" t="s">
        <v>8</v>
      </c>
      <c r="D1653" t="s">
        <v>9108</v>
      </c>
      <c r="E1653" s="28">
        <v>46259</v>
      </c>
      <c r="F1653" t="s">
        <v>9109</v>
      </c>
      <c r="G1653" s="3" t="s">
        <v>9575</v>
      </c>
      <c r="H1653" t="s">
        <v>9122</v>
      </c>
      <c r="I1653" s="28">
        <v>46386</v>
      </c>
      <c r="J1653" t="s">
        <v>9118</v>
      </c>
      <c r="K1653" t="s">
        <v>33</v>
      </c>
    </row>
    <row r="1654" spans="1:11">
      <c r="A1654" s="3">
        <v>2533078</v>
      </c>
      <c r="B1654" t="s">
        <v>3451</v>
      </c>
      <c r="C1654" t="s">
        <v>8</v>
      </c>
      <c r="D1654" t="s">
        <v>9108</v>
      </c>
      <c r="E1654" s="28">
        <v>46259</v>
      </c>
      <c r="F1654" t="s">
        <v>9109</v>
      </c>
      <c r="G1654" s="3" t="s">
        <v>9575</v>
      </c>
      <c r="H1654" t="s">
        <v>9122</v>
      </c>
      <c r="I1654" s="28">
        <v>46386</v>
      </c>
      <c r="J1654" t="s">
        <v>9118</v>
      </c>
      <c r="K1654" t="s">
        <v>33</v>
      </c>
    </row>
    <row r="1655" spans="1:11">
      <c r="A1655" s="3">
        <v>2533079</v>
      </c>
      <c r="B1655" t="s">
        <v>1542</v>
      </c>
      <c r="C1655" t="s">
        <v>7</v>
      </c>
      <c r="D1655" t="s">
        <v>9108</v>
      </c>
      <c r="E1655" s="28">
        <v>46259</v>
      </c>
      <c r="F1655" t="s">
        <v>9109</v>
      </c>
      <c r="G1655" s="3" t="s">
        <v>9569</v>
      </c>
      <c r="H1655" t="s">
        <v>9134</v>
      </c>
      <c r="I1655" s="28">
        <v>46358</v>
      </c>
      <c r="J1655" t="s">
        <v>9118</v>
      </c>
      <c r="K1655" t="s">
        <v>33</v>
      </c>
    </row>
    <row r="1656" spans="1:11">
      <c r="A1656" s="3">
        <v>2533080</v>
      </c>
      <c r="B1656" t="s">
        <v>6567</v>
      </c>
      <c r="C1656" t="s">
        <v>8</v>
      </c>
      <c r="D1656" t="s">
        <v>9108</v>
      </c>
      <c r="E1656" s="28">
        <v>46259</v>
      </c>
      <c r="F1656" t="s">
        <v>9109</v>
      </c>
      <c r="G1656" s="3" t="s">
        <v>9569</v>
      </c>
      <c r="H1656" t="s">
        <v>9134</v>
      </c>
      <c r="I1656" s="28">
        <v>46358</v>
      </c>
      <c r="J1656" t="s">
        <v>9118</v>
      </c>
      <c r="K1656" t="s">
        <v>33</v>
      </c>
    </row>
    <row r="1657" spans="1:11">
      <c r="A1657" s="3">
        <v>2533081</v>
      </c>
      <c r="B1657" t="s">
        <v>9615</v>
      </c>
      <c r="C1657" t="s">
        <v>7</v>
      </c>
      <c r="D1657" t="s">
        <v>9108</v>
      </c>
      <c r="E1657" s="28">
        <v>46259</v>
      </c>
      <c r="F1657" t="s">
        <v>9109</v>
      </c>
      <c r="G1657" s="3" t="s">
        <v>9569</v>
      </c>
      <c r="H1657" t="s">
        <v>9134</v>
      </c>
      <c r="I1657" s="28">
        <v>46358</v>
      </c>
      <c r="J1657" t="s">
        <v>9118</v>
      </c>
      <c r="K1657" t="s">
        <v>33</v>
      </c>
    </row>
    <row r="1658" spans="1:11">
      <c r="A1658" s="3">
        <v>2533082</v>
      </c>
      <c r="B1658" t="s">
        <v>6777</v>
      </c>
      <c r="C1658" t="s">
        <v>7</v>
      </c>
      <c r="D1658" t="s">
        <v>9108</v>
      </c>
      <c r="E1658" s="28">
        <v>46259</v>
      </c>
      <c r="F1658" t="s">
        <v>9109</v>
      </c>
      <c r="G1658" s="3" t="s">
        <v>9573</v>
      </c>
      <c r="H1658" t="s">
        <v>4040</v>
      </c>
      <c r="I1658" s="28">
        <v>46367</v>
      </c>
      <c r="J1658" t="s">
        <v>9118</v>
      </c>
      <c r="K1658" t="s">
        <v>33</v>
      </c>
    </row>
    <row r="1659" spans="1:11">
      <c r="A1659" s="3">
        <v>2533083</v>
      </c>
      <c r="B1659" t="s">
        <v>7031</v>
      </c>
      <c r="C1659" t="s">
        <v>7</v>
      </c>
      <c r="D1659" t="s">
        <v>9108</v>
      </c>
      <c r="E1659" s="28">
        <v>46259</v>
      </c>
      <c r="F1659" t="s">
        <v>9109</v>
      </c>
      <c r="G1659" s="3" t="s">
        <v>9569</v>
      </c>
      <c r="H1659" t="s">
        <v>9134</v>
      </c>
      <c r="I1659" s="28">
        <v>46358</v>
      </c>
      <c r="J1659" t="s">
        <v>9118</v>
      </c>
      <c r="K1659" t="s">
        <v>33</v>
      </c>
    </row>
    <row r="1660" spans="1:11">
      <c r="A1660" s="3">
        <v>2533111</v>
      </c>
      <c r="B1660" t="s">
        <v>7657</v>
      </c>
      <c r="C1660" t="s">
        <v>7</v>
      </c>
      <c r="D1660" t="s">
        <v>9108</v>
      </c>
      <c r="E1660" s="28">
        <v>46259</v>
      </c>
      <c r="F1660" t="s">
        <v>9109</v>
      </c>
      <c r="G1660" s="3" t="s">
        <v>9563</v>
      </c>
      <c r="H1660" t="s">
        <v>89</v>
      </c>
      <c r="I1660" s="28">
        <v>46367</v>
      </c>
      <c r="J1660" t="s">
        <v>9118</v>
      </c>
      <c r="K1660" t="s">
        <v>33</v>
      </c>
    </row>
    <row r="1661" spans="1:11">
      <c r="A1661" s="3">
        <v>2533118</v>
      </c>
      <c r="B1661" t="s">
        <v>5509</v>
      </c>
      <c r="C1661" t="s">
        <v>8</v>
      </c>
      <c r="D1661" t="s">
        <v>9108</v>
      </c>
      <c r="E1661" s="28">
        <v>46259</v>
      </c>
      <c r="F1661" t="s">
        <v>9109</v>
      </c>
      <c r="G1661" s="3" t="s">
        <v>9563</v>
      </c>
      <c r="H1661" t="s">
        <v>89</v>
      </c>
      <c r="I1661" s="28">
        <v>46367</v>
      </c>
      <c r="J1661" t="s">
        <v>9118</v>
      </c>
      <c r="K1661" t="s">
        <v>33</v>
      </c>
    </row>
    <row r="1662" spans="1:11">
      <c r="A1662" s="3">
        <v>2533128</v>
      </c>
      <c r="B1662" t="s">
        <v>9616</v>
      </c>
      <c r="C1662" t="s">
        <v>7</v>
      </c>
      <c r="D1662" t="s">
        <v>9108</v>
      </c>
      <c r="E1662" s="28">
        <v>46259</v>
      </c>
      <c r="F1662" t="s">
        <v>9109</v>
      </c>
      <c r="G1662" s="3" t="s">
        <v>9563</v>
      </c>
      <c r="H1662" t="s">
        <v>89</v>
      </c>
      <c r="I1662" s="28">
        <v>46367</v>
      </c>
      <c r="J1662" t="s">
        <v>9118</v>
      </c>
      <c r="K1662" t="s">
        <v>33</v>
      </c>
    </row>
    <row r="1663" spans="1:11">
      <c r="A1663" s="3">
        <v>2533129</v>
      </c>
      <c r="B1663" t="s">
        <v>7586</v>
      </c>
      <c r="C1663" t="s">
        <v>7</v>
      </c>
      <c r="D1663" t="s">
        <v>9108</v>
      </c>
      <c r="E1663" s="28">
        <v>46259</v>
      </c>
      <c r="F1663" t="s">
        <v>9109</v>
      </c>
      <c r="G1663" s="3" t="s">
        <v>9563</v>
      </c>
      <c r="H1663" t="s">
        <v>89</v>
      </c>
      <c r="I1663" s="28">
        <v>46367</v>
      </c>
      <c r="J1663" t="s">
        <v>9118</v>
      </c>
      <c r="K1663" t="s">
        <v>33</v>
      </c>
    </row>
    <row r="1664" spans="1:11">
      <c r="A1664" s="3">
        <v>2533131</v>
      </c>
      <c r="B1664" t="s">
        <v>9617</v>
      </c>
      <c r="C1664" t="s">
        <v>7</v>
      </c>
      <c r="D1664" t="s">
        <v>9108</v>
      </c>
      <c r="E1664" s="28">
        <v>46259</v>
      </c>
      <c r="F1664" t="s">
        <v>9109</v>
      </c>
      <c r="G1664" s="3" t="s">
        <v>9563</v>
      </c>
      <c r="H1664" t="s">
        <v>89</v>
      </c>
      <c r="I1664" s="28">
        <v>46367</v>
      </c>
      <c r="J1664" t="s">
        <v>9118</v>
      </c>
      <c r="K1664" t="s">
        <v>33</v>
      </c>
    </row>
    <row r="1665" spans="1:11">
      <c r="A1665" s="3">
        <v>2533132</v>
      </c>
      <c r="B1665" t="s">
        <v>9618</v>
      </c>
      <c r="C1665" t="s">
        <v>8</v>
      </c>
      <c r="D1665" t="s">
        <v>9108</v>
      </c>
      <c r="E1665" s="28">
        <v>46259</v>
      </c>
      <c r="F1665" t="s">
        <v>9109</v>
      </c>
      <c r="G1665" s="3" t="s">
        <v>9574</v>
      </c>
      <c r="H1665" t="s">
        <v>4040</v>
      </c>
      <c r="I1665" s="28">
        <v>46367</v>
      </c>
      <c r="J1665" t="s">
        <v>9118</v>
      </c>
      <c r="K1665" t="s">
        <v>33</v>
      </c>
    </row>
    <row r="1666" spans="1:11">
      <c r="A1666" s="3">
        <v>2533133</v>
      </c>
      <c r="B1666" t="s">
        <v>9619</v>
      </c>
      <c r="C1666" t="s">
        <v>8</v>
      </c>
      <c r="D1666" t="s">
        <v>9108</v>
      </c>
      <c r="E1666" s="28">
        <v>46259</v>
      </c>
      <c r="F1666" t="s">
        <v>9109</v>
      </c>
      <c r="G1666" s="3" t="s">
        <v>9574</v>
      </c>
      <c r="H1666" t="s">
        <v>4040</v>
      </c>
      <c r="I1666" s="28">
        <v>46367</v>
      </c>
      <c r="J1666" t="s">
        <v>9118</v>
      </c>
      <c r="K1666" t="s">
        <v>33</v>
      </c>
    </row>
    <row r="1667" spans="1:11">
      <c r="A1667" s="3">
        <v>2533139</v>
      </c>
      <c r="B1667" t="s">
        <v>5543</v>
      </c>
      <c r="C1667" t="s">
        <v>8</v>
      </c>
      <c r="D1667" t="s">
        <v>9108</v>
      </c>
      <c r="E1667" s="28">
        <v>46259</v>
      </c>
      <c r="F1667" t="s">
        <v>9109</v>
      </c>
      <c r="G1667" s="3" t="s">
        <v>9575</v>
      </c>
      <c r="H1667" t="s">
        <v>9122</v>
      </c>
      <c r="I1667" s="28">
        <v>46386</v>
      </c>
      <c r="J1667" t="s">
        <v>9118</v>
      </c>
      <c r="K1667" t="s">
        <v>33</v>
      </c>
    </row>
    <row r="1668" spans="1:11">
      <c r="A1668" s="3">
        <v>2533140</v>
      </c>
      <c r="B1668" t="s">
        <v>9620</v>
      </c>
      <c r="C1668" t="s">
        <v>7</v>
      </c>
      <c r="D1668" t="s">
        <v>9108</v>
      </c>
      <c r="E1668" s="28">
        <v>46259</v>
      </c>
      <c r="F1668" t="s">
        <v>9109</v>
      </c>
      <c r="G1668" s="3" t="s">
        <v>9573</v>
      </c>
      <c r="H1668" t="s">
        <v>4040</v>
      </c>
      <c r="I1668" s="28">
        <v>46367</v>
      </c>
      <c r="J1668" t="s">
        <v>9118</v>
      </c>
      <c r="K1668" t="s">
        <v>33</v>
      </c>
    </row>
    <row r="1669" spans="1:11">
      <c r="A1669" s="3">
        <v>2533141</v>
      </c>
      <c r="B1669" t="s">
        <v>241</v>
      </c>
      <c r="C1669" t="s">
        <v>7</v>
      </c>
      <c r="D1669" t="s">
        <v>9108</v>
      </c>
      <c r="E1669" s="28">
        <v>46259</v>
      </c>
      <c r="F1669" t="s">
        <v>9109</v>
      </c>
      <c r="G1669" s="3" t="s">
        <v>9569</v>
      </c>
      <c r="H1669" t="s">
        <v>9134</v>
      </c>
      <c r="I1669" s="28">
        <v>46358</v>
      </c>
      <c r="J1669" t="s">
        <v>9118</v>
      </c>
      <c r="K1669" t="s">
        <v>33</v>
      </c>
    </row>
    <row r="1670" spans="1:11">
      <c r="A1670" s="3">
        <v>2533142</v>
      </c>
      <c r="B1670" t="s">
        <v>8175</v>
      </c>
      <c r="C1670" t="s">
        <v>8</v>
      </c>
      <c r="D1670" t="s">
        <v>9108</v>
      </c>
      <c r="E1670" s="28">
        <v>46259</v>
      </c>
      <c r="F1670" t="s">
        <v>9109</v>
      </c>
      <c r="G1670" s="3" t="s">
        <v>9573</v>
      </c>
      <c r="H1670" t="s">
        <v>4040</v>
      </c>
      <c r="I1670" s="28">
        <v>46367</v>
      </c>
      <c r="J1670" t="s">
        <v>9118</v>
      </c>
      <c r="K1670" t="s">
        <v>33</v>
      </c>
    </row>
    <row r="1671" spans="1:11">
      <c r="A1671" s="3">
        <v>2533145</v>
      </c>
      <c r="B1671" t="s">
        <v>4498</v>
      </c>
      <c r="C1671" t="s">
        <v>8</v>
      </c>
      <c r="D1671" t="s">
        <v>9108</v>
      </c>
      <c r="E1671" s="28">
        <v>46259</v>
      </c>
      <c r="F1671" t="s">
        <v>9109</v>
      </c>
      <c r="G1671" s="3" t="s">
        <v>9574</v>
      </c>
      <c r="H1671" t="s">
        <v>4040</v>
      </c>
      <c r="I1671" s="28">
        <v>46367</v>
      </c>
      <c r="J1671" t="s">
        <v>9118</v>
      </c>
      <c r="K1671" t="s">
        <v>33</v>
      </c>
    </row>
    <row r="1672" spans="1:11">
      <c r="A1672" s="3">
        <v>2533147</v>
      </c>
      <c r="B1672" t="s">
        <v>5334</v>
      </c>
      <c r="C1672" t="s">
        <v>7</v>
      </c>
      <c r="D1672" t="s">
        <v>9108</v>
      </c>
      <c r="E1672" s="28">
        <v>46259</v>
      </c>
      <c r="F1672" t="s">
        <v>9109</v>
      </c>
      <c r="G1672" s="3" t="s">
        <v>9573</v>
      </c>
      <c r="H1672" t="s">
        <v>4040</v>
      </c>
      <c r="I1672" s="28">
        <v>46367</v>
      </c>
      <c r="J1672" t="s">
        <v>9118</v>
      </c>
      <c r="K1672" t="s">
        <v>33</v>
      </c>
    </row>
    <row r="1673" spans="1:11">
      <c r="A1673" s="3">
        <v>2533148</v>
      </c>
      <c r="B1673" t="s">
        <v>6610</v>
      </c>
      <c r="C1673" t="s">
        <v>8</v>
      </c>
      <c r="D1673" t="s">
        <v>9108</v>
      </c>
      <c r="E1673" s="28">
        <v>46259</v>
      </c>
      <c r="F1673" t="s">
        <v>9109</v>
      </c>
      <c r="G1673" s="3" t="s">
        <v>9573</v>
      </c>
      <c r="H1673" t="s">
        <v>4040</v>
      </c>
      <c r="I1673" s="28">
        <v>46367</v>
      </c>
      <c r="J1673" t="s">
        <v>9118</v>
      </c>
      <c r="K1673" t="s">
        <v>33</v>
      </c>
    </row>
    <row r="1674" spans="1:11">
      <c r="A1674" s="3">
        <v>2533149</v>
      </c>
      <c r="B1674" t="s">
        <v>3175</v>
      </c>
      <c r="C1674" t="s">
        <v>7</v>
      </c>
      <c r="D1674" t="s">
        <v>9108</v>
      </c>
      <c r="E1674" s="28">
        <v>46259</v>
      </c>
      <c r="F1674" t="s">
        <v>9109</v>
      </c>
      <c r="G1674" s="3" t="s">
        <v>9561</v>
      </c>
      <c r="H1674" t="s">
        <v>9562</v>
      </c>
      <c r="I1674" s="28">
        <v>46330</v>
      </c>
      <c r="J1674" t="s">
        <v>9118</v>
      </c>
      <c r="K1674" t="s">
        <v>32</v>
      </c>
    </row>
    <row r="1675" spans="1:11">
      <c r="A1675" s="3">
        <v>2533152</v>
      </c>
      <c r="B1675" t="s">
        <v>372</v>
      </c>
      <c r="C1675" t="s">
        <v>8</v>
      </c>
      <c r="D1675" t="s">
        <v>9108</v>
      </c>
      <c r="E1675" s="28">
        <v>46259</v>
      </c>
      <c r="F1675" t="s">
        <v>9109</v>
      </c>
      <c r="G1675" s="3" t="s">
        <v>9566</v>
      </c>
      <c r="H1675" t="s">
        <v>9352</v>
      </c>
      <c r="I1675" s="28">
        <v>46367</v>
      </c>
      <c r="J1675" t="s">
        <v>9118</v>
      </c>
      <c r="K1675" t="s">
        <v>33</v>
      </c>
    </row>
    <row r="1676" spans="1:11">
      <c r="A1676" s="3">
        <v>2533153</v>
      </c>
      <c r="B1676" t="s">
        <v>8771</v>
      </c>
      <c r="C1676" t="s">
        <v>7</v>
      </c>
      <c r="D1676" t="s">
        <v>9108</v>
      </c>
      <c r="E1676" s="28">
        <v>46259</v>
      </c>
      <c r="F1676" t="s">
        <v>9109</v>
      </c>
      <c r="G1676" s="3" t="s">
        <v>9573</v>
      </c>
      <c r="H1676" t="s">
        <v>4040</v>
      </c>
      <c r="I1676" s="28">
        <v>46367</v>
      </c>
      <c r="J1676" t="s">
        <v>9118</v>
      </c>
      <c r="K1676" t="s">
        <v>33</v>
      </c>
    </row>
    <row r="1677" spans="1:11">
      <c r="A1677" s="3">
        <v>2533154</v>
      </c>
      <c r="B1677" t="s">
        <v>376</v>
      </c>
      <c r="C1677" t="s">
        <v>8</v>
      </c>
      <c r="D1677" t="s">
        <v>9108</v>
      </c>
      <c r="E1677" s="28">
        <v>46259</v>
      </c>
      <c r="F1677" t="s">
        <v>9109</v>
      </c>
      <c r="G1677" s="3" t="s">
        <v>9567</v>
      </c>
      <c r="H1677" t="s">
        <v>9352</v>
      </c>
      <c r="I1677" s="28">
        <v>46367</v>
      </c>
      <c r="J1677" t="s">
        <v>9118</v>
      </c>
      <c r="K1677" t="s">
        <v>33</v>
      </c>
    </row>
    <row r="1678" spans="1:11">
      <c r="A1678" s="3">
        <v>2533155</v>
      </c>
      <c r="B1678" t="s">
        <v>3047</v>
      </c>
      <c r="C1678" t="s">
        <v>7</v>
      </c>
      <c r="D1678" t="s">
        <v>9108</v>
      </c>
      <c r="E1678" s="28">
        <v>46259</v>
      </c>
      <c r="F1678" t="s">
        <v>9109</v>
      </c>
      <c r="G1678" s="3" t="s">
        <v>9566</v>
      </c>
      <c r="H1678" t="s">
        <v>9352</v>
      </c>
      <c r="I1678" s="28">
        <v>46367</v>
      </c>
      <c r="J1678" t="s">
        <v>9118</v>
      </c>
      <c r="K1678" t="s">
        <v>33</v>
      </c>
    </row>
    <row r="1679" spans="1:11">
      <c r="A1679" s="3">
        <v>2533156</v>
      </c>
      <c r="B1679" t="s">
        <v>2570</v>
      </c>
      <c r="C1679" t="s">
        <v>7</v>
      </c>
      <c r="D1679" t="s">
        <v>9108</v>
      </c>
      <c r="E1679" s="28">
        <v>46259</v>
      </c>
      <c r="F1679" t="s">
        <v>9109</v>
      </c>
      <c r="G1679" s="3" t="s">
        <v>9563</v>
      </c>
      <c r="H1679" t="s">
        <v>89</v>
      </c>
      <c r="I1679" s="28">
        <v>46367</v>
      </c>
      <c r="J1679" t="s">
        <v>9118</v>
      </c>
      <c r="K1679" t="s">
        <v>33</v>
      </c>
    </row>
    <row r="1680" spans="1:11">
      <c r="A1680" s="3">
        <v>2533157</v>
      </c>
      <c r="B1680" t="s">
        <v>456</v>
      </c>
      <c r="C1680" t="s">
        <v>7</v>
      </c>
      <c r="D1680" t="s">
        <v>9108</v>
      </c>
      <c r="E1680" s="28">
        <v>46259</v>
      </c>
      <c r="F1680" t="s">
        <v>9109</v>
      </c>
      <c r="G1680" s="3" t="s">
        <v>9566</v>
      </c>
      <c r="H1680" t="s">
        <v>9352</v>
      </c>
      <c r="I1680" s="28">
        <v>46367</v>
      </c>
      <c r="J1680" t="s">
        <v>9118</v>
      </c>
      <c r="K1680" t="s">
        <v>33</v>
      </c>
    </row>
    <row r="1681" spans="1:11">
      <c r="A1681" s="3">
        <v>2533158</v>
      </c>
      <c r="B1681" t="s">
        <v>7452</v>
      </c>
      <c r="C1681" t="s">
        <v>7</v>
      </c>
      <c r="D1681" t="s">
        <v>9108</v>
      </c>
      <c r="E1681" s="28">
        <v>46259</v>
      </c>
      <c r="F1681" t="s">
        <v>9109</v>
      </c>
      <c r="G1681" s="3" t="s">
        <v>9575</v>
      </c>
      <c r="H1681" t="s">
        <v>9122</v>
      </c>
      <c r="I1681" s="28">
        <v>46386</v>
      </c>
      <c r="J1681" t="s">
        <v>9118</v>
      </c>
      <c r="K1681" t="s">
        <v>33</v>
      </c>
    </row>
    <row r="1682" spans="1:11">
      <c r="A1682" s="3">
        <v>2533160</v>
      </c>
      <c r="B1682" t="s">
        <v>7006</v>
      </c>
      <c r="C1682" t="s">
        <v>7</v>
      </c>
      <c r="D1682" t="s">
        <v>9108</v>
      </c>
      <c r="E1682" s="28">
        <v>46259</v>
      </c>
      <c r="F1682" t="s">
        <v>9109</v>
      </c>
      <c r="G1682" s="3" t="s">
        <v>9569</v>
      </c>
      <c r="H1682" t="s">
        <v>9134</v>
      </c>
      <c r="I1682" s="28">
        <v>46358</v>
      </c>
      <c r="J1682" t="s">
        <v>9118</v>
      </c>
      <c r="K1682" t="s">
        <v>33</v>
      </c>
    </row>
    <row r="1683" spans="1:11">
      <c r="A1683" s="3">
        <v>2533162</v>
      </c>
      <c r="B1683" t="s">
        <v>9073</v>
      </c>
      <c r="C1683" t="s">
        <v>8</v>
      </c>
      <c r="D1683" t="s">
        <v>9108</v>
      </c>
      <c r="E1683" s="28">
        <v>46259</v>
      </c>
      <c r="F1683" t="s">
        <v>9109</v>
      </c>
      <c r="G1683" s="3" t="s">
        <v>9573</v>
      </c>
      <c r="H1683" t="s">
        <v>4040</v>
      </c>
      <c r="I1683" s="28">
        <v>46367</v>
      </c>
      <c r="J1683" t="s">
        <v>9118</v>
      </c>
      <c r="K1683" t="s">
        <v>33</v>
      </c>
    </row>
    <row r="1684" spans="1:11">
      <c r="A1684" s="3">
        <v>2533165</v>
      </c>
      <c r="B1684" t="s">
        <v>7652</v>
      </c>
      <c r="C1684" t="s">
        <v>7</v>
      </c>
      <c r="D1684" t="s">
        <v>9108</v>
      </c>
      <c r="E1684" s="28">
        <v>46259</v>
      </c>
      <c r="F1684" t="s">
        <v>9109</v>
      </c>
      <c r="G1684" s="3" t="s">
        <v>9567</v>
      </c>
      <c r="H1684" t="s">
        <v>9352</v>
      </c>
      <c r="I1684" s="28">
        <v>46367</v>
      </c>
      <c r="J1684" t="s">
        <v>9118</v>
      </c>
      <c r="K1684" t="s">
        <v>33</v>
      </c>
    </row>
    <row r="1685" spans="1:11">
      <c r="A1685" s="3">
        <v>2533166</v>
      </c>
      <c r="B1685" t="s">
        <v>4273</v>
      </c>
      <c r="C1685" t="s">
        <v>7</v>
      </c>
      <c r="D1685" t="s">
        <v>9108</v>
      </c>
      <c r="E1685" s="28">
        <v>46259</v>
      </c>
      <c r="F1685" t="s">
        <v>9109</v>
      </c>
      <c r="G1685" s="3" t="s">
        <v>9566</v>
      </c>
      <c r="H1685" t="s">
        <v>9352</v>
      </c>
      <c r="I1685" s="28">
        <v>46367</v>
      </c>
      <c r="J1685" t="s">
        <v>9118</v>
      </c>
      <c r="K1685" t="s">
        <v>33</v>
      </c>
    </row>
    <row r="1686" spans="1:11">
      <c r="A1686" s="3">
        <v>2533167</v>
      </c>
      <c r="B1686" t="s">
        <v>3629</v>
      </c>
      <c r="C1686" t="s">
        <v>7</v>
      </c>
      <c r="D1686" t="s">
        <v>9108</v>
      </c>
      <c r="E1686" s="28">
        <v>46259</v>
      </c>
      <c r="F1686" t="s">
        <v>9109</v>
      </c>
      <c r="G1686" s="3" t="s">
        <v>9516</v>
      </c>
      <c r="H1686" t="s">
        <v>424</v>
      </c>
      <c r="I1686" s="28">
        <v>46365</v>
      </c>
      <c r="J1686" t="s">
        <v>9118</v>
      </c>
      <c r="K1686" t="s">
        <v>33</v>
      </c>
    </row>
    <row r="1687" spans="1:11">
      <c r="A1687" s="3">
        <v>2533169</v>
      </c>
      <c r="B1687" t="s">
        <v>4341</v>
      </c>
      <c r="C1687" t="s">
        <v>7</v>
      </c>
      <c r="D1687" t="s">
        <v>9108</v>
      </c>
      <c r="E1687" s="28">
        <v>46259</v>
      </c>
      <c r="F1687" t="s">
        <v>9109</v>
      </c>
      <c r="G1687" s="3" t="s">
        <v>9578</v>
      </c>
      <c r="H1687" t="s">
        <v>424</v>
      </c>
      <c r="I1687" s="28">
        <v>46365</v>
      </c>
      <c r="J1687" t="s">
        <v>9118</v>
      </c>
      <c r="K1687" t="s">
        <v>33</v>
      </c>
    </row>
    <row r="1688" spans="1:11">
      <c r="A1688" s="3">
        <v>2533170</v>
      </c>
      <c r="B1688" t="s">
        <v>339</v>
      </c>
      <c r="C1688" t="s">
        <v>8</v>
      </c>
      <c r="D1688" t="s">
        <v>9108</v>
      </c>
      <c r="E1688" s="28">
        <v>46259</v>
      </c>
      <c r="F1688" t="s">
        <v>9109</v>
      </c>
      <c r="G1688" s="3" t="s">
        <v>9566</v>
      </c>
      <c r="H1688" t="s">
        <v>9352</v>
      </c>
      <c r="I1688" s="28">
        <v>46367</v>
      </c>
      <c r="J1688" t="s">
        <v>9118</v>
      </c>
      <c r="K1688" t="s">
        <v>33</v>
      </c>
    </row>
    <row r="1689" spans="1:11">
      <c r="A1689" s="3">
        <v>2533171</v>
      </c>
      <c r="B1689" t="s">
        <v>9621</v>
      </c>
      <c r="C1689" t="s">
        <v>7</v>
      </c>
      <c r="D1689" t="s">
        <v>9108</v>
      </c>
      <c r="E1689" s="28">
        <v>46259</v>
      </c>
      <c r="F1689" t="s">
        <v>9109</v>
      </c>
      <c r="G1689" s="3" t="s">
        <v>9566</v>
      </c>
      <c r="H1689" t="s">
        <v>9352</v>
      </c>
      <c r="I1689" s="28">
        <v>46367</v>
      </c>
      <c r="J1689" t="s">
        <v>9118</v>
      </c>
      <c r="K1689" t="s">
        <v>33</v>
      </c>
    </row>
    <row r="1690" spans="1:11">
      <c r="A1690" s="3">
        <v>2533173</v>
      </c>
      <c r="B1690" t="s">
        <v>5504</v>
      </c>
      <c r="C1690" t="s">
        <v>8</v>
      </c>
      <c r="D1690" t="s">
        <v>9108</v>
      </c>
      <c r="E1690" s="28">
        <v>46259</v>
      </c>
      <c r="F1690" t="s">
        <v>9109</v>
      </c>
      <c r="G1690" s="3" t="s">
        <v>9578</v>
      </c>
      <c r="H1690" t="s">
        <v>424</v>
      </c>
      <c r="I1690" s="28">
        <v>46365</v>
      </c>
      <c r="J1690" t="s">
        <v>9118</v>
      </c>
      <c r="K1690" t="s">
        <v>33</v>
      </c>
    </row>
    <row r="1691" spans="1:11">
      <c r="A1691" s="3">
        <v>2533176</v>
      </c>
      <c r="B1691" t="s">
        <v>5603</v>
      </c>
      <c r="C1691" t="s">
        <v>8</v>
      </c>
      <c r="D1691" t="s">
        <v>9108</v>
      </c>
      <c r="E1691" s="28">
        <v>46259</v>
      </c>
      <c r="F1691" t="s">
        <v>9109</v>
      </c>
      <c r="G1691" s="3" t="s">
        <v>9578</v>
      </c>
      <c r="H1691" t="s">
        <v>424</v>
      </c>
      <c r="I1691" s="28">
        <v>46365</v>
      </c>
      <c r="J1691" t="s">
        <v>9118</v>
      </c>
      <c r="K1691" t="s">
        <v>33</v>
      </c>
    </row>
    <row r="1692" spans="1:11">
      <c r="A1692" s="3">
        <v>2533177</v>
      </c>
      <c r="B1692" t="s">
        <v>6990</v>
      </c>
      <c r="C1692" t="s">
        <v>7</v>
      </c>
      <c r="D1692" t="s">
        <v>9108</v>
      </c>
      <c r="E1692" s="28">
        <v>46259</v>
      </c>
      <c r="F1692" t="s">
        <v>9109</v>
      </c>
      <c r="G1692" s="3" t="s">
        <v>9568</v>
      </c>
      <c r="H1692" t="s">
        <v>1083</v>
      </c>
      <c r="I1692" s="28">
        <v>46337</v>
      </c>
      <c r="J1692" t="s">
        <v>9118</v>
      </c>
      <c r="K1692" t="s">
        <v>32</v>
      </c>
    </row>
    <row r="1693" spans="1:11">
      <c r="A1693" s="3">
        <v>2533178</v>
      </c>
      <c r="B1693" t="s">
        <v>8118</v>
      </c>
      <c r="C1693" t="s">
        <v>8</v>
      </c>
      <c r="D1693" t="s">
        <v>9108</v>
      </c>
      <c r="E1693" s="28">
        <v>46259</v>
      </c>
      <c r="F1693" t="s">
        <v>9109</v>
      </c>
      <c r="G1693" s="3" t="s">
        <v>9578</v>
      </c>
      <c r="H1693" t="s">
        <v>424</v>
      </c>
      <c r="I1693" s="28">
        <v>46365</v>
      </c>
      <c r="J1693" t="s">
        <v>9118</v>
      </c>
      <c r="K1693" t="s">
        <v>33</v>
      </c>
    </row>
    <row r="1694" spans="1:11">
      <c r="A1694" s="3">
        <v>2533179</v>
      </c>
      <c r="B1694" t="s">
        <v>450</v>
      </c>
      <c r="C1694" t="s">
        <v>7</v>
      </c>
      <c r="D1694" t="s">
        <v>9108</v>
      </c>
      <c r="E1694" s="28">
        <v>46259</v>
      </c>
      <c r="F1694" t="s">
        <v>9109</v>
      </c>
      <c r="G1694" s="3" t="s">
        <v>9568</v>
      </c>
      <c r="H1694" t="s">
        <v>1083</v>
      </c>
      <c r="I1694" s="28">
        <v>46337</v>
      </c>
      <c r="J1694" t="s">
        <v>9118</v>
      </c>
      <c r="K1694" t="s">
        <v>32</v>
      </c>
    </row>
    <row r="1695" spans="1:11">
      <c r="A1695" s="3">
        <v>2533180</v>
      </c>
      <c r="B1695" t="s">
        <v>9622</v>
      </c>
      <c r="C1695" t="s">
        <v>8</v>
      </c>
      <c r="D1695" t="s">
        <v>9108</v>
      </c>
      <c r="E1695" s="28">
        <v>46259</v>
      </c>
      <c r="F1695" t="s">
        <v>9109</v>
      </c>
      <c r="G1695" s="3" t="s">
        <v>9575</v>
      </c>
      <c r="H1695" t="s">
        <v>9122</v>
      </c>
      <c r="I1695" s="28">
        <v>46386</v>
      </c>
      <c r="J1695" t="s">
        <v>9118</v>
      </c>
      <c r="K1695" t="s">
        <v>33</v>
      </c>
    </row>
    <row r="1696" spans="1:11">
      <c r="A1696" s="3">
        <v>2533181</v>
      </c>
      <c r="B1696" t="s">
        <v>8110</v>
      </c>
      <c r="C1696" t="s">
        <v>8</v>
      </c>
      <c r="D1696" t="s">
        <v>9108</v>
      </c>
      <c r="E1696" s="28">
        <v>46259</v>
      </c>
      <c r="F1696" t="s">
        <v>9109</v>
      </c>
      <c r="G1696" s="3" t="s">
        <v>9568</v>
      </c>
      <c r="H1696" t="s">
        <v>1083</v>
      </c>
      <c r="I1696" s="28">
        <v>46337</v>
      </c>
      <c r="J1696" t="s">
        <v>9118</v>
      </c>
      <c r="K1696" t="s">
        <v>32</v>
      </c>
    </row>
    <row r="1697" spans="1:11">
      <c r="A1697" s="3">
        <v>2533182</v>
      </c>
      <c r="B1697" t="s">
        <v>2606</v>
      </c>
      <c r="C1697" t="s">
        <v>7</v>
      </c>
      <c r="D1697" t="s">
        <v>9108</v>
      </c>
      <c r="E1697" s="28">
        <v>46259</v>
      </c>
      <c r="F1697" t="s">
        <v>9109</v>
      </c>
      <c r="G1697" s="3" t="s">
        <v>9516</v>
      </c>
      <c r="H1697" t="s">
        <v>424</v>
      </c>
      <c r="I1697" s="28">
        <v>46365</v>
      </c>
      <c r="J1697" t="s">
        <v>9118</v>
      </c>
      <c r="K1697" t="s">
        <v>33</v>
      </c>
    </row>
    <row r="1698" spans="1:11">
      <c r="A1698" s="3">
        <v>2533183</v>
      </c>
      <c r="B1698" t="s">
        <v>509</v>
      </c>
      <c r="C1698" t="s">
        <v>8</v>
      </c>
      <c r="D1698" t="s">
        <v>9108</v>
      </c>
      <c r="E1698" s="28">
        <v>46259</v>
      </c>
      <c r="F1698" t="s">
        <v>9109</v>
      </c>
      <c r="G1698" s="3" t="s">
        <v>9573</v>
      </c>
      <c r="H1698" t="s">
        <v>4040</v>
      </c>
      <c r="I1698" s="28">
        <v>46367</v>
      </c>
      <c r="J1698" t="s">
        <v>9118</v>
      </c>
      <c r="K1698" t="s">
        <v>33</v>
      </c>
    </row>
    <row r="1699" spans="1:11">
      <c r="A1699" s="3">
        <v>2533184</v>
      </c>
      <c r="B1699" t="s">
        <v>9623</v>
      </c>
      <c r="C1699" t="s">
        <v>7</v>
      </c>
      <c r="D1699" t="s">
        <v>9108</v>
      </c>
      <c r="E1699" s="28">
        <v>46259</v>
      </c>
      <c r="F1699" t="s">
        <v>9109</v>
      </c>
      <c r="G1699" s="3" t="s">
        <v>9573</v>
      </c>
      <c r="H1699" t="s">
        <v>4040</v>
      </c>
      <c r="I1699" s="28">
        <v>46367</v>
      </c>
      <c r="J1699" t="s">
        <v>9118</v>
      </c>
      <c r="K1699" t="s">
        <v>33</v>
      </c>
    </row>
    <row r="1700" spans="1:11">
      <c r="A1700" s="3">
        <v>2533185</v>
      </c>
      <c r="B1700" t="s">
        <v>2550</v>
      </c>
      <c r="C1700" t="s">
        <v>7</v>
      </c>
      <c r="D1700" t="s">
        <v>9108</v>
      </c>
      <c r="E1700" s="28">
        <v>46259</v>
      </c>
      <c r="F1700" t="s">
        <v>9109</v>
      </c>
      <c r="G1700" s="3" t="s">
        <v>9578</v>
      </c>
      <c r="H1700" t="s">
        <v>424</v>
      </c>
      <c r="I1700" s="28">
        <v>46365</v>
      </c>
      <c r="J1700" t="s">
        <v>9118</v>
      </c>
      <c r="K1700" t="s">
        <v>33</v>
      </c>
    </row>
    <row r="1701" spans="1:11">
      <c r="A1701" s="3">
        <v>2533186</v>
      </c>
      <c r="B1701" t="s">
        <v>9624</v>
      </c>
      <c r="C1701" t="s">
        <v>8</v>
      </c>
      <c r="D1701" t="s">
        <v>9108</v>
      </c>
      <c r="E1701" s="28">
        <v>46259</v>
      </c>
      <c r="F1701" t="s">
        <v>9109</v>
      </c>
      <c r="G1701" s="3" t="s">
        <v>9563</v>
      </c>
      <c r="H1701" t="s">
        <v>89</v>
      </c>
      <c r="I1701" s="28">
        <v>46367</v>
      </c>
      <c r="J1701" t="s">
        <v>9118</v>
      </c>
      <c r="K1701" t="s">
        <v>33</v>
      </c>
    </row>
    <row r="1702" spans="1:11">
      <c r="A1702" s="3">
        <v>2533189</v>
      </c>
      <c r="B1702" t="s">
        <v>2426</v>
      </c>
      <c r="C1702" t="s">
        <v>8</v>
      </c>
      <c r="D1702" t="s">
        <v>9108</v>
      </c>
      <c r="E1702" s="28">
        <v>46259</v>
      </c>
      <c r="F1702" t="s">
        <v>9109</v>
      </c>
      <c r="G1702" s="3" t="s">
        <v>9567</v>
      </c>
      <c r="H1702" t="s">
        <v>9352</v>
      </c>
      <c r="I1702" s="28">
        <v>46367</v>
      </c>
      <c r="J1702" t="s">
        <v>9118</v>
      </c>
      <c r="K1702" t="s">
        <v>33</v>
      </c>
    </row>
    <row r="1703" spans="1:11">
      <c r="A1703" s="3">
        <v>2533190</v>
      </c>
      <c r="B1703" t="s">
        <v>9625</v>
      </c>
      <c r="C1703" t="s">
        <v>7</v>
      </c>
      <c r="D1703" t="s">
        <v>9108</v>
      </c>
      <c r="E1703" s="28">
        <v>46259</v>
      </c>
      <c r="F1703" t="s">
        <v>9109</v>
      </c>
      <c r="G1703" s="3" t="s">
        <v>9516</v>
      </c>
      <c r="H1703" t="s">
        <v>424</v>
      </c>
      <c r="I1703" s="28">
        <v>46365</v>
      </c>
      <c r="J1703" t="s">
        <v>9118</v>
      </c>
      <c r="K1703" t="s">
        <v>33</v>
      </c>
    </row>
    <row r="1704" spans="1:11">
      <c r="A1704" s="3">
        <v>2533191</v>
      </c>
      <c r="B1704" t="s">
        <v>9626</v>
      </c>
      <c r="C1704" t="s">
        <v>7</v>
      </c>
      <c r="D1704" t="s">
        <v>9108</v>
      </c>
      <c r="E1704" s="28">
        <v>46259</v>
      </c>
      <c r="F1704" t="s">
        <v>9109</v>
      </c>
      <c r="G1704" s="3" t="s">
        <v>9566</v>
      </c>
      <c r="H1704" t="s">
        <v>9352</v>
      </c>
      <c r="I1704" s="28">
        <v>46367</v>
      </c>
      <c r="J1704" t="s">
        <v>9118</v>
      </c>
      <c r="K1704" t="s">
        <v>33</v>
      </c>
    </row>
    <row r="1705" spans="1:11">
      <c r="A1705" s="3">
        <v>2533200</v>
      </c>
      <c r="B1705" t="s">
        <v>3634</v>
      </c>
      <c r="C1705" t="s">
        <v>7</v>
      </c>
      <c r="D1705" t="s">
        <v>9108</v>
      </c>
      <c r="E1705" s="28">
        <v>46259</v>
      </c>
      <c r="F1705" t="s">
        <v>9109</v>
      </c>
      <c r="G1705" s="3" t="s">
        <v>9578</v>
      </c>
      <c r="H1705" t="s">
        <v>424</v>
      </c>
      <c r="I1705" s="28">
        <v>46365</v>
      </c>
      <c r="J1705" t="s">
        <v>9118</v>
      </c>
      <c r="K1705" t="s">
        <v>33</v>
      </c>
    </row>
    <row r="1706" spans="1:11">
      <c r="A1706" s="3">
        <v>2533203</v>
      </c>
      <c r="B1706" t="s">
        <v>9627</v>
      </c>
      <c r="C1706" t="s">
        <v>7</v>
      </c>
      <c r="D1706" t="s">
        <v>9108</v>
      </c>
      <c r="E1706" s="28">
        <v>46259</v>
      </c>
      <c r="F1706" t="s">
        <v>9109</v>
      </c>
      <c r="G1706" s="3" t="s">
        <v>9516</v>
      </c>
      <c r="H1706" t="s">
        <v>424</v>
      </c>
      <c r="I1706" s="28">
        <v>46365</v>
      </c>
      <c r="J1706" t="s">
        <v>9118</v>
      </c>
      <c r="K1706" t="s">
        <v>33</v>
      </c>
    </row>
    <row r="1707" spans="1:11">
      <c r="A1707" s="3">
        <v>2533204</v>
      </c>
      <c r="B1707" t="s">
        <v>9628</v>
      </c>
      <c r="C1707" t="s">
        <v>8</v>
      </c>
      <c r="D1707" t="s">
        <v>9108</v>
      </c>
      <c r="E1707" s="28">
        <v>46259</v>
      </c>
      <c r="F1707" t="s">
        <v>9109</v>
      </c>
      <c r="G1707" s="3" t="s">
        <v>9567</v>
      </c>
      <c r="H1707" t="s">
        <v>9352</v>
      </c>
      <c r="I1707" s="28">
        <v>46367</v>
      </c>
      <c r="J1707" t="s">
        <v>9118</v>
      </c>
      <c r="K1707" t="s">
        <v>33</v>
      </c>
    </row>
    <row r="1708" spans="1:11">
      <c r="A1708" s="3">
        <v>2533206</v>
      </c>
      <c r="B1708" t="s">
        <v>3370</v>
      </c>
      <c r="C1708" t="s">
        <v>7</v>
      </c>
      <c r="D1708" t="s">
        <v>9108</v>
      </c>
      <c r="E1708" s="28">
        <v>46259</v>
      </c>
      <c r="F1708" t="s">
        <v>9109</v>
      </c>
      <c r="G1708" s="3" t="s">
        <v>9573</v>
      </c>
      <c r="H1708" t="s">
        <v>4040</v>
      </c>
      <c r="I1708" s="28">
        <v>46367</v>
      </c>
      <c r="J1708" t="s">
        <v>9118</v>
      </c>
      <c r="K1708" t="s">
        <v>33</v>
      </c>
    </row>
    <row r="1709" spans="1:11">
      <c r="A1709" s="3">
        <v>2533207</v>
      </c>
      <c r="B1709" t="s">
        <v>3539</v>
      </c>
      <c r="C1709" t="s">
        <v>7</v>
      </c>
      <c r="D1709" t="s">
        <v>9108</v>
      </c>
      <c r="E1709" s="28">
        <v>46259</v>
      </c>
      <c r="F1709" t="s">
        <v>9109</v>
      </c>
      <c r="G1709" s="3" t="s">
        <v>9563</v>
      </c>
      <c r="H1709" t="s">
        <v>89</v>
      </c>
      <c r="I1709" s="28">
        <v>46367</v>
      </c>
      <c r="J1709" t="s">
        <v>9118</v>
      </c>
      <c r="K1709" t="s">
        <v>33</v>
      </c>
    </row>
    <row r="1710" spans="1:11">
      <c r="A1710" s="3">
        <v>2533209</v>
      </c>
      <c r="B1710" t="s">
        <v>9629</v>
      </c>
      <c r="C1710" t="s">
        <v>7</v>
      </c>
      <c r="D1710" t="s">
        <v>9108</v>
      </c>
      <c r="E1710" s="28">
        <v>46259</v>
      </c>
      <c r="F1710" t="s">
        <v>9109</v>
      </c>
      <c r="G1710" s="3" t="s">
        <v>9574</v>
      </c>
      <c r="H1710" t="s">
        <v>4040</v>
      </c>
      <c r="I1710" s="28">
        <v>46367</v>
      </c>
      <c r="J1710" t="s">
        <v>9118</v>
      </c>
      <c r="K1710" t="s">
        <v>33</v>
      </c>
    </row>
    <row r="1711" spans="1:11">
      <c r="A1711" s="3">
        <v>2533210</v>
      </c>
      <c r="B1711" t="s">
        <v>9630</v>
      </c>
      <c r="C1711" t="s">
        <v>7</v>
      </c>
      <c r="D1711" t="s">
        <v>9108</v>
      </c>
      <c r="E1711" s="28">
        <v>46259</v>
      </c>
      <c r="F1711" t="s">
        <v>9109</v>
      </c>
      <c r="G1711" s="3" t="s">
        <v>9516</v>
      </c>
      <c r="H1711" t="s">
        <v>424</v>
      </c>
      <c r="I1711" s="28">
        <v>46365</v>
      </c>
      <c r="J1711" t="s">
        <v>9118</v>
      </c>
      <c r="K1711" t="s">
        <v>33</v>
      </c>
    </row>
    <row r="1712" spans="1:11">
      <c r="A1712" s="3">
        <v>2533215</v>
      </c>
      <c r="B1712" t="s">
        <v>9631</v>
      </c>
      <c r="C1712" t="s">
        <v>7</v>
      </c>
      <c r="D1712" t="s">
        <v>9108</v>
      </c>
      <c r="E1712" s="28">
        <v>46259</v>
      </c>
      <c r="F1712" t="s">
        <v>9109</v>
      </c>
      <c r="G1712" s="3" t="s">
        <v>9568</v>
      </c>
      <c r="H1712" t="s">
        <v>1083</v>
      </c>
      <c r="I1712" s="28">
        <v>46337</v>
      </c>
      <c r="J1712" t="s">
        <v>9118</v>
      </c>
      <c r="K1712" t="s">
        <v>32</v>
      </c>
    </row>
    <row r="1713" spans="1:11">
      <c r="A1713" s="3">
        <v>2533221</v>
      </c>
      <c r="B1713" t="s">
        <v>6113</v>
      </c>
      <c r="C1713" t="s">
        <v>7</v>
      </c>
      <c r="D1713" t="s">
        <v>9108</v>
      </c>
      <c r="E1713" s="28">
        <v>46259</v>
      </c>
      <c r="F1713" t="s">
        <v>9109</v>
      </c>
      <c r="G1713" s="3" t="s">
        <v>9567</v>
      </c>
      <c r="H1713" t="s">
        <v>9352</v>
      </c>
      <c r="I1713" s="28">
        <v>46367</v>
      </c>
      <c r="J1713" t="s">
        <v>9118</v>
      </c>
      <c r="K1713" t="s">
        <v>33</v>
      </c>
    </row>
    <row r="1714" spans="1:11">
      <c r="A1714" s="3">
        <v>2533222</v>
      </c>
      <c r="B1714" t="s">
        <v>9632</v>
      </c>
      <c r="C1714" t="s">
        <v>8</v>
      </c>
      <c r="D1714" t="s">
        <v>9108</v>
      </c>
      <c r="E1714" s="28">
        <v>46259</v>
      </c>
      <c r="F1714" t="s">
        <v>9109</v>
      </c>
      <c r="G1714" s="3" t="s">
        <v>9566</v>
      </c>
      <c r="H1714" t="s">
        <v>9352</v>
      </c>
      <c r="I1714" s="28">
        <v>46367</v>
      </c>
      <c r="J1714" t="s">
        <v>9118</v>
      </c>
      <c r="K1714" t="s">
        <v>33</v>
      </c>
    </row>
    <row r="1715" spans="1:11">
      <c r="A1715" s="3">
        <v>2533223</v>
      </c>
      <c r="B1715" t="s">
        <v>7595</v>
      </c>
      <c r="C1715" t="s">
        <v>7</v>
      </c>
      <c r="D1715" t="s">
        <v>9108</v>
      </c>
      <c r="E1715" s="28">
        <v>46259</v>
      </c>
      <c r="F1715" t="s">
        <v>9109</v>
      </c>
      <c r="G1715" s="3" t="s">
        <v>9563</v>
      </c>
      <c r="H1715" t="s">
        <v>89</v>
      </c>
      <c r="I1715" s="28">
        <v>46367</v>
      </c>
      <c r="J1715" t="s">
        <v>9118</v>
      </c>
      <c r="K1715" t="s">
        <v>33</v>
      </c>
    </row>
    <row r="1716" spans="1:11">
      <c r="A1716" s="3">
        <v>2533224</v>
      </c>
      <c r="B1716" t="s">
        <v>7516</v>
      </c>
      <c r="C1716" t="s">
        <v>7</v>
      </c>
      <c r="D1716" t="s">
        <v>9108</v>
      </c>
      <c r="E1716" s="28">
        <v>46259</v>
      </c>
      <c r="F1716" t="s">
        <v>9109</v>
      </c>
      <c r="G1716" s="3" t="s">
        <v>9566</v>
      </c>
      <c r="H1716" t="s">
        <v>9352</v>
      </c>
      <c r="I1716" s="28">
        <v>46367</v>
      </c>
      <c r="J1716" t="s">
        <v>9118</v>
      </c>
      <c r="K1716" t="s">
        <v>33</v>
      </c>
    </row>
    <row r="1717" spans="1:11">
      <c r="A1717" s="3">
        <v>2533226</v>
      </c>
      <c r="B1717" t="s">
        <v>9633</v>
      </c>
      <c r="C1717" t="s">
        <v>7</v>
      </c>
      <c r="D1717" t="s">
        <v>9108</v>
      </c>
      <c r="E1717" s="28">
        <v>46259</v>
      </c>
      <c r="F1717" t="s">
        <v>9109</v>
      </c>
      <c r="G1717" s="3" t="s">
        <v>9573</v>
      </c>
      <c r="H1717" t="s">
        <v>4040</v>
      </c>
      <c r="I1717" s="28">
        <v>46367</v>
      </c>
      <c r="J1717" t="s">
        <v>9118</v>
      </c>
      <c r="K1717" t="s">
        <v>33</v>
      </c>
    </row>
    <row r="1718" spans="1:11">
      <c r="A1718" s="3">
        <v>2533227</v>
      </c>
      <c r="B1718" t="s">
        <v>1210</v>
      </c>
      <c r="C1718" t="s">
        <v>7</v>
      </c>
      <c r="D1718" t="s">
        <v>9108</v>
      </c>
      <c r="E1718" s="28">
        <v>46259</v>
      </c>
      <c r="F1718" t="s">
        <v>9109</v>
      </c>
      <c r="G1718" s="3" t="s">
        <v>9573</v>
      </c>
      <c r="H1718" t="s">
        <v>4040</v>
      </c>
      <c r="I1718" s="28">
        <v>46367</v>
      </c>
      <c r="J1718" t="s">
        <v>9118</v>
      </c>
      <c r="K1718" t="s">
        <v>33</v>
      </c>
    </row>
    <row r="1719" spans="1:11">
      <c r="A1719" s="3">
        <v>2533228</v>
      </c>
      <c r="B1719" t="s">
        <v>270</v>
      </c>
      <c r="C1719" t="s">
        <v>8</v>
      </c>
      <c r="D1719" t="s">
        <v>9108</v>
      </c>
      <c r="E1719" s="28">
        <v>46259</v>
      </c>
      <c r="F1719" t="s">
        <v>9109</v>
      </c>
      <c r="G1719" s="3" t="s">
        <v>9567</v>
      </c>
      <c r="H1719" t="s">
        <v>9352</v>
      </c>
      <c r="I1719" s="28">
        <v>46367</v>
      </c>
      <c r="J1719" t="s">
        <v>9118</v>
      </c>
      <c r="K1719" t="s">
        <v>33</v>
      </c>
    </row>
    <row r="1720" spans="1:11">
      <c r="A1720" s="3">
        <v>2533264</v>
      </c>
      <c r="B1720" t="s">
        <v>7094</v>
      </c>
      <c r="C1720" t="s">
        <v>7</v>
      </c>
      <c r="D1720" t="s">
        <v>9108</v>
      </c>
      <c r="E1720" s="28">
        <v>46259</v>
      </c>
      <c r="F1720" t="s">
        <v>9109</v>
      </c>
      <c r="G1720" s="3" t="s">
        <v>9575</v>
      </c>
      <c r="H1720" t="s">
        <v>9122</v>
      </c>
      <c r="I1720" s="28">
        <v>46386</v>
      </c>
      <c r="J1720" t="s">
        <v>9118</v>
      </c>
      <c r="K1720" t="s">
        <v>33</v>
      </c>
    </row>
    <row r="1721" spans="1:11">
      <c r="A1721" s="3">
        <v>2533571</v>
      </c>
      <c r="B1721" t="s">
        <v>8445</v>
      </c>
      <c r="C1721" t="s">
        <v>7</v>
      </c>
      <c r="D1721" t="s">
        <v>9108</v>
      </c>
      <c r="E1721" s="28">
        <v>46261</v>
      </c>
      <c r="F1721" t="s">
        <v>9109</v>
      </c>
      <c r="G1721" s="3" t="s">
        <v>9538</v>
      </c>
      <c r="H1721" t="s">
        <v>412</v>
      </c>
      <c r="I1721" s="28" t="s">
        <v>9113</v>
      </c>
      <c r="J1721" t="s">
        <v>9112</v>
      </c>
      <c r="K1721" t="s">
        <v>9113</v>
      </c>
    </row>
    <row r="1722" spans="1:11">
      <c r="A1722" s="3">
        <v>2533575</v>
      </c>
      <c r="B1722" t="s">
        <v>7376</v>
      </c>
      <c r="C1722" t="s">
        <v>8</v>
      </c>
      <c r="D1722" t="s">
        <v>9108</v>
      </c>
      <c r="E1722" s="28">
        <v>46261</v>
      </c>
      <c r="F1722" t="s">
        <v>9109</v>
      </c>
      <c r="G1722" s="3" t="s">
        <v>9634</v>
      </c>
      <c r="H1722" t="s">
        <v>9226</v>
      </c>
      <c r="I1722" s="28">
        <v>46322</v>
      </c>
      <c r="J1722" t="s">
        <v>9118</v>
      </c>
      <c r="K1722" t="s">
        <v>31</v>
      </c>
    </row>
    <row r="1723" spans="1:11">
      <c r="A1723" s="3">
        <v>2533576</v>
      </c>
      <c r="B1723" t="s">
        <v>6594</v>
      </c>
      <c r="C1723" t="s">
        <v>8</v>
      </c>
      <c r="D1723" t="s">
        <v>9108</v>
      </c>
      <c r="E1723" s="28">
        <v>46261</v>
      </c>
      <c r="F1723" t="s">
        <v>9109</v>
      </c>
      <c r="G1723" s="3" t="s">
        <v>9634</v>
      </c>
      <c r="H1723" t="s">
        <v>9226</v>
      </c>
      <c r="I1723" s="28">
        <v>46322</v>
      </c>
      <c r="J1723" t="s">
        <v>9118</v>
      </c>
      <c r="K1723" t="s">
        <v>31</v>
      </c>
    </row>
    <row r="1724" spans="1:11">
      <c r="A1724" s="3">
        <v>2533577</v>
      </c>
      <c r="B1724" t="s">
        <v>6719</v>
      </c>
      <c r="C1724" t="s">
        <v>8</v>
      </c>
      <c r="D1724" t="s">
        <v>9108</v>
      </c>
      <c r="E1724" s="28">
        <v>46261</v>
      </c>
      <c r="F1724" t="s">
        <v>9109</v>
      </c>
      <c r="G1724" s="3" t="s">
        <v>9634</v>
      </c>
      <c r="H1724" t="s">
        <v>9226</v>
      </c>
      <c r="I1724" s="28">
        <v>46322</v>
      </c>
      <c r="J1724" t="s">
        <v>9118</v>
      </c>
      <c r="K1724" t="s">
        <v>31</v>
      </c>
    </row>
    <row r="1725" spans="1:11">
      <c r="A1725" s="3">
        <v>2533584</v>
      </c>
      <c r="B1725" t="s">
        <v>9635</v>
      </c>
      <c r="C1725" t="s">
        <v>8</v>
      </c>
      <c r="D1725" t="s">
        <v>9108</v>
      </c>
      <c r="E1725" s="28">
        <v>46261</v>
      </c>
      <c r="F1725" t="s">
        <v>9109</v>
      </c>
      <c r="G1725" s="3" t="s">
        <v>9575</v>
      </c>
      <c r="H1725" t="s">
        <v>9122</v>
      </c>
      <c r="I1725" s="28">
        <v>46386</v>
      </c>
      <c r="J1725" t="s">
        <v>9118</v>
      </c>
      <c r="K1725" t="s">
        <v>33</v>
      </c>
    </row>
    <row r="1726" spans="1:11">
      <c r="A1726" s="3">
        <v>2533585</v>
      </c>
      <c r="B1726" t="s">
        <v>6888</v>
      </c>
      <c r="C1726" t="s">
        <v>7</v>
      </c>
      <c r="D1726" t="s">
        <v>9108</v>
      </c>
      <c r="E1726" s="28">
        <v>46261</v>
      </c>
      <c r="F1726" t="s">
        <v>9109</v>
      </c>
      <c r="G1726" s="3" t="s">
        <v>9634</v>
      </c>
      <c r="H1726" t="s">
        <v>9226</v>
      </c>
      <c r="I1726" s="28">
        <v>46322</v>
      </c>
      <c r="J1726" t="s">
        <v>9118</v>
      </c>
      <c r="K1726" t="s">
        <v>31</v>
      </c>
    </row>
    <row r="1727" spans="1:11">
      <c r="A1727" s="3">
        <v>2533586</v>
      </c>
      <c r="B1727" t="s">
        <v>3303</v>
      </c>
      <c r="C1727" t="s">
        <v>7</v>
      </c>
      <c r="D1727" t="s">
        <v>9108</v>
      </c>
      <c r="E1727" s="28">
        <v>46261</v>
      </c>
      <c r="F1727" t="s">
        <v>9109</v>
      </c>
      <c r="G1727" s="3" t="s">
        <v>9634</v>
      </c>
      <c r="H1727" t="s">
        <v>9226</v>
      </c>
      <c r="I1727" s="28">
        <v>46322</v>
      </c>
      <c r="J1727" t="s">
        <v>9118</v>
      </c>
      <c r="K1727" t="s">
        <v>31</v>
      </c>
    </row>
    <row r="1728" spans="1:11">
      <c r="A1728" s="3">
        <v>2533587</v>
      </c>
      <c r="B1728" t="s">
        <v>5690</v>
      </c>
      <c r="C1728" t="s">
        <v>8</v>
      </c>
      <c r="D1728" t="s">
        <v>9108</v>
      </c>
      <c r="E1728" s="28">
        <v>46261</v>
      </c>
      <c r="F1728" t="s">
        <v>9109</v>
      </c>
      <c r="G1728" s="3" t="s">
        <v>9575</v>
      </c>
      <c r="H1728" t="s">
        <v>9122</v>
      </c>
      <c r="I1728" s="28">
        <v>46386</v>
      </c>
      <c r="J1728" t="s">
        <v>9118</v>
      </c>
      <c r="K1728" t="s">
        <v>33</v>
      </c>
    </row>
    <row r="1729" spans="1:11">
      <c r="A1729" s="3">
        <v>2533588</v>
      </c>
      <c r="B1729" t="s">
        <v>9636</v>
      </c>
      <c r="C1729" t="s">
        <v>7</v>
      </c>
      <c r="D1729" t="s">
        <v>9108</v>
      </c>
      <c r="E1729" s="28">
        <v>46261</v>
      </c>
      <c r="F1729" t="s">
        <v>9109</v>
      </c>
      <c r="G1729" s="3" t="s">
        <v>9634</v>
      </c>
      <c r="H1729" t="s">
        <v>9226</v>
      </c>
      <c r="I1729" s="28">
        <v>46322</v>
      </c>
      <c r="J1729" t="s">
        <v>9118</v>
      </c>
      <c r="K1729" t="s">
        <v>31</v>
      </c>
    </row>
    <row r="1730" spans="1:11">
      <c r="A1730" s="3">
        <v>2533589</v>
      </c>
      <c r="B1730" t="s">
        <v>7989</v>
      </c>
      <c r="C1730" t="s">
        <v>8</v>
      </c>
      <c r="D1730" t="s">
        <v>9108</v>
      </c>
      <c r="E1730" s="28">
        <v>46261</v>
      </c>
      <c r="F1730" t="s">
        <v>9109</v>
      </c>
      <c r="G1730" s="3" t="s">
        <v>9634</v>
      </c>
      <c r="H1730" t="s">
        <v>9226</v>
      </c>
      <c r="I1730" s="28">
        <v>46322</v>
      </c>
      <c r="J1730" t="s">
        <v>9118</v>
      </c>
      <c r="K1730" t="s">
        <v>31</v>
      </c>
    </row>
    <row r="1731" spans="1:11">
      <c r="A1731" s="3">
        <v>2533590</v>
      </c>
      <c r="B1731" t="s">
        <v>9637</v>
      </c>
      <c r="C1731" t="s">
        <v>8</v>
      </c>
      <c r="D1731" t="s">
        <v>9108</v>
      </c>
      <c r="E1731" s="28">
        <v>46261</v>
      </c>
      <c r="F1731" t="s">
        <v>9109</v>
      </c>
      <c r="G1731" s="3" t="s">
        <v>9634</v>
      </c>
      <c r="H1731" t="s">
        <v>9226</v>
      </c>
      <c r="I1731" s="28">
        <v>46322</v>
      </c>
      <c r="J1731" t="s">
        <v>9118</v>
      </c>
      <c r="K1731" t="s">
        <v>31</v>
      </c>
    </row>
    <row r="1732" spans="1:11">
      <c r="A1732" s="3">
        <v>2533591</v>
      </c>
      <c r="B1732" t="s">
        <v>4512</v>
      </c>
      <c r="C1732" t="s">
        <v>8</v>
      </c>
      <c r="D1732" t="s">
        <v>9108</v>
      </c>
      <c r="E1732" s="28">
        <v>46261</v>
      </c>
      <c r="F1732" t="s">
        <v>9109</v>
      </c>
      <c r="G1732" s="3" t="s">
        <v>9634</v>
      </c>
      <c r="H1732" t="s">
        <v>9226</v>
      </c>
      <c r="I1732" s="28">
        <v>46322</v>
      </c>
      <c r="J1732" t="s">
        <v>9118</v>
      </c>
      <c r="K1732" t="s">
        <v>31</v>
      </c>
    </row>
    <row r="1733" spans="1:11">
      <c r="A1733" s="3">
        <v>2533592</v>
      </c>
      <c r="B1733" t="s">
        <v>8261</v>
      </c>
      <c r="C1733" t="s">
        <v>8</v>
      </c>
      <c r="D1733" t="s">
        <v>9108</v>
      </c>
      <c r="E1733" s="28">
        <v>46261</v>
      </c>
      <c r="F1733" t="s">
        <v>9109</v>
      </c>
      <c r="G1733" s="3" t="s">
        <v>9634</v>
      </c>
      <c r="H1733" t="s">
        <v>9226</v>
      </c>
      <c r="I1733" s="28">
        <v>46322</v>
      </c>
      <c r="J1733" t="s">
        <v>9118</v>
      </c>
      <c r="K1733" t="s">
        <v>31</v>
      </c>
    </row>
    <row r="1734" spans="1:11">
      <c r="A1734" s="3">
        <v>2533593</v>
      </c>
      <c r="B1734" t="s">
        <v>1607</v>
      </c>
      <c r="C1734" t="s">
        <v>7</v>
      </c>
      <c r="D1734" t="s">
        <v>9108</v>
      </c>
      <c r="E1734" s="28">
        <v>46261</v>
      </c>
      <c r="F1734" t="s">
        <v>9109</v>
      </c>
      <c r="G1734" s="3" t="s">
        <v>9575</v>
      </c>
      <c r="H1734" t="s">
        <v>9122</v>
      </c>
      <c r="I1734" s="28">
        <v>46386</v>
      </c>
      <c r="J1734" t="s">
        <v>9118</v>
      </c>
      <c r="K1734" t="s">
        <v>33</v>
      </c>
    </row>
    <row r="1735" spans="1:11">
      <c r="A1735" s="3">
        <v>2533594</v>
      </c>
      <c r="B1735" t="s">
        <v>4194</v>
      </c>
      <c r="C1735" t="s">
        <v>7</v>
      </c>
      <c r="D1735" t="s">
        <v>9108</v>
      </c>
      <c r="E1735" s="28">
        <v>46261</v>
      </c>
      <c r="F1735" t="s">
        <v>9109</v>
      </c>
      <c r="G1735" s="3" t="s">
        <v>9634</v>
      </c>
      <c r="H1735" t="s">
        <v>9226</v>
      </c>
      <c r="I1735" s="28">
        <v>46322</v>
      </c>
      <c r="J1735" t="s">
        <v>9118</v>
      </c>
      <c r="K1735" t="s">
        <v>31</v>
      </c>
    </row>
    <row r="1736" spans="1:11">
      <c r="A1736" s="3">
        <v>2533595</v>
      </c>
      <c r="B1736" t="s">
        <v>8012</v>
      </c>
      <c r="C1736" t="s">
        <v>8</v>
      </c>
      <c r="D1736" t="s">
        <v>9108</v>
      </c>
      <c r="E1736" s="28">
        <v>46261</v>
      </c>
      <c r="F1736" t="s">
        <v>9109</v>
      </c>
      <c r="G1736" s="3" t="s">
        <v>9575</v>
      </c>
      <c r="H1736" t="s">
        <v>9122</v>
      </c>
      <c r="I1736" s="28">
        <v>46386</v>
      </c>
      <c r="J1736" t="s">
        <v>9118</v>
      </c>
      <c r="K1736" t="s">
        <v>33</v>
      </c>
    </row>
    <row r="1737" spans="1:11">
      <c r="A1737" s="3">
        <v>2533596</v>
      </c>
      <c r="B1737" t="s">
        <v>5564</v>
      </c>
      <c r="C1737" t="s">
        <v>8</v>
      </c>
      <c r="D1737" t="s">
        <v>9108</v>
      </c>
      <c r="E1737" s="28">
        <v>46261</v>
      </c>
      <c r="F1737" t="s">
        <v>9109</v>
      </c>
      <c r="G1737" s="3" t="s">
        <v>9634</v>
      </c>
      <c r="H1737" t="s">
        <v>9226</v>
      </c>
      <c r="I1737" s="28">
        <v>46322</v>
      </c>
      <c r="J1737" t="s">
        <v>9118</v>
      </c>
      <c r="K1737" t="s">
        <v>31</v>
      </c>
    </row>
    <row r="1738" spans="1:11">
      <c r="A1738" s="3">
        <v>2534894</v>
      </c>
      <c r="B1738" t="s">
        <v>9638</v>
      </c>
      <c r="C1738" t="s">
        <v>7</v>
      </c>
      <c r="D1738" t="s">
        <v>9108</v>
      </c>
      <c r="E1738" s="28">
        <v>46268</v>
      </c>
      <c r="F1738" t="s">
        <v>9109</v>
      </c>
      <c r="G1738" s="3" t="s">
        <v>9113</v>
      </c>
      <c r="H1738" t="s">
        <v>9113</v>
      </c>
      <c r="I1738" s="28" t="s">
        <v>9113</v>
      </c>
      <c r="J1738" t="s">
        <v>9639</v>
      </c>
      <c r="K1738" t="s">
        <v>33</v>
      </c>
    </row>
    <row r="1739" spans="1:11">
      <c r="A1739" s="3">
        <v>2534895</v>
      </c>
      <c r="B1739" t="s">
        <v>9640</v>
      </c>
      <c r="C1739" t="s">
        <v>7</v>
      </c>
      <c r="D1739" t="s">
        <v>9108</v>
      </c>
      <c r="E1739" s="28">
        <v>46268</v>
      </c>
      <c r="F1739" t="s">
        <v>9109</v>
      </c>
      <c r="G1739" s="3" t="s">
        <v>9113</v>
      </c>
      <c r="H1739" t="s">
        <v>9113</v>
      </c>
      <c r="I1739" s="28" t="s">
        <v>9113</v>
      </c>
      <c r="J1739" t="s">
        <v>9639</v>
      </c>
      <c r="K1739" t="s">
        <v>33</v>
      </c>
    </row>
    <row r="1740" spans="1:11">
      <c r="A1740" s="3">
        <v>2534896</v>
      </c>
      <c r="B1740" t="s">
        <v>9641</v>
      </c>
      <c r="C1740" t="s">
        <v>7</v>
      </c>
      <c r="D1740" t="s">
        <v>9108</v>
      </c>
      <c r="E1740" s="28">
        <v>46268</v>
      </c>
      <c r="F1740" t="s">
        <v>9109</v>
      </c>
      <c r="G1740" s="3" t="s">
        <v>9113</v>
      </c>
      <c r="H1740" t="s">
        <v>9113</v>
      </c>
      <c r="I1740" s="28" t="s">
        <v>9113</v>
      </c>
      <c r="J1740" t="s">
        <v>9639</v>
      </c>
      <c r="K1740" t="s">
        <v>33</v>
      </c>
    </row>
    <row r="1741" spans="1:11">
      <c r="A1741" s="3">
        <v>2534897</v>
      </c>
      <c r="B1741" t="s">
        <v>9642</v>
      </c>
      <c r="C1741" t="s">
        <v>7</v>
      </c>
      <c r="D1741" t="s">
        <v>9108</v>
      </c>
      <c r="E1741" s="28">
        <v>46268</v>
      </c>
      <c r="F1741" t="s">
        <v>9109</v>
      </c>
      <c r="G1741" s="3" t="s">
        <v>9113</v>
      </c>
      <c r="H1741" t="s">
        <v>9113</v>
      </c>
      <c r="I1741" s="28" t="s">
        <v>9113</v>
      </c>
      <c r="J1741" t="s">
        <v>9639</v>
      </c>
      <c r="K1741" t="s">
        <v>33</v>
      </c>
    </row>
    <row r="1742" spans="1:11">
      <c r="A1742" s="3">
        <v>2534898</v>
      </c>
      <c r="B1742" t="s">
        <v>9643</v>
      </c>
      <c r="C1742" t="s">
        <v>7</v>
      </c>
      <c r="D1742" t="s">
        <v>9108</v>
      </c>
      <c r="E1742" s="28">
        <v>46268</v>
      </c>
      <c r="F1742" t="s">
        <v>9109</v>
      </c>
      <c r="G1742" s="3" t="s">
        <v>9113</v>
      </c>
      <c r="H1742" t="s">
        <v>9113</v>
      </c>
      <c r="I1742" s="28" t="s">
        <v>9113</v>
      </c>
      <c r="J1742" t="s">
        <v>9639</v>
      </c>
      <c r="K1742" t="s">
        <v>33</v>
      </c>
    </row>
    <row r="1743" spans="1:11">
      <c r="A1743" s="3">
        <v>2534899</v>
      </c>
      <c r="B1743" t="s">
        <v>9644</v>
      </c>
      <c r="C1743" t="s">
        <v>7</v>
      </c>
      <c r="D1743" t="s">
        <v>9108</v>
      </c>
      <c r="E1743" s="28">
        <v>46268</v>
      </c>
      <c r="F1743" t="s">
        <v>9109</v>
      </c>
      <c r="G1743" s="3" t="s">
        <v>9113</v>
      </c>
      <c r="H1743" t="s">
        <v>9113</v>
      </c>
      <c r="I1743" s="28" t="s">
        <v>9113</v>
      </c>
      <c r="J1743" t="s">
        <v>9639</v>
      </c>
      <c r="K1743" t="s">
        <v>33</v>
      </c>
    </row>
    <row r="1744" spans="1:11">
      <c r="A1744" s="3">
        <v>2534900</v>
      </c>
      <c r="B1744" t="s">
        <v>9645</v>
      </c>
      <c r="C1744" t="s">
        <v>8</v>
      </c>
      <c r="D1744" t="s">
        <v>9108</v>
      </c>
      <c r="E1744" s="28">
        <v>46268</v>
      </c>
      <c r="F1744" t="s">
        <v>9109</v>
      </c>
      <c r="G1744" s="3" t="s">
        <v>9113</v>
      </c>
      <c r="H1744" t="s">
        <v>9113</v>
      </c>
      <c r="I1744" s="28" t="s">
        <v>9113</v>
      </c>
      <c r="J1744" t="s">
        <v>9639</v>
      </c>
      <c r="K1744" t="s">
        <v>9113</v>
      </c>
    </row>
    <row r="1745" spans="1:11">
      <c r="A1745" s="3">
        <v>2534901</v>
      </c>
      <c r="B1745" t="s">
        <v>9646</v>
      </c>
      <c r="C1745" t="s">
        <v>8</v>
      </c>
      <c r="D1745" t="s">
        <v>9108</v>
      </c>
      <c r="E1745" s="28">
        <v>46268</v>
      </c>
      <c r="F1745" t="s">
        <v>9109</v>
      </c>
      <c r="G1745" s="3" t="s">
        <v>9113</v>
      </c>
      <c r="H1745" t="s">
        <v>9113</v>
      </c>
      <c r="I1745" s="28" t="s">
        <v>9113</v>
      </c>
      <c r="J1745" t="s">
        <v>9639</v>
      </c>
      <c r="K1745" t="s">
        <v>31</v>
      </c>
    </row>
    <row r="1746" spans="1:11">
      <c r="A1746" s="3">
        <v>2534902</v>
      </c>
      <c r="B1746" t="s">
        <v>9647</v>
      </c>
      <c r="C1746" t="s">
        <v>8</v>
      </c>
      <c r="D1746" t="s">
        <v>9108</v>
      </c>
      <c r="E1746" s="28">
        <v>46268</v>
      </c>
      <c r="F1746" t="s">
        <v>9109</v>
      </c>
      <c r="G1746" s="3" t="s">
        <v>9113</v>
      </c>
      <c r="H1746" t="s">
        <v>9113</v>
      </c>
      <c r="I1746" s="28" t="s">
        <v>9113</v>
      </c>
      <c r="J1746" t="s">
        <v>9639</v>
      </c>
      <c r="K1746" t="s">
        <v>31</v>
      </c>
    </row>
    <row r="1747" spans="1:11">
      <c r="A1747" s="3">
        <v>2534903</v>
      </c>
      <c r="B1747" t="s">
        <v>9648</v>
      </c>
      <c r="C1747" t="s">
        <v>8</v>
      </c>
      <c r="D1747" t="s">
        <v>9108</v>
      </c>
      <c r="E1747" s="28">
        <v>46268</v>
      </c>
      <c r="F1747" t="s">
        <v>9109</v>
      </c>
      <c r="G1747" s="3" t="s">
        <v>9113</v>
      </c>
      <c r="H1747" t="s">
        <v>9113</v>
      </c>
      <c r="I1747" s="28" t="s">
        <v>9113</v>
      </c>
      <c r="J1747" t="s">
        <v>9639</v>
      </c>
      <c r="K1747" t="s">
        <v>31</v>
      </c>
    </row>
    <row r="1748" spans="1:11">
      <c r="A1748" s="3">
        <v>2534904</v>
      </c>
      <c r="B1748" t="s">
        <v>9649</v>
      </c>
      <c r="C1748" t="s">
        <v>8</v>
      </c>
      <c r="D1748" t="s">
        <v>9108</v>
      </c>
      <c r="E1748" s="28">
        <v>46268</v>
      </c>
      <c r="F1748" t="s">
        <v>9109</v>
      </c>
      <c r="G1748" s="3" t="s">
        <v>9113</v>
      </c>
      <c r="H1748" t="s">
        <v>9113</v>
      </c>
      <c r="I1748" s="28" t="s">
        <v>9113</v>
      </c>
      <c r="J1748" t="s">
        <v>9639</v>
      </c>
      <c r="K1748" t="s">
        <v>33</v>
      </c>
    </row>
    <row r="1749" spans="1:11">
      <c r="A1749" s="3">
        <v>2533585</v>
      </c>
      <c r="B1749" t="s">
        <v>6888</v>
      </c>
      <c r="C1749" t="s">
        <v>7</v>
      </c>
      <c r="D1749" t="s">
        <v>9108</v>
      </c>
      <c r="E1749" s="28">
        <v>46261</v>
      </c>
      <c r="F1749" t="s">
        <v>9109</v>
      </c>
      <c r="G1749" s="3" t="s">
        <v>9634</v>
      </c>
      <c r="H1749" t="s">
        <v>9226</v>
      </c>
      <c r="I1749" s="28">
        <v>46322</v>
      </c>
      <c r="J1749" t="s">
        <v>9118</v>
      </c>
      <c r="K1749" t="s">
        <v>31</v>
      </c>
    </row>
    <row r="1750" spans="1:11">
      <c r="A1750" s="3">
        <v>2533586</v>
      </c>
      <c r="B1750" t="s">
        <v>3303</v>
      </c>
      <c r="C1750" t="s">
        <v>7</v>
      </c>
      <c r="D1750" t="s">
        <v>9108</v>
      </c>
      <c r="E1750" s="28">
        <v>46261</v>
      </c>
      <c r="F1750" t="s">
        <v>9109</v>
      </c>
      <c r="G1750" s="3" t="s">
        <v>9634</v>
      </c>
      <c r="H1750" t="s">
        <v>9226</v>
      </c>
      <c r="I1750" s="28">
        <v>46322</v>
      </c>
      <c r="J1750" t="s">
        <v>9118</v>
      </c>
      <c r="K1750" t="s">
        <v>31</v>
      </c>
    </row>
    <row r="1751" spans="1:11">
      <c r="A1751" s="3">
        <v>2533587</v>
      </c>
      <c r="B1751" t="s">
        <v>5690</v>
      </c>
      <c r="C1751" t="s">
        <v>8</v>
      </c>
      <c r="D1751" t="s">
        <v>9108</v>
      </c>
      <c r="E1751" s="28">
        <v>46261</v>
      </c>
      <c r="F1751" t="s">
        <v>9109</v>
      </c>
      <c r="G1751" s="3" t="s">
        <v>9575</v>
      </c>
      <c r="H1751" t="s">
        <v>9122</v>
      </c>
      <c r="I1751" s="28">
        <v>46386</v>
      </c>
      <c r="J1751" t="s">
        <v>9118</v>
      </c>
      <c r="K1751" t="s">
        <v>33</v>
      </c>
    </row>
    <row r="1752" spans="1:11">
      <c r="A1752" s="3">
        <v>2533588</v>
      </c>
      <c r="B1752" t="s">
        <v>9636</v>
      </c>
      <c r="C1752" t="s">
        <v>7</v>
      </c>
      <c r="D1752" t="s">
        <v>9108</v>
      </c>
      <c r="E1752" s="28">
        <v>46261</v>
      </c>
      <c r="F1752" t="s">
        <v>9109</v>
      </c>
      <c r="G1752" s="3" t="s">
        <v>9634</v>
      </c>
      <c r="H1752" t="s">
        <v>9226</v>
      </c>
      <c r="I1752" s="28">
        <v>46322</v>
      </c>
      <c r="J1752" t="s">
        <v>9118</v>
      </c>
      <c r="K1752" t="s">
        <v>31</v>
      </c>
    </row>
    <row r="1753" spans="1:11">
      <c r="A1753" s="3">
        <v>2533589</v>
      </c>
      <c r="B1753" t="s">
        <v>7989</v>
      </c>
      <c r="C1753" t="s">
        <v>8</v>
      </c>
      <c r="D1753" t="s">
        <v>9108</v>
      </c>
      <c r="E1753" s="28">
        <v>46261</v>
      </c>
      <c r="F1753" t="s">
        <v>9109</v>
      </c>
      <c r="G1753" s="3" t="s">
        <v>9634</v>
      </c>
      <c r="H1753" t="s">
        <v>9226</v>
      </c>
      <c r="I1753" s="28">
        <v>46322</v>
      </c>
      <c r="J1753" t="s">
        <v>9118</v>
      </c>
      <c r="K1753" t="s">
        <v>31</v>
      </c>
    </row>
    <row r="1754" spans="1:11">
      <c r="A1754" s="3">
        <v>2533590</v>
      </c>
      <c r="B1754" t="s">
        <v>9637</v>
      </c>
      <c r="C1754" t="s">
        <v>8</v>
      </c>
      <c r="D1754" t="s">
        <v>9108</v>
      </c>
      <c r="E1754" s="28">
        <v>46261</v>
      </c>
      <c r="F1754" t="s">
        <v>9109</v>
      </c>
      <c r="G1754" s="3" t="s">
        <v>9634</v>
      </c>
      <c r="H1754" t="s">
        <v>9226</v>
      </c>
      <c r="I1754" s="28">
        <v>46322</v>
      </c>
      <c r="J1754" t="s">
        <v>9118</v>
      </c>
      <c r="K1754" t="s">
        <v>31</v>
      </c>
    </row>
    <row r="1755" spans="1:11">
      <c r="A1755" s="3">
        <v>2533591</v>
      </c>
      <c r="B1755" t="s">
        <v>4512</v>
      </c>
      <c r="C1755" t="s">
        <v>8</v>
      </c>
      <c r="D1755" t="s">
        <v>9108</v>
      </c>
      <c r="E1755" s="28">
        <v>46261</v>
      </c>
      <c r="F1755" t="s">
        <v>9109</v>
      </c>
      <c r="G1755" s="3" t="s">
        <v>9634</v>
      </c>
      <c r="H1755" t="s">
        <v>9226</v>
      </c>
      <c r="I1755" s="28">
        <v>46322</v>
      </c>
      <c r="J1755" t="s">
        <v>9118</v>
      </c>
      <c r="K1755" t="s">
        <v>31</v>
      </c>
    </row>
    <row r="1756" spans="1:11">
      <c r="A1756" s="3">
        <v>2533592</v>
      </c>
      <c r="B1756" t="s">
        <v>8261</v>
      </c>
      <c r="C1756" t="s">
        <v>8</v>
      </c>
      <c r="D1756" t="s">
        <v>9108</v>
      </c>
      <c r="E1756" s="28">
        <v>46261</v>
      </c>
      <c r="F1756" t="s">
        <v>9109</v>
      </c>
      <c r="G1756" s="3" t="s">
        <v>9634</v>
      </c>
      <c r="H1756" t="s">
        <v>9226</v>
      </c>
      <c r="I1756" s="28">
        <v>46322</v>
      </c>
      <c r="J1756" t="s">
        <v>9118</v>
      </c>
      <c r="K1756" t="s">
        <v>31</v>
      </c>
    </row>
    <row r="1757" spans="1:11">
      <c r="A1757" s="3">
        <v>2533593</v>
      </c>
      <c r="B1757" t="s">
        <v>1607</v>
      </c>
      <c r="C1757" t="s">
        <v>7</v>
      </c>
      <c r="D1757" t="s">
        <v>9108</v>
      </c>
      <c r="E1757" s="28">
        <v>46261</v>
      </c>
      <c r="F1757" t="s">
        <v>9109</v>
      </c>
      <c r="G1757" s="3" t="s">
        <v>9575</v>
      </c>
      <c r="H1757" t="s">
        <v>9122</v>
      </c>
      <c r="I1757" s="28">
        <v>46386</v>
      </c>
      <c r="J1757" t="s">
        <v>9118</v>
      </c>
      <c r="K1757" t="s">
        <v>33</v>
      </c>
    </row>
    <row r="1758" spans="1:11">
      <c r="A1758" s="3">
        <v>2533594</v>
      </c>
      <c r="B1758" t="s">
        <v>4194</v>
      </c>
      <c r="C1758" t="s">
        <v>7</v>
      </c>
      <c r="D1758" t="s">
        <v>9108</v>
      </c>
      <c r="E1758" s="28">
        <v>46261</v>
      </c>
      <c r="F1758" t="s">
        <v>9109</v>
      </c>
      <c r="G1758" s="3" t="s">
        <v>9634</v>
      </c>
      <c r="H1758" t="s">
        <v>9226</v>
      </c>
      <c r="I1758" s="28">
        <v>46322</v>
      </c>
      <c r="J1758" t="s">
        <v>9118</v>
      </c>
      <c r="K1758" t="s">
        <v>31</v>
      </c>
    </row>
    <row r="1759" spans="1:11">
      <c r="A1759" s="3">
        <v>2533595</v>
      </c>
      <c r="B1759" t="s">
        <v>8012</v>
      </c>
      <c r="C1759" t="s">
        <v>8</v>
      </c>
      <c r="D1759" t="s">
        <v>9108</v>
      </c>
      <c r="E1759" s="28">
        <v>46261</v>
      </c>
      <c r="F1759" t="s">
        <v>9109</v>
      </c>
      <c r="G1759" s="3" t="s">
        <v>9575</v>
      </c>
      <c r="H1759" t="s">
        <v>9122</v>
      </c>
      <c r="I1759" s="28">
        <v>46386</v>
      </c>
      <c r="J1759" t="s">
        <v>9118</v>
      </c>
      <c r="K1759" t="s">
        <v>33</v>
      </c>
    </row>
    <row r="1760" spans="1:11">
      <c r="A1760" s="3">
        <v>2533596</v>
      </c>
      <c r="B1760" t="s">
        <v>5564</v>
      </c>
      <c r="C1760" t="s">
        <v>8</v>
      </c>
      <c r="D1760" t="s">
        <v>9108</v>
      </c>
      <c r="E1760" s="28">
        <v>46261</v>
      </c>
      <c r="F1760" t="s">
        <v>9109</v>
      </c>
      <c r="G1760" s="3" t="s">
        <v>9634</v>
      </c>
      <c r="H1760" t="s">
        <v>9226</v>
      </c>
      <c r="I1760" s="28">
        <v>46322</v>
      </c>
      <c r="J1760" t="s">
        <v>9118</v>
      </c>
      <c r="K1760" t="s">
        <v>31</v>
      </c>
    </row>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1E24-5E30-4D30-A859-6EED694E7A42}">
  <dimension ref="A1:E11"/>
  <sheetViews>
    <sheetView workbookViewId="0">
      <selection activeCell="E21" sqref="E21"/>
    </sheetView>
  </sheetViews>
  <sheetFormatPr defaultRowHeight="14.45"/>
  <sheetData>
    <row r="1" spans="1:5" ht="23.45" thickBot="1">
      <c r="A1" s="9" t="s">
        <v>9650</v>
      </c>
      <c r="B1" s="9" t="s">
        <v>52</v>
      </c>
      <c r="C1" s="9" t="s">
        <v>9651</v>
      </c>
      <c r="D1" s="9" t="s">
        <v>9652</v>
      </c>
      <c r="E1" s="9" t="s">
        <v>9653</v>
      </c>
    </row>
    <row r="2" spans="1:5" ht="34.5">
      <c r="A2" s="10">
        <v>2379473</v>
      </c>
      <c r="B2" s="10" t="s">
        <v>9654</v>
      </c>
      <c r="C2" s="10" t="s">
        <v>9655</v>
      </c>
      <c r="D2" s="10" t="s">
        <v>9656</v>
      </c>
      <c r="E2" s="10" t="s">
        <v>9657</v>
      </c>
    </row>
    <row r="3" spans="1:5" ht="23.1">
      <c r="A3" s="11">
        <v>2379472</v>
      </c>
      <c r="B3" s="11" t="s">
        <v>9658</v>
      </c>
      <c r="C3" s="11" t="s">
        <v>9655</v>
      </c>
      <c r="D3" s="11" t="s">
        <v>9656</v>
      </c>
      <c r="E3" s="11" t="s">
        <v>9659</v>
      </c>
    </row>
    <row r="4" spans="1:5" ht="34.5">
      <c r="A4" s="10">
        <v>234768</v>
      </c>
      <c r="B4" s="10" t="s">
        <v>9660</v>
      </c>
      <c r="C4" s="10" t="s">
        <v>9661</v>
      </c>
      <c r="D4" s="10" t="s">
        <v>9656</v>
      </c>
      <c r="E4" s="10" t="s">
        <v>9662</v>
      </c>
    </row>
    <row r="5" spans="1:5" ht="34.5">
      <c r="A5" s="11">
        <v>124128</v>
      </c>
      <c r="B5" s="11" t="s">
        <v>9663</v>
      </c>
      <c r="C5" s="11" t="s">
        <v>9661</v>
      </c>
      <c r="D5" s="11" t="s">
        <v>9656</v>
      </c>
      <c r="E5" s="11" t="s">
        <v>9664</v>
      </c>
    </row>
    <row r="6" spans="1:5" ht="34.5">
      <c r="A6" s="10">
        <v>321958</v>
      </c>
      <c r="B6" s="10" t="s">
        <v>9665</v>
      </c>
      <c r="C6" s="10" t="s">
        <v>9666</v>
      </c>
      <c r="D6" s="10" t="s">
        <v>9656</v>
      </c>
      <c r="E6" s="10" t="s">
        <v>9664</v>
      </c>
    </row>
    <row r="7" spans="1:5" ht="45.95">
      <c r="A7" s="11">
        <v>124963</v>
      </c>
      <c r="B7" s="11" t="s">
        <v>9667</v>
      </c>
      <c r="C7" s="11" t="s">
        <v>9666</v>
      </c>
      <c r="D7" s="11" t="s">
        <v>9656</v>
      </c>
      <c r="E7" s="11" t="s">
        <v>9668</v>
      </c>
    </row>
    <row r="8" spans="1:5" ht="34.5">
      <c r="A8" s="10">
        <v>408035</v>
      </c>
      <c r="B8" s="10" t="s">
        <v>9669</v>
      </c>
      <c r="C8" s="10" t="s">
        <v>9655</v>
      </c>
      <c r="D8" s="10" t="s">
        <v>9656</v>
      </c>
      <c r="E8" s="10" t="s">
        <v>9668</v>
      </c>
    </row>
    <row r="9" spans="1:5">
      <c r="A9" s="11">
        <v>241546</v>
      </c>
      <c r="B9" s="11" t="s">
        <v>9670</v>
      </c>
      <c r="C9" s="11" t="s">
        <v>9666</v>
      </c>
      <c r="D9" s="11" t="s">
        <v>9656</v>
      </c>
      <c r="E9" s="11" t="s">
        <v>9664</v>
      </c>
    </row>
    <row r="10" spans="1:5" ht="23.1">
      <c r="A10" s="10">
        <v>932892</v>
      </c>
      <c r="B10" s="10" t="s">
        <v>9671</v>
      </c>
      <c r="C10" s="10" t="s">
        <v>9672</v>
      </c>
      <c r="D10" s="10" t="s">
        <v>9656</v>
      </c>
      <c r="E10" s="10" t="s">
        <v>9664</v>
      </c>
    </row>
    <row r="11" spans="1:5" ht="34.5">
      <c r="A11" s="11">
        <v>2452936</v>
      </c>
      <c r="B11" s="11" t="s">
        <v>9673</v>
      </c>
      <c r="C11" s="11" t="s">
        <v>9655</v>
      </c>
      <c r="D11" s="11" t="s">
        <v>9656</v>
      </c>
      <c r="E11" s="11" t="s">
        <v>9668</v>
      </c>
    </row>
  </sheetData>
  <autoFilter ref="A1:E11" xr:uid="{9BDC4EBD-7EEB-4730-9A81-11FCF7B85F49}"/>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4AAB0-7E9D-48C6-A9A8-7BC40B7A370D}">
  <dimension ref="A1:F34"/>
  <sheetViews>
    <sheetView workbookViewId="0">
      <selection activeCell="E21" sqref="E21"/>
    </sheetView>
  </sheetViews>
  <sheetFormatPr defaultRowHeight="14.45"/>
  <sheetData>
    <row r="1" spans="1:6">
      <c r="A1" s="12" t="s">
        <v>9674</v>
      </c>
      <c r="B1" s="13" t="s">
        <v>9675</v>
      </c>
      <c r="C1" s="13" t="s">
        <v>9676</v>
      </c>
      <c r="D1" s="12" t="s">
        <v>9677</v>
      </c>
      <c r="E1" s="12" t="s">
        <v>9678</v>
      </c>
      <c r="F1" s="14" t="s">
        <v>9679</v>
      </c>
    </row>
    <row r="2" spans="1:6">
      <c r="A2" s="15" t="s">
        <v>9680</v>
      </c>
      <c r="B2" s="16" t="s">
        <v>9681</v>
      </c>
      <c r="C2" s="16">
        <v>2379474</v>
      </c>
      <c r="D2" s="15" t="s">
        <v>9682</v>
      </c>
      <c r="E2" s="15" t="s">
        <v>9109</v>
      </c>
      <c r="F2" s="16" t="s">
        <v>9683</v>
      </c>
    </row>
    <row r="3" spans="1:6">
      <c r="A3" s="15" t="s">
        <v>9684</v>
      </c>
      <c r="B3" s="16" t="s">
        <v>9685</v>
      </c>
      <c r="C3" s="16">
        <v>2366145</v>
      </c>
      <c r="D3" s="15" t="s">
        <v>9682</v>
      </c>
      <c r="E3" s="15" t="s">
        <v>9109</v>
      </c>
      <c r="F3" s="16" t="s">
        <v>9683</v>
      </c>
    </row>
    <row r="4" spans="1:6">
      <c r="A4" s="15" t="s">
        <v>9686</v>
      </c>
      <c r="B4" s="16" t="s">
        <v>9687</v>
      </c>
      <c r="C4" s="16">
        <v>2391114</v>
      </c>
      <c r="D4" s="15" t="s">
        <v>9688</v>
      </c>
      <c r="E4" s="15" t="s">
        <v>9109</v>
      </c>
      <c r="F4" s="16" t="s">
        <v>9683</v>
      </c>
    </row>
    <row r="5" spans="1:6">
      <c r="A5" s="15" t="s">
        <v>9680</v>
      </c>
      <c r="B5" s="16" t="s">
        <v>9689</v>
      </c>
      <c r="C5" s="16">
        <v>2407801</v>
      </c>
      <c r="D5" s="15" t="s">
        <v>9682</v>
      </c>
      <c r="E5" s="15" t="s">
        <v>9109</v>
      </c>
      <c r="F5" s="16" t="s">
        <v>9683</v>
      </c>
    </row>
    <row r="6" spans="1:6">
      <c r="A6" s="15" t="s">
        <v>9686</v>
      </c>
      <c r="B6" s="16" t="s">
        <v>9690</v>
      </c>
      <c r="C6" s="16">
        <v>2373936</v>
      </c>
      <c r="D6" s="15" t="s">
        <v>9688</v>
      </c>
      <c r="E6" s="15" t="s">
        <v>9109</v>
      </c>
      <c r="F6" s="16" t="s">
        <v>9683</v>
      </c>
    </row>
    <row r="7" spans="1:6">
      <c r="A7" s="15" t="s">
        <v>9691</v>
      </c>
      <c r="B7" s="16" t="s">
        <v>9692</v>
      </c>
      <c r="C7" s="16">
        <v>2443721</v>
      </c>
      <c r="D7" s="15" t="s">
        <v>9682</v>
      </c>
      <c r="E7" s="15" t="s">
        <v>9109</v>
      </c>
      <c r="F7" s="16" t="s">
        <v>9683</v>
      </c>
    </row>
    <row r="8" spans="1:6">
      <c r="A8" s="15" t="s">
        <v>9693</v>
      </c>
      <c r="B8" s="16" t="s">
        <v>9694</v>
      </c>
      <c r="C8" s="16">
        <v>2443720</v>
      </c>
      <c r="D8" s="15" t="s">
        <v>9682</v>
      </c>
      <c r="E8" s="15" t="s">
        <v>9109</v>
      </c>
      <c r="F8" s="16" t="s">
        <v>9683</v>
      </c>
    </row>
    <row r="9" spans="1:6">
      <c r="A9" s="15" t="s">
        <v>9693</v>
      </c>
      <c r="B9" s="16" t="s">
        <v>9695</v>
      </c>
      <c r="C9" s="16">
        <v>2454611</v>
      </c>
      <c r="D9" s="15" t="s">
        <v>9682</v>
      </c>
      <c r="E9" s="15" t="s">
        <v>9109</v>
      </c>
      <c r="F9" s="16" t="s">
        <v>9683</v>
      </c>
    </row>
    <row r="10" spans="1:6">
      <c r="A10" s="15" t="s">
        <v>9686</v>
      </c>
      <c r="B10" s="16" t="s">
        <v>9696</v>
      </c>
      <c r="C10" s="16">
        <v>2403323</v>
      </c>
      <c r="D10" s="15" t="s">
        <v>9688</v>
      </c>
      <c r="E10" s="15" t="s">
        <v>9109</v>
      </c>
      <c r="F10" s="16" t="s">
        <v>9683</v>
      </c>
    </row>
    <row r="11" spans="1:6">
      <c r="A11" s="15" t="s">
        <v>9691</v>
      </c>
      <c r="B11" s="16" t="s">
        <v>9697</v>
      </c>
      <c r="C11" s="16">
        <v>2375877</v>
      </c>
      <c r="D11" s="15" t="s">
        <v>9688</v>
      </c>
      <c r="E11" s="15" t="s">
        <v>9109</v>
      </c>
      <c r="F11" s="16" t="s">
        <v>9683</v>
      </c>
    </row>
    <row r="12" spans="1:6">
      <c r="A12" s="15" t="s">
        <v>9686</v>
      </c>
      <c r="B12" s="16" t="s">
        <v>9698</v>
      </c>
      <c r="C12" s="16">
        <v>2384788</v>
      </c>
      <c r="D12" s="15" t="s">
        <v>9688</v>
      </c>
      <c r="E12" s="15" t="s">
        <v>9109</v>
      </c>
      <c r="F12" s="16" t="s">
        <v>9683</v>
      </c>
    </row>
    <row r="13" spans="1:6">
      <c r="A13" s="15" t="s">
        <v>9691</v>
      </c>
      <c r="B13" s="16" t="s">
        <v>9699</v>
      </c>
      <c r="C13" s="16">
        <v>2391112</v>
      </c>
      <c r="D13" s="15" t="s">
        <v>9688</v>
      </c>
      <c r="E13" s="15" t="s">
        <v>9109</v>
      </c>
      <c r="F13" s="16" t="s">
        <v>9683</v>
      </c>
    </row>
    <row r="14" spans="1:6">
      <c r="A14" s="15" t="s">
        <v>9691</v>
      </c>
      <c r="B14" s="16" t="s">
        <v>9700</v>
      </c>
      <c r="C14" s="16">
        <v>2470160</v>
      </c>
      <c r="D14" s="15" t="s">
        <v>9682</v>
      </c>
      <c r="E14" s="15" t="s">
        <v>9109</v>
      </c>
      <c r="F14" s="16" t="s">
        <v>9683</v>
      </c>
    </row>
    <row r="15" spans="1:6">
      <c r="A15" s="15" t="s">
        <v>9691</v>
      </c>
      <c r="B15" s="16" t="s">
        <v>9701</v>
      </c>
      <c r="C15" s="16">
        <v>2428385</v>
      </c>
      <c r="D15" s="15" t="s">
        <v>9688</v>
      </c>
      <c r="E15" s="15" t="s">
        <v>9109</v>
      </c>
      <c r="F15" s="16" t="s">
        <v>9683</v>
      </c>
    </row>
    <row r="16" spans="1:6">
      <c r="A16" s="15" t="s">
        <v>9686</v>
      </c>
      <c r="B16" s="16" t="s">
        <v>9702</v>
      </c>
      <c r="C16" s="16">
        <v>2396867</v>
      </c>
      <c r="D16" s="15" t="s">
        <v>9688</v>
      </c>
      <c r="E16" s="15" t="s">
        <v>9109</v>
      </c>
      <c r="F16" s="16" t="s">
        <v>9683</v>
      </c>
    </row>
    <row r="17" spans="1:6">
      <c r="A17" s="15" t="s">
        <v>9684</v>
      </c>
      <c r="B17" s="16" t="s">
        <v>9703</v>
      </c>
      <c r="C17" s="16">
        <v>2476712</v>
      </c>
      <c r="D17" s="15" t="s">
        <v>9704</v>
      </c>
      <c r="E17" s="15" t="s">
        <v>9109</v>
      </c>
      <c r="F17" s="16" t="s">
        <v>9683</v>
      </c>
    </row>
    <row r="18" spans="1:6">
      <c r="A18" s="15" t="s">
        <v>9691</v>
      </c>
      <c r="B18" s="16" t="s">
        <v>9705</v>
      </c>
      <c r="C18" s="16">
        <v>2477992</v>
      </c>
      <c r="D18" s="15" t="s">
        <v>9688</v>
      </c>
      <c r="E18" s="15" t="s">
        <v>9109</v>
      </c>
      <c r="F18" s="16" t="s">
        <v>9683</v>
      </c>
    </row>
    <row r="19" spans="1:6">
      <c r="A19" s="15" t="s">
        <v>9686</v>
      </c>
      <c r="B19" s="16" t="s">
        <v>9706</v>
      </c>
      <c r="C19" s="16">
        <v>2390625</v>
      </c>
      <c r="D19" s="15" t="s">
        <v>9688</v>
      </c>
      <c r="E19" s="15" t="s">
        <v>9109</v>
      </c>
      <c r="F19" s="16" t="s">
        <v>9683</v>
      </c>
    </row>
    <row r="20" spans="1:6">
      <c r="A20" s="15" t="s">
        <v>9693</v>
      </c>
      <c r="B20" s="16" t="s">
        <v>9707</v>
      </c>
      <c r="C20" s="16">
        <v>2411002</v>
      </c>
      <c r="D20" s="15" t="s">
        <v>9682</v>
      </c>
      <c r="E20" s="15" t="s">
        <v>9109</v>
      </c>
      <c r="F20" s="16" t="s">
        <v>9683</v>
      </c>
    </row>
    <row r="21" spans="1:6">
      <c r="A21" s="15" t="s">
        <v>9691</v>
      </c>
      <c r="B21" s="16" t="s">
        <v>9708</v>
      </c>
      <c r="C21" s="16">
        <v>2485514</v>
      </c>
      <c r="D21" s="15" t="s">
        <v>9682</v>
      </c>
      <c r="E21" s="15" t="s">
        <v>9109</v>
      </c>
      <c r="F21" s="16" t="s">
        <v>9683</v>
      </c>
    </row>
    <row r="22" spans="1:6">
      <c r="A22" s="15" t="s">
        <v>9686</v>
      </c>
      <c r="B22" s="16" t="s">
        <v>9709</v>
      </c>
      <c r="C22" s="16">
        <v>2380713</v>
      </c>
      <c r="D22" s="15" t="s">
        <v>9688</v>
      </c>
      <c r="E22" s="15" t="s">
        <v>9109</v>
      </c>
      <c r="F22" s="16" t="s">
        <v>9683</v>
      </c>
    </row>
    <row r="23" spans="1:6">
      <c r="A23" s="15" t="s">
        <v>9691</v>
      </c>
      <c r="B23" s="16" t="s">
        <v>9710</v>
      </c>
      <c r="C23" s="16">
        <v>2489981</v>
      </c>
      <c r="D23" s="15" t="s">
        <v>9688</v>
      </c>
      <c r="E23" s="15" t="s">
        <v>9109</v>
      </c>
      <c r="F23" s="16" t="s">
        <v>9683</v>
      </c>
    </row>
    <row r="24" spans="1:6">
      <c r="A24" s="15" t="s">
        <v>9686</v>
      </c>
      <c r="B24" s="16" t="s">
        <v>9711</v>
      </c>
      <c r="C24" s="16">
        <v>2486541</v>
      </c>
      <c r="D24" s="15" t="s">
        <v>9682</v>
      </c>
      <c r="E24" s="15" t="s">
        <v>9109</v>
      </c>
      <c r="F24" s="16" t="s">
        <v>9683</v>
      </c>
    </row>
    <row r="25" spans="1:6">
      <c r="A25" s="15" t="s">
        <v>9712</v>
      </c>
      <c r="B25" s="16" t="s">
        <v>9713</v>
      </c>
      <c r="C25" s="16">
        <v>2485517</v>
      </c>
      <c r="D25" s="15" t="s">
        <v>9688</v>
      </c>
      <c r="E25" s="15" t="s">
        <v>9109</v>
      </c>
      <c r="F25" s="16" t="s">
        <v>9683</v>
      </c>
    </row>
    <row r="26" spans="1:6">
      <c r="A26" s="15" t="s">
        <v>9714</v>
      </c>
      <c r="B26" s="16" t="s">
        <v>9715</v>
      </c>
      <c r="C26" s="16">
        <v>945234</v>
      </c>
      <c r="D26" s="15" t="s">
        <v>9688</v>
      </c>
      <c r="E26" s="15" t="s">
        <v>9109</v>
      </c>
      <c r="F26" s="16" t="s">
        <v>9683</v>
      </c>
    </row>
    <row r="27" spans="1:6">
      <c r="A27" s="15" t="s">
        <v>9714</v>
      </c>
      <c r="B27" s="16" t="s">
        <v>9716</v>
      </c>
      <c r="C27" s="16">
        <v>2486539</v>
      </c>
      <c r="D27" s="15" t="s">
        <v>9688</v>
      </c>
      <c r="E27" s="15" t="s">
        <v>9109</v>
      </c>
      <c r="F27" s="16" t="s">
        <v>9683</v>
      </c>
    </row>
    <row r="28" spans="1:6">
      <c r="A28" s="15" t="s">
        <v>9691</v>
      </c>
      <c r="B28" s="16" t="s">
        <v>9717</v>
      </c>
      <c r="C28" s="16"/>
      <c r="D28" s="15" t="s">
        <v>9688</v>
      </c>
      <c r="E28" s="15" t="s">
        <v>9109</v>
      </c>
      <c r="F28" s="16" t="s">
        <v>9683</v>
      </c>
    </row>
    <row r="29" spans="1:6">
      <c r="A29" s="15" t="s">
        <v>9693</v>
      </c>
      <c r="B29" s="16" t="s">
        <v>9718</v>
      </c>
      <c r="C29" s="16"/>
      <c r="D29" s="15" t="s">
        <v>9682</v>
      </c>
      <c r="E29" s="15" t="s">
        <v>9109</v>
      </c>
      <c r="F29" s="16" t="s">
        <v>9683</v>
      </c>
    </row>
    <row r="30" spans="1:6">
      <c r="A30" s="15" t="s">
        <v>9691</v>
      </c>
      <c r="B30" s="16" t="s">
        <v>9719</v>
      </c>
      <c r="C30" s="16">
        <v>2373180</v>
      </c>
      <c r="D30" s="15" t="s">
        <v>9688</v>
      </c>
      <c r="E30" s="15" t="s">
        <v>9109</v>
      </c>
      <c r="F30" s="16" t="s">
        <v>9683</v>
      </c>
    </row>
    <row r="31" spans="1:6">
      <c r="A31" s="15" t="s">
        <v>9720</v>
      </c>
      <c r="B31" s="16" t="s">
        <v>9721</v>
      </c>
      <c r="C31" s="16">
        <v>2480982</v>
      </c>
      <c r="D31" s="15" t="s">
        <v>9688</v>
      </c>
      <c r="E31" s="15" t="s">
        <v>9109</v>
      </c>
      <c r="F31" s="16" t="s">
        <v>9683</v>
      </c>
    </row>
    <row r="32" spans="1:6">
      <c r="A32" s="15" t="s">
        <v>9693</v>
      </c>
      <c r="B32" s="16" t="s">
        <v>9722</v>
      </c>
      <c r="C32" s="16">
        <v>2483670</v>
      </c>
      <c r="D32" s="15" t="s">
        <v>9688</v>
      </c>
      <c r="E32" s="15" t="s">
        <v>9109</v>
      </c>
      <c r="F32" s="16" t="s">
        <v>9683</v>
      </c>
    </row>
    <row r="33" spans="1:6">
      <c r="A33" s="15" t="s">
        <v>9691</v>
      </c>
      <c r="B33" s="16" t="s">
        <v>9723</v>
      </c>
      <c r="C33" s="16">
        <v>2382429</v>
      </c>
      <c r="D33" s="15" t="s">
        <v>9688</v>
      </c>
      <c r="E33" s="15" t="s">
        <v>9109</v>
      </c>
      <c r="F33" s="16" t="s">
        <v>9683</v>
      </c>
    </row>
    <row r="34" spans="1:6">
      <c r="A34" s="15" t="s">
        <v>9691</v>
      </c>
      <c r="B34" s="16" t="s">
        <v>9724</v>
      </c>
      <c r="C34" s="16"/>
      <c r="D34" s="15" t="s">
        <v>9688</v>
      </c>
      <c r="E34" s="15" t="s">
        <v>9109</v>
      </c>
      <c r="F34" s="16" t="s">
        <v>9683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E4D01-C8F5-4B3A-A5D0-05A2BA9251D6}">
  <dimension ref="A1:L43"/>
  <sheetViews>
    <sheetView workbookViewId="0">
      <selection activeCell="B45" sqref="B45"/>
    </sheetView>
  </sheetViews>
  <sheetFormatPr defaultRowHeight="15"/>
  <cols>
    <col min="1" max="1" width="13.140625" bestFit="1" customWidth="1"/>
    <col min="2" max="2" width="25.85546875" bestFit="1" customWidth="1"/>
    <col min="3" max="3" width="4.85546875" hidden="1" customWidth="1"/>
    <col min="4" max="4" width="8.140625" hidden="1" customWidth="1"/>
    <col min="5" max="5" width="9.28515625" bestFit="1" customWidth="1"/>
    <col min="6" max="6" width="15.85546875" bestFit="1" customWidth="1"/>
    <col min="7" max="7" width="10" bestFit="1" customWidth="1"/>
    <col min="8" max="8" width="6" bestFit="1" customWidth="1"/>
    <col min="9" max="9" width="21.5703125" bestFit="1" customWidth="1"/>
    <col min="10" max="10" width="50.42578125" bestFit="1" customWidth="1"/>
    <col min="11" max="11" width="10" bestFit="1" customWidth="1"/>
    <col min="12" max="12" width="5.85546875" bestFit="1" customWidth="1"/>
  </cols>
  <sheetData>
    <row r="1" spans="1:12" ht="15.75">
      <c r="A1" s="1" t="s">
        <v>9725</v>
      </c>
      <c r="B1" s="1" t="s">
        <v>52</v>
      </c>
      <c r="C1" s="17" t="s">
        <v>53</v>
      </c>
      <c r="D1" s="1" t="s">
        <v>3</v>
      </c>
      <c r="E1" s="1" t="s">
        <v>9652</v>
      </c>
      <c r="F1" s="2" t="s">
        <v>23</v>
      </c>
      <c r="G1" s="2" t="s">
        <v>60</v>
      </c>
      <c r="H1" s="2" t="s">
        <v>14</v>
      </c>
      <c r="I1" s="2" t="s">
        <v>13</v>
      </c>
      <c r="J1" s="2" t="s">
        <v>61</v>
      </c>
      <c r="K1" s="2" t="s">
        <v>12</v>
      </c>
      <c r="L1" s="2" t="s">
        <v>35</v>
      </c>
    </row>
    <row r="2" spans="1:12">
      <c r="A2" s="3">
        <v>888093</v>
      </c>
      <c r="B2" t="s">
        <v>9098</v>
      </c>
      <c r="F2" t="str">
        <f>VLOOKUP(A2,Response!$A:$M,7,FALSE)</f>
        <v>Rented House/Apartment</v>
      </c>
      <c r="G2" t="str">
        <f>VLOOKUP(A2,Response!$A:$M,8,FALSE)</f>
        <v xml:space="preserve"> Rise apartments by civil cares, BBRoad, Chennai - 600011</v>
      </c>
      <c r="H2" t="str">
        <f>VLOOKUP(A2,Response!$A:$M,9,FALSE)</f>
        <v xml:space="preserve"> Rise apartments by civil cares, BBRoad, Chennai - 600011</v>
      </c>
      <c r="I2" t="str">
        <f>VLOOKUP(A2,Response!$A:$M,12,FALSE)</f>
        <v>Yes</v>
      </c>
      <c r="J2" t="str">
        <f>VLOOKUP(A2,Response!$A:$M,11,FALSE)</f>
        <v>Perambur bus depot</v>
      </c>
    </row>
    <row r="3" spans="1:12">
      <c r="A3" s="3">
        <v>2322732</v>
      </c>
      <c r="B3" t="s">
        <v>719</v>
      </c>
      <c r="F3" t="str">
        <f>VLOOKUP(A3,Response!$A:$M,7,FALSE)</f>
        <v>Rented House/Apartment</v>
      </c>
      <c r="G3" t="str">
        <f>VLOOKUP(A3,Response!$A:$M,8,FALSE)</f>
        <v xml:space="preserve">AR Lotus Apartment </v>
      </c>
      <c r="H3" t="str">
        <f>VLOOKUP(A3,Response!$A:$M,9,FALSE)</f>
        <v>1069, A1, 10th main road ram nagar, south madipakkam, Chennai -600091</v>
      </c>
      <c r="I3" t="str">
        <f>VLOOKUP(A3,Response!$A:$M,12,FALSE)</f>
        <v>Yes</v>
      </c>
      <c r="J3" t="str">
        <f>VLOOKUP(A3,Response!$A:$M,11,FALSE)</f>
        <v xml:space="preserve">Velacherry </v>
      </c>
    </row>
    <row r="4" spans="1:12">
      <c r="A4" s="3">
        <v>2315792</v>
      </c>
      <c r="B4" t="s">
        <v>236</v>
      </c>
      <c r="F4" t="str">
        <f>VLOOKUP(A4,Response!$A:$M,7,FALSE)</f>
        <v>Permanent Residence (House/Home)</v>
      </c>
      <c r="G4" t="str">
        <f>VLOOKUP(A4,Response!$A:$M,8,FALSE)</f>
        <v>2/55. Thiruvalluvar street , Navalur</v>
      </c>
      <c r="H4" t="str">
        <f>VLOOKUP(A4,Response!$A:$M,9,FALSE)</f>
        <v>2/55. Thiruvalluvar street , Navalur , 600130</v>
      </c>
      <c r="I4" t="str">
        <f>VLOOKUP(A4,Response!$A:$M,12,FALSE)</f>
        <v>No</v>
      </c>
      <c r="J4" t="str">
        <f>VLOOKUP(A4,Response!$A:$M,11,FALSE)</f>
        <v>Navalur</v>
      </c>
    </row>
    <row r="5" spans="1:12">
      <c r="A5" s="3">
        <v>589960</v>
      </c>
      <c r="B5" t="s">
        <v>1878</v>
      </c>
      <c r="F5" t="str">
        <f>VLOOKUP(A5,Response!$A:$M,7,FALSE)</f>
        <v>Rented House/Apartment</v>
      </c>
      <c r="G5" t="str">
        <f>VLOOKUP(A5,Response!$A:$M,8,FALSE)</f>
        <v>Grand celestia Apartments</v>
      </c>
      <c r="H5" t="str">
        <f>VLOOKUP(A5,Response!$A:$M,9,FALSE)</f>
        <v>S2, Second floor, E-block, Grand Celestia apartments, Susheela Nagar, Kelambakkam, Chennai -603103.</v>
      </c>
      <c r="I5" t="str">
        <f>VLOOKUP(A5,Response!$A:$M,12,FALSE)</f>
        <v>No</v>
      </c>
      <c r="J5" t="str">
        <f>VLOOKUP(A5,Response!$A:$M,11,FALSE)</f>
        <v>Padur</v>
      </c>
    </row>
    <row r="6" spans="1:12">
      <c r="A6" s="3">
        <v>2325232</v>
      </c>
      <c r="B6" t="s">
        <v>3151</v>
      </c>
      <c r="F6" t="str">
        <f>VLOOKUP(A6,Response!$A:$M,7,FALSE)</f>
        <v>PG (Paying Guest)</v>
      </c>
      <c r="G6" t="str">
        <f>VLOOKUP(A6,Response!$A:$M,8,FALSE)</f>
        <v>MSR Luxury Pg for ladies - Branch 1</v>
      </c>
      <c r="H6" t="str">
        <f>VLOOKUP(A6,Response!$A:$M,9,FALSE)</f>
        <v>Gangai Amman Kovil Street, Egattur, Siruseri, Tamil Nadu - 603103</v>
      </c>
      <c r="I6" t="str">
        <f>VLOOKUP(A6,Response!$A:$M,12,FALSE)</f>
        <v>No</v>
      </c>
      <c r="J6" t="str">
        <f>VLOOKUP(A6,Response!$A:$M,11,FALSE)</f>
        <v>Siruseri</v>
      </c>
    </row>
    <row r="7" spans="1:12">
      <c r="A7" s="3">
        <v>896245</v>
      </c>
      <c r="B7" t="s">
        <v>5324</v>
      </c>
      <c r="F7" t="str">
        <f>VLOOKUP(A7,Response!$A:$M,7,FALSE)</f>
        <v>Rented House/Apartment</v>
      </c>
      <c r="G7" t="str">
        <f>VLOOKUP(A7,Response!$A:$M,8,FALSE)</f>
        <v>Shri Shiv Shiva Abode ,Kazhipattur</v>
      </c>
      <c r="H7" t="str">
        <f>VLOOKUP(A7,Response!$A:$M,9,FALSE)</f>
        <v>T3,Shri Shiv Shiva Abode,Kazhipattur Joint Road,Kazhipattur ,Chennai -603103</v>
      </c>
      <c r="I7" t="str">
        <f>VLOOKUP(A7,Response!$A:$M,12,FALSE)</f>
        <v>No</v>
      </c>
      <c r="J7" t="str">
        <f>VLOOKUP(A7,Response!$A:$M,11,FALSE)</f>
        <v>Padur</v>
      </c>
    </row>
    <row r="8" spans="1:12">
      <c r="A8" s="3">
        <v>385960</v>
      </c>
      <c r="B8" t="s">
        <v>9726</v>
      </c>
      <c r="F8" t="e">
        <f>VLOOKUP(A8,Response!$A:$M,7,FALSE)</f>
        <v>#N/A</v>
      </c>
      <c r="G8" t="e">
        <f>VLOOKUP(A8,Response!$A:$M,8,FALSE)</f>
        <v>#N/A</v>
      </c>
      <c r="H8" t="e">
        <f>VLOOKUP(A8,Response!$A:$M,9,FALSE)</f>
        <v>#N/A</v>
      </c>
      <c r="I8" t="e">
        <f>VLOOKUP(A8,Response!$A:$M,12,FALSE)</f>
        <v>#N/A</v>
      </c>
      <c r="J8" t="e">
        <f>VLOOKUP(A8,Response!$A:$M,11,FALSE)</f>
        <v>#N/A</v>
      </c>
    </row>
    <row r="9" spans="1:12">
      <c r="A9" s="3">
        <v>2329656</v>
      </c>
      <c r="B9" t="s">
        <v>9425</v>
      </c>
      <c r="F9" t="str">
        <f>VLOOKUP(A9,Response!$A:$M,7,FALSE)</f>
        <v>Rented House/Apartment</v>
      </c>
      <c r="G9" t="str">
        <f>VLOOKUP(A9,Response!$A:$M,8,FALSE)</f>
        <v>Casagrand Supremus, Thalambur</v>
      </c>
      <c r="H9" t="str">
        <f>VLOOKUP(A9,Response!$A:$M,9,FALSE)</f>
        <v>Block A2, Flat number 304, Casagrand Supremus, Thalambur</v>
      </c>
      <c r="I9" t="str">
        <f>VLOOKUP(A9,Response!$A:$M,12,FALSE)</f>
        <v>Yes</v>
      </c>
      <c r="J9" t="str">
        <f>VLOOKUP(A9,Response!$A:$M,11,FALSE)</f>
        <v>Thalambur</v>
      </c>
    </row>
    <row r="10" spans="1:12">
      <c r="A10" s="3">
        <v>2017061</v>
      </c>
      <c r="B10" t="s">
        <v>9727</v>
      </c>
      <c r="F10" t="e">
        <f>VLOOKUP(A10,Response!$A:$M,7,FALSE)</f>
        <v>#N/A</v>
      </c>
      <c r="G10" t="e">
        <f>VLOOKUP(A10,Response!$A:$M,8,FALSE)</f>
        <v>#N/A</v>
      </c>
      <c r="H10" t="e">
        <f>VLOOKUP(A10,Response!$A:$M,9,FALSE)</f>
        <v>#N/A</v>
      </c>
      <c r="I10" t="e">
        <f>VLOOKUP(A10,Response!$A:$M,12,FALSE)</f>
        <v>#N/A</v>
      </c>
      <c r="J10" t="e">
        <f>VLOOKUP(A10,Response!$A:$M,11,FALSE)</f>
        <v>#N/A</v>
      </c>
    </row>
    <row r="11" spans="1:12">
      <c r="A11" s="3">
        <v>2445499</v>
      </c>
      <c r="B11" t="s">
        <v>4040</v>
      </c>
      <c r="F11" t="str">
        <f>VLOOKUP(A11,Response!$A:$M,7,FALSE)</f>
        <v>PG (Paying Guest)</v>
      </c>
      <c r="G11" t="str">
        <f>VLOOKUP(A11,Response!$A:$M,8,FALSE)</f>
        <v>Pasanga Paradise PG - Branch 2, Navalur</v>
      </c>
      <c r="H11" t="str">
        <f>VLOOKUP(A11,Response!$A:$M,9,FALSE)</f>
        <v xml:space="preserve">Pasanga Paradise PG Navalur Gowri Thangaraj Street, Thiruporur, Tamil Nadu 600130 </v>
      </c>
      <c r="I11" t="str">
        <f>VLOOKUP(A11,Response!$A:$M,12,FALSE)</f>
        <v>No</v>
      </c>
      <c r="J11" t="str">
        <f>VLOOKUP(A11,Response!$A:$M,11,FALSE)</f>
        <v>Navalur</v>
      </c>
    </row>
    <row r="12" spans="1:12">
      <c r="A12" s="3">
        <v>2433149</v>
      </c>
      <c r="B12" t="s">
        <v>962</v>
      </c>
      <c r="F12" t="str">
        <f>VLOOKUP(A12,Response!$A:$M,7,FALSE)</f>
        <v>Permanent Residence (House/Home)</v>
      </c>
      <c r="G12" t="str">
        <f>VLOOKUP(A12,Response!$A:$M,8,FALSE)</f>
        <v>B-25, 2 Floor, Nest Mojo Apartments, Modern Layout - 2 Main Road, Padur, Chennai, Tamil Nadu - 603103</v>
      </c>
      <c r="H12" t="str">
        <f>VLOOKUP(A12,Response!$A:$M,9,FALSE)</f>
        <v>B-25, 2 Floor, Nest Mojo Apartments, Modern Layout - 2 Main Road, Padur, Chennai,  Tamil Nadu - 603103</v>
      </c>
      <c r="I12" t="str">
        <f>VLOOKUP(A12,Response!$A:$M,12,FALSE)</f>
        <v>Yes</v>
      </c>
      <c r="J12" t="str">
        <f>VLOOKUP(A12,Response!$A:$M,11,FALSE)</f>
        <v>Padur</v>
      </c>
    </row>
    <row r="13" spans="1:12">
      <c r="A13" s="3">
        <v>2136186</v>
      </c>
      <c r="B13" t="s">
        <v>6093</v>
      </c>
      <c r="F13" t="str">
        <f>VLOOKUP(A13,Response!$A:$M,7,FALSE)</f>
        <v>PG (Paying Guest)</v>
      </c>
      <c r="G13" t="str">
        <f>VLOOKUP(A13,Response!$A:$M,8,FALSE)</f>
        <v>Smiles Inn pg services for ladies</v>
      </c>
      <c r="H13" t="str">
        <f>VLOOKUP(A13,Response!$A:$M,9,FALSE)</f>
        <v>Near SIPCOT IT Park, OMR, Rajiv Gandhi Salai, Opposite to Marina Mall, Navalur, Landmark:-Behind Tongue Multi Cuisine Restaurant, Egattur, Chennai, Tamil Nadu 600130</v>
      </c>
      <c r="I13" t="str">
        <f>VLOOKUP(A13,Response!$A:$M,12,FALSE)</f>
        <v>Yes</v>
      </c>
      <c r="J13" t="str">
        <f>VLOOKUP(A13,Response!$A:$M,11,FALSE)</f>
        <v>Egattur</v>
      </c>
    </row>
    <row r="14" spans="1:12">
      <c r="A14" s="3">
        <v>2393385</v>
      </c>
      <c r="B14" t="s">
        <v>1083</v>
      </c>
      <c r="F14" t="str">
        <f>VLOOKUP(A14,Response!$A:$M,7,FALSE)</f>
        <v>Rented House/Apartment</v>
      </c>
      <c r="G14" t="str">
        <f>VLOOKUP(A14,Response!$A:$M,8,FALSE)</f>
        <v>CasaGrand Supremus Block 2</v>
      </c>
      <c r="H14" t="str">
        <f>VLOOKUP(A14,Response!$A:$M,9,FALSE)</f>
        <v>B2, A304, Casagrand Supremus, Sipcot Thazhambur Road, Chennai, TamilNadu 600130</v>
      </c>
      <c r="I14" t="str">
        <f>VLOOKUP(A14,Response!$A:$M,12,FALSE)</f>
        <v>Yes</v>
      </c>
      <c r="J14" t="str">
        <f>VLOOKUP(A14,Response!$A:$M,11,FALSE)</f>
        <v>Thalambur</v>
      </c>
    </row>
    <row r="15" spans="1:12">
      <c r="A15" s="3">
        <v>2414892</v>
      </c>
      <c r="B15" t="s">
        <v>9332</v>
      </c>
      <c r="F15" t="str">
        <f>VLOOKUP(A15,Response!$A:$M,7,FALSE)</f>
        <v>Permanent Residence (House/Home)</v>
      </c>
      <c r="G15" t="str">
        <f>VLOOKUP(A15,Response!$A:$M,8,FALSE)</f>
        <v>No:223</v>
      </c>
      <c r="H15" t="str">
        <f>VLOOKUP(A15,Response!$A:$M,9,FALSE)</f>
        <v>No:223,Gandhi Street, Thiruporur, Chengalpattu</v>
      </c>
      <c r="I15" t="str">
        <f>VLOOKUP(A15,Response!$A:$M,12,FALSE)</f>
        <v>No</v>
      </c>
      <c r="J15" t="str">
        <f>VLOOKUP(A15,Response!$A:$M,11,FALSE)</f>
        <v>Kelambakkam</v>
      </c>
    </row>
    <row r="16" spans="1:12">
      <c r="A16" s="3">
        <v>2393392</v>
      </c>
      <c r="B16" t="s">
        <v>412</v>
      </c>
      <c r="F16" t="str">
        <f>VLOOKUP(A16,Response!$A:$M,7,FALSE)</f>
        <v>PG (Paying Guest)</v>
      </c>
      <c r="G16" t="str">
        <f>VLOOKUP(A16,Response!$A:$M,8,FALSE)</f>
        <v>Aditi women's hostel, Egattur</v>
      </c>
      <c r="H16" t="str">
        <f>VLOOKUP(A16,Response!$A:$M,9,FALSE)</f>
        <v>Aditi women's hostel, 146-A, Rajiv Gandhi Salai (OMR),Egattur, Siruseri, Tamilnadu - 600130</v>
      </c>
      <c r="I16" t="str">
        <f>VLOOKUP(A16,Response!$A:$M,12,FALSE)</f>
        <v>No</v>
      </c>
      <c r="J16" t="str">
        <f>VLOOKUP(A16,Response!$A:$M,11,FALSE)</f>
        <v>Egattur</v>
      </c>
    </row>
    <row r="17" spans="1:10">
      <c r="A17" s="3">
        <v>2397043</v>
      </c>
      <c r="B17" t="s">
        <v>9122</v>
      </c>
      <c r="F17" t="str">
        <f>VLOOKUP(A17,Response!$A:$M,7,FALSE)</f>
        <v>Rented House/Apartment</v>
      </c>
      <c r="G17" t="str">
        <f>VLOOKUP(A17,Response!$A:$M,8,FALSE)</f>
        <v>No-79, puliyur 2nd main road, trustpuram 10th cross street, kodambakkam - 600024</v>
      </c>
      <c r="H17" t="str">
        <f>VLOOKUP(A17,Response!$A:$M,9,FALSE)</f>
        <v>No-79, puliyur 2nd main road, trustpuram 10th cross street, kodambakkam - 600024</v>
      </c>
      <c r="I17" t="str">
        <f>VLOOKUP(A17,Response!$A:$M,12,FALSE)</f>
        <v>No</v>
      </c>
      <c r="J17" t="str">
        <f>VLOOKUP(A17,Response!$A:$M,11,FALSE)</f>
        <v>Kodambakkam</v>
      </c>
    </row>
    <row r="18" spans="1:10">
      <c r="A18" s="3">
        <v>2388500</v>
      </c>
      <c r="B18" t="s">
        <v>424</v>
      </c>
      <c r="F18" t="str">
        <f>VLOOKUP(A18,Response!$A:$M,7,FALSE)</f>
        <v>PG (Paying Guest)</v>
      </c>
      <c r="G18" t="str">
        <f>VLOOKUP(A18,Response!$A:$M,8,FALSE)</f>
        <v>Aditi Women's Pg - Branch 1, Egattur</v>
      </c>
      <c r="H18" t="str">
        <f>VLOOKUP(A18,Response!$A:$M,9,FALSE)</f>
        <v>Aditi Women's Pg - Branch 1, Opp to Marina Mall, Near to Abi's Biryani, Egattur, Siruseri, Tamilnadu - 600130</v>
      </c>
      <c r="I18" t="str">
        <f>VLOOKUP(A18,Response!$A:$M,12,FALSE)</f>
        <v>No</v>
      </c>
      <c r="J18" t="str">
        <f>VLOOKUP(A18,Response!$A:$M,11,FALSE)</f>
        <v>Egattur</v>
      </c>
    </row>
    <row r="19" spans="1:10">
      <c r="A19" s="3">
        <v>2430410</v>
      </c>
      <c r="B19" t="s">
        <v>361</v>
      </c>
      <c r="F19" t="str">
        <f>VLOOKUP(A19,Response!$A:$M,7,FALSE)</f>
        <v>Rented House/Apartment</v>
      </c>
      <c r="G19" t="str">
        <f>VLOOKUP(A19,Response!$A:$M,8,FALSE)</f>
        <v>Aarabi Couture, Nanganallur</v>
      </c>
      <c r="H19" t="str">
        <f>VLOOKUP(A19,Response!$A:$M,9,FALSE)</f>
        <v>39 B, Aarabi couture, Poonthottam 1st street, Nanganallur, Chennai 61</v>
      </c>
      <c r="I19" t="str">
        <f>VLOOKUP(A19,Response!$A:$M,12,FALSE)</f>
        <v>Yes</v>
      </c>
      <c r="J19" t="str">
        <f>VLOOKUP(A19,Response!$A:$M,11,FALSE)</f>
        <v>Vetri Velan Theatre, Nanganallur</v>
      </c>
    </row>
    <row r="20" spans="1:10">
      <c r="A20" s="3">
        <v>2451729</v>
      </c>
      <c r="B20" t="s">
        <v>9479</v>
      </c>
      <c r="F20" t="str">
        <f>VLOOKUP(A20,Response!$A:$M,7,FALSE)</f>
        <v>Rented House/Apartment</v>
      </c>
      <c r="G20" t="str">
        <f>VLOOKUP(A20,Response!$A:$M,8,FALSE)</f>
        <v xml:space="preserve">Creations Valencia </v>
      </c>
      <c r="H20" t="str">
        <f>VLOOKUP(A20,Response!$A:$M,9,FALSE)</f>
        <v>Creations Valencia ,Egattur</v>
      </c>
      <c r="I20" t="str">
        <f>VLOOKUP(A20,Response!$A:$M,12,FALSE)</f>
        <v>Yes</v>
      </c>
      <c r="J20" t="str">
        <f>VLOOKUP(A20,Response!$A:$M,11,FALSE)</f>
        <v>Egattur</v>
      </c>
    </row>
    <row r="21" spans="1:10">
      <c r="A21" s="3">
        <v>2437335</v>
      </c>
      <c r="B21" t="s">
        <v>216</v>
      </c>
      <c r="F21" t="str">
        <f>VLOOKUP(A21,Response!$A:$M,7,FALSE)</f>
        <v>Rented House/Apartment</v>
      </c>
      <c r="G21" t="str">
        <f>VLOOKUP(A21,Response!$A:$M,8,FALSE)</f>
        <v>18/A, Chandra Illam, Venkatachalapathy Street, Sembakkam - 600 073</v>
      </c>
      <c r="H21" t="str">
        <f>VLOOKUP(A21,Response!$A:$M,9,FALSE)</f>
        <v>18/A, Chandra Illam, Venkatachalapathy Street, Sembakkam - 600 073</v>
      </c>
      <c r="I21" t="str">
        <f>VLOOKUP(A21,Response!$A:$M,12,FALSE)</f>
        <v>Yes</v>
      </c>
      <c r="J21" t="str">
        <f>VLOOKUP(A21,Response!$A:$M,11,FALSE)</f>
        <v>Medavakkam</v>
      </c>
    </row>
    <row r="22" spans="1:10">
      <c r="A22" s="3">
        <v>2388504</v>
      </c>
      <c r="B22" t="s">
        <v>9329</v>
      </c>
      <c r="F22" t="str">
        <f>VLOOKUP(A22,Response!$A:$M,7,FALSE)</f>
        <v>PG (Paying Guest)</v>
      </c>
      <c r="G22" t="str">
        <f>VLOOKUP(A22,Response!$A:$M,8,FALSE)</f>
        <v>Abi Ladies PG, Thoraipakkam</v>
      </c>
      <c r="H22" t="str">
        <f>VLOOKUP(A22,Response!$A:$M,9,FALSE)</f>
        <v>Abi Ladies PG, 5/256, Vivekananda Nagar, Madha Koil Street, Thoraipakkam, Chennai - 600097</v>
      </c>
      <c r="I22" t="str">
        <f>VLOOKUP(A22,Response!$A:$M,12,FALSE)</f>
        <v>Yes</v>
      </c>
      <c r="J22" t="str">
        <f>VLOOKUP(A22,Response!$A:$M,11,FALSE)</f>
        <v>Karapakkam</v>
      </c>
    </row>
    <row r="23" spans="1:10">
      <c r="A23" s="3">
        <v>654163</v>
      </c>
      <c r="B23" t="s">
        <v>5179</v>
      </c>
      <c r="F23" t="str">
        <f>VLOOKUP(A23,Response!$A:$M,7,FALSE)</f>
        <v>Permanent Residence (House/Home)</v>
      </c>
      <c r="G23" t="str">
        <f>VLOOKUP(A23,Response!$A:$M,8,FALSE)</f>
        <v>Sembakkam, near Sri Om medicals</v>
      </c>
      <c r="H23" t="str">
        <f>VLOOKUP(A23,Response!$A:$M,9,FALSE)</f>
        <v>Plot No 434A, Door No 33, 1st main road, Thirumalai nagar, Chitlapakkam, Sembakkam, Chennai- 64.</v>
      </c>
      <c r="I23" t="str">
        <f>VLOOKUP(A23,Response!$A:$M,12,FALSE)</f>
        <v>Yes</v>
      </c>
      <c r="J23" t="str">
        <f>VLOOKUP(A23,Response!$A:$M,11,FALSE)</f>
        <v>Sembakkam</v>
      </c>
    </row>
    <row r="24" spans="1:10">
      <c r="A24" s="3">
        <v>2433110</v>
      </c>
      <c r="B24" t="s">
        <v>9226</v>
      </c>
      <c r="F24" t="str">
        <f>VLOOKUP(A24,Response!$A:$M,7,FALSE)</f>
        <v>Rented House/Apartment</v>
      </c>
      <c r="G24" t="str">
        <f>VLOOKUP(A24,Response!$A:$M,8,FALSE)</f>
        <v>1/27,S4, Malaiyappa Mudhali St, Kelambakkam</v>
      </c>
      <c r="H24" t="str">
        <f>VLOOKUP(A24,Response!$A:$M,9,FALSE)</f>
        <v>1/27,S4, Malaiyappa Mudhali St,Opp to B.K.M School, Kelambakkam, Chengalpattu Dt, Tamilnadu-603013</v>
      </c>
      <c r="I24" t="str">
        <f>VLOOKUP(A24,Response!$A:$M,12,FALSE)</f>
        <v>Yes</v>
      </c>
      <c r="J24" t="str">
        <f>VLOOKUP(A24,Response!$A:$M,11,FALSE)</f>
        <v>Kelambakkam</v>
      </c>
    </row>
    <row r="25" spans="1:10">
      <c r="A25" s="3">
        <v>2430411</v>
      </c>
      <c r="B25" t="s">
        <v>9352</v>
      </c>
      <c r="F25" t="str">
        <f>VLOOKUP(A25,Response!$A:$M,7,FALSE)</f>
        <v>Permanent Residence (House/Home)</v>
      </c>
      <c r="G25" t="str">
        <f>VLOOKUP(A25,Response!$A:$M,8,FALSE)</f>
        <v>Assisi Nagar, Madhavaram</v>
      </c>
      <c r="H25" t="str">
        <f>VLOOKUP(A25,Response!$A:$M,9,FALSE)</f>
        <v>No.229, 8th Street, Assisi Nagar, Madhavaram, Chennai - 600 060.</v>
      </c>
      <c r="I25" t="str">
        <f>VLOOKUP(A25,Response!$A:$M,12,FALSE)</f>
        <v>No</v>
      </c>
      <c r="J25" t="str">
        <f>VLOOKUP(A25,Response!$A:$M,11,FALSE)</f>
        <v>Madhavaram</v>
      </c>
    </row>
    <row r="26" spans="1:10">
      <c r="A26" s="3">
        <v>2441381</v>
      </c>
      <c r="B26" t="s">
        <v>306</v>
      </c>
      <c r="F26" t="str">
        <f>VLOOKUP(A26,Response!$A:$M,7,FALSE)</f>
        <v>Permanent Residence (House/Home)</v>
      </c>
      <c r="G26" t="str">
        <f>VLOOKUP(A26,Response!$A:$M,8,FALSE)</f>
        <v>5/121, 4th Main Road, Otteri extension, Vandalur, 600048</v>
      </c>
      <c r="H26" t="str">
        <f>VLOOKUP(A26,Response!$A:$M,9,FALSE)</f>
        <v>5/121, 4th Main Road, Otteri extension, Vandalur, 600048</v>
      </c>
      <c r="I26" t="str">
        <f>VLOOKUP(A26,Response!$A:$M,12,FALSE)</f>
        <v>Yes</v>
      </c>
      <c r="J26" t="str">
        <f>VLOOKUP(A26,Response!$A:$M,11,FALSE)</f>
        <v>Kilambakkam</v>
      </c>
    </row>
    <row r="27" spans="1:10">
      <c r="A27" s="3">
        <v>2441374</v>
      </c>
      <c r="B27" t="s">
        <v>89</v>
      </c>
      <c r="F27" t="str">
        <f>VLOOKUP(A27,Response!$A:$M,7,FALSE)</f>
        <v>Rented House/Apartment</v>
      </c>
      <c r="G27" t="str">
        <f>VLOOKUP(A27,Response!$A:$M,8,FALSE)</f>
        <v>-</v>
      </c>
      <c r="H27" t="str">
        <f>VLOOKUP(A27,Response!$A:$M,9,FALSE)</f>
        <v>3/68, 3rd Block, 4th Street, Mogappair West, Chennai-600037</v>
      </c>
      <c r="I27" t="str">
        <f>VLOOKUP(A27,Response!$A:$M,12,FALSE)</f>
        <v>Yes</v>
      </c>
      <c r="J27" t="str">
        <f>VLOOKUP(A27,Response!$A:$M,11,FALSE)</f>
        <v>Wavin bus stop</v>
      </c>
    </row>
    <row r="28" spans="1:10">
      <c r="A28" s="3">
        <v>2437338</v>
      </c>
      <c r="B28" t="s">
        <v>6724</v>
      </c>
      <c r="F28" t="str">
        <f>VLOOKUP(A28,Response!$A:$M,7,FALSE)</f>
        <v>PG (Paying Guest)</v>
      </c>
      <c r="G28" t="str">
        <f>VLOOKUP(A28,Response!$A:$M,8,FALSE)</f>
        <v>Sri Lakshmi PG - Navallur</v>
      </c>
      <c r="H28" t="str">
        <f>VLOOKUP(A28,Response!$A:$M,9,FALSE)</f>
        <v>Sri Lakshmi PG, Pillariyar Kovil Street, Thazambur Road, Navallur, Chennai, Tamil Nadu - 600130</v>
      </c>
      <c r="I28" t="str">
        <f>VLOOKUP(A28,Response!$A:$M,12,FALSE)</f>
        <v>Yes</v>
      </c>
      <c r="J28" t="str">
        <f>VLOOKUP(A28,Response!$A:$M,11,FALSE)</f>
        <v>Navalur</v>
      </c>
    </row>
    <row r="29" spans="1:10">
      <c r="A29" s="3">
        <v>2443977</v>
      </c>
      <c r="B29" t="s">
        <v>3456</v>
      </c>
      <c r="F29" t="str">
        <f>VLOOKUP(A29,Response!$A:$M,7,FALSE)</f>
        <v>Rented House/Apartment</v>
      </c>
      <c r="G29" t="str">
        <f>VLOOKUP(A29,Response!$A:$M,8,FALSE)</f>
        <v>Nest BlueBell, F1 First Floor, Plot No-604, Semmanjeri</v>
      </c>
      <c r="H29" t="str">
        <f>VLOOKUP(A29,Response!$A:$M,9,FALSE)</f>
        <v>Plot No-604, F1 First Floor Nest BlueBell, Ganapathy Nagar Colony, Near St. Paul School, Semmenjeri</v>
      </c>
      <c r="I29" t="str">
        <f>VLOOKUP(A29,Response!$A:$M,12,FALSE)</f>
        <v>Yes</v>
      </c>
      <c r="J29" t="str">
        <f>VLOOKUP(A29,Response!$A:$M,11,FALSE)</f>
        <v>Semmancheri</v>
      </c>
    </row>
    <row r="30" spans="1:10">
      <c r="A30" s="3">
        <v>2475722</v>
      </c>
      <c r="B30" t="s">
        <v>4400</v>
      </c>
      <c r="F30" t="str">
        <f>VLOOKUP(A30,Response!$A:$M,7,FALSE)</f>
        <v>Rented House/Apartment</v>
      </c>
      <c r="G30" t="str">
        <f>VLOOKUP(A30,Response!$A:$M,8,FALSE)</f>
        <v>Rented House - Anna Nagar West</v>
      </c>
      <c r="H30" t="str">
        <f>VLOOKUP(A30,Response!$A:$M,9,FALSE)</f>
        <v>2160, 8th street, Mullai nagar, Anna Nagar west</v>
      </c>
      <c r="I30" t="str">
        <f>VLOOKUP(A30,Response!$A:$M,12,FALSE)</f>
        <v>Yes</v>
      </c>
      <c r="J30" t="str">
        <f>VLOOKUP(A30,Response!$A:$M,11,FALSE)</f>
        <v xml:space="preserve">Koyembedu </v>
      </c>
    </row>
    <row r="31" spans="1:10">
      <c r="A31" s="3">
        <v>2470064</v>
      </c>
      <c r="B31" t="s">
        <v>3836</v>
      </c>
      <c r="F31" t="str">
        <f>VLOOKUP(A31,Response!$A:$M,7,FALSE)</f>
        <v>Rented House/Apartment</v>
      </c>
      <c r="G31" t="str">
        <f>VLOOKUP(A31,Response!$A:$M,8,FALSE)</f>
        <v>No.29, PTC Colony, 1st street, Thiruvanmiyur, Chennai-600041</v>
      </c>
      <c r="H31" t="str">
        <f>VLOOKUP(A31,Response!$A:$M,9,FALSE)</f>
        <v>No.29, PTC Colony, 1st street, Thiruvanmiyur, Chennai-600041</v>
      </c>
      <c r="I31" t="str">
        <f>VLOOKUP(A31,Response!$A:$M,12,FALSE)</f>
        <v>No</v>
      </c>
      <c r="J31" t="str">
        <f>VLOOKUP(A31,Response!$A:$M,11,FALSE)</f>
        <v>SRP Tools</v>
      </c>
    </row>
    <row r="32" spans="1:10">
      <c r="A32" s="3">
        <v>2481184</v>
      </c>
      <c r="B32" t="s">
        <v>2772</v>
      </c>
      <c r="F32" t="str">
        <f>VLOOKUP(A32,Response!$A:$M,7,FALSE)</f>
        <v>Permanent Residence (House/Home)</v>
      </c>
      <c r="G32" t="str">
        <f>VLOOKUP(A32,Response!$A:$M,8,FALSE)</f>
        <v>Mahalakshmi Apartments, Adambakkam</v>
      </c>
      <c r="H32" t="str">
        <f>VLOOKUP(A32,Response!$A:$M,9,FALSE)</f>
        <v>No.1 Securatariat colony, Mahalakshmi Apartments D1 block - F1, Adambakkam, Chennai- 600088.</v>
      </c>
      <c r="I32" t="str">
        <f>VLOOKUP(A32,Response!$A:$M,12,FALSE)</f>
        <v>No</v>
      </c>
      <c r="J32" t="str">
        <f>VLOOKUP(A32,Response!$A:$M,11,FALSE)</f>
        <v>Guindy</v>
      </c>
    </row>
    <row r="33" spans="1:10">
      <c r="A33" s="3">
        <v>2472446</v>
      </c>
      <c r="B33" t="s">
        <v>191</v>
      </c>
      <c r="F33" t="str">
        <f>VLOOKUP(A33,Response!$A:$M,7,FALSE)</f>
        <v>Rented House/Apartment</v>
      </c>
      <c r="G33" t="str">
        <f>VLOOKUP(A33,Response!$A:$M,8,FALSE)</f>
        <v>12 A, Sai Annai Avenue, Madha nagar, Madhananthapuram, Porur, Chennai</v>
      </c>
      <c r="H33" t="str">
        <f>VLOOKUP(A33,Response!$A:$M,9,FALSE)</f>
        <v>12 A, Sai Annai Avenue, Madha nagar, Madhananthapuram, Porur, Chennai</v>
      </c>
      <c r="I33" t="str">
        <f>VLOOKUP(A33,Response!$A:$M,12,FALSE)</f>
        <v>No</v>
      </c>
      <c r="J33" t="str">
        <f>VLOOKUP(A33,Response!$A:$M,11,FALSE)</f>
        <v>Porur</v>
      </c>
    </row>
    <row r="34" spans="1:10">
      <c r="A34" s="3">
        <v>913908</v>
      </c>
      <c r="B34" t="s">
        <v>9134</v>
      </c>
      <c r="F34" t="str">
        <f>VLOOKUP(A34,Response!$A:$M,7,FALSE)</f>
        <v>PG (Paying Guest)</v>
      </c>
      <c r="G34" t="str">
        <f>VLOOKUP(A34,Response!$A:$M,8,FALSE)</f>
        <v>Smiles In pg for women, Egattur</v>
      </c>
      <c r="H34" t="str">
        <f>VLOOKUP(A34,Response!$A:$M,9,FALSE)</f>
        <v>Smiles In pg,Besides hameed Fathima jumma Masjid, Opp to thalasery Restaurant, 2nd street, Egattur, Chennai - 603103</v>
      </c>
      <c r="I34" t="str">
        <f>VLOOKUP(A34,Response!$A:$M,12,FALSE)</f>
        <v>No</v>
      </c>
      <c r="J34" t="str">
        <f>VLOOKUP(A34,Response!$A:$M,11,FALSE)</f>
        <v>Siruseri</v>
      </c>
    </row>
    <row r="35" spans="1:10">
      <c r="A35" s="3">
        <v>2470771</v>
      </c>
      <c r="B35" t="s">
        <v>9728</v>
      </c>
      <c r="F35" t="str">
        <f>VLOOKUP(A35,Response!$A:$M,7,FALSE)</f>
        <v>PG (Paying Guest)</v>
      </c>
      <c r="G35" t="str">
        <f>VLOOKUP(A35,Response!$A:$M,8,FALSE)</f>
        <v>Srs PG Brach 3</v>
      </c>
      <c r="H35" t="str">
        <f>VLOOKUP(A35,Response!$A:$M,9,FALSE)</f>
        <v xml:space="preserve">Srs PG Brach 3 Opposite to Marina Mall Navalar </v>
      </c>
      <c r="I35" t="str">
        <f>VLOOKUP(A35,Response!$A:$M,12,FALSE)</f>
        <v>Yes</v>
      </c>
      <c r="J35" t="str">
        <f>VLOOKUP(A35,Response!$A:$M,11,FALSE)</f>
        <v>Navalur</v>
      </c>
    </row>
    <row r="36" spans="1:10">
      <c r="A36" s="3">
        <v>2470770</v>
      </c>
      <c r="B36" t="s">
        <v>279</v>
      </c>
      <c r="F36" t="str">
        <f>VLOOKUP(A36,Response!$A:$M,7,FALSE)</f>
        <v>Rented House/Apartment</v>
      </c>
      <c r="G36" t="str">
        <f>VLOOKUP(A36,Response!$A:$M,8,FALSE)</f>
        <v>4/820 A D/no 1 Angalamman Kovil 2nd Street, Mambakkam, Kolathur road Chennai 6000127</v>
      </c>
      <c r="H36" t="str">
        <f>VLOOKUP(A36,Response!$A:$M,9,FALSE)</f>
        <v>4/820 A D/no 1 Angalamman Kovil 2nd Street, Mambakkam, Kolathur road Chennai 6000127</v>
      </c>
      <c r="I36" t="str">
        <f>VLOOKUP(A36,Response!$A:$M,12,FALSE)</f>
        <v>No</v>
      </c>
      <c r="J36" t="str">
        <f>VLOOKUP(A36,Response!$A:$M,11,FALSE)</f>
        <v>Mambakkam</v>
      </c>
    </row>
    <row r="37" spans="1:10">
      <c r="A37" s="3">
        <v>2474464</v>
      </c>
      <c r="B37" t="s">
        <v>418</v>
      </c>
      <c r="F37" t="str">
        <f>VLOOKUP(A37,Response!$A:$M,7,FALSE)</f>
        <v>PG (Paying Guest)</v>
      </c>
      <c r="G37" t="str">
        <f>VLOOKUP(A37,Response!$A:$M,8,FALSE)</f>
        <v xml:space="preserve">Aditi Women's Hostel, Egattur </v>
      </c>
      <c r="H37" t="str">
        <f>VLOOKUP(A37,Response!$A:$M,9,FALSE)</f>
        <v>Aditi Womens Hostel, OMR, Egatoor, 146A, Rajiv Gandhi Salai, Chennai, Tamil Nadu 600130</v>
      </c>
      <c r="I37" t="str">
        <f>VLOOKUP(A37,Response!$A:$M,12,FALSE)</f>
        <v>Yes</v>
      </c>
      <c r="J37" t="str">
        <f>VLOOKUP(A37,Response!$A:$M,11,FALSE)</f>
        <v>Egattur</v>
      </c>
    </row>
    <row r="38" spans="1:10">
      <c r="A38" s="3">
        <v>2472445</v>
      </c>
      <c r="B38" t="s">
        <v>549</v>
      </c>
      <c r="F38" t="str">
        <f>VLOOKUP(A38,Response!$A:$M,7,FALSE)</f>
        <v>PG (Paying Guest)</v>
      </c>
      <c r="G38" t="str">
        <f>VLOOKUP(A38,Response!$A:$M,8,FALSE)</f>
        <v>Ambika Nest women's PG- Sipcot 2 gate.</v>
      </c>
      <c r="H38" t="str">
        <f>VLOOKUP(A38,Response!$A:$M,9,FALSE)</f>
        <v>35, Thiruvalluvar salai, Sipcot, near Siruserri, vannianchavadi, Chennai, Tamil Nadu 603103</v>
      </c>
      <c r="I38" t="str">
        <f>VLOOKUP(A38,Response!$A:$M,12,FALSE)</f>
        <v>No</v>
      </c>
      <c r="J38" t="str">
        <f>VLOOKUP(A38,Response!$A:$M,11,FALSE)</f>
        <v>Siruseri</v>
      </c>
    </row>
    <row r="39" spans="1:10">
      <c r="A39" s="3">
        <v>2483674</v>
      </c>
      <c r="B39" t="s">
        <v>9729</v>
      </c>
      <c r="F39" t="str">
        <f>VLOOKUP(A39,Response!$A:$M,7,FALSE)</f>
        <v>Relative's Residence</v>
      </c>
      <c r="G39" t="str">
        <f>VLOOKUP(A39,Response!$A:$M,8,FALSE)</f>
        <v>X667+VPH, Gangai Street, Ram Nagar South, Madipakkam, chennai, Tamil Nadu 600091</v>
      </c>
      <c r="H39" t="str">
        <f>VLOOKUP(A39,Response!$A:$M,9,FALSE)</f>
        <v>X667+VPH, Gangai Street, Ram Nagar South, Madipakkam, chennai, Tamil Nadu 600091</v>
      </c>
      <c r="I39" t="str">
        <f>VLOOKUP(A39,Response!$A:$M,12,FALSE)</f>
        <v>Yes</v>
      </c>
      <c r="J39" t="str">
        <f>VLOOKUP(A39,Response!$A:$M,11,FALSE)</f>
        <v>Kaiveli Bus Stand</v>
      </c>
    </row>
    <row r="40" spans="1:10">
      <c r="A40">
        <v>896485</v>
      </c>
      <c r="B40" t="s">
        <v>4032</v>
      </c>
      <c r="F40" t="str">
        <f>VLOOKUP(A40,Response!$A:$M,7,FALSE)</f>
        <v>PG (Paying Guest)</v>
      </c>
      <c r="G40" t="str">
        <f>VLOOKUP(A40,Response!$A:$M,8,FALSE)</f>
        <v>Pasanga Paradise PG - Branch 1, Egattur</v>
      </c>
      <c r="H40" t="str">
        <f>VLOOKUP(A40,Response!$A:$M,9,FALSE)</f>
        <v>Pasanga Paradise PG, Branch 1, Gangai Amman Kovil Street, Egattur, Siruseri, Tamil Nadu - 603103</v>
      </c>
      <c r="I40" t="str">
        <f>VLOOKUP(A40,Response!$A:$M,12,FALSE)</f>
        <v>No</v>
      </c>
      <c r="J40" t="str">
        <f>VLOOKUP(A40,Response!$A:$M,11,FALSE)</f>
        <v>Siruseri</v>
      </c>
    </row>
    <row r="41" spans="1:10">
      <c r="A41">
        <v>719466</v>
      </c>
      <c r="B41" t="s">
        <v>9730</v>
      </c>
      <c r="F41" t="e">
        <f>VLOOKUP(A41,Response!$A:$M,7,FALSE)</f>
        <v>#N/A</v>
      </c>
      <c r="G41" t="e">
        <f>VLOOKUP(A41,Response!$A:$M,8,FALSE)</f>
        <v>#N/A</v>
      </c>
      <c r="H41" t="e">
        <f>VLOOKUP(A41,Response!$A:$M,9,FALSE)</f>
        <v>#N/A</v>
      </c>
      <c r="I41" t="e">
        <f>VLOOKUP(A41,Response!$A:$M,12,FALSE)</f>
        <v>#N/A</v>
      </c>
      <c r="J41" t="e">
        <f>VLOOKUP(A41,Response!$A:$M,11,FALSE)</f>
        <v>#N/A</v>
      </c>
    </row>
    <row r="42" spans="1:10">
      <c r="A42">
        <v>724653</v>
      </c>
      <c r="B42" t="s">
        <v>9731</v>
      </c>
      <c r="F42" t="e">
        <f>VLOOKUP(A42,Response!$A:$M,7,FALSE)</f>
        <v>#N/A</v>
      </c>
      <c r="G42" t="e">
        <f>VLOOKUP(A42,Response!$A:$M,8,FALSE)</f>
        <v>#N/A</v>
      </c>
      <c r="H42" t="e">
        <f>VLOOKUP(A42,Response!$A:$M,9,FALSE)</f>
        <v>#N/A</v>
      </c>
      <c r="I42" t="e">
        <f>VLOOKUP(A42,Response!$A:$M,12,FALSE)</f>
        <v>#N/A</v>
      </c>
      <c r="J42" t="e">
        <f>VLOOKUP(A42,Response!$A:$M,11,FALSE)</f>
        <v>#N/A</v>
      </c>
    </row>
    <row r="43" spans="1:10">
      <c r="A43">
        <v>255871</v>
      </c>
      <c r="B43" t="s">
        <v>9732</v>
      </c>
      <c r="F43" t="e">
        <f>VLOOKUP(A43,Response!$A:$M,7,FALSE)</f>
        <v>#N/A</v>
      </c>
      <c r="G43" t="e">
        <f>VLOOKUP(A43,Response!$A:$M,8,FALSE)</f>
        <v>#N/A</v>
      </c>
      <c r="H43" t="e">
        <f>VLOOKUP(A43,Response!$A:$M,9,FALSE)</f>
        <v>#N/A</v>
      </c>
      <c r="I43" t="e">
        <f>VLOOKUP(A43,Response!$A:$M,12,FALSE)</f>
        <v>#N/A</v>
      </c>
      <c r="J43" t="e">
        <f>VLOOKUP(A43,Response!$A:$M,11,FALSE)</f>
        <v>#N/A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1fa1b37-97c2-4738-b9c9-f06e40c084a6" xsi:nil="true"/>
    <lcf76f155ced4ddcb4097134ff3c332f xmlns="a36ce515-a707-4959-aaa2-b339df12b9a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85689A-B1F3-4DBC-997B-CB2EDBFBC3B0}"/>
</file>

<file path=customXml/itemProps2.xml><?xml version="1.0" encoding="utf-8"?>
<ds:datastoreItem xmlns:ds="http://schemas.openxmlformats.org/officeDocument/2006/customXml" ds:itemID="{D3DAF8C7-B7FC-43FE-9170-EE48E81CF146}"/>
</file>

<file path=customXml/itemProps3.xml><?xml version="1.0" encoding="utf-8"?>
<ds:datastoreItem xmlns:ds="http://schemas.openxmlformats.org/officeDocument/2006/customXml" ds:itemID="{22E4164B-CE87-44C4-A00B-6BB62D5936C9}"/>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 Anirudh (Cognizant)</dc:creator>
  <cp:keywords/>
  <dc:description/>
  <cp:lastModifiedBy>X, Lourdhu Selvin Raj (Contractor)</cp:lastModifiedBy>
  <cp:revision/>
  <dcterms:created xsi:type="dcterms:W3CDTF">2026-08-26T10:24:48Z</dcterms:created>
  <dcterms:modified xsi:type="dcterms:W3CDTF">2026-09-09T05:36:17Z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